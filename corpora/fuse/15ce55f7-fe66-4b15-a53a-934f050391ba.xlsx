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bookViews>
    <workbookView xWindow="6225" yWindow="1095" windowWidth="19320" windowHeight="12030"/>
  </bookViews>
  <sheets>
    <sheet name="0910 CE Master List" sheetId="1" r:id="rId1"/>
    <sheet name="Unique Offerings Calculation" sheetId="3" r:id="rId2"/>
  </sheets>
  <definedNames>
    <definedName name="_xlnm._FilterDatabase" localSheetId="0" hidden="1">'0910 CE Master List'!$A$211:$N$1036</definedName>
    <definedName name="_xlnm.Print_Area" localSheetId="0">'0910 CE Master List'!$A$1:$M$1036</definedName>
  </definedNames>
  <calcPr calcId="125725"/>
</workbook>
</file>

<file path=xl/calcChain.xml><?xml version="1.0" encoding="utf-8"?>
<calcChain xmlns="http://schemas.openxmlformats.org/spreadsheetml/2006/main">
  <c r="H883" i="3"/>
  <c r="I883" s="1"/>
  <c r="H882"/>
  <c r="I882" s="1"/>
  <c r="H881"/>
  <c r="I881" s="1"/>
  <c r="I348"/>
  <c r="H348"/>
  <c r="H1488"/>
  <c r="I516"/>
  <c r="H516"/>
  <c r="B2271"/>
  <c r="B1864"/>
  <c r="C1735"/>
  <c r="C1737"/>
  <c r="C1736"/>
  <c r="C1734"/>
  <c r="N888"/>
  <c r="H890"/>
  <c r="H58"/>
  <c r="H67"/>
  <c r="H79"/>
  <c r="H90"/>
  <c r="H91"/>
  <c r="H99"/>
  <c r="H136"/>
  <c r="H147"/>
  <c r="I147"/>
  <c r="H148"/>
  <c r="H151"/>
  <c r="H153"/>
  <c r="H166"/>
  <c r="H178"/>
  <c r="H179"/>
  <c r="I179"/>
  <c r="H180"/>
  <c r="H181"/>
  <c r="H183"/>
  <c r="H185"/>
  <c r="I185"/>
  <c r="H186"/>
  <c r="H187"/>
  <c r="I187"/>
  <c r="H188"/>
  <c r="H189"/>
  <c r="I189"/>
  <c r="H190"/>
  <c r="H191"/>
  <c r="H198"/>
  <c r="H209"/>
  <c r="H211"/>
  <c r="H212"/>
  <c r="H215"/>
  <c r="H219"/>
  <c r="H223"/>
  <c r="H226"/>
  <c r="I226"/>
  <c r="H227"/>
  <c r="H231"/>
  <c r="H233"/>
  <c r="H239"/>
  <c r="I239"/>
  <c r="H240"/>
  <c r="H243"/>
  <c r="H245"/>
  <c r="H247"/>
  <c r="H275"/>
  <c r="H291"/>
  <c r="I291"/>
  <c r="H292"/>
  <c r="H299"/>
  <c r="H350"/>
  <c r="H355"/>
  <c r="H357"/>
  <c r="H359"/>
  <c r="H361"/>
  <c r="H362"/>
  <c r="H364"/>
  <c r="H365"/>
  <c r="H372"/>
  <c r="H376"/>
  <c r="I376"/>
  <c r="H377"/>
  <c r="H383"/>
  <c r="I383"/>
  <c r="H384"/>
  <c r="H385"/>
  <c r="I385"/>
  <c r="H386"/>
  <c r="H406"/>
  <c r="I406"/>
  <c r="H407"/>
  <c r="H410"/>
  <c r="I410"/>
  <c r="H411"/>
  <c r="H412"/>
  <c r="H432"/>
  <c r="H433"/>
  <c r="I433"/>
  <c r="H434"/>
  <c r="H446"/>
  <c r="H449"/>
  <c r="H455"/>
  <c r="H472"/>
  <c r="H479"/>
  <c r="H484"/>
  <c r="H485"/>
  <c r="H491"/>
  <c r="H493"/>
  <c r="H495"/>
  <c r="H496"/>
  <c r="I496"/>
  <c r="H497"/>
  <c r="H504"/>
  <c r="I504"/>
  <c r="H505"/>
  <c r="H506"/>
  <c r="I506"/>
  <c r="H507"/>
  <c r="H509"/>
  <c r="I509"/>
  <c r="H510"/>
  <c r="H535"/>
  <c r="H545"/>
  <c r="H546"/>
  <c r="H573"/>
  <c r="H574"/>
  <c r="I574"/>
  <c r="H575"/>
  <c r="H576"/>
  <c r="H615"/>
  <c r="H616"/>
  <c r="H620"/>
  <c r="H621"/>
  <c r="H625"/>
  <c r="H627"/>
  <c r="I627"/>
  <c r="H628"/>
  <c r="H631"/>
  <c r="H635"/>
  <c r="H636"/>
  <c r="H640"/>
  <c r="H643"/>
  <c r="I643"/>
  <c r="H644"/>
  <c r="H687"/>
  <c r="H702"/>
  <c r="H712"/>
  <c r="I712"/>
  <c r="H713"/>
  <c r="H720"/>
  <c r="H724"/>
  <c r="H733"/>
  <c r="I733"/>
  <c r="H734"/>
  <c r="H740"/>
  <c r="H745"/>
  <c r="H751"/>
  <c r="H753"/>
  <c r="H781"/>
  <c r="H789"/>
  <c r="H797"/>
  <c r="I797"/>
  <c r="H798"/>
  <c r="H799"/>
  <c r="H804"/>
  <c r="H809"/>
  <c r="H815"/>
  <c r="H854"/>
  <c r="H878"/>
  <c r="H879"/>
  <c r="I879"/>
  <c r="H880"/>
  <c r="H47"/>
  <c r="H53"/>
  <c r="H68"/>
  <c r="H105"/>
  <c r="H137"/>
  <c r="H140"/>
  <c r="H141"/>
  <c r="H146"/>
  <c r="H149"/>
  <c r="H160"/>
  <c r="H192"/>
  <c r="H210"/>
  <c r="H213"/>
  <c r="I213"/>
  <c r="H214"/>
  <c r="H218"/>
  <c r="H274"/>
  <c r="I274"/>
  <c r="H293"/>
  <c r="H302"/>
  <c r="H306"/>
  <c r="H316"/>
  <c r="H322"/>
  <c r="H346"/>
  <c r="H349"/>
  <c r="I349"/>
  <c r="H393"/>
  <c r="H397"/>
  <c r="H401"/>
  <c r="H456"/>
  <c r="H470"/>
  <c r="H473"/>
  <c r="H480"/>
  <c r="H486"/>
  <c r="H499"/>
  <c r="H529"/>
  <c r="I529"/>
  <c r="H530"/>
  <c r="H531"/>
  <c r="I531"/>
  <c r="H532"/>
  <c r="H533"/>
  <c r="H560"/>
  <c r="H577"/>
  <c r="H587"/>
  <c r="H588"/>
  <c r="I588"/>
  <c r="H589"/>
  <c r="H607"/>
  <c r="H617"/>
  <c r="H626"/>
  <c r="I626"/>
  <c r="H629"/>
  <c r="H632"/>
  <c r="H634"/>
  <c r="I634"/>
  <c r="H637"/>
  <c r="H641"/>
  <c r="H645"/>
  <c r="H680"/>
  <c r="H681"/>
  <c r="I681"/>
  <c r="H682"/>
  <c r="H683"/>
  <c r="H692"/>
  <c r="H695"/>
  <c r="I695"/>
  <c r="H696"/>
  <c r="H697"/>
  <c r="H701"/>
  <c r="I701"/>
  <c r="H716"/>
  <c r="H721"/>
  <c r="H722"/>
  <c r="I722"/>
  <c r="H723"/>
  <c r="I723"/>
  <c r="H746"/>
  <c r="H754"/>
  <c r="H758"/>
  <c r="H760"/>
  <c r="H761"/>
  <c r="I761"/>
  <c r="H762"/>
  <c r="H763"/>
  <c r="I763"/>
  <c r="H764"/>
  <c r="H766"/>
  <c r="H782"/>
  <c r="H790"/>
  <c r="H839"/>
  <c r="H855"/>
  <c r="H871"/>
  <c r="H872"/>
  <c r="I872"/>
  <c r="H873"/>
  <c r="H49"/>
  <c r="H51"/>
  <c r="H60"/>
  <c r="I60"/>
  <c r="H61"/>
  <c r="H62"/>
  <c r="I62"/>
  <c r="H63"/>
  <c r="H64"/>
  <c r="I64"/>
  <c r="H65"/>
  <c r="H66"/>
  <c r="I66"/>
  <c r="H69"/>
  <c r="H74"/>
  <c r="I74"/>
  <c r="H75"/>
  <c r="H78"/>
  <c r="I78"/>
  <c r="H82"/>
  <c r="H84"/>
  <c r="I84"/>
  <c r="H85"/>
  <c r="H86"/>
  <c r="H93"/>
  <c r="H94"/>
  <c r="I94"/>
  <c r="H95"/>
  <c r="H98"/>
  <c r="I98"/>
  <c r="H101"/>
  <c r="H103"/>
  <c r="H138"/>
  <c r="H139"/>
  <c r="H167"/>
  <c r="H168"/>
  <c r="I168"/>
  <c r="H169"/>
  <c r="H170"/>
  <c r="I170"/>
  <c r="H171"/>
  <c r="H172"/>
  <c r="H174"/>
  <c r="H176"/>
  <c r="I176"/>
  <c r="H177"/>
  <c r="I177"/>
  <c r="H193"/>
  <c r="H199"/>
  <c r="H204"/>
  <c r="H206"/>
  <c r="H207"/>
  <c r="I207"/>
  <c r="H208"/>
  <c r="H216"/>
  <c r="H220"/>
  <c r="H229"/>
  <c r="I229"/>
  <c r="H230"/>
  <c r="H232"/>
  <c r="I232"/>
  <c r="H234"/>
  <c r="H235"/>
  <c r="H237"/>
  <c r="H241"/>
  <c r="I241"/>
  <c r="H242"/>
  <c r="H244"/>
  <c r="I244"/>
  <c r="H249"/>
  <c r="H250"/>
  <c r="H263"/>
  <c r="H265"/>
  <c r="I265"/>
  <c r="H266"/>
  <c r="H267"/>
  <c r="I267"/>
  <c r="H268"/>
  <c r="H269"/>
  <c r="I269"/>
  <c r="H270"/>
  <c r="H271"/>
  <c r="I271"/>
  <c r="H272"/>
  <c r="H287"/>
  <c r="I287"/>
  <c r="H288"/>
  <c r="H294"/>
  <c r="H303"/>
  <c r="H307"/>
  <c r="H310"/>
  <c r="H314"/>
  <c r="H317"/>
  <c r="H323"/>
  <c r="H327"/>
  <c r="H332"/>
  <c r="H341"/>
  <c r="H351"/>
  <c r="H354"/>
  <c r="I354"/>
  <c r="H356"/>
  <c r="I356"/>
  <c r="H358"/>
  <c r="I358"/>
  <c r="H360"/>
  <c r="I360"/>
  <c r="H366"/>
  <c r="H370"/>
  <c r="H373"/>
  <c r="H380"/>
  <c r="I380"/>
  <c r="H381"/>
  <c r="H396"/>
  <c r="I396"/>
  <c r="H398"/>
  <c r="H435"/>
  <c r="I435"/>
  <c r="H436"/>
  <c r="H437"/>
  <c r="I437"/>
  <c r="H438"/>
  <c r="H439"/>
  <c r="I439"/>
  <c r="H440"/>
  <c r="H441"/>
  <c r="H448"/>
  <c r="I448"/>
  <c r="H450"/>
  <c r="H454"/>
  <c r="I454"/>
  <c r="H464"/>
  <c r="I464"/>
  <c r="H465"/>
  <c r="H466"/>
  <c r="I466"/>
  <c r="H467"/>
  <c r="H468"/>
  <c r="I468"/>
  <c r="H469"/>
  <c r="I469"/>
  <c r="H471"/>
  <c r="I471"/>
  <c r="H502"/>
  <c r="H511"/>
  <c r="I511"/>
  <c r="H512"/>
  <c r="H514"/>
  <c r="I514"/>
  <c r="H515"/>
  <c r="H517"/>
  <c r="H519"/>
  <c r="H520"/>
  <c r="I520"/>
  <c r="H521"/>
  <c r="H534"/>
  <c r="I534"/>
  <c r="H547"/>
  <c r="H548"/>
  <c r="H552"/>
  <c r="H554"/>
  <c r="H578"/>
  <c r="H590"/>
  <c r="I590"/>
  <c r="H591"/>
  <c r="H592"/>
  <c r="H594"/>
  <c r="H595"/>
  <c r="H610"/>
  <c r="H614"/>
  <c r="I614"/>
  <c r="H619"/>
  <c r="I619"/>
  <c r="H622"/>
  <c r="I622"/>
  <c r="H623"/>
  <c r="H647"/>
  <c r="H652"/>
  <c r="H654"/>
  <c r="H659"/>
  <c r="H665"/>
  <c r="H670"/>
  <c r="H684"/>
  <c r="I684"/>
  <c r="H685"/>
  <c r="H686"/>
  <c r="I686"/>
  <c r="H688"/>
  <c r="H689"/>
  <c r="I689"/>
  <c r="H690"/>
  <c r="H691"/>
  <c r="I691"/>
  <c r="H693"/>
  <c r="H694"/>
  <c r="I694"/>
  <c r="H698"/>
  <c r="H699"/>
  <c r="H703"/>
  <c r="H730"/>
  <c r="H735"/>
  <c r="H736"/>
  <c r="I736"/>
  <c r="H737"/>
  <c r="H747"/>
  <c r="H755"/>
  <c r="H768"/>
  <c r="I768"/>
  <c r="H769"/>
  <c r="H770"/>
  <c r="I770"/>
  <c r="H771"/>
  <c r="H772"/>
  <c r="I772"/>
  <c r="H773"/>
  <c r="H774"/>
  <c r="I774"/>
  <c r="H775"/>
  <c r="H776"/>
  <c r="H791"/>
  <c r="H803"/>
  <c r="I803"/>
  <c r="H840"/>
  <c r="H841"/>
  <c r="H886"/>
  <c r="H887"/>
  <c r="I887"/>
  <c r="H888"/>
  <c r="I888"/>
  <c r="H54"/>
  <c r="H57"/>
  <c r="I57"/>
  <c r="H70"/>
  <c r="H182"/>
  <c r="I182"/>
  <c r="H184"/>
  <c r="I184"/>
  <c r="H194"/>
  <c r="H251"/>
  <c r="I251"/>
  <c r="H252"/>
  <c r="H253"/>
  <c r="I253"/>
  <c r="H254"/>
  <c r="H255"/>
  <c r="I255"/>
  <c r="H256"/>
  <c r="H257"/>
  <c r="I257"/>
  <c r="H258"/>
  <c r="H259"/>
  <c r="I259"/>
  <c r="H260"/>
  <c r="H261"/>
  <c r="I261"/>
  <c r="H262"/>
  <c r="I262"/>
  <c r="H295"/>
  <c r="H300"/>
  <c r="H342"/>
  <c r="I342"/>
  <c r="H343"/>
  <c r="H344"/>
  <c r="I344"/>
  <c r="H345"/>
  <c r="I345"/>
  <c r="H347"/>
  <c r="I347"/>
  <c r="H423"/>
  <c r="H424"/>
  <c r="I424"/>
  <c r="H425"/>
  <c r="H426"/>
  <c r="I426"/>
  <c r="H427"/>
  <c r="H428"/>
  <c r="I428"/>
  <c r="H429"/>
  <c r="H430"/>
  <c r="I430"/>
  <c r="H431"/>
  <c r="I431"/>
  <c r="H442"/>
  <c r="H474"/>
  <c r="H490"/>
  <c r="I490"/>
  <c r="H549"/>
  <c r="H557"/>
  <c r="I557"/>
  <c r="H558"/>
  <c r="H579"/>
  <c r="H608"/>
  <c r="H630"/>
  <c r="I630"/>
  <c r="H633"/>
  <c r="I633"/>
  <c r="H638"/>
  <c r="H700"/>
  <c r="I700"/>
  <c r="H704"/>
  <c r="H709"/>
  <c r="H743"/>
  <c r="H748"/>
  <c r="H752"/>
  <c r="I752"/>
  <c r="H783"/>
  <c r="H792"/>
  <c r="H810"/>
  <c r="H816"/>
  <c r="H856"/>
  <c r="H863"/>
  <c r="I863"/>
  <c r="H864"/>
  <c r="H874"/>
  <c r="I874"/>
  <c r="H875"/>
  <c r="H876"/>
  <c r="I876"/>
  <c r="H877"/>
  <c r="I877"/>
  <c r="H884"/>
  <c r="I884"/>
  <c r="H885"/>
  <c r="I885"/>
  <c r="H56"/>
  <c r="I56"/>
  <c r="H71"/>
  <c r="H80"/>
  <c r="H96"/>
  <c r="H110"/>
  <c r="I110"/>
  <c r="H111"/>
  <c r="H150"/>
  <c r="I150"/>
  <c r="H152"/>
  <c r="H154"/>
  <c r="I154"/>
  <c r="H155"/>
  <c r="H156"/>
  <c r="I156"/>
  <c r="H157"/>
  <c r="H158"/>
  <c r="I158"/>
  <c r="H159"/>
  <c r="I159"/>
  <c r="H164"/>
  <c r="H195"/>
  <c r="H200"/>
  <c r="H202"/>
  <c r="H203"/>
  <c r="I203"/>
  <c r="H217"/>
  <c r="H221"/>
  <c r="I221"/>
  <c r="H224"/>
  <c r="H228"/>
  <c r="I228"/>
  <c r="H236"/>
  <c r="I236"/>
  <c r="H238"/>
  <c r="I238"/>
  <c r="H246"/>
  <c r="I246"/>
  <c r="H248"/>
  <c r="I248"/>
  <c r="H222"/>
  <c r="H225"/>
  <c r="I225"/>
  <c r="H279"/>
  <c r="H280"/>
  <c r="I280"/>
  <c r="H281"/>
  <c r="H282"/>
  <c r="H296"/>
  <c r="H301"/>
  <c r="I301"/>
  <c r="H304"/>
  <c r="H308"/>
  <c r="H311"/>
  <c r="H312"/>
  <c r="H315"/>
  <c r="I315"/>
  <c r="H318"/>
  <c r="H324"/>
  <c r="H328"/>
  <c r="H333"/>
  <c r="H336"/>
  <c r="I336"/>
  <c r="H337"/>
  <c r="H352"/>
  <c r="H363"/>
  <c r="I363"/>
  <c r="H371"/>
  <c r="I371"/>
  <c r="H404"/>
  <c r="H405"/>
  <c r="H443"/>
  <c r="H447"/>
  <c r="I447"/>
  <c r="H458"/>
  <c r="H475"/>
  <c r="H481"/>
  <c r="H487"/>
  <c r="H492"/>
  <c r="I492"/>
  <c r="H501"/>
  <c r="I501"/>
  <c r="H518"/>
  <c r="I518"/>
  <c r="H536"/>
  <c r="H538"/>
  <c r="H540"/>
  <c r="I540"/>
  <c r="H541"/>
  <c r="H542"/>
  <c r="I542"/>
  <c r="H543"/>
  <c r="H544"/>
  <c r="I544"/>
  <c r="H561"/>
  <c r="H562"/>
  <c r="H567"/>
  <c r="H568"/>
  <c r="H580"/>
  <c r="H581"/>
  <c r="H606"/>
  <c r="I606"/>
  <c r="H618"/>
  <c r="I618"/>
  <c r="H648"/>
  <c r="H650"/>
  <c r="H653"/>
  <c r="I653"/>
  <c r="H655"/>
  <c r="H660"/>
  <c r="H639"/>
  <c r="I639"/>
  <c r="H642"/>
  <c r="I642"/>
  <c r="H646"/>
  <c r="I646"/>
  <c r="H705"/>
  <c r="H714"/>
  <c r="I714"/>
  <c r="H715"/>
  <c r="I715"/>
  <c r="H717"/>
  <c r="H749"/>
  <c r="H756"/>
  <c r="H784"/>
  <c r="H793"/>
  <c r="H802"/>
  <c r="H805"/>
  <c r="I805"/>
  <c r="H811"/>
  <c r="H817"/>
  <c r="I817"/>
  <c r="H857"/>
  <c r="H862"/>
  <c r="I862"/>
  <c r="H48"/>
  <c r="I48"/>
  <c r="H52"/>
  <c r="I52"/>
  <c r="H55"/>
  <c r="H72"/>
  <c r="H76"/>
  <c r="H102"/>
  <c r="I102"/>
  <c r="H113"/>
  <c r="H114"/>
  <c r="H161"/>
  <c r="H165"/>
  <c r="I165"/>
  <c r="H196"/>
  <c r="H297"/>
  <c r="H305"/>
  <c r="I305"/>
  <c r="H309"/>
  <c r="I309"/>
  <c r="H313"/>
  <c r="I313"/>
  <c r="H319"/>
  <c r="H325"/>
  <c r="H329"/>
  <c r="H334"/>
  <c r="H445"/>
  <c r="I445"/>
  <c r="H476"/>
  <c r="H482"/>
  <c r="H488"/>
  <c r="H500"/>
  <c r="I500"/>
  <c r="H508"/>
  <c r="I508"/>
  <c r="H563"/>
  <c r="I563"/>
  <c r="H564"/>
  <c r="H569"/>
  <c r="I569"/>
  <c r="H570"/>
  <c r="H582"/>
  <c r="H649"/>
  <c r="H656"/>
  <c r="I656"/>
  <c r="H661"/>
  <c r="H666"/>
  <c r="H668"/>
  <c r="H706"/>
  <c r="H710"/>
  <c r="H718"/>
  <c r="I718"/>
  <c r="H719"/>
  <c r="I719"/>
  <c r="H725"/>
  <c r="I725"/>
  <c r="H726"/>
  <c r="H727"/>
  <c r="I727"/>
  <c r="H728"/>
  <c r="H729"/>
  <c r="I729"/>
  <c r="H739"/>
  <c r="I739"/>
  <c r="H759"/>
  <c r="I759"/>
  <c r="H777"/>
  <c r="H778"/>
  <c r="I778"/>
  <c r="H779"/>
  <c r="H785"/>
  <c r="H787"/>
  <c r="H794"/>
  <c r="H800"/>
  <c r="H801"/>
  <c r="I801"/>
  <c r="H806"/>
  <c r="H812"/>
  <c r="H818"/>
  <c r="H823"/>
  <c r="I823"/>
  <c r="H824"/>
  <c r="H853"/>
  <c r="I853"/>
  <c r="H858"/>
  <c r="H865"/>
  <c r="I865"/>
  <c r="H866"/>
  <c r="H867"/>
  <c r="I867"/>
  <c r="H868"/>
  <c r="H869"/>
  <c r="I869"/>
  <c r="H870"/>
  <c r="I870"/>
  <c r="H320"/>
  <c r="I320"/>
  <c r="H321"/>
  <c r="I321"/>
  <c r="H326"/>
  <c r="I326"/>
  <c r="H330"/>
  <c r="H331"/>
  <c r="I331"/>
  <c r="H335"/>
  <c r="H340"/>
  <c r="I340"/>
  <c r="H369"/>
  <c r="I369"/>
  <c r="H600"/>
  <c r="I600"/>
  <c r="H601"/>
  <c r="H651"/>
  <c r="I651"/>
  <c r="H657"/>
  <c r="H662"/>
  <c r="H664"/>
  <c r="I664"/>
  <c r="H667"/>
  <c r="I667"/>
  <c r="H669"/>
  <c r="I669"/>
  <c r="H765"/>
  <c r="I765"/>
  <c r="H767"/>
  <c r="I767"/>
  <c r="H46"/>
  <c r="I46"/>
  <c r="H59"/>
  <c r="I59"/>
  <c r="H73"/>
  <c r="I73"/>
  <c r="H77"/>
  <c r="I77"/>
  <c r="H81"/>
  <c r="I81"/>
  <c r="H83"/>
  <c r="I83"/>
  <c r="H87"/>
  <c r="I87"/>
  <c r="H88"/>
  <c r="H89"/>
  <c r="I89"/>
  <c r="H92"/>
  <c r="I92"/>
  <c r="H97"/>
  <c r="I97"/>
  <c r="H100"/>
  <c r="I100"/>
  <c r="H104"/>
  <c r="I104"/>
  <c r="H106"/>
  <c r="H108"/>
  <c r="H112"/>
  <c r="I112"/>
  <c r="H128"/>
  <c r="H130"/>
  <c r="H132"/>
  <c r="H134"/>
  <c r="H129"/>
  <c r="I129"/>
  <c r="H131"/>
  <c r="H133"/>
  <c r="I133"/>
  <c r="H135"/>
  <c r="I135"/>
  <c r="H142"/>
  <c r="H144"/>
  <c r="H143"/>
  <c r="I143"/>
  <c r="H145"/>
  <c r="I145"/>
  <c r="H162"/>
  <c r="I162"/>
  <c r="H163"/>
  <c r="I163"/>
  <c r="H173"/>
  <c r="I173"/>
  <c r="H175"/>
  <c r="I175"/>
  <c r="H197"/>
  <c r="I197"/>
  <c r="H201"/>
  <c r="I201"/>
  <c r="H205"/>
  <c r="I205"/>
  <c r="H264"/>
  <c r="I264"/>
  <c r="H276"/>
  <c r="I276"/>
  <c r="H277"/>
  <c r="H278"/>
  <c r="I278"/>
  <c r="H298"/>
  <c r="I298"/>
  <c r="H374"/>
  <c r="I374"/>
  <c r="H375"/>
  <c r="I375"/>
  <c r="H378"/>
  <c r="H387"/>
  <c r="H388"/>
  <c r="I388"/>
  <c r="H389"/>
  <c r="H390"/>
  <c r="I390"/>
  <c r="H391"/>
  <c r="H392"/>
  <c r="I392"/>
  <c r="H399"/>
  <c r="H402"/>
  <c r="H409"/>
  <c r="I409"/>
  <c r="H408"/>
  <c r="I408"/>
  <c r="H421"/>
  <c r="H422"/>
  <c r="I422"/>
  <c r="H444"/>
  <c r="H451"/>
  <c r="I451"/>
  <c r="H452"/>
  <c r="H453"/>
  <c r="I453"/>
  <c r="H459"/>
  <c r="H460"/>
  <c r="I460"/>
  <c r="H461"/>
  <c r="H462"/>
  <c r="I462"/>
  <c r="H463"/>
  <c r="I463"/>
  <c r="H477"/>
  <c r="H483"/>
  <c r="I483"/>
  <c r="H489"/>
  <c r="I489"/>
  <c r="H494"/>
  <c r="I494"/>
  <c r="H498"/>
  <c r="I498"/>
  <c r="H503"/>
  <c r="I503"/>
  <c r="H525"/>
  <c r="I525"/>
  <c r="H526"/>
  <c r="H527"/>
  <c r="I527"/>
  <c r="H528"/>
  <c r="I528"/>
  <c r="H537"/>
  <c r="I537"/>
  <c r="H539"/>
  <c r="I539"/>
  <c r="H550"/>
  <c r="I550"/>
  <c r="H551"/>
  <c r="I551"/>
  <c r="H553"/>
  <c r="I553"/>
  <c r="H555"/>
  <c r="H556"/>
  <c r="I556"/>
  <c r="H565"/>
  <c r="H566"/>
  <c r="I566"/>
  <c r="H571"/>
  <c r="H572"/>
  <c r="I572"/>
  <c r="H583"/>
  <c r="H584"/>
  <c r="H586"/>
  <c r="I586"/>
  <c r="H559"/>
  <c r="I559"/>
  <c r="H593"/>
  <c r="I593"/>
  <c r="H597"/>
  <c r="I597"/>
  <c r="H598"/>
  <c r="H599"/>
  <c r="I599"/>
  <c r="H609"/>
  <c r="I609"/>
  <c r="H612"/>
  <c r="I612"/>
  <c r="H613"/>
  <c r="I613"/>
  <c r="H624"/>
  <c r="I624"/>
  <c r="H658"/>
  <c r="I658"/>
  <c r="H663"/>
  <c r="I663"/>
  <c r="H672"/>
  <c r="H679"/>
  <c r="I679"/>
  <c r="H707"/>
  <c r="H711"/>
  <c r="I711"/>
  <c r="H738"/>
  <c r="I738"/>
  <c r="H741"/>
  <c r="I741"/>
  <c r="H742"/>
  <c r="I742"/>
  <c r="H744"/>
  <c r="I744"/>
  <c r="H750"/>
  <c r="I750"/>
  <c r="H757"/>
  <c r="I757"/>
  <c r="H786"/>
  <c r="I786"/>
  <c r="H788"/>
  <c r="I788"/>
  <c r="H795"/>
  <c r="H807"/>
  <c r="I807"/>
  <c r="H808"/>
  <c r="I808"/>
  <c r="H813"/>
  <c r="I813"/>
  <c r="H819"/>
  <c r="H821"/>
  <c r="I821"/>
  <c r="H859"/>
  <c r="H861"/>
  <c r="I861"/>
  <c r="H107"/>
  <c r="H109"/>
  <c r="I109"/>
  <c r="H115"/>
  <c r="H116"/>
  <c r="I116"/>
  <c r="H117"/>
  <c r="H118"/>
  <c r="I118"/>
  <c r="H119"/>
  <c r="H120"/>
  <c r="I120"/>
  <c r="H121"/>
  <c r="H122"/>
  <c r="I122"/>
  <c r="H123"/>
  <c r="H124"/>
  <c r="I124"/>
  <c r="H125"/>
  <c r="H126"/>
  <c r="I126"/>
  <c r="H127"/>
  <c r="H273"/>
  <c r="I273"/>
  <c r="H283"/>
  <c r="H284"/>
  <c r="I284"/>
  <c r="H285"/>
  <c r="H286"/>
  <c r="I286"/>
  <c r="H289"/>
  <c r="H290"/>
  <c r="I290"/>
  <c r="H338"/>
  <c r="H339"/>
  <c r="I339"/>
  <c r="H353"/>
  <c r="I353"/>
  <c r="H367"/>
  <c r="I367"/>
  <c r="H368"/>
  <c r="I368"/>
  <c r="H379"/>
  <c r="I379"/>
  <c r="H382"/>
  <c r="I382"/>
  <c r="H394"/>
  <c r="I394"/>
  <c r="H395"/>
  <c r="I395"/>
  <c r="H400"/>
  <c r="I400"/>
  <c r="H403"/>
  <c r="I403"/>
  <c r="H413"/>
  <c r="I413"/>
  <c r="H414"/>
  <c r="H415"/>
  <c r="I415"/>
  <c r="H416"/>
  <c r="H417"/>
  <c r="I417"/>
  <c r="H418"/>
  <c r="H419"/>
  <c r="I419"/>
  <c r="H420"/>
  <c r="I420"/>
  <c r="H457"/>
  <c r="I457"/>
  <c r="H478"/>
  <c r="I478"/>
  <c r="H513"/>
  <c r="I513"/>
  <c r="H522"/>
  <c r="H523"/>
  <c r="I523"/>
  <c r="H524"/>
  <c r="H585"/>
  <c r="I585"/>
  <c r="H596"/>
  <c r="H602"/>
  <c r="I602"/>
  <c r="H603"/>
  <c r="H604"/>
  <c r="I604"/>
  <c r="H605"/>
  <c r="I605"/>
  <c r="H611"/>
  <c r="I611"/>
  <c r="H671"/>
  <c r="I671"/>
  <c r="H673"/>
  <c r="I673"/>
  <c r="H674"/>
  <c r="H675"/>
  <c r="H677"/>
  <c r="H676"/>
  <c r="I676"/>
  <c r="H678"/>
  <c r="H708"/>
  <c r="I708"/>
  <c r="H731"/>
  <c r="H732"/>
  <c r="I732"/>
  <c r="H780"/>
  <c r="I780"/>
  <c r="H796"/>
  <c r="I796"/>
  <c r="H814"/>
  <c r="I814"/>
  <c r="H820"/>
  <c r="I820"/>
  <c r="H822"/>
  <c r="I822"/>
  <c r="H825"/>
  <c r="I825"/>
  <c r="H826"/>
  <c r="H827"/>
  <c r="I827"/>
  <c r="H828"/>
  <c r="H829"/>
  <c r="I829"/>
  <c r="H830"/>
  <c r="H831"/>
  <c r="I831"/>
  <c r="H832"/>
  <c r="H833"/>
  <c r="I833"/>
  <c r="H834"/>
  <c r="H835"/>
  <c r="I835"/>
  <c r="H836"/>
  <c r="H837"/>
  <c r="I837"/>
  <c r="H838"/>
  <c r="I838"/>
  <c r="H842"/>
  <c r="I842"/>
  <c r="H843"/>
  <c r="H844"/>
  <c r="I844"/>
  <c r="H845"/>
  <c r="H846"/>
  <c r="I846"/>
  <c r="H847"/>
  <c r="H848"/>
  <c r="I848"/>
  <c r="H849"/>
  <c r="H850"/>
  <c r="I850"/>
  <c r="H851"/>
  <c r="H852"/>
  <c r="I852"/>
  <c r="H860"/>
  <c r="H50"/>
  <c r="I50"/>
  <c r="E41"/>
  <c r="I90"/>
  <c r="I579"/>
  <c r="I747"/>
  <c r="I699"/>
  <c r="I137"/>
  <c r="I151"/>
  <c r="I524"/>
  <c r="I127"/>
  <c r="I107"/>
  <c r="I444"/>
  <c r="I335"/>
  <c r="I824"/>
  <c r="I802"/>
  <c r="I149"/>
  <c r="I146"/>
  <c r="I860"/>
  <c r="I851"/>
  <c r="I849"/>
  <c r="I847"/>
  <c r="I845"/>
  <c r="I843"/>
  <c r="I836"/>
  <c r="I834"/>
  <c r="I832"/>
  <c r="I830"/>
  <c r="I828"/>
  <c r="I826"/>
  <c r="I731"/>
  <c r="I678"/>
  <c r="I677"/>
  <c r="I674"/>
  <c r="I603"/>
  <c r="I596"/>
  <c r="I859"/>
  <c r="I819"/>
  <c r="I795"/>
  <c r="I707"/>
  <c r="I672"/>
  <c r="I598"/>
  <c r="I583"/>
  <c r="I571"/>
  <c r="I565"/>
  <c r="I657"/>
  <c r="I601"/>
  <c r="I868"/>
  <c r="I866"/>
  <c r="I858"/>
  <c r="I818"/>
  <c r="I806"/>
  <c r="I800"/>
  <c r="I787"/>
  <c r="I779"/>
  <c r="I777"/>
  <c r="I728"/>
  <c r="I726"/>
  <c r="I710"/>
  <c r="I668"/>
  <c r="I661"/>
  <c r="I649"/>
  <c r="I570"/>
  <c r="I564"/>
  <c r="I55"/>
  <c r="I857"/>
  <c r="I811"/>
  <c r="I784"/>
  <c r="I749"/>
  <c r="I705"/>
  <c r="I660"/>
  <c r="I648"/>
  <c r="I580"/>
  <c r="I567"/>
  <c r="I561"/>
  <c r="I875"/>
  <c r="I864"/>
  <c r="I856"/>
  <c r="I810"/>
  <c r="I783"/>
  <c r="I748"/>
  <c r="I709"/>
  <c r="I608"/>
  <c r="I886"/>
  <c r="I840"/>
  <c r="I791"/>
  <c r="I775"/>
  <c r="I773"/>
  <c r="I771"/>
  <c r="I769"/>
  <c r="I755"/>
  <c r="I737"/>
  <c r="I735"/>
  <c r="I703"/>
  <c r="I698"/>
  <c r="I693"/>
  <c r="I690"/>
  <c r="I688"/>
  <c r="I685"/>
  <c r="I670"/>
  <c r="I659"/>
  <c r="I652"/>
  <c r="I623"/>
  <c r="I610"/>
  <c r="I594"/>
  <c r="I591"/>
  <c r="I578"/>
  <c r="I873"/>
  <c r="I871"/>
  <c r="I839"/>
  <c r="I782"/>
  <c r="I764"/>
  <c r="I762"/>
  <c r="I760"/>
  <c r="I754"/>
  <c r="I721"/>
  <c r="I696"/>
  <c r="I692"/>
  <c r="I682"/>
  <c r="I680"/>
  <c r="I641"/>
  <c r="I629"/>
  <c r="I617"/>
  <c r="I589"/>
  <c r="I587"/>
  <c r="I560"/>
  <c r="I880"/>
  <c r="I878"/>
  <c r="I815"/>
  <c r="I804"/>
  <c r="I798"/>
  <c r="I789"/>
  <c r="I753"/>
  <c r="I745"/>
  <c r="I734"/>
  <c r="I724"/>
  <c r="I713"/>
  <c r="I702"/>
  <c r="I644"/>
  <c r="I640"/>
  <c r="I635"/>
  <c r="I628"/>
  <c r="I625"/>
  <c r="I620"/>
  <c r="I615"/>
  <c r="I575"/>
  <c r="I573"/>
  <c r="I675"/>
  <c r="I584"/>
  <c r="I662"/>
  <c r="I812"/>
  <c r="I794"/>
  <c r="I785"/>
  <c r="I706"/>
  <c r="I666"/>
  <c r="I582"/>
  <c r="I793"/>
  <c r="I756"/>
  <c r="I717"/>
  <c r="I655"/>
  <c r="I650"/>
  <c r="I581"/>
  <c r="I568"/>
  <c r="I562"/>
  <c r="I816"/>
  <c r="I792"/>
  <c r="I743"/>
  <c r="I704"/>
  <c r="I638"/>
  <c r="I841"/>
  <c r="I776"/>
  <c r="I730"/>
  <c r="I665"/>
  <c r="I654"/>
  <c r="I647"/>
  <c r="I595"/>
  <c r="I592"/>
  <c r="I855"/>
  <c r="I790"/>
  <c r="I766"/>
  <c r="I758"/>
  <c r="I746"/>
  <c r="I716"/>
  <c r="I697"/>
  <c r="I683"/>
  <c r="I645"/>
  <c r="I637"/>
  <c r="I632"/>
  <c r="I607"/>
  <c r="I577"/>
  <c r="I854"/>
  <c r="I809"/>
  <c r="I799"/>
  <c r="I781"/>
  <c r="I751"/>
  <c r="I740"/>
  <c r="I720"/>
  <c r="I687"/>
  <c r="I636"/>
  <c r="I631"/>
  <c r="I621"/>
  <c r="I616"/>
  <c r="I576"/>
  <c r="I209"/>
  <c r="I212"/>
  <c r="I224"/>
  <c r="I217"/>
  <c r="I242"/>
  <c r="I230"/>
  <c r="I208"/>
  <c r="I477"/>
  <c r="I402"/>
  <c r="I378"/>
  <c r="I142"/>
  <c r="I132"/>
  <c r="I128"/>
  <c r="I108"/>
  <c r="I482"/>
  <c r="I329"/>
  <c r="I319"/>
  <c r="I297"/>
  <c r="I114"/>
  <c r="I72"/>
  <c r="I536"/>
  <c r="I487"/>
  <c r="I475"/>
  <c r="I405"/>
  <c r="I352"/>
  <c r="I328"/>
  <c r="I318"/>
  <c r="I312"/>
  <c r="I308"/>
  <c r="I282"/>
  <c r="I200"/>
  <c r="I164"/>
  <c r="I80"/>
  <c r="I442"/>
  <c r="I295"/>
  <c r="I70"/>
  <c r="I54"/>
  <c r="I554"/>
  <c r="I548"/>
  <c r="I517"/>
  <c r="I450"/>
  <c r="I441"/>
  <c r="I370"/>
  <c r="I351"/>
  <c r="I332"/>
  <c r="I323"/>
  <c r="I314"/>
  <c r="I307"/>
  <c r="I294"/>
  <c r="I250"/>
  <c r="I235"/>
  <c r="I216"/>
  <c r="I204"/>
  <c r="I193"/>
  <c r="I172"/>
  <c r="I139"/>
  <c r="I103"/>
  <c r="I86"/>
  <c r="I49"/>
  <c r="I533"/>
  <c r="I486"/>
  <c r="I473"/>
  <c r="I456"/>
  <c r="I397"/>
  <c r="I322"/>
  <c r="I306"/>
  <c r="I293"/>
  <c r="I218"/>
  <c r="I192"/>
  <c r="I141"/>
  <c r="I68"/>
  <c r="I47"/>
  <c r="I546"/>
  <c r="I535"/>
  <c r="I493"/>
  <c r="I485"/>
  <c r="I479"/>
  <c r="I455"/>
  <c r="I446"/>
  <c r="I412"/>
  <c r="I365"/>
  <c r="I362"/>
  <c r="I359"/>
  <c r="I355"/>
  <c r="I299"/>
  <c r="I247"/>
  <c r="I243"/>
  <c r="I231"/>
  <c r="I219"/>
  <c r="I191"/>
  <c r="I181"/>
  <c r="I166"/>
  <c r="I99"/>
  <c r="I67"/>
  <c r="I522"/>
  <c r="I418"/>
  <c r="I416"/>
  <c r="I414"/>
  <c r="I338"/>
  <c r="I289"/>
  <c r="I285"/>
  <c r="I283"/>
  <c r="I125"/>
  <c r="I123"/>
  <c r="I121"/>
  <c r="I119"/>
  <c r="I117"/>
  <c r="I115"/>
  <c r="I555"/>
  <c r="I526"/>
  <c r="I461"/>
  <c r="I459"/>
  <c r="I452"/>
  <c r="I421"/>
  <c r="I399"/>
  <c r="I391"/>
  <c r="I389"/>
  <c r="I387"/>
  <c r="I277"/>
  <c r="I144"/>
  <c r="I131"/>
  <c r="I134"/>
  <c r="I130"/>
  <c r="I106"/>
  <c r="I88"/>
  <c r="I330"/>
  <c r="I488"/>
  <c r="I476"/>
  <c r="I334"/>
  <c r="I325"/>
  <c r="I196"/>
  <c r="I161"/>
  <c r="I113"/>
  <c r="I76"/>
  <c r="I543"/>
  <c r="I541"/>
  <c r="I538"/>
  <c r="I481"/>
  <c r="I458"/>
  <c r="I443"/>
  <c r="I404"/>
  <c r="I337"/>
  <c r="I333"/>
  <c r="I324"/>
  <c r="I311"/>
  <c r="I304"/>
  <c r="I296"/>
  <c r="I281"/>
  <c r="I279"/>
  <c r="I222"/>
  <c r="I202"/>
  <c r="I195"/>
  <c r="I157"/>
  <c r="I155"/>
  <c r="I152"/>
  <c r="I111"/>
  <c r="I96"/>
  <c r="I71"/>
  <c r="I558"/>
  <c r="I549"/>
  <c r="I474"/>
  <c r="I429"/>
  <c r="I427"/>
  <c r="I425"/>
  <c r="I423"/>
  <c r="I343"/>
  <c r="I300"/>
  <c r="I260"/>
  <c r="I258"/>
  <c r="I256"/>
  <c r="I254"/>
  <c r="I252"/>
  <c r="I194"/>
  <c r="I552"/>
  <c r="I547"/>
  <c r="I521"/>
  <c r="I519"/>
  <c r="I515"/>
  <c r="I512"/>
  <c r="I502"/>
  <c r="I467"/>
  <c r="I465"/>
  <c r="I440"/>
  <c r="I438"/>
  <c r="I436"/>
  <c r="I398"/>
  <c r="I381"/>
  <c r="I373"/>
  <c r="I366"/>
  <c r="I341"/>
  <c r="I327"/>
  <c r="I317"/>
  <c r="I310"/>
  <c r="I303"/>
  <c r="I288"/>
  <c r="I272"/>
  <c r="I270"/>
  <c r="I268"/>
  <c r="I266"/>
  <c r="I263"/>
  <c r="I249"/>
  <c r="I237"/>
  <c r="I234"/>
  <c r="I220"/>
  <c r="I206"/>
  <c r="I199"/>
  <c r="I174"/>
  <c r="I171"/>
  <c r="I169"/>
  <c r="I167"/>
  <c r="I138"/>
  <c r="I101"/>
  <c r="I95"/>
  <c r="I93"/>
  <c r="I85"/>
  <c r="I82"/>
  <c r="I75"/>
  <c r="I69"/>
  <c r="I65"/>
  <c r="I63"/>
  <c r="I61"/>
  <c r="I51"/>
  <c r="I532"/>
  <c r="I530"/>
  <c r="I499"/>
  <c r="I480"/>
  <c r="I470"/>
  <c r="I401"/>
  <c r="I393"/>
  <c r="I346"/>
  <c r="I316"/>
  <c r="I302"/>
  <c r="I214"/>
  <c r="I210"/>
  <c r="I160"/>
  <c r="I140"/>
  <c r="I105"/>
  <c r="I53"/>
  <c r="I545"/>
  <c r="I510"/>
  <c r="I507"/>
  <c r="I505"/>
  <c r="I497"/>
  <c r="I495"/>
  <c r="I491"/>
  <c r="I484"/>
  <c r="I472"/>
  <c r="I449"/>
  <c r="I434"/>
  <c r="I432"/>
  <c r="I411"/>
  <c r="I407"/>
  <c r="I386"/>
  <c r="I384"/>
  <c r="I377"/>
  <c r="I372"/>
  <c r="I364"/>
  <c r="I361"/>
  <c r="I357"/>
  <c r="I350"/>
  <c r="I292"/>
  <c r="I275"/>
  <c r="I245"/>
  <c r="I240"/>
  <c r="I233"/>
  <c r="I227"/>
  <c r="I223"/>
  <c r="I215"/>
  <c r="I211"/>
  <c r="I198"/>
  <c r="I190"/>
  <c r="I188"/>
  <c r="I186"/>
  <c r="I183"/>
  <c r="I180"/>
  <c r="I178"/>
  <c r="I153"/>
  <c r="I148"/>
  <c r="I136"/>
  <c r="I91"/>
  <c r="I79"/>
  <c r="I58"/>
  <c r="I890" l="1"/>
</calcChain>
</file>

<file path=xl/sharedStrings.xml><?xml version="1.0" encoding="utf-8"?>
<sst xmlns="http://schemas.openxmlformats.org/spreadsheetml/2006/main" count="16934" uniqueCount="2754">
  <si>
    <t>09040013060</t>
  </si>
  <si>
    <t>09050013140</t>
  </si>
  <si>
    <t>09060013020</t>
  </si>
  <si>
    <t>40090013010</t>
  </si>
  <si>
    <t>40010013010</t>
  </si>
  <si>
    <t>40030013001</t>
  </si>
  <si>
    <t>Management Essentials</t>
  </si>
  <si>
    <t>Leadership Management Principles CE</t>
  </si>
  <si>
    <t>Stage Craft/Tech CE</t>
  </si>
  <si>
    <t>Surgical Technician CE</t>
  </si>
  <si>
    <t>Network + CE</t>
  </si>
  <si>
    <t>Administrative Procedures CE</t>
  </si>
  <si>
    <t>Keyboarding Applications CE</t>
  </si>
  <si>
    <t>Mythology CE</t>
  </si>
  <si>
    <t>Psychology Elective CE</t>
  </si>
  <si>
    <t>Prereq: BCIS 1010 or equivalent.</t>
  </si>
  <si>
    <t>Prereq: BCIS 1405 or equivalent.</t>
  </si>
  <si>
    <t>Prereq: BCIS 1405.</t>
  </si>
  <si>
    <t>Prereq: INFO 1120  or the high school class, Foundations of Computing.</t>
  </si>
  <si>
    <t>48.0702</t>
  </si>
  <si>
    <t>40100013130</t>
  </si>
  <si>
    <t>Prereq: two year of high school algebra or MATH 1050 or high school chemistry. Students must also register for CHEM 1215  to earn Core science credit.</t>
  </si>
  <si>
    <t>First Year Spanish II</t>
  </si>
  <si>
    <t>Race to Save the Planet</t>
  </si>
  <si>
    <t>Principles of Chemistry-Lab I</t>
  </si>
  <si>
    <t>Keyboard Skill Building</t>
  </si>
  <si>
    <t xml:space="preserve">Word Processing Applications </t>
  </si>
  <si>
    <t>Digital File Preparation I-Adobe InDesign</t>
  </si>
  <si>
    <t>Certified Nursing Assistant</t>
  </si>
  <si>
    <t>Business Principles</t>
  </si>
  <si>
    <t>DGET</t>
  </si>
  <si>
    <t xml:space="preserve">Blueprint Reading  </t>
  </si>
  <si>
    <t>40100013075</t>
  </si>
  <si>
    <t>03030013031</t>
  </si>
  <si>
    <t>30020013030</t>
  </si>
  <si>
    <t>02.9911</t>
  </si>
  <si>
    <t>30010013050</t>
  </si>
  <si>
    <t>01.0311</t>
  </si>
  <si>
    <t>Agricultural Science &amp; Tech I CE</t>
  </si>
  <si>
    <t>Leadership Applications in  Agr, Sci,  Mgt &amp; Dev</t>
  </si>
  <si>
    <t>Identifies higher education classes that fulfill general education graduation requirements (see table below for general education legend).</t>
  </si>
  <si>
    <t>Acronym for the college offering the course.</t>
  </si>
  <si>
    <t>Used to list classes in catalogs, the prefix generally identifies the academic department offering the course.</t>
  </si>
  <si>
    <t>Course Number</t>
  </si>
  <si>
    <t>10010013010</t>
  </si>
  <si>
    <t>Paraprofessional Practicum CE</t>
  </si>
  <si>
    <t>10020013010</t>
  </si>
  <si>
    <t>10020013020</t>
  </si>
  <si>
    <t>Prereq: ECGT 1040 with a "C-" or better.</t>
  </si>
  <si>
    <t>07060013010</t>
  </si>
  <si>
    <t>07070013010</t>
  </si>
  <si>
    <t>07020013020</t>
  </si>
  <si>
    <t>02040013020</t>
  </si>
  <si>
    <t>02040013030</t>
  </si>
  <si>
    <t>02010013030</t>
  </si>
  <si>
    <t>02010013045</t>
  </si>
  <si>
    <t>02010013052</t>
  </si>
  <si>
    <t>02010013100</t>
  </si>
  <si>
    <t>02010013101</t>
  </si>
  <si>
    <t>Students must also register for CHEM 1210  to earn Core science credit.</t>
  </si>
  <si>
    <t>Beginning American Sign Language I</t>
  </si>
  <si>
    <t>37010013100</t>
  </si>
  <si>
    <t>08.0901</t>
  </si>
  <si>
    <t>11-Digit Codes</t>
  </si>
  <si>
    <t>General Education Codes</t>
  </si>
  <si>
    <t>01</t>
  </si>
  <si>
    <t>Financial Literacy</t>
  </si>
  <si>
    <t>CORE REQUIREMENTS</t>
  </si>
  <si>
    <t>02</t>
  </si>
  <si>
    <t>Prereq: MATH 1050 with a "C" or better.</t>
  </si>
  <si>
    <t>AI</t>
  </si>
  <si>
    <t xml:space="preserve">Prereq: MFET 2150/2150L. Students must also register for MFET 2670L. </t>
  </si>
  <si>
    <t xml:space="preserve">Prereq: MFET 2150/2150L.  Students must also register for MFET 2670. </t>
  </si>
  <si>
    <t>Human Development Across the Lifespan</t>
  </si>
  <si>
    <t>Manual Transmission and Drive Trains</t>
  </si>
  <si>
    <t>Digital File Preparation II-Quark Xpress</t>
  </si>
  <si>
    <t>Office Procedures</t>
  </si>
  <si>
    <t>Advanced Surgical Theory</t>
  </si>
  <si>
    <t>32010013001</t>
  </si>
  <si>
    <t>3D Computer Aided Drafting</t>
  </si>
  <si>
    <t>Basic Architectural Drafting</t>
  </si>
  <si>
    <t>Advanced Mechanical Drafting and Design</t>
  </si>
  <si>
    <t>Cisco Advanced LAN and WAN Switching and Routing Theory and Design</t>
  </si>
  <si>
    <t>Elementary Physics Lab</t>
  </si>
  <si>
    <t>CIP Code</t>
  </si>
  <si>
    <t>01.0651</t>
  </si>
  <si>
    <t>01.0631</t>
  </si>
  <si>
    <t>52.0311</t>
  </si>
  <si>
    <t>52.0312</t>
  </si>
  <si>
    <t>52.0322</t>
  </si>
  <si>
    <t>52.0342</t>
  </si>
  <si>
    <t>52.0813</t>
  </si>
  <si>
    <t>52.0511</t>
  </si>
  <si>
    <t>52.0441</t>
  </si>
  <si>
    <t>52.0211</t>
  </si>
  <si>
    <t>52.0451</t>
  </si>
  <si>
    <t>52.0447</t>
  </si>
  <si>
    <t>52.0457</t>
  </si>
  <si>
    <t>52.0611</t>
  </si>
  <si>
    <t>52.0419</t>
  </si>
  <si>
    <t>52.0621</t>
  </si>
  <si>
    <t>52.0417</t>
  </si>
  <si>
    <t>52.0264</t>
  </si>
  <si>
    <t>52.0428</t>
  </si>
  <si>
    <t>52.0438</t>
  </si>
  <si>
    <t>52.0461</t>
  </si>
  <si>
    <t>52.0471</t>
  </si>
  <si>
    <t>20.0107</t>
  </si>
  <si>
    <t>20.0201</t>
  </si>
  <si>
    <t>20.0401</t>
  </si>
  <si>
    <t>20.0138</t>
  </si>
  <si>
    <t>20.0112</t>
  </si>
  <si>
    <t>20.0110</t>
  </si>
  <si>
    <t>11.0420</t>
  </si>
  <si>
    <t>11.0430</t>
  </si>
  <si>
    <t>11.0440</t>
  </si>
  <si>
    <t>11.9920</t>
  </si>
  <si>
    <t>11.0210</t>
  </si>
  <si>
    <t>11.0211</t>
  </si>
  <si>
    <t>11.0201</t>
  </si>
  <si>
    <t>11.0202</t>
  </si>
  <si>
    <t>11.0230</t>
  </si>
  <si>
    <t>11.0215</t>
  </si>
  <si>
    <t>51.0904</t>
  </si>
  <si>
    <t>First Year French II</t>
  </si>
  <si>
    <t>Biology I Lab</t>
  </si>
  <si>
    <t>Biology II Lab</t>
  </si>
  <si>
    <t>51.1614</t>
  </si>
  <si>
    <t>51.0909</t>
  </si>
  <si>
    <t>08.9904</t>
  </si>
  <si>
    <t>08.0101</t>
  </si>
  <si>
    <t>08.0211</t>
  </si>
  <si>
    <t>08.0708</t>
  </si>
  <si>
    <t>08.0705</t>
  </si>
  <si>
    <t>21.0120</t>
  </si>
  <si>
    <t>21.0114</t>
  </si>
  <si>
    <t>21.0122</t>
  </si>
  <si>
    <t>21.0105</t>
  </si>
  <si>
    <t>Prereq: PHYS 2210 and MATH 1220.</t>
  </si>
  <si>
    <t>Intro to Early Childhood Education</t>
  </si>
  <si>
    <t>Intro to the Humanities</t>
  </si>
  <si>
    <t>Intro to Interior Design</t>
  </si>
  <si>
    <t>Intro to Statistics</t>
  </si>
  <si>
    <t>Intro to Music</t>
  </si>
  <si>
    <t>Intro to Athletic Training</t>
  </si>
  <si>
    <t>Intro to Philosophy</t>
  </si>
  <si>
    <t>Intro to Psychology</t>
  </si>
  <si>
    <t>Intro to Sociology</t>
  </si>
  <si>
    <t>Intro to Art</t>
  </si>
  <si>
    <t>Intro to Biotechnology</t>
  </si>
  <si>
    <t>Intro to Business</t>
  </si>
  <si>
    <t>Intro to Graphic Communications</t>
  </si>
  <si>
    <t>Intro to Health Professions</t>
  </si>
  <si>
    <t>Ceramics II CE</t>
  </si>
  <si>
    <t xml:space="preserve">Prereq: ENGL 1010. This course is approved for elective credit in the 4th year.  NOTE: Some districts require four years of Language Arts, but the state has no 4th year requirement at this time. </t>
  </si>
  <si>
    <t>US History Since 1877</t>
  </si>
  <si>
    <t>32</t>
  </si>
  <si>
    <t>Surface Preparation</t>
  </si>
  <si>
    <t>CRT</t>
  </si>
  <si>
    <t>Nonstructural Repair</t>
  </si>
  <si>
    <t>Overall Refinishing and Problem Solving</t>
  </si>
  <si>
    <t>Blending, Tinting and Detailing</t>
  </si>
  <si>
    <t>US History II CE</t>
  </si>
  <si>
    <t>US History to 1877</t>
  </si>
  <si>
    <t>Students must also register for BIO 1015. Students must also register for BIOL 1015 to earn Cored science credit.</t>
  </si>
  <si>
    <t>Interdisciplinary Physical Science</t>
  </si>
  <si>
    <t>Human Physiology</t>
  </si>
  <si>
    <t>41</t>
  </si>
  <si>
    <t xml:space="preserve">NOTE: There may be more than one (sometimes 15 or 20) different college courses that correspond to an 11-Digit Course Code.  </t>
  </si>
  <si>
    <t>Enrollment Conditions</t>
  </si>
  <si>
    <t>Marketing CO-OP  Education</t>
  </si>
  <si>
    <t>STAT</t>
  </si>
  <si>
    <t>General Microbiology</t>
  </si>
  <si>
    <t>General Microbiology Lab</t>
  </si>
  <si>
    <t>Elementary Organic Elementary Bio-Chemistry Lab</t>
  </si>
  <si>
    <t>Principles of Chemistry I Lab</t>
  </si>
  <si>
    <t>39</t>
  </si>
  <si>
    <t>40</t>
  </si>
  <si>
    <t>Exterior Construction Lab</t>
  </si>
  <si>
    <t>Machinist Technician / CNC CE</t>
  </si>
  <si>
    <t>Calculus Elective CE</t>
  </si>
  <si>
    <t>Music Appreciation CE</t>
  </si>
  <si>
    <t>Music Theory CE</t>
  </si>
  <si>
    <t>Nurse Assistant (CNA) CE</t>
  </si>
  <si>
    <t>Foundations of Nutrition CE</t>
  </si>
  <si>
    <t>1-4</t>
  </si>
  <si>
    <t>Russian First Year I</t>
  </si>
  <si>
    <t>US Institutions</t>
  </si>
  <si>
    <t>General Chemistry I Lab</t>
  </si>
  <si>
    <t>General Chemistry II Lab</t>
  </si>
  <si>
    <t>Graphic Design I</t>
  </si>
  <si>
    <t>3D Graphics and Animation CE</t>
  </si>
  <si>
    <t>30010013110</t>
  </si>
  <si>
    <t>Special Problems in Plant Science</t>
  </si>
  <si>
    <t>General Financial Literacy CE</t>
  </si>
  <si>
    <t>30010013150</t>
  </si>
  <si>
    <t>POLS</t>
  </si>
  <si>
    <t>09060013030</t>
  </si>
  <si>
    <t>Introductory Sociology</t>
  </si>
  <si>
    <t>Spanish First Year I</t>
  </si>
  <si>
    <t>Graphic Computer Applications</t>
  </si>
  <si>
    <t>Drawing I</t>
  </si>
  <si>
    <t>Composition</t>
  </si>
  <si>
    <t>03</t>
  </si>
  <si>
    <t>04</t>
  </si>
  <si>
    <t>American Institutions</t>
  </si>
  <si>
    <t>05</t>
  </si>
  <si>
    <t>BREADTH REQUIREMENTS</t>
  </si>
  <si>
    <t>06</t>
  </si>
  <si>
    <t>Fine Arts</t>
  </si>
  <si>
    <t>07</t>
  </si>
  <si>
    <t>Humanities</t>
  </si>
  <si>
    <t>08</t>
  </si>
  <si>
    <t>Word Processing CE</t>
  </si>
  <si>
    <t>Genetics CE</t>
  </si>
  <si>
    <t>Anatomy and Physiology CE</t>
  </si>
  <si>
    <t>Medical Anatomy and Physiology CE</t>
  </si>
  <si>
    <t>Environmental Science  CE</t>
  </si>
  <si>
    <t>Business Management CE</t>
  </si>
  <si>
    <t>Life Science</t>
  </si>
  <si>
    <t>Prereq: BIO 1610, 1615, CHEM 1010, and Intermediate Algebra competency. Students must also register for BIO 2030.</t>
  </si>
  <si>
    <t>Students must also register for BIO 2325.</t>
  </si>
  <si>
    <t>Code is assigned to courses by the Utah State Office of Education. All secondary schools should use this course when reporting classes to the clearing house. The first two digits of the code align with a subject area (see table below).</t>
  </si>
  <si>
    <t>Careers in Law Enforcement</t>
  </si>
  <si>
    <t>Elements of Effective Communication</t>
  </si>
  <si>
    <t>Solo Pilot Certification Lab</t>
  </si>
  <si>
    <t>02010013031</t>
  </si>
  <si>
    <t>Beginning Pottery</t>
  </si>
  <si>
    <t>06010013120</t>
  </si>
  <si>
    <t>06010013121</t>
  </si>
  <si>
    <t>06010013080</t>
  </si>
  <si>
    <t>06010013140</t>
  </si>
  <si>
    <t>Survey of World Geography</t>
  </si>
  <si>
    <t>08020013040</t>
  </si>
  <si>
    <t>Cell Biology</t>
  </si>
  <si>
    <t>06010013020</t>
  </si>
  <si>
    <t>02020013021</t>
  </si>
  <si>
    <t>Cell Biology Lab</t>
  </si>
  <si>
    <t>1615</t>
  </si>
  <si>
    <t>2420</t>
  </si>
  <si>
    <t>2425</t>
  </si>
  <si>
    <t>1215</t>
  </si>
  <si>
    <t>1225</t>
  </si>
  <si>
    <t>PC Hardware</t>
  </si>
  <si>
    <t>Geology Introductory Survey Lab</t>
  </si>
  <si>
    <t>Geology Introductory Survey</t>
  </si>
  <si>
    <t>1033</t>
  </si>
  <si>
    <t>Foundations of Computer Science</t>
  </si>
  <si>
    <t>Fundamentals of Programming</t>
  </si>
  <si>
    <t>Object-Oriented Programming</t>
  </si>
  <si>
    <t>Genetics Lab</t>
  </si>
  <si>
    <t>Microbiology</t>
  </si>
  <si>
    <t>Microbiology Lab</t>
  </si>
  <si>
    <t>Sociology CE</t>
  </si>
  <si>
    <t>Entrepreneurship - Business CE</t>
  </si>
  <si>
    <t>Meteorology CE</t>
  </si>
  <si>
    <t>OSS</t>
  </si>
  <si>
    <t xml:space="preserve">United States Government and Politics </t>
  </si>
  <si>
    <t>Environment Appreciation</t>
  </si>
  <si>
    <t>Sanitation</t>
  </si>
  <si>
    <t>Foundations in Nutrition</t>
  </si>
  <si>
    <t>Fundamental Selling Techniques</t>
  </si>
  <si>
    <t>Advertising Methods</t>
  </si>
  <si>
    <t>NOTE: This class does not meet the prerequisite requirement for any biology class.</t>
  </si>
  <si>
    <t>Students must also register for BIO 1025.</t>
  </si>
  <si>
    <t>Students must also register for BIO 1020.</t>
  </si>
  <si>
    <t>Prereq: BIO 1610 and 1615. Students must also register for BIO 2425.</t>
  </si>
  <si>
    <t>Prereq: BIO 1610 and 1615. Students must also register for BIO 2420.</t>
  </si>
  <si>
    <t>Fundamental of Programming</t>
  </si>
  <si>
    <t>Elementary Astronomy</t>
  </si>
  <si>
    <t>IT</t>
  </si>
  <si>
    <t>PHLB</t>
  </si>
  <si>
    <t xml:space="preserve">Screen Printing </t>
  </si>
  <si>
    <t>Beginning Offset Press</t>
  </si>
  <si>
    <t>40100013048</t>
  </si>
  <si>
    <t>Supervision Management</t>
  </si>
  <si>
    <t>HS Course Flag</t>
  </si>
  <si>
    <t>Environmental Technician CE</t>
  </si>
  <si>
    <t>Fire Science CE</t>
  </si>
  <si>
    <t>Heavy Duty Truck Electrical Systems</t>
  </si>
  <si>
    <t>Heavy Duty Truck Engine Diagnosis</t>
  </si>
  <si>
    <t>Heavy Duty Truck Air Conditioning</t>
  </si>
  <si>
    <t>PED</t>
  </si>
  <si>
    <t>BIOL</t>
  </si>
  <si>
    <t xml:space="preserve">COMM </t>
  </si>
  <si>
    <t xml:space="preserve">HIST </t>
  </si>
  <si>
    <t>DGM</t>
  </si>
  <si>
    <t>Law Enforcement CE</t>
  </si>
  <si>
    <t>Speech CE</t>
  </si>
  <si>
    <t>Leadership Discovery I</t>
  </si>
  <si>
    <t>Leadership Discovery II</t>
  </si>
  <si>
    <t>Cosmetology / Barbering CE</t>
  </si>
  <si>
    <t>Dance Conditioning CE</t>
  </si>
  <si>
    <t>Dance Company CE</t>
  </si>
  <si>
    <t>Creative Writing 1 CE</t>
  </si>
  <si>
    <t>Creative Writing 2 CE</t>
  </si>
  <si>
    <t>Humanities CE</t>
  </si>
  <si>
    <t>Computer Essentials</t>
  </si>
  <si>
    <t>Criminal Justice</t>
  </si>
  <si>
    <t>Principles of Public Speaking</t>
  </si>
  <si>
    <t>CS</t>
  </si>
  <si>
    <t>Customer Service Technology</t>
  </si>
  <si>
    <t xml:space="preserve">ECON  </t>
  </si>
  <si>
    <t>1740</t>
  </si>
  <si>
    <t>Digital Circuits</t>
  </si>
  <si>
    <t xml:space="preserve">ENGL </t>
  </si>
  <si>
    <t>40100013001</t>
  </si>
  <si>
    <t>40100013030</t>
  </si>
  <si>
    <t>38010013033</t>
  </si>
  <si>
    <t>40100013040</t>
  </si>
  <si>
    <t>40100013070</t>
  </si>
  <si>
    <t>40100013110</t>
  </si>
  <si>
    <t>40110013040</t>
  </si>
  <si>
    <t>Human Biology</t>
  </si>
  <si>
    <t>Advanced DNA Lab Techniques</t>
  </si>
  <si>
    <t xml:space="preserve">This course counts as general educaiton for AAS degree programs only. </t>
  </si>
  <si>
    <t>EET</t>
  </si>
  <si>
    <t>2750</t>
  </si>
  <si>
    <t>DANC</t>
  </si>
  <si>
    <t>Physics for Scientists and Engineers I</t>
  </si>
  <si>
    <t>Students must also register for HIST 1110 to earn Core social studies credit.</t>
  </si>
  <si>
    <t>Students must also register for HIST 1100 to earn Core social studies credit.</t>
  </si>
  <si>
    <t>Prereq: Recommended - Keyboard 25 WPM.</t>
  </si>
  <si>
    <t>Instructor permission required to register.</t>
  </si>
  <si>
    <t>Registration eligibility is determined by audition for the Artistic Director.</t>
  </si>
  <si>
    <t>Intro to Education</t>
  </si>
  <si>
    <t>Prereq: ENGL 1010.</t>
  </si>
  <si>
    <t>Prereq: Highly Recommended - ENGL 1010.</t>
  </si>
  <si>
    <t>Prereq: FAML 2500 and 2600.</t>
  </si>
  <si>
    <t>Students must also register for HIST 1110 for Core Social Science credit.</t>
  </si>
  <si>
    <t>Students must also register for HIST 1100 for Core Social Science credit.</t>
  </si>
  <si>
    <t>Applied Statistics</t>
  </si>
  <si>
    <t>Students must also register for MACH 1160.</t>
  </si>
  <si>
    <t>Students must also register for MACH 1140.</t>
  </si>
  <si>
    <t>Prereq: MATH 0990 or ACT MATH score of 19-22.</t>
  </si>
  <si>
    <t>Prereq: MATH 1010 or ACT MATH score of at least 23.</t>
  </si>
  <si>
    <t>Prereq: MATH 1050.</t>
  </si>
  <si>
    <t>Prereq: MATH 1050 and 1060.</t>
  </si>
  <si>
    <t>Prereq: MATH 1210.</t>
  </si>
  <si>
    <t>Students must also register for PHYS 1015 to earn Core science credit.</t>
  </si>
  <si>
    <t>Students must also register for PHYS 1010 to earn Core science credit.</t>
  </si>
  <si>
    <t>Prereq: SPAN 1010.</t>
  </si>
  <si>
    <t>08.0903</t>
  </si>
  <si>
    <t>PSY</t>
  </si>
  <si>
    <t xml:space="preserve">SOC </t>
  </si>
  <si>
    <t>SPN</t>
  </si>
  <si>
    <t>Related Welding</t>
  </si>
  <si>
    <t>WLD</t>
  </si>
  <si>
    <t>Fundamentals of Welding</t>
  </si>
  <si>
    <t>Fundamentals of Biotechnology I</t>
  </si>
  <si>
    <t>Calculus II</t>
  </si>
  <si>
    <t>Drawing Fundamentals II</t>
  </si>
  <si>
    <t>Drawing Fundamentals I</t>
  </si>
  <si>
    <t>General Chemistry Lab I</t>
  </si>
  <si>
    <t>Prereq: Expected - high school algebra. Course includes a required lab component.</t>
  </si>
  <si>
    <t>Theater Foundations I CE</t>
  </si>
  <si>
    <t>FREN</t>
  </si>
  <si>
    <t>HFST</t>
  </si>
  <si>
    <t>Human Development</t>
  </si>
  <si>
    <t>ITAL</t>
  </si>
  <si>
    <t xml:space="preserve">MET </t>
  </si>
  <si>
    <t>02010013061</t>
  </si>
  <si>
    <t>40080013010</t>
  </si>
  <si>
    <t>08020013010</t>
  </si>
  <si>
    <t>34010013170</t>
  </si>
  <si>
    <t>37010013150</t>
  </si>
  <si>
    <t>ACC</t>
  </si>
  <si>
    <t>40060013001</t>
  </si>
  <si>
    <t>35020013030</t>
  </si>
  <si>
    <t>06020013070</t>
  </si>
  <si>
    <t>40090013060</t>
  </si>
  <si>
    <t>40090013020</t>
  </si>
  <si>
    <t>40090013040</t>
  </si>
  <si>
    <t>34010013040</t>
  </si>
  <si>
    <t>40100013020</t>
  </si>
  <si>
    <t>08040013040</t>
  </si>
  <si>
    <t>APPR</t>
  </si>
  <si>
    <t>Mathematics for the Trades</t>
  </si>
  <si>
    <t>ELI</t>
  </si>
  <si>
    <t>40080013050</t>
  </si>
  <si>
    <t>DNA Manipulation and Analysis</t>
  </si>
  <si>
    <t>PLI</t>
  </si>
  <si>
    <t>Plumbing 1</t>
  </si>
  <si>
    <t>30010013160</t>
  </si>
  <si>
    <t>09050013120</t>
  </si>
  <si>
    <t>09050013100</t>
  </si>
  <si>
    <t>02010013020</t>
  </si>
  <si>
    <t>HS Core Flag</t>
  </si>
  <si>
    <t>Cosmos</t>
  </si>
  <si>
    <t>American National Government</t>
  </si>
  <si>
    <t>General Psychology</t>
  </si>
  <si>
    <t>THEA</t>
  </si>
  <si>
    <t>Prereq: CHEM 1210.</t>
  </si>
  <si>
    <t xml:space="preserve">Prereq: Recommended MATH 1050.  </t>
  </si>
  <si>
    <t>Must be taught for a full year per CTE specialist; students will be awarded 1 HS unit of credit.</t>
  </si>
  <si>
    <t xml:space="preserve">Intro to Microcomputers, E-mail, Operating Systems, and Electronic Presentations </t>
  </si>
  <si>
    <t>Students must also register for BIO 2320.</t>
  </si>
  <si>
    <t>Principles of Microeconomics</t>
  </si>
  <si>
    <t>Information Literacy</t>
  </si>
  <si>
    <t>Individual Applied Music Instruction</t>
  </si>
  <si>
    <t>Symphony Orchestra</t>
  </si>
  <si>
    <t>CCET</t>
  </si>
  <si>
    <t>Emergency Response</t>
  </si>
  <si>
    <t>SCI</t>
  </si>
  <si>
    <t>50.0401</t>
  </si>
  <si>
    <t>Networking Essentials</t>
  </si>
  <si>
    <t xml:space="preserve">Stress Management                                         </t>
  </si>
  <si>
    <t>Emergency Medical Technician Course</t>
  </si>
  <si>
    <t>01.0641</t>
  </si>
  <si>
    <t>General Chemistry Lab</t>
  </si>
  <si>
    <t>Principles of Chemistry 1</t>
  </si>
  <si>
    <t>30</t>
  </si>
  <si>
    <t>24040013060</t>
  </si>
  <si>
    <t>ROTC CE</t>
  </si>
  <si>
    <t>MLS</t>
  </si>
  <si>
    <t>Physical Science</t>
  </si>
  <si>
    <t>Protein Separation/Analysis</t>
  </si>
  <si>
    <t>Cell Culture Techniques</t>
  </si>
  <si>
    <t>Principles of Banking</t>
  </si>
  <si>
    <t>Digital Prepress</t>
  </si>
  <si>
    <t>Foundation of Computer Science</t>
  </si>
  <si>
    <t>EGDT</t>
  </si>
  <si>
    <t>FSE</t>
  </si>
  <si>
    <t>FSW</t>
  </si>
  <si>
    <t>Humanities through the Arts</t>
  </si>
  <si>
    <t>1430</t>
  </si>
  <si>
    <t>PHIL</t>
  </si>
  <si>
    <t>PHYS</t>
  </si>
  <si>
    <t>1020</t>
  </si>
  <si>
    <t>American Civilization</t>
  </si>
  <si>
    <t>1700</t>
  </si>
  <si>
    <t>SPAN</t>
  </si>
  <si>
    <t>WELD</t>
  </si>
  <si>
    <t>1120</t>
  </si>
  <si>
    <t>1130</t>
  </si>
  <si>
    <t>ACCT</t>
  </si>
  <si>
    <t>1110</t>
  </si>
  <si>
    <t>ASL</t>
  </si>
  <si>
    <t>Brakes</t>
  </si>
  <si>
    <t>2050</t>
  </si>
  <si>
    <t>1040</t>
  </si>
  <si>
    <t>BUS</t>
  </si>
  <si>
    <t>1370</t>
  </si>
  <si>
    <t>35020013040</t>
  </si>
  <si>
    <t>35010013010</t>
  </si>
  <si>
    <t>35010013020</t>
  </si>
  <si>
    <t xml:space="preserve">H </t>
  </si>
  <si>
    <t>CIS</t>
  </si>
  <si>
    <t>2400</t>
  </si>
  <si>
    <t>CJ</t>
  </si>
  <si>
    <t>EMS</t>
  </si>
  <si>
    <t>2600</t>
  </si>
  <si>
    <t>FIN</t>
  </si>
  <si>
    <t>GCOM</t>
  </si>
  <si>
    <t>HLOC</t>
  </si>
  <si>
    <t>MATH</t>
  </si>
  <si>
    <t>Entrepreneurship</t>
  </si>
  <si>
    <t>MGMT</t>
  </si>
  <si>
    <t>2060</t>
  </si>
  <si>
    <t>MKTG</t>
  </si>
  <si>
    <t xml:space="preserve">NURS </t>
  </si>
  <si>
    <t>SOC</t>
  </si>
  <si>
    <t>VT</t>
  </si>
  <si>
    <t>SLCC</t>
  </si>
  <si>
    <t xml:space="preserve">ARCH </t>
  </si>
  <si>
    <t>Exploring Art</t>
  </si>
  <si>
    <t>Basic Drawing</t>
  </si>
  <si>
    <t xml:space="preserve">PSY </t>
  </si>
  <si>
    <t>General Biology</t>
  </si>
  <si>
    <t>HUM</t>
  </si>
  <si>
    <t>GER</t>
  </si>
  <si>
    <t>Screen Printing</t>
  </si>
  <si>
    <t xml:space="preserve">AUTO </t>
  </si>
  <si>
    <t>Personal Project</t>
  </si>
  <si>
    <t>Business and Society</t>
  </si>
  <si>
    <t>CHEF</t>
  </si>
  <si>
    <t>Prereq: MATH 1050 with a "C" or better, or equivalent.</t>
  </si>
  <si>
    <t>Prereq: MATH 1050 and 1060 with a "C" or better, or ACT MATH score of 26 or higher.</t>
  </si>
  <si>
    <t>Students must also register for PHYS 1045.</t>
  </si>
  <si>
    <t>Students must also register for PHYS 1040.</t>
  </si>
  <si>
    <t>Computer Illustration</t>
  </si>
  <si>
    <t>Prereq: Recommended - VT 1300.</t>
  </si>
  <si>
    <t>Creative Imaging</t>
  </si>
  <si>
    <t>Prereq: ACCT 1110.</t>
  </si>
  <si>
    <t>Prereq: ART/COMM/EBT 1800.</t>
  </si>
  <si>
    <t>Students must also register for AUTO 1111.</t>
  </si>
  <si>
    <t>Students must also register for AUTO 1110.</t>
  </si>
  <si>
    <t>10</t>
  </si>
  <si>
    <t>Education</t>
  </si>
  <si>
    <t>Prereq: MATH 0970 with a "C" or better or a CPT Algebra score of 54, or ACT MATH score of 18.</t>
  </si>
  <si>
    <t>Prereq: MATH 1010 with a "C" or better, or a CPT College Level Math score of 43, or ACT MATH score of 23.</t>
  </si>
  <si>
    <t>Prereq: MATH 1050 with a "C" or better or a CPT College Level Math score of 70 to 90.</t>
  </si>
  <si>
    <t>Physics for Scientists and Engineers II</t>
  </si>
  <si>
    <t>FCHD</t>
  </si>
  <si>
    <t xml:space="preserve">POLS </t>
  </si>
  <si>
    <t>AUSV</t>
  </si>
  <si>
    <t>BTNY</t>
  </si>
  <si>
    <t>CHF</t>
  </si>
  <si>
    <t>NUTR</t>
  </si>
  <si>
    <t xml:space="preserve">PAR </t>
  </si>
  <si>
    <t>05040013001</t>
  </si>
  <si>
    <t>LM</t>
  </si>
  <si>
    <t>1410</t>
  </si>
  <si>
    <t>3380</t>
  </si>
  <si>
    <t>32020013190</t>
  </si>
  <si>
    <t>32020013216</t>
  </si>
  <si>
    <t>32020013220</t>
  </si>
  <si>
    <t>32020013240</t>
  </si>
  <si>
    <t>Digital Systems</t>
  </si>
  <si>
    <t>Personal Computer Fundamentals</t>
  </si>
  <si>
    <t>Selected Programming Language</t>
  </si>
  <si>
    <t>32020013290</t>
  </si>
  <si>
    <t>32020013300</t>
  </si>
  <si>
    <t>32020013360</t>
  </si>
  <si>
    <t>32020013370</t>
  </si>
  <si>
    <t>34010013001</t>
  </si>
  <si>
    <t>34010013197</t>
  </si>
  <si>
    <t>34010013210</t>
  </si>
  <si>
    <t>35010013040</t>
  </si>
  <si>
    <t>35020013010</t>
  </si>
  <si>
    <t>35020013011</t>
  </si>
  <si>
    <t>35020013060</t>
  </si>
  <si>
    <t>36010013001</t>
  </si>
  <si>
    <t>36010013030</t>
  </si>
  <si>
    <t>36010013040</t>
  </si>
  <si>
    <t>36010013070</t>
  </si>
  <si>
    <t>36010013110</t>
  </si>
  <si>
    <t>Prereq: Completion or concurrent enrollment of MATH 1050. Strongly recommended - completion of a prior chemistry class. Students must also register for CHEM 1215 to earn Core science credit.</t>
  </si>
  <si>
    <t>Elementary Organic Elementary Bio-Chemistry</t>
  </si>
  <si>
    <t>Prereq: CHEM 1110 with a "C" or better.</t>
  </si>
  <si>
    <t>Principles of Chemistry II Lab</t>
  </si>
  <si>
    <t>Economic History of the United States</t>
  </si>
  <si>
    <t>Intermediate Writing</t>
  </si>
  <si>
    <t>C</t>
  </si>
  <si>
    <t>H</t>
  </si>
  <si>
    <t xml:space="preserve">Foundations of Nutrition   </t>
  </si>
  <si>
    <t>Principles of Environmental Science</t>
  </si>
  <si>
    <t>Principles of Biology</t>
  </si>
  <si>
    <t>Biology I</t>
  </si>
  <si>
    <t>Biology II</t>
  </si>
  <si>
    <t>LS</t>
  </si>
  <si>
    <t>First Aid and Safety</t>
  </si>
  <si>
    <t>Genetics</t>
  </si>
  <si>
    <t>ACOM</t>
  </si>
  <si>
    <t>AHNA</t>
  </si>
  <si>
    <t>Cabinet Construction</t>
  </si>
  <si>
    <t>Advanced Cabinet Construction</t>
  </si>
  <si>
    <t>Word Processing</t>
  </si>
  <si>
    <t>09030013020</t>
  </si>
  <si>
    <t>32020013010</t>
  </si>
  <si>
    <t>32020013020</t>
  </si>
  <si>
    <t>USU</t>
  </si>
  <si>
    <t>Biology and the Citizen</t>
  </si>
  <si>
    <t>Prereq: MATH 1010 with a "C" or better, or a ACT MATH score of 23.</t>
  </si>
  <si>
    <t>PFP</t>
  </si>
  <si>
    <t>Fundamentals of Business Math</t>
  </si>
  <si>
    <t>Keyboarding Skillbuilding</t>
  </si>
  <si>
    <t>Elementary French I</t>
  </si>
  <si>
    <t>Prereq: SPAN 1010 or equivalent knowledge.</t>
  </si>
  <si>
    <t>10.0202</t>
  </si>
  <si>
    <t>12.0403</t>
  </si>
  <si>
    <t>15.0507</t>
  </si>
  <si>
    <t>43.0107</t>
  </si>
  <si>
    <t>43.0203</t>
  </si>
  <si>
    <t>46.0201</t>
  </si>
  <si>
    <t>46.0302</t>
  </si>
  <si>
    <t>46.0501</t>
  </si>
  <si>
    <t>47.0603</t>
  </si>
  <si>
    <t>47.0604</t>
  </si>
  <si>
    <t>47.0105</t>
  </si>
  <si>
    <t>47.0605</t>
  </si>
  <si>
    <t>15.1303</t>
  </si>
  <si>
    <t>10.0301</t>
  </si>
  <si>
    <t>48.0703</t>
  </si>
  <si>
    <t>15.1302</t>
  </si>
  <si>
    <t>15.1301</t>
  </si>
  <si>
    <t>10.0302</t>
  </si>
  <si>
    <t>10.0303</t>
  </si>
  <si>
    <t>10.0305</t>
  </si>
  <si>
    <t>1115</t>
  </si>
  <si>
    <t>48.0503</t>
  </si>
  <si>
    <t>15.1306</t>
  </si>
  <si>
    <t>48.0508</t>
  </si>
  <si>
    <t>Prereq: Completion or concurrent enrollment of MATH 1050. Strongly recommended - completion of a prior chemistry class. Students must also register for CHEM 1210 to earn Core science credit.</t>
  </si>
  <si>
    <t xml:space="preserve">Prereq: CIS 1200. </t>
  </si>
  <si>
    <t>Prereq: CS 1400.</t>
  </si>
  <si>
    <t>Prereq: MATH 0930 with a "C" or better, or ACT MATH score of 18 or higher within two years of enrollment.</t>
  </si>
  <si>
    <t>Marketing Essentials</t>
  </si>
  <si>
    <t>Principles of Chemistry 1 Lab</t>
  </si>
  <si>
    <t>36010013190</t>
  </si>
  <si>
    <t>37010013001</t>
  </si>
  <si>
    <t>37010013160</t>
  </si>
  <si>
    <t>37010013240</t>
  </si>
  <si>
    <t>38010013078</t>
  </si>
  <si>
    <t>38010013080</t>
  </si>
  <si>
    <t>38010013090</t>
  </si>
  <si>
    <t>1001</t>
  </si>
  <si>
    <t>32020013200</t>
  </si>
  <si>
    <t>Economics as a Social Science</t>
  </si>
  <si>
    <t>Computer Graphics</t>
  </si>
  <si>
    <t>Technology Enhanced Anatomy and Physiology- Part II</t>
  </si>
  <si>
    <t>09090013902</t>
  </si>
  <si>
    <t>09080013001</t>
  </si>
  <si>
    <t>08020013065</t>
  </si>
  <si>
    <t>Intro to American Sign Language</t>
  </si>
  <si>
    <t>ASTE</t>
  </si>
  <si>
    <t>2900</t>
  </si>
  <si>
    <t xml:space="preserve">Phlebotomy                                                         </t>
  </si>
  <si>
    <t>Students must be 18 at end of semester to test</t>
  </si>
  <si>
    <t>Chemistry with Lab CE</t>
  </si>
  <si>
    <t>Students must also register for HIST 1110 for Core Social Science credit</t>
  </si>
  <si>
    <t>Computer Technology</t>
  </si>
  <si>
    <t xml:space="preserve">Beginning French I </t>
  </si>
  <si>
    <t xml:space="preserve">Beginning French II </t>
  </si>
  <si>
    <t>Intermediate French I</t>
  </si>
  <si>
    <t>Computer Aided Drafting</t>
  </si>
  <si>
    <t>40100013025</t>
  </si>
  <si>
    <t>College</t>
  </si>
  <si>
    <t>French I First Year</t>
  </si>
  <si>
    <t>German I First Year</t>
  </si>
  <si>
    <t>Spanish I First Year</t>
  </si>
  <si>
    <t>Sociology of the Family</t>
  </si>
  <si>
    <t>Field Video Production and Performance</t>
  </si>
  <si>
    <t xml:space="preserve">German I Second Year </t>
  </si>
  <si>
    <t>Spanish I Second Year</t>
  </si>
  <si>
    <t>Metal Forming, Casting, and Welding</t>
  </si>
  <si>
    <t>Sales/Service Technology Seminar</t>
  </si>
  <si>
    <t>06010013130</t>
  </si>
  <si>
    <t>Basic Electronics</t>
  </si>
  <si>
    <t>Intro to LAN Management</t>
  </si>
  <si>
    <t>NOTE: Lab component is included in course.</t>
  </si>
  <si>
    <t>FRCH</t>
  </si>
  <si>
    <t>GRMN</t>
  </si>
  <si>
    <t>Accounting Essentials</t>
  </si>
  <si>
    <t>Accounting Software for Small Business Applications</t>
  </si>
  <si>
    <t>French II First Year</t>
  </si>
  <si>
    <t>1-6</t>
  </si>
  <si>
    <t>2</t>
  </si>
  <si>
    <t>1</t>
  </si>
  <si>
    <t>.5</t>
  </si>
  <si>
    <t>5</t>
  </si>
  <si>
    <t>0</t>
  </si>
  <si>
    <t>4</t>
  </si>
  <si>
    <t>Social/Cultural Anthropology</t>
  </si>
  <si>
    <t>AUT</t>
  </si>
  <si>
    <t>Engine Performance</t>
  </si>
  <si>
    <t>World Civilizations CE</t>
  </si>
  <si>
    <t>World Civilizations II CE</t>
  </si>
  <si>
    <t>09050013091</t>
  </si>
  <si>
    <t>Applied Communication 1 CE</t>
  </si>
  <si>
    <t xml:space="preserve">Architectural Drafting CE </t>
  </si>
  <si>
    <t>Mechanical Drafting CE</t>
  </si>
  <si>
    <t>Fashion Merchandising CE</t>
  </si>
  <si>
    <t>Business Web Page Design CE</t>
  </si>
  <si>
    <t>Suspension &amp; Steering</t>
  </si>
  <si>
    <t>1501</t>
  </si>
  <si>
    <t>Suspension &amp; Steering Lab</t>
  </si>
  <si>
    <t>Engine Repair Lab</t>
  </si>
  <si>
    <t xml:space="preserve">Beginning German I </t>
  </si>
  <si>
    <t xml:space="preserve"> Beginning German II</t>
  </si>
  <si>
    <t xml:space="preserve">General Psychology </t>
  </si>
  <si>
    <t>Beginning Spanish I</t>
  </si>
  <si>
    <t>Beginning Spanish II</t>
  </si>
  <si>
    <t>10 Key Data Entry</t>
  </si>
  <si>
    <t xml:space="preserve">Technical Drafting  </t>
  </si>
  <si>
    <t>Science and Application of Human Nutrition</t>
  </si>
  <si>
    <t>40130013010</t>
  </si>
  <si>
    <t>Retail Merchandising and Buying Methods</t>
  </si>
  <si>
    <t>11-Digit Core Codes for Use in the High School</t>
  </si>
  <si>
    <t>Promotion</t>
  </si>
  <si>
    <t>LEGEND</t>
  </si>
  <si>
    <t>11 Digit Core Codes</t>
  </si>
  <si>
    <t xml:space="preserve">The Classification of Instructional Programs (CIP) is a code used by public and higher education to identify programs associated with Career and Technical Education (CTE). </t>
  </si>
  <si>
    <t>USOE Course Title</t>
  </si>
  <si>
    <t>Title of a course that corresponds to an 11-digit code.</t>
  </si>
  <si>
    <t xml:space="preserve">"Y" indicates this course may be completed for high school core graduation credit.  "N" Indicates the course may be completed for elective graduation credit. </t>
  </si>
  <si>
    <t>Beginning German II</t>
  </si>
  <si>
    <t>HTHS</t>
  </si>
  <si>
    <t>Case Studies in Health Sciences</t>
  </si>
  <si>
    <t>PES</t>
  </si>
  <si>
    <t>Math For The Trades</t>
  </si>
  <si>
    <t>40080013100</t>
  </si>
  <si>
    <t>Intermediate Spanish I</t>
  </si>
  <si>
    <t>Principles of Technology I</t>
  </si>
  <si>
    <t>Principles of Technology II</t>
  </si>
  <si>
    <t>Pre-Professional Seminar in Manufacturing</t>
  </si>
  <si>
    <t>Metal Forming, Casting, and Welding Lab</t>
  </si>
  <si>
    <t>Emergency Medical Technician-Basic Lab</t>
  </si>
  <si>
    <t>Suspension and Steering</t>
  </si>
  <si>
    <t>Object Oriented Programming</t>
  </si>
  <si>
    <t>A minimum of 24 clinical hours required.</t>
  </si>
  <si>
    <t>Printing Fundamentals (Offset)</t>
  </si>
  <si>
    <t>Beginning Cabinet Theory</t>
  </si>
  <si>
    <t>Prereq: BTEC 1010 and BIOL 1610.</t>
  </si>
  <si>
    <t>Adult Roles &amp; Responsibilities CE</t>
  </si>
  <si>
    <t xml:space="preserve">CAD Drafting Technology CE </t>
  </si>
  <si>
    <t>French I Second Year</t>
  </si>
  <si>
    <t>Intermediate Writing: Research Writing in a Persuasive Mode</t>
  </si>
  <si>
    <t>Elementary Spanish I</t>
  </si>
  <si>
    <t>Elementary Spanish II</t>
  </si>
  <si>
    <t>Prereq: MATH 1050 with a "C" or better. Students must also register for CHEM 1215  to earn Core science credit.</t>
  </si>
  <si>
    <t>Prereq: MATH 1050 with a "C"C or better. Students must also register for CHEM 1210  to earn Core science credit.</t>
  </si>
  <si>
    <t>PILT</t>
  </si>
  <si>
    <t>Aviation Weather</t>
  </si>
  <si>
    <t>Architecture Residential Design</t>
  </si>
  <si>
    <t>Prereq: MATH 1010 with a "C-" or better  or two successful years of high school algebra.</t>
  </si>
  <si>
    <t>Manual Drive Trains</t>
  </si>
  <si>
    <t>Manual Drive Trains Lab</t>
  </si>
  <si>
    <t>General Automotive</t>
  </si>
  <si>
    <t>General Automotive Lab</t>
  </si>
  <si>
    <t>Spanish First Year II</t>
  </si>
  <si>
    <t>Public Speaking</t>
  </si>
  <si>
    <t>SPCH</t>
  </si>
  <si>
    <t>1015</t>
  </si>
  <si>
    <t>Principles of Effective Peer Teaching</t>
  </si>
  <si>
    <t>SPED</t>
  </si>
  <si>
    <t>Understanding Theatre</t>
  </si>
  <si>
    <t>Performance Practicum</t>
  </si>
  <si>
    <t>Civilization: Humanities</t>
  </si>
  <si>
    <t>Civilization: Creative Arts</t>
  </si>
  <si>
    <t>Integrated Life Science</t>
  </si>
  <si>
    <t>Survey of Aviation Science</t>
  </si>
  <si>
    <t>AVSC</t>
  </si>
  <si>
    <t>Framing and Concrete Lab</t>
  </si>
  <si>
    <t>Finishing Lab</t>
  </si>
  <si>
    <t>General Biology Laboratory</t>
  </si>
  <si>
    <t>40060013010</t>
  </si>
  <si>
    <t>Students must also register for AR 1111.</t>
  </si>
  <si>
    <t>Students must also register for AR 1100.</t>
  </si>
  <si>
    <t>NOTE: Taken concurrently with GEO 1015, this class is sufficiently rigorous to articulate as an introductory geology class.</t>
  </si>
  <si>
    <t>NOTE: Taken concurrently with GEO 1010, this class is sufficiently rigorous to articulate as an introductory geology class.</t>
  </si>
  <si>
    <t>Prereq: GER 1010 or equivalent knowledge.</t>
  </si>
  <si>
    <t>Survey of Physical Science</t>
  </si>
  <si>
    <t>PHSC</t>
  </si>
  <si>
    <t>08020013012</t>
  </si>
  <si>
    <t>CEET</t>
  </si>
  <si>
    <t>08030013012</t>
  </si>
  <si>
    <t>08060013022</t>
  </si>
  <si>
    <t>PLSC</t>
  </si>
  <si>
    <t>WSU</t>
  </si>
  <si>
    <t>1403</t>
  </si>
  <si>
    <t xml:space="preserve">CHEM </t>
  </si>
  <si>
    <t>1105</t>
  </si>
  <si>
    <t>34010013185</t>
  </si>
  <si>
    <t>09020013001</t>
  </si>
  <si>
    <t>09060013001</t>
  </si>
  <si>
    <t>08030013010</t>
  </si>
  <si>
    <t>08040013030</t>
  </si>
  <si>
    <t>01000013100</t>
  </si>
  <si>
    <t>08040013050</t>
  </si>
  <si>
    <t>08060013010</t>
  </si>
  <si>
    <t>08060013020</t>
  </si>
  <si>
    <t>08060013021</t>
  </si>
  <si>
    <t>3</t>
  </si>
  <si>
    <t>1101</t>
  </si>
  <si>
    <t>IDT</t>
  </si>
  <si>
    <t>MFET</t>
  </si>
  <si>
    <t>Freedoms</t>
  </si>
  <si>
    <t>SST</t>
  </si>
  <si>
    <t>2443</t>
  </si>
  <si>
    <t>MET</t>
  </si>
  <si>
    <t>Distribution Principles</t>
  </si>
  <si>
    <t>Web Page Design and Development</t>
  </si>
  <si>
    <t>Microcomputer Operating Systems</t>
  </si>
  <si>
    <t>OTA</t>
  </si>
  <si>
    <t>Principles of Management</t>
  </si>
  <si>
    <t>Automatic Transmissions</t>
  </si>
  <si>
    <t>Retail Advertising</t>
  </si>
  <si>
    <t>Sculpture I</t>
  </si>
  <si>
    <t>Watermedia I</t>
  </si>
  <si>
    <t>Design</t>
  </si>
  <si>
    <t>Engine Repair</t>
  </si>
  <si>
    <t>General Biology Lab</t>
  </si>
  <si>
    <t>Building Construction Safety</t>
  </si>
  <si>
    <t>Prereq: MATH 1050, MATH 1060, or concurrent enrollment in MATH 1060.</t>
  </si>
  <si>
    <t>Prereq: MATH 1010.</t>
  </si>
  <si>
    <t xml:space="preserve">Prereq: ASL 1050 or instructor permission. </t>
  </si>
  <si>
    <t>Prereq: ENGL 1010. This course is approved for elective credit in the 4th year.  NOTE: Some districts require four years of Language Arts, but the state has no 4th year requirement at this time.</t>
  </si>
  <si>
    <t>Prereq: CHEM 1210. Students must also register for CHEM 1225  to earn Core science credit.</t>
  </si>
  <si>
    <t>Prereq: CHEM 1210. Students must also register for CHEM 1220  to earn Core science credit.</t>
  </si>
  <si>
    <t>Prereq: CJ 1010 or instructor approval.</t>
  </si>
  <si>
    <t>Prereq: CJ 1010.</t>
  </si>
  <si>
    <t>Prereq: Strongly Recommended - CJ 1340.</t>
  </si>
  <si>
    <t>Students must also register for COMM 2205.</t>
  </si>
  <si>
    <t>Students must also register for COMM 2200.</t>
  </si>
  <si>
    <t>Prereq: CIS 1020 or equivalent.</t>
  </si>
  <si>
    <t>Prereq: ENGL 1010 with a C- or better. This course is approved for elective credit in the 4th year.  NOTE: Some districts require four years of Language Arts, but the state has no 4th year requirement at this time.</t>
  </si>
  <si>
    <t>College Algebra/Precalculus</t>
  </si>
  <si>
    <t>03140013011</t>
  </si>
  <si>
    <t>32020013080</t>
  </si>
  <si>
    <t>32020013110</t>
  </si>
  <si>
    <t>32020013130</t>
  </si>
  <si>
    <t>32020013140</t>
  </si>
  <si>
    <t>Dance in Culture</t>
  </si>
  <si>
    <t>32020013150</t>
  </si>
  <si>
    <t>AGSC</t>
  </si>
  <si>
    <t>BA</t>
  </si>
  <si>
    <t>UU</t>
  </si>
  <si>
    <t>Students must also register for BIO 1015 to earn Core science credit.</t>
  </si>
  <si>
    <t>Students must also register for BIO 1010 to earn Core science credit.</t>
  </si>
  <si>
    <t>Students must also register for BIO 1075 to earn Core science credit.</t>
  </si>
  <si>
    <t>Students must also register for BIO 1070 to earn Core science credit.</t>
  </si>
  <si>
    <t>Heavy Duty Truck Brakes</t>
  </si>
  <si>
    <t>Heavy Duty Truck Engines</t>
  </si>
  <si>
    <t>Prereq: An introductory English composition course and a word processing course with a "B" or better.</t>
  </si>
  <si>
    <t>Students must also register for CHEM 1010 to earn Core science credit.</t>
  </si>
  <si>
    <t>Prereq: Highly Recommended - CJ 1010 and 1330.</t>
  </si>
  <si>
    <t>Prereq: CJ 1010, 1330, 2350, or instructor permission.</t>
  </si>
  <si>
    <t>Prereq: Highly Recommended - CJ 1010.</t>
  </si>
  <si>
    <t>Students must also register for BIO 1010. Students must also register for BIOL 1010 to earn Cored science credit.</t>
  </si>
  <si>
    <t xml:space="preserve">BIOL </t>
  </si>
  <si>
    <t>32020013280</t>
  </si>
  <si>
    <t>52.0254</t>
  </si>
  <si>
    <t>2300</t>
  </si>
  <si>
    <t xml:space="preserve">ENGR </t>
  </si>
  <si>
    <t>40050013020</t>
  </si>
  <si>
    <t>Art History CE</t>
  </si>
  <si>
    <t>Painting 1 CE</t>
  </si>
  <si>
    <t>Computer Technology CE</t>
  </si>
  <si>
    <t>Prereq: ACT/CPT score of 23 OR minimum grade of C in MATH 1010.</t>
  </si>
  <si>
    <t>Prereq: INFO 2100 or computer literacy or UVSC teacher permission. High school verifies computer proficiency.</t>
  </si>
  <si>
    <t>Prereq: Recommended MATH 1050.  Students must also register for CHEM 1215 to earn Core science credit.</t>
  </si>
  <si>
    <t>Brake Systems Lab</t>
  </si>
  <si>
    <t>113L</t>
  </si>
  <si>
    <t>121L</t>
  </si>
  <si>
    <t>Suspension and Steering Systems Lab</t>
  </si>
  <si>
    <t xml:space="preserve">Psychology Elective CE </t>
  </si>
  <si>
    <t>Advertising / Promotion CE</t>
  </si>
  <si>
    <t>Princ of Engineering - PLTW</t>
  </si>
  <si>
    <t>Radio/Television Broadcast Tech CE</t>
  </si>
  <si>
    <t>Prereq: ACT English of  17 or higher, or equivalent.</t>
  </si>
  <si>
    <t>Spanish II First Year</t>
  </si>
  <si>
    <t>German II First Year</t>
  </si>
  <si>
    <t>Intro to Philosophy CE</t>
  </si>
  <si>
    <t>Intro to the Visual Arts</t>
  </si>
  <si>
    <t>Intro to Painting</t>
  </si>
  <si>
    <t>Intro to Chemistry</t>
  </si>
  <si>
    <t xml:space="preserve">Intro to Chemistry Lab </t>
  </si>
  <si>
    <t>Intro to Criminal Justice</t>
  </si>
  <si>
    <t>Intro to Mass Media</t>
  </si>
  <si>
    <t>Sophomore status and/or Instructor permission required to register.</t>
  </si>
  <si>
    <t>Calculus I</t>
  </si>
  <si>
    <t>GMA, FCA, and GTA Welding</t>
  </si>
  <si>
    <t>GMA, FCA, and GTA Welding Lab</t>
  </si>
  <si>
    <t xml:space="preserve">C </t>
  </si>
  <si>
    <t>QR</t>
  </si>
  <si>
    <t>History of Art from the Renaissance</t>
  </si>
  <si>
    <t>Medical Terminology CE</t>
  </si>
  <si>
    <t>51.0799</t>
  </si>
  <si>
    <t>36010013175</t>
  </si>
  <si>
    <t>Film Making CE</t>
  </si>
  <si>
    <t>Intro to Sports Medicine</t>
  </si>
  <si>
    <t>Intro to Humanities</t>
  </si>
  <si>
    <t>Intro to Operating Systems</t>
  </si>
  <si>
    <t>Intro to Internet Development</t>
  </si>
  <si>
    <t>Intro to Architectural Drawing</t>
  </si>
  <si>
    <t>Intro to AutoCAD</t>
  </si>
  <si>
    <t>Intro to Drawing</t>
  </si>
  <si>
    <t>Building Construction Theory</t>
  </si>
  <si>
    <t>Beginning Cabinetmaking</t>
  </si>
  <si>
    <t>General Chemistry I</t>
  </si>
  <si>
    <t>General Chemistry II</t>
  </si>
  <si>
    <t>123L</t>
  </si>
  <si>
    <t>Small Business Management</t>
  </si>
  <si>
    <t>MGT</t>
  </si>
  <si>
    <t>Fundamentals of Biotechnology 2</t>
  </si>
  <si>
    <t>Sales</t>
  </si>
  <si>
    <t>Elementary Physics</t>
  </si>
  <si>
    <t>PLS</t>
  </si>
  <si>
    <t>37010013040</t>
  </si>
  <si>
    <t>08.0301</t>
  </si>
  <si>
    <t>37010013260</t>
  </si>
  <si>
    <t>01.0231</t>
  </si>
  <si>
    <t xml:space="preserve">Prereq: TBE 1700 or 1702. </t>
  </si>
  <si>
    <t>Prereq: TBE 2415 or CS 2705.</t>
  </si>
  <si>
    <t>Prereq: TBE 1700 or 1701 or equivalent.</t>
  </si>
  <si>
    <t>Watercolor Painting</t>
  </si>
  <si>
    <t>Social Psychology</t>
  </si>
  <si>
    <t>Financial Accounting I</t>
  </si>
  <si>
    <t>Financial Accounting II</t>
  </si>
  <si>
    <t>51.1199</t>
  </si>
  <si>
    <t>51.1399</t>
  </si>
  <si>
    <t>51.0810</t>
  </si>
  <si>
    <t>51.0913</t>
  </si>
  <si>
    <t>Biotechnology CE</t>
  </si>
  <si>
    <t>51.1201</t>
  </si>
  <si>
    <t>Survey of Criminal Procedure</t>
  </si>
  <si>
    <t>Engine Machining Theory</t>
  </si>
  <si>
    <t>Engine Machining Lab</t>
  </si>
  <si>
    <t>Prereq: Strongly Recommended -- This class be taken after or concurrent with ENGL 1010.</t>
  </si>
  <si>
    <t>Prereq: MATH 1010 or equivalent. Students must also register for CHEM 1115  to earn Core science credit.</t>
  </si>
  <si>
    <t>Prereq: MATH 1010 or equivalent. Students must also register for CHEM 1110  to earn Core science credit.</t>
  </si>
  <si>
    <t>Prereq: CHEM 1110. Students must also register for CHEM 1125  to earn Core science credit.</t>
  </si>
  <si>
    <t>Prereq: MATH 1010 with a "C-" or better, or ACT MATH score of 23 or higher, or SAT score in MATH of 540 or better, AP Calculus score of at least 3 on the AB exam, orsatisfactory score on placement exam administered by USU Math Department. Graphing calculator required.</t>
  </si>
  <si>
    <t>Medical Terminology for Health Care Profs</t>
  </si>
  <si>
    <t>Business Correspondence</t>
  </si>
  <si>
    <t>Introduction to Personal Financial Planning</t>
  </si>
  <si>
    <t>Ceramics I</t>
  </si>
  <si>
    <t>Brake Systems</t>
  </si>
  <si>
    <t>Auto Refinishing</t>
  </si>
  <si>
    <t>AR</t>
  </si>
  <si>
    <t>Refinishing Skill Development</t>
  </si>
  <si>
    <t>Drawing 1</t>
  </si>
  <si>
    <t>Ceramics 1</t>
  </si>
  <si>
    <t>6</t>
  </si>
  <si>
    <t>2150L</t>
  </si>
  <si>
    <t>2670L</t>
  </si>
  <si>
    <t>3-D Design</t>
  </si>
  <si>
    <t>2620</t>
  </si>
  <si>
    <t>Engineering Technology Graphics</t>
  </si>
  <si>
    <t>1610</t>
  </si>
  <si>
    <t>HU</t>
  </si>
  <si>
    <t>Beginning Structural Construction</t>
  </si>
  <si>
    <t>Beginning Interior Finishes Theory</t>
  </si>
  <si>
    <t xml:space="preserve">Beginning Interior Finishes  </t>
  </si>
  <si>
    <t>BTEC</t>
  </si>
  <si>
    <t>Elementary Chemistry Lab</t>
  </si>
  <si>
    <t>ENVT</t>
  </si>
  <si>
    <t>FHS</t>
  </si>
  <si>
    <t>Personal Finance</t>
  </si>
  <si>
    <t>Aviation History</t>
  </si>
  <si>
    <t>Private Pilot Ground School</t>
  </si>
  <si>
    <t>FRN</t>
  </si>
  <si>
    <t>GERM</t>
  </si>
  <si>
    <t>Introductory Psychology</t>
  </si>
  <si>
    <t>Regional Geography</t>
  </si>
  <si>
    <t>Fitness for Life</t>
  </si>
  <si>
    <t>38010013075</t>
  </si>
  <si>
    <t>HLTH</t>
  </si>
  <si>
    <t xml:space="preserve">HUMA </t>
  </si>
  <si>
    <t>1350</t>
  </si>
  <si>
    <t>MA</t>
  </si>
  <si>
    <t>Manual Machining</t>
  </si>
  <si>
    <t xml:space="preserve">MAT  </t>
  </si>
  <si>
    <t>Machining Principles Lecture/Lab I</t>
  </si>
  <si>
    <t xml:space="preserve">Internet Sales and Service </t>
  </si>
  <si>
    <t>Automotive Electrical Systems</t>
  </si>
  <si>
    <t>Concrete and Construction Lab</t>
  </si>
  <si>
    <t>Cosmetology Lab</t>
  </si>
  <si>
    <t>Pointe and Variations</t>
  </si>
  <si>
    <t>Ballet III, Company Class</t>
  </si>
  <si>
    <t xml:space="preserve">Ballet Repertory Ensemble </t>
  </si>
  <si>
    <t>Heavyduty Chassis and Power Train Theory</t>
  </si>
  <si>
    <t>Fundamentals of Welding Lab</t>
  </si>
  <si>
    <t>Business Management Accounting</t>
  </si>
  <si>
    <t>BMGT</t>
  </si>
  <si>
    <t>Advanced Word Processing</t>
  </si>
  <si>
    <t>Business Communications</t>
  </si>
  <si>
    <t>Desktop Publishing</t>
  </si>
  <si>
    <t>Presentations for Business</t>
  </si>
  <si>
    <t>Principles of Chemistry</t>
  </si>
  <si>
    <t>DRFT</t>
  </si>
  <si>
    <t>USOE Course Title                                               Assignment Names Updated 04/26/2005</t>
  </si>
  <si>
    <t>Course No.</t>
  </si>
  <si>
    <t>Special Projects</t>
  </si>
  <si>
    <t>3 Dimensional Computer Modeling</t>
  </si>
  <si>
    <t>Classic Myths and Folktales</t>
  </si>
  <si>
    <t>Statistics Elective CE</t>
  </si>
  <si>
    <t>Students must also register for BIO 1615.</t>
  </si>
  <si>
    <t>Students must also register for BIO 1610.</t>
  </si>
  <si>
    <t>Prereq: BIO 1610 and 1615.  Students must also register for BIO 1625.</t>
  </si>
  <si>
    <t>Prereq: BIO 1610 and 1615.  Students must also register for BIO 1620.</t>
  </si>
  <si>
    <t>Prereq: BIO 1610, 1615, CHEM 1010, and Intermediate Algebra competency. Students must also register for BIO 2035.</t>
  </si>
  <si>
    <t>Used with the prefix to list courses in catalogs.  1000 and 2000 level numbers identify lower division offerings; numbers 3000 and higher identify upper division offerings.</t>
  </si>
  <si>
    <t>Title of the college course.</t>
  </si>
  <si>
    <t>College Semester Hours</t>
  </si>
  <si>
    <t>Ceramics I CE</t>
  </si>
  <si>
    <t>02010013046</t>
  </si>
  <si>
    <t>Drawing II CE</t>
  </si>
  <si>
    <t>Drawing I CE</t>
  </si>
  <si>
    <t>Art Foundations II CE</t>
  </si>
  <si>
    <t>Painting I CE</t>
  </si>
  <si>
    <t>Painting II CE</t>
  </si>
  <si>
    <t>Calligraphy &amp; Signmaking CE</t>
  </si>
  <si>
    <t>Dance II B CE</t>
  </si>
  <si>
    <t>Dance III A CE</t>
  </si>
  <si>
    <t>Theater Foundations II CE</t>
  </si>
  <si>
    <t>Orchestra II CE</t>
  </si>
  <si>
    <t>Navajo -First Year CE</t>
  </si>
  <si>
    <t>Algebra 2 (9-12) CE</t>
  </si>
  <si>
    <t>Precalculus Elective CE</t>
  </si>
  <si>
    <t>US National Government CE</t>
  </si>
  <si>
    <t>Parapro Exp. At Risk CE</t>
  </si>
  <si>
    <t>Advanced Agricultural Mech CE</t>
  </si>
  <si>
    <t>Applied Ornamental Horticulture CE</t>
  </si>
  <si>
    <t>Nursery Operations &amp; Landscape Mgt CE</t>
  </si>
  <si>
    <t>Floriculture &amp; Greenhouse Mgt CE</t>
  </si>
  <si>
    <t>Agric Science &amp; Tech Applic CE</t>
  </si>
  <si>
    <t>Accounting IV CE</t>
  </si>
  <si>
    <t>Business Communications I CE</t>
  </si>
  <si>
    <t>Desktop Publishing I CE</t>
  </si>
  <si>
    <t>Desktop Publishing II CE</t>
  </si>
  <si>
    <t>Economics- Business CE</t>
  </si>
  <si>
    <t>Electronics Sprdsts &amp; Databases CE</t>
  </si>
  <si>
    <t>Advncd Business WebPage Design CE</t>
  </si>
  <si>
    <t xml:space="preserve">Keyboarding I CE </t>
  </si>
  <si>
    <t>Word Processing - Basics CE</t>
  </si>
  <si>
    <t>Child Care I CE</t>
  </si>
  <si>
    <t>Cisco Cert Network Assoc (CCNA) CE</t>
  </si>
  <si>
    <t>Microsoft Certified Pro MCP CE</t>
  </si>
  <si>
    <t>A+ (Computer Repair/Maint) CE</t>
  </si>
  <si>
    <t>Multimedia I -Design &amp; Devel CE</t>
  </si>
  <si>
    <t>Multimedia II- Production CE</t>
  </si>
  <si>
    <t>Computer Programming I CE</t>
  </si>
  <si>
    <t>Computer Programming II CE</t>
  </si>
  <si>
    <t>Emergency Medical Tech (EMT) CE</t>
  </si>
  <si>
    <t>Exercise Science / Sports Med CE</t>
  </si>
  <si>
    <t>Intro to Emergency Medical Svc CE</t>
  </si>
  <si>
    <t>e-Commerce Marketing CE</t>
  </si>
  <si>
    <t>Digital Electronics- PLTW CE</t>
  </si>
  <si>
    <t>Physics with Technology 2 CE</t>
  </si>
  <si>
    <t>Intro to Graphics Communicat CE</t>
  </si>
  <si>
    <t>Advan Graphic Communications CE</t>
  </si>
  <si>
    <t>Furniture Design &amp; Manufactg CE</t>
  </si>
  <si>
    <t>Design and Visual Commun CE</t>
  </si>
  <si>
    <t>32.9902</t>
  </si>
  <si>
    <t>Prereq: HTHS 1105.</t>
  </si>
  <si>
    <t xml:space="preserve">Intro to Mechanical Engineering Technology and Design </t>
  </si>
  <si>
    <t>METO</t>
  </si>
  <si>
    <t>Principles of Leadership</t>
  </si>
  <si>
    <t>35020013070</t>
  </si>
  <si>
    <t>Ground Private Pilot</t>
  </si>
  <si>
    <t>Elementary Bio-Organic Chemistry Lab</t>
  </si>
  <si>
    <t>Elementary Bio-Organic Chemistry</t>
  </si>
  <si>
    <t>37010013060</t>
  </si>
  <si>
    <t>32020013191</t>
  </si>
  <si>
    <t>40100013042</t>
  </si>
  <si>
    <t>40100013044</t>
  </si>
  <si>
    <t>09050013090</t>
  </si>
  <si>
    <t>INFO</t>
  </si>
  <si>
    <t>History of Civilization I</t>
  </si>
  <si>
    <t>History of Civilization II</t>
  </si>
  <si>
    <t>Prereq: DRFT 1007</t>
  </si>
  <si>
    <t>1090</t>
  </si>
  <si>
    <t>Earth Systems (How the Earth Works)</t>
  </si>
  <si>
    <t>Sports Injuries</t>
  </si>
  <si>
    <t>Intro to Fashion Merchandising</t>
  </si>
  <si>
    <t>Intro to Microcomputer Applications</t>
  </si>
  <si>
    <t>Class Piano I First Year Keyboard Skills</t>
  </si>
  <si>
    <t xml:space="preserve">Prereq: Recommended: ACT of at least 14. </t>
  </si>
  <si>
    <t>Foundations of Business</t>
  </si>
  <si>
    <t xml:space="preserve">GEO </t>
  </si>
  <si>
    <t>College Biology I</t>
  </si>
  <si>
    <t>College Biology I Lab</t>
  </si>
  <si>
    <t>Prereq: MATH 1010 or equivalent and CHEM 1010 or high school chemistry.  Students must also register for CHEM 1110.</t>
  </si>
  <si>
    <t>Students must also register for GEO 1015.</t>
  </si>
  <si>
    <t>Students must also register for GEO 1010.</t>
  </si>
  <si>
    <t>Students must also register for GEO 1050.</t>
  </si>
  <si>
    <t>Students must also register for GEO 1055.</t>
  </si>
  <si>
    <t>Prereq: GERM 1010.</t>
  </si>
  <si>
    <t>Prereq: MATH 0990 or an ACT Math score of at least 18.</t>
  </si>
  <si>
    <t>Prereq: MATH 1020, MATH 1010 with a "C" or better or an ACT MATH score of at least 23, or equivalent.</t>
  </si>
  <si>
    <t>Prereq: MATH 1010 with a "C" or better or an ACT MATH score of at least 23, or equivalent.</t>
  </si>
  <si>
    <t>3100</t>
  </si>
  <si>
    <t>Prereq: SPAN 1010 or placement by exam.</t>
  </si>
  <si>
    <t>Shakespeare CE</t>
  </si>
  <si>
    <t>Automotive Technician CE</t>
  </si>
  <si>
    <t>Business Math CE</t>
  </si>
  <si>
    <t>Chemistry Elective CE</t>
  </si>
  <si>
    <t>Intro to Screen Printing CE</t>
  </si>
  <si>
    <t>Advanced Health Science CE</t>
  </si>
  <si>
    <t>Language Arts 12 CE</t>
  </si>
  <si>
    <t>Mathematics Elective CE</t>
  </si>
  <si>
    <t>Business Law CE</t>
  </si>
  <si>
    <t>Customer Service CE</t>
  </si>
  <si>
    <t>Marketing CE</t>
  </si>
  <si>
    <t>Retailing CE</t>
  </si>
  <si>
    <t>Physics No Lab CE</t>
  </si>
  <si>
    <t>Astronomy CE</t>
  </si>
  <si>
    <t>Physics Lab CE</t>
  </si>
  <si>
    <t>Web Development CE</t>
  </si>
  <si>
    <t>Architectural Drafting CE</t>
  </si>
  <si>
    <t>Drafting Design Technology CE</t>
  </si>
  <si>
    <t>CAD Drafting Technology CE</t>
  </si>
  <si>
    <t>Commercial Art CE</t>
  </si>
  <si>
    <t>Commercial Photography CE</t>
  </si>
  <si>
    <t>Cabinet Making and Millwork CE</t>
  </si>
  <si>
    <t>Biology Elective CE</t>
  </si>
  <si>
    <t>1100</t>
  </si>
  <si>
    <t>Cosmetology Theory II</t>
  </si>
  <si>
    <t>1200</t>
  </si>
  <si>
    <t>1210</t>
  </si>
  <si>
    <t>2200</t>
  </si>
  <si>
    <t>2240</t>
  </si>
  <si>
    <t>2310</t>
  </si>
  <si>
    <t>DSME</t>
  </si>
  <si>
    <t>2410</t>
  </si>
  <si>
    <t>2430</t>
  </si>
  <si>
    <t>ECON</t>
  </si>
  <si>
    <t>EDDT</t>
  </si>
  <si>
    <t>Western American Literature</t>
  </si>
  <si>
    <t>ENGL</t>
  </si>
  <si>
    <t>Shakespeare</t>
  </si>
  <si>
    <t>2010</t>
  </si>
  <si>
    <t>Physical Geography</t>
  </si>
  <si>
    <t>2500</t>
  </si>
  <si>
    <t>2610</t>
  </si>
  <si>
    <t>Foundations of Nutrition</t>
  </si>
  <si>
    <t>GEOG</t>
  </si>
  <si>
    <t>Emergency Medical Technician</t>
  </si>
  <si>
    <t>36010013080</t>
  </si>
  <si>
    <t>HIST</t>
  </si>
  <si>
    <t>Human Genetics</t>
  </si>
  <si>
    <t>Coll Sem Hrs.</t>
  </si>
  <si>
    <t>1220</t>
  </si>
  <si>
    <t>1250</t>
  </si>
  <si>
    <t>Human Anatomy</t>
  </si>
  <si>
    <t>2000</t>
  </si>
  <si>
    <t>Human Anatomy Lab</t>
  </si>
  <si>
    <t xml:space="preserve">MACH </t>
  </si>
  <si>
    <t>1140</t>
  </si>
  <si>
    <t>1160</t>
  </si>
  <si>
    <t>Calculus Techniques</t>
  </si>
  <si>
    <t xml:space="preserve">MATH </t>
  </si>
  <si>
    <t>Principles of Mathematics</t>
  </si>
  <si>
    <t>Intermediate Algebra</t>
  </si>
  <si>
    <t>Quantitative Reasoning</t>
  </si>
  <si>
    <t>1030</t>
  </si>
  <si>
    <t>College Algebra</t>
  </si>
  <si>
    <t>1050</t>
  </si>
  <si>
    <t>Trigonometry</t>
  </si>
  <si>
    <t>1060</t>
  </si>
  <si>
    <t>MINT</t>
  </si>
  <si>
    <t>2450</t>
  </si>
  <si>
    <t>MUSC</t>
  </si>
  <si>
    <t>1150</t>
  </si>
  <si>
    <t>Nursing Assistant</t>
  </si>
  <si>
    <t>1005</t>
  </si>
  <si>
    <t>Medical Terminology</t>
  </si>
  <si>
    <t>Electronics Technician CE</t>
  </si>
  <si>
    <t>Banking &amp; Finance CE</t>
  </si>
  <si>
    <t>Commercial Aircraft Pilot CE</t>
  </si>
  <si>
    <t>Western Civilization I</t>
  </si>
  <si>
    <t>Travel &amp; Tourism CE</t>
  </si>
  <si>
    <t>Fitness for Life CE</t>
  </si>
  <si>
    <t>Interior Design CE</t>
  </si>
  <si>
    <t>Human Development CE</t>
  </si>
  <si>
    <t>Geology CE</t>
  </si>
  <si>
    <t>World/Cultural Geography CE</t>
  </si>
  <si>
    <t>Auto Electrical and Electronics</t>
  </si>
  <si>
    <t>Special Projects (DEX)</t>
  </si>
  <si>
    <t>Manual Machining Lab</t>
  </si>
  <si>
    <t>Principles of Animal Science</t>
  </si>
  <si>
    <t>Cisco TCP/IP Routing Protocols and Routing Configuration</t>
  </si>
  <si>
    <t>Prereq: CCET 1040.</t>
  </si>
  <si>
    <t>Prereq: MATH 1010 or equivalent and CHEM 1010 or high school chemistry.  Students must also register for CHEM 1115.</t>
  </si>
  <si>
    <t>Accounting I CE</t>
  </si>
  <si>
    <t>Accounting II CE</t>
  </si>
  <si>
    <t>Course Prefix</t>
  </si>
  <si>
    <t>General Chemistry Lab II</t>
  </si>
  <si>
    <t>Broadcast Production and Performance</t>
  </si>
  <si>
    <t>Safety/Basic Engine Performance Theory</t>
  </si>
  <si>
    <t>Safety/Basic Engine Performance Lab</t>
  </si>
  <si>
    <t>Economics as  Social Science</t>
  </si>
  <si>
    <t xml:space="preserve">LIB </t>
  </si>
  <si>
    <t>Technical Drafting I</t>
  </si>
  <si>
    <t>Aviation Orientation</t>
  </si>
  <si>
    <t>Beginning French I</t>
  </si>
  <si>
    <t>Beginning French II</t>
  </si>
  <si>
    <t>Heavyduty Chassis and Power Train Lab</t>
  </si>
  <si>
    <t>Survey of British Literature I</t>
  </si>
  <si>
    <t>Child Guidance</t>
  </si>
  <si>
    <t>Latin American Civilizations to 1820</t>
  </si>
  <si>
    <t>American Civilizations</t>
  </si>
  <si>
    <t>First Year French I</t>
  </si>
  <si>
    <t>First Year Italian I</t>
  </si>
  <si>
    <t>First Year Italian II</t>
  </si>
  <si>
    <t>Human Genetics Lab</t>
  </si>
  <si>
    <t>Private Piano Instruction</t>
  </si>
  <si>
    <t>First Year Spanish I</t>
  </si>
  <si>
    <t>Digital Electronics - PLTW CE</t>
  </si>
  <si>
    <t>Electronic Commerce &amp; the Global Society</t>
  </si>
  <si>
    <t>2870</t>
  </si>
  <si>
    <t>65</t>
  </si>
  <si>
    <t>02030013001</t>
  </si>
  <si>
    <t>06010013110</t>
  </si>
  <si>
    <t>08020013060</t>
  </si>
  <si>
    <t>1-3</t>
  </si>
  <si>
    <t>Residential Cabinetry</t>
  </si>
  <si>
    <t>CAW</t>
  </si>
  <si>
    <t>Prereq: CHEM 1110. Students must also register for CHEM 1120 to earn Core science credit.</t>
  </si>
  <si>
    <t>Current Issues CE</t>
  </si>
  <si>
    <t>Intro to Statistical Inference</t>
  </si>
  <si>
    <t>Intro to Visual Art</t>
  </si>
  <si>
    <t xml:space="preserve">Intro to Engineering  </t>
  </si>
  <si>
    <t>Intro to Environmental Management</t>
  </si>
  <si>
    <t xml:space="preserve">Intro to Geology </t>
  </si>
  <si>
    <t>Intro to Geology Lab</t>
  </si>
  <si>
    <t>Intro to Comparative Politics</t>
  </si>
  <si>
    <t>Intro to Theater</t>
  </si>
  <si>
    <t>Intro to Film</t>
  </si>
  <si>
    <t>Intro to Anthropology</t>
  </si>
  <si>
    <t xml:space="preserve">Heredity  </t>
  </si>
  <si>
    <t>Anatomy and Physiology</t>
  </si>
  <si>
    <t>PE</t>
  </si>
  <si>
    <t>DSCU</t>
  </si>
  <si>
    <t>Intro to Biotechnology Lab</t>
  </si>
  <si>
    <t>Auto Electrical and Electronics Lab</t>
  </si>
  <si>
    <t>40080013035</t>
  </si>
  <si>
    <t>Construction Trades Foundation CE</t>
  </si>
  <si>
    <t>Construction Math</t>
  </si>
  <si>
    <t>Prereq: BCCM 2150 or equivalent.</t>
  </si>
  <si>
    <t>Prereq: BUED 1420 or equivalent.</t>
  </si>
  <si>
    <t>Prereq: CHEM 1210. Students must also register for CHEM 1225 to earn Core science credit.</t>
  </si>
  <si>
    <t>CSIS</t>
  </si>
  <si>
    <t>1550</t>
  </si>
  <si>
    <t>Principles of Chemistry I</t>
  </si>
  <si>
    <t>Chemical Principles Lab I</t>
  </si>
  <si>
    <t>Principles of Chemistry II</t>
  </si>
  <si>
    <t>Chemical Principles Lab II</t>
  </si>
  <si>
    <t>ETE</t>
  </si>
  <si>
    <t>Prereq: COMM 1020.</t>
  </si>
  <si>
    <t>10020013005</t>
  </si>
  <si>
    <t>Prereq: ART 1400.</t>
  </si>
  <si>
    <t>Prereq: Strongly Recommended - BIO 1010 and a DRP score of 77 or greater.</t>
  </si>
  <si>
    <t>Prereq: MATH 1000 or 1010.</t>
  </si>
  <si>
    <t>Cultural Anthropology</t>
  </si>
  <si>
    <t>Finish Lab</t>
  </si>
  <si>
    <t>Intro to html and Web Page Design</t>
  </si>
  <si>
    <t>Word Processing I (MS Word)</t>
  </si>
  <si>
    <t>Word Processing II (MS Word)</t>
  </si>
  <si>
    <t>Prereq: Successful completion of MATH 0990 is recommended. Students must also register for CHEM 1015 to earn Core science credit.</t>
  </si>
  <si>
    <t>Security</t>
  </si>
  <si>
    <t>US Economic History</t>
  </si>
  <si>
    <t>Prereq: EDDT 1010 or basic drafting knowledge.</t>
  </si>
  <si>
    <t>Literature</t>
  </si>
  <si>
    <t>Navajo Literature and Philosophy</t>
  </si>
  <si>
    <t>Intro to Word Processing</t>
  </si>
  <si>
    <t>Intro to Spreadsheets</t>
  </si>
  <si>
    <t>Marriage and Family Relationships</t>
  </si>
  <si>
    <t>Computer Literacy</t>
  </si>
  <si>
    <t>Shield Metal Arc Welding</t>
  </si>
  <si>
    <t>Beginning Gas Metal Arc Welding and Flux Cored Arc Welding</t>
  </si>
  <si>
    <t>Advanced Gas Metal Arc Welding and Flux Cored Arc Welding</t>
  </si>
  <si>
    <t>Beginning Structural Theory</t>
  </si>
  <si>
    <t>Broadcast Production Lab</t>
  </si>
  <si>
    <t>Human Development: Lifespan</t>
  </si>
  <si>
    <t>Sports &amp; Entertainment Marketing CE</t>
  </si>
  <si>
    <t>Entrepreneurship - Marketing CE</t>
  </si>
  <si>
    <t>37010013200</t>
  </si>
  <si>
    <t>08.0802</t>
  </si>
  <si>
    <t>Lifetime Wellness/Fitness</t>
  </si>
  <si>
    <t>Panel Replacement and Adjustment</t>
  </si>
  <si>
    <t>Welding and Cutting</t>
  </si>
  <si>
    <t>Computer Aided Drafting - AutoCAD</t>
  </si>
  <si>
    <t>Architectural Drafting</t>
  </si>
  <si>
    <t>38010013008</t>
  </si>
  <si>
    <t>21.0121</t>
  </si>
  <si>
    <t>NOTE: This course cannot replace the 9th and 10th grade required Health 2 course.</t>
  </si>
  <si>
    <t>Prereq: MATH 1060 with a "C" or better. NOTE: Taught on campus ONLY.</t>
  </si>
  <si>
    <t>Prereq: MATH 1010 with a "C" or better or ACT MATH score of 23 or higher. The prereq grade and ACT score are valid for up to two years of enrollment.</t>
  </si>
  <si>
    <t>Students must also register for NURS 1006 and 1007. A minimum of 80 hours is required for state certification.</t>
  </si>
  <si>
    <t>NOTE: NURS 1006 is part of the minimum of 80 hours state requirement.</t>
  </si>
  <si>
    <t>Prereq: BTEC 1010 and BIOL 1610. NOTE: Available only to preapproved schools.  If interested, contact SLCC.</t>
  </si>
  <si>
    <t>Prereq: BTEC 1020, 1060 and BIOL 2020. NOTE: Available only to preapproved schools.  If interested, contact SLCC.</t>
  </si>
  <si>
    <t>Prereq: BIOL 2020. NOTE: Available only to preapproved schools.  If interested, contact SLCC.</t>
  </si>
  <si>
    <t>Prereq: BTEC 2020. NOTE: Available only to preapproved schools.  If interested, contact SLCC.</t>
  </si>
  <si>
    <t>Prereq: PED 1010. Must also register for PED 2160. NOTE: Available only to preapproved schools.  If interested, contact SLCC.</t>
  </si>
  <si>
    <t>Prereq: PED 1010. Must also register for PED 2150. NOTE: Available only to preapproved schools.  If interested, contact SLCC.</t>
  </si>
  <si>
    <t>NOTE: Available only to preapproved schools.  If interested, contact SLCC.</t>
  </si>
  <si>
    <t>Production Practicum</t>
  </si>
  <si>
    <t>SNOW</t>
  </si>
  <si>
    <t>SUU</t>
  </si>
  <si>
    <t>1230</t>
  </si>
  <si>
    <t>NFS</t>
  </si>
  <si>
    <t>Intro to Meteorology</t>
  </si>
  <si>
    <t>Intro to Marketing</t>
  </si>
  <si>
    <t>Intro to Occupational Therapy</t>
  </si>
  <si>
    <t>Intro to Law</t>
  </si>
  <si>
    <t>Intro to Surgical Technology</t>
  </si>
  <si>
    <t xml:space="preserve">Intro to Computers and Business Applications </t>
  </si>
  <si>
    <t>Intro to Academic Writing</t>
  </si>
  <si>
    <t>Intro to Literature and Culture</t>
  </si>
  <si>
    <t>Intro to Economic Institutions, History and Principles</t>
  </si>
  <si>
    <t>Intro to Writing: Academic Prose</t>
  </si>
  <si>
    <t>Intro to Engineering Design</t>
  </si>
  <si>
    <t>Elementary Astronomy Lab</t>
  </si>
  <si>
    <t>Intro to Physics by Hands-on Exploration</t>
  </si>
  <si>
    <t>Intro to Horticulture</t>
  </si>
  <si>
    <t>Intro to International Politics</t>
  </si>
  <si>
    <t>Intro to Computers and Information Literacy</t>
  </si>
  <si>
    <t>Students must also register for BCCM 1060.</t>
  </si>
  <si>
    <t>Students must also register for BCCM 1040.</t>
  </si>
  <si>
    <t>Students must also register for BCCM 1160.</t>
  </si>
  <si>
    <t>Students must also register for BCCM 1140.</t>
  </si>
  <si>
    <t>Students must also register for BCCM 1260.</t>
  </si>
  <si>
    <t>Prereq: Recommended - BIO 2320, 2325 and CHEM 1010. Students must also register for BIO 2420 to earn Core science credit.</t>
  </si>
  <si>
    <t>Prereq: ENGL 0990 and CLSS 1170 each with a "C-" or better, or a COMPASS Writing/DPR score of 80+/77+, or ACT English/ACT Reading scores of 19+/19, or appropriate placement scores.</t>
  </si>
  <si>
    <t>Intermeidate Writing/Humanities/Social Sciences</t>
  </si>
  <si>
    <t>Web Application Design</t>
  </si>
  <si>
    <t xml:space="preserve">MAT </t>
  </si>
  <si>
    <t>Prereq: MAT 1000 or MAT 1010 with a "C" or better in the last two years, or an ACT MATH score of 23 within two years of enrollment.</t>
  </si>
  <si>
    <t>Prereq: MUSC 1100 or passing grade on Music program placement test.</t>
  </si>
  <si>
    <t>Ethics and Values</t>
  </si>
  <si>
    <t>Prereq: MAT 1010.</t>
  </si>
  <si>
    <t>Heavy Duty Truck Steering &amp; Suspension</t>
  </si>
  <si>
    <t>Automotive Engines</t>
  </si>
  <si>
    <t>Prereq: MATH 1050 and 1060 with a "C" or better, or an ACT MATH score of 28.</t>
  </si>
  <si>
    <t>Prereq: WRTG 1010 with a "C-" or better. This course is approved for elective credit in the 4th year.  NOTE: Some districts require four years of Language Arts, but the state has no 4th year requirement at this time.</t>
  </si>
  <si>
    <t>Digital Media Essentials I</t>
  </si>
  <si>
    <t>111L</t>
  </si>
  <si>
    <t>Understanding Literature</t>
  </si>
  <si>
    <t>ENGR</t>
  </si>
  <si>
    <t>French First Year I</t>
  </si>
  <si>
    <t>French First Year II</t>
  </si>
  <si>
    <t>Introduction to Education CE</t>
  </si>
  <si>
    <t>09050013050</t>
  </si>
  <si>
    <t>Automotive Braking Systems</t>
  </si>
  <si>
    <t>Steering and Suspension Systems</t>
  </si>
  <si>
    <t>Prereq: FRCH 1010.</t>
  </si>
  <si>
    <t>Prereq: GRMN 1010.</t>
  </si>
  <si>
    <t xml:space="preserve">Students must also register for MFET 2150L. </t>
  </si>
  <si>
    <t xml:space="preserve">Students must also register for MFET 2150. </t>
  </si>
  <si>
    <t>Prereq: English ACT of 17 or better.</t>
  </si>
  <si>
    <t xml:space="preserve"> Western Civilization I</t>
  </si>
  <si>
    <t>Western Civilization II</t>
  </si>
  <si>
    <t>Statistics</t>
  </si>
  <si>
    <t>Scientific Foundations of Human Nutrition</t>
  </si>
  <si>
    <t>Acting I</t>
  </si>
  <si>
    <t>WRTG</t>
  </si>
  <si>
    <t>Intermediate Writing: Academic Writing and Research</t>
  </si>
  <si>
    <t>Prereq: BUED 1420 or instructor permission.</t>
  </si>
  <si>
    <t>Prereq: BUED 1420.</t>
  </si>
  <si>
    <t>Prereq: MATH 1010 or equivalent.  Students must also register for CHEM 1015.</t>
  </si>
  <si>
    <t>Prereq: MATH 1010 or equivalent.  Students must also register for CHEM 1010.</t>
  </si>
  <si>
    <t>Emergency Medical Training</t>
  </si>
  <si>
    <t>Technology Enhanced Anatomy and Physiology-Part I</t>
  </si>
  <si>
    <t>ARTH</t>
  </si>
  <si>
    <t>08040013020</t>
  </si>
  <si>
    <t>SS</t>
  </si>
  <si>
    <t>FA</t>
  </si>
  <si>
    <t>IR</t>
  </si>
  <si>
    <t>PS</t>
  </si>
  <si>
    <t>Criminal Law</t>
  </si>
  <si>
    <t>Criminal Investigations</t>
  </si>
  <si>
    <t>Laws of Evidence</t>
  </si>
  <si>
    <t>The last date higher education course materials (syllabus, textbook, curriculum documents) were reviewed by a USOE curriculum specialist for alignment with the USOE Core curriculum.</t>
  </si>
  <si>
    <t>Date Set for Next Review</t>
  </si>
  <si>
    <t>46.0000</t>
  </si>
  <si>
    <t>The number of semester credit hours awarded form completing the course.</t>
  </si>
  <si>
    <t>Last Date Reviewed</t>
  </si>
  <si>
    <t xml:space="preserve">Introduction to Quantitative Reasoning </t>
  </si>
  <si>
    <t>Introduction to Ceramics</t>
  </si>
  <si>
    <t>Computer Architecture &amp; Systems Software</t>
  </si>
  <si>
    <t>35010013025</t>
  </si>
  <si>
    <t>11.9940</t>
  </si>
  <si>
    <t>Linux Fundamentals CE</t>
  </si>
  <si>
    <t>Basic Computer Applications 2</t>
  </si>
  <si>
    <t>Introduction to Paraeducation</t>
  </si>
  <si>
    <t>Introductory Experience</t>
  </si>
  <si>
    <t xml:space="preserve">Introductory Experience Practicum </t>
  </si>
  <si>
    <t>Integrating Office Technology</t>
  </si>
  <si>
    <t>02010013160</t>
  </si>
  <si>
    <t>02020013024</t>
  </si>
  <si>
    <t>02020013028</t>
  </si>
  <si>
    <t>02020013060</t>
  </si>
  <si>
    <t>02030013002</t>
  </si>
  <si>
    <t>32020013310</t>
  </si>
  <si>
    <t>37010013025</t>
  </si>
  <si>
    <t>Principles of Salesmanship</t>
  </si>
  <si>
    <t>08.0710</t>
  </si>
  <si>
    <t>Framing Lab</t>
  </si>
  <si>
    <t>BCIS</t>
  </si>
  <si>
    <t>Survey of Accounting</t>
  </si>
  <si>
    <t>ESOL</t>
  </si>
  <si>
    <t>Academic Reading</t>
  </si>
  <si>
    <t>Academic Writing</t>
  </si>
  <si>
    <t>Grammar</t>
  </si>
  <si>
    <t xml:space="preserve"> </t>
  </si>
  <si>
    <t>Advanced Arc Welding A</t>
  </si>
  <si>
    <t>Advanced Arc Welding B</t>
  </si>
  <si>
    <t>Drugs, Behavior &amp; Society</t>
  </si>
  <si>
    <t>Photography I</t>
  </si>
  <si>
    <t>Fundamentals of Music</t>
  </si>
  <si>
    <t>Human Physiology Lab</t>
  </si>
  <si>
    <t>Elementary Typewriting and Keyboarding</t>
  </si>
  <si>
    <t>Public Communications</t>
  </si>
  <si>
    <t>FAML</t>
  </si>
  <si>
    <t>BT</t>
  </si>
  <si>
    <t>Introductory Chemistry</t>
  </si>
  <si>
    <t>Introductory Chemistry Lab</t>
  </si>
  <si>
    <t>Peoples and Places of the World</t>
  </si>
  <si>
    <t>Survey of Fire and Rescue Emergency Services</t>
  </si>
  <si>
    <t>FSF</t>
  </si>
  <si>
    <t>Emergency Medical Technician-Basic</t>
  </si>
  <si>
    <t>Wildland Firefighting Fundamentals</t>
  </si>
  <si>
    <t>GEO</t>
  </si>
  <si>
    <t>Intermediate German I</t>
  </si>
  <si>
    <t>Foundations of Human Nutrition</t>
  </si>
  <si>
    <t>First Aid</t>
  </si>
  <si>
    <t>Medical Terminology I</t>
  </si>
  <si>
    <t>Food Production Principles</t>
  </si>
  <si>
    <t>HM</t>
  </si>
  <si>
    <t>Food and Beverage Management</t>
  </si>
  <si>
    <t>American Sign Language 2</t>
  </si>
  <si>
    <t>American Sign Language 1</t>
  </si>
  <si>
    <t>1510</t>
  </si>
  <si>
    <t>1511</t>
  </si>
  <si>
    <t>1521</t>
  </si>
  <si>
    <t>1520</t>
  </si>
  <si>
    <t>1531</t>
  </si>
  <si>
    <t>1530</t>
  </si>
  <si>
    <t>02040313010</t>
  </si>
  <si>
    <t>02030013040</t>
  </si>
  <si>
    <t>SURG</t>
  </si>
  <si>
    <t>36010013250</t>
  </si>
  <si>
    <t>Human Factors and Safety</t>
  </si>
  <si>
    <t>41000013050</t>
  </si>
  <si>
    <t>Finance Co-Op Education</t>
  </si>
  <si>
    <t>RUSS</t>
  </si>
  <si>
    <t>The next anticipated date for an alignment review.  All curriculum is reviewed periodically.  Reviews may be triggered by a change in the Core curriculum and/or the higher education curriculum.</t>
  </si>
  <si>
    <t>Nucleic Acid and Protein Biochemistry</t>
  </si>
  <si>
    <t>Electricity 1A Apprenticeship</t>
  </si>
  <si>
    <t>Basic Music Theory I</t>
  </si>
  <si>
    <t>Intro to Transportation Technology</t>
  </si>
  <si>
    <t>CAD Level I/Intro to CAD</t>
  </si>
  <si>
    <t>Intro to Writing</t>
  </si>
  <si>
    <t>Intro to Poetry</t>
  </si>
  <si>
    <t>Intro to Literature</t>
  </si>
  <si>
    <t>Intro to Geology</t>
  </si>
  <si>
    <t>Course Title</t>
  </si>
  <si>
    <t>HE GenEd Code</t>
  </si>
  <si>
    <t>Anthropology Elective CE</t>
  </si>
  <si>
    <t>Economics Elective CE</t>
  </si>
  <si>
    <t>History Elective CE</t>
  </si>
  <si>
    <t>Social Studies Elective CE</t>
  </si>
  <si>
    <t>Political Science Elective CE</t>
  </si>
  <si>
    <t>Western Civilization II CE</t>
  </si>
  <si>
    <t>American Civilization CE</t>
  </si>
  <si>
    <t>Physics with Lab CE</t>
  </si>
  <si>
    <t>Biology with Lab CE</t>
  </si>
  <si>
    <t xml:space="preserve">Chemistry with Lab CE </t>
  </si>
  <si>
    <t>Prereq: FREN 1010 or equivalent.</t>
  </si>
  <si>
    <t>1125</t>
  </si>
  <si>
    <t>Students must also register for CHEM 1125  to earn Core science credit.</t>
  </si>
  <si>
    <t>Students must also register for CHEM 1120  to earn Core science credit.</t>
  </si>
  <si>
    <t>USOE Course Title                                                Assignment Names Updated 04/26/2005</t>
  </si>
  <si>
    <t>HE  GenEd Code</t>
  </si>
  <si>
    <t>Color Legend</t>
  </si>
  <si>
    <t>Human Physiology CE</t>
  </si>
  <si>
    <t>Pre-engineering Technology CE</t>
  </si>
  <si>
    <t>Computer Literacy CE</t>
  </si>
  <si>
    <t xml:space="preserve">Students must have access to supervised lab experience. </t>
  </si>
  <si>
    <t>Prereq: 2.0 GPA with 20 hours/week study related work.</t>
  </si>
  <si>
    <t>Suspension and Steering Systems</t>
  </si>
  <si>
    <t>Heredity</t>
  </si>
  <si>
    <t>Mill Working and Safety Shop I</t>
  </si>
  <si>
    <t>Prereq: MATH 0990 or higher.  Strongly Recommended - CS 1030.</t>
  </si>
  <si>
    <t>Survey of Theatre</t>
  </si>
  <si>
    <t>Beginning German I</t>
  </si>
  <si>
    <t>49.0102</t>
  </si>
  <si>
    <t>50.0406</t>
  </si>
  <si>
    <t>50.0402</t>
  </si>
  <si>
    <t>Applied Business Accounting</t>
  </si>
  <si>
    <t>Human Relations</t>
  </si>
  <si>
    <t>Spreadsheet Applications</t>
  </si>
  <si>
    <t>Business Law</t>
  </si>
  <si>
    <t>Principles of Display</t>
  </si>
  <si>
    <t>Communication Design</t>
  </si>
  <si>
    <t>Interpersonal Communications</t>
  </si>
  <si>
    <t>Basic Drafting</t>
  </si>
  <si>
    <t>Russia First Year II</t>
  </si>
  <si>
    <t>.02020013030</t>
  </si>
  <si>
    <t>Social Dance CE</t>
  </si>
  <si>
    <t>Prereq: TBE 2200.</t>
  </si>
  <si>
    <t>Prereq: TBE 2300.</t>
  </si>
  <si>
    <t>Mill Working Shop II</t>
  </si>
  <si>
    <t>8</t>
  </si>
  <si>
    <t>German First Year I</t>
  </si>
  <si>
    <t>German First Year II</t>
  </si>
  <si>
    <t>Foundations of Western Civilization: Ancient and Medieval</t>
  </si>
  <si>
    <t>Foundations of Western Civilization: Modern</t>
  </si>
  <si>
    <t>Computer-Aided Drafting and Design</t>
  </si>
  <si>
    <t xml:space="preserve">Intermediate Algebra </t>
  </si>
  <si>
    <t>Multivariable Calculus</t>
  </si>
  <si>
    <t>Oxy-Acetylene Welding and Cutting Processes</t>
  </si>
  <si>
    <t>Shielded Metal Arc Welding (SMAW)</t>
  </si>
  <si>
    <t>Heavy Duty Truck Drive Mechanisms</t>
  </si>
  <si>
    <t>Students must also register for CHEM 1015  to earn Core science credit.</t>
  </si>
  <si>
    <t>1025</t>
  </si>
  <si>
    <t>Human Biology Lab</t>
  </si>
  <si>
    <t>Geology of National Parks</t>
  </si>
  <si>
    <t>1055</t>
  </si>
  <si>
    <t>EDUC</t>
  </si>
  <si>
    <t>Exploring Teaching</t>
  </si>
  <si>
    <t>Geology of National Parks Lab</t>
  </si>
  <si>
    <t>Integrated Physical Science</t>
  </si>
  <si>
    <t>07040013010</t>
  </si>
  <si>
    <t>07040013020</t>
  </si>
  <si>
    <t xml:space="preserve">General Biology I  </t>
  </si>
  <si>
    <t>General Biology I Lab</t>
  </si>
  <si>
    <t>AT</t>
  </si>
  <si>
    <t>Natural History Studies</t>
  </si>
  <si>
    <t>Computer Aided Design</t>
  </si>
  <si>
    <t xml:space="preserve">Emergency Medical Technician-Basic </t>
  </si>
  <si>
    <t>32020013040</t>
  </si>
  <si>
    <t>40130013001</t>
  </si>
  <si>
    <t>Engineering in the 21st Century</t>
  </si>
  <si>
    <t>Certified Nursing Assistant (Lab)</t>
  </si>
  <si>
    <t>Certified Nursing Assistant (Clinical)</t>
  </si>
  <si>
    <t>Calligraphy-Design and History</t>
  </si>
  <si>
    <t>Web Site Design</t>
  </si>
  <si>
    <t>Digital Media Essentials</t>
  </si>
  <si>
    <t>Special Topics in Multimedia</t>
  </si>
  <si>
    <t>Students must also register for BCCM 1240.</t>
  </si>
  <si>
    <t>Intro to Biology</t>
  </si>
  <si>
    <t>Intro to Biology Lab</t>
  </si>
  <si>
    <t>Prereq: CHEM 1210 with a "C" or better. Students must also register for CHEM 1225 to earn Core science credit.</t>
  </si>
  <si>
    <t>Students must also register for CHEM 1220  to earn Core science credit.</t>
  </si>
  <si>
    <t>Intro to Communication</t>
  </si>
  <si>
    <t>Intro to Computer Applications and the Internet</t>
  </si>
  <si>
    <t>Descriptive Geometry</t>
  </si>
  <si>
    <t>Economics as Social Science</t>
  </si>
  <si>
    <t>Humanity in the Food Web</t>
  </si>
  <si>
    <t>Microcomputer Applications</t>
  </si>
  <si>
    <t>Spreadsheets and Databases</t>
  </si>
  <si>
    <t>TBE</t>
  </si>
  <si>
    <t>1701</t>
  </si>
  <si>
    <t>1702</t>
  </si>
  <si>
    <t>1703</t>
  </si>
  <si>
    <t>2532</t>
  </si>
  <si>
    <t>Y</t>
  </si>
  <si>
    <t>N</t>
  </si>
  <si>
    <t>Safety / Basic Diesel Theory</t>
  </si>
  <si>
    <t>Safety / Basic Diesel Lab</t>
  </si>
  <si>
    <t>DST</t>
  </si>
  <si>
    <t>CEU</t>
  </si>
  <si>
    <t>ANTH</t>
  </si>
  <si>
    <t>1010</t>
  </si>
  <si>
    <t>ART</t>
  </si>
  <si>
    <t>AUTO</t>
  </si>
  <si>
    <t>1000</t>
  </si>
  <si>
    <t>1300</t>
  </si>
  <si>
    <t>BCCM</t>
  </si>
  <si>
    <t>1400</t>
  </si>
  <si>
    <t>BUSN</t>
  </si>
  <si>
    <t>Financial Accounting</t>
  </si>
  <si>
    <t>1111</t>
  </si>
  <si>
    <t>04020013030</t>
  </si>
  <si>
    <t>09090013010</t>
  </si>
  <si>
    <t>09070013010</t>
  </si>
  <si>
    <t>CHEM</t>
  </si>
  <si>
    <t>1330</t>
  </si>
  <si>
    <t>1340</t>
  </si>
  <si>
    <t>2330</t>
  </si>
  <si>
    <t>2340</t>
  </si>
  <si>
    <t>2350</t>
  </si>
  <si>
    <t>COMM</t>
  </si>
  <si>
    <t>1500</t>
  </si>
  <si>
    <t>Cosmetology Theory I</t>
  </si>
  <si>
    <t>COST</t>
  </si>
  <si>
    <t>Social and Behavioral Science</t>
  </si>
  <si>
    <t>09</t>
  </si>
  <si>
    <t>Elementary Chemistry</t>
  </si>
  <si>
    <t xml:space="preserve">Nutrition   </t>
  </si>
  <si>
    <t>Physics with Technology CE</t>
  </si>
  <si>
    <t>210105</t>
  </si>
  <si>
    <t>210106</t>
  </si>
  <si>
    <t>Unique Institution Requirements</t>
  </si>
  <si>
    <t>34</t>
  </si>
  <si>
    <t>35</t>
  </si>
  <si>
    <t>36</t>
  </si>
  <si>
    <t>37</t>
  </si>
  <si>
    <t>38</t>
  </si>
  <si>
    <t>Coreq: AVSC 1110. Concurrent students complete AVSC 1110 after 1100.  AVSC 1110, which involves dual flight instruction, is not offered for concurrent enrollment.</t>
  </si>
  <si>
    <t>Prereq: ENGL 1010, which may be taken concurrently.</t>
  </si>
  <si>
    <t>Juvenile Justice</t>
  </si>
  <si>
    <t>Intro to Marine Biology</t>
  </si>
  <si>
    <t>Intro to Marine Biology Lab</t>
  </si>
  <si>
    <t>Intro to Food Service</t>
  </si>
  <si>
    <t>Intro to Corrections</t>
  </si>
  <si>
    <t>Intro to Forensic Science</t>
  </si>
  <si>
    <t>Students must also register for CHEM 1210 to earn Core science credit.</t>
  </si>
  <si>
    <t>Students must also register for CHEM 1220 to earn Core science credit.</t>
  </si>
  <si>
    <t>Coreq: MATH 1010 or equivalent.</t>
  </si>
  <si>
    <t>Software Development</t>
  </si>
  <si>
    <t>Prereq: CS 1400 and MATH 1080.</t>
  </si>
  <si>
    <t>Prereq: CS 1030.</t>
  </si>
  <si>
    <t xml:space="preserve">Dynamic Earth: Physical Geology </t>
  </si>
  <si>
    <t>40130013020</t>
  </si>
  <si>
    <t>Related Work-Based Learning CE</t>
  </si>
  <si>
    <t>Biotechnology Seminar I</t>
  </si>
  <si>
    <t>Marine Biology / Oceanography CE</t>
  </si>
  <si>
    <t>Food Service / Culinary Arts CE</t>
  </si>
  <si>
    <t>Prereq: MATH 1010. Students must also register for PHYS 1015  to earn Core science credit.</t>
  </si>
  <si>
    <t>Prereq: MATH 1010.  Students must also register for PHYS 1010  to earn Core science credit.</t>
  </si>
  <si>
    <t>UVU</t>
  </si>
  <si>
    <t>Logical Analysis and Program Design</t>
  </si>
  <si>
    <t>Course must be taught for one year and carries 1 high school unit.</t>
  </si>
  <si>
    <t>Coruse carries .5 units high school credit</t>
  </si>
  <si>
    <t>Networking Technologies</t>
  </si>
  <si>
    <t>35010013001</t>
  </si>
  <si>
    <t>11.0410</t>
  </si>
  <si>
    <t>Certified Novell Administrator CE</t>
  </si>
  <si>
    <t>141R</t>
  </si>
  <si>
    <t xml:space="preserve">DANC </t>
  </si>
  <si>
    <t>Beginning Modern Dance</t>
  </si>
  <si>
    <t>Dance IIIA CE</t>
  </si>
  <si>
    <t>Introduction to Modern Dance Technique and Theory</t>
  </si>
  <si>
    <t>02020013020</t>
  </si>
  <si>
    <t>Dance IIA CE</t>
  </si>
  <si>
    <t>EDEL</t>
  </si>
  <si>
    <t>Introduction to Education</t>
  </si>
  <si>
    <t>FLM</t>
  </si>
  <si>
    <t>Precalculus with Trigonometry</t>
  </si>
  <si>
    <t>Calculus III</t>
  </si>
  <si>
    <t xml:space="preserve">Prereq: A "B" or better in MATH 1010 OR a placement test scoer of 25 or better OR successful precalculus experience more than two years ago.  </t>
  </si>
  <si>
    <t>Prereq: A "C" or better in MATH 1050 and 1060 or at least 2 1/2 years algebra, 1 year geometry,and 1/2 year trigonometry.   A graphing calculator is required.</t>
  </si>
  <si>
    <t>Prereq: A "C" or better in MATH 1210 or high school AP Calculus.</t>
  </si>
  <si>
    <t>Prereq: A "C" or better in MATH 1220.</t>
  </si>
  <si>
    <t>Prereq: ZOOL 1090 or instructor permission.  This class replaces PES 2500 and 2510.</t>
  </si>
  <si>
    <t>CHIN</t>
  </si>
  <si>
    <t>Introduction to Mandarin Chinese</t>
  </si>
  <si>
    <t>03020013031</t>
  </si>
  <si>
    <t>Chinese 1010 CE</t>
  </si>
  <si>
    <t>03010013031</t>
  </si>
  <si>
    <t>ASL 1010 CE</t>
  </si>
  <si>
    <t>03010013041</t>
  </si>
  <si>
    <t>ASL 1020 CE</t>
  </si>
  <si>
    <t>Prereq: ASL 1010.</t>
  </si>
  <si>
    <t>Beginning American Sign Language II</t>
  </si>
  <si>
    <t>03010013051</t>
  </si>
  <si>
    <t>ASL 2010 CE</t>
  </si>
  <si>
    <t>Intermediate American Sign Language I</t>
  </si>
  <si>
    <t>03030013041</t>
  </si>
  <si>
    <t>French 1020 CE</t>
  </si>
  <si>
    <t>French 1010 CE</t>
  </si>
  <si>
    <t>03170013041</t>
  </si>
  <si>
    <t>Italian 1020 CE</t>
  </si>
  <si>
    <t>03170013031</t>
  </si>
  <si>
    <t>Italian 1010 CE</t>
  </si>
  <si>
    <t>03070013041</t>
  </si>
  <si>
    <t>Spanish 1020 CE</t>
  </si>
  <si>
    <t>03070013031</t>
  </si>
  <si>
    <t>Spanish 1010 CE</t>
  </si>
  <si>
    <t>03060013031</t>
  </si>
  <si>
    <t>Russian 1010 CE</t>
  </si>
  <si>
    <t>03060013041</t>
  </si>
  <si>
    <t>Russian 1020 CE</t>
  </si>
  <si>
    <t>03040013031</t>
  </si>
  <si>
    <t>German 1010 CE</t>
  </si>
  <si>
    <t>03040013041</t>
  </si>
  <si>
    <t>German 1020 CE</t>
  </si>
  <si>
    <t>Prereq: RUS 1010.</t>
  </si>
  <si>
    <t>03030013051</t>
  </si>
  <si>
    <t>French 2010 CE</t>
  </si>
  <si>
    <t>03070013051</t>
  </si>
  <si>
    <t>Spanish 2010 CE</t>
  </si>
  <si>
    <t>03040013051</t>
  </si>
  <si>
    <t>German 2010 CE</t>
  </si>
  <si>
    <t>Reason for removal of class from Master List</t>
  </si>
  <si>
    <t>06010013100</t>
  </si>
  <si>
    <t>Introduction to Public Speaking</t>
  </si>
  <si>
    <t>Interpersonal and Small Group Communications</t>
  </si>
  <si>
    <t>Speedbuilding Keyboarding</t>
  </si>
  <si>
    <t>Brakes - Theory</t>
  </si>
  <si>
    <t>Brakes - Lab</t>
  </si>
  <si>
    <t>Automotive Fundamentals</t>
  </si>
  <si>
    <t>CMT</t>
  </si>
  <si>
    <t>EDSC</t>
  </si>
  <si>
    <t>Basic Cabinet Making and Millwork</t>
  </si>
  <si>
    <t>Cabinet Making and Millworking CE</t>
  </si>
  <si>
    <t>Introduction to Transportation Technlogy</t>
  </si>
  <si>
    <t>Suspension and Steering - Theory</t>
  </si>
  <si>
    <t>Suspension and Steering Lab</t>
  </si>
  <si>
    <t>Literature CE</t>
  </si>
  <si>
    <t>Advanced CAD</t>
  </si>
  <si>
    <t>Approved for .5 high school units.</t>
  </si>
  <si>
    <t>Architectural Drafting (Residntl Constr Docs)</t>
  </si>
  <si>
    <t>Prereq: DRFT 1010 and 1100.</t>
  </si>
  <si>
    <t>Mechincal CAD Drafting</t>
  </si>
  <si>
    <t>Prereq: DRF 1310 and 1312.</t>
  </si>
  <si>
    <t>Intro to CAD/CAM Engneering Technology</t>
  </si>
  <si>
    <t>Content Area Tutoring</t>
  </si>
  <si>
    <t>Paraprofessional Intro CE</t>
  </si>
  <si>
    <t>Residential Constr Materials and Methods</t>
  </si>
  <si>
    <t>Principles of Biology I Lab</t>
  </si>
  <si>
    <t>Principles of Biology I</t>
  </si>
  <si>
    <t>0802013010</t>
  </si>
  <si>
    <t>Students taking only the class will earn elective credit.</t>
  </si>
  <si>
    <t>Elementary General/Organic Chemistry</t>
  </si>
  <si>
    <t>Elementary General/Organic Chemistry Lab</t>
  </si>
  <si>
    <t>General Biology II</t>
  </si>
  <si>
    <t>General Biology II Lab</t>
  </si>
  <si>
    <t>Students must also register for BIOL 1625 to earn core science credit.</t>
  </si>
  <si>
    <t>Students must also register for BIOL 1620 to earn core science credit. Students may NOT register for BIOL 1615 ONLY.</t>
  </si>
  <si>
    <t>Organic Chemistry I</t>
  </si>
  <si>
    <t>Organic Chemistry II</t>
  </si>
  <si>
    <t>Prereq: CHEM 1220.</t>
  </si>
  <si>
    <t>Prereq:  CHEM 2310.</t>
  </si>
  <si>
    <t>Earthquakes, Volcanes, Natural Hazards</t>
  </si>
  <si>
    <t>General Physics I</t>
  </si>
  <si>
    <t>Physics no Lab CE</t>
  </si>
  <si>
    <t>ADVS</t>
  </si>
  <si>
    <t>Introduction to Animal Science</t>
  </si>
  <si>
    <t>30020013001</t>
  </si>
  <si>
    <t>02.0241</t>
  </si>
  <si>
    <t>Advanced Animal Sci &amp; Tech CE</t>
  </si>
  <si>
    <t>US National Government  CE</t>
  </si>
  <si>
    <t>Earth Systems (How the Earth Works) Lab</t>
  </si>
  <si>
    <t>Students must also register for GEO 1095.</t>
  </si>
  <si>
    <t>Introduction to Engineering</t>
  </si>
  <si>
    <t>Pre-Engineering Technology CE</t>
  </si>
  <si>
    <t>FCS</t>
  </si>
  <si>
    <t>AVC</t>
  </si>
  <si>
    <t>A+ (Computer Repair/Maint.) CE</t>
  </si>
  <si>
    <t>PC Operating Systems</t>
  </si>
  <si>
    <t>Network Admin-Clinet/Server</t>
  </si>
  <si>
    <t>MS Certified Professional CE</t>
  </si>
  <si>
    <t>Prereq: CIS 1140.</t>
  </si>
  <si>
    <t>Flight Principles</t>
  </si>
  <si>
    <t>Intro to Expository Writing CE</t>
  </si>
  <si>
    <t>06010013115</t>
  </si>
  <si>
    <t>Prereq: Recommended - BIO 2320, 2325 and CHEM 1010. Students must also register for BIO 2425 to earn Core science credit.</t>
  </si>
  <si>
    <t xml:space="preserve">Prereq: MATH 1010.  Coreq: CHEM 1115. Students must also register for CHEM 1115 to earn Core science credit. </t>
  </si>
  <si>
    <t>Prereq: MATH 1010.  Coreq: CHEM 1110.  Students must also register for CHEM 1110 to earn Core science credit. Students may NOT take CHEM 1115 ONLY.</t>
  </si>
  <si>
    <t xml:space="preserve">Coreq: BIOL 1615. Students must also register for BIOL 1615 to earn core science credit. </t>
  </si>
  <si>
    <t>Coreq: BIOL 1610.  Students must also register for BIOL 1610 to earn core science credit. Students may NOT register for BIOL 1615 ONLY.</t>
  </si>
  <si>
    <t>ENGN</t>
  </si>
  <si>
    <t>Social Dance</t>
  </si>
  <si>
    <t>Prereq: Computer Literacy or instr approval.</t>
  </si>
  <si>
    <t>VAD majors are required to take this class.</t>
  </si>
  <si>
    <t>NOTE: This class does not meet the prereq requirement for any biology class.</t>
  </si>
  <si>
    <t>Students must also register for DST 1050.</t>
  </si>
  <si>
    <t>Students must also register for DST 1040.</t>
  </si>
  <si>
    <t>Students must also register for DST 1070.</t>
  </si>
  <si>
    <t>Students must also register for DST 1060.</t>
  </si>
  <si>
    <t>Students must also register for MAT 1510.</t>
  </si>
  <si>
    <t>Students must also register for MAT 1500.</t>
  </si>
  <si>
    <t>Students must also register for WLD 1111.</t>
  </si>
  <si>
    <t>Students must also register for WLD 1110.</t>
  </si>
  <si>
    <t>Prereq: CIS 1120 or department approval.  Course carries .5 units high school credit.</t>
  </si>
  <si>
    <t>Prereq: High school biology with a B- or better,  ACT science score of 23, or a C- or above in BIOL 1010 or 1020. Students must also register for BIO 1610  to earn Core science credit.</t>
  </si>
  <si>
    <t>Coreq: BIOL 2065.</t>
  </si>
  <si>
    <t>Coreq: BIOL 2060.</t>
  </si>
  <si>
    <t>Students must also register for GEO 1090.</t>
  </si>
  <si>
    <t>Coreq: AUT 111L.</t>
  </si>
  <si>
    <t>Coreq: AUT 113L.</t>
  </si>
  <si>
    <t>Coreq: AUT 121L.</t>
  </si>
  <si>
    <t>Coreq: AUT 123L.</t>
  </si>
  <si>
    <t>Coreq: AUT 1110.</t>
  </si>
  <si>
    <t>Coreq: AUT 1130.</t>
  </si>
  <si>
    <t>Coreq: AUT 1230.</t>
  </si>
  <si>
    <t>Coreq: AUT 1210.</t>
  </si>
  <si>
    <t xml:space="preserve">NOTE:  This class crosslisted as ASTR 1040.  </t>
  </si>
  <si>
    <t>Students must also register for BIOL 1010.</t>
  </si>
  <si>
    <t>Students must also register for BIOL 1015.</t>
  </si>
  <si>
    <t>Course includes lecture and required lab.</t>
  </si>
  <si>
    <t>Approved for .25 unit high school credit ONLY.</t>
  </si>
  <si>
    <t>Prereq: Strongly Recommended ECGT 1000.</t>
  </si>
  <si>
    <t xml:space="preserve">Prereq: MATH 0980 or 0990 with a "C-" or better, or appropriate math COMPASS placement scores (58 to 69 Algebra OR 25 to 49 College Algbr) OR Math ACTR of 17-22. </t>
  </si>
  <si>
    <t>Prereq: Strongly recommended: ACT English of 16+.</t>
  </si>
  <si>
    <t>Preereq: LIB 1010 can be taken concurrently.  ACT ENGL score of 19 or beet, or ENGL 0990 with a "C" or better AND ACT Reading score of 17 or better or ENGL 1470 with a grade of "C" or better.</t>
  </si>
  <si>
    <t>Prerequisite: ENGL 1010. with a "C" or higher and LIB 1010 (can be taken concurrently). Course is approved for elective credit in the 4th year.  NOTE: Some districts require four years of Language Arts, but the state has no 4th year requirement at this time.</t>
  </si>
  <si>
    <t>Prereq: High school biology with a B- or better,  ACT science score of 23, or a C- or above in BIOL 1010 or 1020. Students must also register for BIO 1615  to earn Core science credit.</t>
  </si>
  <si>
    <t>General Physics I Lab</t>
  </si>
  <si>
    <t>Prereq: MATH 1050 and 1060. Students must also register for PHYS 2015</t>
  </si>
  <si>
    <t>Prereq: MATH 1050 and 1060. Students must also register for PHYS 2010.</t>
  </si>
  <si>
    <t>Delivery Methods</t>
  </si>
  <si>
    <t>P R</t>
  </si>
  <si>
    <t xml:space="preserve">P  </t>
  </si>
  <si>
    <t>P</t>
  </si>
  <si>
    <t>I P R</t>
  </si>
  <si>
    <t>DELIVERY METHODS</t>
  </si>
  <si>
    <t>T</t>
  </si>
  <si>
    <t>I</t>
  </si>
  <si>
    <t>O</t>
  </si>
  <si>
    <t>R</t>
  </si>
  <si>
    <t>Face-to-Face</t>
  </si>
  <si>
    <t>Correspondence</t>
  </si>
  <si>
    <t>Electronic  Media (CD, DVD)</t>
  </si>
  <si>
    <t>Online</t>
  </si>
  <si>
    <t>Interactive audio/Video (EDNET, IVC)</t>
  </si>
  <si>
    <t>Broadcast</t>
  </si>
  <si>
    <t>Technology Enhanced (Hybrid)</t>
  </si>
  <si>
    <t>p</t>
  </si>
  <si>
    <t xml:space="preserve">P </t>
  </si>
  <si>
    <t xml:space="preserve">P R </t>
  </si>
  <si>
    <t>I O P R</t>
  </si>
  <si>
    <t>I P</t>
  </si>
  <si>
    <t xml:space="preserve">I P R </t>
  </si>
  <si>
    <t xml:space="preserve">I P </t>
  </si>
  <si>
    <t xml:space="preserve">T I P </t>
  </si>
  <si>
    <t xml:space="preserve">I O P T </t>
  </si>
  <si>
    <t xml:space="preserve">I O P R T </t>
  </si>
  <si>
    <t xml:space="preserve">I </t>
  </si>
  <si>
    <t xml:space="preserve">I  P R </t>
  </si>
  <si>
    <t>PR</t>
  </si>
  <si>
    <t>I R</t>
  </si>
  <si>
    <t>I P R T</t>
  </si>
  <si>
    <t xml:space="preserve">I R </t>
  </si>
  <si>
    <t xml:space="preserve">P R T </t>
  </si>
  <si>
    <t xml:space="preserve">Prereq: BIOL 1610 and 1615 with a C grade or better. Students must also register for BIO 2025. Taught on campus ONLY through special partnetship agreements. </t>
  </si>
  <si>
    <t xml:space="preserve">Prereq: BIOL 1610 and 1615 with a C grade or better. Students must also register for BIO 2020. Taught on campus ONLY through special partnetship agreements. </t>
  </si>
  <si>
    <t xml:space="preserve">Prereq: BIOL 1610 and 1615 with a C grade or better, and CHEM 1210. Students must also register for BIO 2035. Taught on campus ONLY through special partnetship agreements. </t>
  </si>
  <si>
    <t xml:space="preserve">Prereq: BIOL 1610 and 1615 with a C grade or better, and CHEM 1210. Students must also register for BIO 2030. Taught on campus ONLY through special partnetship agreements. </t>
  </si>
  <si>
    <t xml:space="preserve">PREREQUISITE: BIOL 1610, 1615. Students must also register for BIO 2065. Taught on campus ONLY through special partnetship agreements. </t>
  </si>
  <si>
    <t xml:space="preserve">PREREQUISITE: BIOL 1610, 1615. Students must also register for BIO 2060. Taught on campus ONLY through special partnetship agreements. </t>
  </si>
  <si>
    <t xml:space="preserve">Prereq: BIO 1610 with a "C" or better.  Students must also register for BIO 2325. Taught on campus ONLY through special partnetship agreements. </t>
  </si>
  <si>
    <t xml:space="preserve">Prereq: BIO 1610 with a "C" or better.  Students must also register for BIO 2320. Taught on campus ONLY through special partnetship agreements. </t>
  </si>
  <si>
    <t xml:space="preserve">Prereq: a "C" or better in MATH 0990 or equivalent Accuplacer/ACT scores AND a "C" or better in RDG 0990 or equivalent Accuplacer/ACT scores. Students must also register for BIO 1610 to earn Core science credit. Taught on campus ONLY through special partnetship agreements. </t>
  </si>
  <si>
    <t xml:space="preserve">Prereq: a "C" or better in MATH 0990 or equivalent Accuplacer/ACT score AND a "C" or better in RDG 0990 or equivalent Accuplacer/ACT score.  Students must also register for BIO 1615 to earn Core science credit. Taught on campus ONLY through special partnetship agreements. </t>
  </si>
  <si>
    <t>Prereq: Two years, highly recommended, of secondary instruction in this language w/ a "C" or better or instructor permission. Course must be offered for one year and carries 1 high school unit of credit.</t>
  </si>
  <si>
    <t>USOE-USHE Concurrent Enrollment Master List</t>
  </si>
  <si>
    <t>EIT</t>
  </si>
  <si>
    <t>DC  Electrical Fundamentals</t>
  </si>
  <si>
    <t>AC  Electrical Fundamentals</t>
  </si>
  <si>
    <t>Fundamentals of Biotechnology I Career Survey</t>
  </si>
  <si>
    <t>Prereq: SURG 1200, BIOL 2320 and 2325. Available only to pre- approved schools.  If interested, contact SLCC.</t>
  </si>
  <si>
    <t>COURSES NO LONGER AVAILABLE FOR CONCURRENT ENROLLMENT EFFECTIVE FY00910</t>
  </si>
  <si>
    <t>Prereq: ART 1800.</t>
  </si>
  <si>
    <t>Offered on campus or by Internet ONLY.</t>
  </si>
  <si>
    <t>Prereq: CPT of 54 in Algebra or ELI 1470 with "C" or better or teacher permission.</t>
  </si>
  <si>
    <t xml:space="preserve">Prereq: WRTG 0990 with a "C" or better, equivalent, or ACT Reading score of 20. Open to seniors ONLY. </t>
  </si>
  <si>
    <t>Available via Internet ONLY.</t>
  </si>
  <si>
    <t>Available via Internet ONLY. NOTE: Available only to preapproved schools.  If interested, contact SLCC.</t>
  </si>
  <si>
    <t>All PILT classes must be taught in the order specified by the SLCC Aviation Department and the WF Consortium.</t>
  </si>
  <si>
    <t>Students must also register for PILT 1140. All PILT classes must be taught in the order specified by the SLCC Aviation Department and the WF Consortium.</t>
  </si>
  <si>
    <t>Students must also register for PILT 1100.  NOTE: Taught on campus ONLY. All PILT classes must be taught in the order specified by the SLCC Aviation Department and the WF Consortium.</t>
  </si>
  <si>
    <t>Prereq: CPT exam scores 74 Arithmetic, 35 Algebra, or teacher approval.</t>
  </si>
  <si>
    <t xml:space="preserve">Prereq: Two years, highly recommended, of secondary instruction in this language w/ a "C" or better or instructor permission. With USOE permission, course will be offered for one semester and carries 1 high school unit of credit. Course is available to 11th and 12th graders ONLY. </t>
  </si>
  <si>
    <t xml:space="preserve">Prereq: FRN 1010 or instructor permission.  With USOE permission, course will be offered for one semester and carries 1 high school unit of credit. Course is available to 11th and 12th graders ONLY. </t>
  </si>
  <si>
    <t xml:space="preserve">Prereq: GER 1010 or instructor permission.  With USOE permission, course will be offered for one semester and carries 1 high school unit of credit. Course is available to 11th and 12th graders ONLY. </t>
  </si>
  <si>
    <t xml:space="preserve">Prereq: SPAN 1010 or instructor permission.  With USOE permission, course will be offered for one semester and carries 1 high school unit of credit. Course is available to 11th and 12th graders ONLY. </t>
  </si>
  <si>
    <t>2650</t>
  </si>
  <si>
    <t>DSCU offers this as a one semester elective credit course.</t>
  </si>
  <si>
    <t>USU offers this as a one semester elective credit course.</t>
  </si>
  <si>
    <t>Students may take class up to three times for 6 total credits.</t>
  </si>
  <si>
    <t>Available ONLY to seniors with a GPA of 3.0. SLCC offers this class as a one-semester elective credit class.</t>
  </si>
  <si>
    <t>NEW</t>
  </si>
  <si>
    <t>11.0101</t>
  </si>
  <si>
    <t>Introduction to Information Technology CE</t>
  </si>
  <si>
    <t>If student take both CS 1030 and 1400, and 1030 serves as an intro to programming, use Comp Prog code. If taking CS 1030 alone, use Intro to IT code.</t>
  </si>
  <si>
    <t>Use Intro to IT code if student take CS 1030 alone. If taking both CS 1030 and 1400, and 1030 serves as an intro to programming, use Comp Prog code.</t>
  </si>
  <si>
    <t>Remove</t>
  </si>
  <si>
    <t>WRTG 1010, 2010 UU</t>
  </si>
  <si>
    <t xml:space="preserve">COURSES ON HIATUS EFFECTIVE FY0910 -- CONTACT SPONSORING INSTITUTION IF WISHING TO OFFER  </t>
  </si>
  <si>
    <t>Problem Solving with Computers</t>
  </si>
  <si>
    <t>EDU</t>
  </si>
  <si>
    <t>Orientation to Education</t>
  </si>
  <si>
    <t>Snow</t>
  </si>
  <si>
    <t>MTT</t>
  </si>
  <si>
    <t>Survey of Machine Tool</t>
  </si>
  <si>
    <t>Machinst Technician/CNC CE</t>
  </si>
  <si>
    <t>TEAL</t>
  </si>
  <si>
    <t>Exploring Education as a Potential Career</t>
  </si>
  <si>
    <t>Introduction to Chemistry</t>
  </si>
  <si>
    <t>Construction Graphics</t>
  </si>
  <si>
    <t>Reason for Denial</t>
  </si>
  <si>
    <t>Under revision.</t>
  </si>
  <si>
    <t>Keyboarding Basics</t>
  </si>
  <si>
    <t>Web Page Design</t>
  </si>
  <si>
    <t>Intro to Jazz and Popular Music</t>
  </si>
  <si>
    <t>116L</t>
  </si>
  <si>
    <t>117L</t>
  </si>
  <si>
    <t>47.0804</t>
  </si>
  <si>
    <t>Automotive Electrical Systems Lab</t>
  </si>
  <si>
    <t>Engine Electrical Systems</t>
  </si>
  <si>
    <t xml:space="preserve">Engine Electrical Systems Lab </t>
  </si>
  <si>
    <t>College Physics</t>
  </si>
  <si>
    <t>College Physics Lab</t>
  </si>
  <si>
    <t>06010013075</t>
  </si>
  <si>
    <t>Asrtonomy CE</t>
  </si>
  <si>
    <t>Introduction to Interior Design</t>
  </si>
  <si>
    <t>Aircraft Systems</t>
  </si>
  <si>
    <t>INTD</t>
  </si>
  <si>
    <t>BMAN</t>
  </si>
  <si>
    <t>Intro to Biomanufacturing</t>
  </si>
  <si>
    <t>38010013001</t>
  </si>
  <si>
    <t>21.0112</t>
  </si>
  <si>
    <t>Advanced Technology Educaiton CE</t>
  </si>
  <si>
    <t>Basic Biomanufacturing Skills</t>
  </si>
  <si>
    <t>Business Statistics</t>
  </si>
  <si>
    <t>Theatre Foundations I CE</t>
  </si>
  <si>
    <t>World History to 1500</t>
  </si>
  <si>
    <t>World History Since 1500</t>
  </si>
  <si>
    <t xml:space="preserve">MUSC </t>
  </si>
  <si>
    <t>Introduction to Music</t>
  </si>
  <si>
    <t>Introduction to Theatre</t>
  </si>
  <si>
    <t>40020013001</t>
  </si>
  <si>
    <t>Cosmetology Theory I Lab</t>
  </si>
  <si>
    <t>CompTIA (A+) Essentials</t>
  </si>
  <si>
    <t>Non-Structural Repair and Welding</t>
  </si>
  <si>
    <t>Elementary Organic Biochemistry</t>
  </si>
  <si>
    <t>Computer Technology II CE</t>
  </si>
  <si>
    <t>Scientific Foundations of Nutrition</t>
  </si>
  <si>
    <t>Co-Req: CS 1120, waived for concurrent students.</t>
  </si>
  <si>
    <t>Pre-req: BMAN 1110 (may be taken concurrently)</t>
  </si>
  <si>
    <t>Prereq: AUSC 1001 or instructor permission.</t>
  </si>
  <si>
    <t xml:space="preserve">HNRS  </t>
  </si>
  <si>
    <t>Civic Enggmt &amp; Political Process in the Cntmp US</t>
  </si>
  <si>
    <t>Physics for Scientists and Engineers I Lab</t>
  </si>
  <si>
    <t>NUTR/NFS</t>
  </si>
  <si>
    <t>Multi prefixes for languages</t>
  </si>
  <si>
    <t>Human Development Across the Lifespan: CHF/FAML/FCHD/FCS/FHS/FHST 1500/PSY 1100</t>
  </si>
  <si>
    <t xml:space="preserve">SUU BA 1010 = DSCU BUS 1010 = SLCC BUS 1050 = CEU BUSN 1010 = UVU MGMT 1010 </t>
  </si>
  <si>
    <t>Labs</t>
  </si>
  <si>
    <t>x</t>
  </si>
  <si>
    <t>At UVU, elective credit course only.</t>
  </si>
  <si>
    <t xml:space="preserve">Co-Req: AUTO 116L recommended. </t>
  </si>
  <si>
    <t xml:space="preserve">Co-Req: AUTO 117L recommended. </t>
  </si>
  <si>
    <t>Co-Req: AUTO 1160 recopmmended.</t>
  </si>
  <si>
    <t>Co-Req: AUTO 1170 recommended.</t>
  </si>
  <si>
    <t>Duplicates manually removed.  Cmg  121508</t>
  </si>
  <si>
    <t>labs:</t>
  </si>
  <si>
    <t>Drafting classes</t>
  </si>
  <si>
    <t>Changes in the 0910 list from the 0809 list -- see far right column for explanation of what changed.</t>
  </si>
  <si>
    <t>COURSES APPROVED FOR FY0910 CONCURRENT ENROLLMENT</t>
  </si>
  <si>
    <t>Comments</t>
  </si>
  <si>
    <t>ACC1150</t>
  </si>
  <si>
    <t>ACCT1010</t>
  </si>
  <si>
    <t>ACCT1050</t>
  </si>
  <si>
    <t>ACCT1110</t>
  </si>
  <si>
    <t>ACCT1111</t>
  </si>
  <si>
    <t>ACCT1120</t>
  </si>
  <si>
    <t>ACCT1550</t>
  </si>
  <si>
    <t>ACCT2010</t>
  </si>
  <si>
    <t>ACOM1010</t>
  </si>
  <si>
    <t>ADVS1110</t>
  </si>
  <si>
    <t>AGSC1100</t>
  </si>
  <si>
    <t>AHNA1000</t>
  </si>
  <si>
    <t>ANTH1010</t>
  </si>
  <si>
    <t>APPR1470</t>
  </si>
  <si>
    <t>AR1100</t>
  </si>
  <si>
    <t>AR1111</t>
  </si>
  <si>
    <t>ARCH 1100</t>
  </si>
  <si>
    <t>ARCH 1130</t>
  </si>
  <si>
    <t>ARCH 1310</t>
  </si>
  <si>
    <t>ARCH 1350</t>
  </si>
  <si>
    <t>ART1010</t>
  </si>
  <si>
    <t>ART1020</t>
  </si>
  <si>
    <t>ART1050</t>
  </si>
  <si>
    <t>ART1060</t>
  </si>
  <si>
    <t>ART1110</t>
  </si>
  <si>
    <t>ART1120</t>
  </si>
  <si>
    <t>ART1135</t>
  </si>
  <si>
    <t>ART1240</t>
  </si>
  <si>
    <t>ART1310</t>
  </si>
  <si>
    <t>ART1340</t>
  </si>
  <si>
    <t>ART1350</t>
  </si>
  <si>
    <t>ART1400</t>
  </si>
  <si>
    <t>ART1410</t>
  </si>
  <si>
    <t>ART1420</t>
  </si>
  <si>
    <t>ART1430</t>
  </si>
  <si>
    <t>ART1530</t>
  </si>
  <si>
    <t>ART1540</t>
  </si>
  <si>
    <t>ART1600</t>
  </si>
  <si>
    <t>ART1610</t>
  </si>
  <si>
    <t>ART1650</t>
  </si>
  <si>
    <t>ART1800</t>
  </si>
  <si>
    <t>ART2110</t>
  </si>
  <si>
    <t>ART2430</t>
  </si>
  <si>
    <t>ART2440</t>
  </si>
  <si>
    <t>ART2650</t>
  </si>
  <si>
    <t>ART2980</t>
  </si>
  <si>
    <t>ARTH2720</t>
  </si>
  <si>
    <t>ASL1010</t>
  </si>
  <si>
    <t>ASL1020</t>
  </si>
  <si>
    <t>ASL1050</t>
  </si>
  <si>
    <t>ASL1060</t>
  </si>
  <si>
    <t>ASL2010</t>
  </si>
  <si>
    <t>ASTE2900</t>
  </si>
  <si>
    <t>ASTE3100</t>
  </si>
  <si>
    <t>AT2175</t>
  </si>
  <si>
    <t>AUSV1021</t>
  </si>
  <si>
    <t>AUSV1022</t>
  </si>
  <si>
    <t>AUSV1071</t>
  </si>
  <si>
    <t>AUSV1072</t>
  </si>
  <si>
    <t>AUSV1080</t>
  </si>
  <si>
    <t>AUSV1100</t>
  </si>
  <si>
    <t>AUSV1120</t>
  </si>
  <si>
    <t>AUSV1170</t>
  </si>
  <si>
    <t>AUSV1270</t>
  </si>
  <si>
    <t>AUSV2170</t>
  </si>
  <si>
    <t>AUSV2270</t>
  </si>
  <si>
    <t>AUSV2370</t>
  </si>
  <si>
    <t>AUT1110</t>
  </si>
  <si>
    <t>AUT111L</t>
  </si>
  <si>
    <t>AUT1130</t>
  </si>
  <si>
    <t>AUT113L</t>
  </si>
  <si>
    <t>AUT1210</t>
  </si>
  <si>
    <t>AUT121L</t>
  </si>
  <si>
    <t>AUT1230</t>
  </si>
  <si>
    <t>AUT123L</t>
  </si>
  <si>
    <t>AUTO1000</t>
  </si>
  <si>
    <t>AUTO1100</t>
  </si>
  <si>
    <t>AUTO1110</t>
  </si>
  <si>
    <t>AUTO1111</t>
  </si>
  <si>
    <t>AUTO1120</t>
  </si>
  <si>
    <t>AUTO1130</t>
  </si>
  <si>
    <t>AUTO1160</t>
  </si>
  <si>
    <t>AUTO116L</t>
  </si>
  <si>
    <t>AUTO1170</t>
  </si>
  <si>
    <t>AUTO117L</t>
  </si>
  <si>
    <t>AUTO1320</t>
  </si>
  <si>
    <t>AUTO1400</t>
  </si>
  <si>
    <t>AUTO1405</t>
  </si>
  <si>
    <t>AUTO1430</t>
  </si>
  <si>
    <t>AUTO1500</t>
  </si>
  <si>
    <t>AUTO1501</t>
  </si>
  <si>
    <t>AUTO1505</t>
  </si>
  <si>
    <t>AUTO1510</t>
  </si>
  <si>
    <t>AUTO1511</t>
  </si>
  <si>
    <t>AUTO1520</t>
  </si>
  <si>
    <t>AUTO1521</t>
  </si>
  <si>
    <t>AUTO1530</t>
  </si>
  <si>
    <t>AUTO1531</t>
  </si>
  <si>
    <t>AUTO2100</t>
  </si>
  <si>
    <t>AVC1130</t>
  </si>
  <si>
    <t>AVSC1010</t>
  </si>
  <si>
    <t>AVSC1100</t>
  </si>
  <si>
    <t>BA1010</t>
  </si>
  <si>
    <t>BA1350</t>
  </si>
  <si>
    <t>BCCM1010</t>
  </si>
  <si>
    <t>BCCM1040</t>
  </si>
  <si>
    <t>BCCM1060</t>
  </si>
  <si>
    <t>BCCM1100</t>
  </si>
  <si>
    <t>BCCM1140</t>
  </si>
  <si>
    <t>BCCM1160</t>
  </si>
  <si>
    <t>BCCM1190</t>
  </si>
  <si>
    <t>BCCM1200</t>
  </si>
  <si>
    <t>BCCM1220</t>
  </si>
  <si>
    <t>BCCM1240</t>
  </si>
  <si>
    <t>BCCM1260</t>
  </si>
  <si>
    <t>BCCM2030</t>
  </si>
  <si>
    <t>BCCM2080</t>
  </si>
  <si>
    <t>BCCM2125</t>
  </si>
  <si>
    <t>BCCM2130</t>
  </si>
  <si>
    <t>BCCM2150</t>
  </si>
  <si>
    <t>BCCM2170</t>
  </si>
  <si>
    <t>BCCM2690</t>
  </si>
  <si>
    <t>BCIS1010</t>
  </si>
  <si>
    <t>BCIS1300</t>
  </si>
  <si>
    <t>BCIS1405</t>
  </si>
  <si>
    <t>BCIS1406</t>
  </si>
  <si>
    <t>BCIS1900</t>
  </si>
  <si>
    <t>BCIS2430</t>
  </si>
  <si>
    <t>BIOL1010</t>
  </si>
  <si>
    <t>BIOL1015</t>
  </si>
  <si>
    <t>BIOL1020</t>
  </si>
  <si>
    <t>BIOL1025</t>
  </si>
  <si>
    <t>BIOL1070</t>
  </si>
  <si>
    <t>BIOL1075</t>
  </si>
  <si>
    <t>BIOL1110</t>
  </si>
  <si>
    <t>BIOL1250</t>
  </si>
  <si>
    <t>BIOL1500</t>
  </si>
  <si>
    <t>BIOL1505</t>
  </si>
  <si>
    <t>BIOL1610</t>
  </si>
  <si>
    <t>BIOL1615</t>
  </si>
  <si>
    <t>BIOL1620</t>
  </si>
  <si>
    <t>BIOL1625</t>
  </si>
  <si>
    <t>BIOL1800</t>
  </si>
  <si>
    <t>BIOL2000</t>
  </si>
  <si>
    <t>BIOL2020</t>
  </si>
  <si>
    <t>BIOL2025</t>
  </si>
  <si>
    <t>BIOL2030</t>
  </si>
  <si>
    <t>BIOL2035</t>
  </si>
  <si>
    <t>BIOL2060</t>
  </si>
  <si>
    <t>BIOL2065</t>
  </si>
  <si>
    <t>BIOL2320</t>
  </si>
  <si>
    <t>BIOL2325</t>
  </si>
  <si>
    <t>BIOL2420</t>
  </si>
  <si>
    <t>BIOL2425</t>
  </si>
  <si>
    <t>BMAN1110</t>
  </si>
  <si>
    <t>BMAN1120</t>
  </si>
  <si>
    <t>BMGT1060</t>
  </si>
  <si>
    <t>BT1010</t>
  </si>
  <si>
    <t>BT1080</t>
  </si>
  <si>
    <t>BT1100</t>
  </si>
  <si>
    <t>BT1120</t>
  </si>
  <si>
    <t>BT1420</t>
  </si>
  <si>
    <t>BT1430</t>
  </si>
  <si>
    <t>BT1801</t>
  </si>
  <si>
    <t>BT2200</t>
  </si>
  <si>
    <t>BT2350</t>
  </si>
  <si>
    <t>BT2420</t>
  </si>
  <si>
    <t>BT2450</t>
  </si>
  <si>
    <t>BTEC1010</t>
  </si>
  <si>
    <t>BTEC1020</t>
  </si>
  <si>
    <t>BTEC1030</t>
  </si>
  <si>
    <t>BTEC1060</t>
  </si>
  <si>
    <t>BTEC2010</t>
  </si>
  <si>
    <t>BTEC2020</t>
  </si>
  <si>
    <t>BTEC2030</t>
  </si>
  <si>
    <t>BTEC2040</t>
  </si>
  <si>
    <t>BTNY1403</t>
  </si>
  <si>
    <t>BUS1370</t>
  </si>
  <si>
    <t>BUSN2200</t>
  </si>
  <si>
    <t>CAW1130</t>
  </si>
  <si>
    <t>CAW1140</t>
  </si>
  <si>
    <t>CAW1240</t>
  </si>
  <si>
    <t>CCET1010</t>
  </si>
  <si>
    <t>CCET1040</t>
  </si>
  <si>
    <t>CCET1630</t>
  </si>
  <si>
    <t>CCET2620</t>
  </si>
  <si>
    <t>CEET1105</t>
  </si>
  <si>
    <t>CEET1110</t>
  </si>
  <si>
    <t>CEET1130</t>
  </si>
  <si>
    <t>CHEF1110</t>
  </si>
  <si>
    <t>CHEF2520</t>
  </si>
  <si>
    <t>CHEM 1110</t>
  </si>
  <si>
    <t>CHEM 1120</t>
  </si>
  <si>
    <t>CHEM1010</t>
  </si>
  <si>
    <t>CHEM1015</t>
  </si>
  <si>
    <t>CHEM1110</t>
  </si>
  <si>
    <t>CHEM1115</t>
  </si>
  <si>
    <t>CHEM1120</t>
  </si>
  <si>
    <t>CHEM1125</t>
  </si>
  <si>
    <t>CHEM1210</t>
  </si>
  <si>
    <t>CHEM1215</t>
  </si>
  <si>
    <t>CHEM1220</t>
  </si>
  <si>
    <t>CHEM1225</t>
  </si>
  <si>
    <t>CHEM2310</t>
  </si>
  <si>
    <t>CHEM2320</t>
  </si>
  <si>
    <t>CHF1500</t>
  </si>
  <si>
    <t>CHIN1010</t>
  </si>
  <si>
    <t>CIS1020</t>
  </si>
  <si>
    <t>CIS1050</t>
  </si>
  <si>
    <t>CIS1121</t>
  </si>
  <si>
    <t>CIS1122</t>
  </si>
  <si>
    <t>CIS1140</t>
  </si>
  <si>
    <t>CIS1200</t>
  </si>
  <si>
    <t>CIS1401</t>
  </si>
  <si>
    <t>CIS2400</t>
  </si>
  <si>
    <t>CJ1010</t>
  </si>
  <si>
    <t>CJ1300</t>
  </si>
  <si>
    <t>CJ1330</t>
  </si>
  <si>
    <t>CJ1340</t>
  </si>
  <si>
    <t>CJ1350</t>
  </si>
  <si>
    <t>CJ2110</t>
  </si>
  <si>
    <t>CJ2330</t>
  </si>
  <si>
    <t>CJ2340</t>
  </si>
  <si>
    <t>CJ2350</t>
  </si>
  <si>
    <t>CJ2540</t>
  </si>
  <si>
    <t>CMT1150</t>
  </si>
  <si>
    <t>CMT1210</t>
  </si>
  <si>
    <t>COMM 1000</t>
  </si>
  <si>
    <t>COMM1010</t>
  </si>
  <si>
    <t>COMM1020</t>
  </si>
  <si>
    <t>COMM1050</t>
  </si>
  <si>
    <t>COMM1500</t>
  </si>
  <si>
    <t>COMM2110</t>
  </si>
  <si>
    <t>COMM2200</t>
  </si>
  <si>
    <t>COMM2205</t>
  </si>
  <si>
    <t>COMM2751</t>
  </si>
  <si>
    <t>COST1100</t>
  </si>
  <si>
    <t>COST1110</t>
  </si>
  <si>
    <t>COST1200</t>
  </si>
  <si>
    <t>COST1210</t>
  </si>
  <si>
    <t>CRT1110</t>
  </si>
  <si>
    <t>CRT1120</t>
  </si>
  <si>
    <t>CRT1130</t>
  </si>
  <si>
    <t>CRT1210</t>
  </si>
  <si>
    <t>CRT1220</t>
  </si>
  <si>
    <t>CRT1230</t>
  </si>
  <si>
    <t>CS1010</t>
  </si>
  <si>
    <t>CS1030</t>
  </si>
  <si>
    <t>CS1121</t>
  </si>
  <si>
    <t>CS1400</t>
  </si>
  <si>
    <t>CS1410</t>
  </si>
  <si>
    <t>CSIS1000</t>
  </si>
  <si>
    <t>CSIS1010</t>
  </si>
  <si>
    <t>DANC1010</t>
  </si>
  <si>
    <t>DANC1170</t>
  </si>
  <si>
    <t>DANC1200</t>
  </si>
  <si>
    <t>DANC141R</t>
  </si>
  <si>
    <t>DANC2200</t>
  </si>
  <si>
    <t>DANC2240</t>
  </si>
  <si>
    <t>DANC2310</t>
  </si>
  <si>
    <t>DGET1050</t>
  </si>
  <si>
    <t>DGET1150</t>
  </si>
  <si>
    <t>DGET1250</t>
  </si>
  <si>
    <t>DGET1260</t>
  </si>
  <si>
    <t>DGET1350</t>
  </si>
  <si>
    <t>DGET2650</t>
  </si>
  <si>
    <t>DGM1010</t>
  </si>
  <si>
    <t>DGM1110</t>
  </si>
  <si>
    <t>DRFT1007</t>
  </si>
  <si>
    <t>DRFT1008</t>
  </si>
  <si>
    <t>DRFT1010</t>
  </si>
  <si>
    <t>DRFT1100</t>
  </si>
  <si>
    <t>DRFT1302</t>
  </si>
  <si>
    <t>DRFT1310</t>
  </si>
  <si>
    <t>DRFT1312</t>
  </si>
  <si>
    <t>DRFT2100</t>
  </si>
  <si>
    <t>DRFT2332</t>
  </si>
  <si>
    <t>DSME1000</t>
  </si>
  <si>
    <t>DSME2410</t>
  </si>
  <si>
    <t>DSME2430</t>
  </si>
  <si>
    <t>DST1040</t>
  </si>
  <si>
    <t>DST1050</t>
  </si>
  <si>
    <t>DST1060</t>
  </si>
  <si>
    <t>DST1070</t>
  </si>
  <si>
    <t>ECON  1010</t>
  </si>
  <si>
    <t>ECON  1740</t>
  </si>
  <si>
    <t>ECON1010</t>
  </si>
  <si>
    <t>ECON1500</t>
  </si>
  <si>
    <t>ECON1740</t>
  </si>
  <si>
    <t>ECON2010</t>
  </si>
  <si>
    <t>EDDT1010</t>
  </si>
  <si>
    <t>EDDT1040</t>
  </si>
  <si>
    <t>EDEL1010</t>
  </si>
  <si>
    <t>EDSC2010</t>
  </si>
  <si>
    <t>EDU1010</t>
  </si>
  <si>
    <t>EDUC1010</t>
  </si>
  <si>
    <t>EET2750</t>
  </si>
  <si>
    <t>EGDT1000</t>
  </si>
  <si>
    <t>EGDT1040</t>
  </si>
  <si>
    <t>EGDT1070</t>
  </si>
  <si>
    <t>EGDT1100</t>
  </si>
  <si>
    <t>EGDT2020</t>
  </si>
  <si>
    <t>EIT1210</t>
  </si>
  <si>
    <t>EIT1220</t>
  </si>
  <si>
    <t>EIT1240</t>
  </si>
  <si>
    <t>ELI1110</t>
  </si>
  <si>
    <t>ELI1470</t>
  </si>
  <si>
    <t>EMS1100</t>
  </si>
  <si>
    <t>ENGL 1010</t>
  </si>
  <si>
    <t>ENGL1010</t>
  </si>
  <si>
    <t>ENGL2010</t>
  </si>
  <si>
    <t>ENGL2040</t>
  </si>
  <si>
    <t>ENGL2200</t>
  </si>
  <si>
    <t>ENGL2230</t>
  </si>
  <si>
    <t>ENGL2240</t>
  </si>
  <si>
    <t>ENGL2300</t>
  </si>
  <si>
    <t>ENGL2340</t>
  </si>
  <si>
    <t>ENGL2610</t>
  </si>
  <si>
    <t>ENGN1000</t>
  </si>
  <si>
    <t>ENGR 1000</t>
  </si>
  <si>
    <t>ENGR1000</t>
  </si>
  <si>
    <t>ENGR1010</t>
  </si>
  <si>
    <t>ENVT1010</t>
  </si>
  <si>
    <t>ENVT1110</t>
  </si>
  <si>
    <t>ESOL1050</t>
  </si>
  <si>
    <t>ESOL1060</t>
  </si>
  <si>
    <t>ESOL1065</t>
  </si>
  <si>
    <t>ESOL1160</t>
  </si>
  <si>
    <t>ETE1200</t>
  </si>
  <si>
    <t>FAML1020</t>
  </si>
  <si>
    <t>FAML2610</t>
  </si>
  <si>
    <t>FHS2400</t>
  </si>
  <si>
    <t>FHS2600</t>
  </si>
  <si>
    <t>FIN1010</t>
  </si>
  <si>
    <t>FIN1050</t>
  </si>
  <si>
    <t>FIN1210</t>
  </si>
  <si>
    <t>FIN2000</t>
  </si>
  <si>
    <t>FIN2870</t>
  </si>
  <si>
    <t>FLM1030</t>
  </si>
  <si>
    <t>FLM1040</t>
  </si>
  <si>
    <t>FLM1041</t>
  </si>
  <si>
    <t>FRCH1010</t>
  </si>
  <si>
    <t>FRCH1020</t>
  </si>
  <si>
    <t>FRCH2010</t>
  </si>
  <si>
    <t>FSE1140</t>
  </si>
  <si>
    <t>FSF1000</t>
  </si>
  <si>
    <t>FSW1400</t>
  </si>
  <si>
    <t>GCOM1010</t>
  </si>
  <si>
    <t>GCOM1110</t>
  </si>
  <si>
    <t>GCOM1120</t>
  </si>
  <si>
    <t>GCOM1410</t>
  </si>
  <si>
    <t>GCOM1610</t>
  </si>
  <si>
    <t>GEO 1010</t>
  </si>
  <si>
    <t>GEO1010</t>
  </si>
  <si>
    <t>GEO1015</t>
  </si>
  <si>
    <t>GEO1030</t>
  </si>
  <si>
    <t>GEO1050</t>
  </si>
  <si>
    <t>GEO1055</t>
  </si>
  <si>
    <t>GEO1090</t>
  </si>
  <si>
    <t>GEO1095</t>
  </si>
  <si>
    <t>GEO1800</t>
  </si>
  <si>
    <t>GEOG1000</t>
  </si>
  <si>
    <t>GEOG1300</t>
  </si>
  <si>
    <t>GER1010</t>
  </si>
  <si>
    <t>GER1020</t>
  </si>
  <si>
    <t>GER2010</t>
  </si>
  <si>
    <t>HFST1500</t>
  </si>
  <si>
    <t>HIST 2710</t>
  </si>
  <si>
    <t>HIST1100</t>
  </si>
  <si>
    <t>HIST1110</t>
  </si>
  <si>
    <t>HIST1300</t>
  </si>
  <si>
    <t>HIST1500</t>
  </si>
  <si>
    <t>HIST1510</t>
  </si>
  <si>
    <t>HIST1700</t>
  </si>
  <si>
    <t>HIST2700</t>
  </si>
  <si>
    <t>HLOC1000</t>
  </si>
  <si>
    <t>HLOC1010</t>
  </si>
  <si>
    <t>HLOC1020</t>
  </si>
  <si>
    <t>HLTH1020</t>
  </si>
  <si>
    <t>HLTH1200</t>
  </si>
  <si>
    <t>HLTH1250</t>
  </si>
  <si>
    <t>HLTH1500</t>
  </si>
  <si>
    <t>HLTH2300</t>
  </si>
  <si>
    <t>HLTH2600</t>
  </si>
  <si>
    <t>HM1110</t>
  </si>
  <si>
    <t>HM1180</t>
  </si>
  <si>
    <t>HNRS  2210</t>
  </si>
  <si>
    <t>HNRS  2213</t>
  </si>
  <si>
    <t>HTHS1101</t>
  </si>
  <si>
    <t>HTHS1105</t>
  </si>
  <si>
    <t>HTHS1106</t>
  </si>
  <si>
    <t>HTHS1120</t>
  </si>
  <si>
    <t>HU1010</t>
  </si>
  <si>
    <t>HUM1010</t>
  </si>
  <si>
    <t>HUMA 1100</t>
  </si>
  <si>
    <t>IDT1010</t>
  </si>
  <si>
    <t>INFO1420</t>
  </si>
  <si>
    <t>INFO2450</t>
  </si>
  <si>
    <t>INTD1010</t>
  </si>
  <si>
    <t>ITAL1010</t>
  </si>
  <si>
    <t>ITAL1020</t>
  </si>
  <si>
    <t>LIB 1010</t>
  </si>
  <si>
    <t>LM1010</t>
  </si>
  <si>
    <t>MA1100</t>
  </si>
  <si>
    <t>MACH 1140</t>
  </si>
  <si>
    <t>MACH 1160</t>
  </si>
  <si>
    <t>MAT  1500</t>
  </si>
  <si>
    <t>MAT  1510</t>
  </si>
  <si>
    <t>MAT 1010</t>
  </si>
  <si>
    <t>MATH 1010</t>
  </si>
  <si>
    <t>MATH 1030</t>
  </si>
  <si>
    <t>MATH 1050</t>
  </si>
  <si>
    <t>MATH 1060</t>
  </si>
  <si>
    <t>MATH 1065</t>
  </si>
  <si>
    <t>MATH 1100</t>
  </si>
  <si>
    <t>MATH 1210</t>
  </si>
  <si>
    <t>MATH 1220</t>
  </si>
  <si>
    <t>MATH 2020</t>
  </si>
  <si>
    <t>MATH 2040</t>
  </si>
  <si>
    <t>MATH 2210</t>
  </si>
  <si>
    <t>MATH1010</t>
  </si>
  <si>
    <t>MATH1030</t>
  </si>
  <si>
    <t>MATH1040</t>
  </si>
  <si>
    <t>MATH1050</t>
  </si>
  <si>
    <t>MATH1060</t>
  </si>
  <si>
    <t>MATH1070</t>
  </si>
  <si>
    <t>MATH1210</t>
  </si>
  <si>
    <t>MATH1220</t>
  </si>
  <si>
    <t>MET 1010</t>
  </si>
  <si>
    <t>MET1000</t>
  </si>
  <si>
    <t>METO1010</t>
  </si>
  <si>
    <t>MFET1150</t>
  </si>
  <si>
    <t>MFET1210</t>
  </si>
  <si>
    <t>MFET2150</t>
  </si>
  <si>
    <t>MFET2150L</t>
  </si>
  <si>
    <t>MFET2670</t>
  </si>
  <si>
    <t>MFET2670L</t>
  </si>
  <si>
    <t>MGMT1060</t>
  </si>
  <si>
    <t>MGMT1650</t>
  </si>
  <si>
    <t>MGMT2050</t>
  </si>
  <si>
    <t>MGMT2600</t>
  </si>
  <si>
    <t>MGMT2620</t>
  </si>
  <si>
    <t>MGT1100</t>
  </si>
  <si>
    <t>MGT1600</t>
  </si>
  <si>
    <t>MINT2450</t>
  </si>
  <si>
    <t>MKTG1010</t>
  </si>
  <si>
    <t>MKTG1030</t>
  </si>
  <si>
    <t>MKTG1070</t>
  </si>
  <si>
    <t>MKTG1480</t>
  </si>
  <si>
    <t>MKTG1510</t>
  </si>
  <si>
    <t>MKTG1900</t>
  </si>
  <si>
    <t>MKTG2000</t>
  </si>
  <si>
    <t>MKTG2520</t>
  </si>
  <si>
    <t>MKTG2540</t>
  </si>
  <si>
    <t>MKTG2550</t>
  </si>
  <si>
    <t>MLS1010</t>
  </si>
  <si>
    <t>MLS1020</t>
  </si>
  <si>
    <t>MTT1000</t>
  </si>
  <si>
    <t>MUSC 1010</t>
  </si>
  <si>
    <t>MUSC1010</t>
  </si>
  <si>
    <t>MUSC1030</t>
  </si>
  <si>
    <t>MUSC1100</t>
  </si>
  <si>
    <t>MUSC1110</t>
  </si>
  <si>
    <t>MUSC1150</t>
  </si>
  <si>
    <t>MUSC1210</t>
  </si>
  <si>
    <t>MUSC1410</t>
  </si>
  <si>
    <t>MUSC3380</t>
  </si>
  <si>
    <t>NFS1020</t>
  </si>
  <si>
    <t>NFS3600</t>
  </si>
  <si>
    <t>NURS 1000</t>
  </si>
  <si>
    <t>NURS 1005</t>
  </si>
  <si>
    <t>NURS 1006</t>
  </si>
  <si>
    <t>NURS 1007</t>
  </si>
  <si>
    <t>NURS 1008</t>
  </si>
  <si>
    <t>OSS1400</t>
  </si>
  <si>
    <t>OSS1420</t>
  </si>
  <si>
    <t>OSS1550</t>
  </si>
  <si>
    <t>OSS2450</t>
  </si>
  <si>
    <t>OSS2520</t>
  </si>
  <si>
    <t>OTA1020</t>
  </si>
  <si>
    <t>PAR 1000</t>
  </si>
  <si>
    <t>PAR 1001</t>
  </si>
  <si>
    <t>PE1097</t>
  </si>
  <si>
    <t>PE2710</t>
  </si>
  <si>
    <t>PED1010</t>
  </si>
  <si>
    <t>PED2150</t>
  </si>
  <si>
    <t>PED2160</t>
  </si>
  <si>
    <t>PES2400</t>
  </si>
  <si>
    <t>PFP1050</t>
  </si>
  <si>
    <t>PHIL1000</t>
  </si>
  <si>
    <t>PHIL2050</t>
  </si>
  <si>
    <t>PHSC1000</t>
  </si>
  <si>
    <t>PHYS1010</t>
  </si>
  <si>
    <t>PHYS1015</t>
  </si>
  <si>
    <t>PHYS1040</t>
  </si>
  <si>
    <t>PHYS1045</t>
  </si>
  <si>
    <t>PHYS1200</t>
  </si>
  <si>
    <t>PHYS2010</t>
  </si>
  <si>
    <t>PHYS2015</t>
  </si>
  <si>
    <t>PHYS2020</t>
  </si>
  <si>
    <t>PHYS2025</t>
  </si>
  <si>
    <t>PHYS2210</t>
  </si>
  <si>
    <t>PHYS2215</t>
  </si>
  <si>
    <t>PHYS2220</t>
  </si>
  <si>
    <t>PILT1020</t>
  </si>
  <si>
    <t>PILT1040</t>
  </si>
  <si>
    <t>PILT1050</t>
  </si>
  <si>
    <t>PILT1100</t>
  </si>
  <si>
    <t>PILT1140</t>
  </si>
  <si>
    <t>PILT1420</t>
  </si>
  <si>
    <t>PLI1110</t>
  </si>
  <si>
    <t>PLI1470</t>
  </si>
  <si>
    <t>PLS1010</t>
  </si>
  <si>
    <t>PLSC2100</t>
  </si>
  <si>
    <t>PLSC2900</t>
  </si>
  <si>
    <t>POLS 2060</t>
  </si>
  <si>
    <t>POLS1100</t>
  </si>
  <si>
    <t>POLS2100</t>
  </si>
  <si>
    <t>POLS2200</t>
  </si>
  <si>
    <t>PSY1010</t>
  </si>
  <si>
    <t>PSY1100</t>
  </si>
  <si>
    <t>PSY2500</t>
  </si>
  <si>
    <t>RUSS1010</t>
  </si>
  <si>
    <t>RUSS1020</t>
  </si>
  <si>
    <t>SCI2300</t>
  </si>
  <si>
    <t>SOC 1010</t>
  </si>
  <si>
    <t>SOC1010</t>
  </si>
  <si>
    <t>SOC1200</t>
  </si>
  <si>
    <t>SPAN1010</t>
  </si>
  <si>
    <t>SPAN1020</t>
  </si>
  <si>
    <t>SPAN2010</t>
  </si>
  <si>
    <t>SPCH1020</t>
  </si>
  <si>
    <t>SPED1000</t>
  </si>
  <si>
    <t>SST1143</t>
  </si>
  <si>
    <t>SST1303</t>
  </si>
  <si>
    <t>SST1503</t>
  </si>
  <si>
    <t>SST1890</t>
  </si>
  <si>
    <t>SST2383</t>
  </si>
  <si>
    <t>SST2443</t>
  </si>
  <si>
    <t>SST2703</t>
  </si>
  <si>
    <t>SST2991</t>
  </si>
  <si>
    <t>STAT1040</t>
  </si>
  <si>
    <t>SURG1200</t>
  </si>
  <si>
    <t>SURG1250</t>
  </si>
  <si>
    <t>TBE1040</t>
  </si>
  <si>
    <t>TBE1700</t>
  </si>
  <si>
    <t>TBE1701</t>
  </si>
  <si>
    <t>TBE1702</t>
  </si>
  <si>
    <t>TBE1703</t>
  </si>
  <si>
    <t>TBE2200</t>
  </si>
  <si>
    <t>TBE2300</t>
  </si>
  <si>
    <t>TBE2415</t>
  </si>
  <si>
    <t>TBE2435</t>
  </si>
  <si>
    <t>TBE2532</t>
  </si>
  <si>
    <t>TEAL1010</t>
  </si>
  <si>
    <t>THEA1013</t>
  </si>
  <si>
    <t>THEA1023</t>
  </si>
  <si>
    <t>THEA1033</t>
  </si>
  <si>
    <t>THEA2726</t>
  </si>
  <si>
    <t>THEA2746</t>
  </si>
  <si>
    <t>USU1000</t>
  </si>
  <si>
    <t>USU1300</t>
  </si>
  <si>
    <t>USU1320</t>
  </si>
  <si>
    <t>USU1330</t>
  </si>
  <si>
    <t>USU1350</t>
  </si>
  <si>
    <t>USU1360</t>
  </si>
  <si>
    <t>VT1300</t>
  </si>
  <si>
    <t>VT1400</t>
  </si>
  <si>
    <t>VT2600</t>
  </si>
  <si>
    <t>WELD1010</t>
  </si>
  <si>
    <t>WELD1020</t>
  </si>
  <si>
    <t>WELD1100</t>
  </si>
  <si>
    <t>WELD1120</t>
  </si>
  <si>
    <t>WELD1130</t>
  </si>
  <si>
    <t>WELD1303</t>
  </si>
  <si>
    <t>WELD1305</t>
  </si>
  <si>
    <t>WLD1005</t>
  </si>
  <si>
    <t>WLD1110</t>
  </si>
  <si>
    <t>WLD1111</t>
  </si>
  <si>
    <t>Core</t>
  </si>
  <si>
    <t>Elective</t>
  </si>
  <si>
    <t>Gen Ed</t>
  </si>
  <si>
    <t>CTE</t>
  </si>
  <si>
    <t>Published 16 December 2008</t>
  </si>
  <si>
    <t>HONOR</t>
  </si>
  <si>
    <t>cis1801</t>
  </si>
  <si>
    <t>Students may take up to three different SST 2991 seminar classes for a total of 3 credits.</t>
  </si>
  <si>
    <t>ESFF</t>
  </si>
  <si>
    <t>Intro to Engineering Design - PLTW</t>
  </si>
  <si>
    <t>UVU Bus Coll accredits this class with AACSB.  It must be taught by UVU Business faculty.  Contact Ted Ungricht for preapproval.</t>
  </si>
  <si>
    <t>52.0349</t>
  </si>
  <si>
    <t>52.0402</t>
  </si>
  <si>
    <t>Prereq: DRFT 1302. Approved for .5 high school units.</t>
  </si>
  <si>
    <t xml:space="preserve">Co-Req: Students enrolled in FHS 2600 must also enroll in FHS 0010, which records the 2 hour weekly lab experience. </t>
  </si>
  <si>
    <t>0010</t>
  </si>
  <si>
    <t>Surface Preparation Lab</t>
  </si>
  <si>
    <t>Nonstructural Repair Lab</t>
  </si>
  <si>
    <t>Overall Refinishing and Problem Solving Lab</t>
  </si>
  <si>
    <t>Panel Replacement and Adjustment Lab</t>
  </si>
  <si>
    <t>Blending, Tinting and Detailing Lab</t>
  </si>
  <si>
    <t>Welding and Cutting Lab</t>
  </si>
  <si>
    <t>Co-Req: CRT 1130L</t>
  </si>
  <si>
    <t>Co-Req: CRT 1110L</t>
  </si>
  <si>
    <t xml:space="preserve">Co-Req: CRT 1110 </t>
  </si>
  <si>
    <t>Co:Req: CRT 1120L</t>
  </si>
  <si>
    <t>Co-Req: CRT 1120</t>
  </si>
  <si>
    <t xml:space="preserve">Co-Req: CRT 1130 </t>
  </si>
  <si>
    <t>Co-Req: CRT 1140L</t>
  </si>
  <si>
    <t xml:space="preserve">Co-Req: CRT 1140 </t>
  </si>
  <si>
    <t>Co-Req: CRT 1210L</t>
  </si>
  <si>
    <t>Co-Req: CRT 1210</t>
  </si>
  <si>
    <t>Co-Req: CRT 1230L</t>
  </si>
  <si>
    <t>Co-Req: CRT 1230</t>
  </si>
  <si>
    <t>ESEC</t>
  </si>
  <si>
    <t>AV</t>
  </si>
  <si>
    <t>112L</t>
  </si>
  <si>
    <t>114L</t>
  </si>
  <si>
    <t>Students must also register for HIST 1510 for Core Social Science credit</t>
  </si>
  <si>
    <t>Students must also register for HIST 1500 for Core Social Science credit</t>
  </si>
  <si>
    <t>35020013005</t>
  </si>
  <si>
    <t>Intermed Graphic Communicatn CE</t>
  </si>
  <si>
    <t>Welding Technician - Entry Level CE</t>
  </si>
  <si>
    <t xml:space="preserve">Late cancellations due to SB81.  </t>
  </si>
  <si>
    <t>Program subject to elimination due to budget cuts.  No new students are being accepted.</t>
  </si>
  <si>
    <t>1900</t>
  </si>
  <si>
    <t>Beginning Film Production</t>
  </si>
  <si>
    <t>BRC</t>
  </si>
  <si>
    <t>EST</t>
  </si>
  <si>
    <t>Barb/Cos Orientation Lab I</t>
  </si>
  <si>
    <t>Barb/Cos Orientation Lab II</t>
  </si>
  <si>
    <t>Barb/Cos Orientation Theory</t>
  </si>
  <si>
    <t>Intro to Barb/Cos Lab I</t>
  </si>
  <si>
    <t>Intro to Barb/Cos Lab II</t>
  </si>
  <si>
    <t>Intro to Barb/Cos Orientation Theory</t>
  </si>
  <si>
    <t>Intermediate Bard/Cos Lab I</t>
  </si>
  <si>
    <t>State Board Preparation</t>
  </si>
  <si>
    <t>Intermediate Bard/Cos Lab II</t>
  </si>
  <si>
    <t>Advanced Barb/Cos Lab I</t>
  </si>
  <si>
    <t>Color Principles</t>
  </si>
  <si>
    <t>Salon Success</t>
  </si>
  <si>
    <t>Ethnic Hair</t>
  </si>
  <si>
    <t>Advanced Hair Design</t>
  </si>
  <si>
    <t>Independent Study</t>
  </si>
  <si>
    <t>0-16</t>
  </si>
  <si>
    <t>Basic Esthetics Lab I</t>
  </si>
  <si>
    <t>Basic Esthetics Theory I</t>
  </si>
  <si>
    <t>Basic Esthetics Lab II</t>
  </si>
  <si>
    <t>Basic Esthetics Theory II</t>
  </si>
  <si>
    <t>AutoDesk 3D Modeling</t>
  </si>
  <si>
    <t>Intro to Engineering Design - PLTW CE</t>
  </si>
  <si>
    <t>Introduction to Hospitality Industry</t>
  </si>
  <si>
    <t>Survey of Accounting I</t>
  </si>
  <si>
    <t>ACTG</t>
  </si>
  <si>
    <t>Humanities I</t>
  </si>
  <si>
    <t>HumanitiesII</t>
  </si>
  <si>
    <t xml:space="preserve">Cosmetology CE   </t>
  </si>
  <si>
    <t>40030013003</t>
  </si>
  <si>
    <t>12.0402</t>
  </si>
  <si>
    <t xml:space="preserve">Barbering CE  </t>
  </si>
  <si>
    <t>40030013005</t>
  </si>
  <si>
    <t>12.0409</t>
  </si>
  <si>
    <t xml:space="preserve">Basic Esthetician &amp; Skin Care CE  </t>
  </si>
  <si>
    <t>47.0624</t>
  </si>
  <si>
    <t>ASE General Services Tech CE</t>
  </si>
  <si>
    <t>47.0644</t>
  </si>
  <si>
    <t>ASE Steering &amp; Suspension CE</t>
  </si>
  <si>
    <t>47.0634</t>
  </si>
  <si>
    <t>ASE Brakes CE</t>
  </si>
  <si>
    <t>40090013021</t>
  </si>
  <si>
    <t>40090013023</t>
  </si>
  <si>
    <t>40090013022</t>
  </si>
  <si>
    <t>Introduction to Automotive CE</t>
  </si>
  <si>
    <t>40090013025</t>
  </si>
  <si>
    <t>47.0664</t>
  </si>
  <si>
    <t>ASE Engine Performance CE</t>
  </si>
  <si>
    <t>47.0654</t>
  </si>
  <si>
    <t>ASE Electrical/Electronics CE</t>
  </si>
  <si>
    <r>
      <t xml:space="preserve">Fine Arts </t>
    </r>
    <r>
      <rPr>
        <sz val="11"/>
        <color rgb="FFFF0000"/>
        <rFont val="Arial Narrow"/>
        <family val="2"/>
      </rPr>
      <t>(Art, Music, Theater, Dance, etc.)</t>
    </r>
  </si>
  <si>
    <r>
      <t xml:space="preserve"> Health, Movement, Fitness </t>
    </r>
    <r>
      <rPr>
        <sz val="11"/>
        <color rgb="FFFF0000"/>
        <rFont val="Arial Narrow"/>
        <family val="2"/>
      </rPr>
      <t>(Fitness for Life, Team Sports, PE, etc.)</t>
    </r>
  </si>
  <si>
    <r>
      <t>Language Arts</t>
    </r>
    <r>
      <rPr>
        <sz val="11"/>
        <color rgb="FFFF0000"/>
        <rFont val="Arial Narrow"/>
        <family val="2"/>
      </rPr>
      <t xml:space="preserve"> (Debate, Language Arts Classes K-11, Speech, etc)</t>
    </r>
  </si>
  <si>
    <r>
      <t xml:space="preserve">Mathematics </t>
    </r>
    <r>
      <rPr>
        <sz val="11"/>
        <color rgb="FFFF0000"/>
        <rFont val="Arial Narrow"/>
        <family val="2"/>
      </rPr>
      <t xml:space="preserve"> (Elementary Math., Algebra, Applied Math, Calculus, Statistics, Other)</t>
    </r>
  </si>
  <si>
    <r>
      <t>Science</t>
    </r>
    <r>
      <rPr>
        <sz val="11"/>
        <color rgb="FFFF0000"/>
        <rFont val="Arial Narrow"/>
        <family val="2"/>
      </rPr>
      <t xml:space="preserve"> (Biology, Physics, Chemistry, Earth Sciences)</t>
    </r>
  </si>
  <si>
    <r>
      <t>Social Studies Social Studies</t>
    </r>
    <r>
      <rPr>
        <sz val="11"/>
        <color rgb="FFFF0000"/>
        <rFont val="Arial Narrow"/>
        <family val="2"/>
      </rPr>
      <t xml:space="preserve">  (Anthropology, Economics, Geography, History, World Civ., US History, etc.)</t>
    </r>
  </si>
  <si>
    <r>
      <t xml:space="preserve">CTE  Agricultural Science </t>
    </r>
    <r>
      <rPr>
        <sz val="11"/>
        <color rgb="FFFF0000"/>
        <rFont val="Arial Narrow"/>
        <family val="2"/>
      </rPr>
      <t>(Ag. Mechanics, Ag. Sciences, Conservation, etc.)</t>
    </r>
  </si>
  <si>
    <r>
      <t>CTE  Business Education</t>
    </r>
    <r>
      <rPr>
        <sz val="11"/>
        <color rgb="FFFF0000"/>
        <rFont val="Arial Narrow"/>
        <family val="2"/>
      </rPr>
      <t xml:space="preserve"> (Accounting, Business Law, Desktop Publishing, Keyboarding, etc.)</t>
    </r>
  </si>
  <si>
    <r>
      <t>CTE  Family and Consumer Sciences</t>
    </r>
    <r>
      <rPr>
        <sz val="11"/>
        <color rgb="FFFF0000"/>
        <rFont val="Arial Narrow"/>
        <family val="2"/>
      </rPr>
      <t xml:space="preserve"> (Child Care, Clothing, Foods and Nutrition, etc.)</t>
    </r>
  </si>
  <si>
    <r>
      <t xml:space="preserve">CTE  Information Technology </t>
    </r>
    <r>
      <rPr>
        <sz val="11"/>
        <color rgb="FFFF0000"/>
        <rFont val="Arial Narrow"/>
        <family val="2"/>
      </rPr>
      <t>(Novell Administrator, A+, Programming, Computer Repair, etc.)</t>
    </r>
  </si>
  <si>
    <r>
      <t xml:space="preserve">CTE Health Science and Technology </t>
    </r>
    <r>
      <rPr>
        <sz val="11"/>
        <color rgb="FFFF0000"/>
        <rFont val="Arial Narrow"/>
        <family val="2"/>
      </rPr>
      <t>(LPN, Medical Records, ASL, Medical English, etc.)</t>
    </r>
  </si>
  <si>
    <r>
      <t xml:space="preserve">CTE  Marketing </t>
    </r>
    <r>
      <rPr>
        <sz val="11"/>
        <color rgb="FFFF0000"/>
        <rFont val="Arial Narrow"/>
        <family val="2"/>
      </rPr>
      <t>(Advertising, Marketing Careers, Travel and Tourism, etc.)</t>
    </r>
  </si>
  <si>
    <r>
      <t>CTE  Technology and Engineering Education</t>
    </r>
    <r>
      <rPr>
        <sz val="11"/>
        <color rgb="FFFF0000"/>
        <rFont val="Arial Narrow"/>
        <family val="2"/>
      </rPr>
      <t xml:space="preserve"> (Principles of Technology, PLTW, Digital Electronics, etc.)</t>
    </r>
  </si>
  <si>
    <r>
      <t xml:space="preserve">CTE  General </t>
    </r>
    <r>
      <rPr>
        <sz val="11"/>
        <color rgb="FFFF0000"/>
        <rFont val="Arial Narrow"/>
        <family val="2"/>
      </rPr>
      <t>(Career Exploration, TLC--Not Concurrent Enrollment, etc.)</t>
    </r>
  </si>
  <si>
    <r>
      <t xml:space="preserve">CTE  Trade and Technical </t>
    </r>
    <r>
      <rPr>
        <sz val="11"/>
        <color rgb="FFFF0000"/>
        <rFont val="Arial Narrow"/>
        <family val="2"/>
      </rPr>
      <t>(Cosmetology, Law Enforcement, Fire, Carpentry, Drafting, Aircraft, etc.)</t>
    </r>
  </si>
  <si>
    <r>
      <t>CTE  Work-Based Learning</t>
    </r>
    <r>
      <rPr>
        <sz val="11"/>
        <color rgb="FFFF0000"/>
        <rFont val="Arial Narrow"/>
        <family val="2"/>
      </rPr>
      <t xml:space="preserve"> (Apprenticeship, Critical Workplace Skills, Work-Based Learning)</t>
    </r>
  </si>
  <si>
    <t xml:space="preserve">Diesel Technician CE </t>
  </si>
  <si>
    <t>40090013065</t>
  </si>
  <si>
    <t>47.0613</t>
  </si>
  <si>
    <t xml:space="preserve">Medium/Heavy Vehicle Systems CE </t>
  </si>
  <si>
    <t>40090013015</t>
  </si>
  <si>
    <t>47.0623</t>
  </si>
  <si>
    <t>Collision Refinishing &amp; Painting CE</t>
  </si>
  <si>
    <t>Collision Nonstructural &amp; Structural Repair CE</t>
  </si>
  <si>
    <t>Carpentry I CE</t>
  </si>
  <si>
    <t>Electrician I CE</t>
  </si>
  <si>
    <t>Plumbing I CE</t>
  </si>
  <si>
    <r>
      <t xml:space="preserve">COURSES </t>
    </r>
    <r>
      <rPr>
        <b/>
        <sz val="11"/>
        <color indexed="10"/>
        <rFont val="Arial Narrow"/>
        <family val="2"/>
      </rPr>
      <t>NOT</t>
    </r>
    <r>
      <rPr>
        <b/>
        <sz val="11"/>
        <rFont val="Arial Narrow"/>
        <family val="2"/>
      </rPr>
      <t xml:space="preserve"> APPROVED FOR FY0910 CONCURRENT ENROLLMENT</t>
    </r>
  </si>
  <si>
    <t>Basic Electronics CE</t>
  </si>
  <si>
    <t>Late changes recorded after January 2009</t>
  </si>
  <si>
    <t xml:space="preserve">                                 Last updated 9 October 2009</t>
  </si>
  <si>
    <t>FY 2010-2011</t>
  </si>
  <si>
    <t>formerly PLSC 2100</t>
  </si>
  <si>
    <t>Music Fundamentals</t>
  </si>
  <si>
    <t>"0" enrollments FY0809</t>
  </si>
  <si>
    <t>Added to hiatus 11/9/9</t>
  </si>
  <si>
    <t>Cancelled 11/9/9</t>
  </si>
  <si>
    <t>Computer Programmingh I CE</t>
  </si>
  <si>
    <t>Co-Req: CS 1400.</t>
  </si>
  <si>
    <t>Design and Object Oriented Methodology</t>
  </si>
  <si>
    <t>Co-Req: CS 1415</t>
  </si>
  <si>
    <t>Practical Object Oriented Programming Lab</t>
  </si>
  <si>
    <t>Co-Req: CS 1410</t>
  </si>
  <si>
    <t>02040113023</t>
  </si>
  <si>
    <t>Band III-Small Ensemble CE</t>
  </si>
  <si>
    <t>Geospatial Technology</t>
  </si>
  <si>
    <t>0809</t>
  </si>
  <si>
    <t>On hiatus 0809.  Cancelled 11/20/09</t>
  </si>
  <si>
    <t>Course being revised to 2000 level.</t>
  </si>
  <si>
    <t>Course being revised to 2000 level.  Anticipate a new prereq of actual flight experience.  Course no longer available for concurrent enrollment.</t>
  </si>
  <si>
    <t>Final exam written by the National Restaurant Association standards.</t>
  </si>
  <si>
    <t>Course broken out into lecture and lab.  No curriculum change.</t>
  </si>
  <si>
    <t>Fundamentals of Biotechnology I Lab</t>
  </si>
  <si>
    <t>Biotechnology Experience</t>
  </si>
  <si>
    <t>FASH</t>
  </si>
  <si>
    <t>Intro to Fashion</t>
  </si>
  <si>
    <t>Solo Pilot Roto Wing</t>
  </si>
  <si>
    <t>Fundamentals of Equine Science and Mgt</t>
  </si>
  <si>
    <t>30020013070</t>
  </si>
  <si>
    <t>Equine Science - Year</t>
  </si>
  <si>
    <t>On hiatus 0809.  Cancelled 11/23/09</t>
  </si>
  <si>
    <t>No enrollments.</t>
  </si>
  <si>
    <t>No longer offered at Dixie.</t>
  </si>
  <si>
    <t>Created for Success Academy, is not offered to college students.  Therefore, does not meet CE criteria.</t>
  </si>
  <si>
    <t>Was on hiatus. If low enrollments 1011, will remove from list.</t>
  </si>
  <si>
    <t>Low enrollments.</t>
  </si>
  <si>
    <t>Added to hiatus  11/23/09</t>
  </si>
  <si>
    <t>SLCC faculty will teach these courses.</t>
  </si>
  <si>
    <t>COURSES APPROVED FOR FY1011 CONCURRENT ENROLLMENT</t>
  </si>
  <si>
    <t>2110</t>
  </si>
  <si>
    <t>ASL Second Year I</t>
  </si>
  <si>
    <t>Applied Communication I CE</t>
  </si>
  <si>
    <t>Open to seniors only; students must be 17 years of age. Prereq: PILT 1100 (may be taken concurrently); 2nd class medical certificate.</t>
  </si>
  <si>
    <t>Prereq: MATH 1010 with a "C" or better, or an ACT of 23, or an Accuplacer score of 89.</t>
  </si>
  <si>
    <t>Introduction to Statistics</t>
  </si>
  <si>
    <t>Interpersonal Communication</t>
  </si>
  <si>
    <t>Introduction to Geology</t>
  </si>
  <si>
    <t>formerly 1110 Intro to Human Anatomy/Physiology</t>
  </si>
  <si>
    <t>02.0221</t>
  </si>
  <si>
    <t>Fashion Strategies CE</t>
  </si>
  <si>
    <t>34010013140</t>
  </si>
  <si>
    <t>20.0306</t>
  </si>
  <si>
    <t>ASL - Fifth Year CE 2010</t>
  </si>
  <si>
    <t>HSS</t>
  </si>
  <si>
    <t>Introduction to Diversity</t>
  </si>
  <si>
    <t>Available for Success Academy Students only.</t>
  </si>
  <si>
    <t>Added to hiatus 11/25/9</t>
  </si>
  <si>
    <t>FY0910 WAS THE LAST YEAR THIS COURSE IS TAUGHT.</t>
  </si>
  <si>
    <t>Cancelled 11/30/09</t>
  </si>
  <si>
    <t>Added to hiatus 11/30/9</t>
  </si>
  <si>
    <t>Prereq: ART 1120, 1430, and 2410. Secondary fine arts classes may be substituted for ART 2410.  FY0910 WAS THE LAST YEAR THIS CLASS IS TAUGHT.</t>
  </si>
  <si>
    <t>Business Computer Proficiency</t>
  </si>
  <si>
    <t>Prereq: DGM 1010 with a B- or better OR Basic Computer Applicatiosn Exam with a score of 80% or higher.</t>
  </si>
  <si>
    <r>
      <rPr>
        <sz val="14"/>
        <rFont val="Arial Narrow"/>
        <family val="2"/>
      </rPr>
      <t xml:space="preserve">Typically taught in 9th or 10th grade.                           </t>
    </r>
    <r>
      <rPr>
        <b/>
        <sz val="14"/>
        <rFont val="Arial Narrow"/>
        <family val="2"/>
      </rPr>
      <t>Cancelled effective 1/1/10.</t>
    </r>
  </si>
  <si>
    <t>Too many requirements to offer for concurrent.</t>
  </si>
  <si>
    <t>No match within public education Core curriculum.</t>
  </si>
  <si>
    <t>Prereq: SPAN 1020. Class must be offered for one year.</t>
  </si>
  <si>
    <t>Prereq: GRMN 1020. Class must be offered for one year.</t>
  </si>
  <si>
    <t>Prereq: FRCH 1020. Class must be offered for one year.</t>
  </si>
  <si>
    <t>Prereq: GER 1020 or equivalent knowledge. Class must be offered for one year.</t>
  </si>
  <si>
    <t>Prereq: SPAN 1020 or equivalent knowledge. Class must be offered for one year.</t>
  </si>
  <si>
    <t>Prereq: ASL 1020. Class must be offered for one year.</t>
  </si>
  <si>
    <t>Prereq: FREN 1020 or equivalent knowledge. Class must be offered for one year.</t>
  </si>
  <si>
    <t>formerly Biology with Lab CE, core credit.</t>
  </si>
  <si>
    <t>Insufficient match between public/higher ed curriculum.</t>
  </si>
  <si>
    <t>Placed in hiatus in 0809</t>
  </si>
  <si>
    <t>Low enrollments: 107 registrations FY0809</t>
  </si>
  <si>
    <t>Low enrollments: 124 registrations FY0809</t>
  </si>
  <si>
    <t>Low enrollments: 7 registrations FY0809</t>
  </si>
  <si>
    <r>
      <t>World Languages</t>
    </r>
    <r>
      <rPr>
        <sz val="11"/>
        <color rgb="FFFF0000"/>
        <rFont val="Arial Narrow"/>
        <family val="2"/>
      </rPr>
      <t xml:space="preserve"> (ASL, French, German, Italian, Russian, etc.)</t>
    </r>
  </si>
  <si>
    <t>Painting/Watercolors</t>
  </si>
  <si>
    <t>formerly Beginning Watercolors</t>
  </si>
  <si>
    <t>Painting/Oils</t>
  </si>
  <si>
    <t>formerly Beginning Oil Painting</t>
  </si>
  <si>
    <t>Program of Study Codes</t>
  </si>
  <si>
    <t>How does the course fit within the program?</t>
  </si>
  <si>
    <t>What type of program?</t>
  </si>
  <si>
    <t>A</t>
  </si>
  <si>
    <t>B</t>
  </si>
  <si>
    <t>M</t>
  </si>
  <si>
    <t>D</t>
  </si>
  <si>
    <t>F</t>
  </si>
  <si>
    <t>L</t>
  </si>
  <si>
    <t>Not labeled GenEd in error.</t>
  </si>
  <si>
    <t>Co-Op Work Experience</t>
  </si>
  <si>
    <t>Elective credit "for nonmajors." Catalog p. 228</t>
  </si>
  <si>
    <t xml:space="preserve">Course no longer used for Latino Educators of Tomorrow program.  No registrations FY10. </t>
  </si>
  <si>
    <t xml:space="preserve">formerly PLSC  </t>
  </si>
  <si>
    <t>PSC</t>
  </si>
  <si>
    <t>No longer offered offered at SUU.  See SW ATC/UCAT.</t>
  </si>
  <si>
    <t>Added to hiatus 12/28/09</t>
  </si>
  <si>
    <t>Persistent low enrollments.  Will delete FY12 if no increase.</t>
  </si>
  <si>
    <t>formerly listed as LS in error</t>
  </si>
  <si>
    <t>H listing ommitted in error</t>
  </si>
  <si>
    <t>IR listing ommitted in error</t>
  </si>
  <si>
    <t>Satisfies Human Relations requirement for many CEU cetificates.</t>
  </si>
  <si>
    <t>Added to hiatus 12/3/9.</t>
  </si>
  <si>
    <t>No enrollments.  Will be deleted FY12 if no change</t>
  </si>
  <si>
    <t>No longer used for AUTO program.  Will be deleted FY12 if no change</t>
  </si>
  <si>
    <t>Prereq: WELD 1020. Coreq: WELD 1313 (may be taken after completion of 1303). NOTE: WELD 1303 and 1305 are equivalent to WELD 1300.</t>
  </si>
  <si>
    <t>Prereq: WELD 1020 &amp; 1303. Coreq: WELD 1315  (may be taken after completion of 1305). NOTE: WELD 1303 and 1305 are equivalent to WELD 1300.</t>
  </si>
  <si>
    <t>Students must take DGET 1050 and 1260 to earn DGET 1060 credit, which applied toward a bachelor's degree.</t>
  </si>
  <si>
    <t>Students must take DGET 1150 and 2650 to earn DGET 1160 credit, which applied toward a bachelor's degree.</t>
  </si>
  <si>
    <t>Prereq: DGET 1050 or equivalent.  May be taken concurrently with DGET 1050. Students must take DGET 1250 and 1350 to earn DGET 1360 credit, which applied toward a bachelor's degree.</t>
  </si>
  <si>
    <t>Prereq: DGET 1050 and 1250. NOTE: The concurrent prereq sequence of classes is different than the sequence Weber students complete.  Students must take DGET 1250 and 1350 to earn DGET 1360 credit, which applied toward a bachelor's degree.</t>
  </si>
  <si>
    <t>Prereq: DGET 1050 and 1250. Students must take DGET 1050 and 1260 to earn DGET 1060 credit, which applied toward a bachelor's degree.</t>
  </si>
  <si>
    <t>Prereq: DGET 1160 and 2460. For concurrent students, for FY0708, the department wil determine eligibility for enrollment based on completion of certain 1000-series DGET courses. Students must take DGET 1150 and 2650 to earn DGET 1160 credit, which applied toward a bachelor's degree.</t>
  </si>
  <si>
    <t>U S Democracy amd Civic Engagement</t>
  </si>
  <si>
    <t>"4" enrollments FY0809</t>
  </si>
  <si>
    <t>NOTE:  Working with special needs students earns points toward admission to the Special Education program.</t>
  </si>
  <si>
    <t>Not part of a certificate or degree program. Low enrollments.  Will be deleted FY12 if no change</t>
  </si>
  <si>
    <t>This course is offered for one year and earns core credit.</t>
  </si>
  <si>
    <t>Students taking HIST 1700 for one semester earn elective credit.</t>
  </si>
  <si>
    <t>Students taking a year-long HIST 1700 class earn core credit.</t>
  </si>
  <si>
    <t>Added to hiatus  1/20/10</t>
  </si>
  <si>
    <t>Cross listed for both Entrpre-Mktg and Entrpre-Bus.  Barbering and Cosmetology students use the Bus code.  To be deleted FY12.</t>
  </si>
  <si>
    <t>Added to hiatus 1/27/10</t>
  </si>
  <si>
    <t xml:space="preserve">Not part of a program of study. Will delete FY12. </t>
  </si>
  <si>
    <t>formerly BA.  Added to hiatus 1/27/10</t>
  </si>
  <si>
    <t>Not part of a certificate or degree program. Will be deleted FY12 if no change.</t>
  </si>
  <si>
    <t>This code must be used for semester-long classes.</t>
  </si>
  <si>
    <t>080711</t>
  </si>
  <si>
    <t>37010013165</t>
  </si>
  <si>
    <t>This code must be used for year-long classes.</t>
  </si>
  <si>
    <t>Marketing Semester CE</t>
  </si>
  <si>
    <t>Added alignment to be used for semester-long classes.  011910</t>
  </si>
  <si>
    <t>Listed as Drafting Design Tech in error.</t>
  </si>
  <si>
    <t>Not part of a certificate or degree program. Will delete FY12 if no change</t>
  </si>
</sst>
</file>

<file path=xl/styles.xml><?xml version="1.0" encoding="utf-8"?>
<styleSheet xmlns="http://schemas.openxmlformats.org/spreadsheetml/2006/main">
  <numFmts count="1">
    <numFmt numFmtId="164" formatCode="0.0"/>
  </numFmts>
  <fonts count="64">
    <font>
      <sz val="10"/>
      <name val="Arial"/>
    </font>
    <font>
      <sz val="10"/>
      <name val="Arial"/>
      <family val="2"/>
    </font>
    <font>
      <sz val="10"/>
      <color indexed="8"/>
      <name val="Arial"/>
      <family val="2"/>
    </font>
    <font>
      <sz val="10"/>
      <color indexed="10"/>
      <name val="Arial"/>
      <family val="2"/>
    </font>
    <font>
      <sz val="10"/>
      <name val="Arial Narrow"/>
      <family val="2"/>
    </font>
    <font>
      <sz val="10"/>
      <color indexed="57"/>
      <name val="Arial"/>
      <family val="2"/>
    </font>
    <font>
      <b/>
      <sz val="14"/>
      <color indexed="12"/>
      <name val="Arial"/>
      <family val="2"/>
    </font>
    <font>
      <b/>
      <sz val="18"/>
      <color indexed="10"/>
      <name val="Arial"/>
      <family val="2"/>
    </font>
    <font>
      <b/>
      <sz val="11"/>
      <color indexed="12"/>
      <name val="Arial"/>
      <family val="2"/>
    </font>
    <font>
      <i/>
      <sz val="10"/>
      <name val="Arial"/>
      <family val="2"/>
    </font>
    <font>
      <b/>
      <sz val="12"/>
      <color indexed="10"/>
      <name val="Arial"/>
      <family val="2"/>
    </font>
    <font>
      <b/>
      <sz val="12"/>
      <color indexed="12"/>
      <name val="Arial"/>
      <family val="2"/>
    </font>
    <font>
      <b/>
      <sz val="12"/>
      <color indexed="57"/>
      <name val="Arial"/>
      <family val="2"/>
    </font>
    <font>
      <b/>
      <sz val="12"/>
      <color indexed="57"/>
      <name val="Arial Narrow"/>
      <family val="2"/>
    </font>
    <font>
      <sz val="12"/>
      <name val="Arial"/>
      <family val="2"/>
    </font>
    <font>
      <sz val="11"/>
      <name val="Arial Narrow"/>
      <family val="2"/>
    </font>
    <font>
      <sz val="11"/>
      <color indexed="10"/>
      <name val="Arial Narrow"/>
      <family val="2"/>
    </font>
    <font>
      <sz val="11"/>
      <color indexed="12"/>
      <name val="Arial Narrow"/>
      <family val="2"/>
    </font>
    <font>
      <b/>
      <sz val="14"/>
      <name val="Arial Narrow"/>
      <family val="2"/>
    </font>
    <font>
      <sz val="18"/>
      <name val="Arial"/>
      <family val="2"/>
    </font>
    <font>
      <sz val="16"/>
      <name val="Arial"/>
      <family val="2"/>
    </font>
    <font>
      <sz val="11"/>
      <name val="Arial"/>
      <family val="2"/>
    </font>
    <font>
      <sz val="11"/>
      <name val="Times New Roman"/>
      <family val="1"/>
    </font>
    <font>
      <b/>
      <sz val="11"/>
      <name val="Arial Narrow"/>
      <family val="2"/>
    </font>
    <font>
      <b/>
      <sz val="14"/>
      <name val="Arial"/>
      <family val="2"/>
    </font>
    <font>
      <b/>
      <sz val="11"/>
      <name val="Arial"/>
      <family val="2"/>
    </font>
    <font>
      <sz val="10"/>
      <color indexed="10"/>
      <name val="Arial"/>
      <family val="2"/>
    </font>
    <font>
      <b/>
      <sz val="11"/>
      <color indexed="10"/>
      <name val="Arial Narrow"/>
      <family val="2"/>
    </font>
    <font>
      <b/>
      <sz val="12"/>
      <name val="Arial Narrow"/>
      <family val="2"/>
    </font>
    <font>
      <b/>
      <sz val="14"/>
      <color indexed="10"/>
      <name val="Arial Narrow"/>
      <family val="2"/>
    </font>
    <font>
      <strike/>
      <sz val="11"/>
      <color indexed="12"/>
      <name val="Arial Narrow"/>
      <family val="2"/>
    </font>
    <font>
      <strike/>
      <sz val="11"/>
      <color indexed="10"/>
      <name val="Arial Narrow"/>
      <family val="2"/>
    </font>
    <font>
      <sz val="10"/>
      <color indexed="12"/>
      <name val="Arial"/>
      <family val="2"/>
    </font>
    <font>
      <b/>
      <sz val="11"/>
      <color indexed="57"/>
      <name val="Arial Narrow"/>
      <family val="2"/>
    </font>
    <font>
      <sz val="11"/>
      <color indexed="10"/>
      <name val="Arial"/>
      <family val="2"/>
    </font>
    <font>
      <sz val="14"/>
      <name val="Arial"/>
      <family val="2"/>
    </font>
    <font>
      <b/>
      <sz val="10"/>
      <name val="Arial"/>
      <family val="2"/>
    </font>
    <font>
      <sz val="10"/>
      <color indexed="10"/>
      <name val="Arial Narrow"/>
      <family val="2"/>
    </font>
    <font>
      <sz val="11"/>
      <color theme="3" tint="-0.249977111117893"/>
      <name val="Arial Narrow"/>
      <family val="2"/>
    </font>
    <font>
      <sz val="11"/>
      <color rgb="FF0000FF"/>
      <name val="Arial Narrow"/>
      <family val="2"/>
    </font>
    <font>
      <sz val="10"/>
      <color rgb="FF0000FF"/>
      <name val="Arial Narrow"/>
      <family val="2"/>
    </font>
    <font>
      <sz val="11"/>
      <color rgb="FFFF0000"/>
      <name val="Arial Narrow"/>
      <family val="2"/>
    </font>
    <font>
      <b/>
      <sz val="12"/>
      <color rgb="FFFF0000"/>
      <name val="Arial"/>
      <family val="2"/>
    </font>
    <font>
      <sz val="10"/>
      <color rgb="FFFF0000"/>
      <name val="Arial Narrow"/>
      <family val="2"/>
    </font>
    <font>
      <b/>
      <sz val="11"/>
      <color rgb="FFFF0000"/>
      <name val="Arial Narrow"/>
      <family val="2"/>
    </font>
    <font>
      <sz val="10"/>
      <color theme="4" tint="-0.499984740745262"/>
      <name val="Arial"/>
      <family val="2"/>
    </font>
    <font>
      <sz val="10"/>
      <color rgb="FFFF0000"/>
      <name val="Arial"/>
      <family val="2"/>
    </font>
    <font>
      <b/>
      <sz val="24"/>
      <color theme="2" tint="-0.499984740745262"/>
      <name val="Goudy ExtraBold"/>
      <family val="1"/>
    </font>
    <font>
      <sz val="26"/>
      <color theme="4" tint="-0.499984740745262"/>
      <name val="Goudy ExtraBold"/>
      <family val="1"/>
    </font>
    <font>
      <b/>
      <sz val="12"/>
      <color theme="4" tint="-0.499984740745262"/>
      <name val="Goudy ExtraBold"/>
      <family val="1"/>
    </font>
    <font>
      <sz val="11"/>
      <color theme="4" tint="-0.249977111117893"/>
      <name val="Arial Narrow"/>
      <family val="2"/>
    </font>
    <font>
      <sz val="10"/>
      <color theme="1"/>
      <name val="Arial Narrow"/>
      <family val="2"/>
    </font>
    <font>
      <sz val="26"/>
      <color rgb="FFFF0000"/>
      <name val="Goudy ExtraBold"/>
      <family val="1"/>
    </font>
    <font>
      <b/>
      <sz val="24"/>
      <color rgb="FFFF0000"/>
      <name val="Goudy ExtraBold"/>
      <family val="1"/>
    </font>
    <font>
      <b/>
      <sz val="12"/>
      <color rgb="FFFF0000"/>
      <name val="Goudy ExtraBold"/>
      <family val="1"/>
    </font>
    <font>
      <sz val="12"/>
      <color rgb="FFFF0000"/>
      <name val="Arial"/>
      <family val="2"/>
    </font>
    <font>
      <sz val="11"/>
      <color rgb="FFFF0000"/>
      <name val="Times New Roman"/>
      <family val="1"/>
    </font>
    <font>
      <b/>
      <sz val="14"/>
      <color rgb="FFFF0000"/>
      <name val="Arial Narrow"/>
      <family val="2"/>
    </font>
    <font>
      <sz val="12"/>
      <color rgb="FFFF0000"/>
      <name val="Arial Narrow"/>
      <family val="2"/>
    </font>
    <font>
      <sz val="11"/>
      <color rgb="FF0070C0"/>
      <name val="Arial Narrow"/>
      <family val="2"/>
    </font>
    <font>
      <sz val="14"/>
      <name val="Arial Narrow"/>
      <family val="2"/>
    </font>
    <font>
      <b/>
      <sz val="11"/>
      <color indexed="12"/>
      <name val="Arial Narrow"/>
      <family val="2"/>
    </font>
    <font>
      <b/>
      <sz val="10"/>
      <name val="Arial Narrow"/>
      <family val="2"/>
    </font>
    <font>
      <sz val="10"/>
      <color indexed="12"/>
      <name val="Arial Narrow"/>
      <family val="2"/>
    </font>
  </fonts>
  <fills count="12">
    <fill>
      <patternFill patternType="none"/>
    </fill>
    <fill>
      <patternFill patternType="gray125"/>
    </fill>
    <fill>
      <patternFill patternType="solid">
        <fgColor indexed="43"/>
        <bgColor indexed="64"/>
      </patternFill>
    </fill>
    <fill>
      <patternFill patternType="solid">
        <fgColor indexed="9"/>
        <bgColor indexed="64"/>
      </patternFill>
    </fill>
    <fill>
      <patternFill patternType="solid">
        <fgColor indexed="50"/>
        <bgColor indexed="64"/>
      </patternFill>
    </fill>
    <fill>
      <patternFill patternType="solid">
        <fgColor rgb="FF92D050"/>
        <bgColor indexed="64"/>
      </patternFill>
    </fill>
    <fill>
      <patternFill patternType="solid">
        <fgColor rgb="FFFF0000"/>
        <bgColor indexed="64"/>
      </patternFill>
    </fill>
    <fill>
      <patternFill patternType="solid">
        <fgColor rgb="FFFFFF00"/>
        <bgColor indexed="64"/>
      </patternFill>
    </fill>
    <fill>
      <patternFill patternType="solid">
        <fgColor rgb="FFFFFF99"/>
        <bgColor indexed="64"/>
      </patternFill>
    </fill>
    <fill>
      <patternFill patternType="solid">
        <fgColor rgb="FFFFC000"/>
        <bgColor indexed="64"/>
      </patternFill>
    </fill>
    <fill>
      <patternFill patternType="solid">
        <fgColor theme="8" tint="0.59999389629810485"/>
        <bgColor indexed="64"/>
      </patternFill>
    </fill>
    <fill>
      <patternFill patternType="solid">
        <fgColor theme="9" tint="0.79998168889431442"/>
        <bgColor indexed="64"/>
      </patternFill>
    </fill>
  </fills>
  <borders count="25">
    <border>
      <left/>
      <right/>
      <top/>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10"/>
      </left>
      <right style="thin">
        <color indexed="10"/>
      </right>
      <top style="thin">
        <color indexed="10"/>
      </top>
      <bottom style="thin">
        <color indexed="10"/>
      </bottom>
      <diagonal/>
    </border>
    <border>
      <left/>
      <right/>
      <top/>
      <bottom style="medium">
        <color indexed="64"/>
      </bottom>
      <diagonal/>
    </border>
    <border>
      <left style="thin">
        <color indexed="64"/>
      </left>
      <right/>
      <top style="thin">
        <color indexed="64"/>
      </top>
      <bottom style="thin">
        <color indexed="64"/>
      </bottom>
      <diagonal/>
    </border>
    <border>
      <left style="thin">
        <color indexed="10"/>
      </left>
      <right/>
      <top style="thin">
        <color indexed="10"/>
      </top>
      <bottom style="thin">
        <color indexed="10"/>
      </bottom>
      <diagonal/>
    </border>
    <border>
      <left style="thin">
        <color indexed="64"/>
      </left>
      <right/>
      <top style="medium">
        <color indexed="64"/>
      </top>
      <bottom style="medium">
        <color indexed="64"/>
      </bottom>
      <diagonal/>
    </border>
    <border>
      <left style="thin">
        <color indexed="64"/>
      </left>
      <right/>
      <top/>
      <bottom/>
      <diagonal/>
    </border>
    <border>
      <left/>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style="thin">
        <color indexed="64"/>
      </left>
      <right/>
      <top/>
      <bottom style="medium">
        <color indexed="64"/>
      </bottom>
      <diagonal/>
    </border>
    <border>
      <left style="thin">
        <color indexed="64"/>
      </left>
      <right/>
      <top/>
      <bottom style="thin">
        <color indexed="64"/>
      </bottom>
      <diagonal/>
    </border>
    <border>
      <left/>
      <right/>
      <top/>
      <bottom style="thin">
        <color indexed="64"/>
      </bottom>
      <diagonal/>
    </border>
    <border>
      <left/>
      <right/>
      <top style="thin">
        <color indexed="64"/>
      </top>
      <bottom style="thin">
        <color indexed="64"/>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diagonal/>
    </border>
    <border>
      <left style="thin">
        <color rgb="FFFF0000"/>
      </left>
      <right/>
      <top style="thin">
        <color rgb="FFFF0000"/>
      </top>
      <bottom style="thin">
        <color rgb="FFFF0000"/>
      </bottom>
      <diagonal/>
    </border>
    <border>
      <left/>
      <right style="thin">
        <color indexed="10"/>
      </right>
      <top style="thin">
        <color indexed="10"/>
      </top>
      <bottom style="thin">
        <color indexed="10"/>
      </bottom>
      <diagonal/>
    </border>
  </borders>
  <cellStyleXfs count="2">
    <xf numFmtId="0" fontId="0" fillId="0" borderId="0"/>
    <xf numFmtId="0" fontId="2" fillId="0" borderId="0"/>
  </cellStyleXfs>
  <cellXfs count="330">
    <xf numFmtId="0" fontId="0" fillId="0" borderId="0" xfId="0"/>
    <xf numFmtId="49" fontId="1" fillId="0" borderId="0" xfId="0" applyNumberFormat="1" applyFont="1" applyFill="1" applyBorder="1" applyAlignment="1">
      <alignment vertical="center" wrapText="1"/>
    </xf>
    <xf numFmtId="49" fontId="3" fillId="0" borderId="0" xfId="0" applyNumberFormat="1" applyFont="1" applyFill="1" applyBorder="1" applyAlignment="1">
      <alignment vertical="center" wrapText="1"/>
    </xf>
    <xf numFmtId="49" fontId="4" fillId="0" borderId="0" xfId="0" applyNumberFormat="1" applyFont="1" applyFill="1" applyBorder="1" applyAlignment="1">
      <alignment vertical="center" wrapText="1"/>
    </xf>
    <xf numFmtId="49" fontId="5" fillId="0" borderId="0" xfId="0" applyNumberFormat="1" applyFont="1" applyFill="1" applyBorder="1" applyAlignment="1">
      <alignment vertical="center" wrapText="1"/>
    </xf>
    <xf numFmtId="49" fontId="6" fillId="0" borderId="0" xfId="0" applyNumberFormat="1" applyFont="1" applyFill="1" applyBorder="1" applyAlignment="1">
      <alignment horizontal="center" vertical="center" wrapText="1"/>
    </xf>
    <xf numFmtId="49" fontId="9" fillId="0" borderId="0" xfId="0" applyNumberFormat="1" applyFont="1" applyFill="1" applyBorder="1" applyAlignment="1">
      <alignment vertical="center" wrapText="1"/>
    </xf>
    <xf numFmtId="49" fontId="8" fillId="0" borderId="0" xfId="0" applyNumberFormat="1" applyFont="1" applyFill="1" applyBorder="1" applyAlignment="1">
      <alignment horizontal="left" vertical="center" wrapText="1"/>
    </xf>
    <xf numFmtId="0" fontId="0" fillId="0" borderId="0" xfId="0" applyFill="1"/>
    <xf numFmtId="49" fontId="1" fillId="0" borderId="0" xfId="0" applyNumberFormat="1" applyFont="1" applyFill="1" applyBorder="1" applyAlignment="1">
      <alignment vertical="center"/>
    </xf>
    <xf numFmtId="49" fontId="7" fillId="0" borderId="0" xfId="0" applyNumberFormat="1" applyFont="1" applyFill="1" applyBorder="1" applyAlignment="1">
      <alignment horizontal="center" vertical="center" wrapText="1"/>
    </xf>
    <xf numFmtId="49" fontId="12" fillId="0" borderId="0" xfId="0" applyNumberFormat="1" applyFont="1" applyFill="1" applyBorder="1" applyAlignment="1">
      <alignment horizontal="center" vertical="center" wrapText="1"/>
    </xf>
    <xf numFmtId="49" fontId="13" fillId="0" borderId="0" xfId="0" applyNumberFormat="1" applyFont="1" applyFill="1" applyBorder="1" applyAlignment="1">
      <alignment horizontal="center" vertical="center" wrapText="1"/>
    </xf>
    <xf numFmtId="49" fontId="16" fillId="0" borderId="0" xfId="0" applyNumberFormat="1" applyFont="1" applyFill="1" applyBorder="1" applyAlignment="1">
      <alignment vertical="center" wrapText="1"/>
    </xf>
    <xf numFmtId="49" fontId="16" fillId="2" borderId="1" xfId="0" applyNumberFormat="1" applyFont="1" applyFill="1" applyBorder="1" applyAlignment="1">
      <alignment horizontal="center" vertical="center" wrapText="1"/>
    </xf>
    <xf numFmtId="49" fontId="16" fillId="2" borderId="2" xfId="0" applyNumberFormat="1" applyFont="1" applyFill="1" applyBorder="1" applyAlignment="1">
      <alignment horizontal="center" vertical="center" wrapText="1"/>
    </xf>
    <xf numFmtId="49" fontId="16" fillId="2" borderId="3" xfId="0" applyNumberFormat="1" applyFont="1" applyFill="1" applyBorder="1" applyAlignment="1">
      <alignment horizontal="center" vertical="center" wrapText="1"/>
    </xf>
    <xf numFmtId="49" fontId="17" fillId="2" borderId="3" xfId="0" applyNumberFormat="1" applyFont="1" applyFill="1" applyBorder="1" applyAlignment="1">
      <alignment horizontal="center" vertical="center" textRotation="90" wrapText="1"/>
    </xf>
    <xf numFmtId="49" fontId="17" fillId="2" borderId="3" xfId="0" applyNumberFormat="1" applyFont="1" applyFill="1" applyBorder="1" applyAlignment="1">
      <alignment horizontal="center" vertical="center" wrapText="1"/>
    </xf>
    <xf numFmtId="49" fontId="16" fillId="0" borderId="4" xfId="0" applyNumberFormat="1" applyFont="1" applyFill="1" applyBorder="1" applyAlignment="1">
      <alignment horizontal="center" vertical="center" wrapText="1"/>
    </xf>
    <xf numFmtId="49" fontId="16" fillId="0" borderId="5" xfId="0" applyNumberFormat="1" applyFont="1" applyFill="1" applyBorder="1" applyAlignment="1">
      <alignment horizontal="center" vertical="center" wrapText="1"/>
    </xf>
    <xf numFmtId="49" fontId="16" fillId="0" borderId="6" xfId="0" applyNumberFormat="1" applyFont="1" applyFill="1" applyBorder="1" applyAlignment="1">
      <alignment horizontal="center" vertical="center" wrapText="1"/>
    </xf>
    <xf numFmtId="49" fontId="17" fillId="0" borderId="6" xfId="0" applyNumberFormat="1" applyFont="1" applyFill="1" applyBorder="1" applyAlignment="1">
      <alignment horizontal="center" vertical="center" wrapText="1"/>
    </xf>
    <xf numFmtId="49" fontId="17" fillId="0" borderId="6" xfId="0" quotePrefix="1" applyNumberFormat="1" applyFont="1" applyFill="1" applyBorder="1" applyAlignment="1">
      <alignment horizontal="center" vertical="center" wrapText="1"/>
    </xf>
    <xf numFmtId="0" fontId="17" fillId="0" borderId="6" xfId="0" applyNumberFormat="1" applyFont="1" applyFill="1" applyBorder="1" applyAlignment="1">
      <alignment horizontal="center" vertical="center" wrapText="1"/>
    </xf>
    <xf numFmtId="49" fontId="17" fillId="0" borderId="6" xfId="0" quotePrefix="1" applyNumberFormat="1" applyFont="1" applyFill="1" applyBorder="1" applyAlignment="1">
      <alignment horizontal="left" vertical="center" wrapText="1"/>
    </xf>
    <xf numFmtId="49" fontId="17" fillId="0" borderId="6" xfId="0" applyNumberFormat="1" applyFont="1" applyFill="1" applyBorder="1" applyAlignment="1">
      <alignment horizontal="left" vertical="center" wrapText="1"/>
    </xf>
    <xf numFmtId="0" fontId="17" fillId="0" borderId="6" xfId="0" applyNumberFormat="1" applyFont="1" applyFill="1" applyBorder="1" applyAlignment="1">
      <alignment horizontal="center" wrapText="1"/>
    </xf>
    <xf numFmtId="49" fontId="16" fillId="0" borderId="6" xfId="0" applyNumberFormat="1" applyFont="1" applyFill="1" applyBorder="1" applyAlignment="1">
      <alignment horizontal="left" vertical="center" wrapText="1"/>
    </xf>
    <xf numFmtId="0" fontId="16" fillId="0" borderId="6" xfId="0" applyNumberFormat="1" applyFont="1" applyFill="1" applyBorder="1" applyAlignment="1">
      <alignment horizontal="left" vertical="center" wrapText="1"/>
    </xf>
    <xf numFmtId="0" fontId="16" fillId="0" borderId="6" xfId="0" applyNumberFormat="1" applyFont="1" applyFill="1" applyBorder="1" applyAlignment="1">
      <alignment horizontal="left" wrapText="1"/>
    </xf>
    <xf numFmtId="49" fontId="11" fillId="0" borderId="0" xfId="0" applyNumberFormat="1" applyFont="1" applyFill="1" applyBorder="1" applyAlignment="1">
      <alignment horizontal="left" vertical="center" wrapText="1"/>
    </xf>
    <xf numFmtId="49" fontId="18" fillId="0" borderId="0" xfId="0" applyNumberFormat="1" applyFont="1" applyFill="1" applyBorder="1" applyAlignment="1">
      <alignment vertical="center" wrapText="1"/>
    </xf>
    <xf numFmtId="49" fontId="19" fillId="0" borderId="0" xfId="0" applyNumberFormat="1" applyFont="1" applyFill="1" applyBorder="1" applyAlignment="1">
      <alignment vertical="center" wrapText="1"/>
    </xf>
    <xf numFmtId="49" fontId="14" fillId="0" borderId="0" xfId="0" applyNumberFormat="1" applyFont="1" applyFill="1" applyBorder="1" applyAlignment="1">
      <alignment vertical="center" wrapText="1"/>
    </xf>
    <xf numFmtId="49" fontId="18" fillId="0" borderId="0" xfId="0" applyNumberFormat="1" applyFont="1" applyFill="1" applyBorder="1" applyAlignment="1">
      <alignment vertical="center"/>
    </xf>
    <xf numFmtId="49" fontId="10" fillId="0" borderId="0" xfId="0" applyNumberFormat="1" applyFont="1" applyFill="1" applyBorder="1" applyAlignment="1">
      <alignment horizontal="center" vertical="center" wrapText="1"/>
    </xf>
    <xf numFmtId="49" fontId="11" fillId="0" borderId="0" xfId="0" applyNumberFormat="1" applyFont="1" applyFill="1" applyBorder="1" applyAlignment="1">
      <alignment horizontal="center" vertical="center" wrapText="1"/>
    </xf>
    <xf numFmtId="49" fontId="23" fillId="0" borderId="0" xfId="0" applyNumberFormat="1" applyFont="1" applyFill="1" applyBorder="1" applyAlignment="1">
      <alignment horizontal="center" vertical="center" wrapText="1"/>
    </xf>
    <xf numFmtId="49" fontId="23" fillId="0" borderId="0" xfId="0" quotePrefix="1" applyNumberFormat="1" applyFont="1" applyFill="1" applyBorder="1" applyAlignment="1">
      <alignment horizontal="center" vertical="center" wrapText="1"/>
    </xf>
    <xf numFmtId="49" fontId="15" fillId="0" borderId="0" xfId="0" applyNumberFormat="1" applyFont="1" applyFill="1" applyBorder="1" applyAlignment="1">
      <alignment horizontal="left" vertical="center"/>
    </xf>
    <xf numFmtId="49" fontId="23" fillId="0" borderId="0" xfId="0" applyNumberFormat="1" applyFont="1" applyFill="1" applyBorder="1" applyAlignment="1">
      <alignment horizontal="center" vertical="center"/>
    </xf>
    <xf numFmtId="49" fontId="15" fillId="0" borderId="0" xfId="0" applyNumberFormat="1" applyFont="1" applyFill="1" applyBorder="1" applyAlignment="1">
      <alignment horizontal="center" vertical="center"/>
    </xf>
    <xf numFmtId="49" fontId="16" fillId="0" borderId="6" xfId="0" applyNumberFormat="1" applyFont="1" applyFill="1" applyBorder="1" applyAlignment="1">
      <alignment vertical="center" wrapText="1"/>
    </xf>
    <xf numFmtId="49" fontId="17" fillId="0" borderId="6" xfId="0" applyNumberFormat="1" applyFont="1" applyFill="1" applyBorder="1" applyAlignment="1">
      <alignment vertical="center" wrapText="1"/>
    </xf>
    <xf numFmtId="49" fontId="16" fillId="0" borderId="6" xfId="0" applyNumberFormat="1" applyFont="1" applyFill="1" applyBorder="1" applyAlignment="1">
      <alignment horizontal="center" vertical="center"/>
    </xf>
    <xf numFmtId="0" fontId="16" fillId="0" borderId="6" xfId="0" applyNumberFormat="1" applyFont="1" applyFill="1" applyBorder="1" applyAlignment="1">
      <alignment vertical="center" wrapText="1"/>
    </xf>
    <xf numFmtId="49" fontId="16" fillId="2" borderId="7" xfId="0" applyNumberFormat="1" applyFont="1" applyFill="1" applyBorder="1" applyAlignment="1">
      <alignment horizontal="center" vertical="center" wrapText="1"/>
    </xf>
    <xf numFmtId="49" fontId="16" fillId="2" borderId="7" xfId="0" applyNumberFormat="1" applyFont="1" applyFill="1" applyBorder="1" applyAlignment="1">
      <alignment vertical="center" wrapText="1"/>
    </xf>
    <xf numFmtId="49" fontId="17" fillId="2" borderId="7" xfId="0" applyNumberFormat="1" applyFont="1" applyFill="1" applyBorder="1" applyAlignment="1">
      <alignment horizontal="center" vertical="center" textRotation="90" wrapText="1"/>
    </xf>
    <xf numFmtId="49" fontId="17" fillId="2" borderId="7" xfId="0" applyNumberFormat="1" applyFont="1" applyFill="1" applyBorder="1" applyAlignment="1">
      <alignment horizontal="center" vertical="center" wrapText="1"/>
    </xf>
    <xf numFmtId="1" fontId="17" fillId="2" borderId="7" xfId="0" applyNumberFormat="1" applyFont="1" applyFill="1" applyBorder="1" applyAlignment="1">
      <alignment horizontal="center" vertical="center" wrapText="1"/>
    </xf>
    <xf numFmtId="0" fontId="16" fillId="0" borderId="6" xfId="0" applyNumberFormat="1" applyFont="1" applyFill="1" applyBorder="1" applyAlignment="1">
      <alignment wrapText="1"/>
    </xf>
    <xf numFmtId="49" fontId="16" fillId="0" borderId="8" xfId="0" applyNumberFormat="1" applyFont="1" applyFill="1" applyBorder="1" applyAlignment="1">
      <alignment horizontal="center" vertical="center" wrapText="1"/>
    </xf>
    <xf numFmtId="49" fontId="16" fillId="0" borderId="0" xfId="0" applyNumberFormat="1" applyFont="1" applyFill="1" applyBorder="1" applyAlignment="1">
      <alignment horizontal="center" vertical="center" wrapText="1"/>
    </xf>
    <xf numFmtId="49" fontId="17" fillId="0" borderId="8" xfId="0" applyNumberFormat="1" applyFont="1" applyFill="1" applyBorder="1" applyAlignment="1">
      <alignment horizontal="center" vertical="center" wrapText="1"/>
    </xf>
    <xf numFmtId="49" fontId="17" fillId="0" borderId="0" xfId="0" applyNumberFormat="1" applyFont="1" applyFill="1" applyBorder="1" applyAlignment="1">
      <alignment horizontal="center" vertical="center" wrapText="1"/>
    </xf>
    <xf numFmtId="49" fontId="7" fillId="0" borderId="6" xfId="0" applyNumberFormat="1" applyFont="1" applyFill="1" applyBorder="1" applyAlignment="1">
      <alignment horizontal="center" vertical="center" wrapText="1"/>
    </xf>
    <xf numFmtId="49" fontId="16" fillId="0" borderId="6" xfId="0" applyNumberFormat="1" applyFont="1" applyFill="1" applyBorder="1" applyAlignment="1">
      <alignment horizontal="center" vertical="top" wrapText="1"/>
    </xf>
    <xf numFmtId="49" fontId="16" fillId="0" borderId="6" xfId="0" applyNumberFormat="1" applyFont="1" applyFill="1" applyBorder="1" applyAlignment="1">
      <alignment horizontal="left" vertical="top" wrapText="1"/>
    </xf>
    <xf numFmtId="49" fontId="16" fillId="0" borderId="6" xfId="0" applyNumberFormat="1" applyFont="1" applyFill="1" applyBorder="1" applyAlignment="1">
      <alignment vertical="top" wrapText="1"/>
    </xf>
    <xf numFmtId="49" fontId="17" fillId="0" borderId="6" xfId="0" applyNumberFormat="1" applyFont="1" applyFill="1" applyBorder="1" applyAlignment="1">
      <alignment horizontal="center" vertical="top" wrapText="1"/>
    </xf>
    <xf numFmtId="49" fontId="23" fillId="0" borderId="0" xfId="0" applyNumberFormat="1" applyFont="1" applyFill="1" applyBorder="1" applyAlignment="1">
      <alignment vertical="center" wrapText="1"/>
    </xf>
    <xf numFmtId="49" fontId="8" fillId="0" borderId="0" xfId="0" applyNumberFormat="1" applyFont="1" applyFill="1" applyBorder="1" applyAlignment="1">
      <alignment horizontal="center" vertical="center" wrapText="1"/>
    </xf>
    <xf numFmtId="49" fontId="20" fillId="0" borderId="0" xfId="0" applyNumberFormat="1" applyFont="1" applyFill="1" applyBorder="1" applyAlignment="1">
      <alignment horizontal="center" vertical="center" wrapText="1"/>
    </xf>
    <xf numFmtId="49" fontId="18" fillId="0" borderId="0" xfId="0" applyNumberFormat="1" applyFont="1" applyFill="1" applyBorder="1" applyAlignment="1">
      <alignment horizontal="center" vertical="center"/>
    </xf>
    <xf numFmtId="49" fontId="24" fillId="0" borderId="0" xfId="0" applyNumberFormat="1" applyFont="1" applyFill="1" applyBorder="1" applyAlignment="1">
      <alignment horizontal="center" vertical="center" wrapText="1"/>
    </xf>
    <xf numFmtId="1" fontId="17" fillId="0" borderId="6" xfId="0" quotePrefix="1" applyNumberFormat="1" applyFont="1" applyFill="1" applyBorder="1" applyAlignment="1">
      <alignment horizontal="center" vertical="center" wrapText="1"/>
    </xf>
    <xf numFmtId="1" fontId="17" fillId="0" borderId="6" xfId="0" applyNumberFormat="1" applyFont="1" applyFill="1" applyBorder="1" applyAlignment="1">
      <alignment horizontal="center" vertical="center" wrapText="1"/>
    </xf>
    <xf numFmtId="1" fontId="17" fillId="0" borderId="6" xfId="0" quotePrefix="1" applyNumberFormat="1" applyFont="1" applyFill="1" applyBorder="1" applyAlignment="1">
      <alignment horizontal="center" vertical="top" wrapText="1"/>
    </xf>
    <xf numFmtId="49" fontId="21" fillId="0" borderId="0" xfId="0" applyNumberFormat="1" applyFont="1" applyFill="1" applyBorder="1" applyAlignment="1">
      <alignment horizontal="left" vertical="center" wrapText="1"/>
    </xf>
    <xf numFmtId="49" fontId="17" fillId="2" borderId="7" xfId="0" applyNumberFormat="1" applyFont="1" applyFill="1" applyBorder="1" applyAlignment="1">
      <alignment horizontal="left" vertical="center" wrapText="1"/>
    </xf>
    <xf numFmtId="49" fontId="17" fillId="2" borderId="3" xfId="0" applyNumberFormat="1" applyFont="1" applyFill="1" applyBorder="1" applyAlignment="1">
      <alignment horizontal="left" vertical="center" wrapText="1"/>
    </xf>
    <xf numFmtId="49" fontId="17" fillId="0" borderId="6" xfId="1" applyNumberFormat="1" applyFont="1" applyFill="1" applyBorder="1" applyAlignment="1">
      <alignment horizontal="left" vertical="center" wrapText="1"/>
    </xf>
    <xf numFmtId="49" fontId="17" fillId="0" borderId="6" xfId="0" applyNumberFormat="1" applyFont="1" applyFill="1" applyBorder="1" applyAlignment="1">
      <alignment horizontal="left" vertical="top" wrapText="1"/>
    </xf>
    <xf numFmtId="0" fontId="17" fillId="0" borderId="6" xfId="0" applyNumberFormat="1" applyFont="1" applyFill="1" applyBorder="1" applyAlignment="1">
      <alignment horizontal="left" vertical="center" wrapText="1"/>
    </xf>
    <xf numFmtId="0" fontId="17" fillId="0" borderId="6" xfId="0" quotePrefix="1" applyNumberFormat="1" applyFont="1" applyFill="1" applyBorder="1" applyAlignment="1">
      <alignment horizontal="left" vertical="center" wrapText="1"/>
    </xf>
    <xf numFmtId="164" fontId="17" fillId="0" borderId="6" xfId="0" applyNumberFormat="1" applyFont="1" applyFill="1" applyBorder="1" applyAlignment="1">
      <alignment horizontal="left" vertical="center" wrapText="1"/>
    </xf>
    <xf numFmtId="49" fontId="30" fillId="0" borderId="6" xfId="0" applyNumberFormat="1" applyFont="1" applyFill="1" applyBorder="1" applyAlignment="1">
      <alignment horizontal="center" vertical="center" wrapText="1"/>
    </xf>
    <xf numFmtId="0" fontId="0" fillId="0" borderId="6" xfId="0" applyFill="1" applyBorder="1" applyAlignment="1"/>
    <xf numFmtId="49" fontId="15" fillId="0" borderId="6" xfId="0" quotePrefix="1" applyNumberFormat="1" applyFont="1" applyFill="1" applyBorder="1" applyAlignment="1">
      <alignment horizontal="left" vertical="center" wrapText="1"/>
    </xf>
    <xf numFmtId="49" fontId="16" fillId="0" borderId="4" xfId="0" applyNumberFormat="1" applyFont="1" applyFill="1" applyBorder="1" applyAlignment="1">
      <alignment horizontal="center" vertical="center"/>
    </xf>
    <xf numFmtId="49" fontId="16" fillId="0" borderId="0" xfId="0" applyNumberFormat="1" applyFont="1" applyFill="1" applyBorder="1" applyAlignment="1">
      <alignment horizontal="center" vertical="center"/>
    </xf>
    <xf numFmtId="1" fontId="17" fillId="0" borderId="6" xfId="0" applyNumberFormat="1" applyFont="1" applyFill="1" applyBorder="1" applyAlignment="1">
      <alignment horizontal="center" vertical="top" wrapText="1"/>
    </xf>
    <xf numFmtId="49" fontId="16" fillId="0" borderId="0" xfId="0" applyNumberFormat="1" applyFont="1" applyFill="1" applyAlignment="1">
      <alignment horizontal="center" vertical="center" wrapText="1"/>
    </xf>
    <xf numFmtId="49" fontId="16" fillId="0" borderId="8" xfId="0" applyNumberFormat="1" applyFont="1" applyFill="1" applyBorder="1" applyAlignment="1">
      <alignment horizontal="left" vertical="center" wrapText="1"/>
    </xf>
    <xf numFmtId="49" fontId="16" fillId="0" borderId="8" xfId="0" applyNumberFormat="1" applyFont="1" applyFill="1" applyBorder="1" applyAlignment="1">
      <alignment vertical="center" wrapText="1"/>
    </xf>
    <xf numFmtId="49" fontId="15" fillId="0" borderId="6" xfId="0" applyNumberFormat="1" applyFont="1" applyFill="1" applyBorder="1" applyAlignment="1">
      <alignment horizontal="center" vertical="center" wrapText="1"/>
    </xf>
    <xf numFmtId="49" fontId="38" fillId="0" borderId="6" xfId="0" applyNumberFormat="1" applyFont="1" applyFill="1" applyBorder="1" applyAlignment="1">
      <alignment horizontal="center" vertical="center" wrapText="1"/>
    </xf>
    <xf numFmtId="49" fontId="3" fillId="0" borderId="6" xfId="0" applyNumberFormat="1" applyFont="1" applyFill="1" applyBorder="1" applyAlignment="1">
      <alignment horizontal="center" vertical="center" wrapText="1"/>
    </xf>
    <xf numFmtId="49" fontId="16" fillId="0" borderId="0" xfId="0" applyNumberFormat="1" applyFont="1" applyFill="1" applyAlignment="1">
      <alignment horizontal="center" vertical="center"/>
    </xf>
    <xf numFmtId="49" fontId="32" fillId="0" borderId="6" xfId="0" applyNumberFormat="1" applyFont="1" applyFill="1" applyBorder="1" applyAlignment="1">
      <alignment horizontal="center" vertical="center" wrapText="1"/>
    </xf>
    <xf numFmtId="1" fontId="17" fillId="0" borderId="8" xfId="0" quotePrefix="1" applyNumberFormat="1" applyFont="1" applyFill="1" applyBorder="1" applyAlignment="1">
      <alignment horizontal="center" vertical="center" wrapText="1"/>
    </xf>
    <xf numFmtId="1" fontId="32" fillId="0" borderId="6" xfId="0" quotePrefix="1" applyNumberFormat="1" applyFont="1" applyFill="1" applyBorder="1" applyAlignment="1">
      <alignment horizontal="center" vertical="center" wrapText="1"/>
    </xf>
    <xf numFmtId="1" fontId="39" fillId="0" borderId="6" xfId="0" applyNumberFormat="1" applyFont="1" applyFill="1" applyBorder="1" applyAlignment="1">
      <alignment horizontal="center" vertical="center" wrapText="1"/>
    </xf>
    <xf numFmtId="49" fontId="39" fillId="0" borderId="6" xfId="0" applyNumberFormat="1" applyFont="1" applyFill="1" applyBorder="1" applyAlignment="1">
      <alignment horizontal="left" vertical="center" wrapText="1"/>
    </xf>
    <xf numFmtId="0" fontId="40" fillId="0" borderId="6" xfId="0" applyFont="1" applyFill="1" applyBorder="1" applyAlignment="1">
      <alignment horizontal="center" vertical="center"/>
    </xf>
    <xf numFmtId="49" fontId="10" fillId="0" borderId="0" xfId="0" applyNumberFormat="1" applyFont="1" applyFill="1" applyBorder="1" applyAlignment="1">
      <alignment vertical="center" wrapText="1"/>
    </xf>
    <xf numFmtId="0" fontId="15" fillId="0" borderId="0" xfId="0" applyFont="1" applyAlignment="1">
      <alignment vertical="center" wrapText="1"/>
    </xf>
    <xf numFmtId="49" fontId="16" fillId="2" borderId="3" xfId="0" applyNumberFormat="1" applyFont="1" applyFill="1" applyBorder="1" applyAlignment="1">
      <alignment vertical="center" wrapText="1"/>
    </xf>
    <xf numFmtId="49" fontId="31" fillId="0" borderId="6" xfId="0" applyNumberFormat="1" applyFont="1" applyFill="1" applyBorder="1" applyAlignment="1">
      <alignment vertical="center" wrapText="1"/>
    </xf>
    <xf numFmtId="49" fontId="41" fillId="0" borderId="6" xfId="0" applyNumberFormat="1" applyFont="1" applyFill="1" applyBorder="1" applyAlignment="1">
      <alignment vertical="center" wrapText="1"/>
    </xf>
    <xf numFmtId="49" fontId="23" fillId="0" borderId="6" xfId="0" applyNumberFormat="1" applyFont="1" applyFill="1" applyBorder="1" applyAlignment="1">
      <alignment vertical="center" wrapText="1"/>
    </xf>
    <xf numFmtId="49" fontId="27" fillId="0" borderId="6" xfId="0" applyNumberFormat="1" applyFont="1" applyFill="1" applyBorder="1" applyAlignment="1">
      <alignment vertical="center" wrapText="1"/>
    </xf>
    <xf numFmtId="0" fontId="15" fillId="0" borderId="6" xfId="0" applyNumberFormat="1" applyFont="1" applyFill="1" applyBorder="1" applyAlignment="1">
      <alignment vertical="center" wrapText="1"/>
    </xf>
    <xf numFmtId="49" fontId="41" fillId="0" borderId="6" xfId="0" applyNumberFormat="1" applyFont="1" applyFill="1" applyBorder="1" applyAlignment="1">
      <alignment horizontal="center" vertical="center" wrapText="1"/>
    </xf>
    <xf numFmtId="49" fontId="41" fillId="0" borderId="6" xfId="0" applyNumberFormat="1" applyFont="1" applyFill="1" applyBorder="1" applyAlignment="1">
      <alignment horizontal="left" vertical="center" wrapText="1"/>
    </xf>
    <xf numFmtId="49" fontId="39" fillId="0" borderId="6" xfId="0" applyNumberFormat="1" applyFont="1" applyFill="1" applyBorder="1" applyAlignment="1">
      <alignment horizontal="center" vertical="center" wrapText="1"/>
    </xf>
    <xf numFmtId="1" fontId="39" fillId="0" borderId="6" xfId="0" quotePrefix="1" applyNumberFormat="1" applyFont="1" applyFill="1" applyBorder="1" applyAlignment="1">
      <alignment horizontal="center" vertical="center" wrapText="1"/>
    </xf>
    <xf numFmtId="49" fontId="39" fillId="0" borderId="6" xfId="0" quotePrefix="1" applyNumberFormat="1" applyFont="1" applyFill="1" applyBorder="1" applyAlignment="1">
      <alignment horizontal="left" vertical="center" wrapText="1"/>
    </xf>
    <xf numFmtId="49" fontId="17" fillId="0" borderId="10" xfId="0" applyNumberFormat="1" applyFont="1" applyFill="1" applyBorder="1" applyAlignment="1">
      <alignment horizontal="center" vertical="center" wrapText="1"/>
    </xf>
    <xf numFmtId="49" fontId="33" fillId="0" borderId="0" xfId="0" applyNumberFormat="1" applyFont="1" applyFill="1" applyBorder="1" applyAlignment="1">
      <alignment horizontal="center" vertical="center" wrapText="1"/>
    </xf>
    <xf numFmtId="49" fontId="17" fillId="0" borderId="10" xfId="0" quotePrefix="1" applyNumberFormat="1" applyFont="1" applyFill="1" applyBorder="1" applyAlignment="1">
      <alignment horizontal="center" vertical="center" wrapText="1"/>
    </xf>
    <xf numFmtId="49" fontId="17" fillId="0" borderId="11" xfId="0" quotePrefix="1" applyNumberFormat="1" applyFont="1" applyFill="1" applyBorder="1" applyAlignment="1">
      <alignment horizontal="center" vertical="center" wrapText="1"/>
    </xf>
    <xf numFmtId="49" fontId="39" fillId="0" borderId="10" xfId="0" quotePrefix="1" applyNumberFormat="1" applyFont="1" applyFill="1" applyBorder="1" applyAlignment="1">
      <alignment horizontal="center" vertical="center" wrapText="1"/>
    </xf>
    <xf numFmtId="49" fontId="39" fillId="0" borderId="10" xfId="0" applyNumberFormat="1" applyFont="1" applyFill="1" applyBorder="1" applyAlignment="1">
      <alignment horizontal="center" vertical="center" wrapText="1"/>
    </xf>
    <xf numFmtId="49" fontId="25" fillId="0" borderId="0" xfId="0" applyNumberFormat="1" applyFont="1" applyFill="1" applyBorder="1" applyAlignment="1">
      <alignment horizontal="center" vertical="center" wrapText="1"/>
    </xf>
    <xf numFmtId="49" fontId="17" fillId="2" borderId="12" xfId="0" applyNumberFormat="1" applyFont="1" applyFill="1" applyBorder="1" applyAlignment="1">
      <alignment horizontal="center" vertical="center" wrapText="1"/>
    </xf>
    <xf numFmtId="49" fontId="42" fillId="0" borderId="0" xfId="0" applyNumberFormat="1" applyFont="1" applyFill="1" applyBorder="1" applyAlignment="1">
      <alignment horizontal="left" vertical="center" wrapText="1"/>
    </xf>
    <xf numFmtId="49" fontId="34" fillId="0" borderId="0" xfId="0" applyNumberFormat="1" applyFont="1" applyFill="1" applyBorder="1" applyAlignment="1">
      <alignment vertical="center"/>
    </xf>
    <xf numFmtId="0" fontId="0" fillId="0" borderId="6" xfId="0" applyFill="1" applyBorder="1"/>
    <xf numFmtId="0" fontId="16" fillId="0" borderId="6" xfId="0" applyFont="1" applyFill="1" applyBorder="1" applyAlignment="1">
      <alignment vertical="top"/>
    </xf>
    <xf numFmtId="0" fontId="39" fillId="0" borderId="6" xfId="0" applyFont="1" applyFill="1" applyBorder="1" applyAlignment="1">
      <alignment horizontal="center" vertical="center"/>
    </xf>
    <xf numFmtId="49" fontId="16" fillId="5" borderId="6" xfId="0" applyNumberFormat="1" applyFont="1" applyFill="1" applyBorder="1" applyAlignment="1">
      <alignment vertical="center" wrapText="1"/>
    </xf>
    <xf numFmtId="49" fontId="4" fillId="0" borderId="13" xfId="0" applyNumberFormat="1" applyFont="1" applyFill="1" applyBorder="1" applyAlignment="1">
      <alignment vertical="center" wrapText="1"/>
    </xf>
    <xf numFmtId="49" fontId="16" fillId="5" borderId="6" xfId="0" applyNumberFormat="1" applyFont="1" applyFill="1" applyBorder="1" applyAlignment="1">
      <alignment horizontal="center" vertical="center" wrapText="1"/>
    </xf>
    <xf numFmtId="1" fontId="15" fillId="0" borderId="0" xfId="0" applyNumberFormat="1" applyFont="1" applyFill="1" applyBorder="1" applyAlignment="1">
      <alignment horizontal="center" vertical="center" wrapText="1"/>
    </xf>
    <xf numFmtId="49" fontId="17" fillId="0" borderId="0" xfId="0" applyNumberFormat="1" applyFont="1" applyFill="1" applyBorder="1" applyAlignment="1">
      <alignment horizontal="left" vertical="center" wrapText="1"/>
    </xf>
    <xf numFmtId="0" fontId="21" fillId="0" borderId="6" xfId="0" applyFont="1" applyFill="1" applyBorder="1" applyAlignment="1">
      <alignment horizontal="center" vertical="center" wrapText="1"/>
    </xf>
    <xf numFmtId="1" fontId="17" fillId="0" borderId="0" xfId="0" quotePrefix="1" applyNumberFormat="1" applyFont="1" applyFill="1" applyBorder="1" applyAlignment="1">
      <alignment horizontal="center" vertical="center" wrapText="1"/>
    </xf>
    <xf numFmtId="49" fontId="17" fillId="0" borderId="0" xfId="0" quotePrefix="1" applyNumberFormat="1" applyFont="1" applyFill="1" applyBorder="1" applyAlignment="1">
      <alignment horizontal="center" vertical="center" wrapText="1"/>
    </xf>
    <xf numFmtId="49" fontId="17" fillId="5" borderId="6" xfId="0" applyNumberFormat="1" applyFont="1" applyFill="1" applyBorder="1" applyAlignment="1">
      <alignment horizontal="center" vertical="center" wrapText="1"/>
    </xf>
    <xf numFmtId="0" fontId="40" fillId="5" borderId="6" xfId="0" applyFont="1" applyFill="1" applyBorder="1" applyAlignment="1">
      <alignment horizontal="center" vertical="center"/>
    </xf>
    <xf numFmtId="1" fontId="17" fillId="5" borderId="6" xfId="0" quotePrefix="1" applyNumberFormat="1" applyFont="1" applyFill="1" applyBorder="1" applyAlignment="1">
      <alignment horizontal="center" vertical="center" wrapText="1"/>
    </xf>
    <xf numFmtId="49" fontId="17" fillId="5" borderId="6" xfId="0" applyNumberFormat="1" applyFont="1" applyFill="1" applyBorder="1" applyAlignment="1">
      <alignment horizontal="left" vertical="center" wrapText="1"/>
    </xf>
    <xf numFmtId="0" fontId="16" fillId="0" borderId="6" xfId="0" applyFont="1" applyFill="1" applyBorder="1" applyAlignment="1">
      <alignment horizontal="center" vertical="center" wrapText="1"/>
    </xf>
    <xf numFmtId="0" fontId="16" fillId="0" borderId="6" xfId="0" applyFont="1" applyFill="1" applyBorder="1" applyAlignment="1">
      <alignment horizontal="center"/>
    </xf>
    <xf numFmtId="0" fontId="16" fillId="0" borderId="6" xfId="0" applyFont="1" applyFill="1" applyBorder="1" applyAlignment="1">
      <alignment horizontal="center" vertical="top"/>
    </xf>
    <xf numFmtId="49" fontId="16" fillId="0" borderId="13" xfId="0" applyNumberFormat="1" applyFont="1" applyFill="1" applyBorder="1" applyAlignment="1">
      <alignment horizontal="center" vertical="center" wrapText="1"/>
    </xf>
    <xf numFmtId="49" fontId="15" fillId="6" borderId="6" xfId="0" applyNumberFormat="1" applyFont="1" applyFill="1" applyBorder="1" applyAlignment="1">
      <alignment horizontal="center" vertical="center" wrapText="1"/>
    </xf>
    <xf numFmtId="49" fontId="15" fillId="6" borderId="6" xfId="0" applyNumberFormat="1" applyFont="1" applyFill="1" applyBorder="1" applyAlignment="1">
      <alignment horizontal="left" vertical="center" wrapText="1"/>
    </xf>
    <xf numFmtId="49" fontId="15" fillId="6" borderId="6" xfId="0" applyNumberFormat="1" applyFont="1" applyFill="1" applyBorder="1" applyAlignment="1">
      <alignment vertical="center" wrapText="1"/>
    </xf>
    <xf numFmtId="1" fontId="15" fillId="6" borderId="6" xfId="0" quotePrefix="1" applyNumberFormat="1" applyFont="1" applyFill="1" applyBorder="1" applyAlignment="1">
      <alignment horizontal="center" vertical="center" wrapText="1"/>
    </xf>
    <xf numFmtId="0" fontId="17" fillId="0" borderId="0" xfId="0" applyNumberFormat="1" applyFont="1" applyFill="1" applyBorder="1" applyAlignment="1">
      <alignment horizontal="center" vertical="center" wrapText="1"/>
    </xf>
    <xf numFmtId="49" fontId="15" fillId="0" borderId="10" xfId="0" applyNumberFormat="1" applyFont="1" applyFill="1" applyBorder="1" applyAlignment="1">
      <alignment horizontal="center" vertical="center" wrapText="1"/>
    </xf>
    <xf numFmtId="1" fontId="17" fillId="5" borderId="6" xfId="0" applyNumberFormat="1" applyFont="1" applyFill="1" applyBorder="1" applyAlignment="1">
      <alignment horizontal="center" vertical="center" wrapText="1"/>
    </xf>
    <xf numFmtId="49" fontId="41" fillId="5" borderId="6" xfId="0" applyNumberFormat="1" applyFont="1" applyFill="1" applyBorder="1" applyAlignment="1">
      <alignment horizontal="center" vertical="center" wrapText="1"/>
    </xf>
    <xf numFmtId="49" fontId="15" fillId="5" borderId="6" xfId="0" applyNumberFormat="1" applyFont="1" applyFill="1" applyBorder="1" applyAlignment="1">
      <alignment horizontal="center" vertical="center" wrapText="1"/>
    </xf>
    <xf numFmtId="49" fontId="39" fillId="5" borderId="6" xfId="0" applyNumberFormat="1" applyFont="1" applyFill="1" applyBorder="1" applyAlignment="1">
      <alignment horizontal="center" vertical="center" wrapText="1"/>
    </xf>
    <xf numFmtId="1" fontId="39" fillId="5" borderId="6" xfId="0" applyNumberFormat="1" applyFont="1" applyFill="1" applyBorder="1" applyAlignment="1">
      <alignment horizontal="center" vertical="center" wrapText="1"/>
    </xf>
    <xf numFmtId="0" fontId="36" fillId="0" borderId="0" xfId="0" applyFont="1"/>
    <xf numFmtId="0" fontId="1" fillId="0" borderId="0" xfId="0" applyFont="1"/>
    <xf numFmtId="49" fontId="17" fillId="7" borderId="6" xfId="0" applyNumberFormat="1" applyFont="1" applyFill="1" applyBorder="1" applyAlignment="1">
      <alignment horizontal="center" vertical="center" wrapText="1"/>
    </xf>
    <xf numFmtId="0" fontId="40" fillId="7" borderId="6" xfId="0" applyFont="1" applyFill="1" applyBorder="1" applyAlignment="1">
      <alignment horizontal="center" vertical="center"/>
    </xf>
    <xf numFmtId="1" fontId="17" fillId="7" borderId="6" xfId="0" quotePrefix="1" applyNumberFormat="1" applyFont="1" applyFill="1" applyBorder="1" applyAlignment="1">
      <alignment horizontal="center" vertical="center" wrapText="1"/>
    </xf>
    <xf numFmtId="0" fontId="21" fillId="0" borderId="0" xfId="0" applyFont="1" applyFill="1" applyBorder="1" applyAlignment="1"/>
    <xf numFmtId="0" fontId="21" fillId="0" borderId="0" xfId="0" applyFont="1" applyFill="1" applyBorder="1" applyAlignment="1">
      <alignment wrapText="1"/>
    </xf>
    <xf numFmtId="1" fontId="15" fillId="0" borderId="6" xfId="0" applyNumberFormat="1" applyFont="1" applyFill="1" applyBorder="1" applyAlignment="1">
      <alignment horizontal="center" vertical="center" wrapText="1"/>
    </xf>
    <xf numFmtId="0" fontId="0" fillId="0" borderId="0" xfId="0" applyAlignment="1">
      <alignment horizontal="center"/>
    </xf>
    <xf numFmtId="0" fontId="1" fillId="0" borderId="0" xfId="0" applyFont="1" applyAlignment="1">
      <alignment horizontal="center"/>
    </xf>
    <xf numFmtId="0" fontId="0" fillId="0" borderId="0" xfId="0" applyAlignment="1">
      <alignment vertical="center" wrapText="1"/>
    </xf>
    <xf numFmtId="0" fontId="45" fillId="0" borderId="0" xfId="0" applyFont="1" applyAlignment="1"/>
    <xf numFmtId="49" fontId="17" fillId="8" borderId="6" xfId="0" applyNumberFormat="1" applyFont="1" applyFill="1" applyBorder="1" applyAlignment="1">
      <alignment horizontal="center" vertical="center" wrapText="1"/>
    </xf>
    <xf numFmtId="1" fontId="17" fillId="8" borderId="6" xfId="0" applyNumberFormat="1" applyFont="1" applyFill="1" applyBorder="1" applyAlignment="1">
      <alignment horizontal="center" vertical="center" wrapText="1"/>
    </xf>
    <xf numFmtId="1" fontId="17" fillId="8" borderId="6" xfId="0" quotePrefix="1" applyNumberFormat="1" applyFont="1" applyFill="1" applyBorder="1" applyAlignment="1">
      <alignment horizontal="center" vertical="center" wrapText="1"/>
    </xf>
    <xf numFmtId="0" fontId="16" fillId="0" borderId="6" xfId="0" applyFont="1" applyFill="1" applyBorder="1" applyAlignment="1">
      <alignment horizontal="center" vertical="center"/>
    </xf>
    <xf numFmtId="49" fontId="41" fillId="0" borderId="6" xfId="0" applyNumberFormat="1" applyFont="1" applyFill="1" applyBorder="1" applyAlignment="1">
      <alignment horizontal="center" vertical="top" wrapText="1"/>
    </xf>
    <xf numFmtId="49" fontId="16" fillId="0" borderId="0" xfId="0" applyNumberFormat="1" applyFont="1" applyFill="1" applyAlignment="1">
      <alignment vertical="center" wrapText="1"/>
    </xf>
    <xf numFmtId="49" fontId="15" fillId="0" borderId="6" xfId="0" applyNumberFormat="1" applyFont="1" applyFill="1" applyBorder="1" applyAlignment="1">
      <alignment horizontal="center" vertical="top" wrapText="1"/>
    </xf>
    <xf numFmtId="1" fontId="15" fillId="0" borderId="10" xfId="0" applyNumberFormat="1" applyFont="1" applyFill="1" applyBorder="1" applyAlignment="1">
      <alignment horizontal="center" vertical="center" wrapText="1"/>
    </xf>
    <xf numFmtId="1" fontId="17" fillId="8" borderId="3" xfId="0" applyNumberFormat="1" applyFont="1" applyFill="1" applyBorder="1" applyAlignment="1">
      <alignment horizontal="center" vertical="center" wrapText="1"/>
    </xf>
    <xf numFmtId="49" fontId="17" fillId="8" borderId="16" xfId="0" applyNumberFormat="1" applyFont="1" applyFill="1" applyBorder="1" applyAlignment="1">
      <alignment horizontal="center" vertical="center" wrapText="1"/>
    </xf>
    <xf numFmtId="49" fontId="4" fillId="0" borderId="0" xfId="0" applyNumberFormat="1" applyFont="1" applyFill="1" applyBorder="1" applyAlignment="1">
      <alignment horizontal="center" vertical="center" wrapText="1"/>
    </xf>
    <xf numFmtId="1" fontId="17" fillId="7" borderId="6" xfId="0" applyNumberFormat="1" applyFont="1" applyFill="1" applyBorder="1" applyAlignment="1">
      <alignment horizontal="center" vertical="center" wrapText="1"/>
    </xf>
    <xf numFmtId="49" fontId="17" fillId="7" borderId="6" xfId="0" quotePrefix="1" applyNumberFormat="1" applyFont="1" applyFill="1" applyBorder="1" applyAlignment="1">
      <alignment horizontal="center" vertical="center" wrapText="1"/>
    </xf>
    <xf numFmtId="1" fontId="43" fillId="0" borderId="0" xfId="0" applyNumberFormat="1" applyFont="1" applyFill="1" applyBorder="1" applyAlignment="1">
      <alignment horizontal="left" vertical="center" wrapText="1"/>
    </xf>
    <xf numFmtId="49" fontId="1" fillId="0" borderId="0" xfId="0" applyNumberFormat="1" applyFont="1" applyFill="1" applyBorder="1" applyAlignment="1">
      <alignment horizontal="left" vertical="center" wrapText="1"/>
    </xf>
    <xf numFmtId="1" fontId="39" fillId="5" borderId="6" xfId="0" quotePrefix="1" applyNumberFormat="1" applyFont="1" applyFill="1" applyBorder="1" applyAlignment="1">
      <alignment horizontal="center" vertical="center" wrapText="1"/>
    </xf>
    <xf numFmtId="1" fontId="4" fillId="0" borderId="0" xfId="0" applyNumberFormat="1" applyFont="1" applyFill="1" applyBorder="1" applyAlignment="1">
      <alignment horizontal="left" vertical="center" wrapText="1"/>
    </xf>
    <xf numFmtId="0" fontId="15" fillId="0" borderId="0" xfId="0" applyFont="1" applyFill="1" applyBorder="1" applyAlignment="1">
      <alignment horizontal="center" vertical="center" wrapText="1"/>
    </xf>
    <xf numFmtId="49" fontId="27" fillId="0" borderId="0" xfId="0" applyNumberFormat="1" applyFont="1" applyFill="1" applyBorder="1" applyAlignment="1">
      <alignment vertical="center" wrapText="1"/>
    </xf>
    <xf numFmtId="49" fontId="16" fillId="9" borderId="6" xfId="0" applyNumberFormat="1" applyFont="1" applyFill="1" applyBorder="1" applyAlignment="1">
      <alignment horizontal="center" vertical="center" wrapText="1"/>
    </xf>
    <xf numFmtId="49" fontId="17" fillId="9" borderId="6" xfId="0" applyNumberFormat="1" applyFont="1" applyFill="1" applyBorder="1" applyAlignment="1">
      <alignment horizontal="center" vertical="center" wrapText="1"/>
    </xf>
    <xf numFmtId="1" fontId="17" fillId="9" borderId="6" xfId="0" quotePrefix="1" applyNumberFormat="1" applyFont="1" applyFill="1" applyBorder="1" applyAlignment="1">
      <alignment horizontal="center" vertical="center" wrapText="1"/>
    </xf>
    <xf numFmtId="49" fontId="17" fillId="9" borderId="6" xfId="0" applyNumberFormat="1" applyFont="1" applyFill="1" applyBorder="1" applyAlignment="1">
      <alignment horizontal="left" vertical="center" wrapText="1"/>
    </xf>
    <xf numFmtId="49" fontId="41" fillId="0" borderId="0" xfId="0" applyNumberFormat="1" applyFont="1" applyFill="1" applyBorder="1" applyAlignment="1">
      <alignment vertical="center" wrapText="1"/>
    </xf>
    <xf numFmtId="49" fontId="15" fillId="0" borderId="6" xfId="0" applyNumberFormat="1" applyFont="1" applyFill="1" applyBorder="1" applyAlignment="1">
      <alignment horizontal="left" vertical="center" wrapText="1"/>
    </xf>
    <xf numFmtId="49" fontId="15" fillId="0" borderId="6" xfId="0" applyNumberFormat="1" applyFont="1" applyFill="1" applyBorder="1" applyAlignment="1">
      <alignment vertical="center" wrapText="1"/>
    </xf>
    <xf numFmtId="49" fontId="15" fillId="0" borderId="0" xfId="0" applyNumberFormat="1" applyFont="1" applyFill="1" applyBorder="1" applyAlignment="1">
      <alignment vertical="center" wrapText="1"/>
    </xf>
    <xf numFmtId="49" fontId="17" fillId="2" borderId="22" xfId="0" applyNumberFormat="1" applyFont="1" applyFill="1" applyBorder="1" applyAlignment="1">
      <alignment horizontal="center" vertical="center" wrapText="1"/>
    </xf>
    <xf numFmtId="0" fontId="34" fillId="0" borderId="6" xfId="0" applyFont="1" applyFill="1" applyBorder="1" applyAlignment="1">
      <alignment vertical="center" wrapText="1"/>
    </xf>
    <xf numFmtId="49" fontId="50" fillId="0" borderId="6" xfId="0" applyNumberFormat="1" applyFont="1" applyFill="1" applyBorder="1" applyAlignment="1">
      <alignment horizontal="left" vertical="center" wrapText="1"/>
    </xf>
    <xf numFmtId="49" fontId="16" fillId="0" borderId="5" xfId="0" applyNumberFormat="1" applyFont="1" applyFill="1" applyBorder="1" applyAlignment="1">
      <alignment horizontal="center" vertical="center"/>
    </xf>
    <xf numFmtId="49" fontId="16" fillId="0" borderId="0" xfId="0" applyNumberFormat="1" applyFont="1" applyFill="1" applyAlignment="1">
      <alignment horizontal="center" vertical="top" wrapText="1"/>
    </xf>
    <xf numFmtId="49" fontId="17" fillId="0" borderId="8" xfId="0" applyNumberFormat="1" applyFont="1" applyFill="1" applyBorder="1" applyAlignment="1">
      <alignment horizontal="left" vertical="center" wrapText="1"/>
    </xf>
    <xf numFmtId="49" fontId="41" fillId="0" borderId="21" xfId="0" applyNumberFormat="1" applyFont="1" applyFill="1" applyBorder="1" applyAlignment="1">
      <alignment horizontal="center" vertical="center" wrapText="1"/>
    </xf>
    <xf numFmtId="0" fontId="41" fillId="0" borderId="21" xfId="0" applyNumberFormat="1" applyFont="1" applyFill="1" applyBorder="1" applyAlignment="1">
      <alignment horizontal="left" vertical="center" wrapText="1"/>
    </xf>
    <xf numFmtId="49" fontId="41" fillId="0" borderId="21" xfId="0" applyNumberFormat="1" applyFont="1" applyFill="1" applyBorder="1" applyAlignment="1">
      <alignment vertical="center" wrapText="1"/>
    </xf>
    <xf numFmtId="49" fontId="39" fillId="0" borderId="21" xfId="0" applyNumberFormat="1" applyFont="1" applyFill="1" applyBorder="1" applyAlignment="1">
      <alignment horizontal="center" vertical="center" wrapText="1"/>
    </xf>
    <xf numFmtId="0" fontId="17" fillId="0" borderId="6" xfId="0" quotePrefix="1" applyNumberFormat="1" applyFont="1" applyFill="1" applyBorder="1" applyAlignment="1">
      <alignment horizontal="center" vertical="center" wrapText="1"/>
    </xf>
    <xf numFmtId="0" fontId="39" fillId="0" borderId="6" xfId="0" applyNumberFormat="1" applyFont="1" applyFill="1" applyBorder="1" applyAlignment="1">
      <alignment horizontal="center" vertical="center" wrapText="1"/>
    </xf>
    <xf numFmtId="0" fontId="17" fillId="0" borderId="6" xfId="0" applyNumberFormat="1" applyFont="1" applyFill="1" applyBorder="1" applyAlignment="1">
      <alignment horizontal="center" vertical="top" wrapText="1"/>
    </xf>
    <xf numFmtId="0" fontId="17" fillId="0" borderId="10" xfId="0" applyNumberFormat="1" applyFont="1" applyFill="1" applyBorder="1" applyAlignment="1">
      <alignment horizontal="center" vertical="center" wrapText="1"/>
    </xf>
    <xf numFmtId="0" fontId="17" fillId="0" borderId="10" xfId="0" quotePrefix="1" applyNumberFormat="1" applyFont="1" applyFill="1" applyBorder="1" applyAlignment="1">
      <alignment horizontal="center" vertical="center" wrapText="1"/>
    </xf>
    <xf numFmtId="0" fontId="51" fillId="0" borderId="0" xfId="0" applyFont="1"/>
    <xf numFmtId="49" fontId="46" fillId="0" borderId="0" xfId="0" applyNumberFormat="1" applyFont="1" applyFill="1" applyBorder="1" applyAlignment="1">
      <alignment vertical="center" wrapText="1"/>
    </xf>
    <xf numFmtId="49" fontId="55" fillId="0" borderId="0" xfId="0" applyNumberFormat="1" applyFont="1" applyFill="1" applyBorder="1" applyAlignment="1">
      <alignment horizontal="left" vertical="center" wrapText="1"/>
    </xf>
    <xf numFmtId="49" fontId="44" fillId="0" borderId="0" xfId="0" applyNumberFormat="1" applyFont="1" applyFill="1" applyBorder="1" applyAlignment="1">
      <alignment horizontal="left" vertical="center" wrapText="1"/>
    </xf>
    <xf numFmtId="49" fontId="44" fillId="0" borderId="0" xfId="0" applyNumberFormat="1" applyFont="1" applyFill="1" applyBorder="1" applyAlignment="1">
      <alignment horizontal="left" vertical="center"/>
    </xf>
    <xf numFmtId="49" fontId="44" fillId="4" borderId="6" xfId="0" applyNumberFormat="1" applyFont="1" applyFill="1" applyBorder="1" applyAlignment="1">
      <alignment horizontal="left" vertical="center"/>
    </xf>
    <xf numFmtId="49" fontId="41" fillId="9" borderId="6" xfId="0" applyNumberFormat="1" applyFont="1" applyFill="1" applyBorder="1" applyAlignment="1">
      <alignment horizontal="left" vertical="center" wrapText="1"/>
    </xf>
    <xf numFmtId="49" fontId="42" fillId="3" borderId="0" xfId="0" applyNumberFormat="1" applyFont="1" applyFill="1" applyBorder="1" applyAlignment="1">
      <alignment horizontal="left" vertical="center" wrapText="1"/>
    </xf>
    <xf numFmtId="49" fontId="41" fillId="2" borderId="7" xfId="0" applyNumberFormat="1" applyFont="1" applyFill="1" applyBorder="1" applyAlignment="1">
      <alignment horizontal="center" vertical="center" wrapText="1"/>
    </xf>
    <xf numFmtId="0" fontId="41" fillId="0" borderId="6" xfId="0" applyNumberFormat="1" applyFont="1" applyFill="1" applyBorder="1" applyAlignment="1">
      <alignment horizontal="left" vertical="center" wrapText="1"/>
    </xf>
    <xf numFmtId="49" fontId="41" fillId="2" borderId="3" xfId="0" applyNumberFormat="1" applyFont="1" applyFill="1" applyBorder="1" applyAlignment="1">
      <alignment horizontal="center" vertical="center" wrapText="1"/>
    </xf>
    <xf numFmtId="49" fontId="41" fillId="0" borderId="0" xfId="0" applyNumberFormat="1" applyFont="1" applyFill="1" applyBorder="1" applyAlignment="1">
      <alignment horizontal="left" vertical="center" wrapText="1"/>
    </xf>
    <xf numFmtId="0" fontId="39" fillId="0" borderId="0" xfId="0" applyFont="1" applyFill="1" applyBorder="1" applyAlignment="1">
      <alignment horizontal="center" vertical="center"/>
    </xf>
    <xf numFmtId="0" fontId="15" fillId="6" borderId="6" xfId="0" applyFont="1" applyFill="1" applyBorder="1" applyAlignment="1">
      <alignment horizontal="center" vertical="center"/>
    </xf>
    <xf numFmtId="0" fontId="15" fillId="0" borderId="6" xfId="0" applyFont="1" applyFill="1" applyBorder="1" applyAlignment="1">
      <alignment horizontal="center" vertical="center" wrapText="1"/>
    </xf>
    <xf numFmtId="0" fontId="15" fillId="0" borderId="6" xfId="0" applyFont="1" applyFill="1" applyBorder="1"/>
    <xf numFmtId="0" fontId="15" fillId="0" borderId="10" xfId="0" applyFont="1" applyFill="1" applyBorder="1" applyAlignment="1">
      <alignment horizontal="center" vertical="center" wrapText="1"/>
    </xf>
    <xf numFmtId="0" fontId="15" fillId="0" borderId="9" xfId="0" applyFont="1" applyBorder="1" applyAlignment="1">
      <alignment horizontal="center" vertical="center" wrapText="1"/>
    </xf>
    <xf numFmtId="49" fontId="27" fillId="0" borderId="6" xfId="0" applyNumberFormat="1" applyFont="1" applyFill="1" applyBorder="1" applyAlignment="1">
      <alignment horizontal="center" vertical="center" wrapText="1"/>
    </xf>
    <xf numFmtId="0" fontId="15" fillId="0" borderId="15" xfId="0" applyFont="1" applyFill="1" applyBorder="1" applyAlignment="1">
      <alignment horizontal="center" vertical="center" wrapText="1"/>
    </xf>
    <xf numFmtId="49" fontId="16" fillId="0" borderId="6" xfId="0" applyNumberFormat="1" applyFont="1" applyFill="1" applyBorder="1" applyAlignment="1">
      <alignment vertical="center"/>
    </xf>
    <xf numFmtId="49" fontId="15" fillId="0" borderId="6" xfId="0" applyNumberFormat="1" applyFont="1" applyFill="1" applyBorder="1" applyAlignment="1">
      <alignment vertical="center"/>
    </xf>
    <xf numFmtId="0" fontId="15" fillId="0" borderId="6" xfId="0" applyFont="1" applyFill="1" applyBorder="1" applyAlignment="1"/>
    <xf numFmtId="0" fontId="16" fillId="0" borderId="6" xfId="0" applyFont="1" applyFill="1" applyBorder="1" applyAlignment="1">
      <alignment wrapText="1"/>
    </xf>
    <xf numFmtId="0" fontId="39" fillId="5" borderId="6" xfId="0" applyFont="1" applyFill="1" applyBorder="1" applyAlignment="1">
      <alignment horizontal="center" vertical="center" wrapText="1"/>
    </xf>
    <xf numFmtId="49" fontId="58" fillId="0" borderId="0" xfId="0" applyNumberFormat="1" applyFont="1" applyFill="1" applyBorder="1" applyAlignment="1">
      <alignment horizontal="left" vertical="center" wrapText="1"/>
    </xf>
    <xf numFmtId="49" fontId="27" fillId="0" borderId="0" xfId="0" applyNumberFormat="1" applyFont="1" applyFill="1" applyBorder="1" applyAlignment="1">
      <alignment vertical="center" wrapText="1"/>
    </xf>
    <xf numFmtId="49" fontId="44" fillId="10" borderId="6" xfId="0" applyNumberFormat="1" applyFont="1" applyFill="1" applyBorder="1" applyAlignment="1">
      <alignment horizontal="left" vertical="center"/>
    </xf>
    <xf numFmtId="49" fontId="41" fillId="0" borderId="6" xfId="0" applyNumberFormat="1" applyFont="1" applyFill="1" applyBorder="1" applyAlignment="1">
      <alignment horizontal="left" vertical="top" wrapText="1"/>
    </xf>
    <xf numFmtId="0" fontId="41" fillId="0" borderId="6" xfId="0" applyNumberFormat="1" applyFont="1" applyFill="1" applyBorder="1" applyAlignment="1">
      <alignment vertical="center" wrapText="1"/>
    </xf>
    <xf numFmtId="0" fontId="41" fillId="0" borderId="6" xfId="0" applyFont="1" applyFill="1" applyBorder="1"/>
    <xf numFmtId="0" fontId="41" fillId="0" borderId="6" xfId="0" applyFont="1" applyFill="1" applyBorder="1" applyAlignment="1">
      <alignment vertical="center"/>
    </xf>
    <xf numFmtId="49" fontId="37" fillId="0" borderId="0" xfId="0" applyNumberFormat="1" applyFont="1" applyFill="1" applyBorder="1" applyAlignment="1">
      <alignment vertical="center" wrapText="1"/>
    </xf>
    <xf numFmtId="49" fontId="41" fillId="0" borderId="18" xfId="0" applyNumberFormat="1" applyFont="1" applyFill="1" applyBorder="1" applyAlignment="1">
      <alignment horizontal="center" vertical="center" wrapText="1"/>
    </xf>
    <xf numFmtId="49" fontId="41" fillId="0" borderId="19" xfId="0" applyNumberFormat="1" applyFont="1" applyFill="1" applyBorder="1" applyAlignment="1">
      <alignment horizontal="center" vertical="center" wrapText="1"/>
    </xf>
    <xf numFmtId="49" fontId="41" fillId="0" borderId="19" xfId="0" applyNumberFormat="1" applyFont="1" applyFill="1" applyBorder="1" applyAlignment="1">
      <alignment horizontal="left" vertical="center" wrapText="1"/>
    </xf>
    <xf numFmtId="49" fontId="16" fillId="0" borderId="19" xfId="0" applyNumberFormat="1" applyFont="1" applyFill="1" applyBorder="1" applyAlignment="1">
      <alignment vertical="center" wrapText="1"/>
    </xf>
    <xf numFmtId="49" fontId="16" fillId="0" borderId="19" xfId="0" applyNumberFormat="1" applyFont="1" applyFill="1" applyBorder="1" applyAlignment="1">
      <alignment horizontal="center" vertical="center" wrapText="1"/>
    </xf>
    <xf numFmtId="49" fontId="39" fillId="0" borderId="19" xfId="0" applyNumberFormat="1" applyFont="1" applyFill="1" applyBorder="1" applyAlignment="1">
      <alignment horizontal="center" vertical="center" wrapText="1"/>
    </xf>
    <xf numFmtId="49" fontId="17" fillId="0" borderId="19" xfId="0" applyNumberFormat="1" applyFont="1" applyFill="1" applyBorder="1" applyAlignment="1">
      <alignment horizontal="center" vertical="center" wrapText="1"/>
    </xf>
    <xf numFmtId="1" fontId="39" fillId="0" borderId="19" xfId="0" quotePrefix="1" applyNumberFormat="1" applyFont="1" applyFill="1" applyBorder="1" applyAlignment="1">
      <alignment horizontal="center" vertical="center" wrapText="1"/>
    </xf>
    <xf numFmtId="49" fontId="39" fillId="0" borderId="19" xfId="0" quotePrefix="1" applyNumberFormat="1" applyFont="1" applyFill="1" applyBorder="1" applyAlignment="1">
      <alignment horizontal="left" vertical="center" wrapText="1"/>
    </xf>
    <xf numFmtId="49" fontId="39" fillId="0" borderId="19" xfId="0" quotePrefix="1" applyNumberFormat="1" applyFont="1" applyFill="1" applyBorder="1" applyAlignment="1">
      <alignment horizontal="center" vertical="center" wrapText="1"/>
    </xf>
    <xf numFmtId="49" fontId="17" fillId="0" borderId="5" xfId="0" applyNumberFormat="1" applyFont="1" applyFill="1" applyBorder="1" applyAlignment="1">
      <alignment horizontal="left" vertical="center" wrapText="1"/>
    </xf>
    <xf numFmtId="49" fontId="17" fillId="0" borderId="5" xfId="0" applyNumberFormat="1" applyFont="1" applyFill="1" applyBorder="1" applyAlignment="1">
      <alignment horizontal="center" vertical="center" wrapText="1"/>
    </xf>
    <xf numFmtId="49" fontId="17" fillId="0" borderId="24" xfId="0" applyNumberFormat="1" applyFont="1" applyFill="1" applyBorder="1" applyAlignment="1">
      <alignment horizontal="center" vertical="center" wrapText="1"/>
    </xf>
    <xf numFmtId="49" fontId="17" fillId="9" borderId="6" xfId="0" quotePrefix="1" applyNumberFormat="1" applyFont="1" applyFill="1" applyBorder="1" applyAlignment="1">
      <alignment horizontal="center" vertical="center" wrapText="1"/>
    </xf>
    <xf numFmtId="49" fontId="16" fillId="5" borderId="6" xfId="0" applyNumberFormat="1" applyFont="1" applyFill="1" applyBorder="1" applyAlignment="1">
      <alignment horizontal="left" vertical="center" wrapText="1"/>
    </xf>
    <xf numFmtId="49" fontId="37" fillId="5" borderId="6" xfId="0" applyNumberFormat="1" applyFont="1" applyFill="1" applyBorder="1" applyAlignment="1">
      <alignment vertical="center" wrapText="1"/>
    </xf>
    <xf numFmtId="0" fontId="15" fillId="5" borderId="10" xfId="0" applyFont="1" applyFill="1" applyBorder="1" applyAlignment="1">
      <alignment horizontal="center" vertical="center" wrapText="1"/>
    </xf>
    <xf numFmtId="49" fontId="17" fillId="5" borderId="10" xfId="0" applyNumberFormat="1" applyFont="1" applyFill="1" applyBorder="1" applyAlignment="1">
      <alignment horizontal="center" vertical="center" wrapText="1"/>
    </xf>
    <xf numFmtId="0" fontId="16" fillId="0" borderId="6" xfId="0" applyNumberFormat="1" applyFont="1" applyFill="1" applyBorder="1" applyAlignment="1">
      <alignment horizontal="center" vertical="center" wrapText="1"/>
    </xf>
    <xf numFmtId="49" fontId="41" fillId="5" borderId="6" xfId="0" applyNumberFormat="1" applyFont="1" applyFill="1" applyBorder="1" applyAlignment="1">
      <alignment horizontal="left" vertical="center" wrapText="1"/>
    </xf>
    <xf numFmtId="0" fontId="39" fillId="5" borderId="6" xfId="0" applyFont="1" applyFill="1" applyBorder="1" applyAlignment="1">
      <alignment horizontal="center" vertical="center"/>
    </xf>
    <xf numFmtId="49" fontId="59" fillId="0" borderId="6" xfId="0" applyNumberFormat="1" applyFont="1" applyFill="1" applyBorder="1" applyAlignment="1">
      <alignment horizontal="center" vertical="center" wrapText="1"/>
    </xf>
    <xf numFmtId="1" fontId="59" fillId="0" borderId="6" xfId="0" quotePrefix="1" applyNumberFormat="1" applyFont="1" applyFill="1" applyBorder="1" applyAlignment="1">
      <alignment horizontal="center" vertical="center" wrapText="1"/>
    </xf>
    <xf numFmtId="0" fontId="59" fillId="0" borderId="6" xfId="0" applyNumberFormat="1" applyFont="1" applyFill="1" applyBorder="1" applyAlignment="1">
      <alignment horizontal="left" vertical="center" wrapText="1"/>
    </xf>
    <xf numFmtId="49" fontId="59" fillId="0" borderId="10" xfId="0" quotePrefix="1" applyNumberFormat="1" applyFont="1" applyFill="1" applyBorder="1" applyAlignment="1">
      <alignment horizontal="center" vertical="center" wrapText="1"/>
    </xf>
    <xf numFmtId="49" fontId="39" fillId="0" borderId="6" xfId="0" quotePrefix="1" applyNumberFormat="1" applyFont="1" applyFill="1" applyBorder="1" applyAlignment="1">
      <alignment horizontal="center" vertical="center" wrapText="1"/>
    </xf>
    <xf numFmtId="49" fontId="16" fillId="11" borderId="6" xfId="0" applyNumberFormat="1" applyFont="1" applyFill="1" applyBorder="1" applyAlignment="1">
      <alignment horizontal="center" vertical="center" wrapText="1"/>
    </xf>
    <xf numFmtId="49" fontId="16" fillId="11" borderId="6" xfId="0" applyNumberFormat="1" applyFont="1" applyFill="1" applyBorder="1" applyAlignment="1">
      <alignment horizontal="left" vertical="center" wrapText="1"/>
    </xf>
    <xf numFmtId="49" fontId="16" fillId="5" borderId="5" xfId="0" applyNumberFormat="1" applyFont="1" applyFill="1" applyBorder="1" applyAlignment="1">
      <alignment horizontal="center" vertical="center" wrapText="1"/>
    </xf>
    <xf numFmtId="49" fontId="41" fillId="5" borderId="6" xfId="0" applyNumberFormat="1" applyFont="1" applyFill="1" applyBorder="1" applyAlignment="1">
      <alignment vertical="center" wrapText="1"/>
    </xf>
    <xf numFmtId="49" fontId="39" fillId="5" borderId="6" xfId="0" applyNumberFormat="1" applyFont="1" applyFill="1" applyBorder="1" applyAlignment="1">
      <alignment horizontal="left" vertical="center" wrapText="1"/>
    </xf>
    <xf numFmtId="0" fontId="40" fillId="9" borderId="6" xfId="0" applyFont="1" applyFill="1" applyBorder="1" applyAlignment="1">
      <alignment horizontal="center" vertical="center"/>
    </xf>
    <xf numFmtId="49" fontId="17" fillId="9" borderId="6" xfId="0" quotePrefix="1" applyNumberFormat="1" applyFont="1" applyFill="1" applyBorder="1" applyAlignment="1">
      <alignment horizontal="left" vertical="center" wrapText="1"/>
    </xf>
    <xf numFmtId="1" fontId="17" fillId="9" borderId="6" xfId="0" applyNumberFormat="1" applyFont="1" applyFill="1" applyBorder="1" applyAlignment="1">
      <alignment horizontal="center" vertical="center" wrapText="1"/>
    </xf>
    <xf numFmtId="1" fontId="15" fillId="0" borderId="5" xfId="0" applyNumberFormat="1" applyFont="1" applyFill="1" applyBorder="1" applyAlignment="1">
      <alignment horizontal="center" vertical="center" wrapText="1"/>
    </xf>
    <xf numFmtId="49" fontId="4" fillId="0" borderId="0" xfId="0" applyNumberFormat="1" applyFont="1" applyFill="1" applyBorder="1" applyAlignment="1">
      <alignment horizontal="left" vertical="center" wrapText="1"/>
    </xf>
    <xf numFmtId="49" fontId="35" fillId="0" borderId="0" xfId="0" applyNumberFormat="1" applyFont="1" applyFill="1" applyBorder="1" applyAlignment="1">
      <alignment horizontal="center" vertical="center" wrapText="1"/>
    </xf>
    <xf numFmtId="49" fontId="18" fillId="0" borderId="0" xfId="0" applyNumberFormat="1" applyFont="1" applyFill="1" applyBorder="1" applyAlignment="1">
      <alignment horizontal="left" vertical="center"/>
    </xf>
    <xf numFmtId="49" fontId="61" fillId="0" borderId="0" xfId="0" applyNumberFormat="1" applyFont="1" applyFill="1" applyBorder="1" applyAlignment="1">
      <alignment horizontal="center" vertical="center" wrapText="1"/>
    </xf>
    <xf numFmtId="49" fontId="61" fillId="0" borderId="0" xfId="0" applyNumberFormat="1" applyFont="1" applyFill="1" applyBorder="1" applyAlignment="1">
      <alignment horizontal="left" vertical="center"/>
    </xf>
    <xf numFmtId="49" fontId="62" fillId="0" borderId="0" xfId="0" applyNumberFormat="1" applyFont="1" applyFill="1" applyBorder="1" applyAlignment="1">
      <alignment horizontal="left" vertical="center" wrapText="1"/>
    </xf>
    <xf numFmtId="49" fontId="21" fillId="0" borderId="0" xfId="0" applyNumberFormat="1" applyFont="1" applyFill="1" applyBorder="1" applyAlignment="1">
      <alignment horizontal="center" vertical="center" wrapText="1"/>
    </xf>
    <xf numFmtId="49" fontId="28" fillId="0" borderId="0" xfId="0" applyNumberFormat="1" applyFont="1" applyFill="1" applyBorder="1" applyAlignment="1">
      <alignment horizontal="center" vertical="center" wrapText="1"/>
    </xf>
    <xf numFmtId="1" fontId="39" fillId="0" borderId="10" xfId="0" quotePrefix="1" applyNumberFormat="1" applyFont="1" applyFill="1" applyBorder="1" applyAlignment="1">
      <alignment horizontal="center" vertical="center" wrapText="1"/>
    </xf>
    <xf numFmtId="1" fontId="39" fillId="0" borderId="23" xfId="0" quotePrefix="1" applyNumberFormat="1" applyFont="1" applyFill="1" applyBorder="1" applyAlignment="1">
      <alignment horizontal="center" vertical="center" wrapText="1"/>
    </xf>
    <xf numFmtId="1" fontId="39" fillId="0" borderId="10" xfId="0" applyNumberFormat="1" applyFont="1" applyFill="1" applyBorder="1" applyAlignment="1">
      <alignment horizontal="center" vertical="center" wrapText="1"/>
    </xf>
    <xf numFmtId="2" fontId="4" fillId="0" borderId="0" xfId="0" applyNumberFormat="1" applyFont="1" applyFill="1" applyBorder="1" applyAlignment="1">
      <alignment horizontal="left" vertical="center" wrapText="1"/>
    </xf>
    <xf numFmtId="49" fontId="63" fillId="0" borderId="0" xfId="0" applyNumberFormat="1" applyFont="1" applyFill="1" applyBorder="1" applyAlignment="1">
      <alignment horizontal="center" vertical="center" wrapText="1"/>
    </xf>
    <xf numFmtId="49" fontId="4" fillId="0" borderId="13" xfId="0" applyNumberFormat="1" applyFont="1" applyFill="1" applyBorder="1" applyAlignment="1">
      <alignment horizontal="left" vertical="center" wrapText="1"/>
    </xf>
    <xf numFmtId="0" fontId="4" fillId="0" borderId="0" xfId="0" applyFont="1" applyBorder="1" applyAlignment="1">
      <alignment horizontal="left"/>
    </xf>
    <xf numFmtId="0" fontId="4" fillId="0" borderId="0" xfId="0" applyFont="1" applyBorder="1" applyAlignment="1">
      <alignment horizontal="left" wrapText="1"/>
    </xf>
    <xf numFmtId="2" fontId="4" fillId="0" borderId="0" xfId="0" applyNumberFormat="1" applyFont="1" applyFill="1" applyBorder="1" applyAlignment="1">
      <alignment vertical="center" wrapText="1"/>
    </xf>
    <xf numFmtId="1" fontId="62" fillId="0" borderId="0" xfId="0" applyNumberFormat="1" applyFont="1" applyFill="1" applyBorder="1" applyAlignment="1">
      <alignment horizontal="left" vertical="center" wrapText="1"/>
    </xf>
    <xf numFmtId="1" fontId="4" fillId="0" borderId="13" xfId="0" applyNumberFormat="1" applyFont="1" applyFill="1" applyBorder="1" applyAlignment="1">
      <alignment horizontal="left" vertical="center" wrapText="1"/>
    </xf>
    <xf numFmtId="1" fontId="62" fillId="0" borderId="13" xfId="0" applyNumberFormat="1" applyFont="1" applyFill="1" applyBorder="1" applyAlignment="1">
      <alignment horizontal="left" vertical="center" wrapText="1"/>
    </xf>
    <xf numFmtId="49" fontId="4" fillId="0" borderId="0" xfId="0" applyNumberFormat="1" applyFont="1" applyFill="1" applyBorder="1" applyAlignment="1">
      <alignment vertical="center"/>
    </xf>
    <xf numFmtId="0" fontId="17" fillId="5" borderId="6" xfId="0" applyNumberFormat="1" applyFont="1" applyFill="1" applyBorder="1" applyAlignment="1">
      <alignment horizontal="center" vertical="center" wrapText="1"/>
    </xf>
    <xf numFmtId="1" fontId="41" fillId="0" borderId="5" xfId="0" applyNumberFormat="1" applyFont="1" applyFill="1" applyBorder="1" applyAlignment="1">
      <alignment horizontal="left" vertical="center" wrapText="1"/>
    </xf>
    <xf numFmtId="0" fontId="15" fillId="5" borderId="6" xfId="0" applyFont="1" applyFill="1" applyBorder="1" applyAlignment="1">
      <alignment horizontal="center" vertical="center" wrapText="1"/>
    </xf>
    <xf numFmtId="1" fontId="15" fillId="5" borderId="6" xfId="0" applyNumberFormat="1" applyFont="1" applyFill="1" applyBorder="1" applyAlignment="1">
      <alignment horizontal="center" vertical="center" wrapText="1"/>
    </xf>
    <xf numFmtId="49" fontId="62" fillId="0" borderId="13" xfId="0" applyNumberFormat="1" applyFont="1" applyFill="1" applyBorder="1" applyAlignment="1">
      <alignment horizontal="left" vertical="center" wrapText="1"/>
    </xf>
    <xf numFmtId="49" fontId="4" fillId="9" borderId="0" xfId="0" applyNumberFormat="1" applyFont="1" applyFill="1" applyBorder="1" applyAlignment="1">
      <alignment horizontal="left" vertical="center" wrapText="1"/>
    </xf>
    <xf numFmtId="0" fontId="4" fillId="0" borderId="0" xfId="0" applyFont="1" applyAlignment="1">
      <alignment horizontal="left"/>
    </xf>
    <xf numFmtId="49" fontId="4" fillId="5" borderId="0" xfId="0" applyNumberFormat="1" applyFont="1" applyFill="1" applyBorder="1" applyAlignment="1">
      <alignment vertical="center" wrapText="1"/>
    </xf>
    <xf numFmtId="49" fontId="48" fillId="0" borderId="0" xfId="0" applyNumberFormat="1" applyFont="1" applyFill="1" applyBorder="1" applyAlignment="1">
      <alignment horizontal="center" vertical="center" wrapText="1"/>
    </xf>
    <xf numFmtId="49" fontId="52" fillId="0" borderId="0" xfId="0" applyNumberFormat="1" applyFont="1" applyFill="1" applyBorder="1" applyAlignment="1">
      <alignment horizontal="center" vertical="center" wrapText="1"/>
    </xf>
    <xf numFmtId="49" fontId="49" fillId="0" borderId="0" xfId="0" applyNumberFormat="1" applyFont="1" applyFill="1" applyBorder="1" applyAlignment="1">
      <alignment horizontal="center" vertical="center" wrapText="1"/>
    </xf>
    <xf numFmtId="49" fontId="54" fillId="0" borderId="0" xfId="0" applyNumberFormat="1" applyFont="1" applyFill="1" applyBorder="1" applyAlignment="1">
      <alignment horizontal="center" vertical="center" wrapText="1"/>
    </xf>
    <xf numFmtId="49" fontId="23" fillId="0" borderId="17" xfId="0" applyNumberFormat="1" applyFont="1" applyFill="1" applyBorder="1" applyAlignment="1">
      <alignment vertical="center" wrapText="1"/>
    </xf>
    <xf numFmtId="49" fontId="23" fillId="0" borderId="9" xfId="0" applyNumberFormat="1" applyFont="1" applyFill="1" applyBorder="1" applyAlignment="1">
      <alignment vertical="center" wrapText="1"/>
    </xf>
    <xf numFmtId="49" fontId="44" fillId="0" borderId="9" xfId="0" applyNumberFormat="1" applyFont="1" applyFill="1" applyBorder="1" applyAlignment="1">
      <alignment vertical="center" wrapText="1"/>
    </xf>
    <xf numFmtId="49" fontId="22" fillId="0" borderId="14" xfId="0" applyNumberFormat="1" applyFont="1" applyFill="1" applyBorder="1" applyAlignment="1">
      <alignment vertical="center" wrapText="1"/>
    </xf>
    <xf numFmtId="49" fontId="29" fillId="0" borderId="10" xfId="0" applyNumberFormat="1" applyFont="1" applyFill="1" applyBorder="1" applyAlignment="1">
      <alignment vertical="center" wrapText="1"/>
    </xf>
    <xf numFmtId="0" fontId="26" fillId="0" borderId="20" xfId="0" applyFont="1" applyBorder="1" applyAlignment="1">
      <alignment vertical="center" wrapText="1"/>
    </xf>
    <xf numFmtId="0" fontId="46" fillId="0" borderId="20" xfId="0" applyFont="1" applyBorder="1" applyAlignment="1">
      <alignment vertical="center" wrapText="1"/>
    </xf>
    <xf numFmtId="49" fontId="56" fillId="0" borderId="14" xfId="0" applyNumberFormat="1" applyFont="1" applyFill="1" applyBorder="1" applyAlignment="1">
      <alignment horizontal="left" vertical="center" wrapText="1"/>
    </xf>
    <xf numFmtId="49" fontId="22" fillId="0" borderId="14" xfId="0" applyNumberFormat="1" applyFont="1" applyFill="1" applyBorder="1" applyAlignment="1">
      <alignment horizontal="left" vertical="center" wrapText="1"/>
    </xf>
    <xf numFmtId="49" fontId="41" fillId="0" borderId="6" xfId="0" applyNumberFormat="1" applyFont="1" applyFill="1" applyBorder="1" applyAlignment="1">
      <alignment horizontal="left" vertical="top" wrapText="1"/>
    </xf>
    <xf numFmtId="0" fontId="4" fillId="0" borderId="6" xfId="0" applyFont="1" applyBorder="1" applyAlignment="1">
      <alignment vertical="top" wrapText="1"/>
    </xf>
    <xf numFmtId="0" fontId="0" fillId="0" borderId="6" xfId="0" applyBorder="1" applyAlignment="1">
      <alignment wrapText="1"/>
    </xf>
    <xf numFmtId="49" fontId="15" fillId="0" borderId="6" xfId="0" applyNumberFormat="1" applyFont="1" applyFill="1" applyBorder="1" applyAlignment="1">
      <alignment vertical="top" wrapText="1"/>
    </xf>
    <xf numFmtId="0" fontId="0" fillId="0" borderId="6" xfId="0" applyBorder="1" applyAlignment="1"/>
    <xf numFmtId="49" fontId="47" fillId="0" borderId="0" xfId="0" applyNumberFormat="1" applyFont="1" applyFill="1" applyBorder="1" applyAlignment="1">
      <alignment horizontal="center" vertical="center" wrapText="1"/>
    </xf>
    <xf numFmtId="49" fontId="53" fillId="0" borderId="0" xfId="0" applyNumberFormat="1" applyFont="1" applyFill="1" applyBorder="1" applyAlignment="1">
      <alignment horizontal="center" vertical="center" wrapText="1"/>
    </xf>
    <xf numFmtId="49" fontId="18" fillId="0" borderId="18" xfId="0" applyNumberFormat="1" applyFont="1" applyFill="1" applyBorder="1" applyAlignment="1">
      <alignment vertical="center" wrapText="1"/>
    </xf>
    <xf numFmtId="49" fontId="18" fillId="0" borderId="19" xfId="0" applyNumberFormat="1" applyFont="1" applyFill="1" applyBorder="1" applyAlignment="1">
      <alignment vertical="center" wrapText="1"/>
    </xf>
    <xf numFmtId="49" fontId="57" fillId="0" borderId="19" xfId="0" applyNumberFormat="1" applyFont="1" applyFill="1" applyBorder="1" applyAlignment="1">
      <alignment vertical="center" wrapText="1"/>
    </xf>
    <xf numFmtId="49" fontId="27" fillId="0" borderId="0" xfId="0" applyNumberFormat="1" applyFont="1" applyFill="1" applyBorder="1" applyAlignment="1">
      <alignment vertical="center" wrapText="1"/>
    </xf>
    <xf numFmtId="49" fontId="15" fillId="0" borderId="17" xfId="0" applyNumberFormat="1" applyFont="1" applyFill="1" applyBorder="1" applyAlignment="1">
      <alignment vertical="center" wrapText="1"/>
    </xf>
    <xf numFmtId="49" fontId="15" fillId="0" borderId="9" xfId="0" applyNumberFormat="1" applyFont="1" applyFill="1" applyBorder="1" applyAlignment="1">
      <alignment vertical="center" wrapText="1"/>
    </xf>
    <xf numFmtId="49" fontId="41" fillId="0" borderId="9" xfId="0" applyNumberFormat="1" applyFont="1" applyFill="1" applyBorder="1" applyAlignment="1">
      <alignment vertical="center" wrapText="1"/>
    </xf>
    <xf numFmtId="49" fontId="18" fillId="9" borderId="6" xfId="0" applyNumberFormat="1" applyFont="1" applyFill="1" applyBorder="1" applyAlignment="1">
      <alignment horizontal="center" vertical="center" wrapText="1"/>
    </xf>
    <xf numFmtId="0" fontId="0" fillId="0" borderId="6" xfId="0" applyBorder="1" applyAlignment="1">
      <alignment horizontal="center" vertical="center" wrapText="1"/>
    </xf>
  </cellXfs>
  <cellStyles count="2">
    <cellStyle name="Normal" xfId="0" builtinId="0"/>
    <cellStyle name="Normal_Sheet1" xfId="1"/>
  </cellStyles>
  <dxfs count="0"/>
  <tableStyles count="0" defaultTableStyle="TableStyleMedium9" defaultPivotStyle="PivotStyleLight16"/>
  <colors>
    <mruColors>
      <color rgb="FFFF33CC"/>
      <color rgb="FFFFF8C1"/>
      <color rgb="FF0000FF"/>
      <color rgb="FFF0E010"/>
    </mru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6</xdr:col>
      <xdr:colOff>1143000</xdr:colOff>
      <xdr:row>16</xdr:row>
      <xdr:rowOff>0</xdr:rowOff>
    </xdr:from>
    <xdr:to>
      <xdr:col>6</xdr:col>
      <xdr:colOff>514350</xdr:colOff>
      <xdr:row>16</xdr:row>
      <xdr:rowOff>0</xdr:rowOff>
    </xdr:to>
    <xdr:sp macro="" textlink="">
      <xdr:nvSpPr>
        <xdr:cNvPr id="4141" name="Text Box 14"/>
        <xdr:cNvSpPr txBox="1">
          <a:spLocks noChangeArrowheads="1"/>
        </xdr:cNvSpPr>
      </xdr:nvSpPr>
      <xdr:spPr bwMode="auto">
        <a:xfrm>
          <a:off x="8801100" y="7829550"/>
          <a:ext cx="0" cy="0"/>
        </a:xfrm>
        <a:prstGeom prst="rect">
          <a:avLst/>
        </a:prstGeom>
        <a:solidFill>
          <a:srgbClr val="FFFFFF"/>
        </a:solidFill>
        <a:ln w="9525">
          <a:noFill/>
          <a:miter lim="800000"/>
          <a:headEnd/>
          <a:tailEnd/>
        </a:ln>
      </xdr:spPr>
    </xdr:sp>
    <xdr:clientData/>
  </xdr:twoCellAnchor>
  <xdr:twoCellAnchor>
    <xdr:from>
      <xdr:col>0</xdr:col>
      <xdr:colOff>19050</xdr:colOff>
      <xdr:row>16</xdr:row>
      <xdr:rowOff>0</xdr:rowOff>
    </xdr:from>
    <xdr:to>
      <xdr:col>13</xdr:col>
      <xdr:colOff>0</xdr:colOff>
      <xdr:row>16</xdr:row>
      <xdr:rowOff>0</xdr:rowOff>
    </xdr:to>
    <xdr:sp macro="" textlink="">
      <xdr:nvSpPr>
        <xdr:cNvPr id="4142" name="Rectangle 26" descr="5%"/>
        <xdr:cNvSpPr>
          <a:spLocks noChangeArrowheads="1"/>
        </xdr:cNvSpPr>
      </xdr:nvSpPr>
      <xdr:spPr bwMode="auto">
        <a:xfrm>
          <a:off x="19050" y="7829550"/>
          <a:ext cx="14906625" cy="0"/>
        </a:xfrm>
        <a:prstGeom prst="rect">
          <a:avLst/>
        </a:prstGeom>
        <a:pattFill prst="pct5">
          <a:fgClr>
            <a:srgbClr val="000000">
              <a:alpha val="43137"/>
            </a:srgbClr>
          </a:fgClr>
          <a:bgClr>
            <a:srgbClr val="FFFFFF">
              <a:alpha val="43137"/>
            </a:srgbClr>
          </a:bgClr>
        </a:pattFill>
        <a:ln w="9525">
          <a:noFill/>
          <a:miter lim="800000"/>
          <a:headEnd/>
          <a:tailEnd/>
        </a:ln>
      </xdr:spPr>
    </xdr:sp>
    <xdr:clientData/>
  </xdr:twoCellAnchor>
  <xdr:twoCellAnchor editAs="oneCell">
    <xdr:from>
      <xdr:col>1</xdr:col>
      <xdr:colOff>47625</xdr:colOff>
      <xdr:row>1</xdr:row>
      <xdr:rowOff>0</xdr:rowOff>
    </xdr:from>
    <xdr:to>
      <xdr:col>2</xdr:col>
      <xdr:colOff>619125</xdr:colOff>
      <xdr:row>8</xdr:row>
      <xdr:rowOff>190500</xdr:rowOff>
    </xdr:to>
    <xdr:pic>
      <xdr:nvPicPr>
        <xdr:cNvPr id="4143" name="Picture 3" descr="usoeLogoBlueyellow.jpg"/>
        <xdr:cNvPicPr>
          <a:picLocks noChangeAspect="1"/>
        </xdr:cNvPicPr>
      </xdr:nvPicPr>
      <xdr:blipFill>
        <a:blip xmlns:r="http://schemas.openxmlformats.org/officeDocument/2006/relationships" r:embed="rId1" cstate="print"/>
        <a:srcRect/>
        <a:stretch>
          <a:fillRect/>
        </a:stretch>
      </xdr:blipFill>
      <xdr:spPr bwMode="auto">
        <a:xfrm>
          <a:off x="1162050" y="209550"/>
          <a:ext cx="1200150" cy="2028825"/>
        </a:xfrm>
        <a:prstGeom prst="rect">
          <a:avLst/>
        </a:prstGeom>
        <a:noFill/>
        <a:ln w="9525">
          <a:noFill/>
          <a:miter lim="800000"/>
          <a:headEnd/>
          <a:tailEnd/>
        </a:ln>
      </xdr:spPr>
    </xdr:pic>
    <xdr:clientData/>
  </xdr:twoCellAnchor>
  <xdr:twoCellAnchor editAs="oneCell">
    <xdr:from>
      <xdr:col>8</xdr:col>
      <xdr:colOff>314325</xdr:colOff>
      <xdr:row>2</xdr:row>
      <xdr:rowOff>66675</xdr:rowOff>
    </xdr:from>
    <xdr:to>
      <xdr:col>9</xdr:col>
      <xdr:colOff>2619375</xdr:colOff>
      <xdr:row>6</xdr:row>
      <xdr:rowOff>82363</xdr:rowOff>
    </xdr:to>
    <xdr:pic>
      <xdr:nvPicPr>
        <xdr:cNvPr id="4144" name="Picture 4" descr="USHE-Logo-CMYK.jpg"/>
        <xdr:cNvPicPr>
          <a:picLocks noChangeAspect="1"/>
        </xdr:cNvPicPr>
      </xdr:nvPicPr>
      <xdr:blipFill>
        <a:blip xmlns:r="http://schemas.openxmlformats.org/officeDocument/2006/relationships" r:embed="rId2" cstate="print"/>
        <a:srcRect/>
        <a:stretch>
          <a:fillRect/>
        </a:stretch>
      </xdr:blipFill>
      <xdr:spPr bwMode="auto">
        <a:xfrm>
          <a:off x="9658350" y="657225"/>
          <a:ext cx="2743200" cy="10572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N1036"/>
  <sheetViews>
    <sheetView tabSelected="1" topLeftCell="A1055" zoomScale="75" zoomScaleNormal="75" zoomScaleSheetLayoutView="50" workbookViewId="0">
      <pane ySplit="255" activePane="bottomLeft"/>
      <selection activeCell="L1019" sqref="L1:L1048576"/>
      <selection pane="bottomLeft" activeCell="A118" sqref="A118:XFD118"/>
    </sheetView>
  </sheetViews>
  <sheetFormatPr defaultColWidth="9.140625" defaultRowHeight="23.25"/>
  <cols>
    <col min="1" max="1" width="16.7109375" style="10" customWidth="1"/>
    <col min="2" max="2" width="9.42578125" style="10" customWidth="1"/>
    <col min="3" max="3" width="37.28515625" style="118" customWidth="1"/>
    <col min="4" max="4" width="48.140625" style="97" customWidth="1"/>
    <col min="5" max="5" width="5.85546875" style="11" customWidth="1"/>
    <col min="6" max="6" width="7" style="5" customWidth="1"/>
    <col min="7" max="7" width="7.7109375" style="63" customWidth="1"/>
    <col min="8" max="8" width="8.140625" style="63" customWidth="1"/>
    <col min="9" max="9" width="6.5703125" style="63" customWidth="1"/>
    <col min="10" max="10" width="40.85546875" style="31" customWidth="1"/>
    <col min="11" max="11" width="5.7109375" style="12" customWidth="1"/>
    <col min="12" max="12" width="8.28515625" style="111" customWidth="1"/>
    <col min="13" max="13" width="31.5703125" style="277" customWidth="1"/>
    <col min="14" max="16384" width="9.140625" style="1"/>
  </cols>
  <sheetData>
    <row r="1" spans="1:13" ht="16.5">
      <c r="A1" s="1"/>
      <c r="B1" s="1"/>
      <c r="C1" s="205"/>
      <c r="D1" s="118"/>
      <c r="F1" s="1"/>
      <c r="G1" s="1"/>
      <c r="H1" s="1"/>
      <c r="I1" s="1"/>
      <c r="J1" s="1"/>
      <c r="K1" s="1"/>
    </row>
    <row r="2" spans="1:13" ht="30" customHeight="1">
      <c r="A2" s="301" t="s">
        <v>1803</v>
      </c>
      <c r="B2" s="301"/>
      <c r="C2" s="302"/>
      <c r="D2" s="301"/>
      <c r="E2" s="301"/>
      <c r="F2" s="301"/>
      <c r="G2" s="301"/>
      <c r="H2" s="301"/>
      <c r="I2" s="301"/>
      <c r="J2" s="301"/>
      <c r="K2" s="160"/>
    </row>
    <row r="3" spans="1:13" ht="32.25" customHeight="1">
      <c r="A3" s="319" t="s">
        <v>2617</v>
      </c>
      <c r="B3" s="319"/>
      <c r="C3" s="320"/>
      <c r="D3" s="319"/>
      <c r="E3" s="319"/>
      <c r="F3" s="319"/>
      <c r="G3" s="319"/>
      <c r="H3" s="319"/>
      <c r="I3" s="319"/>
      <c r="J3" s="319"/>
      <c r="K3" s="160"/>
    </row>
    <row r="4" spans="1:13" ht="16.5" customHeight="1">
      <c r="A4" s="303" t="s">
        <v>2492</v>
      </c>
      <c r="B4" s="303"/>
      <c r="C4" s="304"/>
      <c r="D4" s="303"/>
      <c r="E4" s="303"/>
      <c r="F4" s="303"/>
      <c r="G4" s="303"/>
      <c r="H4" s="303"/>
      <c r="I4" s="303"/>
      <c r="J4" s="303"/>
      <c r="K4" s="161"/>
    </row>
    <row r="5" spans="1:13" ht="16.5">
      <c r="A5" s="1"/>
      <c r="B5" s="1"/>
      <c r="C5" s="205"/>
      <c r="D5" s="229" t="s">
        <v>2616</v>
      </c>
      <c r="F5" s="1"/>
      <c r="G5" s="1"/>
      <c r="H5" s="1"/>
      <c r="I5" s="1"/>
      <c r="J5" s="1"/>
      <c r="K5" s="1"/>
    </row>
    <row r="6" spans="1:13" ht="16.5">
      <c r="A6" s="1"/>
      <c r="B6" s="1"/>
      <c r="C6" s="205"/>
      <c r="D6" s="118"/>
      <c r="F6" s="1"/>
      <c r="G6" s="1"/>
      <c r="H6" s="1"/>
      <c r="I6" s="1"/>
      <c r="J6" s="1"/>
      <c r="K6" s="1"/>
    </row>
    <row r="7" spans="1:13" ht="16.5">
      <c r="A7" s="1"/>
      <c r="B7" s="1"/>
      <c r="C7" s="205"/>
      <c r="D7" s="118"/>
      <c r="F7" s="1"/>
      <c r="G7" s="1"/>
      <c r="H7" s="1"/>
      <c r="I7" s="1"/>
      <c r="J7" s="1"/>
      <c r="K7" s="1"/>
    </row>
    <row r="8" spans="1:13" ht="16.5">
      <c r="A8" s="1"/>
      <c r="B8" s="1"/>
      <c r="C8" s="205"/>
      <c r="D8" s="118"/>
      <c r="F8" s="1"/>
      <c r="G8" s="1"/>
      <c r="H8" s="1"/>
      <c r="I8" s="1"/>
      <c r="J8" s="1"/>
      <c r="K8" s="1"/>
    </row>
    <row r="9" spans="1:13" ht="26.1" customHeight="1">
      <c r="A9" s="32" t="s">
        <v>670</v>
      </c>
      <c r="B9" s="33"/>
      <c r="C9" s="206"/>
      <c r="D9" s="34"/>
      <c r="E9" s="34"/>
      <c r="F9" s="31"/>
      <c r="G9" s="64"/>
      <c r="H9" s="64"/>
      <c r="I9" s="64"/>
      <c r="J9" s="70"/>
      <c r="K9" s="5"/>
      <c r="L9" s="63"/>
    </row>
    <row r="10" spans="1:13" ht="39" customHeight="1">
      <c r="A10" s="317" t="s">
        <v>671</v>
      </c>
      <c r="B10" s="317"/>
      <c r="C10" s="314" t="s">
        <v>222</v>
      </c>
      <c r="D10" s="318"/>
      <c r="E10" s="318"/>
      <c r="F10" s="318"/>
      <c r="G10" s="318"/>
      <c r="H10" s="318"/>
      <c r="I10" s="318"/>
      <c r="J10" s="318"/>
      <c r="K10" s="318"/>
      <c r="L10" s="155"/>
      <c r="M10" s="286"/>
    </row>
    <row r="11" spans="1:13" ht="21" customHeight="1">
      <c r="A11" s="317" t="s">
        <v>84</v>
      </c>
      <c r="B11" s="317"/>
      <c r="C11" s="314" t="s">
        <v>672</v>
      </c>
      <c r="D11" s="318"/>
      <c r="E11" s="318"/>
      <c r="F11" s="318"/>
      <c r="G11" s="318"/>
      <c r="H11" s="318"/>
      <c r="I11" s="318"/>
      <c r="J11" s="318"/>
      <c r="K11" s="318"/>
      <c r="L11" s="155"/>
      <c r="M11" s="286"/>
    </row>
    <row r="12" spans="1:13" ht="21" customHeight="1">
      <c r="A12" s="317" t="s">
        <v>673</v>
      </c>
      <c r="B12" s="317"/>
      <c r="C12" s="314" t="s">
        <v>674</v>
      </c>
      <c r="D12" s="318"/>
      <c r="E12" s="318"/>
      <c r="F12" s="318"/>
      <c r="G12" s="318"/>
      <c r="H12" s="318"/>
      <c r="I12" s="318"/>
      <c r="J12" s="318"/>
      <c r="K12" s="318"/>
      <c r="L12" s="155"/>
      <c r="M12" s="286"/>
    </row>
    <row r="13" spans="1:13" ht="21" customHeight="1">
      <c r="A13" s="317" t="s">
        <v>276</v>
      </c>
      <c r="B13" s="317"/>
      <c r="C13" s="314" t="s">
        <v>675</v>
      </c>
      <c r="D13" s="318"/>
      <c r="E13" s="318"/>
      <c r="F13" s="318"/>
      <c r="G13" s="318"/>
      <c r="H13" s="318"/>
      <c r="I13" s="318"/>
      <c r="J13" s="318"/>
      <c r="K13" s="318"/>
      <c r="L13" s="155"/>
      <c r="M13" s="286"/>
    </row>
    <row r="14" spans="1:13" ht="21" customHeight="1">
      <c r="A14" s="317" t="s">
        <v>1421</v>
      </c>
      <c r="B14" s="317"/>
      <c r="C14" s="314" t="s">
        <v>40</v>
      </c>
      <c r="D14" s="318"/>
      <c r="E14" s="318"/>
      <c r="F14" s="318"/>
      <c r="G14" s="318"/>
      <c r="H14" s="318"/>
      <c r="I14" s="318"/>
      <c r="J14" s="318"/>
      <c r="K14" s="318"/>
      <c r="L14" s="155"/>
      <c r="M14" s="286"/>
    </row>
    <row r="15" spans="1:13" ht="21" customHeight="1">
      <c r="A15" s="317" t="s">
        <v>617</v>
      </c>
      <c r="B15" s="317"/>
      <c r="C15" s="314" t="s">
        <v>41</v>
      </c>
      <c r="D15" s="315"/>
      <c r="E15" s="315"/>
      <c r="F15" s="315"/>
      <c r="G15" s="315"/>
      <c r="H15" s="315"/>
      <c r="I15" s="315"/>
      <c r="J15" s="315"/>
      <c r="K15" s="316"/>
      <c r="L15" s="156"/>
      <c r="M15" s="287"/>
    </row>
    <row r="16" spans="1:13" ht="21" customHeight="1">
      <c r="A16" s="317" t="s">
        <v>1148</v>
      </c>
      <c r="B16" s="317"/>
      <c r="C16" s="314" t="s">
        <v>42</v>
      </c>
      <c r="D16" s="315"/>
      <c r="E16" s="315"/>
      <c r="F16" s="315"/>
      <c r="G16" s="315"/>
      <c r="H16" s="315"/>
      <c r="I16" s="315"/>
      <c r="J16" s="315"/>
      <c r="K16" s="316"/>
      <c r="L16" s="156"/>
      <c r="M16" s="287"/>
    </row>
    <row r="17" spans="1:13" ht="21" customHeight="1">
      <c r="A17" s="317" t="s">
        <v>43</v>
      </c>
      <c r="B17" s="317"/>
      <c r="C17" s="314" t="s">
        <v>963</v>
      </c>
      <c r="D17" s="315"/>
      <c r="E17" s="315"/>
      <c r="F17" s="315"/>
      <c r="G17" s="315"/>
      <c r="H17" s="315"/>
      <c r="I17" s="315"/>
      <c r="J17" s="315"/>
      <c r="K17" s="316"/>
      <c r="L17" s="156"/>
      <c r="M17" s="287"/>
    </row>
    <row r="18" spans="1:13" ht="21" customHeight="1">
      <c r="A18" s="317" t="s">
        <v>1420</v>
      </c>
      <c r="B18" s="317"/>
      <c r="C18" s="314" t="s">
        <v>964</v>
      </c>
      <c r="D18" s="315"/>
      <c r="E18" s="315"/>
      <c r="F18" s="315"/>
      <c r="G18" s="315"/>
      <c r="H18" s="315"/>
      <c r="I18" s="315"/>
      <c r="J18" s="315"/>
      <c r="K18" s="316"/>
      <c r="L18" s="156"/>
      <c r="M18" s="287"/>
    </row>
    <row r="19" spans="1:13" ht="21" customHeight="1">
      <c r="A19" s="317" t="s">
        <v>965</v>
      </c>
      <c r="B19" s="317"/>
      <c r="C19" s="314" t="s">
        <v>1339</v>
      </c>
      <c r="D19" s="315"/>
      <c r="E19" s="315"/>
      <c r="F19" s="315"/>
      <c r="G19" s="315"/>
      <c r="H19" s="315"/>
      <c r="I19" s="315"/>
      <c r="J19" s="315"/>
      <c r="K19" s="316"/>
      <c r="L19" s="156"/>
      <c r="M19" s="287"/>
    </row>
    <row r="20" spans="1:13" ht="21" customHeight="1">
      <c r="A20" s="317" t="s">
        <v>1340</v>
      </c>
      <c r="B20" s="317"/>
      <c r="C20" s="314" t="s">
        <v>1336</v>
      </c>
      <c r="D20" s="315"/>
      <c r="E20" s="315"/>
      <c r="F20" s="315"/>
      <c r="G20" s="315"/>
      <c r="H20" s="315"/>
      <c r="I20" s="315"/>
      <c r="J20" s="315"/>
      <c r="K20" s="316"/>
      <c r="L20" s="156"/>
      <c r="M20" s="287"/>
    </row>
    <row r="21" spans="1:13" ht="21" customHeight="1">
      <c r="A21" s="317" t="s">
        <v>1337</v>
      </c>
      <c r="B21" s="317"/>
      <c r="C21" s="314" t="s">
        <v>1410</v>
      </c>
      <c r="D21" s="316"/>
      <c r="E21" s="316"/>
      <c r="F21" s="316"/>
      <c r="G21" s="316"/>
      <c r="H21" s="316"/>
      <c r="I21" s="316"/>
      <c r="J21" s="316"/>
      <c r="K21" s="316"/>
      <c r="L21" s="156"/>
      <c r="M21" s="287"/>
    </row>
    <row r="22" spans="1:13" ht="12.75" customHeight="1">
      <c r="A22" s="308"/>
      <c r="B22" s="308"/>
      <c r="C22" s="312"/>
      <c r="D22" s="313"/>
      <c r="E22" s="313"/>
      <c r="F22" s="313"/>
      <c r="G22" s="313"/>
      <c r="H22" s="313"/>
      <c r="I22" s="313"/>
      <c r="J22" s="313"/>
      <c r="K22" s="5"/>
      <c r="L22" s="63"/>
    </row>
    <row r="23" spans="1:13" ht="16.5" customHeight="1">
      <c r="B23" s="35" t="s">
        <v>63</v>
      </c>
      <c r="E23" s="36"/>
      <c r="F23" s="37"/>
      <c r="G23" s="5"/>
      <c r="H23" s="65" t="s">
        <v>64</v>
      </c>
      <c r="I23" s="5"/>
      <c r="J23" s="7"/>
      <c r="K23" s="274" t="s">
        <v>2700</v>
      </c>
      <c r="L23" s="275"/>
    </row>
    <row r="24" spans="1:13" ht="17.25" customHeight="1">
      <c r="A24" s="38"/>
      <c r="B24" s="39" t="s">
        <v>65</v>
      </c>
      <c r="C24" s="207" t="s">
        <v>66</v>
      </c>
      <c r="D24" s="98"/>
      <c r="E24" s="38"/>
      <c r="F24" s="38"/>
      <c r="G24" s="38"/>
      <c r="H24" s="66"/>
      <c r="I24" s="42" t="s">
        <v>67</v>
      </c>
      <c r="J24" s="40"/>
      <c r="K24" s="40" t="s">
        <v>2701</v>
      </c>
      <c r="L24" s="276"/>
    </row>
    <row r="25" spans="1:13" ht="17.25" customHeight="1">
      <c r="A25" s="38"/>
      <c r="B25" s="38" t="s">
        <v>68</v>
      </c>
      <c r="C25" s="208" t="s">
        <v>2586</v>
      </c>
      <c r="D25" s="62"/>
      <c r="E25" s="38"/>
      <c r="F25" s="38"/>
      <c r="G25" s="38"/>
      <c r="H25" s="66"/>
      <c r="I25" s="41" t="s">
        <v>533</v>
      </c>
      <c r="J25" s="40" t="s">
        <v>202</v>
      </c>
      <c r="K25" s="40"/>
      <c r="L25" s="276"/>
    </row>
    <row r="26" spans="1:13" ht="17.25" customHeight="1">
      <c r="A26" s="38"/>
      <c r="B26" s="38" t="s">
        <v>203</v>
      </c>
      <c r="C26" s="208" t="s">
        <v>2695</v>
      </c>
      <c r="D26" s="62"/>
      <c r="E26" s="38"/>
      <c r="F26" s="38"/>
      <c r="G26" s="38"/>
      <c r="H26" s="66"/>
      <c r="I26" s="41" t="s">
        <v>845</v>
      </c>
      <c r="J26" s="40" t="s">
        <v>1116</v>
      </c>
      <c r="K26" s="40"/>
      <c r="L26" s="276"/>
    </row>
    <row r="27" spans="1:13" ht="17.25" customHeight="1">
      <c r="A27" s="38"/>
      <c r="B27" s="38" t="s">
        <v>204</v>
      </c>
      <c r="C27" s="208" t="s">
        <v>2587</v>
      </c>
      <c r="D27" s="62"/>
      <c r="E27" s="38"/>
      <c r="F27" s="38"/>
      <c r="G27" s="38"/>
      <c r="H27" s="66"/>
      <c r="I27" s="41" t="s">
        <v>70</v>
      </c>
      <c r="J27" s="40" t="s">
        <v>205</v>
      </c>
      <c r="K27" s="276"/>
      <c r="L27" s="276"/>
    </row>
    <row r="28" spans="1:13" ht="17.25" customHeight="1">
      <c r="A28" s="38"/>
      <c r="B28" s="38" t="s">
        <v>206</v>
      </c>
      <c r="C28" s="208" t="s">
        <v>1230</v>
      </c>
      <c r="D28" s="62"/>
      <c r="E28" s="38"/>
      <c r="F28" s="38"/>
      <c r="G28" s="38"/>
      <c r="H28" s="66"/>
      <c r="I28" s="42" t="s">
        <v>207</v>
      </c>
      <c r="J28" s="40"/>
      <c r="K28" s="276"/>
      <c r="L28" s="276"/>
    </row>
    <row r="29" spans="1:13" ht="17.25" customHeight="1">
      <c r="A29" s="38"/>
      <c r="B29" s="38" t="s">
        <v>208</v>
      </c>
      <c r="C29" s="208" t="s">
        <v>2588</v>
      </c>
      <c r="D29" s="62"/>
      <c r="E29" s="38"/>
      <c r="F29" s="38"/>
      <c r="G29" s="38"/>
      <c r="H29" s="66"/>
      <c r="I29" s="41" t="s">
        <v>1330</v>
      </c>
      <c r="J29" s="40" t="s">
        <v>209</v>
      </c>
      <c r="K29" s="40" t="s">
        <v>2702</v>
      </c>
      <c r="L29" s="40"/>
    </row>
    <row r="30" spans="1:13" ht="17.25" customHeight="1">
      <c r="A30" s="38"/>
      <c r="B30" s="38" t="s">
        <v>210</v>
      </c>
      <c r="C30" s="208" t="s">
        <v>2589</v>
      </c>
      <c r="D30" s="62"/>
      <c r="E30" s="38"/>
      <c r="F30" s="38"/>
      <c r="G30" s="38"/>
      <c r="H30" s="66"/>
      <c r="I30" s="41" t="s">
        <v>534</v>
      </c>
      <c r="J30" s="40" t="s">
        <v>211</v>
      </c>
      <c r="K30" s="41" t="s">
        <v>1776</v>
      </c>
      <c r="L30" s="40"/>
    </row>
    <row r="31" spans="1:13" ht="17.25" customHeight="1">
      <c r="A31" s="38"/>
      <c r="B31" s="38" t="s">
        <v>212</v>
      </c>
      <c r="C31" s="208" t="s">
        <v>2590</v>
      </c>
      <c r="D31" s="62"/>
      <c r="E31" s="38"/>
      <c r="F31" s="38"/>
      <c r="G31" s="38"/>
      <c r="H31" s="66"/>
      <c r="I31" s="41" t="s">
        <v>1329</v>
      </c>
      <c r="J31" s="40" t="s">
        <v>1551</v>
      </c>
      <c r="K31" s="41" t="s">
        <v>2707</v>
      </c>
      <c r="L31" s="40"/>
    </row>
    <row r="32" spans="1:13" ht="17.25" customHeight="1">
      <c r="A32" s="38"/>
      <c r="B32" s="38" t="s">
        <v>1552</v>
      </c>
      <c r="C32" s="208" t="s">
        <v>2591</v>
      </c>
      <c r="D32" s="62"/>
      <c r="E32" s="38"/>
      <c r="F32" s="38"/>
      <c r="G32" s="38"/>
      <c r="H32" s="66"/>
      <c r="I32" s="41" t="s">
        <v>540</v>
      </c>
      <c r="J32" s="40" t="s">
        <v>219</v>
      </c>
      <c r="K32" s="41" t="s">
        <v>533</v>
      </c>
      <c r="L32" s="40"/>
    </row>
    <row r="33" spans="1:12" ht="17.25" customHeight="1">
      <c r="A33" s="38"/>
      <c r="B33" s="38" t="s">
        <v>487</v>
      </c>
      <c r="C33" s="208" t="s">
        <v>488</v>
      </c>
      <c r="D33" s="62"/>
      <c r="E33" s="38"/>
      <c r="F33" s="38"/>
      <c r="G33" s="38"/>
      <c r="H33" s="66"/>
      <c r="I33" s="41" t="s">
        <v>1332</v>
      </c>
      <c r="J33" s="40" t="s">
        <v>415</v>
      </c>
      <c r="K33" s="279" t="s">
        <v>1767</v>
      </c>
    </row>
    <row r="34" spans="1:12" ht="17.25" customHeight="1">
      <c r="A34" s="38"/>
      <c r="B34" s="38" t="s">
        <v>411</v>
      </c>
      <c r="C34" s="208" t="s">
        <v>2592</v>
      </c>
      <c r="D34" s="62"/>
      <c r="E34" s="38"/>
      <c r="F34" s="38"/>
      <c r="G34" s="38"/>
      <c r="H34" s="66"/>
      <c r="I34" s="41" t="s">
        <v>1331</v>
      </c>
      <c r="J34" s="40" t="s">
        <v>1558</v>
      </c>
      <c r="K34" s="41" t="s">
        <v>1764</v>
      </c>
      <c r="L34" s="40"/>
    </row>
    <row r="35" spans="1:12" ht="17.25" customHeight="1">
      <c r="A35" s="38"/>
      <c r="B35" s="38" t="s">
        <v>156</v>
      </c>
      <c r="C35" s="208" t="s">
        <v>2593</v>
      </c>
      <c r="D35" s="62"/>
      <c r="E35" s="38"/>
      <c r="F35" s="38"/>
      <c r="G35" s="38"/>
      <c r="H35" s="66"/>
      <c r="I35" s="1"/>
      <c r="J35" s="1"/>
      <c r="K35" s="41" t="s">
        <v>2703</v>
      </c>
      <c r="L35" s="40"/>
    </row>
    <row r="36" spans="1:12" ht="17.25" customHeight="1">
      <c r="A36" s="38"/>
      <c r="B36" s="38" t="s">
        <v>1559</v>
      </c>
      <c r="C36" s="208" t="s">
        <v>2594</v>
      </c>
      <c r="D36" s="62"/>
      <c r="E36" s="38"/>
      <c r="F36" s="38"/>
      <c r="G36" s="38"/>
      <c r="H36" s="66"/>
      <c r="I36" s="42" t="s">
        <v>1763</v>
      </c>
      <c r="J36" s="40"/>
      <c r="K36" s="41" t="s">
        <v>2704</v>
      </c>
      <c r="L36" s="40"/>
    </row>
    <row r="37" spans="1:12" ht="17.25" customHeight="1">
      <c r="A37" s="38"/>
      <c r="B37" s="38" t="s">
        <v>1560</v>
      </c>
      <c r="C37" s="208" t="s">
        <v>2595</v>
      </c>
      <c r="D37" s="62"/>
      <c r="E37" s="38"/>
      <c r="F37" s="38"/>
      <c r="G37" s="38"/>
      <c r="H37" s="66"/>
      <c r="I37" s="41" t="s">
        <v>1761</v>
      </c>
      <c r="J37" s="40" t="s">
        <v>1768</v>
      </c>
      <c r="K37" s="41" t="s">
        <v>2705</v>
      </c>
      <c r="L37" s="40"/>
    </row>
    <row r="38" spans="1:12" ht="17.25" customHeight="1">
      <c r="A38" s="38"/>
      <c r="B38" s="38" t="s">
        <v>1561</v>
      </c>
      <c r="C38" s="208" t="s">
        <v>2596</v>
      </c>
      <c r="D38" s="62"/>
      <c r="E38" s="38"/>
      <c r="F38" s="38"/>
      <c r="G38" s="38"/>
      <c r="H38" s="66"/>
      <c r="I38" s="41" t="s">
        <v>534</v>
      </c>
      <c r="J38" s="40" t="s">
        <v>1774</v>
      </c>
      <c r="K38" s="41" t="s">
        <v>2706</v>
      </c>
      <c r="L38" s="40"/>
    </row>
    <row r="39" spans="1:12" ht="17.25" customHeight="1">
      <c r="A39" s="38"/>
      <c r="B39" s="38" t="s">
        <v>1562</v>
      </c>
      <c r="C39" s="208" t="s">
        <v>2597</v>
      </c>
      <c r="D39" s="62"/>
      <c r="E39" s="38"/>
      <c r="F39" s="38"/>
      <c r="G39" s="38"/>
      <c r="H39" s="66"/>
      <c r="I39" s="41" t="s">
        <v>1764</v>
      </c>
      <c r="J39" s="40" t="s">
        <v>1773</v>
      </c>
      <c r="K39" s="41" t="s">
        <v>1766</v>
      </c>
      <c r="L39" s="40"/>
    </row>
    <row r="40" spans="1:12" ht="17.25" customHeight="1">
      <c r="A40" s="38"/>
      <c r="B40" s="38" t="s">
        <v>1563</v>
      </c>
      <c r="C40" s="208" t="s">
        <v>2598</v>
      </c>
      <c r="D40" s="62"/>
      <c r="E40" s="38"/>
      <c r="F40" s="38"/>
      <c r="G40" s="38"/>
      <c r="H40" s="66"/>
      <c r="I40" s="116" t="s">
        <v>1767</v>
      </c>
      <c r="J40" s="40" t="s">
        <v>1772</v>
      </c>
      <c r="K40" s="41" t="s">
        <v>2708</v>
      </c>
      <c r="L40" s="40"/>
    </row>
    <row r="41" spans="1:12" ht="17.25" customHeight="1">
      <c r="A41" s="38"/>
      <c r="B41" s="38" t="s">
        <v>176</v>
      </c>
      <c r="C41" s="208" t="s">
        <v>2599</v>
      </c>
      <c r="D41" s="62" t="s">
        <v>1173</v>
      </c>
      <c r="E41" s="38"/>
      <c r="F41" s="38"/>
      <c r="G41" s="38"/>
      <c r="H41" s="66"/>
      <c r="I41" s="41" t="s">
        <v>1765</v>
      </c>
      <c r="J41" s="40" t="s">
        <v>1771</v>
      </c>
      <c r="K41" s="41" t="s">
        <v>1765</v>
      </c>
      <c r="L41" s="40"/>
    </row>
    <row r="42" spans="1:12" ht="17.25" customHeight="1">
      <c r="A42" s="38"/>
      <c r="B42" s="38" t="s">
        <v>177</v>
      </c>
      <c r="C42" s="208" t="s">
        <v>2600</v>
      </c>
      <c r="D42" s="62" t="s">
        <v>1368</v>
      </c>
      <c r="E42" s="38"/>
      <c r="F42" s="38"/>
      <c r="G42" s="38"/>
      <c r="H42" s="66"/>
      <c r="I42" s="41" t="s">
        <v>1766</v>
      </c>
      <c r="J42" s="70" t="s">
        <v>1770</v>
      </c>
      <c r="K42" s="272"/>
      <c r="L42" s="272"/>
    </row>
    <row r="43" spans="1:12" ht="17.25" customHeight="1">
      <c r="A43" s="38"/>
      <c r="B43" s="38" t="s">
        <v>167</v>
      </c>
      <c r="C43" s="208" t="s">
        <v>2601</v>
      </c>
      <c r="D43" s="62"/>
      <c r="E43" s="38"/>
      <c r="F43" s="38"/>
      <c r="G43" s="38"/>
      <c r="H43" s="66"/>
      <c r="I43" s="116" t="s">
        <v>533</v>
      </c>
      <c r="J43" s="70" t="s">
        <v>1769</v>
      </c>
      <c r="K43" s="176"/>
      <c r="L43" s="176"/>
    </row>
    <row r="44" spans="1:12" ht="19.5" customHeight="1">
      <c r="A44" s="38"/>
      <c r="B44" s="40" t="s">
        <v>168</v>
      </c>
      <c r="C44" s="208"/>
      <c r="D44" s="62"/>
      <c r="E44" s="38"/>
      <c r="F44" s="38"/>
      <c r="G44" s="38"/>
      <c r="H44" s="5"/>
      <c r="I44" s="5"/>
      <c r="J44" s="7"/>
      <c r="K44" s="273"/>
      <c r="L44" s="278"/>
    </row>
    <row r="45" spans="1:12" ht="8.25" customHeight="1">
      <c r="A45" s="38"/>
      <c r="B45" s="40"/>
      <c r="K45" s="273"/>
      <c r="L45" s="278"/>
    </row>
    <row r="46" spans="1:12" ht="19.5" customHeight="1">
      <c r="A46" s="38" t="s">
        <v>1438</v>
      </c>
      <c r="B46" s="40"/>
      <c r="C46" s="209"/>
      <c r="D46" s="324" t="s">
        <v>1906</v>
      </c>
      <c r="E46" s="324"/>
      <c r="F46" s="324"/>
      <c r="G46" s="324"/>
      <c r="H46" s="324"/>
      <c r="I46" s="324"/>
      <c r="J46" s="324"/>
      <c r="K46" s="5"/>
      <c r="L46" s="63"/>
    </row>
    <row r="47" spans="1:12" ht="19.5" customHeight="1">
      <c r="A47" s="38"/>
      <c r="B47" s="40"/>
      <c r="C47" s="231"/>
      <c r="D47" s="230" t="s">
        <v>2615</v>
      </c>
      <c r="E47" s="230"/>
      <c r="F47" s="230"/>
      <c r="G47" s="230"/>
      <c r="H47" s="230"/>
      <c r="I47" s="230"/>
      <c r="J47" s="230"/>
      <c r="K47" s="5"/>
      <c r="L47" s="63"/>
    </row>
    <row r="48" spans="1:12" ht="19.5" customHeight="1">
      <c r="A48" s="38"/>
      <c r="B48" s="40"/>
      <c r="C48" s="210"/>
      <c r="D48" s="180" t="s">
        <v>2531</v>
      </c>
      <c r="E48" s="180"/>
      <c r="F48" s="180"/>
      <c r="G48" s="180"/>
      <c r="H48" s="180"/>
      <c r="I48" s="180"/>
      <c r="J48" s="180"/>
      <c r="K48" s="5"/>
      <c r="L48" s="63"/>
    </row>
    <row r="49" spans="1:13" ht="13.5" customHeight="1">
      <c r="A49" s="38"/>
      <c r="B49" s="40"/>
      <c r="C49" s="211"/>
      <c r="D49" s="119"/>
      <c r="E49" s="97"/>
      <c r="F49" s="97"/>
      <c r="G49" s="97"/>
      <c r="H49" s="97"/>
      <c r="I49" s="97"/>
      <c r="J49" s="97"/>
      <c r="K49" s="5"/>
      <c r="L49" s="63"/>
    </row>
    <row r="50" spans="1:13" ht="36" customHeight="1">
      <c r="A50" s="309" t="s">
        <v>1809</v>
      </c>
      <c r="B50" s="310"/>
      <c r="C50" s="311"/>
      <c r="D50" s="310"/>
      <c r="E50" s="310"/>
      <c r="F50" s="310"/>
      <c r="G50" s="310"/>
      <c r="H50" s="310"/>
      <c r="I50" s="310"/>
      <c r="J50" s="310"/>
      <c r="K50" s="310"/>
      <c r="L50" s="190"/>
    </row>
    <row r="51" spans="1:13" ht="48.75" customHeight="1">
      <c r="A51" s="47" t="s">
        <v>668</v>
      </c>
      <c r="B51" s="47" t="s">
        <v>84</v>
      </c>
      <c r="C51" s="212" t="s">
        <v>1436</v>
      </c>
      <c r="D51" s="48" t="s">
        <v>1650</v>
      </c>
      <c r="E51" s="47" t="s">
        <v>387</v>
      </c>
      <c r="F51" s="49" t="s">
        <v>1437</v>
      </c>
      <c r="G51" s="50" t="s">
        <v>617</v>
      </c>
      <c r="H51" s="50" t="s">
        <v>1148</v>
      </c>
      <c r="I51" s="51" t="s">
        <v>953</v>
      </c>
      <c r="J51" s="71" t="s">
        <v>1420</v>
      </c>
      <c r="K51" s="189" t="s">
        <v>1103</v>
      </c>
      <c r="L51" s="87"/>
    </row>
    <row r="52" spans="1:13" ht="18" customHeight="1">
      <c r="A52" s="181" t="s">
        <v>507</v>
      </c>
      <c r="B52" s="181" t="s">
        <v>101</v>
      </c>
      <c r="C52" s="210" t="s">
        <v>818</v>
      </c>
      <c r="D52" s="328" t="s">
        <v>2679</v>
      </c>
      <c r="E52" s="181" t="s">
        <v>1521</v>
      </c>
      <c r="F52" s="182" t="s">
        <v>1331</v>
      </c>
      <c r="G52" s="268" t="s">
        <v>1526</v>
      </c>
      <c r="H52" s="182" t="s">
        <v>1362</v>
      </c>
      <c r="I52" s="183">
        <v>1010</v>
      </c>
      <c r="J52" s="184" t="s">
        <v>1230</v>
      </c>
      <c r="K52" s="182" t="s">
        <v>753</v>
      </c>
      <c r="L52" s="128" t="s">
        <v>1760</v>
      </c>
      <c r="M52" s="178"/>
    </row>
    <row r="53" spans="1:13" ht="18" customHeight="1">
      <c r="A53" s="181" t="s">
        <v>513</v>
      </c>
      <c r="B53" s="181" t="s">
        <v>105</v>
      </c>
      <c r="C53" s="210" t="s">
        <v>996</v>
      </c>
      <c r="D53" s="329"/>
      <c r="E53" s="181" t="s">
        <v>1522</v>
      </c>
      <c r="F53" s="182"/>
      <c r="G53" s="268" t="s">
        <v>1526</v>
      </c>
      <c r="H53" s="182" t="s">
        <v>1362</v>
      </c>
      <c r="I53" s="183">
        <v>1405</v>
      </c>
      <c r="J53" s="184" t="s">
        <v>1219</v>
      </c>
      <c r="K53" s="182" t="s">
        <v>637</v>
      </c>
      <c r="L53" s="128" t="s">
        <v>1762</v>
      </c>
      <c r="M53" s="272"/>
    </row>
    <row r="54" spans="1:13" ht="18" customHeight="1">
      <c r="A54" s="181" t="s">
        <v>512</v>
      </c>
      <c r="B54" s="181" t="s">
        <v>103</v>
      </c>
      <c r="C54" s="210" t="s">
        <v>995</v>
      </c>
      <c r="D54" s="329"/>
      <c r="E54" s="181" t="s">
        <v>1522</v>
      </c>
      <c r="F54" s="182"/>
      <c r="G54" s="268" t="s">
        <v>1526</v>
      </c>
      <c r="H54" s="182" t="s">
        <v>1362</v>
      </c>
      <c r="I54" s="183">
        <v>1900</v>
      </c>
      <c r="J54" s="184" t="s">
        <v>1375</v>
      </c>
      <c r="K54" s="182" t="s">
        <v>638</v>
      </c>
      <c r="L54" s="128" t="s">
        <v>1775</v>
      </c>
      <c r="M54" s="178"/>
    </row>
    <row r="55" spans="1:13" ht="18" customHeight="1">
      <c r="A55" s="181" t="s">
        <v>1538</v>
      </c>
      <c r="B55" s="181"/>
      <c r="C55" s="210" t="s">
        <v>1134</v>
      </c>
      <c r="D55" s="329"/>
      <c r="E55" s="181" t="s">
        <v>1521</v>
      </c>
      <c r="F55" s="182"/>
      <c r="G55" s="268" t="s">
        <v>1526</v>
      </c>
      <c r="H55" s="182" t="s">
        <v>1194</v>
      </c>
      <c r="I55" s="183">
        <v>1097</v>
      </c>
      <c r="J55" s="269" t="s">
        <v>926</v>
      </c>
      <c r="K55" s="250">
        <v>2</v>
      </c>
      <c r="L55" s="128" t="s">
        <v>1777</v>
      </c>
      <c r="M55" s="178"/>
    </row>
    <row r="56" spans="1:13" ht="18" customHeight="1">
      <c r="A56" s="181" t="s">
        <v>507</v>
      </c>
      <c r="B56" s="181" t="s">
        <v>101</v>
      </c>
      <c r="C56" s="210" t="s">
        <v>818</v>
      </c>
      <c r="D56" s="329"/>
      <c r="E56" s="181" t="s">
        <v>1521</v>
      </c>
      <c r="F56" s="182" t="s">
        <v>1331</v>
      </c>
      <c r="G56" s="182" t="s">
        <v>1195</v>
      </c>
      <c r="H56" s="268" t="s">
        <v>447</v>
      </c>
      <c r="I56" s="183">
        <v>1200</v>
      </c>
      <c r="J56" s="184" t="s">
        <v>1230</v>
      </c>
      <c r="K56" s="182" t="s">
        <v>753</v>
      </c>
      <c r="L56" s="128" t="s">
        <v>1761</v>
      </c>
      <c r="M56" s="283"/>
    </row>
    <row r="57" spans="1:13" ht="18" customHeight="1">
      <c r="A57" s="181" t="s">
        <v>513</v>
      </c>
      <c r="B57" s="181" t="s">
        <v>105</v>
      </c>
      <c r="C57" s="210" t="s">
        <v>996</v>
      </c>
      <c r="D57" s="329"/>
      <c r="E57" s="181" t="s">
        <v>1522</v>
      </c>
      <c r="F57" s="182"/>
      <c r="G57" s="182" t="s">
        <v>1195</v>
      </c>
      <c r="H57" s="182" t="s">
        <v>447</v>
      </c>
      <c r="I57" s="183" t="s">
        <v>448</v>
      </c>
      <c r="J57" s="184" t="s">
        <v>26</v>
      </c>
      <c r="K57" s="250">
        <v>3</v>
      </c>
      <c r="L57" s="128" t="s">
        <v>1761</v>
      </c>
      <c r="M57" s="283"/>
    </row>
    <row r="58" spans="1:13" ht="18" customHeight="1">
      <c r="A58" s="181" t="s">
        <v>507</v>
      </c>
      <c r="B58" s="181" t="s">
        <v>101</v>
      </c>
      <c r="C58" s="210" t="s">
        <v>818</v>
      </c>
      <c r="D58" s="329"/>
      <c r="E58" s="181" t="s">
        <v>1521</v>
      </c>
      <c r="F58" s="182" t="s">
        <v>1331</v>
      </c>
      <c r="G58" s="182" t="s">
        <v>463</v>
      </c>
      <c r="H58" s="182" t="s">
        <v>447</v>
      </c>
      <c r="I58" s="270" t="s">
        <v>428</v>
      </c>
      <c r="J58" s="184" t="s">
        <v>297</v>
      </c>
      <c r="K58" s="250">
        <v>3</v>
      </c>
      <c r="L58" s="128" t="s">
        <v>1776</v>
      </c>
      <c r="M58" s="272"/>
    </row>
    <row r="59" spans="1:13" ht="18" customHeight="1">
      <c r="A59" s="181" t="s">
        <v>507</v>
      </c>
      <c r="B59" s="181" t="s">
        <v>101</v>
      </c>
      <c r="C59" s="210" t="s">
        <v>818</v>
      </c>
      <c r="D59" s="329"/>
      <c r="E59" s="181" t="s">
        <v>1521</v>
      </c>
      <c r="F59" s="182"/>
      <c r="G59" s="182" t="s">
        <v>1261</v>
      </c>
      <c r="H59" s="182" t="s">
        <v>1378</v>
      </c>
      <c r="I59" s="270">
        <v>1010</v>
      </c>
      <c r="J59" s="184" t="s">
        <v>1270</v>
      </c>
      <c r="K59" s="250">
        <v>3</v>
      </c>
      <c r="L59" s="128" t="s">
        <v>1776</v>
      </c>
      <c r="M59" s="272"/>
    </row>
    <row r="60" spans="1:13" ht="18" customHeight="1">
      <c r="A60" s="181" t="s">
        <v>512</v>
      </c>
      <c r="B60" s="181" t="s">
        <v>103</v>
      </c>
      <c r="C60" s="210" t="s">
        <v>995</v>
      </c>
      <c r="D60" s="329"/>
      <c r="E60" s="181" t="s">
        <v>1522</v>
      </c>
      <c r="F60" s="182"/>
      <c r="G60" s="182" t="s">
        <v>1261</v>
      </c>
      <c r="H60" s="182" t="s">
        <v>1378</v>
      </c>
      <c r="I60" s="183">
        <v>1100</v>
      </c>
      <c r="J60" s="184" t="s">
        <v>1850</v>
      </c>
      <c r="K60" s="250">
        <v>1</v>
      </c>
      <c r="L60" s="128" t="s">
        <v>1761</v>
      </c>
      <c r="M60" s="272"/>
    </row>
    <row r="61" spans="1:13" ht="18" customHeight="1">
      <c r="A61" s="181" t="s">
        <v>1357</v>
      </c>
      <c r="B61" s="181" t="s">
        <v>104</v>
      </c>
      <c r="C61" s="210" t="s">
        <v>12</v>
      </c>
      <c r="D61" s="329"/>
      <c r="E61" s="181" t="s">
        <v>1522</v>
      </c>
      <c r="F61" s="182"/>
      <c r="G61" s="182" t="s">
        <v>1261</v>
      </c>
      <c r="H61" s="182" t="s">
        <v>1378</v>
      </c>
      <c r="I61" s="270">
        <v>1120</v>
      </c>
      <c r="J61" s="184" t="s">
        <v>556</v>
      </c>
      <c r="K61" s="250">
        <v>1</v>
      </c>
      <c r="L61" s="128" t="s">
        <v>1761</v>
      </c>
      <c r="M61" s="272"/>
    </row>
    <row r="62" spans="1:13" ht="18" customHeight="1">
      <c r="A62" s="181" t="s">
        <v>513</v>
      </c>
      <c r="B62" s="181" t="s">
        <v>105</v>
      </c>
      <c r="C62" s="210" t="s">
        <v>996</v>
      </c>
      <c r="D62" s="329"/>
      <c r="E62" s="181" t="s">
        <v>1522</v>
      </c>
      <c r="F62" s="182"/>
      <c r="G62" s="182" t="s">
        <v>1261</v>
      </c>
      <c r="H62" s="182" t="s">
        <v>1378</v>
      </c>
      <c r="I62" s="183">
        <v>1420</v>
      </c>
      <c r="J62" s="184" t="s">
        <v>547</v>
      </c>
      <c r="K62" s="250">
        <v>3</v>
      </c>
      <c r="L62" s="128" t="s">
        <v>1761</v>
      </c>
      <c r="M62" s="272"/>
    </row>
    <row r="63" spans="1:13" ht="18" customHeight="1">
      <c r="A63" s="181" t="s">
        <v>507</v>
      </c>
      <c r="B63" s="181" t="s">
        <v>101</v>
      </c>
      <c r="C63" s="210" t="s">
        <v>818</v>
      </c>
      <c r="D63" s="329"/>
      <c r="E63" s="181" t="s">
        <v>1521</v>
      </c>
      <c r="F63" s="182" t="s">
        <v>1331</v>
      </c>
      <c r="G63" s="182" t="s">
        <v>1262</v>
      </c>
      <c r="H63" s="182" t="s">
        <v>1204</v>
      </c>
      <c r="I63" s="182" t="s">
        <v>1531</v>
      </c>
      <c r="J63" s="184" t="s">
        <v>1510</v>
      </c>
      <c r="K63" s="250">
        <v>3</v>
      </c>
      <c r="L63" s="128" t="s">
        <v>1780</v>
      </c>
      <c r="M63" s="272"/>
    </row>
    <row r="64" spans="1:13" ht="18" customHeight="1">
      <c r="A64" s="181" t="s">
        <v>507</v>
      </c>
      <c r="B64" s="181" t="s">
        <v>101</v>
      </c>
      <c r="C64" s="210" t="s">
        <v>818</v>
      </c>
      <c r="D64" s="329"/>
      <c r="E64" s="181" t="s">
        <v>1521</v>
      </c>
      <c r="F64" s="182"/>
      <c r="G64" s="182" t="s">
        <v>551</v>
      </c>
      <c r="H64" s="182" t="s">
        <v>256</v>
      </c>
      <c r="I64" s="183">
        <v>1400</v>
      </c>
      <c r="J64" s="184" t="s">
        <v>1514</v>
      </c>
      <c r="K64" s="182" t="s">
        <v>753</v>
      </c>
      <c r="L64" s="128" t="s">
        <v>1777</v>
      </c>
      <c r="M64" s="272"/>
    </row>
    <row r="65" spans="1:13" ht="18" customHeight="1">
      <c r="A65" s="181" t="s">
        <v>513</v>
      </c>
      <c r="B65" s="181" t="s">
        <v>105</v>
      </c>
      <c r="C65" s="210" t="s">
        <v>996</v>
      </c>
      <c r="D65" s="329"/>
      <c r="E65" s="181" t="s">
        <v>1522</v>
      </c>
      <c r="F65" s="182"/>
      <c r="G65" s="182" t="s">
        <v>551</v>
      </c>
      <c r="H65" s="182" t="s">
        <v>256</v>
      </c>
      <c r="I65" s="183">
        <v>1420</v>
      </c>
      <c r="J65" s="184" t="s">
        <v>26</v>
      </c>
      <c r="K65" s="182" t="s">
        <v>753</v>
      </c>
      <c r="L65" s="128" t="s">
        <v>1776</v>
      </c>
      <c r="M65" s="272"/>
    </row>
    <row r="66" spans="1:13" ht="17.25" customHeight="1">
      <c r="A66" s="181" t="s">
        <v>507</v>
      </c>
      <c r="B66" s="181" t="s">
        <v>101</v>
      </c>
      <c r="C66" s="210" t="s">
        <v>611</v>
      </c>
      <c r="D66" s="329"/>
      <c r="E66" s="181" t="s">
        <v>1521</v>
      </c>
      <c r="F66" s="182" t="s">
        <v>1331</v>
      </c>
      <c r="G66" s="182" t="s">
        <v>551</v>
      </c>
      <c r="H66" s="182" t="s">
        <v>551</v>
      </c>
      <c r="I66" s="183">
        <v>1000</v>
      </c>
      <c r="J66" s="184" t="s">
        <v>1280</v>
      </c>
      <c r="K66" s="182" t="s">
        <v>638</v>
      </c>
      <c r="L66" s="128" t="s">
        <v>1779</v>
      </c>
      <c r="M66" s="272"/>
    </row>
    <row r="67" spans="1:13" ht="17.25" customHeight="1">
      <c r="A67" s="181" t="s">
        <v>507</v>
      </c>
      <c r="B67" s="181" t="s">
        <v>101</v>
      </c>
      <c r="C67" s="210" t="s">
        <v>818</v>
      </c>
      <c r="D67" s="329"/>
      <c r="E67" s="181" t="s">
        <v>1521</v>
      </c>
      <c r="F67" s="182"/>
      <c r="G67" s="182" t="s">
        <v>1586</v>
      </c>
      <c r="H67" s="182" t="s">
        <v>286</v>
      </c>
      <c r="I67" s="183">
        <v>1010</v>
      </c>
      <c r="J67" s="184" t="s">
        <v>1347</v>
      </c>
      <c r="K67" s="182" t="s">
        <v>637</v>
      </c>
      <c r="L67" s="128" t="s">
        <v>1761</v>
      </c>
      <c r="M67" s="272"/>
    </row>
    <row r="68" spans="1:13" ht="20.25" customHeight="1">
      <c r="A68" s="181" t="s">
        <v>507</v>
      </c>
      <c r="B68" s="181" t="s">
        <v>101</v>
      </c>
      <c r="C68" s="210" t="s">
        <v>818</v>
      </c>
      <c r="D68" s="329"/>
      <c r="E68" s="181" t="s">
        <v>1521</v>
      </c>
      <c r="F68" s="182" t="s">
        <v>1331</v>
      </c>
      <c r="G68" s="182" t="s">
        <v>739</v>
      </c>
      <c r="H68" s="182" t="s">
        <v>1516</v>
      </c>
      <c r="I68" s="270" t="s">
        <v>1518</v>
      </c>
      <c r="J68" s="184" t="s">
        <v>395</v>
      </c>
      <c r="K68" s="182">
        <v>1</v>
      </c>
      <c r="L68" s="128" t="s">
        <v>1761</v>
      </c>
      <c r="M68" s="272"/>
    </row>
    <row r="69" spans="1:13" ht="18" customHeight="1">
      <c r="A69" s="21" t="s">
        <v>371</v>
      </c>
      <c r="B69" s="21" t="s">
        <v>568</v>
      </c>
      <c r="C69" s="213" t="s">
        <v>1056</v>
      </c>
      <c r="D69" s="43"/>
      <c r="E69" s="21" t="s">
        <v>1522</v>
      </c>
      <c r="F69" s="24"/>
      <c r="G69" s="22" t="s">
        <v>1195</v>
      </c>
      <c r="H69" s="22" t="s">
        <v>1530</v>
      </c>
      <c r="I69" s="67">
        <v>1440</v>
      </c>
      <c r="J69" s="26" t="s">
        <v>766</v>
      </c>
      <c r="K69" s="112">
        <v>6</v>
      </c>
      <c r="L69" s="87"/>
      <c r="M69" s="272" t="s">
        <v>2646</v>
      </c>
    </row>
    <row r="70" spans="1:13" ht="18" customHeight="1">
      <c r="A70" s="105" t="s">
        <v>2581</v>
      </c>
      <c r="B70" s="105" t="s">
        <v>2584</v>
      </c>
      <c r="C70" s="101" t="s">
        <v>2585</v>
      </c>
      <c r="D70" s="46" t="s">
        <v>2647</v>
      </c>
      <c r="E70" s="21" t="s">
        <v>1522</v>
      </c>
      <c r="F70" s="24"/>
      <c r="G70" s="22" t="s">
        <v>1195</v>
      </c>
      <c r="H70" s="22" t="s">
        <v>1530</v>
      </c>
      <c r="I70" s="67">
        <v>2100</v>
      </c>
      <c r="J70" s="26" t="s">
        <v>936</v>
      </c>
      <c r="K70" s="112">
        <v>6</v>
      </c>
      <c r="L70" s="218" t="s">
        <v>1761</v>
      </c>
      <c r="M70" s="299"/>
    </row>
    <row r="71" spans="1:13" ht="18" customHeight="1">
      <c r="A71" s="21" t="s">
        <v>1100</v>
      </c>
      <c r="B71" s="21" t="s">
        <v>885</v>
      </c>
      <c r="C71" s="28" t="s">
        <v>884</v>
      </c>
      <c r="D71" s="43" t="s">
        <v>2648</v>
      </c>
      <c r="E71" s="21" t="s">
        <v>1522</v>
      </c>
      <c r="F71" s="24" t="s">
        <v>540</v>
      </c>
      <c r="G71" s="22" t="s">
        <v>1195</v>
      </c>
      <c r="H71" s="22" t="s">
        <v>810</v>
      </c>
      <c r="I71" s="67">
        <v>1500</v>
      </c>
      <c r="J71" s="26" t="s">
        <v>149</v>
      </c>
      <c r="K71" s="202">
        <v>3</v>
      </c>
      <c r="L71" s="218" t="s">
        <v>1761</v>
      </c>
      <c r="M71" s="283"/>
    </row>
    <row r="72" spans="1:13" ht="18" customHeight="1">
      <c r="A72" s="21" t="s">
        <v>1100</v>
      </c>
      <c r="B72" s="21" t="s">
        <v>885</v>
      </c>
      <c r="C72" s="28" t="s">
        <v>884</v>
      </c>
      <c r="D72" s="43" t="s">
        <v>2648</v>
      </c>
      <c r="E72" s="21" t="s">
        <v>1522</v>
      </c>
      <c r="F72" s="24"/>
      <c r="G72" s="22" t="s">
        <v>1195</v>
      </c>
      <c r="H72" s="22" t="s">
        <v>810</v>
      </c>
      <c r="I72" s="67">
        <v>1505</v>
      </c>
      <c r="J72" s="26" t="s">
        <v>1196</v>
      </c>
      <c r="K72" s="202">
        <v>1</v>
      </c>
      <c r="L72" s="218" t="s">
        <v>1777</v>
      </c>
      <c r="M72" s="283"/>
    </row>
    <row r="73" spans="1:13" ht="18" customHeight="1">
      <c r="A73" s="21" t="s">
        <v>511</v>
      </c>
      <c r="B73" s="21" t="s">
        <v>102</v>
      </c>
      <c r="C73" s="106" t="s">
        <v>994</v>
      </c>
      <c r="D73" s="43"/>
      <c r="E73" s="21" t="s">
        <v>1522</v>
      </c>
      <c r="F73" s="22"/>
      <c r="G73" s="22" t="s">
        <v>1195</v>
      </c>
      <c r="H73" s="22" t="s">
        <v>447</v>
      </c>
      <c r="I73" s="67" t="s">
        <v>1125</v>
      </c>
      <c r="J73" s="26" t="s">
        <v>25</v>
      </c>
      <c r="K73" s="112">
        <v>2</v>
      </c>
      <c r="L73" s="218" t="s">
        <v>1761</v>
      </c>
      <c r="M73" s="272" t="s">
        <v>2646</v>
      </c>
    </row>
    <row r="74" spans="1:13" ht="18" customHeight="1">
      <c r="A74" s="21" t="s">
        <v>505</v>
      </c>
      <c r="B74" s="21" t="s">
        <v>99</v>
      </c>
      <c r="C74" s="106" t="s">
        <v>993</v>
      </c>
      <c r="D74" s="101"/>
      <c r="E74" s="21" t="s">
        <v>1522</v>
      </c>
      <c r="F74" s="22"/>
      <c r="G74" s="22" t="s">
        <v>1195</v>
      </c>
      <c r="H74" s="22" t="s">
        <v>447</v>
      </c>
      <c r="I74" s="67" t="s">
        <v>1123</v>
      </c>
      <c r="J74" s="25" t="s">
        <v>1455</v>
      </c>
      <c r="K74" s="112">
        <v>2</v>
      </c>
      <c r="L74" s="218" t="s">
        <v>1761</v>
      </c>
      <c r="M74" s="272" t="s">
        <v>2646</v>
      </c>
    </row>
    <row r="75" spans="1:13" ht="33">
      <c r="A75" s="21" t="s">
        <v>368</v>
      </c>
      <c r="B75" s="21" t="s">
        <v>119</v>
      </c>
      <c r="C75" s="28" t="s">
        <v>1003</v>
      </c>
      <c r="D75" s="43" t="s">
        <v>2649</v>
      </c>
      <c r="E75" s="21" t="s">
        <v>1522</v>
      </c>
      <c r="F75" s="22"/>
      <c r="G75" s="122" t="s">
        <v>1195</v>
      </c>
      <c r="H75" s="22" t="s">
        <v>300</v>
      </c>
      <c r="I75" s="67" t="s">
        <v>1528</v>
      </c>
      <c r="J75" s="26" t="s">
        <v>1837</v>
      </c>
      <c r="K75" s="112">
        <v>3</v>
      </c>
      <c r="L75" s="157" t="s">
        <v>1761</v>
      </c>
      <c r="M75" s="178"/>
    </row>
    <row r="76" spans="1:13" ht="16.5">
      <c r="A76" s="21" t="s">
        <v>309</v>
      </c>
      <c r="B76" s="21" t="s">
        <v>572</v>
      </c>
      <c r="C76" s="28" t="s">
        <v>1011</v>
      </c>
      <c r="D76" s="43" t="s">
        <v>2648</v>
      </c>
      <c r="E76" s="21" t="s">
        <v>1522</v>
      </c>
      <c r="F76" s="22"/>
      <c r="G76" s="22" t="s">
        <v>1195</v>
      </c>
      <c r="H76" s="22" t="s">
        <v>453</v>
      </c>
      <c r="I76" s="67">
        <v>1010</v>
      </c>
      <c r="J76" s="26" t="s">
        <v>151</v>
      </c>
      <c r="K76" s="112">
        <v>3</v>
      </c>
      <c r="L76" s="218"/>
      <c r="M76" s="283"/>
    </row>
    <row r="77" spans="1:13" ht="16.5">
      <c r="A77" s="21" t="s">
        <v>309</v>
      </c>
      <c r="B77" s="21" t="s">
        <v>572</v>
      </c>
      <c r="C77" s="28" t="s">
        <v>1011</v>
      </c>
      <c r="D77" s="43" t="s">
        <v>2648</v>
      </c>
      <c r="E77" s="21" t="s">
        <v>1522</v>
      </c>
      <c r="F77" s="22"/>
      <c r="G77" s="22" t="s">
        <v>1195</v>
      </c>
      <c r="H77" s="22" t="s">
        <v>453</v>
      </c>
      <c r="I77" s="67">
        <v>1410</v>
      </c>
      <c r="J77" s="26" t="s">
        <v>273</v>
      </c>
      <c r="K77" s="202">
        <v>3</v>
      </c>
      <c r="L77" s="218" t="s">
        <v>1761</v>
      </c>
      <c r="M77" s="283"/>
    </row>
    <row r="78" spans="1:13" ht="33">
      <c r="A78" s="21" t="s">
        <v>372</v>
      </c>
      <c r="B78" s="21" t="s">
        <v>569</v>
      </c>
      <c r="C78" s="106" t="s">
        <v>1129</v>
      </c>
      <c r="D78" s="43" t="s">
        <v>2532</v>
      </c>
      <c r="E78" s="21" t="s">
        <v>1522</v>
      </c>
      <c r="F78" s="22"/>
      <c r="G78" s="22" t="s">
        <v>463</v>
      </c>
      <c r="H78" s="22" t="s">
        <v>1804</v>
      </c>
      <c r="I78" s="67">
        <v>1210</v>
      </c>
      <c r="J78" s="26" t="s">
        <v>1805</v>
      </c>
      <c r="K78" s="110" t="s">
        <v>753</v>
      </c>
      <c r="L78" s="218" t="s">
        <v>1761</v>
      </c>
      <c r="M78" s="272" t="s">
        <v>2633</v>
      </c>
    </row>
    <row r="79" spans="1:13" ht="33">
      <c r="A79" s="21" t="s">
        <v>372</v>
      </c>
      <c r="B79" s="21" t="s">
        <v>569</v>
      </c>
      <c r="C79" s="106" t="s">
        <v>1129</v>
      </c>
      <c r="D79" s="43" t="s">
        <v>2532</v>
      </c>
      <c r="E79" s="21" t="s">
        <v>1522</v>
      </c>
      <c r="F79" s="22"/>
      <c r="G79" s="22" t="s">
        <v>463</v>
      </c>
      <c r="H79" s="22" t="s">
        <v>1804</v>
      </c>
      <c r="I79" s="67">
        <v>1220</v>
      </c>
      <c r="J79" s="26" t="s">
        <v>1806</v>
      </c>
      <c r="K79" s="22" t="s">
        <v>753</v>
      </c>
      <c r="L79" s="218" t="s">
        <v>1761</v>
      </c>
      <c r="M79" s="272" t="s">
        <v>2633</v>
      </c>
    </row>
    <row r="80" spans="1:13" ht="33">
      <c r="A80" s="21" t="s">
        <v>1246</v>
      </c>
      <c r="B80" s="21" t="s">
        <v>1247</v>
      </c>
      <c r="C80" s="106" t="s">
        <v>1009</v>
      </c>
      <c r="D80" s="43" t="s">
        <v>2532</v>
      </c>
      <c r="E80" s="21" t="s">
        <v>1522</v>
      </c>
      <c r="F80" s="22"/>
      <c r="G80" s="22" t="s">
        <v>463</v>
      </c>
      <c r="H80" s="22" t="s">
        <v>1804</v>
      </c>
      <c r="I80" s="67">
        <v>1240</v>
      </c>
      <c r="J80" s="26" t="s">
        <v>304</v>
      </c>
      <c r="K80" s="110" t="s">
        <v>753</v>
      </c>
      <c r="L80" s="218" t="s">
        <v>1761</v>
      </c>
      <c r="M80" s="272" t="s">
        <v>2633</v>
      </c>
    </row>
    <row r="81" spans="1:14" ht="33">
      <c r="A81" s="21" t="s">
        <v>372</v>
      </c>
      <c r="B81" s="21" t="s">
        <v>569</v>
      </c>
      <c r="C81" s="106" t="s">
        <v>1129</v>
      </c>
      <c r="D81" s="43" t="s">
        <v>2532</v>
      </c>
      <c r="E81" s="21" t="s">
        <v>1522</v>
      </c>
      <c r="F81" s="22"/>
      <c r="G81" s="22" t="s">
        <v>463</v>
      </c>
      <c r="H81" s="22" t="s">
        <v>1804</v>
      </c>
      <c r="I81" s="67">
        <v>1240</v>
      </c>
      <c r="J81" s="26" t="s">
        <v>304</v>
      </c>
      <c r="K81" s="110" t="s">
        <v>753</v>
      </c>
      <c r="L81" s="218" t="s">
        <v>1761</v>
      </c>
      <c r="M81" s="272" t="s">
        <v>2633</v>
      </c>
    </row>
    <row r="82" spans="1:14" ht="49.5">
      <c r="A82" s="21" t="s">
        <v>312</v>
      </c>
      <c r="B82" s="21" t="s">
        <v>1450</v>
      </c>
      <c r="C82" s="106" t="s">
        <v>1131</v>
      </c>
      <c r="D82" s="43" t="s">
        <v>2635</v>
      </c>
      <c r="E82" s="21" t="s">
        <v>1522</v>
      </c>
      <c r="F82" s="22"/>
      <c r="G82" s="22" t="s">
        <v>463</v>
      </c>
      <c r="H82" s="22" t="s">
        <v>702</v>
      </c>
      <c r="I82" s="68">
        <v>1310</v>
      </c>
      <c r="J82" s="26" t="s">
        <v>1406</v>
      </c>
      <c r="K82" s="112">
        <v>3</v>
      </c>
      <c r="L82" s="218" t="s">
        <v>1761</v>
      </c>
      <c r="M82" s="272" t="s">
        <v>2633</v>
      </c>
    </row>
    <row r="83" spans="1:14" ht="33">
      <c r="A83" s="105" t="s">
        <v>229</v>
      </c>
      <c r="B83" s="105"/>
      <c r="C83" s="106" t="s">
        <v>295</v>
      </c>
      <c r="D83" s="43" t="s">
        <v>2692</v>
      </c>
      <c r="E83" s="21" t="s">
        <v>1522</v>
      </c>
      <c r="F83" s="107" t="s">
        <v>533</v>
      </c>
      <c r="G83" s="22" t="s">
        <v>551</v>
      </c>
      <c r="H83" s="107" t="s">
        <v>1091</v>
      </c>
      <c r="I83" s="108">
        <v>2010</v>
      </c>
      <c r="J83" s="109" t="s">
        <v>697</v>
      </c>
      <c r="K83" s="114">
        <v>3</v>
      </c>
      <c r="L83" s="218" t="s">
        <v>1777</v>
      </c>
      <c r="M83" s="283" t="s">
        <v>2622</v>
      </c>
    </row>
    <row r="84" spans="1:14" ht="16.5">
      <c r="A84" s="105" t="s">
        <v>51</v>
      </c>
      <c r="B84" s="105"/>
      <c r="C84" s="106" t="s">
        <v>979</v>
      </c>
      <c r="D84" s="43" t="s">
        <v>2693</v>
      </c>
      <c r="E84" s="105" t="s">
        <v>1522</v>
      </c>
      <c r="F84" s="107"/>
      <c r="G84" s="22" t="s">
        <v>551</v>
      </c>
      <c r="H84" s="107" t="s">
        <v>455</v>
      </c>
      <c r="I84" s="108">
        <v>1010</v>
      </c>
      <c r="J84" s="95" t="s">
        <v>1473</v>
      </c>
      <c r="K84" s="115" t="s">
        <v>642</v>
      </c>
      <c r="L84" s="218" t="s">
        <v>1777</v>
      </c>
      <c r="M84" s="283" t="s">
        <v>2622</v>
      </c>
    </row>
    <row r="85" spans="1:14" ht="25.5" customHeight="1">
      <c r="A85" s="105" t="s">
        <v>1487</v>
      </c>
      <c r="B85" s="105"/>
      <c r="C85" s="106" t="s">
        <v>180</v>
      </c>
      <c r="D85" s="13" t="s">
        <v>2694</v>
      </c>
      <c r="E85" s="105" t="s">
        <v>1522</v>
      </c>
      <c r="F85" s="107"/>
      <c r="G85" s="22" t="s">
        <v>551</v>
      </c>
      <c r="H85" s="107" t="s">
        <v>455</v>
      </c>
      <c r="I85" s="108">
        <v>1210</v>
      </c>
      <c r="J85" s="109" t="s">
        <v>841</v>
      </c>
      <c r="K85" s="262">
        <v>4</v>
      </c>
      <c r="L85" s="218" t="s">
        <v>1777</v>
      </c>
      <c r="M85" s="283" t="s">
        <v>2622</v>
      </c>
    </row>
    <row r="86" spans="1:14" ht="25.5" customHeight="1">
      <c r="A86" s="105" t="s">
        <v>1487</v>
      </c>
      <c r="B86" s="105"/>
      <c r="C86" s="106" t="s">
        <v>180</v>
      </c>
      <c r="D86" s="43" t="s">
        <v>2694</v>
      </c>
      <c r="E86" s="105" t="s">
        <v>1522</v>
      </c>
      <c r="F86" s="107"/>
      <c r="G86" s="22" t="s">
        <v>551</v>
      </c>
      <c r="H86" s="107" t="s">
        <v>455</v>
      </c>
      <c r="I86" s="108">
        <v>1220</v>
      </c>
      <c r="J86" s="95" t="s">
        <v>350</v>
      </c>
      <c r="K86" s="114">
        <v>4</v>
      </c>
      <c r="L86" s="218" t="s">
        <v>1777</v>
      </c>
      <c r="M86" s="283" t="s">
        <v>2622</v>
      </c>
    </row>
    <row r="87" spans="1:14" ht="49.5">
      <c r="A87" s="105" t="s">
        <v>1496</v>
      </c>
      <c r="B87" s="105" t="s">
        <v>1452</v>
      </c>
      <c r="C87" s="106" t="s">
        <v>1074</v>
      </c>
      <c r="D87" s="101" t="s">
        <v>2676</v>
      </c>
      <c r="E87" s="105" t="s">
        <v>1522</v>
      </c>
      <c r="F87" s="87"/>
      <c r="G87" s="22" t="s">
        <v>1586</v>
      </c>
      <c r="H87" s="107" t="s">
        <v>1529</v>
      </c>
      <c r="I87" s="94">
        <v>2430</v>
      </c>
      <c r="J87" s="95" t="s">
        <v>190</v>
      </c>
      <c r="K87" s="115">
        <v>3</v>
      </c>
      <c r="L87" s="218" t="s">
        <v>1761</v>
      </c>
      <c r="M87" s="272" t="s">
        <v>2674</v>
      </c>
    </row>
    <row r="88" spans="1:14" ht="33">
      <c r="A88" s="21" t="s">
        <v>1212</v>
      </c>
      <c r="B88" s="21"/>
      <c r="C88" s="28" t="s">
        <v>1674</v>
      </c>
      <c r="D88" s="43" t="s">
        <v>2712</v>
      </c>
      <c r="E88" s="21" t="s">
        <v>1522</v>
      </c>
      <c r="F88" s="22"/>
      <c r="G88" s="22" t="s">
        <v>1586</v>
      </c>
      <c r="H88" s="122" t="s">
        <v>1659</v>
      </c>
      <c r="I88" s="67">
        <v>2010</v>
      </c>
      <c r="J88" s="26" t="s">
        <v>1673</v>
      </c>
      <c r="K88" s="110" t="s">
        <v>637</v>
      </c>
      <c r="L88" s="218"/>
      <c r="M88" s="178" t="s">
        <v>2674</v>
      </c>
      <c r="N88" s="2"/>
    </row>
    <row r="89" spans="1:14" ht="33">
      <c r="A89" s="105" t="s">
        <v>849</v>
      </c>
      <c r="B89" s="105" t="s">
        <v>848</v>
      </c>
      <c r="C89" s="106" t="s">
        <v>847</v>
      </c>
      <c r="D89" s="101" t="s">
        <v>2673</v>
      </c>
      <c r="E89" s="105" t="s">
        <v>1522</v>
      </c>
      <c r="F89" s="87"/>
      <c r="G89" s="107" t="s">
        <v>1586</v>
      </c>
      <c r="H89" s="107" t="s">
        <v>928</v>
      </c>
      <c r="I89" s="200">
        <v>1300</v>
      </c>
      <c r="J89" s="95" t="s">
        <v>1390</v>
      </c>
      <c r="K89" s="262">
        <v>2</v>
      </c>
      <c r="L89" s="95"/>
      <c r="M89" s="178" t="s">
        <v>2674</v>
      </c>
    </row>
    <row r="90" spans="1:14" ht="18" customHeight="1">
      <c r="A90" s="21" t="s">
        <v>1100</v>
      </c>
      <c r="B90" s="21" t="s">
        <v>885</v>
      </c>
      <c r="C90" s="106" t="s">
        <v>884</v>
      </c>
      <c r="D90" s="43" t="s">
        <v>2680</v>
      </c>
      <c r="E90" s="21" t="s">
        <v>1522</v>
      </c>
      <c r="F90" s="22"/>
      <c r="G90" s="22" t="s">
        <v>1195</v>
      </c>
      <c r="H90" s="22" t="s">
        <v>271</v>
      </c>
      <c r="I90" s="67">
        <v>1000</v>
      </c>
      <c r="J90" s="26" t="s">
        <v>607</v>
      </c>
      <c r="K90" s="22" t="s">
        <v>642</v>
      </c>
      <c r="L90" s="218" t="s">
        <v>1761</v>
      </c>
      <c r="M90" s="272" t="s">
        <v>2632</v>
      </c>
    </row>
    <row r="91" spans="1:14" ht="18" customHeight="1">
      <c r="A91" s="237"/>
      <c r="B91" s="238"/>
      <c r="C91" s="239"/>
      <c r="D91" s="240"/>
      <c r="E91" s="241"/>
      <c r="F91" s="242"/>
      <c r="G91" s="243"/>
      <c r="H91" s="242"/>
      <c r="I91" s="244"/>
      <c r="J91" s="245"/>
      <c r="K91" s="246"/>
      <c r="L91" s="179"/>
      <c r="M91" s="283"/>
    </row>
    <row r="92" spans="1:14" ht="18" customHeight="1">
      <c r="A92" s="321" t="s">
        <v>1836</v>
      </c>
      <c r="B92" s="322"/>
      <c r="C92" s="323"/>
      <c r="D92" s="322"/>
      <c r="E92" s="322"/>
      <c r="F92" s="322"/>
      <c r="G92" s="322"/>
      <c r="H92" s="322"/>
      <c r="I92" s="322"/>
      <c r="J92" s="322"/>
      <c r="K92" s="322"/>
      <c r="L92" s="271"/>
      <c r="M92" s="272"/>
    </row>
    <row r="93" spans="1:14" s="3" customFormat="1" ht="16.5" customHeight="1">
      <c r="A93" s="21" t="s">
        <v>1355</v>
      </c>
      <c r="B93" s="21"/>
      <c r="C93" s="28" t="s">
        <v>292</v>
      </c>
      <c r="D93" s="43" t="s">
        <v>2717</v>
      </c>
      <c r="E93" s="21" t="s">
        <v>1522</v>
      </c>
      <c r="F93" s="22"/>
      <c r="G93" s="122" t="s">
        <v>1526</v>
      </c>
      <c r="H93" s="22" t="s">
        <v>318</v>
      </c>
      <c r="I93" s="67">
        <v>2200</v>
      </c>
      <c r="J93" s="25" t="s">
        <v>939</v>
      </c>
      <c r="K93" s="203">
        <v>1</v>
      </c>
      <c r="L93" s="218" t="s">
        <v>1761</v>
      </c>
      <c r="M93" s="178" t="s">
        <v>2722</v>
      </c>
    </row>
    <row r="94" spans="1:14" s="3" customFormat="1" ht="16.5" customHeight="1">
      <c r="A94" s="21" t="s">
        <v>1353</v>
      </c>
      <c r="B94" s="21"/>
      <c r="C94" s="28" t="s">
        <v>975</v>
      </c>
      <c r="D94" s="43" t="s">
        <v>2717</v>
      </c>
      <c r="E94" s="21" t="s">
        <v>1521</v>
      </c>
      <c r="F94" s="22"/>
      <c r="G94" s="122" t="s">
        <v>1526</v>
      </c>
      <c r="H94" s="22" t="s">
        <v>318</v>
      </c>
      <c r="I94" s="67">
        <v>2240</v>
      </c>
      <c r="J94" s="26" t="s">
        <v>940</v>
      </c>
      <c r="K94" s="203">
        <v>1</v>
      </c>
      <c r="L94" s="218" t="s">
        <v>1761</v>
      </c>
      <c r="M94" s="178" t="s">
        <v>2722</v>
      </c>
    </row>
    <row r="95" spans="1:14" s="3" customFormat="1" ht="33">
      <c r="A95" s="21" t="s">
        <v>369</v>
      </c>
      <c r="B95" s="21"/>
      <c r="C95" s="28" t="s">
        <v>1061</v>
      </c>
      <c r="D95" s="43" t="s">
        <v>2717</v>
      </c>
      <c r="E95" s="21" t="s">
        <v>1522</v>
      </c>
      <c r="F95" s="22"/>
      <c r="G95" s="122" t="s">
        <v>1526</v>
      </c>
      <c r="H95" s="22" t="s">
        <v>1364</v>
      </c>
      <c r="I95" s="67">
        <v>1050</v>
      </c>
      <c r="J95" s="26" t="s">
        <v>1365</v>
      </c>
      <c r="K95" s="112">
        <v>3</v>
      </c>
      <c r="L95" s="218"/>
      <c r="M95" s="178" t="s">
        <v>2722</v>
      </c>
      <c r="N95" s="1"/>
    </row>
    <row r="96" spans="1:14" s="3" customFormat="1" ht="33">
      <c r="A96" s="21" t="s">
        <v>228</v>
      </c>
      <c r="B96" s="21"/>
      <c r="C96" s="28" t="s">
        <v>294</v>
      </c>
      <c r="D96" s="43" t="s">
        <v>2717</v>
      </c>
      <c r="E96" s="21" t="s">
        <v>1522</v>
      </c>
      <c r="F96" s="22"/>
      <c r="G96" s="122" t="s">
        <v>1526</v>
      </c>
      <c r="H96" s="22" t="s">
        <v>1364</v>
      </c>
      <c r="I96" s="67">
        <v>1060</v>
      </c>
      <c r="J96" s="26" t="s">
        <v>1366</v>
      </c>
      <c r="K96" s="112">
        <v>3</v>
      </c>
      <c r="L96" s="218"/>
      <c r="M96" s="178" t="s">
        <v>2722</v>
      </c>
      <c r="N96" s="1"/>
    </row>
    <row r="97" spans="1:14" s="3" customFormat="1" ht="33">
      <c r="A97" s="21" t="s">
        <v>369</v>
      </c>
      <c r="B97" s="21"/>
      <c r="C97" s="28" t="s">
        <v>1061</v>
      </c>
      <c r="D97" s="43" t="s">
        <v>2717</v>
      </c>
      <c r="E97" s="21" t="s">
        <v>1522</v>
      </c>
      <c r="F97" s="22"/>
      <c r="G97" s="122" t="s">
        <v>1526</v>
      </c>
      <c r="H97" s="22" t="s">
        <v>1364</v>
      </c>
      <c r="I97" s="67">
        <v>1065</v>
      </c>
      <c r="J97" s="26" t="s">
        <v>1367</v>
      </c>
      <c r="K97" s="112">
        <v>2</v>
      </c>
      <c r="L97" s="218"/>
      <c r="M97" s="178" t="s">
        <v>2722</v>
      </c>
      <c r="N97" s="1"/>
    </row>
    <row r="98" spans="1:14" s="3" customFormat="1" ht="33">
      <c r="A98" s="21" t="s">
        <v>229</v>
      </c>
      <c r="B98" s="21"/>
      <c r="C98" s="28" t="s">
        <v>295</v>
      </c>
      <c r="D98" s="43" t="s">
        <v>2717</v>
      </c>
      <c r="E98" s="21" t="s">
        <v>1522</v>
      </c>
      <c r="F98" s="22"/>
      <c r="G98" s="122" t="s">
        <v>1526</v>
      </c>
      <c r="H98" s="22" t="s">
        <v>1364</v>
      </c>
      <c r="I98" s="67">
        <v>1160</v>
      </c>
      <c r="J98" s="26" t="s">
        <v>1366</v>
      </c>
      <c r="K98" s="112">
        <v>3</v>
      </c>
      <c r="L98" s="218" t="s">
        <v>1761</v>
      </c>
      <c r="M98" s="178" t="s">
        <v>2722</v>
      </c>
      <c r="N98" s="1"/>
    </row>
    <row r="99" spans="1:14" s="3" customFormat="1" ht="15.75" customHeight="1">
      <c r="A99" s="21" t="s">
        <v>33</v>
      </c>
      <c r="B99" s="219"/>
      <c r="C99" s="28" t="s">
        <v>1626</v>
      </c>
      <c r="D99" s="43" t="s">
        <v>2717</v>
      </c>
      <c r="E99" s="21" t="s">
        <v>1522</v>
      </c>
      <c r="F99" s="22"/>
      <c r="G99" s="122" t="s">
        <v>1526</v>
      </c>
      <c r="H99" s="22" t="s">
        <v>356</v>
      </c>
      <c r="I99" s="199">
        <v>1010</v>
      </c>
      <c r="J99" s="26" t="s">
        <v>1164</v>
      </c>
      <c r="K99" s="112">
        <v>5</v>
      </c>
      <c r="L99" s="218" t="s">
        <v>1777</v>
      </c>
      <c r="M99" s="178" t="s">
        <v>2722</v>
      </c>
      <c r="N99" s="1"/>
    </row>
    <row r="100" spans="1:14" s="3" customFormat="1" ht="33">
      <c r="A100" s="21" t="s">
        <v>1624</v>
      </c>
      <c r="B100" s="21"/>
      <c r="C100" s="28" t="s">
        <v>1625</v>
      </c>
      <c r="D100" s="43" t="s">
        <v>2717</v>
      </c>
      <c r="E100" s="21" t="s">
        <v>1522</v>
      </c>
      <c r="F100" s="22"/>
      <c r="G100" s="122" t="s">
        <v>1526</v>
      </c>
      <c r="H100" s="22" t="s">
        <v>356</v>
      </c>
      <c r="I100" s="67">
        <v>1020</v>
      </c>
      <c r="J100" s="26" t="s">
        <v>124</v>
      </c>
      <c r="K100" s="202">
        <v>5</v>
      </c>
      <c r="L100" s="218" t="s">
        <v>1767</v>
      </c>
      <c r="M100" s="178" t="s">
        <v>2722</v>
      </c>
      <c r="N100" s="1"/>
    </row>
    <row r="101" spans="1:14" s="3" customFormat="1" ht="16.5">
      <c r="A101" s="21" t="s">
        <v>385</v>
      </c>
      <c r="B101" s="21"/>
      <c r="C101" s="28" t="s">
        <v>1424</v>
      </c>
      <c r="D101" s="43" t="s">
        <v>2743</v>
      </c>
      <c r="E101" s="21" t="s">
        <v>1522</v>
      </c>
      <c r="F101" s="22"/>
      <c r="G101" s="122" t="s">
        <v>1526</v>
      </c>
      <c r="H101" s="22" t="s">
        <v>1101</v>
      </c>
      <c r="I101" s="67">
        <v>1300</v>
      </c>
      <c r="J101" s="26" t="s">
        <v>1162</v>
      </c>
      <c r="K101" s="112">
        <v>3</v>
      </c>
      <c r="L101" s="218" t="s">
        <v>1777</v>
      </c>
      <c r="M101" s="178" t="s">
        <v>2722</v>
      </c>
      <c r="N101" s="1"/>
    </row>
    <row r="102" spans="1:14" ht="19.5" customHeight="1">
      <c r="A102" s="21" t="s">
        <v>1629</v>
      </c>
      <c r="B102" s="21"/>
      <c r="C102" s="28" t="s">
        <v>1630</v>
      </c>
      <c r="D102" s="43" t="s">
        <v>2717</v>
      </c>
      <c r="E102" s="21" t="s">
        <v>1522</v>
      </c>
      <c r="F102" s="22"/>
      <c r="G102" s="122" t="s">
        <v>1526</v>
      </c>
      <c r="H102" s="22" t="s">
        <v>359</v>
      </c>
      <c r="I102" s="199">
        <v>1010</v>
      </c>
      <c r="J102" s="26" t="s">
        <v>1165</v>
      </c>
      <c r="K102" s="112">
        <v>5</v>
      </c>
      <c r="L102" s="218"/>
      <c r="M102" s="178" t="s">
        <v>2722</v>
      </c>
    </row>
    <row r="103" spans="1:14" ht="33">
      <c r="A103" s="21" t="s">
        <v>1627</v>
      </c>
      <c r="B103" s="21"/>
      <c r="C103" s="28" t="s">
        <v>1628</v>
      </c>
      <c r="D103" s="43" t="s">
        <v>2717</v>
      </c>
      <c r="E103" s="21" t="s">
        <v>1522</v>
      </c>
      <c r="F103" s="22"/>
      <c r="G103" s="122" t="s">
        <v>1526</v>
      </c>
      <c r="H103" s="22" t="s">
        <v>359</v>
      </c>
      <c r="I103" s="67">
        <v>1020</v>
      </c>
      <c r="J103" s="26" t="s">
        <v>1166</v>
      </c>
      <c r="K103" s="112">
        <v>5</v>
      </c>
      <c r="L103" s="218" t="s">
        <v>1777</v>
      </c>
      <c r="M103" s="178" t="s">
        <v>2722</v>
      </c>
    </row>
    <row r="104" spans="1:14" ht="33">
      <c r="A104" s="21" t="s">
        <v>53</v>
      </c>
      <c r="B104" s="20"/>
      <c r="C104" s="28" t="s">
        <v>182</v>
      </c>
      <c r="D104" s="43" t="s">
        <v>2717</v>
      </c>
      <c r="E104" s="21" t="s">
        <v>1521</v>
      </c>
      <c r="F104" s="22"/>
      <c r="G104" s="122" t="s">
        <v>1526</v>
      </c>
      <c r="H104" s="22" t="s">
        <v>1124</v>
      </c>
      <c r="I104" s="199">
        <v>1150</v>
      </c>
      <c r="J104" s="26" t="s">
        <v>1038</v>
      </c>
      <c r="K104" s="202">
        <v>2</v>
      </c>
      <c r="L104" s="218" t="s">
        <v>1761</v>
      </c>
      <c r="M104" s="178" t="s">
        <v>2722</v>
      </c>
    </row>
    <row r="105" spans="1:14" ht="33">
      <c r="A105" s="21" t="s">
        <v>53</v>
      </c>
      <c r="B105" s="21"/>
      <c r="C105" s="28" t="s">
        <v>182</v>
      </c>
      <c r="D105" s="43" t="s">
        <v>2717</v>
      </c>
      <c r="E105" s="21" t="s">
        <v>1521</v>
      </c>
      <c r="F105" s="22"/>
      <c r="G105" s="122" t="s">
        <v>1526</v>
      </c>
      <c r="H105" s="22" t="s">
        <v>1124</v>
      </c>
      <c r="I105" s="199">
        <v>1210</v>
      </c>
      <c r="J105" s="25" t="s">
        <v>1168</v>
      </c>
      <c r="K105" s="112">
        <v>1</v>
      </c>
      <c r="L105" s="218" t="s">
        <v>1777</v>
      </c>
      <c r="M105" s="178" t="s">
        <v>2722</v>
      </c>
    </row>
    <row r="106" spans="1:14" ht="33" customHeight="1">
      <c r="A106" s="21" t="s">
        <v>371</v>
      </c>
      <c r="B106" s="21" t="s">
        <v>568</v>
      </c>
      <c r="C106" s="101" t="s">
        <v>2580</v>
      </c>
      <c r="D106" s="101" t="s">
        <v>2724</v>
      </c>
      <c r="E106" s="21" t="s">
        <v>1522</v>
      </c>
      <c r="F106" s="22"/>
      <c r="G106" s="22" t="s">
        <v>1195</v>
      </c>
      <c r="H106" s="22" t="s">
        <v>1530</v>
      </c>
      <c r="I106" s="67">
        <v>1100</v>
      </c>
      <c r="J106" s="26" t="s">
        <v>1657</v>
      </c>
      <c r="K106" s="202">
        <v>3.5</v>
      </c>
      <c r="L106" s="220" t="s">
        <v>1761</v>
      </c>
      <c r="M106" s="299"/>
    </row>
    <row r="107" spans="1:14" ht="33">
      <c r="A107" s="21" t="s">
        <v>1026</v>
      </c>
      <c r="B107" s="21" t="s">
        <v>576</v>
      </c>
      <c r="C107" s="28" t="s">
        <v>2529</v>
      </c>
      <c r="D107" s="101" t="s">
        <v>2736</v>
      </c>
      <c r="E107" s="21" t="s">
        <v>1522</v>
      </c>
      <c r="F107" s="22"/>
      <c r="G107" s="22" t="s">
        <v>1195</v>
      </c>
      <c r="H107" s="22" t="s">
        <v>453</v>
      </c>
      <c r="I107" s="67" t="s">
        <v>436</v>
      </c>
      <c r="J107" s="26" t="s">
        <v>27</v>
      </c>
      <c r="K107" s="112">
        <v>3</v>
      </c>
      <c r="L107" s="218" t="s">
        <v>1761</v>
      </c>
      <c r="M107" s="283"/>
    </row>
    <row r="108" spans="1:14" ht="16.5" hidden="1">
      <c r="A108" s="21" t="s">
        <v>1027</v>
      </c>
      <c r="B108" s="21" t="s">
        <v>577</v>
      </c>
      <c r="C108" s="28" t="s">
        <v>1012</v>
      </c>
      <c r="D108" s="46"/>
      <c r="E108" s="21" t="s">
        <v>1522</v>
      </c>
      <c r="F108" s="22"/>
      <c r="G108" s="22" t="s">
        <v>1195</v>
      </c>
      <c r="H108" s="22" t="s">
        <v>453</v>
      </c>
      <c r="I108" s="67" t="s">
        <v>433</v>
      </c>
      <c r="J108" s="26" t="s">
        <v>75</v>
      </c>
      <c r="K108" s="112">
        <v>3</v>
      </c>
      <c r="L108" s="218" t="s">
        <v>1761</v>
      </c>
      <c r="M108" s="288"/>
    </row>
    <row r="109" spans="1:14" ht="33">
      <c r="A109" s="21" t="s">
        <v>274</v>
      </c>
      <c r="B109" s="21" t="s">
        <v>578</v>
      </c>
      <c r="C109" s="28" t="s">
        <v>1059</v>
      </c>
      <c r="D109" s="101" t="s">
        <v>2736</v>
      </c>
      <c r="E109" s="21" t="s">
        <v>1522</v>
      </c>
      <c r="F109" s="22"/>
      <c r="G109" s="22" t="s">
        <v>1195</v>
      </c>
      <c r="H109" s="22" t="s">
        <v>453</v>
      </c>
      <c r="I109" s="67">
        <v>1610</v>
      </c>
      <c r="J109" s="26" t="s">
        <v>272</v>
      </c>
      <c r="K109" s="202">
        <v>3</v>
      </c>
      <c r="L109" s="218" t="s">
        <v>1761</v>
      </c>
      <c r="M109" s="283"/>
    </row>
    <row r="110" spans="1:14" ht="16.5" hidden="1">
      <c r="A110" s="21" t="s">
        <v>1539</v>
      </c>
      <c r="B110" s="21"/>
      <c r="C110" s="28" t="s">
        <v>1425</v>
      </c>
      <c r="D110" s="43"/>
      <c r="E110" s="21" t="s">
        <v>1522</v>
      </c>
      <c r="F110" s="22" t="s">
        <v>1329</v>
      </c>
      <c r="G110" s="22" t="s">
        <v>1195</v>
      </c>
      <c r="H110" s="22" t="s">
        <v>1101</v>
      </c>
      <c r="I110" s="68">
        <v>1100</v>
      </c>
      <c r="J110" s="26" t="s">
        <v>1132</v>
      </c>
      <c r="K110" s="202">
        <v>3</v>
      </c>
      <c r="L110" s="218" t="s">
        <v>1761</v>
      </c>
      <c r="M110" s="288"/>
    </row>
    <row r="111" spans="1:14" ht="16.5" hidden="1">
      <c r="A111" s="21" t="s">
        <v>1539</v>
      </c>
      <c r="B111" s="21"/>
      <c r="C111" s="28" t="s">
        <v>1425</v>
      </c>
      <c r="D111" s="43" t="s">
        <v>1825</v>
      </c>
      <c r="E111" s="21" t="s">
        <v>1522</v>
      </c>
      <c r="F111" s="22" t="s">
        <v>70</v>
      </c>
      <c r="G111" s="22" t="s">
        <v>1195</v>
      </c>
      <c r="H111" s="22" t="s">
        <v>1101</v>
      </c>
      <c r="I111" s="67">
        <v>1700</v>
      </c>
      <c r="J111" s="26" t="s">
        <v>429</v>
      </c>
      <c r="K111" s="202">
        <v>3</v>
      </c>
      <c r="L111" s="218" t="s">
        <v>1761</v>
      </c>
      <c r="M111" s="288"/>
    </row>
    <row r="112" spans="1:14" ht="16.5" hidden="1">
      <c r="A112" s="21" t="s">
        <v>849</v>
      </c>
      <c r="B112" s="21" t="s">
        <v>848</v>
      </c>
      <c r="C112" s="28" t="s">
        <v>847</v>
      </c>
      <c r="D112" s="43"/>
      <c r="E112" s="21" t="s">
        <v>1522</v>
      </c>
      <c r="F112" s="22"/>
      <c r="G112" s="22" t="s">
        <v>1195</v>
      </c>
      <c r="H112" s="22" t="s">
        <v>454</v>
      </c>
      <c r="I112" s="67" t="s">
        <v>1531</v>
      </c>
      <c r="J112" s="25" t="s">
        <v>1128</v>
      </c>
      <c r="K112" s="112">
        <v>2</v>
      </c>
      <c r="L112" s="218" t="s">
        <v>1761</v>
      </c>
      <c r="M112" s="288"/>
      <c r="N112" s="3"/>
    </row>
    <row r="113" spans="1:14" ht="33">
      <c r="A113" s="105" t="s">
        <v>522</v>
      </c>
      <c r="B113" s="105" t="s">
        <v>880</v>
      </c>
      <c r="C113" s="106" t="s">
        <v>1060</v>
      </c>
      <c r="D113" s="101" t="s">
        <v>2736</v>
      </c>
      <c r="E113" s="105" t="s">
        <v>1522</v>
      </c>
      <c r="F113" s="87"/>
      <c r="G113" s="22" t="s">
        <v>1195</v>
      </c>
      <c r="H113" s="107" t="s">
        <v>454</v>
      </c>
      <c r="I113" s="108" t="s">
        <v>1528</v>
      </c>
      <c r="J113" s="109" t="s">
        <v>152</v>
      </c>
      <c r="K113" s="114">
        <v>2</v>
      </c>
      <c r="L113" s="218" t="s">
        <v>1761</v>
      </c>
      <c r="M113" s="283"/>
      <c r="N113" s="3"/>
    </row>
    <row r="114" spans="1:14" ht="33">
      <c r="A114" s="21" t="s">
        <v>524</v>
      </c>
      <c r="B114" s="21" t="s">
        <v>883</v>
      </c>
      <c r="C114" s="28" t="s">
        <v>1006</v>
      </c>
      <c r="D114" s="101" t="s">
        <v>2736</v>
      </c>
      <c r="E114" s="21" t="s">
        <v>1522</v>
      </c>
      <c r="F114" s="22"/>
      <c r="G114" s="22" t="s">
        <v>1195</v>
      </c>
      <c r="H114" s="22" t="s">
        <v>454</v>
      </c>
      <c r="I114" s="67" t="s">
        <v>428</v>
      </c>
      <c r="J114" s="25" t="s">
        <v>851</v>
      </c>
      <c r="K114" s="112">
        <v>3</v>
      </c>
      <c r="L114" s="218" t="s">
        <v>1761</v>
      </c>
      <c r="M114" s="283"/>
    </row>
    <row r="115" spans="1:14" ht="18" customHeight="1">
      <c r="A115" s="21" t="s">
        <v>792</v>
      </c>
      <c r="B115" s="21" t="s">
        <v>94</v>
      </c>
      <c r="C115" s="28" t="s">
        <v>218</v>
      </c>
      <c r="D115" s="43" t="s">
        <v>2651</v>
      </c>
      <c r="E115" s="21" t="s">
        <v>1522</v>
      </c>
      <c r="F115" s="22"/>
      <c r="G115" s="22" t="s">
        <v>1195</v>
      </c>
      <c r="H115" s="22" t="s">
        <v>457</v>
      </c>
      <c r="I115" s="67">
        <v>2620</v>
      </c>
      <c r="J115" s="26" t="s">
        <v>765</v>
      </c>
      <c r="K115" s="112">
        <v>3</v>
      </c>
      <c r="L115" s="218" t="s">
        <v>1761</v>
      </c>
      <c r="M115" s="283" t="s">
        <v>2652</v>
      </c>
    </row>
    <row r="116" spans="1:14" ht="18" customHeight="1">
      <c r="A116" s="21" t="s">
        <v>1358</v>
      </c>
      <c r="B116" s="21" t="s">
        <v>1360</v>
      </c>
      <c r="C116" s="28" t="s">
        <v>1064</v>
      </c>
      <c r="D116" s="43" t="s">
        <v>2651</v>
      </c>
      <c r="E116" s="21" t="s">
        <v>1522</v>
      </c>
      <c r="F116" s="22"/>
      <c r="G116" s="22" t="s">
        <v>1195</v>
      </c>
      <c r="H116" s="22" t="s">
        <v>459</v>
      </c>
      <c r="I116" s="67">
        <v>1510</v>
      </c>
      <c r="J116" s="26" t="s">
        <v>1359</v>
      </c>
      <c r="K116" s="202">
        <v>3</v>
      </c>
      <c r="L116" s="218" t="s">
        <v>1761</v>
      </c>
      <c r="M116" s="283" t="s">
        <v>2652</v>
      </c>
    </row>
    <row r="117" spans="1:14" ht="18" customHeight="1">
      <c r="A117" s="21" t="s">
        <v>591</v>
      </c>
      <c r="B117" s="21" t="s">
        <v>132</v>
      </c>
      <c r="C117" s="28" t="s">
        <v>1065</v>
      </c>
      <c r="D117" s="43" t="s">
        <v>2651</v>
      </c>
      <c r="E117" s="21" t="s">
        <v>1522</v>
      </c>
      <c r="F117" s="22"/>
      <c r="G117" s="22" t="s">
        <v>1195</v>
      </c>
      <c r="H117" s="22" t="s">
        <v>459</v>
      </c>
      <c r="I117" s="67">
        <v>2520</v>
      </c>
      <c r="J117" s="26" t="s">
        <v>1457</v>
      </c>
      <c r="K117" s="112">
        <v>2</v>
      </c>
      <c r="L117" s="218" t="s">
        <v>1761</v>
      </c>
      <c r="M117" s="283" t="s">
        <v>2652</v>
      </c>
    </row>
    <row r="118" spans="1:14" ht="18" customHeight="1">
      <c r="A118" s="21" t="s">
        <v>751</v>
      </c>
      <c r="B118" s="21"/>
      <c r="C118" s="28" t="s">
        <v>1429</v>
      </c>
      <c r="D118" s="43" t="s">
        <v>2651</v>
      </c>
      <c r="E118" s="21" t="s">
        <v>1522</v>
      </c>
      <c r="F118" s="22" t="s">
        <v>1332</v>
      </c>
      <c r="G118" s="122" t="s">
        <v>1195</v>
      </c>
      <c r="H118" s="22" t="s">
        <v>427</v>
      </c>
      <c r="I118" s="67">
        <v>2020</v>
      </c>
      <c r="J118" s="26" t="s">
        <v>1859</v>
      </c>
      <c r="K118" s="202">
        <v>4</v>
      </c>
      <c r="L118" s="157" t="s">
        <v>1761</v>
      </c>
      <c r="M118" s="283" t="s">
        <v>2652</v>
      </c>
    </row>
    <row r="119" spans="1:14" ht="18" customHeight="1">
      <c r="A119" s="21" t="s">
        <v>751</v>
      </c>
      <c r="B119" s="21"/>
      <c r="C119" s="28" t="s">
        <v>1429</v>
      </c>
      <c r="D119" s="43" t="s">
        <v>2651</v>
      </c>
      <c r="E119" s="21" t="s">
        <v>1522</v>
      </c>
      <c r="F119" s="22"/>
      <c r="G119" s="122" t="s">
        <v>1195</v>
      </c>
      <c r="H119" s="22" t="s">
        <v>427</v>
      </c>
      <c r="I119" s="67">
        <v>2025</v>
      </c>
      <c r="J119" s="26" t="s">
        <v>1860</v>
      </c>
      <c r="K119" s="202">
        <v>1</v>
      </c>
      <c r="L119" s="157" t="s">
        <v>1761</v>
      </c>
      <c r="M119" s="283" t="s">
        <v>2652</v>
      </c>
    </row>
    <row r="120" spans="1:14" ht="18" customHeight="1">
      <c r="A120" s="21" t="s">
        <v>751</v>
      </c>
      <c r="B120" s="21"/>
      <c r="C120" s="28" t="s">
        <v>1429</v>
      </c>
      <c r="D120" s="43" t="s">
        <v>2651</v>
      </c>
      <c r="E120" s="21" t="s">
        <v>1522</v>
      </c>
      <c r="F120" s="22" t="s">
        <v>1332</v>
      </c>
      <c r="G120" s="122" t="s">
        <v>1195</v>
      </c>
      <c r="H120" s="22" t="s">
        <v>427</v>
      </c>
      <c r="I120" s="67">
        <v>2210</v>
      </c>
      <c r="J120" s="26" t="s">
        <v>319</v>
      </c>
      <c r="K120" s="202">
        <v>4</v>
      </c>
      <c r="L120" s="157" t="s">
        <v>1761</v>
      </c>
      <c r="M120" s="283" t="s">
        <v>2652</v>
      </c>
    </row>
    <row r="121" spans="1:14" ht="18" customHeight="1">
      <c r="A121" s="21" t="s">
        <v>751</v>
      </c>
      <c r="B121" s="21"/>
      <c r="C121" s="28" t="s">
        <v>1429</v>
      </c>
      <c r="D121" s="43" t="s">
        <v>2651</v>
      </c>
      <c r="E121" s="21" t="s">
        <v>1522</v>
      </c>
      <c r="F121" s="22"/>
      <c r="G121" s="122" t="s">
        <v>1195</v>
      </c>
      <c r="H121" s="22" t="s">
        <v>427</v>
      </c>
      <c r="I121" s="67">
        <v>2215</v>
      </c>
      <c r="J121" s="26" t="s">
        <v>1891</v>
      </c>
      <c r="K121" s="202">
        <v>1</v>
      </c>
      <c r="L121" s="157" t="s">
        <v>1761</v>
      </c>
      <c r="M121" s="283" t="s">
        <v>2652</v>
      </c>
    </row>
    <row r="122" spans="1:14" ht="18" customHeight="1">
      <c r="A122" s="21" t="s">
        <v>49</v>
      </c>
      <c r="B122" s="21"/>
      <c r="C122" s="28" t="s">
        <v>957</v>
      </c>
      <c r="D122" s="43" t="s">
        <v>2651</v>
      </c>
      <c r="E122" s="21" t="s">
        <v>1522</v>
      </c>
      <c r="F122" s="22"/>
      <c r="G122" s="122" t="s">
        <v>1195</v>
      </c>
      <c r="H122" s="22" t="s">
        <v>171</v>
      </c>
      <c r="I122" s="67">
        <v>2040</v>
      </c>
      <c r="J122" s="26" t="s">
        <v>1872</v>
      </c>
      <c r="K122" s="202">
        <v>4</v>
      </c>
      <c r="L122" s="157" t="s">
        <v>1761</v>
      </c>
      <c r="M122" s="283" t="s">
        <v>2652</v>
      </c>
    </row>
    <row r="123" spans="1:14" ht="18" customHeight="1">
      <c r="A123" s="21" t="s">
        <v>5</v>
      </c>
      <c r="B123" s="21" t="s">
        <v>560</v>
      </c>
      <c r="C123" s="101" t="s">
        <v>2564</v>
      </c>
      <c r="D123" s="43" t="s">
        <v>2653</v>
      </c>
      <c r="E123" s="21" t="s">
        <v>1522</v>
      </c>
      <c r="F123" s="22"/>
      <c r="G123" s="122" t="s">
        <v>463</v>
      </c>
      <c r="H123" s="22" t="s">
        <v>2535</v>
      </c>
      <c r="I123" s="67">
        <v>2710</v>
      </c>
      <c r="J123" s="26" t="s">
        <v>2547</v>
      </c>
      <c r="K123" s="202">
        <v>2</v>
      </c>
      <c r="L123" s="157" t="s">
        <v>1761</v>
      </c>
      <c r="M123" s="283" t="s">
        <v>2652</v>
      </c>
    </row>
    <row r="124" spans="1:14" ht="18" customHeight="1">
      <c r="A124" s="21" t="s">
        <v>5</v>
      </c>
      <c r="B124" s="21" t="s">
        <v>560</v>
      </c>
      <c r="C124" s="101" t="s">
        <v>2564</v>
      </c>
      <c r="D124" s="43" t="s">
        <v>2653</v>
      </c>
      <c r="E124" s="21" t="s">
        <v>1522</v>
      </c>
      <c r="F124" s="22"/>
      <c r="G124" s="122" t="s">
        <v>463</v>
      </c>
      <c r="H124" s="22" t="s">
        <v>2535</v>
      </c>
      <c r="I124" s="67">
        <v>2810</v>
      </c>
      <c r="J124" s="26" t="s">
        <v>2548</v>
      </c>
      <c r="K124" s="202">
        <v>2</v>
      </c>
      <c r="L124" s="157" t="s">
        <v>1761</v>
      </c>
      <c r="M124" s="283" t="s">
        <v>2652</v>
      </c>
    </row>
    <row r="125" spans="1:14" ht="18" customHeight="1">
      <c r="A125" s="21" t="s">
        <v>2565</v>
      </c>
      <c r="B125" s="21" t="s">
        <v>2566</v>
      </c>
      <c r="C125" s="101" t="s">
        <v>2567</v>
      </c>
      <c r="D125" s="43" t="s">
        <v>2653</v>
      </c>
      <c r="E125" s="21" t="s">
        <v>1522</v>
      </c>
      <c r="F125" s="22"/>
      <c r="G125" s="122" t="s">
        <v>463</v>
      </c>
      <c r="H125" s="22" t="s">
        <v>2535</v>
      </c>
      <c r="I125" s="67">
        <v>2810</v>
      </c>
      <c r="J125" s="26" t="s">
        <v>2548</v>
      </c>
      <c r="K125" s="202">
        <v>2</v>
      </c>
      <c r="L125" s="157" t="s">
        <v>1761</v>
      </c>
      <c r="M125" s="283" t="s">
        <v>2652</v>
      </c>
    </row>
    <row r="126" spans="1:14" ht="18" customHeight="1">
      <c r="A126" s="21" t="s">
        <v>5</v>
      </c>
      <c r="B126" s="21" t="s">
        <v>560</v>
      </c>
      <c r="C126" s="101" t="s">
        <v>2564</v>
      </c>
      <c r="D126" s="43" t="s">
        <v>2653</v>
      </c>
      <c r="E126" s="21" t="s">
        <v>1522</v>
      </c>
      <c r="F126" s="22"/>
      <c r="G126" s="122" t="s">
        <v>463</v>
      </c>
      <c r="H126" s="22" t="s">
        <v>2535</v>
      </c>
      <c r="I126" s="67">
        <v>2860</v>
      </c>
      <c r="J126" s="26" t="s">
        <v>2549</v>
      </c>
      <c r="K126" s="202">
        <v>2</v>
      </c>
      <c r="L126" s="157" t="s">
        <v>1761</v>
      </c>
      <c r="M126" s="283" t="s">
        <v>2652</v>
      </c>
    </row>
    <row r="127" spans="1:14" ht="18" customHeight="1">
      <c r="A127" s="21" t="s">
        <v>2565</v>
      </c>
      <c r="B127" s="21" t="s">
        <v>2566</v>
      </c>
      <c r="C127" s="101" t="s">
        <v>2567</v>
      </c>
      <c r="D127" s="43" t="s">
        <v>2653</v>
      </c>
      <c r="E127" s="21" t="s">
        <v>1522</v>
      </c>
      <c r="F127" s="22"/>
      <c r="G127" s="122" t="s">
        <v>463</v>
      </c>
      <c r="H127" s="22" t="s">
        <v>2535</v>
      </c>
      <c r="I127" s="67">
        <v>2860</v>
      </c>
      <c r="J127" s="26" t="s">
        <v>2549</v>
      </c>
      <c r="K127" s="202">
        <v>2</v>
      </c>
      <c r="L127" s="157" t="s">
        <v>1761</v>
      </c>
      <c r="M127" s="283" t="s">
        <v>2652</v>
      </c>
    </row>
    <row r="128" spans="1:14" ht="18" customHeight="1">
      <c r="A128" s="21" t="s">
        <v>5</v>
      </c>
      <c r="B128" s="21" t="s">
        <v>560</v>
      </c>
      <c r="C128" s="101" t="s">
        <v>2564</v>
      </c>
      <c r="D128" s="43" t="s">
        <v>2653</v>
      </c>
      <c r="E128" s="21" t="s">
        <v>1522</v>
      </c>
      <c r="F128" s="22"/>
      <c r="G128" s="122" t="s">
        <v>463</v>
      </c>
      <c r="H128" s="22" t="s">
        <v>2535</v>
      </c>
      <c r="I128" s="67">
        <v>2870</v>
      </c>
      <c r="J128" s="26" t="s">
        <v>2550</v>
      </c>
      <c r="K128" s="202">
        <v>2</v>
      </c>
      <c r="L128" s="157" t="s">
        <v>1761</v>
      </c>
      <c r="M128" s="283" t="s">
        <v>2652</v>
      </c>
    </row>
    <row r="129" spans="1:13" ht="18" customHeight="1">
      <c r="A129" s="21" t="s">
        <v>2565</v>
      </c>
      <c r="B129" s="21" t="s">
        <v>2566</v>
      </c>
      <c r="C129" s="101" t="s">
        <v>2567</v>
      </c>
      <c r="D129" s="43" t="s">
        <v>2653</v>
      </c>
      <c r="E129" s="21" t="s">
        <v>1522</v>
      </c>
      <c r="F129" s="22"/>
      <c r="G129" s="122" t="s">
        <v>463</v>
      </c>
      <c r="H129" s="22" t="s">
        <v>2535</v>
      </c>
      <c r="I129" s="67">
        <v>2870</v>
      </c>
      <c r="J129" s="26" t="s">
        <v>2550</v>
      </c>
      <c r="K129" s="202">
        <v>2</v>
      </c>
      <c r="L129" s="157" t="s">
        <v>1761</v>
      </c>
      <c r="M129" s="283" t="s">
        <v>2652</v>
      </c>
    </row>
    <row r="130" spans="1:13" ht="18.75" customHeight="1">
      <c r="A130" s="21" t="s">
        <v>734</v>
      </c>
      <c r="B130" s="21"/>
      <c r="C130" s="28" t="s">
        <v>1077</v>
      </c>
      <c r="D130" s="43" t="s">
        <v>2634</v>
      </c>
      <c r="E130" s="21" t="s">
        <v>1522</v>
      </c>
      <c r="F130" s="22"/>
      <c r="G130" s="22" t="s">
        <v>463</v>
      </c>
      <c r="H130" s="22" t="s">
        <v>915</v>
      </c>
      <c r="I130" s="67">
        <v>1020</v>
      </c>
      <c r="J130" s="26" t="s">
        <v>865</v>
      </c>
      <c r="K130" s="112">
        <v>3</v>
      </c>
      <c r="L130" s="218" t="s">
        <v>1761</v>
      </c>
      <c r="M130" s="283" t="s">
        <v>2652</v>
      </c>
    </row>
    <row r="131" spans="1:13" ht="18" customHeight="1">
      <c r="A131" s="21" t="s">
        <v>1100</v>
      </c>
      <c r="B131" s="21" t="s">
        <v>885</v>
      </c>
      <c r="C131" s="28" t="s">
        <v>884</v>
      </c>
      <c r="D131" s="43" t="s">
        <v>2634</v>
      </c>
      <c r="E131" s="21" t="s">
        <v>1522</v>
      </c>
      <c r="F131" s="22"/>
      <c r="G131" s="22" t="s">
        <v>463</v>
      </c>
      <c r="H131" s="22" t="s">
        <v>915</v>
      </c>
      <c r="I131" s="67">
        <v>1020</v>
      </c>
      <c r="J131" s="26" t="s">
        <v>865</v>
      </c>
      <c r="K131" s="112">
        <v>3</v>
      </c>
      <c r="L131" s="218" t="s">
        <v>1761</v>
      </c>
      <c r="M131" s="283" t="s">
        <v>2652</v>
      </c>
    </row>
    <row r="132" spans="1:13" ht="49.5">
      <c r="A132" s="21" t="s">
        <v>869</v>
      </c>
      <c r="B132" s="21" t="s">
        <v>870</v>
      </c>
      <c r="C132" s="28" t="s">
        <v>1238</v>
      </c>
      <c r="D132" s="43" t="s">
        <v>2741</v>
      </c>
      <c r="E132" s="21" t="s">
        <v>1522</v>
      </c>
      <c r="F132" s="22"/>
      <c r="G132" s="22" t="s">
        <v>463</v>
      </c>
      <c r="H132" s="22" t="s">
        <v>864</v>
      </c>
      <c r="I132" s="68">
        <v>1100</v>
      </c>
      <c r="J132" s="26" t="s">
        <v>863</v>
      </c>
      <c r="K132" s="112">
        <v>3</v>
      </c>
      <c r="L132" s="220" t="s">
        <v>1761</v>
      </c>
      <c r="M132" s="283" t="s">
        <v>2740</v>
      </c>
    </row>
    <row r="133" spans="1:13" ht="18" customHeight="1">
      <c r="A133" s="21" t="s">
        <v>363</v>
      </c>
      <c r="B133" s="21"/>
      <c r="C133" s="106" t="s">
        <v>1430</v>
      </c>
      <c r="D133" s="43" t="s">
        <v>1849</v>
      </c>
      <c r="E133" s="21" t="s">
        <v>1521</v>
      </c>
      <c r="F133" s="22"/>
      <c r="G133" s="22" t="s">
        <v>1261</v>
      </c>
      <c r="H133" s="22" t="s">
        <v>283</v>
      </c>
      <c r="I133" s="68">
        <v>1015</v>
      </c>
      <c r="J133" s="26" t="s">
        <v>772</v>
      </c>
      <c r="K133" s="110" t="s">
        <v>638</v>
      </c>
      <c r="L133" s="218" t="s">
        <v>1761</v>
      </c>
      <c r="M133" s="272" t="s">
        <v>2691</v>
      </c>
    </row>
    <row r="134" spans="1:13" ht="18" customHeight="1">
      <c r="A134" s="21" t="s">
        <v>736</v>
      </c>
      <c r="B134" s="21"/>
      <c r="C134" s="106" t="s">
        <v>609</v>
      </c>
      <c r="D134" s="43" t="s">
        <v>1849</v>
      </c>
      <c r="E134" s="21" t="s">
        <v>1521</v>
      </c>
      <c r="F134" s="22" t="s">
        <v>1332</v>
      </c>
      <c r="G134" s="22" t="s">
        <v>1261</v>
      </c>
      <c r="H134" s="22" t="s">
        <v>1541</v>
      </c>
      <c r="I134" s="67">
        <v>1210</v>
      </c>
      <c r="J134" s="26" t="s">
        <v>950</v>
      </c>
      <c r="K134" s="110" t="s">
        <v>642</v>
      </c>
      <c r="L134" s="218" t="s">
        <v>1777</v>
      </c>
      <c r="M134" s="272" t="s">
        <v>2691</v>
      </c>
    </row>
    <row r="135" spans="1:13" ht="18" customHeight="1">
      <c r="A135" s="21" t="s">
        <v>736</v>
      </c>
      <c r="B135" s="21"/>
      <c r="C135" s="106" t="s">
        <v>609</v>
      </c>
      <c r="D135" s="43" t="s">
        <v>1849</v>
      </c>
      <c r="E135" s="21" t="s">
        <v>1521</v>
      </c>
      <c r="F135" s="22"/>
      <c r="G135" s="22" t="s">
        <v>1261</v>
      </c>
      <c r="H135" s="22" t="s">
        <v>1541</v>
      </c>
      <c r="I135" s="68">
        <v>1215</v>
      </c>
      <c r="J135" s="26" t="s">
        <v>24</v>
      </c>
      <c r="K135" s="110" t="s">
        <v>638</v>
      </c>
      <c r="L135" s="218" t="s">
        <v>1761</v>
      </c>
      <c r="M135" s="272" t="s">
        <v>2691</v>
      </c>
    </row>
    <row r="136" spans="1:13" ht="18" customHeight="1">
      <c r="A136" s="21" t="s">
        <v>367</v>
      </c>
      <c r="B136" s="21" t="s">
        <v>562</v>
      </c>
      <c r="C136" s="106" t="s">
        <v>287</v>
      </c>
      <c r="D136" s="43"/>
      <c r="E136" s="21" t="s">
        <v>1522</v>
      </c>
      <c r="F136" s="22" t="s">
        <v>1329</v>
      </c>
      <c r="G136" s="22" t="s">
        <v>1261</v>
      </c>
      <c r="H136" s="22" t="s">
        <v>449</v>
      </c>
      <c r="I136" s="68">
        <v>1010</v>
      </c>
      <c r="J136" s="26" t="s">
        <v>838</v>
      </c>
      <c r="K136" s="110" t="s">
        <v>753</v>
      </c>
      <c r="L136" s="218"/>
      <c r="M136" s="272" t="s">
        <v>2691</v>
      </c>
    </row>
    <row r="137" spans="1:13" ht="18" customHeight="1">
      <c r="A137" s="21" t="s">
        <v>307</v>
      </c>
      <c r="B137" s="21" t="s">
        <v>575</v>
      </c>
      <c r="C137" s="106" t="s">
        <v>1072</v>
      </c>
      <c r="D137" s="43"/>
      <c r="E137" s="21" t="s">
        <v>1522</v>
      </c>
      <c r="F137" s="22"/>
      <c r="G137" s="22" t="s">
        <v>1261</v>
      </c>
      <c r="H137" s="22" t="s">
        <v>951</v>
      </c>
      <c r="I137" s="68">
        <v>2800</v>
      </c>
      <c r="J137" s="26" t="s">
        <v>954</v>
      </c>
      <c r="K137" s="110" t="s">
        <v>753</v>
      </c>
      <c r="L137" s="218" t="s">
        <v>1761</v>
      </c>
      <c r="M137" s="272" t="s">
        <v>2691</v>
      </c>
    </row>
    <row r="138" spans="1:13" ht="18" customHeight="1">
      <c r="A138" s="21" t="s">
        <v>33</v>
      </c>
      <c r="B138" s="219"/>
      <c r="C138" s="106" t="s">
        <v>1626</v>
      </c>
      <c r="D138" s="101"/>
      <c r="E138" s="21" t="s">
        <v>1522</v>
      </c>
      <c r="F138" s="22"/>
      <c r="G138" s="22" t="s">
        <v>1261</v>
      </c>
      <c r="H138" s="22" t="s">
        <v>356</v>
      </c>
      <c r="I138" s="67">
        <v>1010</v>
      </c>
      <c r="J138" s="26" t="s">
        <v>557</v>
      </c>
      <c r="K138" s="112">
        <v>4</v>
      </c>
      <c r="L138" s="218" t="s">
        <v>1761</v>
      </c>
      <c r="M138" s="272" t="s">
        <v>2691</v>
      </c>
    </row>
    <row r="139" spans="1:13" ht="19.5" customHeight="1">
      <c r="A139" s="21" t="s">
        <v>750</v>
      </c>
      <c r="B139" s="21"/>
      <c r="C139" s="213" t="s">
        <v>1068</v>
      </c>
      <c r="D139" s="46"/>
      <c r="E139" s="21" t="s">
        <v>1522</v>
      </c>
      <c r="F139" s="24" t="s">
        <v>1332</v>
      </c>
      <c r="G139" s="22" t="s">
        <v>1261</v>
      </c>
      <c r="H139" s="22" t="s">
        <v>733</v>
      </c>
      <c r="I139" s="67">
        <v>1440</v>
      </c>
      <c r="J139" s="26" t="s">
        <v>388</v>
      </c>
      <c r="K139" s="112">
        <v>2</v>
      </c>
      <c r="L139" s="218" t="s">
        <v>1767</v>
      </c>
      <c r="M139" s="272" t="s">
        <v>2691</v>
      </c>
    </row>
    <row r="140" spans="1:13" ht="15" customHeight="1">
      <c r="A140" s="21" t="s">
        <v>2578</v>
      </c>
      <c r="B140" s="21" t="s">
        <v>2573</v>
      </c>
      <c r="C140" s="101" t="s">
        <v>2574</v>
      </c>
      <c r="D140" s="43" t="s">
        <v>2715</v>
      </c>
      <c r="E140" s="21" t="s">
        <v>1522</v>
      </c>
      <c r="F140" s="22"/>
      <c r="G140" s="22" t="s">
        <v>1262</v>
      </c>
      <c r="H140" s="22" t="s">
        <v>472</v>
      </c>
      <c r="I140" s="24">
        <v>1500</v>
      </c>
      <c r="J140" s="26" t="s">
        <v>654</v>
      </c>
      <c r="K140" s="110" t="s">
        <v>640</v>
      </c>
      <c r="L140" s="220" t="s">
        <v>1761</v>
      </c>
      <c r="M140" s="272" t="s">
        <v>2716</v>
      </c>
    </row>
    <row r="141" spans="1:13" ht="16.5">
      <c r="A141" s="21" t="s">
        <v>2578</v>
      </c>
      <c r="B141" s="21" t="s">
        <v>2573</v>
      </c>
      <c r="C141" s="101" t="s">
        <v>2574</v>
      </c>
      <c r="D141" s="43" t="s">
        <v>2715</v>
      </c>
      <c r="E141" s="21" t="s">
        <v>1522</v>
      </c>
      <c r="F141" s="22"/>
      <c r="G141" s="22" t="s">
        <v>1262</v>
      </c>
      <c r="H141" s="22" t="s">
        <v>472</v>
      </c>
      <c r="I141" s="24">
        <v>1501</v>
      </c>
      <c r="J141" s="26" t="s">
        <v>656</v>
      </c>
      <c r="K141" s="110" t="s">
        <v>641</v>
      </c>
      <c r="L141" s="220" t="s">
        <v>1761</v>
      </c>
      <c r="M141" s="272" t="s">
        <v>2716</v>
      </c>
    </row>
    <row r="142" spans="1:13" ht="16.5">
      <c r="A142" s="21" t="s">
        <v>2581</v>
      </c>
      <c r="B142" s="21" t="s">
        <v>2582</v>
      </c>
      <c r="C142" s="101" t="s">
        <v>2583</v>
      </c>
      <c r="D142" s="43" t="s">
        <v>2715</v>
      </c>
      <c r="E142" s="21" t="s">
        <v>1522</v>
      </c>
      <c r="F142" s="22"/>
      <c r="G142" s="22" t="s">
        <v>1262</v>
      </c>
      <c r="H142" s="22" t="s">
        <v>472</v>
      </c>
      <c r="I142" s="24">
        <v>1510</v>
      </c>
      <c r="J142" s="26" t="s">
        <v>771</v>
      </c>
      <c r="K142" s="110" t="s">
        <v>904</v>
      </c>
      <c r="L142" s="220" t="s">
        <v>1761</v>
      </c>
      <c r="M142" s="272" t="s">
        <v>2716</v>
      </c>
    </row>
    <row r="143" spans="1:13" ht="16.5">
      <c r="A143" s="21" t="s">
        <v>2581</v>
      </c>
      <c r="B143" s="21" t="s">
        <v>2582</v>
      </c>
      <c r="C143" s="101" t="s">
        <v>2583</v>
      </c>
      <c r="D143" s="43" t="s">
        <v>2715</v>
      </c>
      <c r="E143" s="21" t="s">
        <v>1522</v>
      </c>
      <c r="F143" s="22"/>
      <c r="G143" s="22" t="s">
        <v>1262</v>
      </c>
      <c r="H143" s="22" t="s">
        <v>472</v>
      </c>
      <c r="I143" s="24">
        <v>1511</v>
      </c>
      <c r="J143" s="26" t="s">
        <v>657</v>
      </c>
      <c r="K143" s="110" t="s">
        <v>641</v>
      </c>
      <c r="L143" s="220" t="s">
        <v>1761</v>
      </c>
      <c r="M143" s="272" t="s">
        <v>2716</v>
      </c>
    </row>
    <row r="144" spans="1:13" ht="16.5">
      <c r="A144" s="21" t="s">
        <v>371</v>
      </c>
      <c r="B144" s="21" t="s">
        <v>568</v>
      </c>
      <c r="C144" s="101" t="s">
        <v>2580</v>
      </c>
      <c r="D144" s="43" t="s">
        <v>2715</v>
      </c>
      <c r="E144" s="21" t="s">
        <v>1522</v>
      </c>
      <c r="F144" s="22"/>
      <c r="G144" s="22" t="s">
        <v>1262</v>
      </c>
      <c r="H144" s="22" t="s">
        <v>472</v>
      </c>
      <c r="I144" s="24">
        <v>1520</v>
      </c>
      <c r="J144" s="26" t="s">
        <v>706</v>
      </c>
      <c r="K144" s="110" t="s">
        <v>640</v>
      </c>
      <c r="L144" s="220" t="s">
        <v>1761</v>
      </c>
      <c r="M144" s="272" t="s">
        <v>2716</v>
      </c>
    </row>
    <row r="145" spans="1:14" ht="16.5">
      <c r="A145" s="21" t="s">
        <v>371</v>
      </c>
      <c r="B145" s="21" t="s">
        <v>568</v>
      </c>
      <c r="C145" s="101" t="s">
        <v>2580</v>
      </c>
      <c r="D145" s="43" t="s">
        <v>2715</v>
      </c>
      <c r="E145" s="21" t="s">
        <v>1522</v>
      </c>
      <c r="F145" s="22"/>
      <c r="G145" s="22" t="s">
        <v>1262</v>
      </c>
      <c r="H145" s="22" t="s">
        <v>472</v>
      </c>
      <c r="I145" s="24">
        <v>1521</v>
      </c>
      <c r="J145" s="26" t="s">
        <v>707</v>
      </c>
      <c r="K145" s="110" t="s">
        <v>641</v>
      </c>
      <c r="L145" s="220" t="s">
        <v>1761</v>
      </c>
      <c r="M145" s="272" t="s">
        <v>2716</v>
      </c>
    </row>
    <row r="146" spans="1:14" ht="16.5">
      <c r="A146" s="21" t="s">
        <v>371</v>
      </c>
      <c r="B146" s="21" t="s">
        <v>568</v>
      </c>
      <c r="C146" s="101" t="s">
        <v>2580</v>
      </c>
      <c r="D146" s="43" t="s">
        <v>2715</v>
      </c>
      <c r="E146" s="21" t="s">
        <v>1522</v>
      </c>
      <c r="F146" s="22"/>
      <c r="G146" s="22" t="s">
        <v>1262</v>
      </c>
      <c r="H146" s="22" t="s">
        <v>472</v>
      </c>
      <c r="I146" s="24">
        <v>1530</v>
      </c>
      <c r="J146" s="26" t="s">
        <v>708</v>
      </c>
      <c r="K146" s="110" t="s">
        <v>637</v>
      </c>
      <c r="L146" s="220" t="s">
        <v>1761</v>
      </c>
      <c r="M146" s="272" t="s">
        <v>2716</v>
      </c>
    </row>
    <row r="147" spans="1:14" ht="16.5">
      <c r="A147" s="21" t="s">
        <v>371</v>
      </c>
      <c r="B147" s="21" t="s">
        <v>568</v>
      </c>
      <c r="C147" s="101" t="s">
        <v>2580</v>
      </c>
      <c r="D147" s="43" t="s">
        <v>2715</v>
      </c>
      <c r="E147" s="21" t="s">
        <v>1522</v>
      </c>
      <c r="F147" s="22"/>
      <c r="G147" s="22" t="s">
        <v>1262</v>
      </c>
      <c r="H147" s="22" t="s">
        <v>472</v>
      </c>
      <c r="I147" s="24">
        <v>1531</v>
      </c>
      <c r="J147" s="26" t="s">
        <v>709</v>
      </c>
      <c r="K147" s="110" t="s">
        <v>641</v>
      </c>
      <c r="L147" s="220" t="s">
        <v>1761</v>
      </c>
      <c r="M147" s="272" t="s">
        <v>2716</v>
      </c>
    </row>
    <row r="148" spans="1:14" ht="16.5">
      <c r="A148" s="45" t="s">
        <v>518</v>
      </c>
      <c r="B148" s="45" t="s">
        <v>116</v>
      </c>
      <c r="C148" s="28" t="s">
        <v>1000</v>
      </c>
      <c r="D148" s="101" t="s">
        <v>2723</v>
      </c>
      <c r="E148" s="21" t="s">
        <v>1522</v>
      </c>
      <c r="F148" s="22"/>
      <c r="G148" s="22" t="s">
        <v>1262</v>
      </c>
      <c r="H148" s="22" t="s">
        <v>316</v>
      </c>
      <c r="I148" s="199">
        <v>2750</v>
      </c>
      <c r="J148" s="26" t="s">
        <v>243</v>
      </c>
      <c r="K148" s="112">
        <v>3</v>
      </c>
      <c r="L148" s="218"/>
      <c r="M148" s="272" t="s">
        <v>2716</v>
      </c>
    </row>
    <row r="149" spans="1:14" s="9" customFormat="1" ht="16.5">
      <c r="A149" s="45" t="s">
        <v>549</v>
      </c>
      <c r="B149" s="21" t="s">
        <v>88</v>
      </c>
      <c r="C149" s="28" t="s">
        <v>1146</v>
      </c>
      <c r="D149" s="43" t="s">
        <v>2743</v>
      </c>
      <c r="E149" s="21" t="s">
        <v>1522</v>
      </c>
      <c r="F149" s="22"/>
      <c r="G149" s="22" t="s">
        <v>551</v>
      </c>
      <c r="H149" s="22" t="s">
        <v>435</v>
      </c>
      <c r="I149" s="24">
        <v>1050</v>
      </c>
      <c r="J149" s="26" t="s">
        <v>633</v>
      </c>
      <c r="K149" s="110" t="s">
        <v>753</v>
      </c>
      <c r="L149" s="218"/>
      <c r="M149" s="300" t="s">
        <v>2742</v>
      </c>
    </row>
    <row r="150" spans="1:14" s="9" customFormat="1" ht="33">
      <c r="A150" s="45" t="s">
        <v>550</v>
      </c>
      <c r="B150" s="21" t="s">
        <v>89</v>
      </c>
      <c r="C150" s="28" t="s">
        <v>1147</v>
      </c>
      <c r="D150" s="43" t="s">
        <v>2743</v>
      </c>
      <c r="E150" s="21" t="s">
        <v>1522</v>
      </c>
      <c r="F150" s="22"/>
      <c r="G150" s="22" t="s">
        <v>551</v>
      </c>
      <c r="H150" s="22" t="s">
        <v>435</v>
      </c>
      <c r="I150" s="24">
        <v>1550</v>
      </c>
      <c r="J150" s="26" t="s">
        <v>634</v>
      </c>
      <c r="K150" s="110" t="s">
        <v>753</v>
      </c>
      <c r="L150" s="218" t="s">
        <v>1761</v>
      </c>
      <c r="M150" s="300" t="s">
        <v>2742</v>
      </c>
    </row>
    <row r="151" spans="1:14" ht="19.5" customHeight="1">
      <c r="A151" s="21" t="s">
        <v>1695</v>
      </c>
      <c r="B151" s="21" t="s">
        <v>1696</v>
      </c>
      <c r="C151" s="28" t="s">
        <v>1697</v>
      </c>
      <c r="D151" s="43" t="s">
        <v>2620</v>
      </c>
      <c r="E151" s="21" t="s">
        <v>1522</v>
      </c>
      <c r="F151" s="22"/>
      <c r="G151" s="22" t="s">
        <v>551</v>
      </c>
      <c r="H151" s="122" t="s">
        <v>1693</v>
      </c>
      <c r="I151" s="67">
        <v>1110</v>
      </c>
      <c r="J151" s="26" t="s">
        <v>1694</v>
      </c>
      <c r="K151" s="110" t="s">
        <v>642</v>
      </c>
      <c r="L151" s="218" t="s">
        <v>1761</v>
      </c>
      <c r="M151" s="272" t="s">
        <v>2621</v>
      </c>
    </row>
    <row r="152" spans="1:14" ht="19.5" customHeight="1">
      <c r="A152" s="45" t="s">
        <v>55</v>
      </c>
      <c r="B152" s="45"/>
      <c r="C152" s="28" t="s">
        <v>969</v>
      </c>
      <c r="D152" s="43" t="s">
        <v>2620</v>
      </c>
      <c r="E152" s="21" t="s">
        <v>1521</v>
      </c>
      <c r="F152" s="26"/>
      <c r="G152" s="22" t="s">
        <v>551</v>
      </c>
      <c r="H152" s="22" t="s">
        <v>1529</v>
      </c>
      <c r="I152" s="24">
        <v>1020</v>
      </c>
      <c r="J152" s="26" t="s">
        <v>201</v>
      </c>
      <c r="K152" s="22" t="s">
        <v>753</v>
      </c>
      <c r="L152" s="218" t="s">
        <v>1761</v>
      </c>
      <c r="M152" s="272" t="s">
        <v>2621</v>
      </c>
    </row>
    <row r="153" spans="1:14" ht="19.5" customHeight="1">
      <c r="A153" s="45" t="s">
        <v>36</v>
      </c>
      <c r="B153" s="21" t="s">
        <v>37</v>
      </c>
      <c r="C153" s="121" t="s">
        <v>38</v>
      </c>
      <c r="D153" s="43" t="s">
        <v>2620</v>
      </c>
      <c r="E153" s="21" t="s">
        <v>1522</v>
      </c>
      <c r="F153" s="44"/>
      <c r="G153" s="22" t="s">
        <v>551</v>
      </c>
      <c r="H153" s="22" t="s">
        <v>605</v>
      </c>
      <c r="I153" s="24">
        <v>3100</v>
      </c>
      <c r="J153" s="26" t="s">
        <v>39</v>
      </c>
      <c r="K153" s="110" t="s">
        <v>637</v>
      </c>
      <c r="L153" s="218" t="s">
        <v>1776</v>
      </c>
      <c r="M153" s="272" t="s">
        <v>2621</v>
      </c>
    </row>
    <row r="154" spans="1:14" ht="19.5" customHeight="1">
      <c r="A154" s="21" t="s">
        <v>736</v>
      </c>
      <c r="B154" s="21"/>
      <c r="C154" s="28" t="s">
        <v>609</v>
      </c>
      <c r="D154" s="43" t="s">
        <v>2620</v>
      </c>
      <c r="E154" s="21" t="s">
        <v>1521</v>
      </c>
      <c r="F154" s="22" t="s">
        <v>1332</v>
      </c>
      <c r="G154" s="22" t="s">
        <v>551</v>
      </c>
      <c r="H154" s="22" t="s">
        <v>1541</v>
      </c>
      <c r="I154" s="67">
        <v>1110</v>
      </c>
      <c r="J154" s="26" t="s">
        <v>860</v>
      </c>
      <c r="K154" s="110" t="s">
        <v>642</v>
      </c>
      <c r="L154" s="218" t="s">
        <v>1777</v>
      </c>
      <c r="M154" s="272" t="s">
        <v>2621</v>
      </c>
    </row>
    <row r="155" spans="1:14" ht="19.5" customHeight="1">
      <c r="A155" s="21" t="s">
        <v>736</v>
      </c>
      <c r="B155" s="21"/>
      <c r="C155" s="28" t="s">
        <v>609</v>
      </c>
      <c r="D155" s="43" t="s">
        <v>2620</v>
      </c>
      <c r="E155" s="21" t="s">
        <v>1521</v>
      </c>
      <c r="F155" s="22"/>
      <c r="G155" s="22" t="s">
        <v>551</v>
      </c>
      <c r="H155" s="22" t="s">
        <v>1541</v>
      </c>
      <c r="I155" s="67">
        <v>1115</v>
      </c>
      <c r="J155" s="26" t="s">
        <v>409</v>
      </c>
      <c r="K155" s="110" t="s">
        <v>638</v>
      </c>
      <c r="L155" s="218" t="s">
        <v>1776</v>
      </c>
      <c r="M155" s="272" t="s">
        <v>2621</v>
      </c>
    </row>
    <row r="156" spans="1:14" ht="19.5" customHeight="1">
      <c r="A156" s="21" t="s">
        <v>736</v>
      </c>
      <c r="B156" s="21"/>
      <c r="C156" s="28" t="s">
        <v>609</v>
      </c>
      <c r="D156" s="43" t="s">
        <v>2620</v>
      </c>
      <c r="E156" s="21" t="s">
        <v>1521</v>
      </c>
      <c r="F156" s="22" t="s">
        <v>1332</v>
      </c>
      <c r="G156" s="22" t="s">
        <v>551</v>
      </c>
      <c r="H156" s="22" t="s">
        <v>1541</v>
      </c>
      <c r="I156" s="67">
        <v>1120</v>
      </c>
      <c r="J156" s="26" t="s">
        <v>861</v>
      </c>
      <c r="K156" s="110" t="s">
        <v>642</v>
      </c>
      <c r="L156" s="218" t="s">
        <v>1776</v>
      </c>
      <c r="M156" s="272" t="s">
        <v>2621</v>
      </c>
    </row>
    <row r="157" spans="1:14" ht="19.5" customHeight="1">
      <c r="A157" s="21" t="s">
        <v>736</v>
      </c>
      <c r="B157" s="21"/>
      <c r="C157" s="28" t="s">
        <v>609</v>
      </c>
      <c r="D157" s="43" t="s">
        <v>2620</v>
      </c>
      <c r="E157" s="21" t="s">
        <v>1521</v>
      </c>
      <c r="F157" s="22"/>
      <c r="G157" s="22" t="s">
        <v>551</v>
      </c>
      <c r="H157" s="22" t="s">
        <v>1541</v>
      </c>
      <c r="I157" s="67">
        <v>1210</v>
      </c>
      <c r="J157" s="26" t="s">
        <v>1206</v>
      </c>
      <c r="K157" s="110" t="s">
        <v>642</v>
      </c>
      <c r="L157" s="218" t="s">
        <v>1776</v>
      </c>
      <c r="M157" s="272" t="s">
        <v>2621</v>
      </c>
    </row>
    <row r="158" spans="1:14" ht="19.5" customHeight="1">
      <c r="A158" s="21" t="s">
        <v>736</v>
      </c>
      <c r="B158" s="21"/>
      <c r="C158" s="28" t="s">
        <v>609</v>
      </c>
      <c r="D158" s="43" t="s">
        <v>2734</v>
      </c>
      <c r="E158" s="21" t="s">
        <v>1521</v>
      </c>
      <c r="F158" s="22"/>
      <c r="G158" s="22" t="s">
        <v>551</v>
      </c>
      <c r="H158" s="22" t="s">
        <v>1541</v>
      </c>
      <c r="I158" s="67">
        <v>1215</v>
      </c>
      <c r="J158" s="26" t="s">
        <v>1207</v>
      </c>
      <c r="K158" s="110" t="s">
        <v>638</v>
      </c>
      <c r="L158" s="218" t="s">
        <v>1776</v>
      </c>
      <c r="M158" s="272" t="s">
        <v>2621</v>
      </c>
    </row>
    <row r="159" spans="1:14" s="4" customFormat="1" ht="17.25" customHeight="1">
      <c r="A159" s="21" t="s">
        <v>736</v>
      </c>
      <c r="B159" s="21"/>
      <c r="C159" s="28" t="s">
        <v>609</v>
      </c>
      <c r="D159" s="43" t="s">
        <v>2620</v>
      </c>
      <c r="E159" s="21" t="s">
        <v>1521</v>
      </c>
      <c r="F159" s="22" t="s">
        <v>1332</v>
      </c>
      <c r="G159" s="22" t="s">
        <v>551</v>
      </c>
      <c r="H159" s="22" t="s">
        <v>1541</v>
      </c>
      <c r="I159" s="67">
        <v>1220</v>
      </c>
      <c r="J159" s="26" t="s">
        <v>1208</v>
      </c>
      <c r="K159" s="110" t="s">
        <v>642</v>
      </c>
      <c r="L159" s="218" t="s">
        <v>1776</v>
      </c>
      <c r="M159" s="272" t="s">
        <v>2621</v>
      </c>
      <c r="N159" s="1"/>
    </row>
    <row r="160" spans="1:14" ht="18" customHeight="1">
      <c r="A160" s="21" t="s">
        <v>736</v>
      </c>
      <c r="B160" s="21"/>
      <c r="C160" s="28" t="s">
        <v>609</v>
      </c>
      <c r="D160" s="43" t="s">
        <v>2620</v>
      </c>
      <c r="E160" s="21" t="s">
        <v>1521</v>
      </c>
      <c r="F160" s="22"/>
      <c r="G160" s="22" t="s">
        <v>551</v>
      </c>
      <c r="H160" s="22" t="s">
        <v>1541</v>
      </c>
      <c r="I160" s="67">
        <v>1225</v>
      </c>
      <c r="J160" s="26" t="s">
        <v>1209</v>
      </c>
      <c r="K160" s="110" t="s">
        <v>638</v>
      </c>
      <c r="L160" s="218" t="s">
        <v>1776</v>
      </c>
      <c r="M160" s="272" t="s">
        <v>2621</v>
      </c>
    </row>
    <row r="161" spans="1:14" s="9" customFormat="1" ht="16.5">
      <c r="A161" s="165">
        <v>32020013140</v>
      </c>
      <c r="B161" s="45" t="s">
        <v>94</v>
      </c>
      <c r="C161" s="28" t="s">
        <v>218</v>
      </c>
      <c r="D161" s="43" t="s">
        <v>2743</v>
      </c>
      <c r="E161" s="21" t="s">
        <v>1522</v>
      </c>
      <c r="F161" s="247"/>
      <c r="G161" s="22" t="s">
        <v>551</v>
      </c>
      <c r="H161" s="131" t="s">
        <v>864</v>
      </c>
      <c r="I161" s="24">
        <v>1350</v>
      </c>
      <c r="J161" s="26" t="s">
        <v>150</v>
      </c>
      <c r="K161" s="110" t="s">
        <v>753</v>
      </c>
      <c r="L161" s="218" t="s">
        <v>1761</v>
      </c>
      <c r="M161" s="300" t="s">
        <v>2744</v>
      </c>
      <c r="N161" s="1"/>
    </row>
    <row r="162" spans="1:14" ht="18" customHeight="1">
      <c r="A162" s="21" t="s">
        <v>505</v>
      </c>
      <c r="B162" s="21" t="s">
        <v>99</v>
      </c>
      <c r="C162" s="28" t="s">
        <v>993</v>
      </c>
      <c r="D162" s="43" t="s">
        <v>2620</v>
      </c>
      <c r="E162" s="21" t="s">
        <v>1522</v>
      </c>
      <c r="F162" s="22"/>
      <c r="G162" s="22" t="s">
        <v>551</v>
      </c>
      <c r="H162" s="22" t="s">
        <v>256</v>
      </c>
      <c r="I162" s="67">
        <v>2450</v>
      </c>
      <c r="J162" s="26" t="s">
        <v>1515</v>
      </c>
      <c r="K162" s="110" t="s">
        <v>753</v>
      </c>
      <c r="L162" s="218"/>
      <c r="M162" s="272" t="s">
        <v>2621</v>
      </c>
    </row>
    <row r="163" spans="1:14" ht="18" customHeight="1">
      <c r="A163" s="58" t="s">
        <v>514</v>
      </c>
      <c r="B163" s="21" t="s">
        <v>106</v>
      </c>
      <c r="C163" s="59" t="s">
        <v>213</v>
      </c>
      <c r="D163" s="43" t="s">
        <v>2620</v>
      </c>
      <c r="E163" s="58" t="s">
        <v>1522</v>
      </c>
      <c r="F163" s="61"/>
      <c r="G163" s="22" t="s">
        <v>551</v>
      </c>
      <c r="H163" s="61" t="s">
        <v>256</v>
      </c>
      <c r="I163" s="69">
        <v>2520</v>
      </c>
      <c r="J163" s="74" t="s">
        <v>1351</v>
      </c>
      <c r="K163" s="110" t="s">
        <v>753</v>
      </c>
      <c r="L163" s="218"/>
      <c r="M163" s="272" t="s">
        <v>2621</v>
      </c>
    </row>
    <row r="164" spans="1:14" s="8" customFormat="1" ht="16.5">
      <c r="A164" s="21" t="s">
        <v>748</v>
      </c>
      <c r="B164" s="21"/>
      <c r="C164" s="28" t="s">
        <v>194</v>
      </c>
      <c r="D164" s="43" t="s">
        <v>2743</v>
      </c>
      <c r="E164" s="21" t="s">
        <v>1521</v>
      </c>
      <c r="F164" s="22"/>
      <c r="G164" s="22" t="s">
        <v>551</v>
      </c>
      <c r="H164" s="22" t="s">
        <v>554</v>
      </c>
      <c r="I164" s="67">
        <v>1050</v>
      </c>
      <c r="J164" s="26" t="s">
        <v>896</v>
      </c>
      <c r="K164" s="110" t="s">
        <v>753</v>
      </c>
      <c r="L164" s="218" t="s">
        <v>1776</v>
      </c>
      <c r="M164" s="300" t="s">
        <v>2744</v>
      </c>
    </row>
    <row r="165" spans="1:14" ht="18" customHeight="1">
      <c r="A165" s="21" t="s">
        <v>197</v>
      </c>
      <c r="B165" s="21"/>
      <c r="C165" s="28" t="s">
        <v>1181</v>
      </c>
      <c r="D165" s="43" t="s">
        <v>2620</v>
      </c>
      <c r="E165" s="21" t="s">
        <v>1522</v>
      </c>
      <c r="F165" s="22"/>
      <c r="G165" s="22" t="s">
        <v>551</v>
      </c>
      <c r="H165" s="22" t="s">
        <v>196</v>
      </c>
      <c r="I165" s="67">
        <v>2100</v>
      </c>
      <c r="J165" s="25" t="s">
        <v>1279</v>
      </c>
      <c r="K165" s="112">
        <v>3</v>
      </c>
      <c r="L165" s="218" t="s">
        <v>1767</v>
      </c>
      <c r="M165" s="272" t="s">
        <v>2621</v>
      </c>
    </row>
    <row r="166" spans="1:14" ht="18" customHeight="1">
      <c r="A166" s="21" t="s">
        <v>1613</v>
      </c>
      <c r="B166" s="219"/>
      <c r="C166" s="28" t="s">
        <v>1614</v>
      </c>
      <c r="D166" s="101" t="s">
        <v>1802</v>
      </c>
      <c r="E166" s="58" t="s">
        <v>1522</v>
      </c>
      <c r="F166" s="22"/>
      <c r="G166" s="22" t="s">
        <v>797</v>
      </c>
      <c r="H166" s="22" t="s">
        <v>1611</v>
      </c>
      <c r="I166" s="67">
        <v>1010</v>
      </c>
      <c r="J166" s="26" t="s">
        <v>1612</v>
      </c>
      <c r="K166" s="110" t="s">
        <v>642</v>
      </c>
      <c r="L166" s="218"/>
      <c r="M166" s="272" t="s">
        <v>2672</v>
      </c>
    </row>
    <row r="167" spans="1:14" ht="18" customHeight="1">
      <c r="A167" s="21" t="s">
        <v>1539</v>
      </c>
      <c r="B167" s="21"/>
      <c r="C167" s="28" t="s">
        <v>1425</v>
      </c>
      <c r="D167" s="43"/>
      <c r="E167" s="21" t="s">
        <v>1521</v>
      </c>
      <c r="F167" s="22"/>
      <c r="G167" s="122" t="s">
        <v>797</v>
      </c>
      <c r="H167" s="22" t="s">
        <v>2493</v>
      </c>
      <c r="I167" s="67">
        <v>2210</v>
      </c>
      <c r="J167" s="26" t="s">
        <v>2733</v>
      </c>
      <c r="K167" s="110" t="s">
        <v>753</v>
      </c>
      <c r="L167" s="157" t="s">
        <v>1761</v>
      </c>
      <c r="M167" s="272" t="s">
        <v>2672</v>
      </c>
    </row>
    <row r="168" spans="1:14" ht="18" customHeight="1">
      <c r="A168" s="21" t="s">
        <v>1539</v>
      </c>
      <c r="B168" s="21"/>
      <c r="C168" s="28" t="s">
        <v>1425</v>
      </c>
      <c r="D168" s="43"/>
      <c r="E168" s="21" t="s">
        <v>1521</v>
      </c>
      <c r="F168" s="22"/>
      <c r="G168" s="122" t="s">
        <v>797</v>
      </c>
      <c r="H168" s="22" t="s">
        <v>2493</v>
      </c>
      <c r="I168" s="67">
        <v>2213</v>
      </c>
      <c r="J168" s="26" t="s">
        <v>1890</v>
      </c>
      <c r="K168" s="110" t="s">
        <v>753</v>
      </c>
      <c r="L168" s="218" t="s">
        <v>1761</v>
      </c>
      <c r="M168" s="272" t="s">
        <v>2672</v>
      </c>
    </row>
    <row r="169" spans="1:14" ht="33">
      <c r="A169" s="21" t="s">
        <v>1599</v>
      </c>
      <c r="B169" s="21"/>
      <c r="C169" s="28" t="s">
        <v>1600</v>
      </c>
      <c r="D169" s="101" t="s">
        <v>2736</v>
      </c>
      <c r="E169" s="21" t="s">
        <v>1522</v>
      </c>
      <c r="F169" s="22"/>
      <c r="G169" s="22" t="s">
        <v>1586</v>
      </c>
      <c r="H169" s="107" t="s">
        <v>318</v>
      </c>
      <c r="I169" s="94" t="s">
        <v>1594</v>
      </c>
      <c r="J169" s="95" t="s">
        <v>1598</v>
      </c>
      <c r="K169" s="115" t="s">
        <v>637</v>
      </c>
      <c r="L169" s="218" t="s">
        <v>1761</v>
      </c>
      <c r="M169" s="272" t="s">
        <v>2716</v>
      </c>
    </row>
    <row r="170" spans="1:14" s="2" customFormat="1" ht="33">
      <c r="A170" s="21" t="s">
        <v>1353</v>
      </c>
      <c r="B170" s="21"/>
      <c r="C170" s="28" t="s">
        <v>1597</v>
      </c>
      <c r="D170" s="101" t="s">
        <v>2736</v>
      </c>
      <c r="E170" s="21" t="s">
        <v>1522</v>
      </c>
      <c r="F170" s="22"/>
      <c r="G170" s="22" t="s">
        <v>1586</v>
      </c>
      <c r="H170" s="107" t="s">
        <v>1595</v>
      </c>
      <c r="I170" s="108">
        <v>1200</v>
      </c>
      <c r="J170" s="95" t="s">
        <v>1596</v>
      </c>
      <c r="K170" s="115" t="s">
        <v>637</v>
      </c>
      <c r="L170" s="218" t="s">
        <v>1761</v>
      </c>
      <c r="M170" s="272" t="s">
        <v>2716</v>
      </c>
      <c r="N170" s="1"/>
    </row>
    <row r="171" spans="1:14" ht="33">
      <c r="A171" s="21" t="s">
        <v>789</v>
      </c>
      <c r="B171" s="21" t="s">
        <v>91</v>
      </c>
      <c r="C171" s="28" t="s">
        <v>1130</v>
      </c>
      <c r="D171" s="101" t="s">
        <v>2753</v>
      </c>
      <c r="E171" s="21" t="s">
        <v>1522</v>
      </c>
      <c r="F171" s="22"/>
      <c r="G171" s="22" t="s">
        <v>1586</v>
      </c>
      <c r="H171" s="22" t="s">
        <v>452</v>
      </c>
      <c r="I171" s="24">
        <v>1060</v>
      </c>
      <c r="J171" s="26" t="s">
        <v>919</v>
      </c>
      <c r="K171" s="110">
        <v>3</v>
      </c>
      <c r="L171" s="218" t="s">
        <v>1776</v>
      </c>
      <c r="M171" s="3"/>
    </row>
    <row r="172" spans="1:14" ht="18" customHeight="1">
      <c r="A172" s="21" t="s">
        <v>744</v>
      </c>
      <c r="B172" s="21"/>
      <c r="C172" s="106" t="s">
        <v>1422</v>
      </c>
      <c r="D172" s="43"/>
      <c r="E172" s="21" t="s">
        <v>1522</v>
      </c>
      <c r="F172" s="22" t="s">
        <v>1329</v>
      </c>
      <c r="G172" s="22" t="s">
        <v>739</v>
      </c>
      <c r="H172" s="22" t="s">
        <v>1527</v>
      </c>
      <c r="I172" s="68">
        <v>1000</v>
      </c>
      <c r="J172" s="26" t="s">
        <v>1191</v>
      </c>
      <c r="K172" s="110">
        <v>3</v>
      </c>
      <c r="L172" s="218" t="s">
        <v>1761</v>
      </c>
      <c r="M172" s="272" t="s">
        <v>2691</v>
      </c>
    </row>
    <row r="173" spans="1:14" ht="18" customHeight="1">
      <c r="A173" s="21" t="s">
        <v>386</v>
      </c>
      <c r="B173" s="21"/>
      <c r="C173" s="213" t="s">
        <v>816</v>
      </c>
      <c r="D173" s="46"/>
      <c r="E173" s="21" t="s">
        <v>1521</v>
      </c>
      <c r="F173" s="24" t="s">
        <v>1330</v>
      </c>
      <c r="G173" s="22" t="s">
        <v>739</v>
      </c>
      <c r="H173" s="22" t="s">
        <v>1529</v>
      </c>
      <c r="I173" s="68">
        <v>1010</v>
      </c>
      <c r="J173" s="26" t="s">
        <v>834</v>
      </c>
      <c r="K173" s="110" t="s">
        <v>753</v>
      </c>
      <c r="L173" s="218" t="s">
        <v>1776</v>
      </c>
      <c r="M173" s="272" t="s">
        <v>2691</v>
      </c>
    </row>
    <row r="174" spans="1:14" ht="33">
      <c r="A174" s="21" t="s">
        <v>524</v>
      </c>
      <c r="B174" s="21" t="s">
        <v>883</v>
      </c>
      <c r="C174" s="28" t="s">
        <v>1006</v>
      </c>
      <c r="D174" s="101" t="s">
        <v>2745</v>
      </c>
      <c r="E174" s="21" t="s">
        <v>1522</v>
      </c>
      <c r="F174" s="22"/>
      <c r="G174" s="22" t="s">
        <v>739</v>
      </c>
      <c r="H174" s="22" t="s">
        <v>1491</v>
      </c>
      <c r="I174" s="68">
        <v>2175</v>
      </c>
      <c r="J174" s="26" t="s">
        <v>851</v>
      </c>
      <c r="K174" s="110" t="s">
        <v>753</v>
      </c>
      <c r="L174" s="218" t="s">
        <v>1761</v>
      </c>
      <c r="M174" s="298" t="s">
        <v>2711</v>
      </c>
    </row>
    <row r="175" spans="1:14" ht="18" customHeight="1">
      <c r="A175" s="21" t="s">
        <v>1328</v>
      </c>
      <c r="B175" s="21"/>
      <c r="C175" s="28" t="s">
        <v>217</v>
      </c>
      <c r="D175" s="43" t="s">
        <v>2647</v>
      </c>
      <c r="E175" s="21" t="s">
        <v>1522</v>
      </c>
      <c r="F175" s="22" t="s">
        <v>540</v>
      </c>
      <c r="G175" s="22" t="s">
        <v>739</v>
      </c>
      <c r="H175" s="22" t="s">
        <v>496</v>
      </c>
      <c r="I175" s="68" t="s">
        <v>740</v>
      </c>
      <c r="J175" s="26" t="s">
        <v>258</v>
      </c>
      <c r="K175" s="110" t="s">
        <v>753</v>
      </c>
      <c r="L175" s="218" t="s">
        <v>1761</v>
      </c>
      <c r="M175" s="283" t="s">
        <v>2652</v>
      </c>
    </row>
    <row r="176" spans="1:14" ht="18" customHeight="1">
      <c r="A176" s="21" t="s">
        <v>1651</v>
      </c>
      <c r="B176" s="21"/>
      <c r="C176" s="213" t="s">
        <v>288</v>
      </c>
      <c r="D176" s="46"/>
      <c r="E176" s="21" t="s">
        <v>1522</v>
      </c>
      <c r="F176" s="24"/>
      <c r="G176" s="22" t="s">
        <v>739</v>
      </c>
      <c r="H176" s="22" t="s">
        <v>1547</v>
      </c>
      <c r="I176" s="68">
        <v>1020</v>
      </c>
      <c r="J176" s="26" t="s">
        <v>1652</v>
      </c>
      <c r="K176" s="110" t="s">
        <v>753</v>
      </c>
      <c r="L176" s="218" t="s">
        <v>1776</v>
      </c>
      <c r="M176" s="272" t="s">
        <v>2691</v>
      </c>
    </row>
    <row r="177" spans="1:14" ht="18" customHeight="1">
      <c r="A177" s="21" t="s">
        <v>368</v>
      </c>
      <c r="B177" s="21" t="s">
        <v>119</v>
      </c>
      <c r="C177" s="213" t="s">
        <v>1003</v>
      </c>
      <c r="D177" s="46" t="s">
        <v>1577</v>
      </c>
      <c r="E177" s="21" t="s">
        <v>1522</v>
      </c>
      <c r="F177" s="22"/>
      <c r="G177" s="22" t="s">
        <v>739</v>
      </c>
      <c r="H177" s="22" t="s">
        <v>300</v>
      </c>
      <c r="I177" s="68">
        <v>1022</v>
      </c>
      <c r="J177" s="26" t="s">
        <v>1575</v>
      </c>
      <c r="K177" s="110">
        <v>4</v>
      </c>
      <c r="L177" s="218" t="s">
        <v>1761</v>
      </c>
      <c r="M177" s="272" t="s">
        <v>2691</v>
      </c>
    </row>
    <row r="178" spans="1:14" ht="18" customHeight="1">
      <c r="A178" s="21" t="s">
        <v>368</v>
      </c>
      <c r="B178" s="21" t="s">
        <v>119</v>
      </c>
      <c r="C178" s="106" t="s">
        <v>1003</v>
      </c>
      <c r="D178" s="46" t="s">
        <v>1577</v>
      </c>
      <c r="E178" s="21" t="s">
        <v>1522</v>
      </c>
      <c r="F178" s="22"/>
      <c r="G178" s="22" t="s">
        <v>739</v>
      </c>
      <c r="H178" s="22" t="s">
        <v>300</v>
      </c>
      <c r="I178" s="68">
        <v>1023</v>
      </c>
      <c r="J178" s="26" t="s">
        <v>510</v>
      </c>
      <c r="K178" s="110">
        <v>4</v>
      </c>
      <c r="L178" s="218" t="s">
        <v>1761</v>
      </c>
      <c r="M178" s="272" t="s">
        <v>2691</v>
      </c>
    </row>
    <row r="179" spans="1:14" ht="18" customHeight="1">
      <c r="A179" s="21" t="s">
        <v>747</v>
      </c>
      <c r="B179" s="21"/>
      <c r="C179" s="106" t="s">
        <v>1137</v>
      </c>
      <c r="D179" s="43"/>
      <c r="E179" s="21" t="s">
        <v>1522</v>
      </c>
      <c r="F179" s="22" t="s">
        <v>1332</v>
      </c>
      <c r="G179" s="22" t="s">
        <v>739</v>
      </c>
      <c r="H179" s="22" t="s">
        <v>1386</v>
      </c>
      <c r="I179" s="68">
        <v>1110</v>
      </c>
      <c r="J179" s="44" t="s">
        <v>1578</v>
      </c>
      <c r="K179" s="110" t="s">
        <v>753</v>
      </c>
      <c r="L179" s="218" t="s">
        <v>1761</v>
      </c>
      <c r="M179" s="272" t="s">
        <v>2691</v>
      </c>
    </row>
    <row r="180" spans="1:14" ht="18" customHeight="1">
      <c r="A180" s="105" t="s">
        <v>749</v>
      </c>
      <c r="B180" s="105"/>
      <c r="C180" s="106" t="s">
        <v>255</v>
      </c>
      <c r="D180" s="101"/>
      <c r="E180" s="105" t="s">
        <v>1522</v>
      </c>
      <c r="F180" s="22" t="s">
        <v>1332</v>
      </c>
      <c r="G180" s="22" t="s">
        <v>739</v>
      </c>
      <c r="H180" s="22" t="s">
        <v>1386</v>
      </c>
      <c r="I180" s="68">
        <v>1130</v>
      </c>
      <c r="J180" s="77" t="s">
        <v>1265</v>
      </c>
      <c r="K180" s="110" t="s">
        <v>753</v>
      </c>
      <c r="L180" s="218" t="s">
        <v>1761</v>
      </c>
      <c r="M180" s="272" t="s">
        <v>2691</v>
      </c>
    </row>
    <row r="181" spans="1:14" ht="18" customHeight="1">
      <c r="A181" s="21" t="s">
        <v>1540</v>
      </c>
      <c r="B181" s="21"/>
      <c r="C181" s="28" t="s">
        <v>14</v>
      </c>
      <c r="D181" s="43"/>
      <c r="E181" s="21" t="s">
        <v>1522</v>
      </c>
      <c r="F181" s="22" t="s">
        <v>1329</v>
      </c>
      <c r="G181" s="22" t="s">
        <v>739</v>
      </c>
      <c r="H181" s="22" t="s">
        <v>343</v>
      </c>
      <c r="I181" s="68">
        <v>1010</v>
      </c>
      <c r="J181" s="26" t="s">
        <v>924</v>
      </c>
      <c r="K181" s="110" t="s">
        <v>753</v>
      </c>
      <c r="L181" s="218" t="s">
        <v>1761</v>
      </c>
      <c r="M181" s="272" t="s">
        <v>2675</v>
      </c>
      <c r="N181" s="4"/>
    </row>
    <row r="182" spans="1:14" ht="18" customHeight="1">
      <c r="A182" s="21" t="s">
        <v>444</v>
      </c>
      <c r="B182" s="21" t="s">
        <v>113</v>
      </c>
      <c r="C182" s="106" t="s">
        <v>998</v>
      </c>
      <c r="D182" s="43" t="s">
        <v>1465</v>
      </c>
      <c r="E182" s="21" t="s">
        <v>1522</v>
      </c>
      <c r="F182" s="22"/>
      <c r="G182" s="22" t="s">
        <v>739</v>
      </c>
      <c r="H182" s="22" t="s">
        <v>1516</v>
      </c>
      <c r="I182" s="68">
        <v>2415</v>
      </c>
      <c r="J182" s="26" t="s">
        <v>1143</v>
      </c>
      <c r="K182" s="110">
        <v>3</v>
      </c>
      <c r="L182" s="218" t="s">
        <v>1761</v>
      </c>
      <c r="M182" s="272" t="s">
        <v>2691</v>
      </c>
    </row>
    <row r="183" spans="1:14" ht="18" customHeight="1">
      <c r="A183" s="21" t="s">
        <v>444</v>
      </c>
      <c r="B183" s="21" t="s">
        <v>113</v>
      </c>
      <c r="C183" s="106" t="s">
        <v>998</v>
      </c>
      <c r="D183" s="43" t="s">
        <v>874</v>
      </c>
      <c r="E183" s="21" t="s">
        <v>1522</v>
      </c>
      <c r="F183" s="22"/>
      <c r="G183" s="22" t="s">
        <v>739</v>
      </c>
      <c r="H183" s="22" t="s">
        <v>1516</v>
      </c>
      <c r="I183" s="68">
        <v>2435</v>
      </c>
      <c r="J183" s="26" t="s">
        <v>82</v>
      </c>
      <c r="K183" s="110">
        <v>3</v>
      </c>
      <c r="L183" s="218" t="s">
        <v>1761</v>
      </c>
      <c r="M183" s="272" t="s">
        <v>2691</v>
      </c>
    </row>
    <row r="184" spans="1:14" ht="18" customHeight="1">
      <c r="A184" s="21" t="s">
        <v>512</v>
      </c>
      <c r="B184" s="21" t="s">
        <v>103</v>
      </c>
      <c r="C184" s="106" t="s">
        <v>995</v>
      </c>
      <c r="D184" s="43" t="s">
        <v>322</v>
      </c>
      <c r="E184" s="21" t="s">
        <v>1522</v>
      </c>
      <c r="F184" s="22"/>
      <c r="G184" s="22" t="s">
        <v>739</v>
      </c>
      <c r="H184" s="22" t="s">
        <v>1516</v>
      </c>
      <c r="I184" s="68" t="s">
        <v>440</v>
      </c>
      <c r="J184" s="26" t="s">
        <v>1654</v>
      </c>
      <c r="K184" s="110">
        <v>1</v>
      </c>
      <c r="L184" s="218" t="s">
        <v>1761</v>
      </c>
      <c r="M184" s="272" t="s">
        <v>2691</v>
      </c>
    </row>
    <row r="185" spans="1:14" ht="35.450000000000003" customHeight="1">
      <c r="A185" s="56"/>
      <c r="B185" s="56"/>
      <c r="C185" s="56"/>
      <c r="D185" s="56"/>
      <c r="E185" s="56"/>
      <c r="F185" s="143"/>
      <c r="G185" s="56"/>
      <c r="H185" s="56"/>
      <c r="I185" s="129"/>
      <c r="J185" s="127"/>
      <c r="K185" s="130"/>
      <c r="L185" s="130"/>
      <c r="M185" s="178"/>
    </row>
    <row r="186" spans="1:14" ht="18" customHeight="1" thickBot="1">
      <c r="A186" s="325" t="s">
        <v>2654</v>
      </c>
      <c r="B186" s="326"/>
      <c r="C186" s="327"/>
      <c r="D186" s="326"/>
      <c r="E186" s="326"/>
      <c r="F186" s="326"/>
      <c r="G186" s="326"/>
      <c r="H186" s="326"/>
      <c r="I186" s="326"/>
      <c r="J186" s="326"/>
      <c r="K186" s="221"/>
      <c r="L186" s="126"/>
      <c r="M186" s="289"/>
    </row>
    <row r="187" spans="1:14" ht="18" customHeight="1" thickBot="1">
      <c r="A187" s="14" t="s">
        <v>668</v>
      </c>
      <c r="B187" s="15" t="s">
        <v>84</v>
      </c>
      <c r="C187" s="214" t="s">
        <v>952</v>
      </c>
      <c r="D187" s="99" t="s">
        <v>169</v>
      </c>
      <c r="E187" s="16" t="s">
        <v>387</v>
      </c>
      <c r="F187" s="17" t="s">
        <v>1421</v>
      </c>
      <c r="G187" s="18" t="s">
        <v>617</v>
      </c>
      <c r="H187" s="18" t="s">
        <v>1148</v>
      </c>
      <c r="I187" s="18" t="s">
        <v>1148</v>
      </c>
      <c r="J187" s="72" t="s">
        <v>1420</v>
      </c>
      <c r="K187" s="18" t="s">
        <v>1103</v>
      </c>
      <c r="L187" s="126"/>
      <c r="M187" s="289"/>
    </row>
    <row r="188" spans="1:14" ht="33">
      <c r="A188" s="125" t="s">
        <v>734</v>
      </c>
      <c r="B188" s="125"/>
      <c r="C188" s="251" t="s">
        <v>1077</v>
      </c>
      <c r="D188" s="123" t="s">
        <v>263</v>
      </c>
      <c r="E188" s="125" t="s">
        <v>1522</v>
      </c>
      <c r="F188" s="131" t="s">
        <v>540</v>
      </c>
      <c r="G188" s="131" t="s">
        <v>463</v>
      </c>
      <c r="H188" s="131" t="s">
        <v>283</v>
      </c>
      <c r="I188" s="145">
        <v>1090</v>
      </c>
      <c r="J188" s="134" t="s">
        <v>313</v>
      </c>
      <c r="K188" s="131" t="s">
        <v>753</v>
      </c>
      <c r="L188" s="126"/>
      <c r="M188" s="272" t="s">
        <v>2663</v>
      </c>
    </row>
    <row r="189" spans="1:14" ht="33">
      <c r="A189" s="125" t="s">
        <v>526</v>
      </c>
      <c r="B189" s="125" t="s">
        <v>881</v>
      </c>
      <c r="C189" s="251" t="s">
        <v>216</v>
      </c>
      <c r="D189" s="123" t="s">
        <v>1722</v>
      </c>
      <c r="E189" s="125" t="s">
        <v>1522</v>
      </c>
      <c r="F189" s="131" t="s">
        <v>540</v>
      </c>
      <c r="G189" s="131" t="s">
        <v>463</v>
      </c>
      <c r="H189" s="131" t="s">
        <v>283</v>
      </c>
      <c r="I189" s="145">
        <v>1090</v>
      </c>
      <c r="J189" s="134" t="s">
        <v>313</v>
      </c>
      <c r="K189" s="131" t="s">
        <v>753</v>
      </c>
      <c r="L189" s="126"/>
      <c r="M189" s="272" t="s">
        <v>2663</v>
      </c>
    </row>
    <row r="190" spans="1:14" ht="16.5">
      <c r="A190" s="146" t="s">
        <v>747</v>
      </c>
      <c r="B190" s="146"/>
      <c r="C190" s="256" t="s">
        <v>1137</v>
      </c>
      <c r="D190" s="266"/>
      <c r="E190" s="146" t="s">
        <v>1522</v>
      </c>
      <c r="F190" s="148" t="s">
        <v>1332</v>
      </c>
      <c r="G190" s="148" t="s">
        <v>1195</v>
      </c>
      <c r="H190" s="257" t="s">
        <v>1098</v>
      </c>
      <c r="I190" s="148" t="s">
        <v>1528</v>
      </c>
      <c r="J190" s="267" t="s">
        <v>2662</v>
      </c>
      <c r="K190" s="148" t="s">
        <v>753</v>
      </c>
      <c r="L190" s="126"/>
      <c r="M190" s="272"/>
    </row>
    <row r="191" spans="1:14" ht="33">
      <c r="A191" s="125" t="s">
        <v>50</v>
      </c>
      <c r="B191" s="125"/>
      <c r="C191" s="256" t="s">
        <v>957</v>
      </c>
      <c r="D191" s="123" t="s">
        <v>2659</v>
      </c>
      <c r="E191" s="125" t="s">
        <v>1522</v>
      </c>
      <c r="F191" s="131"/>
      <c r="G191" s="131" t="s">
        <v>1195</v>
      </c>
      <c r="H191" s="257" t="s">
        <v>455</v>
      </c>
      <c r="I191" s="131" t="s">
        <v>440</v>
      </c>
      <c r="J191" s="134" t="s">
        <v>2660</v>
      </c>
      <c r="K191" s="131" t="s">
        <v>753</v>
      </c>
      <c r="L191" s="126"/>
      <c r="M191" s="289"/>
    </row>
    <row r="192" spans="1:14" ht="16.5">
      <c r="A192" s="125" t="s">
        <v>235</v>
      </c>
      <c r="B192" s="265"/>
      <c r="C192" s="256" t="s">
        <v>2657</v>
      </c>
      <c r="D192" s="123"/>
      <c r="E192" s="125" t="s">
        <v>1522</v>
      </c>
      <c r="F192" s="131" t="s">
        <v>1330</v>
      </c>
      <c r="G192" s="131" t="s">
        <v>1195</v>
      </c>
      <c r="H192" s="257" t="s">
        <v>1547</v>
      </c>
      <c r="I192" s="131" t="s">
        <v>2655</v>
      </c>
      <c r="J192" s="134" t="s">
        <v>2661</v>
      </c>
      <c r="K192" s="131" t="s">
        <v>753</v>
      </c>
      <c r="L192" s="126"/>
      <c r="M192" s="289"/>
    </row>
    <row r="193" spans="1:13" ht="18" customHeight="1">
      <c r="A193" s="125" t="s">
        <v>1100</v>
      </c>
      <c r="B193" s="125" t="s">
        <v>885</v>
      </c>
      <c r="C193" s="256" t="s">
        <v>884</v>
      </c>
      <c r="D193" s="123"/>
      <c r="E193" s="125" t="s">
        <v>1522</v>
      </c>
      <c r="F193" s="131"/>
      <c r="G193" s="131" t="s">
        <v>463</v>
      </c>
      <c r="H193" s="131" t="s">
        <v>915</v>
      </c>
      <c r="I193" s="133">
        <v>1080</v>
      </c>
      <c r="J193" s="134" t="s">
        <v>2639</v>
      </c>
      <c r="K193" s="131" t="s">
        <v>753</v>
      </c>
      <c r="L193" s="126"/>
      <c r="M193" s="272"/>
    </row>
    <row r="194" spans="1:13" ht="18" customHeight="1">
      <c r="A194" s="125" t="s">
        <v>368</v>
      </c>
      <c r="B194" s="125" t="s">
        <v>119</v>
      </c>
      <c r="C194" s="256" t="s">
        <v>2623</v>
      </c>
      <c r="D194" s="123" t="s">
        <v>2624</v>
      </c>
      <c r="E194" s="125" t="s">
        <v>1522</v>
      </c>
      <c r="F194" s="131"/>
      <c r="G194" s="257" t="s">
        <v>463</v>
      </c>
      <c r="H194" s="131" t="s">
        <v>300</v>
      </c>
      <c r="I194" s="133">
        <v>1405</v>
      </c>
      <c r="J194" s="134" t="s">
        <v>2625</v>
      </c>
      <c r="K194" s="131" t="s">
        <v>638</v>
      </c>
      <c r="L194" s="126"/>
      <c r="M194" s="289"/>
    </row>
    <row r="195" spans="1:13" ht="16.5">
      <c r="A195" s="125" t="s">
        <v>443</v>
      </c>
      <c r="B195" s="125" t="s">
        <v>119</v>
      </c>
      <c r="C195" s="256" t="s">
        <v>1004</v>
      </c>
      <c r="D195" s="123" t="s">
        <v>2626</v>
      </c>
      <c r="E195" s="125" t="s">
        <v>1522</v>
      </c>
      <c r="F195" s="131"/>
      <c r="G195" s="257" t="s">
        <v>463</v>
      </c>
      <c r="H195" s="131" t="s">
        <v>300</v>
      </c>
      <c r="I195" s="133">
        <v>1410</v>
      </c>
      <c r="J195" s="134" t="s">
        <v>689</v>
      </c>
      <c r="K195" s="131" t="s">
        <v>753</v>
      </c>
      <c r="L195" s="126"/>
      <c r="M195" s="289"/>
    </row>
    <row r="196" spans="1:13" ht="16.5">
      <c r="A196" s="125" t="s">
        <v>443</v>
      </c>
      <c r="B196" s="125" t="s">
        <v>119</v>
      </c>
      <c r="C196" s="256" t="s">
        <v>1004</v>
      </c>
      <c r="D196" s="123" t="s">
        <v>2628</v>
      </c>
      <c r="E196" s="125" t="s">
        <v>1522</v>
      </c>
      <c r="F196" s="131"/>
      <c r="G196" s="257" t="s">
        <v>463</v>
      </c>
      <c r="H196" s="131" t="s">
        <v>300</v>
      </c>
      <c r="I196" s="133">
        <v>1415</v>
      </c>
      <c r="J196" s="134" t="s">
        <v>2627</v>
      </c>
      <c r="K196" s="131" t="s">
        <v>638</v>
      </c>
      <c r="L196" s="126"/>
      <c r="M196" s="289"/>
    </row>
    <row r="197" spans="1:13" ht="16.5">
      <c r="A197" s="125" t="s">
        <v>2666</v>
      </c>
      <c r="B197" s="125" t="s">
        <v>2667</v>
      </c>
      <c r="C197" s="256" t="s">
        <v>2665</v>
      </c>
      <c r="D197" s="123"/>
      <c r="E197" s="125" t="s">
        <v>1522</v>
      </c>
      <c r="F197" s="131"/>
      <c r="G197" s="131" t="s">
        <v>463</v>
      </c>
      <c r="H197" s="131" t="s">
        <v>2640</v>
      </c>
      <c r="I197" s="133">
        <v>1010</v>
      </c>
      <c r="J197" s="134" t="s">
        <v>2641</v>
      </c>
      <c r="K197" s="131" t="s">
        <v>753</v>
      </c>
      <c r="L197" s="126"/>
      <c r="M197" s="289"/>
    </row>
    <row r="198" spans="1:13" ht="49.5">
      <c r="A198" s="125" t="s">
        <v>312</v>
      </c>
      <c r="B198" s="125" t="s">
        <v>1450</v>
      </c>
      <c r="C198" s="256" t="s">
        <v>1131</v>
      </c>
      <c r="D198" s="123" t="s">
        <v>2658</v>
      </c>
      <c r="E198" s="125" t="s">
        <v>1522</v>
      </c>
      <c r="F198" s="131"/>
      <c r="G198" s="131" t="s">
        <v>463</v>
      </c>
      <c r="H198" s="131" t="s">
        <v>702</v>
      </c>
      <c r="I198" s="133">
        <v>1145</v>
      </c>
      <c r="J198" s="134" t="s">
        <v>2642</v>
      </c>
      <c r="K198" s="131" t="s">
        <v>638</v>
      </c>
      <c r="L198" s="126"/>
      <c r="M198" s="289"/>
    </row>
    <row r="199" spans="1:13" ht="16.5">
      <c r="A199" s="125" t="s">
        <v>1539</v>
      </c>
      <c r="B199" s="125"/>
      <c r="C199" s="256" t="s">
        <v>1425</v>
      </c>
      <c r="D199" s="123" t="s">
        <v>2671</v>
      </c>
      <c r="E199" s="125" t="s">
        <v>1522</v>
      </c>
      <c r="F199" s="131" t="s">
        <v>1331</v>
      </c>
      <c r="G199" s="131" t="s">
        <v>1262</v>
      </c>
      <c r="H199" s="131" t="s">
        <v>2669</v>
      </c>
      <c r="I199" s="133">
        <v>1120</v>
      </c>
      <c r="J199" s="134" t="s">
        <v>2670</v>
      </c>
      <c r="K199" s="131" t="s">
        <v>753</v>
      </c>
      <c r="L199" s="126"/>
      <c r="M199" s="289"/>
    </row>
    <row r="200" spans="1:13" ht="16.5">
      <c r="A200" s="125" t="s">
        <v>2644</v>
      </c>
      <c r="B200" s="125" t="s">
        <v>2664</v>
      </c>
      <c r="C200" s="256" t="s">
        <v>2645</v>
      </c>
      <c r="D200" s="123"/>
      <c r="E200" s="125" t="s">
        <v>1522</v>
      </c>
      <c r="F200" s="131"/>
      <c r="G200" s="131" t="s">
        <v>551</v>
      </c>
      <c r="H200" s="257" t="s">
        <v>1693</v>
      </c>
      <c r="I200" s="131" t="s">
        <v>1548</v>
      </c>
      <c r="J200" s="134" t="s">
        <v>2643</v>
      </c>
      <c r="K200" s="131" t="s">
        <v>637</v>
      </c>
      <c r="L200" s="126"/>
      <c r="M200" s="289"/>
    </row>
    <row r="201" spans="1:13" ht="33">
      <c r="A201" s="125" t="s">
        <v>505</v>
      </c>
      <c r="B201" s="125" t="s">
        <v>99</v>
      </c>
      <c r="C201" s="256" t="s">
        <v>1884</v>
      </c>
      <c r="D201" s="123" t="s">
        <v>2678</v>
      </c>
      <c r="E201" s="125"/>
      <c r="F201" s="131"/>
      <c r="G201" s="257" t="s">
        <v>1586</v>
      </c>
      <c r="H201" s="131" t="s">
        <v>286</v>
      </c>
      <c r="I201" s="133">
        <v>2010</v>
      </c>
      <c r="J201" s="134" t="s">
        <v>2677</v>
      </c>
      <c r="K201" s="131" t="s">
        <v>753</v>
      </c>
      <c r="L201" s="126"/>
      <c r="M201" s="289"/>
    </row>
    <row r="202" spans="1:13" ht="16.5">
      <c r="A202" s="125" t="s">
        <v>1621</v>
      </c>
      <c r="B202" s="125"/>
      <c r="C202" s="256" t="s">
        <v>2668</v>
      </c>
      <c r="D202" s="123" t="s">
        <v>2687</v>
      </c>
      <c r="E202" s="125"/>
      <c r="F202" s="131"/>
      <c r="G202" s="131" t="s">
        <v>739</v>
      </c>
      <c r="H202" s="257" t="s">
        <v>437</v>
      </c>
      <c r="I202" s="131" t="s">
        <v>1093</v>
      </c>
      <c r="J202" s="134" t="s">
        <v>2656</v>
      </c>
      <c r="K202" s="131" t="s">
        <v>642</v>
      </c>
      <c r="L202" s="126"/>
      <c r="M202" s="289"/>
    </row>
    <row r="203" spans="1:13" ht="18" customHeight="1">
      <c r="A203" s="138"/>
      <c r="B203" s="54"/>
      <c r="C203" s="215"/>
      <c r="D203" s="13"/>
      <c r="E203" s="54"/>
      <c r="F203" s="56"/>
      <c r="G203" s="216"/>
      <c r="H203" s="56"/>
      <c r="I203" s="129"/>
      <c r="J203" s="127"/>
      <c r="K203" s="130"/>
      <c r="L203" s="126"/>
      <c r="M203" s="289"/>
    </row>
    <row r="204" spans="1:13" ht="18" customHeight="1" thickBot="1">
      <c r="A204" s="305" t="s">
        <v>2613</v>
      </c>
      <c r="B204" s="306"/>
      <c r="C204" s="307"/>
      <c r="D204" s="306"/>
      <c r="E204" s="306"/>
      <c r="F204" s="306"/>
      <c r="G204" s="306"/>
      <c r="H204" s="306"/>
      <c r="I204" s="306"/>
      <c r="J204" s="306"/>
      <c r="K204" s="221"/>
      <c r="L204" s="126"/>
      <c r="M204" s="289"/>
    </row>
    <row r="205" spans="1:13" ht="18" customHeight="1" thickBot="1">
      <c r="A205" s="14" t="s">
        <v>668</v>
      </c>
      <c r="B205" s="15" t="s">
        <v>84</v>
      </c>
      <c r="C205" s="214" t="s">
        <v>952</v>
      </c>
      <c r="D205" s="99" t="s">
        <v>1848</v>
      </c>
      <c r="E205" s="16" t="s">
        <v>387</v>
      </c>
      <c r="F205" s="17" t="s">
        <v>1421</v>
      </c>
      <c r="G205" s="18" t="s">
        <v>617</v>
      </c>
      <c r="H205" s="18" t="s">
        <v>1148</v>
      </c>
      <c r="I205" s="18" t="s">
        <v>1148</v>
      </c>
      <c r="J205" s="72" t="s">
        <v>1420</v>
      </c>
      <c r="K205" s="18" t="s">
        <v>1103</v>
      </c>
      <c r="L205" s="126"/>
      <c r="M205" s="289"/>
    </row>
    <row r="206" spans="1:13" ht="18" customHeight="1">
      <c r="A206" s="139"/>
      <c r="B206" s="139"/>
      <c r="C206" s="140"/>
      <c r="D206" s="141" t="s">
        <v>2681</v>
      </c>
      <c r="E206" s="139"/>
      <c r="F206" s="139" t="s">
        <v>1331</v>
      </c>
      <c r="G206" s="217" t="s">
        <v>463</v>
      </c>
      <c r="H206" s="139" t="s">
        <v>1098</v>
      </c>
      <c r="I206" s="142">
        <v>1800</v>
      </c>
      <c r="J206" s="140" t="s">
        <v>2631</v>
      </c>
      <c r="K206" s="139" t="s">
        <v>753</v>
      </c>
      <c r="L206" s="126"/>
      <c r="M206" s="289"/>
    </row>
    <row r="207" spans="1:13" ht="18" customHeight="1">
      <c r="A207" s="139" t="s">
        <v>2629</v>
      </c>
      <c r="B207" s="139"/>
      <c r="C207" s="140" t="s">
        <v>2630</v>
      </c>
      <c r="D207" s="141" t="s">
        <v>2690</v>
      </c>
      <c r="E207" s="139" t="s">
        <v>1522</v>
      </c>
      <c r="F207" s="139" t="s">
        <v>1330</v>
      </c>
      <c r="G207" s="217" t="s">
        <v>1586</v>
      </c>
      <c r="H207" s="139" t="s">
        <v>1124</v>
      </c>
      <c r="I207" s="142">
        <v>1100</v>
      </c>
      <c r="J207" s="140" t="s">
        <v>2619</v>
      </c>
      <c r="K207" s="139" t="s">
        <v>753</v>
      </c>
      <c r="L207" s="126"/>
      <c r="M207" s="289"/>
    </row>
    <row r="208" spans="1:13" ht="18" customHeight="1">
      <c r="A208" s="1"/>
      <c r="B208" s="1"/>
      <c r="C208" s="1"/>
      <c r="D208" s="1"/>
      <c r="E208" s="1"/>
      <c r="F208" s="1"/>
      <c r="G208" s="1"/>
      <c r="H208" s="1"/>
      <c r="I208" s="1"/>
      <c r="J208" s="1"/>
      <c r="K208" s="1"/>
      <c r="L208" s="126"/>
      <c r="M208" s="289"/>
    </row>
    <row r="209" spans="1:13" s="3" customFormat="1" ht="17.25" thickBot="1">
      <c r="A209" s="305" t="s">
        <v>1907</v>
      </c>
      <c r="B209" s="306"/>
      <c r="C209" s="307"/>
      <c r="D209" s="306"/>
      <c r="E209" s="306"/>
      <c r="F209" s="306"/>
      <c r="G209" s="306"/>
      <c r="H209" s="306"/>
      <c r="I209" s="306"/>
      <c r="J209" s="306"/>
      <c r="K209" s="221"/>
      <c r="L209" s="126"/>
      <c r="M209" s="289"/>
    </row>
    <row r="210" spans="1:13" s="3" customFormat="1" ht="50.25" thickBot="1">
      <c r="A210" s="14" t="s">
        <v>668</v>
      </c>
      <c r="B210" s="15" t="s">
        <v>84</v>
      </c>
      <c r="C210" s="214" t="s">
        <v>952</v>
      </c>
      <c r="D210" s="99" t="s">
        <v>169</v>
      </c>
      <c r="E210" s="16" t="s">
        <v>387</v>
      </c>
      <c r="F210" s="17" t="s">
        <v>1421</v>
      </c>
      <c r="G210" s="18" t="s">
        <v>617</v>
      </c>
      <c r="H210" s="18" t="s">
        <v>1148</v>
      </c>
      <c r="I210" s="170" t="s">
        <v>953</v>
      </c>
      <c r="J210" s="72" t="s">
        <v>1420</v>
      </c>
      <c r="K210" s="117" t="s">
        <v>1103</v>
      </c>
      <c r="L210" s="171" t="s">
        <v>1758</v>
      </c>
      <c r="M210" s="272" t="s">
        <v>1908</v>
      </c>
    </row>
    <row r="211" spans="1:13" s="3" customFormat="1" ht="16.5">
      <c r="A211" s="188"/>
      <c r="B211" s="188"/>
      <c r="C211" s="185"/>
      <c r="D211" s="188"/>
      <c r="E211" s="188"/>
      <c r="F211" s="188"/>
      <c r="G211" s="188"/>
      <c r="H211" s="188"/>
      <c r="I211" s="188"/>
      <c r="J211" s="188"/>
      <c r="K211" s="188"/>
      <c r="L211" s="188"/>
      <c r="M211" s="272"/>
    </row>
    <row r="212" spans="1:13" s="3" customFormat="1" ht="16.5">
      <c r="A212" s="21" t="s">
        <v>550</v>
      </c>
      <c r="B212" s="21" t="s">
        <v>89</v>
      </c>
      <c r="C212" s="28" t="s">
        <v>1147</v>
      </c>
      <c r="D212" s="43"/>
      <c r="E212" s="21" t="s">
        <v>1522</v>
      </c>
      <c r="F212" s="22"/>
      <c r="G212" s="122" t="s">
        <v>1526</v>
      </c>
      <c r="H212" s="122" t="s">
        <v>435</v>
      </c>
      <c r="I212" s="67">
        <v>1111</v>
      </c>
      <c r="J212" s="26" t="s">
        <v>1363</v>
      </c>
      <c r="K212" s="24">
        <v>3</v>
      </c>
      <c r="L212" s="218" t="s">
        <v>1760</v>
      </c>
      <c r="M212" s="172"/>
    </row>
    <row r="213" spans="1:13" s="3" customFormat="1" ht="16.5">
      <c r="A213" s="21" t="s">
        <v>744</v>
      </c>
      <c r="B213" s="21"/>
      <c r="C213" s="28" t="s">
        <v>1422</v>
      </c>
      <c r="D213" s="43"/>
      <c r="E213" s="21" t="s">
        <v>1522</v>
      </c>
      <c r="F213" s="22" t="s">
        <v>1329</v>
      </c>
      <c r="G213" s="122" t="s">
        <v>1526</v>
      </c>
      <c r="H213" s="22" t="s">
        <v>1527</v>
      </c>
      <c r="I213" s="199">
        <v>1010</v>
      </c>
      <c r="J213" s="26" t="s">
        <v>1216</v>
      </c>
      <c r="K213" s="23">
        <v>3</v>
      </c>
      <c r="L213" s="218" t="s">
        <v>1760</v>
      </c>
      <c r="M213" s="172"/>
    </row>
    <row r="214" spans="1:13" s="3" customFormat="1" ht="16.5">
      <c r="A214" s="21" t="s">
        <v>386</v>
      </c>
      <c r="B214" s="21"/>
      <c r="C214" s="28" t="s">
        <v>816</v>
      </c>
      <c r="D214" s="43" t="s">
        <v>1751</v>
      </c>
      <c r="E214" s="21" t="s">
        <v>1521</v>
      </c>
      <c r="F214" s="22" t="s">
        <v>1330</v>
      </c>
      <c r="G214" s="122" t="s">
        <v>1526</v>
      </c>
      <c r="H214" s="22" t="s">
        <v>1529</v>
      </c>
      <c r="I214" s="199">
        <v>1010</v>
      </c>
      <c r="J214" s="25" t="s">
        <v>834</v>
      </c>
      <c r="K214" s="23">
        <v>3</v>
      </c>
      <c r="L214" s="218" t="s">
        <v>1759</v>
      </c>
      <c r="M214" s="178" t="s">
        <v>1368</v>
      </c>
    </row>
    <row r="215" spans="1:13" s="3" customFormat="1" ht="16.5">
      <c r="A215" s="45" t="s">
        <v>55</v>
      </c>
      <c r="B215" s="45"/>
      <c r="C215" s="28" t="s">
        <v>969</v>
      </c>
      <c r="D215" s="43"/>
      <c r="E215" s="21" t="s">
        <v>1521</v>
      </c>
      <c r="F215" s="22"/>
      <c r="G215" s="122" t="s">
        <v>1526</v>
      </c>
      <c r="H215" s="22" t="s">
        <v>1529</v>
      </c>
      <c r="I215" s="199">
        <v>1110</v>
      </c>
      <c r="J215" s="26" t="s">
        <v>352</v>
      </c>
      <c r="K215" s="23">
        <v>3</v>
      </c>
      <c r="L215" s="218" t="s">
        <v>1759</v>
      </c>
      <c r="M215" s="178"/>
    </row>
    <row r="216" spans="1:13" s="3" customFormat="1" ht="16.5">
      <c r="A216" s="21" t="s">
        <v>57</v>
      </c>
      <c r="B216" s="21"/>
      <c r="C216" s="28" t="s">
        <v>817</v>
      </c>
      <c r="D216" s="43"/>
      <c r="E216" s="21" t="s">
        <v>1521</v>
      </c>
      <c r="F216" s="22"/>
      <c r="G216" s="122" t="s">
        <v>1526</v>
      </c>
      <c r="H216" s="22" t="s">
        <v>1529</v>
      </c>
      <c r="I216" s="67">
        <v>1410</v>
      </c>
      <c r="J216" s="26" t="s">
        <v>835</v>
      </c>
      <c r="K216" s="23">
        <v>3</v>
      </c>
      <c r="L216" s="218" t="s">
        <v>1759</v>
      </c>
      <c r="M216" s="178"/>
    </row>
    <row r="217" spans="1:13" s="3" customFormat="1" ht="16.5">
      <c r="A217" s="21" t="s">
        <v>58</v>
      </c>
      <c r="B217" s="21"/>
      <c r="C217" s="28" t="s">
        <v>972</v>
      </c>
      <c r="D217" s="43"/>
      <c r="E217" s="21" t="s">
        <v>1521</v>
      </c>
      <c r="F217" s="22"/>
      <c r="G217" s="122" t="s">
        <v>1526</v>
      </c>
      <c r="H217" s="22" t="s">
        <v>1529</v>
      </c>
      <c r="I217" s="67">
        <v>1420</v>
      </c>
      <c r="J217" s="26" t="s">
        <v>876</v>
      </c>
      <c r="K217" s="23">
        <v>3</v>
      </c>
      <c r="L217" s="218" t="s">
        <v>1760</v>
      </c>
      <c r="M217" s="178"/>
    </row>
    <row r="218" spans="1:13" s="3" customFormat="1" ht="16.5">
      <c r="A218" s="21" t="s">
        <v>967</v>
      </c>
      <c r="B218" s="21"/>
      <c r="C218" s="28" t="s">
        <v>968</v>
      </c>
      <c r="D218" s="43"/>
      <c r="E218" s="21" t="s">
        <v>1521</v>
      </c>
      <c r="F218" s="22"/>
      <c r="G218" s="122" t="s">
        <v>1526</v>
      </c>
      <c r="H218" s="22" t="s">
        <v>1529</v>
      </c>
      <c r="I218" s="67">
        <v>2110</v>
      </c>
      <c r="J218" s="26" t="s">
        <v>351</v>
      </c>
      <c r="K218" s="23">
        <v>3</v>
      </c>
      <c r="L218" s="218" t="s">
        <v>1760</v>
      </c>
      <c r="M218" s="178"/>
    </row>
    <row r="219" spans="1:13" s="3" customFormat="1" ht="16.5">
      <c r="A219" s="21" t="s">
        <v>2577</v>
      </c>
      <c r="B219" s="21" t="s">
        <v>2571</v>
      </c>
      <c r="C219" s="101" t="s">
        <v>2572</v>
      </c>
      <c r="D219" s="187"/>
      <c r="E219" s="21" t="s">
        <v>1522</v>
      </c>
      <c r="F219" s="22"/>
      <c r="G219" s="122" t="s">
        <v>1526</v>
      </c>
      <c r="H219" s="122" t="s">
        <v>1530</v>
      </c>
      <c r="I219" s="67">
        <v>1000</v>
      </c>
      <c r="J219" s="26" t="s">
        <v>1662</v>
      </c>
      <c r="K219" s="24">
        <v>4</v>
      </c>
      <c r="L219" s="218" t="s">
        <v>1760</v>
      </c>
      <c r="M219" s="204"/>
    </row>
    <row r="220" spans="1:13" s="3" customFormat="1" ht="16.5">
      <c r="A220" s="21" t="s">
        <v>2578</v>
      </c>
      <c r="B220" s="21" t="s">
        <v>2573</v>
      </c>
      <c r="C220" s="101" t="s">
        <v>2574</v>
      </c>
      <c r="D220" s="187"/>
      <c r="E220" s="21" t="s">
        <v>1522</v>
      </c>
      <c r="F220" s="22"/>
      <c r="G220" s="122" t="s">
        <v>1526</v>
      </c>
      <c r="H220" s="122" t="s">
        <v>1530</v>
      </c>
      <c r="I220" s="67">
        <v>1400</v>
      </c>
      <c r="J220" s="26" t="s">
        <v>1663</v>
      </c>
      <c r="K220" s="24">
        <v>3</v>
      </c>
      <c r="L220" s="218" t="s">
        <v>1760</v>
      </c>
      <c r="M220" s="204"/>
    </row>
    <row r="221" spans="1:13" s="3" customFormat="1" ht="16.5">
      <c r="A221" s="21" t="s">
        <v>2578</v>
      </c>
      <c r="B221" s="21" t="s">
        <v>2573</v>
      </c>
      <c r="C221" s="101" t="s">
        <v>2574</v>
      </c>
      <c r="D221" s="187"/>
      <c r="E221" s="21" t="s">
        <v>1522</v>
      </c>
      <c r="F221" s="22"/>
      <c r="G221" s="122" t="s">
        <v>1526</v>
      </c>
      <c r="H221" s="122" t="s">
        <v>1530</v>
      </c>
      <c r="I221" s="67">
        <v>1405</v>
      </c>
      <c r="J221" s="26" t="s">
        <v>1664</v>
      </c>
      <c r="K221" s="24">
        <v>3</v>
      </c>
      <c r="L221" s="218" t="s">
        <v>1760</v>
      </c>
      <c r="M221" s="204"/>
    </row>
    <row r="222" spans="1:13" s="3" customFormat="1" ht="16.5">
      <c r="A222" s="21" t="s">
        <v>2579</v>
      </c>
      <c r="B222" s="21" t="s">
        <v>2575</v>
      </c>
      <c r="C222" s="101" t="s">
        <v>2576</v>
      </c>
      <c r="D222" s="187"/>
      <c r="E222" s="21" t="s">
        <v>1522</v>
      </c>
      <c r="F222" s="22"/>
      <c r="G222" s="122" t="s">
        <v>1526</v>
      </c>
      <c r="H222" s="22" t="s">
        <v>1530</v>
      </c>
      <c r="I222" s="67">
        <v>1500</v>
      </c>
      <c r="J222" s="26" t="s">
        <v>1655</v>
      </c>
      <c r="K222" s="24">
        <v>3</v>
      </c>
      <c r="L222" s="218" t="s">
        <v>1760</v>
      </c>
      <c r="M222" s="204"/>
    </row>
    <row r="223" spans="1:13" s="3" customFormat="1" ht="16.5">
      <c r="A223" s="21" t="s">
        <v>2579</v>
      </c>
      <c r="B223" s="21" t="s">
        <v>2575</v>
      </c>
      <c r="C223" s="101" t="s">
        <v>2576</v>
      </c>
      <c r="D223" s="187"/>
      <c r="E223" s="21" t="s">
        <v>1522</v>
      </c>
      <c r="F223" s="22"/>
      <c r="G223" s="122" t="s">
        <v>1526</v>
      </c>
      <c r="H223" s="22" t="s">
        <v>1530</v>
      </c>
      <c r="I223" s="67">
        <v>1505</v>
      </c>
      <c r="J223" s="26" t="s">
        <v>1656</v>
      </c>
      <c r="K223" s="24">
        <v>2</v>
      </c>
      <c r="L223" s="218" t="s">
        <v>1760</v>
      </c>
      <c r="M223" s="204"/>
    </row>
    <row r="224" spans="1:13" s="3" customFormat="1" ht="16.5">
      <c r="A224" s="21" t="s">
        <v>362</v>
      </c>
      <c r="B224" s="21" t="s">
        <v>564</v>
      </c>
      <c r="C224" s="106" t="s">
        <v>2610</v>
      </c>
      <c r="D224" s="43"/>
      <c r="E224" s="21" t="s">
        <v>1522</v>
      </c>
      <c r="F224" s="22"/>
      <c r="G224" s="122" t="s">
        <v>1526</v>
      </c>
      <c r="H224" s="22" t="s">
        <v>1533</v>
      </c>
      <c r="I224" s="67">
        <v>1010</v>
      </c>
      <c r="J224" s="26" t="s">
        <v>773</v>
      </c>
      <c r="K224" s="24">
        <v>1</v>
      </c>
      <c r="L224" s="218" t="s">
        <v>1760</v>
      </c>
      <c r="M224" s="204"/>
    </row>
    <row r="225" spans="1:13" s="3" customFormat="1" ht="16.5">
      <c r="A225" s="21" t="s">
        <v>362</v>
      </c>
      <c r="B225" s="21" t="s">
        <v>564</v>
      </c>
      <c r="C225" s="106" t="s">
        <v>2610</v>
      </c>
      <c r="D225" s="43"/>
      <c r="E225" s="21" t="s">
        <v>1522</v>
      </c>
      <c r="F225" s="22"/>
      <c r="G225" s="122" t="s">
        <v>1526</v>
      </c>
      <c r="H225" s="22" t="s">
        <v>1533</v>
      </c>
      <c r="I225" s="67">
        <v>2030</v>
      </c>
      <c r="J225" s="26" t="s">
        <v>1361</v>
      </c>
      <c r="K225" s="23">
        <v>3</v>
      </c>
      <c r="L225" s="218" t="s">
        <v>1760</v>
      </c>
      <c r="M225" s="204"/>
    </row>
    <row r="226" spans="1:13" s="3" customFormat="1" ht="16.5">
      <c r="A226" s="21" t="s">
        <v>362</v>
      </c>
      <c r="B226" s="21" t="s">
        <v>564</v>
      </c>
      <c r="C226" s="106" t="s">
        <v>2610</v>
      </c>
      <c r="D226" s="43"/>
      <c r="E226" s="21" t="s">
        <v>1522</v>
      </c>
      <c r="F226" s="22"/>
      <c r="G226" s="122" t="s">
        <v>1526</v>
      </c>
      <c r="H226" s="22" t="s">
        <v>1533</v>
      </c>
      <c r="I226" s="67">
        <v>2080</v>
      </c>
      <c r="J226" s="26" t="s">
        <v>937</v>
      </c>
      <c r="K226" s="23">
        <v>3</v>
      </c>
      <c r="L226" s="218" t="s">
        <v>1760</v>
      </c>
      <c r="M226" s="204"/>
    </row>
    <row r="227" spans="1:13" s="3" customFormat="1" ht="16.5">
      <c r="A227" s="21" t="s">
        <v>374</v>
      </c>
      <c r="B227" s="21" t="s">
        <v>573</v>
      </c>
      <c r="C227" s="28" t="s">
        <v>1661</v>
      </c>
      <c r="D227" s="43"/>
      <c r="E227" s="21" t="s">
        <v>1522</v>
      </c>
      <c r="F227" s="22"/>
      <c r="G227" s="122" t="s">
        <v>1526</v>
      </c>
      <c r="H227" s="122" t="s">
        <v>1533</v>
      </c>
      <c r="I227" s="67">
        <v>2125</v>
      </c>
      <c r="J227" s="26" t="s">
        <v>1660</v>
      </c>
      <c r="K227" s="24">
        <v>3</v>
      </c>
      <c r="L227" s="218" t="s">
        <v>1760</v>
      </c>
      <c r="M227" s="178"/>
    </row>
    <row r="228" spans="1:13" s="3" customFormat="1" ht="16.5">
      <c r="A228" s="21" t="s">
        <v>362</v>
      </c>
      <c r="B228" s="21" t="s">
        <v>564</v>
      </c>
      <c r="C228" s="106" t="s">
        <v>2610</v>
      </c>
      <c r="D228" s="43"/>
      <c r="E228" s="21" t="s">
        <v>1522</v>
      </c>
      <c r="F228" s="22"/>
      <c r="G228" s="122" t="s">
        <v>1526</v>
      </c>
      <c r="H228" s="22" t="s">
        <v>1533</v>
      </c>
      <c r="I228" s="67">
        <v>2130</v>
      </c>
      <c r="J228" s="26" t="s">
        <v>1217</v>
      </c>
      <c r="K228" s="23">
        <v>3</v>
      </c>
      <c r="L228" s="218" t="s">
        <v>1760</v>
      </c>
      <c r="M228" s="204"/>
    </row>
    <row r="229" spans="1:13" s="3" customFormat="1" ht="16.5">
      <c r="A229" s="21" t="s">
        <v>362</v>
      </c>
      <c r="B229" s="21" t="s">
        <v>564</v>
      </c>
      <c r="C229" s="106" t="s">
        <v>2610</v>
      </c>
      <c r="D229" s="43"/>
      <c r="E229" s="21" t="s">
        <v>1522</v>
      </c>
      <c r="F229" s="22"/>
      <c r="G229" s="122" t="s">
        <v>1526</v>
      </c>
      <c r="H229" s="22" t="s">
        <v>1533</v>
      </c>
      <c r="I229" s="67">
        <v>2170</v>
      </c>
      <c r="J229" s="26" t="s">
        <v>178</v>
      </c>
      <c r="K229" s="23">
        <v>3</v>
      </c>
      <c r="L229" s="218" t="s">
        <v>1760</v>
      </c>
      <c r="M229" s="204"/>
    </row>
    <row r="230" spans="1:13" s="3" customFormat="1" ht="16.5">
      <c r="A230" s="21" t="s">
        <v>511</v>
      </c>
      <c r="B230" s="21" t="s">
        <v>102</v>
      </c>
      <c r="C230" s="28" t="s">
        <v>994</v>
      </c>
      <c r="D230" s="43" t="s">
        <v>15</v>
      </c>
      <c r="E230" s="21" t="s">
        <v>1522</v>
      </c>
      <c r="F230" s="22"/>
      <c r="G230" s="122" t="s">
        <v>1526</v>
      </c>
      <c r="H230" s="22" t="s">
        <v>1362</v>
      </c>
      <c r="I230" s="67">
        <v>1300</v>
      </c>
      <c r="J230" s="26" t="s">
        <v>1218</v>
      </c>
      <c r="K230" s="23">
        <v>3</v>
      </c>
      <c r="L230" s="218" t="s">
        <v>1761</v>
      </c>
      <c r="M230" s="178"/>
    </row>
    <row r="231" spans="1:13" s="3" customFormat="1" ht="16.5">
      <c r="A231" s="21" t="s">
        <v>514</v>
      </c>
      <c r="B231" s="21" t="s">
        <v>106</v>
      </c>
      <c r="C231" s="28" t="s">
        <v>213</v>
      </c>
      <c r="D231" s="43" t="s">
        <v>16</v>
      </c>
      <c r="E231" s="21" t="s">
        <v>1522</v>
      </c>
      <c r="F231" s="22"/>
      <c r="G231" s="122" t="s">
        <v>1526</v>
      </c>
      <c r="H231" s="22" t="s">
        <v>1362</v>
      </c>
      <c r="I231" s="67">
        <v>1406</v>
      </c>
      <c r="J231" s="26" t="s">
        <v>1220</v>
      </c>
      <c r="K231" s="24">
        <v>2</v>
      </c>
      <c r="L231" s="218" t="s">
        <v>1775</v>
      </c>
      <c r="M231" s="178"/>
    </row>
    <row r="232" spans="1:13" s="3" customFormat="1" ht="16.5">
      <c r="A232" s="21" t="s">
        <v>504</v>
      </c>
      <c r="B232" s="21" t="s">
        <v>96</v>
      </c>
      <c r="C232" s="28" t="s">
        <v>990</v>
      </c>
      <c r="D232" s="43" t="s">
        <v>17</v>
      </c>
      <c r="E232" s="21" t="s">
        <v>1522</v>
      </c>
      <c r="F232" s="22"/>
      <c r="G232" s="122" t="s">
        <v>1526</v>
      </c>
      <c r="H232" s="22" t="s">
        <v>1362</v>
      </c>
      <c r="I232" s="67">
        <v>2430</v>
      </c>
      <c r="J232" s="26" t="s">
        <v>948</v>
      </c>
      <c r="K232" s="24">
        <v>2</v>
      </c>
      <c r="L232" s="218" t="s">
        <v>1775</v>
      </c>
      <c r="M232" s="178"/>
    </row>
    <row r="233" spans="1:13" s="3" customFormat="1" ht="16.5">
      <c r="A233" s="21" t="s">
        <v>734</v>
      </c>
      <c r="B233" s="222"/>
      <c r="C233" s="28" t="s">
        <v>1077</v>
      </c>
      <c r="D233" s="46" t="s">
        <v>1746</v>
      </c>
      <c r="E233" s="21" t="s">
        <v>1522</v>
      </c>
      <c r="F233" s="22" t="s">
        <v>540</v>
      </c>
      <c r="G233" s="122" t="s">
        <v>1526</v>
      </c>
      <c r="H233" s="22" t="s">
        <v>283</v>
      </c>
      <c r="I233" s="67">
        <v>1010</v>
      </c>
      <c r="J233" s="26" t="s">
        <v>537</v>
      </c>
      <c r="K233" s="23">
        <v>3</v>
      </c>
      <c r="L233" s="218" t="s">
        <v>1775</v>
      </c>
      <c r="M233" s="178"/>
    </row>
    <row r="234" spans="1:13" s="3" customFormat="1" ht="16.5">
      <c r="A234" s="21" t="s">
        <v>734</v>
      </c>
      <c r="B234" s="222"/>
      <c r="C234" s="28" t="s">
        <v>1077</v>
      </c>
      <c r="D234" s="43" t="s">
        <v>1745</v>
      </c>
      <c r="E234" s="21" t="s">
        <v>1522</v>
      </c>
      <c r="F234" s="22"/>
      <c r="G234" s="122" t="s">
        <v>1526</v>
      </c>
      <c r="H234" s="22" t="s">
        <v>283</v>
      </c>
      <c r="I234" s="67">
        <v>1015</v>
      </c>
      <c r="J234" s="26" t="s">
        <v>537</v>
      </c>
      <c r="K234" s="24">
        <v>3</v>
      </c>
      <c r="L234" s="218" t="s">
        <v>1775</v>
      </c>
      <c r="M234" s="178"/>
    </row>
    <row r="235" spans="1:13" s="3" customFormat="1" ht="16.5">
      <c r="A235" s="21" t="s">
        <v>233</v>
      </c>
      <c r="B235" s="21"/>
      <c r="C235" s="28" t="s">
        <v>214</v>
      </c>
      <c r="D235" s="43"/>
      <c r="E235" s="21" t="s">
        <v>1522</v>
      </c>
      <c r="F235" s="131" t="s">
        <v>540</v>
      </c>
      <c r="G235" s="122" t="s">
        <v>1526</v>
      </c>
      <c r="H235" s="22" t="s">
        <v>283</v>
      </c>
      <c r="I235" s="199">
        <v>1250</v>
      </c>
      <c r="J235" s="25" t="s">
        <v>1192</v>
      </c>
      <c r="K235" s="23">
        <v>3</v>
      </c>
      <c r="L235" s="218" t="s">
        <v>1759</v>
      </c>
      <c r="M235" s="178"/>
    </row>
    <row r="236" spans="1:13" s="3" customFormat="1" ht="16.5">
      <c r="A236" s="21" t="s">
        <v>603</v>
      </c>
      <c r="B236" s="222"/>
      <c r="C236" s="28" t="s">
        <v>215</v>
      </c>
      <c r="D236" s="43"/>
      <c r="E236" s="21" t="s">
        <v>1522</v>
      </c>
      <c r="F236" s="131" t="s">
        <v>540</v>
      </c>
      <c r="G236" s="122" t="s">
        <v>1526</v>
      </c>
      <c r="H236" s="22" t="s">
        <v>283</v>
      </c>
      <c r="I236" s="67">
        <v>1500</v>
      </c>
      <c r="J236" s="26" t="s">
        <v>1193</v>
      </c>
      <c r="K236" s="24">
        <v>3</v>
      </c>
      <c r="L236" s="218"/>
      <c r="M236" s="178"/>
    </row>
    <row r="237" spans="1:13" s="3" customFormat="1" ht="16.5">
      <c r="A237" s="21" t="s">
        <v>526</v>
      </c>
      <c r="B237" s="21" t="s">
        <v>881</v>
      </c>
      <c r="C237" s="28" t="s">
        <v>216</v>
      </c>
      <c r="D237" s="43"/>
      <c r="E237" s="21" t="s">
        <v>1522</v>
      </c>
      <c r="F237" s="131" t="s">
        <v>540</v>
      </c>
      <c r="G237" s="122" t="s">
        <v>1526</v>
      </c>
      <c r="H237" s="22" t="s">
        <v>283</v>
      </c>
      <c r="I237" s="67">
        <v>1500</v>
      </c>
      <c r="J237" s="26" t="s">
        <v>1193</v>
      </c>
      <c r="K237" s="24">
        <v>3</v>
      </c>
      <c r="L237" s="218" t="s">
        <v>1767</v>
      </c>
      <c r="M237" s="178"/>
    </row>
    <row r="238" spans="1:13" s="3" customFormat="1" ht="16.5">
      <c r="A238" s="21" t="s">
        <v>734</v>
      </c>
      <c r="B238" s="21"/>
      <c r="C238" s="28" t="s">
        <v>1077</v>
      </c>
      <c r="D238" s="43" t="s">
        <v>958</v>
      </c>
      <c r="E238" s="21" t="s">
        <v>1522</v>
      </c>
      <c r="F238" s="22" t="s">
        <v>540</v>
      </c>
      <c r="G238" s="122" t="s">
        <v>1526</v>
      </c>
      <c r="H238" s="22" t="s">
        <v>283</v>
      </c>
      <c r="I238" s="67">
        <v>1610</v>
      </c>
      <c r="J238" s="26" t="s">
        <v>538</v>
      </c>
      <c r="K238" s="23">
        <v>3</v>
      </c>
      <c r="L238" s="218" t="s">
        <v>1759</v>
      </c>
      <c r="M238" s="178"/>
    </row>
    <row r="239" spans="1:13" s="3" customFormat="1" ht="16.5">
      <c r="A239" s="45" t="s">
        <v>734</v>
      </c>
      <c r="B239" s="45"/>
      <c r="C239" s="28" t="s">
        <v>1077</v>
      </c>
      <c r="D239" s="43" t="s">
        <v>959</v>
      </c>
      <c r="E239" s="21" t="s">
        <v>1522</v>
      </c>
      <c r="F239" s="22"/>
      <c r="G239" s="122" t="s">
        <v>1526</v>
      </c>
      <c r="H239" s="22" t="s">
        <v>283</v>
      </c>
      <c r="I239" s="67">
        <v>1615</v>
      </c>
      <c r="J239" s="26" t="s">
        <v>125</v>
      </c>
      <c r="K239" s="24">
        <v>2</v>
      </c>
      <c r="L239" s="218"/>
      <c r="M239" s="178"/>
    </row>
    <row r="240" spans="1:13" s="3" customFormat="1" ht="33">
      <c r="A240" s="21" t="s">
        <v>734</v>
      </c>
      <c r="B240" s="21"/>
      <c r="C240" s="28" t="s">
        <v>1077</v>
      </c>
      <c r="D240" s="43" t="s">
        <v>960</v>
      </c>
      <c r="E240" s="21" t="s">
        <v>1522</v>
      </c>
      <c r="F240" s="22"/>
      <c r="G240" s="122" t="s">
        <v>1526</v>
      </c>
      <c r="H240" s="22" t="s">
        <v>283</v>
      </c>
      <c r="I240" s="67">
        <v>1620</v>
      </c>
      <c r="J240" s="26" t="s">
        <v>539</v>
      </c>
      <c r="K240" s="23">
        <v>3</v>
      </c>
      <c r="L240" s="218"/>
      <c r="M240" s="178"/>
    </row>
    <row r="241" spans="1:13" s="3" customFormat="1" ht="33">
      <c r="A241" s="45" t="s">
        <v>734</v>
      </c>
      <c r="B241" s="45"/>
      <c r="C241" s="28" t="s">
        <v>1077</v>
      </c>
      <c r="D241" s="43" t="s">
        <v>961</v>
      </c>
      <c r="E241" s="21" t="s">
        <v>1522</v>
      </c>
      <c r="F241" s="22"/>
      <c r="G241" s="122" t="s">
        <v>1526</v>
      </c>
      <c r="H241" s="22" t="s">
        <v>283</v>
      </c>
      <c r="I241" s="67">
        <v>1625</v>
      </c>
      <c r="J241" s="26" t="s">
        <v>126</v>
      </c>
      <c r="K241" s="24">
        <v>2</v>
      </c>
      <c r="L241" s="218"/>
      <c r="M241" s="178"/>
    </row>
    <row r="242" spans="1:13" s="3" customFormat="1" ht="16.5">
      <c r="A242" s="45" t="s">
        <v>734</v>
      </c>
      <c r="B242" s="45"/>
      <c r="C242" s="28" t="s">
        <v>1077</v>
      </c>
      <c r="D242" s="100"/>
      <c r="E242" s="21" t="s">
        <v>1522</v>
      </c>
      <c r="F242" s="22" t="s">
        <v>540</v>
      </c>
      <c r="G242" s="122" t="s">
        <v>1526</v>
      </c>
      <c r="H242" s="22" t="s">
        <v>283</v>
      </c>
      <c r="I242" s="67">
        <v>1800</v>
      </c>
      <c r="J242" s="26" t="s">
        <v>536</v>
      </c>
      <c r="K242" s="24">
        <v>3</v>
      </c>
      <c r="L242" s="218"/>
      <c r="M242" s="178"/>
    </row>
    <row r="243" spans="1:13" s="3" customFormat="1" ht="35.25" customHeight="1">
      <c r="A243" s="21" t="s">
        <v>233</v>
      </c>
      <c r="B243" s="21"/>
      <c r="C243" s="28" t="s">
        <v>214</v>
      </c>
      <c r="D243" s="43" t="s">
        <v>962</v>
      </c>
      <c r="E243" s="21" t="s">
        <v>1522</v>
      </c>
      <c r="F243" s="22"/>
      <c r="G243" s="122" t="s">
        <v>1526</v>
      </c>
      <c r="H243" s="22" t="s">
        <v>283</v>
      </c>
      <c r="I243" s="68">
        <v>2030</v>
      </c>
      <c r="J243" s="26" t="s">
        <v>1102</v>
      </c>
      <c r="K243" s="24">
        <v>3</v>
      </c>
      <c r="L243" s="218"/>
      <c r="M243" s="178"/>
    </row>
    <row r="244" spans="1:13" s="3" customFormat="1" ht="16.5" customHeight="1">
      <c r="A244" s="21" t="s">
        <v>233</v>
      </c>
      <c r="B244" s="21"/>
      <c r="C244" s="28" t="s">
        <v>214</v>
      </c>
      <c r="D244" s="43" t="s">
        <v>220</v>
      </c>
      <c r="E244" s="21" t="s">
        <v>1522</v>
      </c>
      <c r="F244" s="22"/>
      <c r="G244" s="122" t="s">
        <v>1526</v>
      </c>
      <c r="H244" s="22" t="s">
        <v>283</v>
      </c>
      <c r="I244" s="67">
        <v>2035</v>
      </c>
      <c r="J244" s="26" t="s">
        <v>1167</v>
      </c>
      <c r="K244" s="202">
        <v>1</v>
      </c>
      <c r="L244" s="218" t="s">
        <v>1767</v>
      </c>
      <c r="M244" s="178"/>
    </row>
    <row r="245" spans="1:13" s="3" customFormat="1" ht="16.5" customHeight="1">
      <c r="A245" s="21" t="s">
        <v>603</v>
      </c>
      <c r="B245" s="21"/>
      <c r="C245" s="28" t="s">
        <v>215</v>
      </c>
      <c r="D245" s="43" t="s">
        <v>221</v>
      </c>
      <c r="E245" s="21" t="s">
        <v>1522</v>
      </c>
      <c r="F245" s="22"/>
      <c r="G245" s="122" t="s">
        <v>1526</v>
      </c>
      <c r="H245" s="22" t="s">
        <v>283</v>
      </c>
      <c r="I245" s="67">
        <v>2320</v>
      </c>
      <c r="J245" s="25" t="s">
        <v>1106</v>
      </c>
      <c r="K245" s="112">
        <v>3</v>
      </c>
      <c r="L245" s="218"/>
      <c r="M245" s="178"/>
    </row>
    <row r="246" spans="1:13" s="3" customFormat="1" ht="16.5" customHeight="1">
      <c r="A246" s="21" t="s">
        <v>603</v>
      </c>
      <c r="B246" s="21"/>
      <c r="C246" s="28" t="s">
        <v>215</v>
      </c>
      <c r="D246" s="43" t="s">
        <v>396</v>
      </c>
      <c r="E246" s="21" t="s">
        <v>1522</v>
      </c>
      <c r="F246" s="22"/>
      <c r="G246" s="122" t="s">
        <v>1526</v>
      </c>
      <c r="H246" s="22" t="s">
        <v>283</v>
      </c>
      <c r="I246" s="67">
        <v>2325</v>
      </c>
      <c r="J246" s="25" t="s">
        <v>1108</v>
      </c>
      <c r="K246" s="112">
        <v>1</v>
      </c>
      <c r="L246" s="218" t="s">
        <v>1761</v>
      </c>
      <c r="M246" s="178"/>
    </row>
    <row r="247" spans="1:13" s="3" customFormat="1" ht="16.5" customHeight="1">
      <c r="A247" s="21" t="s">
        <v>526</v>
      </c>
      <c r="B247" s="21" t="s">
        <v>881</v>
      </c>
      <c r="C247" s="28" t="s">
        <v>216</v>
      </c>
      <c r="D247" s="43" t="s">
        <v>221</v>
      </c>
      <c r="E247" s="21" t="s">
        <v>1522</v>
      </c>
      <c r="F247" s="22"/>
      <c r="G247" s="122" t="s">
        <v>1526</v>
      </c>
      <c r="H247" s="22" t="s">
        <v>283</v>
      </c>
      <c r="I247" s="67">
        <v>2320</v>
      </c>
      <c r="J247" s="25" t="s">
        <v>1106</v>
      </c>
      <c r="K247" s="112">
        <v>3</v>
      </c>
      <c r="L247" s="223"/>
      <c r="M247" s="178"/>
    </row>
    <row r="248" spans="1:13" s="3" customFormat="1" ht="16.5" customHeight="1">
      <c r="A248" s="125" t="s">
        <v>603</v>
      </c>
      <c r="B248" s="125"/>
      <c r="C248" s="251" t="s">
        <v>215</v>
      </c>
      <c r="D248" s="43" t="s">
        <v>1713</v>
      </c>
      <c r="E248" s="21" t="s">
        <v>1521</v>
      </c>
      <c r="F248" s="22"/>
      <c r="G248" s="122" t="s">
        <v>1526</v>
      </c>
      <c r="H248" s="22" t="s">
        <v>283</v>
      </c>
      <c r="I248" s="67">
        <v>2420</v>
      </c>
      <c r="J248" s="26" t="s">
        <v>166</v>
      </c>
      <c r="K248" s="202">
        <v>3</v>
      </c>
      <c r="L248" s="218" t="s">
        <v>1761</v>
      </c>
      <c r="M248" s="178" t="s">
        <v>2689</v>
      </c>
    </row>
    <row r="249" spans="1:13" s="3" customFormat="1" ht="18" customHeight="1">
      <c r="A249" s="125" t="s">
        <v>603</v>
      </c>
      <c r="B249" s="125"/>
      <c r="C249" s="251" t="s">
        <v>215</v>
      </c>
      <c r="D249" s="43" t="s">
        <v>1286</v>
      </c>
      <c r="E249" s="21" t="s">
        <v>1521</v>
      </c>
      <c r="F249" s="22"/>
      <c r="G249" s="122" t="s">
        <v>1526</v>
      </c>
      <c r="H249" s="22" t="s">
        <v>283</v>
      </c>
      <c r="I249" s="67">
        <v>2425</v>
      </c>
      <c r="J249" s="26" t="s">
        <v>1374</v>
      </c>
      <c r="K249" s="202">
        <v>1</v>
      </c>
      <c r="L249" s="218" t="s">
        <v>1761</v>
      </c>
      <c r="M249" s="178" t="s">
        <v>2689</v>
      </c>
    </row>
    <row r="250" spans="1:13" s="3" customFormat="1" ht="16.5" customHeight="1">
      <c r="A250" s="21" t="s">
        <v>792</v>
      </c>
      <c r="B250" s="21" t="s">
        <v>94</v>
      </c>
      <c r="C250" s="28" t="s">
        <v>218</v>
      </c>
      <c r="D250" s="43"/>
      <c r="E250" s="21" t="s">
        <v>1522</v>
      </c>
      <c r="F250" s="131" t="s">
        <v>1329</v>
      </c>
      <c r="G250" s="122" t="s">
        <v>1526</v>
      </c>
      <c r="H250" s="22" t="s">
        <v>1535</v>
      </c>
      <c r="I250" s="199">
        <v>1010</v>
      </c>
      <c r="J250" s="26" t="s">
        <v>29</v>
      </c>
      <c r="K250" s="112">
        <v>3</v>
      </c>
      <c r="L250" s="218"/>
      <c r="M250" s="178"/>
    </row>
    <row r="251" spans="1:13" s="3" customFormat="1" ht="16.5" customHeight="1">
      <c r="A251" s="21" t="s">
        <v>369</v>
      </c>
      <c r="B251" s="21"/>
      <c r="C251" s="28" t="s">
        <v>1061</v>
      </c>
      <c r="D251" s="43" t="s">
        <v>804</v>
      </c>
      <c r="E251" s="21" t="s">
        <v>1522</v>
      </c>
      <c r="F251" s="22"/>
      <c r="G251" s="122" t="s">
        <v>1526</v>
      </c>
      <c r="H251" s="22" t="s">
        <v>1535</v>
      </c>
      <c r="I251" s="67">
        <v>2200</v>
      </c>
      <c r="J251" s="26" t="s">
        <v>947</v>
      </c>
      <c r="K251" s="112">
        <v>3</v>
      </c>
      <c r="L251" s="218"/>
      <c r="M251" s="178"/>
    </row>
    <row r="252" spans="1:13" s="3" customFormat="1" ht="16.5" customHeight="1">
      <c r="A252" s="21" t="s">
        <v>736</v>
      </c>
      <c r="B252" s="21"/>
      <c r="C252" s="28" t="s">
        <v>609</v>
      </c>
      <c r="D252" s="43" t="s">
        <v>1221</v>
      </c>
      <c r="E252" s="21" t="s">
        <v>1521</v>
      </c>
      <c r="F252" s="22" t="s">
        <v>1332</v>
      </c>
      <c r="G252" s="122" t="s">
        <v>1526</v>
      </c>
      <c r="H252" s="22" t="s">
        <v>1541</v>
      </c>
      <c r="I252" s="67">
        <v>1010</v>
      </c>
      <c r="J252" s="26" t="s">
        <v>836</v>
      </c>
      <c r="K252" s="202">
        <v>3</v>
      </c>
      <c r="L252" s="218" t="s">
        <v>1759</v>
      </c>
      <c r="M252" s="178"/>
    </row>
    <row r="253" spans="1:13" s="3" customFormat="1" ht="16.5" customHeight="1">
      <c r="A253" s="21" t="s">
        <v>746</v>
      </c>
      <c r="B253" s="21"/>
      <c r="C253" s="28" t="s">
        <v>1058</v>
      </c>
      <c r="D253" s="43"/>
      <c r="E253" s="21" t="s">
        <v>1522</v>
      </c>
      <c r="F253" s="22" t="s">
        <v>1332</v>
      </c>
      <c r="G253" s="122" t="s">
        <v>1526</v>
      </c>
      <c r="H253" s="22" t="s">
        <v>1541</v>
      </c>
      <c r="I253" s="199">
        <v>1010</v>
      </c>
      <c r="J253" s="26" t="s">
        <v>836</v>
      </c>
      <c r="K253" s="202">
        <v>3</v>
      </c>
      <c r="L253" s="218"/>
      <c r="M253" s="178"/>
    </row>
    <row r="254" spans="1:13" s="3" customFormat="1" ht="16.5" customHeight="1">
      <c r="A254" s="21" t="s">
        <v>736</v>
      </c>
      <c r="B254" s="21"/>
      <c r="C254" s="28" t="s">
        <v>609</v>
      </c>
      <c r="D254" s="43" t="s">
        <v>805</v>
      </c>
      <c r="E254" s="21" t="s">
        <v>1521</v>
      </c>
      <c r="F254" s="22"/>
      <c r="G254" s="122" t="s">
        <v>1526</v>
      </c>
      <c r="H254" s="22" t="s">
        <v>1541</v>
      </c>
      <c r="I254" s="67">
        <v>1015</v>
      </c>
      <c r="J254" s="26" t="s">
        <v>837</v>
      </c>
      <c r="K254" s="202">
        <v>1</v>
      </c>
      <c r="L254" s="218" t="s">
        <v>1759</v>
      </c>
      <c r="M254" s="178"/>
    </row>
    <row r="255" spans="1:13" s="3" customFormat="1" ht="16.5" customHeight="1">
      <c r="A255" s="21" t="s">
        <v>367</v>
      </c>
      <c r="B255" s="21" t="s">
        <v>562</v>
      </c>
      <c r="C255" s="29" t="s">
        <v>287</v>
      </c>
      <c r="D255" s="43"/>
      <c r="E255" s="21" t="s">
        <v>1522</v>
      </c>
      <c r="F255" s="24" t="s">
        <v>1329</v>
      </c>
      <c r="G255" s="122" t="s">
        <v>1526</v>
      </c>
      <c r="H255" s="22" t="s">
        <v>449</v>
      </c>
      <c r="I255" s="199">
        <v>1010</v>
      </c>
      <c r="J255" s="26" t="s">
        <v>838</v>
      </c>
      <c r="K255" s="112">
        <v>3</v>
      </c>
      <c r="L255" s="218"/>
      <c r="M255" s="178"/>
    </row>
    <row r="256" spans="1:13" s="3" customFormat="1" ht="16.5" customHeight="1">
      <c r="A256" s="21" t="s">
        <v>367</v>
      </c>
      <c r="B256" s="21" t="s">
        <v>562</v>
      </c>
      <c r="C256" s="29" t="s">
        <v>287</v>
      </c>
      <c r="D256" s="46"/>
      <c r="E256" s="21" t="s">
        <v>1522</v>
      </c>
      <c r="F256" s="24"/>
      <c r="G256" s="122" t="s">
        <v>1526</v>
      </c>
      <c r="H256" s="22" t="s">
        <v>449</v>
      </c>
      <c r="I256" s="199">
        <v>1330</v>
      </c>
      <c r="J256" s="25" t="s">
        <v>1333</v>
      </c>
      <c r="K256" s="112">
        <v>3</v>
      </c>
      <c r="L256" s="218" t="s">
        <v>1776</v>
      </c>
      <c r="M256" s="178"/>
    </row>
    <row r="257" spans="1:14" s="3" customFormat="1" ht="16.5" customHeight="1">
      <c r="A257" s="21" t="s">
        <v>367</v>
      </c>
      <c r="B257" s="21" t="s">
        <v>562</v>
      </c>
      <c r="C257" s="29" t="s">
        <v>287</v>
      </c>
      <c r="D257" s="46"/>
      <c r="E257" s="21" t="s">
        <v>1522</v>
      </c>
      <c r="F257" s="24"/>
      <c r="G257" s="122" t="s">
        <v>1526</v>
      </c>
      <c r="H257" s="22" t="s">
        <v>449</v>
      </c>
      <c r="I257" s="199">
        <v>1340</v>
      </c>
      <c r="J257" s="25" t="s">
        <v>1334</v>
      </c>
      <c r="K257" s="112">
        <v>3</v>
      </c>
      <c r="L257" s="218" t="s">
        <v>1777</v>
      </c>
      <c r="M257" s="178"/>
    </row>
    <row r="258" spans="1:14" s="3" customFormat="1" ht="16.5" customHeight="1">
      <c r="A258" s="21" t="s">
        <v>367</v>
      </c>
      <c r="B258" s="21" t="s">
        <v>562</v>
      </c>
      <c r="C258" s="29" t="s">
        <v>287</v>
      </c>
      <c r="D258" s="46" t="s">
        <v>806</v>
      </c>
      <c r="E258" s="21" t="s">
        <v>1522</v>
      </c>
      <c r="F258" s="24"/>
      <c r="G258" s="122" t="s">
        <v>1526</v>
      </c>
      <c r="H258" s="22" t="s">
        <v>449</v>
      </c>
      <c r="I258" s="67">
        <v>1350</v>
      </c>
      <c r="J258" s="26" t="s">
        <v>1571</v>
      </c>
      <c r="K258" s="202">
        <v>3</v>
      </c>
      <c r="L258" s="218" t="s">
        <v>1777</v>
      </c>
      <c r="M258" s="178"/>
    </row>
    <row r="259" spans="1:14" s="3" customFormat="1" ht="16.5" customHeight="1">
      <c r="A259" s="21" t="s">
        <v>367</v>
      </c>
      <c r="B259" s="21" t="s">
        <v>562</v>
      </c>
      <c r="C259" s="29" t="s">
        <v>287</v>
      </c>
      <c r="D259" s="46"/>
      <c r="E259" s="21" t="s">
        <v>1522</v>
      </c>
      <c r="F259" s="24"/>
      <c r="G259" s="122" t="s">
        <v>1526</v>
      </c>
      <c r="H259" s="22" t="s">
        <v>449</v>
      </c>
      <c r="I259" s="67">
        <v>2110</v>
      </c>
      <c r="J259" s="26" t="s">
        <v>1222</v>
      </c>
      <c r="K259" s="202">
        <v>3</v>
      </c>
      <c r="L259" s="218" t="s">
        <v>1777</v>
      </c>
      <c r="M259" s="178"/>
    </row>
    <row r="260" spans="1:14" s="3" customFormat="1" ht="16.5" customHeight="1">
      <c r="A260" s="21" t="s">
        <v>367</v>
      </c>
      <c r="B260" s="21" t="s">
        <v>562</v>
      </c>
      <c r="C260" s="29" t="s">
        <v>287</v>
      </c>
      <c r="D260" s="46"/>
      <c r="E260" s="21" t="s">
        <v>1522</v>
      </c>
      <c r="F260" s="24"/>
      <c r="G260" s="122" t="s">
        <v>1526</v>
      </c>
      <c r="H260" s="22" t="s">
        <v>449</v>
      </c>
      <c r="I260" s="199">
        <v>2330</v>
      </c>
      <c r="J260" s="25" t="s">
        <v>1566</v>
      </c>
      <c r="K260" s="112">
        <v>3</v>
      </c>
      <c r="L260" s="218" t="s">
        <v>1761</v>
      </c>
      <c r="M260" s="178"/>
    </row>
    <row r="261" spans="1:14" s="3" customFormat="1" ht="16.5" customHeight="1">
      <c r="A261" s="21" t="s">
        <v>367</v>
      </c>
      <c r="B261" s="21" t="s">
        <v>562</v>
      </c>
      <c r="C261" s="29" t="s">
        <v>287</v>
      </c>
      <c r="D261" s="46" t="s">
        <v>807</v>
      </c>
      <c r="E261" s="21" t="s">
        <v>1522</v>
      </c>
      <c r="F261" s="24"/>
      <c r="G261" s="122" t="s">
        <v>1526</v>
      </c>
      <c r="H261" s="22" t="s">
        <v>449</v>
      </c>
      <c r="I261" s="199">
        <v>2340</v>
      </c>
      <c r="J261" s="26" t="s">
        <v>886</v>
      </c>
      <c r="K261" s="112">
        <v>3</v>
      </c>
      <c r="L261" s="218"/>
      <c r="M261" s="178"/>
    </row>
    <row r="262" spans="1:14" s="3" customFormat="1" ht="16.5" customHeight="1">
      <c r="A262" s="21" t="s">
        <v>367</v>
      </c>
      <c r="B262" s="21" t="s">
        <v>562</v>
      </c>
      <c r="C262" s="29" t="s">
        <v>287</v>
      </c>
      <c r="D262" s="46" t="s">
        <v>808</v>
      </c>
      <c r="E262" s="21" t="s">
        <v>1522</v>
      </c>
      <c r="F262" s="24"/>
      <c r="G262" s="122" t="s">
        <v>1526</v>
      </c>
      <c r="H262" s="22" t="s">
        <v>449</v>
      </c>
      <c r="I262" s="199">
        <v>2350</v>
      </c>
      <c r="J262" s="25" t="s">
        <v>1335</v>
      </c>
      <c r="K262" s="112">
        <v>3</v>
      </c>
      <c r="L262" s="218" t="s">
        <v>1767</v>
      </c>
      <c r="M262" s="178"/>
    </row>
    <row r="263" spans="1:14" s="3" customFormat="1" ht="16.5">
      <c r="A263" s="21" t="s">
        <v>1175</v>
      </c>
      <c r="B263" s="21"/>
      <c r="C263" s="28" t="s">
        <v>288</v>
      </c>
      <c r="D263" s="46"/>
      <c r="E263" s="21" t="s">
        <v>1522</v>
      </c>
      <c r="F263" s="22" t="s">
        <v>1331</v>
      </c>
      <c r="G263" s="122" t="s">
        <v>1526</v>
      </c>
      <c r="H263" s="22" t="s">
        <v>1547</v>
      </c>
      <c r="I263" s="67">
        <v>1020</v>
      </c>
      <c r="J263" s="26" t="s">
        <v>1376</v>
      </c>
      <c r="K263" s="112">
        <v>3</v>
      </c>
      <c r="L263" s="218" t="s">
        <v>1767</v>
      </c>
      <c r="M263" s="178"/>
    </row>
    <row r="264" spans="1:14" s="3" customFormat="1" ht="16.5" customHeight="1">
      <c r="A264" s="21" t="s">
        <v>1175</v>
      </c>
      <c r="B264" s="21"/>
      <c r="C264" s="29" t="s">
        <v>288</v>
      </c>
      <c r="D264" s="43" t="s">
        <v>2721</v>
      </c>
      <c r="E264" s="21" t="s">
        <v>1522</v>
      </c>
      <c r="F264" s="293" t="s">
        <v>534</v>
      </c>
      <c r="G264" s="122" t="s">
        <v>1526</v>
      </c>
      <c r="H264" s="22" t="s">
        <v>1547</v>
      </c>
      <c r="I264" s="67">
        <v>1500</v>
      </c>
      <c r="J264" s="26" t="s">
        <v>839</v>
      </c>
      <c r="K264" s="202">
        <v>3</v>
      </c>
      <c r="L264" s="218" t="s">
        <v>1761</v>
      </c>
      <c r="M264" s="178" t="s">
        <v>2719</v>
      </c>
    </row>
    <row r="265" spans="1:14" s="3" customFormat="1" ht="16.5" customHeight="1">
      <c r="A265" s="21" t="s">
        <v>235</v>
      </c>
      <c r="B265" s="222"/>
      <c r="C265" s="28" t="s">
        <v>649</v>
      </c>
      <c r="D265" s="46"/>
      <c r="E265" s="21" t="s">
        <v>1522</v>
      </c>
      <c r="F265" s="22" t="s">
        <v>1331</v>
      </c>
      <c r="G265" s="122" t="s">
        <v>1526</v>
      </c>
      <c r="H265" s="22" t="s">
        <v>1547</v>
      </c>
      <c r="I265" s="67">
        <v>2110</v>
      </c>
      <c r="J265" s="26" t="s">
        <v>1459</v>
      </c>
      <c r="K265" s="202">
        <v>3</v>
      </c>
      <c r="L265" s="218" t="s">
        <v>1759</v>
      </c>
      <c r="M265" s="178" t="s">
        <v>2720</v>
      </c>
    </row>
    <row r="266" spans="1:14" s="3" customFormat="1" ht="16.5" customHeight="1">
      <c r="A266" s="21" t="s">
        <v>5</v>
      </c>
      <c r="B266" s="21" t="s">
        <v>560</v>
      </c>
      <c r="C266" s="28" t="s">
        <v>291</v>
      </c>
      <c r="D266" s="43"/>
      <c r="E266" s="21" t="s">
        <v>1522</v>
      </c>
      <c r="F266" s="22"/>
      <c r="G266" s="122" t="s">
        <v>1526</v>
      </c>
      <c r="H266" s="22" t="s">
        <v>1550</v>
      </c>
      <c r="I266" s="199">
        <v>1100</v>
      </c>
      <c r="J266" s="25" t="s">
        <v>1549</v>
      </c>
      <c r="K266" s="112">
        <v>5</v>
      </c>
      <c r="L266" s="218" t="s">
        <v>1759</v>
      </c>
      <c r="M266" s="178"/>
    </row>
    <row r="267" spans="1:14" s="3" customFormat="1" ht="16.5" customHeight="1">
      <c r="A267" s="21" t="s">
        <v>1879</v>
      </c>
      <c r="B267" s="21" t="s">
        <v>560</v>
      </c>
      <c r="C267" s="28" t="s">
        <v>291</v>
      </c>
      <c r="D267" s="43"/>
      <c r="E267" s="21" t="s">
        <v>1522</v>
      </c>
      <c r="F267" s="22"/>
      <c r="G267" s="122" t="s">
        <v>1526</v>
      </c>
      <c r="H267" s="22" t="s">
        <v>1550</v>
      </c>
      <c r="I267" s="67">
        <v>1110</v>
      </c>
      <c r="J267" s="26" t="s">
        <v>1880</v>
      </c>
      <c r="K267" s="202">
        <v>10</v>
      </c>
      <c r="L267" s="157" t="s">
        <v>1761</v>
      </c>
      <c r="M267" s="178"/>
    </row>
    <row r="268" spans="1:14" s="3" customFormat="1" ht="16.5" customHeight="1">
      <c r="A268" s="21" t="s">
        <v>5</v>
      </c>
      <c r="B268" s="21" t="s">
        <v>560</v>
      </c>
      <c r="C268" s="28" t="s">
        <v>291</v>
      </c>
      <c r="D268" s="43"/>
      <c r="E268" s="21" t="s">
        <v>1522</v>
      </c>
      <c r="F268" s="22"/>
      <c r="G268" s="122" t="s">
        <v>1526</v>
      </c>
      <c r="H268" s="22" t="s">
        <v>1550</v>
      </c>
      <c r="I268" s="199">
        <v>1200</v>
      </c>
      <c r="J268" s="25" t="s">
        <v>1079</v>
      </c>
      <c r="K268" s="112">
        <v>5</v>
      </c>
      <c r="L268" s="218" t="s">
        <v>1767</v>
      </c>
      <c r="M268" s="178"/>
    </row>
    <row r="269" spans="1:14" s="3" customFormat="1" ht="16.5" customHeight="1">
      <c r="A269" s="21" t="s">
        <v>5</v>
      </c>
      <c r="B269" s="21" t="s">
        <v>560</v>
      </c>
      <c r="C269" s="28" t="s">
        <v>291</v>
      </c>
      <c r="D269" s="43"/>
      <c r="E269" s="21" t="s">
        <v>1522</v>
      </c>
      <c r="F269" s="22"/>
      <c r="G269" s="122" t="s">
        <v>1526</v>
      </c>
      <c r="H269" s="22" t="s">
        <v>1550</v>
      </c>
      <c r="I269" s="199">
        <v>1210</v>
      </c>
      <c r="J269" s="25" t="s">
        <v>938</v>
      </c>
      <c r="K269" s="112">
        <v>10</v>
      </c>
      <c r="L269" s="218" t="s">
        <v>1761</v>
      </c>
      <c r="M269" s="178"/>
    </row>
    <row r="270" spans="1:14" s="3" customFormat="1" ht="16.5" customHeight="1">
      <c r="A270" s="21" t="s">
        <v>236</v>
      </c>
      <c r="B270" s="21"/>
      <c r="C270" s="28" t="s">
        <v>974</v>
      </c>
      <c r="D270" s="43"/>
      <c r="E270" s="21" t="s">
        <v>1521</v>
      </c>
      <c r="F270" s="22" t="s">
        <v>1330</v>
      </c>
      <c r="G270" s="122" t="s">
        <v>1526</v>
      </c>
      <c r="H270" s="22" t="s">
        <v>318</v>
      </c>
      <c r="I270" s="67">
        <v>1010</v>
      </c>
      <c r="J270" s="26" t="s">
        <v>793</v>
      </c>
      <c r="K270" s="203">
        <v>3</v>
      </c>
      <c r="L270" s="218" t="s">
        <v>1761</v>
      </c>
      <c r="M270" s="272"/>
    </row>
    <row r="271" spans="1:14" s="3" customFormat="1" ht="16.5" customHeight="1">
      <c r="A271" s="21" t="s">
        <v>1354</v>
      </c>
      <c r="B271" s="21"/>
      <c r="C271" s="28" t="s">
        <v>293</v>
      </c>
      <c r="D271" s="43" t="s">
        <v>324</v>
      </c>
      <c r="E271" s="21" t="s">
        <v>1521</v>
      </c>
      <c r="F271" s="22"/>
      <c r="G271" s="122" t="s">
        <v>1526</v>
      </c>
      <c r="H271" s="22" t="s">
        <v>318</v>
      </c>
      <c r="I271" s="67">
        <v>2310</v>
      </c>
      <c r="J271" s="25" t="s">
        <v>941</v>
      </c>
      <c r="K271" s="203">
        <v>1</v>
      </c>
      <c r="L271" s="218" t="s">
        <v>1761</v>
      </c>
      <c r="M271" s="272"/>
    </row>
    <row r="272" spans="1:14" s="3" customFormat="1" ht="16.5" customHeight="1">
      <c r="A272" s="21" t="s">
        <v>1462</v>
      </c>
      <c r="B272" s="21"/>
      <c r="C272" s="28" t="s">
        <v>1463</v>
      </c>
      <c r="D272" s="43"/>
      <c r="E272" s="21" t="s">
        <v>1521</v>
      </c>
      <c r="F272" s="21"/>
      <c r="G272" s="122" t="s">
        <v>1526</v>
      </c>
      <c r="H272" s="22" t="s">
        <v>318</v>
      </c>
      <c r="I272" s="67">
        <v>1170</v>
      </c>
      <c r="J272" s="26" t="s">
        <v>1719</v>
      </c>
      <c r="K272" s="110" t="s">
        <v>1177</v>
      </c>
      <c r="L272" s="218" t="s">
        <v>1759</v>
      </c>
      <c r="M272" s="272"/>
      <c r="N272" s="1"/>
    </row>
    <row r="273" spans="1:14" s="3" customFormat="1" ht="16.5">
      <c r="A273" s="21" t="s">
        <v>2603</v>
      </c>
      <c r="B273" s="21" t="s">
        <v>2604</v>
      </c>
      <c r="C273" s="101" t="s">
        <v>2605</v>
      </c>
      <c r="D273" s="43"/>
      <c r="E273" s="21" t="s">
        <v>1522</v>
      </c>
      <c r="F273" s="22"/>
      <c r="G273" s="122" t="s">
        <v>1526</v>
      </c>
      <c r="H273" s="22" t="s">
        <v>1085</v>
      </c>
      <c r="I273" s="199">
        <v>1000</v>
      </c>
      <c r="J273" s="25" t="s">
        <v>1414</v>
      </c>
      <c r="K273" s="112">
        <v>4</v>
      </c>
      <c r="L273" s="218" t="s">
        <v>1761</v>
      </c>
      <c r="M273" s="204"/>
      <c r="N273" s="1"/>
    </row>
    <row r="274" spans="1:14" s="3" customFormat="1" ht="16.5">
      <c r="A274" s="21" t="s">
        <v>2603</v>
      </c>
      <c r="B274" s="21" t="s">
        <v>2604</v>
      </c>
      <c r="C274" s="101" t="s">
        <v>2605</v>
      </c>
      <c r="D274" s="43"/>
      <c r="E274" s="21" t="s">
        <v>1522</v>
      </c>
      <c r="F274" s="22"/>
      <c r="G274" s="122" t="s">
        <v>1526</v>
      </c>
      <c r="H274" s="22" t="s">
        <v>1085</v>
      </c>
      <c r="I274" s="199">
        <v>2410</v>
      </c>
      <c r="J274" s="26" t="s">
        <v>942</v>
      </c>
      <c r="K274" s="112">
        <v>5</v>
      </c>
      <c r="L274" s="218" t="s">
        <v>1761</v>
      </c>
      <c r="M274" s="204"/>
      <c r="N274" s="1"/>
    </row>
    <row r="275" spans="1:14" s="3" customFormat="1" ht="16.5">
      <c r="A275" s="21" t="s">
        <v>2603</v>
      </c>
      <c r="B275" s="21" t="s">
        <v>2604</v>
      </c>
      <c r="C275" s="101" t="s">
        <v>2605</v>
      </c>
      <c r="D275" s="43"/>
      <c r="E275" s="21" t="s">
        <v>1522</v>
      </c>
      <c r="F275" s="22"/>
      <c r="G275" s="122" t="s">
        <v>1526</v>
      </c>
      <c r="H275" s="22" t="s">
        <v>1085</v>
      </c>
      <c r="I275" s="199">
        <v>2430</v>
      </c>
      <c r="J275" s="26" t="s">
        <v>1159</v>
      </c>
      <c r="K275" s="112">
        <v>5</v>
      </c>
      <c r="L275" s="218" t="s">
        <v>1761</v>
      </c>
      <c r="M275" s="204"/>
      <c r="N275" s="1"/>
    </row>
    <row r="276" spans="1:14" s="3" customFormat="1" ht="16.5">
      <c r="A276" s="21" t="s">
        <v>548</v>
      </c>
      <c r="B276" s="21"/>
      <c r="C276" s="28" t="s">
        <v>1423</v>
      </c>
      <c r="D276" s="43"/>
      <c r="E276" s="21" t="s">
        <v>1522</v>
      </c>
      <c r="F276" s="22" t="s">
        <v>70</v>
      </c>
      <c r="G276" s="122" t="s">
        <v>1526</v>
      </c>
      <c r="H276" s="22" t="s">
        <v>1088</v>
      </c>
      <c r="I276" s="67">
        <v>1740</v>
      </c>
      <c r="J276" s="26" t="s">
        <v>1223</v>
      </c>
      <c r="K276" s="112">
        <v>3</v>
      </c>
      <c r="L276" s="218" t="s">
        <v>1761</v>
      </c>
      <c r="M276" s="178"/>
      <c r="N276" s="1"/>
    </row>
    <row r="277" spans="1:14" s="3" customFormat="1" ht="16.5">
      <c r="A277" s="21" t="s">
        <v>616</v>
      </c>
      <c r="B277" s="21" t="s">
        <v>574</v>
      </c>
      <c r="C277" s="28" t="s">
        <v>1073</v>
      </c>
      <c r="D277" s="43" t="s">
        <v>1224</v>
      </c>
      <c r="E277" s="21" t="s">
        <v>1522</v>
      </c>
      <c r="F277" s="22"/>
      <c r="G277" s="122" t="s">
        <v>1526</v>
      </c>
      <c r="H277" s="22" t="s">
        <v>1089</v>
      </c>
      <c r="I277" s="67">
        <v>1040</v>
      </c>
      <c r="J277" s="25" t="s">
        <v>1415</v>
      </c>
      <c r="K277" s="112">
        <v>3</v>
      </c>
      <c r="L277" s="218" t="s">
        <v>1761</v>
      </c>
      <c r="M277" s="178"/>
      <c r="N277" s="1"/>
    </row>
    <row r="278" spans="1:14" s="3" customFormat="1" ht="16.5">
      <c r="A278" s="45" t="s">
        <v>44</v>
      </c>
      <c r="B278" s="58"/>
      <c r="C278" s="28" t="s">
        <v>1305</v>
      </c>
      <c r="D278" s="43"/>
      <c r="E278" s="21" t="s">
        <v>1522</v>
      </c>
      <c r="F278" s="22"/>
      <c r="G278" s="122" t="s">
        <v>1526</v>
      </c>
      <c r="H278" s="22" t="s">
        <v>1483</v>
      </c>
      <c r="I278" s="67">
        <v>1010</v>
      </c>
      <c r="J278" s="26" t="s">
        <v>325</v>
      </c>
      <c r="K278" s="202">
        <v>3</v>
      </c>
      <c r="L278" s="218" t="s">
        <v>1761</v>
      </c>
      <c r="M278" s="178"/>
      <c r="N278" s="1"/>
    </row>
    <row r="279" spans="1:14" s="3" customFormat="1" ht="16.5">
      <c r="A279" s="21" t="s">
        <v>1712</v>
      </c>
      <c r="B279" s="21"/>
      <c r="C279" s="28" t="s">
        <v>1711</v>
      </c>
      <c r="D279" s="187"/>
      <c r="E279" s="21" t="s">
        <v>1522</v>
      </c>
      <c r="F279" s="22" t="s">
        <v>533</v>
      </c>
      <c r="G279" s="122" t="s">
        <v>1526</v>
      </c>
      <c r="H279" s="22" t="s">
        <v>1091</v>
      </c>
      <c r="I279" s="199">
        <v>1010</v>
      </c>
      <c r="J279" s="26" t="s">
        <v>1416</v>
      </c>
      <c r="K279" s="112">
        <v>3</v>
      </c>
      <c r="L279" s="218" t="s">
        <v>1767</v>
      </c>
      <c r="M279" s="178"/>
      <c r="N279" s="1"/>
    </row>
    <row r="280" spans="1:14" s="3" customFormat="1" ht="66">
      <c r="A280" s="21" t="s">
        <v>229</v>
      </c>
      <c r="B280" s="21"/>
      <c r="C280" s="28" t="s">
        <v>295</v>
      </c>
      <c r="D280" s="43" t="s">
        <v>154</v>
      </c>
      <c r="E280" s="21" t="s">
        <v>1522</v>
      </c>
      <c r="F280" s="22" t="s">
        <v>533</v>
      </c>
      <c r="G280" s="122" t="s">
        <v>1526</v>
      </c>
      <c r="H280" s="22" t="s">
        <v>1091</v>
      </c>
      <c r="I280" s="199">
        <v>2010</v>
      </c>
      <c r="J280" s="25" t="s">
        <v>532</v>
      </c>
      <c r="K280" s="112">
        <v>3</v>
      </c>
      <c r="L280" s="218"/>
      <c r="M280" s="178"/>
      <c r="N280" s="1"/>
    </row>
    <row r="281" spans="1:14" s="3" customFormat="1" ht="16.5">
      <c r="A281" s="21" t="s">
        <v>230</v>
      </c>
      <c r="B281" s="21"/>
      <c r="C281" s="28" t="s">
        <v>296</v>
      </c>
      <c r="D281" s="43" t="s">
        <v>327</v>
      </c>
      <c r="E281" s="21" t="s">
        <v>1522</v>
      </c>
      <c r="F281" s="22" t="s">
        <v>534</v>
      </c>
      <c r="G281" s="122" t="s">
        <v>1526</v>
      </c>
      <c r="H281" s="22" t="s">
        <v>1091</v>
      </c>
      <c r="I281" s="67">
        <v>2040</v>
      </c>
      <c r="J281" s="26" t="s">
        <v>1090</v>
      </c>
      <c r="K281" s="112">
        <v>3</v>
      </c>
      <c r="L281" s="218" t="s">
        <v>1759</v>
      </c>
      <c r="M281" s="178"/>
      <c r="N281" s="1"/>
    </row>
    <row r="282" spans="1:14" s="3" customFormat="1" ht="16.5">
      <c r="A282" s="21" t="s">
        <v>1861</v>
      </c>
      <c r="B282" s="21"/>
      <c r="C282" s="28" t="s">
        <v>1665</v>
      </c>
      <c r="D282" s="43"/>
      <c r="E282" s="21" t="s">
        <v>1521</v>
      </c>
      <c r="F282" s="22" t="s">
        <v>534</v>
      </c>
      <c r="G282" s="122" t="s">
        <v>1526</v>
      </c>
      <c r="H282" s="22" t="s">
        <v>1091</v>
      </c>
      <c r="I282" s="67">
        <v>2200</v>
      </c>
      <c r="J282" s="26" t="s">
        <v>1225</v>
      </c>
      <c r="K282" s="112">
        <v>3</v>
      </c>
      <c r="L282" s="218" t="s">
        <v>1759</v>
      </c>
      <c r="M282" s="178"/>
      <c r="N282" s="1"/>
    </row>
    <row r="283" spans="1:14" s="3" customFormat="1" ht="16.5">
      <c r="A283" s="21" t="s">
        <v>369</v>
      </c>
      <c r="B283" s="21"/>
      <c r="C283" s="28" t="s">
        <v>1061</v>
      </c>
      <c r="D283" s="43" t="s">
        <v>327</v>
      </c>
      <c r="E283" s="21" t="s">
        <v>1522</v>
      </c>
      <c r="F283" s="22" t="s">
        <v>534</v>
      </c>
      <c r="G283" s="122" t="s">
        <v>1526</v>
      </c>
      <c r="H283" s="22" t="s">
        <v>1091</v>
      </c>
      <c r="I283" s="67">
        <v>2240</v>
      </c>
      <c r="J283" s="25" t="s">
        <v>1417</v>
      </c>
      <c r="K283" s="112">
        <v>3</v>
      </c>
      <c r="L283" s="218" t="s">
        <v>1767</v>
      </c>
      <c r="M283" s="178"/>
      <c r="N283" s="1"/>
    </row>
    <row r="284" spans="1:14" s="3" customFormat="1" ht="16.5">
      <c r="A284" s="21" t="s">
        <v>231</v>
      </c>
      <c r="B284" s="21"/>
      <c r="C284" s="28" t="s">
        <v>1055</v>
      </c>
      <c r="D284" s="103"/>
      <c r="E284" s="21" t="s">
        <v>1522</v>
      </c>
      <c r="F284" s="22" t="s">
        <v>534</v>
      </c>
      <c r="G284" s="122" t="s">
        <v>1526</v>
      </c>
      <c r="H284" s="22" t="s">
        <v>1091</v>
      </c>
      <c r="I284" s="67">
        <v>2300</v>
      </c>
      <c r="J284" s="26" t="s">
        <v>1092</v>
      </c>
      <c r="K284" s="112">
        <v>3</v>
      </c>
      <c r="L284" s="218" t="s">
        <v>1777</v>
      </c>
      <c r="M284" s="178"/>
      <c r="N284" s="1"/>
    </row>
    <row r="285" spans="1:14" s="3" customFormat="1" ht="16.5">
      <c r="A285" s="21" t="s">
        <v>788</v>
      </c>
      <c r="B285" s="21"/>
      <c r="C285" s="28" t="s">
        <v>978</v>
      </c>
      <c r="D285" s="43"/>
      <c r="E285" s="21" t="s">
        <v>1522</v>
      </c>
      <c r="F285" s="22" t="s">
        <v>534</v>
      </c>
      <c r="G285" s="122" t="s">
        <v>1526</v>
      </c>
      <c r="H285" s="22" t="s">
        <v>1091</v>
      </c>
      <c r="I285" s="199">
        <v>2340</v>
      </c>
      <c r="J285" s="26" t="s">
        <v>1226</v>
      </c>
      <c r="K285" s="112">
        <v>3</v>
      </c>
      <c r="L285" s="218"/>
      <c r="M285" s="178"/>
      <c r="N285" s="1"/>
    </row>
    <row r="286" spans="1:14" s="3" customFormat="1" ht="16.5">
      <c r="A286" s="21" t="s">
        <v>231</v>
      </c>
      <c r="B286" s="21"/>
      <c r="C286" s="28" t="s">
        <v>1055</v>
      </c>
      <c r="D286" s="43"/>
      <c r="E286" s="21" t="s">
        <v>1522</v>
      </c>
      <c r="F286" s="22"/>
      <c r="G286" s="122" t="s">
        <v>1526</v>
      </c>
      <c r="H286" s="22" t="s">
        <v>1091</v>
      </c>
      <c r="I286" s="199">
        <v>2610</v>
      </c>
      <c r="J286" s="25" t="s">
        <v>1160</v>
      </c>
      <c r="K286" s="112">
        <v>3</v>
      </c>
      <c r="L286" s="218" t="s">
        <v>1767</v>
      </c>
      <c r="M286" s="178"/>
      <c r="N286" s="1"/>
    </row>
    <row r="287" spans="1:14" s="3" customFormat="1" ht="16.5">
      <c r="A287" s="21" t="s">
        <v>927</v>
      </c>
      <c r="B287" s="21" t="s">
        <v>135</v>
      </c>
      <c r="C287" s="28" t="s">
        <v>1702</v>
      </c>
      <c r="D287" s="43"/>
      <c r="E287" s="21" t="s">
        <v>1522</v>
      </c>
      <c r="F287" s="22"/>
      <c r="G287" s="122" t="s">
        <v>1526</v>
      </c>
      <c r="H287" s="22" t="s">
        <v>1718</v>
      </c>
      <c r="I287" s="67">
        <v>1000</v>
      </c>
      <c r="J287" s="26" t="s">
        <v>1701</v>
      </c>
      <c r="K287" s="202">
        <v>2</v>
      </c>
      <c r="L287" s="218" t="s">
        <v>1761</v>
      </c>
      <c r="M287" s="178"/>
      <c r="N287" s="1"/>
    </row>
    <row r="288" spans="1:14" s="3" customFormat="1" ht="16.5">
      <c r="A288" s="21" t="s">
        <v>743</v>
      </c>
      <c r="B288" s="21" t="s">
        <v>110</v>
      </c>
      <c r="C288" s="28" t="s">
        <v>184</v>
      </c>
      <c r="D288" s="43"/>
      <c r="E288" s="21" t="s">
        <v>1522</v>
      </c>
      <c r="F288" s="22"/>
      <c r="G288" s="122" t="s">
        <v>1526</v>
      </c>
      <c r="H288" s="22" t="s">
        <v>1377</v>
      </c>
      <c r="I288" s="67">
        <v>1020</v>
      </c>
      <c r="J288" s="26" t="s">
        <v>535</v>
      </c>
      <c r="K288" s="202">
        <v>3</v>
      </c>
      <c r="L288" s="218" t="s">
        <v>1761</v>
      </c>
      <c r="M288" s="178" t="s">
        <v>2718</v>
      </c>
      <c r="N288" s="1"/>
    </row>
    <row r="289" spans="1:14" s="3" customFormat="1" ht="16.5">
      <c r="A289" s="21" t="s">
        <v>516</v>
      </c>
      <c r="B289" s="21" t="s">
        <v>111</v>
      </c>
      <c r="C289" s="28" t="s">
        <v>1136</v>
      </c>
      <c r="D289" s="43"/>
      <c r="E289" s="21" t="s">
        <v>1522</v>
      </c>
      <c r="F289" s="22" t="s">
        <v>1329</v>
      </c>
      <c r="G289" s="122" t="s">
        <v>1526</v>
      </c>
      <c r="H289" s="22" t="s">
        <v>1377</v>
      </c>
      <c r="I289" s="67">
        <v>1500</v>
      </c>
      <c r="J289" s="26" t="s">
        <v>73</v>
      </c>
      <c r="K289" s="112">
        <v>3</v>
      </c>
      <c r="L289" s="218"/>
      <c r="M289" s="178"/>
      <c r="N289" s="1"/>
    </row>
    <row r="290" spans="1:14" s="3" customFormat="1" ht="16.5">
      <c r="A290" s="21" t="s">
        <v>373</v>
      </c>
      <c r="B290" s="21" t="s">
        <v>108</v>
      </c>
      <c r="C290" s="28" t="s">
        <v>997</v>
      </c>
      <c r="D290" s="43" t="s">
        <v>328</v>
      </c>
      <c r="E290" s="21" t="s">
        <v>1522</v>
      </c>
      <c r="F290" s="22"/>
      <c r="G290" s="122" t="s">
        <v>1526</v>
      </c>
      <c r="H290" s="22" t="s">
        <v>1377</v>
      </c>
      <c r="I290" s="67">
        <v>2610</v>
      </c>
      <c r="J290" s="26" t="s">
        <v>1161</v>
      </c>
      <c r="K290" s="112">
        <v>3</v>
      </c>
      <c r="L290" s="218" t="s">
        <v>1777</v>
      </c>
      <c r="M290" s="178"/>
      <c r="N290" s="1"/>
    </row>
    <row r="291" spans="1:14" s="3" customFormat="1" ht="16.5">
      <c r="A291" s="21" t="s">
        <v>747</v>
      </c>
      <c r="B291" s="21"/>
      <c r="C291" s="28" t="s">
        <v>1137</v>
      </c>
      <c r="D291" s="43"/>
      <c r="E291" s="21" t="s">
        <v>1522</v>
      </c>
      <c r="F291" s="22" t="s">
        <v>1332</v>
      </c>
      <c r="G291" s="122" t="s">
        <v>1526</v>
      </c>
      <c r="H291" s="22" t="s">
        <v>1386</v>
      </c>
      <c r="I291" s="199">
        <v>1010</v>
      </c>
      <c r="J291" s="25" t="s">
        <v>1419</v>
      </c>
      <c r="K291" s="112">
        <v>3</v>
      </c>
      <c r="L291" s="218" t="s">
        <v>1761</v>
      </c>
      <c r="M291" s="178"/>
      <c r="N291" s="1"/>
    </row>
    <row r="292" spans="1:14" s="3" customFormat="1" ht="16.5">
      <c r="A292" s="21" t="s">
        <v>1328</v>
      </c>
      <c r="B292" s="21"/>
      <c r="C292" s="28" t="s">
        <v>217</v>
      </c>
      <c r="D292" s="43"/>
      <c r="E292" s="21" t="s">
        <v>1522</v>
      </c>
      <c r="F292" s="22" t="s">
        <v>1332</v>
      </c>
      <c r="G292" s="122" t="s">
        <v>1526</v>
      </c>
      <c r="H292" s="22" t="s">
        <v>1386</v>
      </c>
      <c r="I292" s="67">
        <v>1800</v>
      </c>
      <c r="J292" s="26" t="s">
        <v>536</v>
      </c>
      <c r="K292" s="112">
        <v>3</v>
      </c>
      <c r="L292" s="218"/>
      <c r="M292" s="178"/>
      <c r="N292" s="1"/>
    </row>
    <row r="293" spans="1:14" s="3" customFormat="1" ht="16.5">
      <c r="A293" s="21" t="s">
        <v>0</v>
      </c>
      <c r="B293" s="21"/>
      <c r="C293" s="28" t="s">
        <v>1138</v>
      </c>
      <c r="D293" s="43"/>
      <c r="E293" s="21" t="s">
        <v>1521</v>
      </c>
      <c r="F293" s="22" t="s">
        <v>1332</v>
      </c>
      <c r="G293" s="122" t="s">
        <v>1526</v>
      </c>
      <c r="H293" s="22" t="s">
        <v>1098</v>
      </c>
      <c r="I293" s="67">
        <v>1000</v>
      </c>
      <c r="J293" s="26" t="s">
        <v>1094</v>
      </c>
      <c r="K293" s="112">
        <v>3</v>
      </c>
      <c r="L293" s="218" t="s">
        <v>1759</v>
      </c>
      <c r="M293" s="178"/>
      <c r="N293" s="1"/>
    </row>
    <row r="294" spans="1:14" s="3" customFormat="1" ht="33">
      <c r="A294" s="21" t="s">
        <v>1028</v>
      </c>
      <c r="B294" s="21"/>
      <c r="C294" s="28" t="s">
        <v>646</v>
      </c>
      <c r="D294" s="43" t="s">
        <v>2526</v>
      </c>
      <c r="E294" s="21" t="s">
        <v>1521</v>
      </c>
      <c r="F294" s="22" t="s">
        <v>534</v>
      </c>
      <c r="G294" s="122" t="s">
        <v>1526</v>
      </c>
      <c r="H294" s="22" t="s">
        <v>1101</v>
      </c>
      <c r="I294" s="67">
        <v>1500</v>
      </c>
      <c r="J294" s="26" t="s">
        <v>1874</v>
      </c>
      <c r="K294" s="202">
        <v>3</v>
      </c>
      <c r="L294" s="157" t="s">
        <v>1761</v>
      </c>
      <c r="M294" s="178"/>
      <c r="N294" s="1"/>
    </row>
    <row r="295" spans="1:14" s="3" customFormat="1" ht="33">
      <c r="A295" s="21" t="s">
        <v>648</v>
      </c>
      <c r="B295" s="21"/>
      <c r="C295" s="28" t="s">
        <v>647</v>
      </c>
      <c r="D295" s="43" t="s">
        <v>2527</v>
      </c>
      <c r="E295" s="21" t="s">
        <v>1521</v>
      </c>
      <c r="F295" s="22" t="s">
        <v>534</v>
      </c>
      <c r="G295" s="122" t="s">
        <v>1526</v>
      </c>
      <c r="H295" s="22" t="s">
        <v>1101</v>
      </c>
      <c r="I295" s="67">
        <v>1510</v>
      </c>
      <c r="J295" s="26" t="s">
        <v>1875</v>
      </c>
      <c r="K295" s="202">
        <v>3</v>
      </c>
      <c r="L295" s="157" t="s">
        <v>1761</v>
      </c>
      <c r="M295" s="178"/>
      <c r="N295" s="1"/>
    </row>
    <row r="296" spans="1:14" ht="21.75" customHeight="1">
      <c r="A296" s="21" t="s">
        <v>1539</v>
      </c>
      <c r="B296" s="21"/>
      <c r="C296" s="28" t="s">
        <v>1425</v>
      </c>
      <c r="D296" s="43" t="s">
        <v>2738</v>
      </c>
      <c r="E296" s="21" t="s">
        <v>1522</v>
      </c>
      <c r="F296" s="22" t="s">
        <v>70</v>
      </c>
      <c r="G296" s="122" t="s">
        <v>1526</v>
      </c>
      <c r="H296" s="22" t="s">
        <v>1101</v>
      </c>
      <c r="I296" s="67">
        <v>1700</v>
      </c>
      <c r="J296" s="26" t="s">
        <v>1163</v>
      </c>
      <c r="K296" s="112">
        <v>3</v>
      </c>
      <c r="L296" s="218" t="s">
        <v>1777</v>
      </c>
      <c r="M296" s="178"/>
    </row>
    <row r="297" spans="1:14" ht="16.5">
      <c r="A297" s="21" t="s">
        <v>310</v>
      </c>
      <c r="B297" s="21" t="s">
        <v>580</v>
      </c>
      <c r="C297" s="28" t="s">
        <v>179</v>
      </c>
      <c r="D297" s="43" t="s">
        <v>332</v>
      </c>
      <c r="E297" s="21" t="s">
        <v>1522</v>
      </c>
      <c r="F297" s="22"/>
      <c r="G297" s="122" t="s">
        <v>1526</v>
      </c>
      <c r="H297" s="22" t="s">
        <v>1109</v>
      </c>
      <c r="I297" s="199">
        <v>1140</v>
      </c>
      <c r="J297" s="26" t="s">
        <v>887</v>
      </c>
      <c r="K297" s="202">
        <v>2</v>
      </c>
      <c r="L297" s="218" t="s">
        <v>1776</v>
      </c>
      <c r="M297" s="178"/>
    </row>
    <row r="298" spans="1:14" ht="16.5">
      <c r="A298" s="21" t="s">
        <v>310</v>
      </c>
      <c r="B298" s="21" t="s">
        <v>580</v>
      </c>
      <c r="C298" s="28" t="s">
        <v>179</v>
      </c>
      <c r="D298" s="43" t="s">
        <v>333</v>
      </c>
      <c r="E298" s="21" t="s">
        <v>1522</v>
      </c>
      <c r="F298" s="22"/>
      <c r="G298" s="122" t="s">
        <v>1526</v>
      </c>
      <c r="H298" s="22" t="s">
        <v>1109</v>
      </c>
      <c r="I298" s="199">
        <v>1160</v>
      </c>
      <c r="J298" s="26" t="s">
        <v>888</v>
      </c>
      <c r="K298" s="202">
        <v>2</v>
      </c>
      <c r="L298" s="218" t="s">
        <v>1761</v>
      </c>
      <c r="M298" s="178"/>
    </row>
    <row r="299" spans="1:14" ht="16.5">
      <c r="A299" s="21" t="s">
        <v>51</v>
      </c>
      <c r="B299" s="21"/>
      <c r="C299" s="28" t="s">
        <v>979</v>
      </c>
      <c r="D299" s="43" t="s">
        <v>334</v>
      </c>
      <c r="E299" s="21" t="s">
        <v>1522</v>
      </c>
      <c r="F299" s="22"/>
      <c r="G299" s="122" t="s">
        <v>1526</v>
      </c>
      <c r="H299" s="22" t="s">
        <v>1113</v>
      </c>
      <c r="I299" s="199">
        <v>1010</v>
      </c>
      <c r="J299" s="25" t="s">
        <v>1115</v>
      </c>
      <c r="K299" s="112">
        <v>4</v>
      </c>
      <c r="L299" s="218"/>
      <c r="M299" s="178"/>
    </row>
    <row r="300" spans="1:14" ht="16.5">
      <c r="A300" s="21" t="s">
        <v>50</v>
      </c>
      <c r="B300" s="21"/>
      <c r="C300" s="28" t="s">
        <v>1062</v>
      </c>
      <c r="D300" s="43" t="s">
        <v>335</v>
      </c>
      <c r="E300" s="21" t="s">
        <v>1522</v>
      </c>
      <c r="F300" s="22" t="s">
        <v>845</v>
      </c>
      <c r="G300" s="122" t="s">
        <v>1526</v>
      </c>
      <c r="H300" s="22" t="s">
        <v>1113</v>
      </c>
      <c r="I300" s="199">
        <v>1030</v>
      </c>
      <c r="J300" s="25" t="s">
        <v>1116</v>
      </c>
      <c r="K300" s="112">
        <v>3</v>
      </c>
      <c r="L300" s="218"/>
      <c r="M300" s="178"/>
    </row>
    <row r="301" spans="1:14" ht="16.5">
      <c r="A301" s="21" t="s">
        <v>1488</v>
      </c>
      <c r="B301" s="21"/>
      <c r="C301" s="28" t="s">
        <v>980</v>
      </c>
      <c r="D301" s="43" t="s">
        <v>335</v>
      </c>
      <c r="E301" s="21" t="s">
        <v>1522</v>
      </c>
      <c r="F301" s="22" t="s">
        <v>845</v>
      </c>
      <c r="G301" s="122" t="s">
        <v>1526</v>
      </c>
      <c r="H301" s="22" t="s">
        <v>1113</v>
      </c>
      <c r="I301" s="199">
        <v>1050</v>
      </c>
      <c r="J301" s="25" t="s">
        <v>1118</v>
      </c>
      <c r="K301" s="112">
        <v>4</v>
      </c>
      <c r="L301" s="218"/>
      <c r="M301" s="178"/>
    </row>
    <row r="302" spans="1:14" ht="16.5">
      <c r="A302" s="21" t="s">
        <v>50</v>
      </c>
      <c r="B302" s="21"/>
      <c r="C302" s="28" t="s">
        <v>1062</v>
      </c>
      <c r="D302" s="43" t="s">
        <v>336</v>
      </c>
      <c r="E302" s="21" t="s">
        <v>1522</v>
      </c>
      <c r="F302" s="22"/>
      <c r="G302" s="122" t="s">
        <v>1526</v>
      </c>
      <c r="H302" s="22" t="s">
        <v>1113</v>
      </c>
      <c r="I302" s="199">
        <v>1060</v>
      </c>
      <c r="J302" s="25" t="s">
        <v>1120</v>
      </c>
      <c r="K302" s="112">
        <v>3</v>
      </c>
      <c r="L302" s="218" t="s">
        <v>1767</v>
      </c>
      <c r="M302" s="178"/>
      <c r="N302" s="3"/>
    </row>
    <row r="303" spans="1:14" ht="16.5">
      <c r="A303" s="21" t="s">
        <v>1487</v>
      </c>
      <c r="B303" s="21"/>
      <c r="C303" s="28" t="s">
        <v>180</v>
      </c>
      <c r="D303" s="43" t="s">
        <v>336</v>
      </c>
      <c r="E303" s="21" t="s">
        <v>1522</v>
      </c>
      <c r="F303" s="22"/>
      <c r="G303" s="122" t="s">
        <v>1526</v>
      </c>
      <c r="H303" s="22" t="s">
        <v>1113</v>
      </c>
      <c r="I303" s="67">
        <v>1100</v>
      </c>
      <c r="J303" s="26" t="s">
        <v>1112</v>
      </c>
      <c r="K303" s="110">
        <v>3</v>
      </c>
      <c r="L303" s="218" t="s">
        <v>1777</v>
      </c>
      <c r="M303" s="178"/>
    </row>
    <row r="304" spans="1:14" ht="16.5">
      <c r="A304" s="21" t="s">
        <v>1487</v>
      </c>
      <c r="B304" s="21"/>
      <c r="C304" s="28" t="s">
        <v>180</v>
      </c>
      <c r="D304" s="43" t="s">
        <v>337</v>
      </c>
      <c r="E304" s="21" t="s">
        <v>1522</v>
      </c>
      <c r="F304" s="22"/>
      <c r="G304" s="122" t="s">
        <v>1526</v>
      </c>
      <c r="H304" s="22" t="s">
        <v>1113</v>
      </c>
      <c r="I304" s="199">
        <v>1210</v>
      </c>
      <c r="J304" s="25" t="s">
        <v>841</v>
      </c>
      <c r="K304" s="112">
        <v>4</v>
      </c>
      <c r="L304" s="218" t="s">
        <v>1777</v>
      </c>
      <c r="M304" s="178"/>
    </row>
    <row r="305" spans="1:13" ht="16.5">
      <c r="A305" s="21" t="s">
        <v>1487</v>
      </c>
      <c r="B305" s="21"/>
      <c r="C305" s="28" t="s">
        <v>180</v>
      </c>
      <c r="D305" s="43" t="s">
        <v>338</v>
      </c>
      <c r="E305" s="21" t="s">
        <v>1522</v>
      </c>
      <c r="F305" s="22"/>
      <c r="G305" s="122" t="s">
        <v>1526</v>
      </c>
      <c r="H305" s="22" t="s">
        <v>1113</v>
      </c>
      <c r="I305" s="199">
        <v>1220</v>
      </c>
      <c r="J305" s="25" t="s">
        <v>350</v>
      </c>
      <c r="K305" s="112">
        <v>4</v>
      </c>
      <c r="L305" s="218" t="s">
        <v>1777</v>
      </c>
      <c r="M305" s="178"/>
    </row>
    <row r="306" spans="1:13" ht="16.5">
      <c r="A306" s="21" t="s">
        <v>50</v>
      </c>
      <c r="B306" s="21"/>
      <c r="C306" s="28" t="s">
        <v>1062</v>
      </c>
      <c r="D306" s="43" t="s">
        <v>336</v>
      </c>
      <c r="E306" s="21" t="s">
        <v>1522</v>
      </c>
      <c r="F306" s="22"/>
      <c r="G306" s="122" t="s">
        <v>1526</v>
      </c>
      <c r="H306" s="22" t="s">
        <v>1113</v>
      </c>
      <c r="I306" s="67">
        <v>2020</v>
      </c>
      <c r="J306" s="26" t="s">
        <v>1114</v>
      </c>
      <c r="K306" s="112">
        <v>3</v>
      </c>
      <c r="L306" s="218" t="s">
        <v>1777</v>
      </c>
      <c r="M306" s="178"/>
    </row>
    <row r="307" spans="1:13" ht="16.5">
      <c r="A307" s="21" t="s">
        <v>49</v>
      </c>
      <c r="B307" s="21"/>
      <c r="C307" s="28" t="s">
        <v>957</v>
      </c>
      <c r="D307" s="43" t="s">
        <v>336</v>
      </c>
      <c r="E307" s="21" t="s">
        <v>1522</v>
      </c>
      <c r="F307" s="22"/>
      <c r="G307" s="122" t="s">
        <v>1526</v>
      </c>
      <c r="H307" s="22" t="s">
        <v>1113</v>
      </c>
      <c r="I307" s="67">
        <v>2040</v>
      </c>
      <c r="J307" s="26" t="s">
        <v>331</v>
      </c>
      <c r="K307" s="202">
        <v>4</v>
      </c>
      <c r="L307" s="218" t="s">
        <v>1761</v>
      </c>
      <c r="M307" s="178"/>
    </row>
    <row r="308" spans="1:13" ht="16.5">
      <c r="A308" s="21" t="s">
        <v>523</v>
      </c>
      <c r="B308" s="21" t="s">
        <v>123</v>
      </c>
      <c r="C308" s="28" t="s">
        <v>1005</v>
      </c>
      <c r="D308" s="43"/>
      <c r="E308" s="21" t="s">
        <v>1522</v>
      </c>
      <c r="F308" s="22"/>
      <c r="G308" s="122" t="s">
        <v>1526</v>
      </c>
      <c r="H308" s="22" t="s">
        <v>1122</v>
      </c>
      <c r="I308" s="199">
        <v>2450</v>
      </c>
      <c r="J308" s="26" t="s">
        <v>1099</v>
      </c>
      <c r="K308" s="112">
        <v>8</v>
      </c>
      <c r="L308" s="218"/>
      <c r="M308" s="178"/>
    </row>
    <row r="309" spans="1:13" ht="16.5">
      <c r="A309" s="21" t="s">
        <v>52</v>
      </c>
      <c r="B309" s="21"/>
      <c r="C309" s="28" t="s">
        <v>181</v>
      </c>
      <c r="D309" s="43"/>
      <c r="E309" s="21" t="s">
        <v>1521</v>
      </c>
      <c r="F309" s="22" t="s">
        <v>1330</v>
      </c>
      <c r="G309" s="122" t="s">
        <v>1526</v>
      </c>
      <c r="H309" s="22" t="s">
        <v>1124</v>
      </c>
      <c r="I309" s="199">
        <v>1010</v>
      </c>
      <c r="J309" s="25" t="s">
        <v>143</v>
      </c>
      <c r="K309" s="112">
        <v>3</v>
      </c>
      <c r="L309" s="218"/>
      <c r="M309" s="178"/>
    </row>
    <row r="310" spans="1:13" ht="16.5">
      <c r="A310" s="21" t="s">
        <v>589</v>
      </c>
      <c r="B310" s="21" t="s">
        <v>127</v>
      </c>
      <c r="C310" s="28" t="s">
        <v>183</v>
      </c>
      <c r="D310" s="43"/>
      <c r="E310" s="21" t="s">
        <v>1522</v>
      </c>
      <c r="F310" s="22"/>
      <c r="G310" s="122" t="s">
        <v>1526</v>
      </c>
      <c r="H310" s="22" t="s">
        <v>460</v>
      </c>
      <c r="I310" s="67">
        <v>1000</v>
      </c>
      <c r="J310" s="26" t="s">
        <v>1126</v>
      </c>
      <c r="K310" s="112">
        <v>4</v>
      </c>
      <c r="L310" s="218"/>
      <c r="M310" s="178"/>
    </row>
    <row r="311" spans="1:13" ht="16.5">
      <c r="A311" s="21" t="s">
        <v>849</v>
      </c>
      <c r="B311" s="21" t="s">
        <v>848</v>
      </c>
      <c r="C311" s="28" t="s">
        <v>847</v>
      </c>
      <c r="D311" s="43"/>
      <c r="E311" s="21" t="s">
        <v>1522</v>
      </c>
      <c r="F311" s="22"/>
      <c r="G311" s="122" t="s">
        <v>1526</v>
      </c>
      <c r="H311" s="22" t="s">
        <v>460</v>
      </c>
      <c r="I311" s="67">
        <v>1008</v>
      </c>
      <c r="J311" s="26" t="s">
        <v>1128</v>
      </c>
      <c r="K311" s="202">
        <v>2</v>
      </c>
      <c r="L311" s="218" t="s">
        <v>1776</v>
      </c>
      <c r="M311" s="178"/>
    </row>
    <row r="312" spans="1:13" ht="16.5">
      <c r="A312" s="21" t="s">
        <v>524</v>
      </c>
      <c r="B312" s="21" t="s">
        <v>883</v>
      </c>
      <c r="C312" s="28" t="s">
        <v>1006</v>
      </c>
      <c r="D312" s="43"/>
      <c r="E312" s="21" t="s">
        <v>1522</v>
      </c>
      <c r="F312" s="22"/>
      <c r="G312" s="122" t="s">
        <v>1526</v>
      </c>
      <c r="H312" s="22" t="s">
        <v>1194</v>
      </c>
      <c r="I312" s="67">
        <v>2710</v>
      </c>
      <c r="J312" s="25" t="s">
        <v>144</v>
      </c>
      <c r="K312" s="202">
        <v>2</v>
      </c>
      <c r="L312" s="218" t="s">
        <v>1777</v>
      </c>
      <c r="M312" s="178"/>
    </row>
    <row r="313" spans="1:13" ht="16.5">
      <c r="A313" s="21" t="s">
        <v>601</v>
      </c>
      <c r="B313" s="21"/>
      <c r="C313" s="28" t="s">
        <v>833</v>
      </c>
      <c r="D313" s="43"/>
      <c r="E313" s="21" t="s">
        <v>1522</v>
      </c>
      <c r="F313" s="22" t="s">
        <v>534</v>
      </c>
      <c r="G313" s="122" t="s">
        <v>1526</v>
      </c>
      <c r="H313" s="22" t="s">
        <v>426</v>
      </c>
      <c r="I313" s="67">
        <v>1000</v>
      </c>
      <c r="J313" s="25" t="s">
        <v>145</v>
      </c>
      <c r="K313" s="112">
        <v>3</v>
      </c>
      <c r="L313" s="218"/>
      <c r="M313" s="178"/>
    </row>
    <row r="314" spans="1:13" ht="33">
      <c r="A314" s="21" t="s">
        <v>751</v>
      </c>
      <c r="B314" s="21"/>
      <c r="C314" s="28" t="s">
        <v>1429</v>
      </c>
      <c r="D314" s="43" t="s">
        <v>339</v>
      </c>
      <c r="E314" s="21" t="s">
        <v>1521</v>
      </c>
      <c r="F314" s="22" t="s">
        <v>1332</v>
      </c>
      <c r="G314" s="122" t="s">
        <v>1526</v>
      </c>
      <c r="H314" s="22" t="s">
        <v>427</v>
      </c>
      <c r="I314" s="199">
        <v>1010</v>
      </c>
      <c r="J314" s="25" t="s">
        <v>867</v>
      </c>
      <c r="K314" s="24">
        <v>3</v>
      </c>
      <c r="L314" s="218"/>
      <c r="M314" s="178"/>
    </row>
    <row r="315" spans="1:13" ht="33">
      <c r="A315" s="21" t="s">
        <v>752</v>
      </c>
      <c r="B315" s="21"/>
      <c r="C315" s="28" t="s">
        <v>1069</v>
      </c>
      <c r="D315" s="43" t="s">
        <v>340</v>
      </c>
      <c r="E315" s="21" t="s">
        <v>1521</v>
      </c>
      <c r="F315" s="22" t="s">
        <v>1332</v>
      </c>
      <c r="G315" s="122" t="s">
        <v>1526</v>
      </c>
      <c r="H315" s="22" t="s">
        <v>427</v>
      </c>
      <c r="I315" s="67">
        <v>1015</v>
      </c>
      <c r="J315" s="25" t="s">
        <v>83</v>
      </c>
      <c r="K315" s="202">
        <v>1</v>
      </c>
      <c r="L315" s="218" t="s">
        <v>1777</v>
      </c>
      <c r="M315" s="178"/>
    </row>
    <row r="316" spans="1:13" ht="16.5">
      <c r="A316" s="21" t="s">
        <v>750</v>
      </c>
      <c r="B316" s="54"/>
      <c r="C316" s="28" t="s">
        <v>1862</v>
      </c>
      <c r="D316" s="43"/>
      <c r="E316" s="21" t="s">
        <v>1522</v>
      </c>
      <c r="F316" s="22" t="s">
        <v>1332</v>
      </c>
      <c r="G316" s="122" t="s">
        <v>1526</v>
      </c>
      <c r="H316" s="22" t="s">
        <v>427</v>
      </c>
      <c r="I316" s="67">
        <v>1040</v>
      </c>
      <c r="J316" s="26" t="s">
        <v>269</v>
      </c>
      <c r="K316" s="112">
        <v>3</v>
      </c>
      <c r="L316" s="157" t="s">
        <v>1761</v>
      </c>
      <c r="M316" s="178"/>
    </row>
    <row r="317" spans="1:13" ht="16.5">
      <c r="A317" s="21" t="s">
        <v>2</v>
      </c>
      <c r="B317" s="21"/>
      <c r="C317" s="28" t="s">
        <v>981</v>
      </c>
      <c r="D317" s="43"/>
      <c r="E317" s="21" t="s">
        <v>1521</v>
      </c>
      <c r="F317" s="22" t="s">
        <v>70</v>
      </c>
      <c r="G317" s="122" t="s">
        <v>1526</v>
      </c>
      <c r="H317" s="22" t="s">
        <v>196</v>
      </c>
      <c r="I317" s="67">
        <v>1100</v>
      </c>
      <c r="J317" s="26" t="s">
        <v>389</v>
      </c>
      <c r="K317" s="202">
        <v>3</v>
      </c>
      <c r="L317" s="218" t="s">
        <v>1761</v>
      </c>
      <c r="M317" s="178"/>
    </row>
    <row r="318" spans="1:13" ht="74.25" customHeight="1">
      <c r="A318" s="21" t="s">
        <v>1540</v>
      </c>
      <c r="B318" s="21"/>
      <c r="C318" s="28" t="s">
        <v>14</v>
      </c>
      <c r="D318" s="43" t="s">
        <v>1039</v>
      </c>
      <c r="E318" s="21" t="s">
        <v>1522</v>
      </c>
      <c r="F318" s="22" t="s">
        <v>1329</v>
      </c>
      <c r="G318" s="122" t="s">
        <v>1526</v>
      </c>
      <c r="H318" s="22" t="s">
        <v>343</v>
      </c>
      <c r="I318" s="199">
        <v>1010</v>
      </c>
      <c r="J318" s="25" t="s">
        <v>146</v>
      </c>
      <c r="K318" s="112">
        <v>3</v>
      </c>
      <c r="L318" s="218"/>
      <c r="M318" s="178"/>
    </row>
    <row r="319" spans="1:13" ht="16.5">
      <c r="A319" s="21" t="s">
        <v>1540</v>
      </c>
      <c r="B319" s="21"/>
      <c r="C319" s="28" t="s">
        <v>14</v>
      </c>
      <c r="D319" s="43"/>
      <c r="E319" s="21" t="s">
        <v>1522</v>
      </c>
      <c r="F319" s="22" t="s">
        <v>1329</v>
      </c>
      <c r="G319" s="122" t="s">
        <v>1526</v>
      </c>
      <c r="H319" s="22" t="s">
        <v>343</v>
      </c>
      <c r="I319" s="67">
        <v>1100</v>
      </c>
      <c r="J319" s="26" t="s">
        <v>73</v>
      </c>
      <c r="K319" s="112">
        <v>3</v>
      </c>
      <c r="L319" s="218" t="s">
        <v>1777</v>
      </c>
      <c r="M319" s="178"/>
    </row>
    <row r="320" spans="1:13" ht="16.5">
      <c r="A320" s="21" t="s">
        <v>516</v>
      </c>
      <c r="B320" s="21" t="s">
        <v>111</v>
      </c>
      <c r="C320" s="28" t="s">
        <v>1136</v>
      </c>
      <c r="D320" s="43"/>
      <c r="E320" s="21" t="s">
        <v>1522</v>
      </c>
      <c r="F320" s="22" t="s">
        <v>1329</v>
      </c>
      <c r="G320" s="122" t="s">
        <v>1526</v>
      </c>
      <c r="H320" s="22" t="s">
        <v>343</v>
      </c>
      <c r="I320" s="67">
        <v>1100</v>
      </c>
      <c r="J320" s="26" t="s">
        <v>73</v>
      </c>
      <c r="K320" s="112">
        <v>3</v>
      </c>
      <c r="L320" s="218" t="s">
        <v>1759</v>
      </c>
      <c r="M320" s="178"/>
    </row>
    <row r="321" spans="1:14" ht="16.5">
      <c r="A321" s="53" t="s">
        <v>1540</v>
      </c>
      <c r="B321" s="53"/>
      <c r="C321" s="85" t="s">
        <v>14</v>
      </c>
      <c r="D321" s="86"/>
      <c r="E321" s="53" t="s">
        <v>1522</v>
      </c>
      <c r="F321" s="55" t="s">
        <v>1329</v>
      </c>
      <c r="G321" s="122" t="s">
        <v>1526</v>
      </c>
      <c r="H321" s="55" t="s">
        <v>343</v>
      </c>
      <c r="I321" s="92">
        <v>2500</v>
      </c>
      <c r="J321" s="194" t="s">
        <v>877</v>
      </c>
      <c r="K321" s="113">
        <v>3</v>
      </c>
      <c r="L321" s="218" t="s">
        <v>1759</v>
      </c>
      <c r="M321" s="178"/>
    </row>
    <row r="322" spans="1:14" ht="16.5">
      <c r="A322" s="21" t="s">
        <v>602</v>
      </c>
      <c r="B322" s="21"/>
      <c r="C322" s="28" t="s">
        <v>253</v>
      </c>
      <c r="D322" s="43"/>
      <c r="E322" s="21" t="s">
        <v>1522</v>
      </c>
      <c r="F322" s="22" t="s">
        <v>1329</v>
      </c>
      <c r="G322" s="122" t="s">
        <v>1526</v>
      </c>
      <c r="H322" s="22" t="s">
        <v>461</v>
      </c>
      <c r="I322" s="199">
        <v>1010</v>
      </c>
      <c r="J322" s="25" t="s">
        <v>147</v>
      </c>
      <c r="K322" s="112">
        <v>3</v>
      </c>
      <c r="L322" s="218" t="s">
        <v>1759</v>
      </c>
      <c r="M322" s="178"/>
      <c r="N322" s="8"/>
    </row>
    <row r="323" spans="1:14" ht="66">
      <c r="A323" s="21" t="s">
        <v>1633</v>
      </c>
      <c r="B323" s="21"/>
      <c r="C323" s="28" t="s">
        <v>1634</v>
      </c>
      <c r="D323" s="101" t="s">
        <v>1802</v>
      </c>
      <c r="E323" s="21" t="s">
        <v>1522</v>
      </c>
      <c r="F323" s="22"/>
      <c r="G323" s="122" t="s">
        <v>1526</v>
      </c>
      <c r="H323" s="22" t="s">
        <v>431</v>
      </c>
      <c r="I323" s="199">
        <v>1010</v>
      </c>
      <c r="J323" s="26" t="s">
        <v>1169</v>
      </c>
      <c r="K323" s="112">
        <v>3</v>
      </c>
      <c r="L323" s="218" t="s">
        <v>1759</v>
      </c>
      <c r="M323" s="178"/>
      <c r="N323" s="8"/>
    </row>
    <row r="324" spans="1:14" ht="16.5">
      <c r="A324" s="21" t="s">
        <v>1631</v>
      </c>
      <c r="B324" s="21"/>
      <c r="C324" s="28" t="s">
        <v>1632</v>
      </c>
      <c r="D324" s="43" t="s">
        <v>341</v>
      </c>
      <c r="E324" s="21" t="s">
        <v>1522</v>
      </c>
      <c r="F324" s="22"/>
      <c r="G324" s="122" t="s">
        <v>1526</v>
      </c>
      <c r="H324" s="22" t="s">
        <v>431</v>
      </c>
      <c r="I324" s="67">
        <v>1020</v>
      </c>
      <c r="J324" s="26" t="s">
        <v>22</v>
      </c>
      <c r="K324" s="112">
        <v>3</v>
      </c>
      <c r="L324" s="218" t="s">
        <v>1759</v>
      </c>
      <c r="M324" s="178"/>
    </row>
    <row r="325" spans="1:14" ht="73.5" customHeight="1">
      <c r="A325" s="21" t="s">
        <v>1174</v>
      </c>
      <c r="B325" s="21"/>
      <c r="C325" s="28" t="s">
        <v>1873</v>
      </c>
      <c r="D325" s="43"/>
      <c r="E325" s="21" t="s">
        <v>1521</v>
      </c>
      <c r="F325" s="22" t="s">
        <v>1330</v>
      </c>
      <c r="G325" s="122" t="s">
        <v>1526</v>
      </c>
      <c r="H325" s="22" t="s">
        <v>391</v>
      </c>
      <c r="I325" s="67">
        <v>1013</v>
      </c>
      <c r="J325" s="26" t="s">
        <v>1448</v>
      </c>
      <c r="K325" s="202">
        <v>3</v>
      </c>
      <c r="L325" s="157" t="s">
        <v>1761</v>
      </c>
      <c r="M325" s="178"/>
    </row>
    <row r="326" spans="1:14" ht="16.5">
      <c r="A326" s="21" t="s">
        <v>311</v>
      </c>
      <c r="B326" s="21" t="s">
        <v>582</v>
      </c>
      <c r="C326" s="28" t="s">
        <v>2530</v>
      </c>
      <c r="D326" s="43"/>
      <c r="E326" s="21" t="s">
        <v>1522</v>
      </c>
      <c r="F326" s="22"/>
      <c r="G326" s="122" t="s">
        <v>1526</v>
      </c>
      <c r="H326" s="22" t="s">
        <v>432</v>
      </c>
      <c r="I326" s="199">
        <v>1100</v>
      </c>
      <c r="J326" s="26" t="s">
        <v>1231</v>
      </c>
      <c r="K326" s="112">
        <v>7</v>
      </c>
      <c r="L326" s="218" t="s">
        <v>1759</v>
      </c>
      <c r="M326" s="178"/>
    </row>
    <row r="327" spans="1:14" ht="33">
      <c r="A327" s="21" t="s">
        <v>311</v>
      </c>
      <c r="B327" s="21" t="s">
        <v>582</v>
      </c>
      <c r="C327" s="28" t="s">
        <v>2530</v>
      </c>
      <c r="D327" s="43"/>
      <c r="E327" s="21" t="s">
        <v>1522</v>
      </c>
      <c r="F327" s="22"/>
      <c r="G327" s="122" t="s">
        <v>1526</v>
      </c>
      <c r="H327" s="22" t="s">
        <v>432</v>
      </c>
      <c r="I327" s="199">
        <v>1120</v>
      </c>
      <c r="J327" s="26" t="s">
        <v>1232</v>
      </c>
      <c r="K327" s="112">
        <v>7</v>
      </c>
      <c r="L327" s="218" t="s">
        <v>1759</v>
      </c>
      <c r="M327" s="178"/>
    </row>
    <row r="328" spans="1:14" ht="33">
      <c r="A328" s="21" t="s">
        <v>311</v>
      </c>
      <c r="B328" s="21" t="s">
        <v>582</v>
      </c>
      <c r="C328" s="28" t="s">
        <v>2530</v>
      </c>
      <c r="D328" s="43"/>
      <c r="E328" s="21" t="s">
        <v>1522</v>
      </c>
      <c r="F328" s="22"/>
      <c r="G328" s="122" t="s">
        <v>1526</v>
      </c>
      <c r="H328" s="22" t="s">
        <v>432</v>
      </c>
      <c r="I328" s="199">
        <v>1130</v>
      </c>
      <c r="J328" s="26" t="s">
        <v>1233</v>
      </c>
      <c r="K328" s="112">
        <v>3</v>
      </c>
      <c r="L328" s="218" t="s">
        <v>1776</v>
      </c>
      <c r="M328" s="178"/>
    </row>
    <row r="329" spans="1:14" ht="16.5">
      <c r="A329" s="21" t="s">
        <v>549</v>
      </c>
      <c r="B329" s="21" t="s">
        <v>88</v>
      </c>
      <c r="C329" s="28" t="s">
        <v>1146</v>
      </c>
      <c r="D329" s="43"/>
      <c r="E329" s="21" t="s">
        <v>1522</v>
      </c>
      <c r="F329" s="22"/>
      <c r="G329" s="22" t="s">
        <v>1195</v>
      </c>
      <c r="H329" s="22" t="s">
        <v>435</v>
      </c>
      <c r="I329" s="199">
        <v>1010</v>
      </c>
      <c r="J329" s="25" t="s">
        <v>1453</v>
      </c>
      <c r="K329" s="112">
        <v>2</v>
      </c>
      <c r="L329" s="218" t="s">
        <v>1776</v>
      </c>
      <c r="M329" s="178"/>
    </row>
    <row r="330" spans="1:14" ht="16.5">
      <c r="A330" s="21" t="s">
        <v>550</v>
      </c>
      <c r="B330" s="21" t="s">
        <v>89</v>
      </c>
      <c r="C330" s="28" t="s">
        <v>1147</v>
      </c>
      <c r="D330" s="43"/>
      <c r="E330" s="21" t="s">
        <v>1522</v>
      </c>
      <c r="F330" s="22"/>
      <c r="G330" s="22" t="s">
        <v>1195</v>
      </c>
      <c r="H330" s="22" t="s">
        <v>435</v>
      </c>
      <c r="I330" s="199">
        <v>2010</v>
      </c>
      <c r="J330" s="25" t="s">
        <v>1536</v>
      </c>
      <c r="K330" s="202">
        <v>3</v>
      </c>
      <c r="L330" s="218" t="s">
        <v>1776</v>
      </c>
      <c r="M330" s="178"/>
    </row>
    <row r="331" spans="1:14" ht="16.5">
      <c r="A331" s="21" t="s">
        <v>386</v>
      </c>
      <c r="B331" s="21"/>
      <c r="C331" s="28" t="s">
        <v>816</v>
      </c>
      <c r="D331" s="43"/>
      <c r="E331" s="21" t="s">
        <v>1521</v>
      </c>
      <c r="F331" s="22" t="s">
        <v>1330</v>
      </c>
      <c r="G331" s="22" t="s">
        <v>1195</v>
      </c>
      <c r="H331" s="22" t="s">
        <v>1529</v>
      </c>
      <c r="I331" s="67">
        <v>1010</v>
      </c>
      <c r="J331" s="26" t="s">
        <v>148</v>
      </c>
      <c r="K331" s="202">
        <v>3</v>
      </c>
      <c r="L331" s="218" t="s">
        <v>1776</v>
      </c>
      <c r="M331" s="178"/>
    </row>
    <row r="332" spans="1:14" ht="33" customHeight="1">
      <c r="A332" s="21" t="s">
        <v>1615</v>
      </c>
      <c r="B332" s="21"/>
      <c r="C332" s="28" t="s">
        <v>1616</v>
      </c>
      <c r="D332" s="101" t="s">
        <v>1802</v>
      </c>
      <c r="E332" s="21" t="s">
        <v>1522</v>
      </c>
      <c r="F332" s="78"/>
      <c r="G332" s="22" t="s">
        <v>1195</v>
      </c>
      <c r="H332" s="22" t="s">
        <v>437</v>
      </c>
      <c r="I332" s="67">
        <v>1010</v>
      </c>
      <c r="J332" s="26" t="s">
        <v>60</v>
      </c>
      <c r="K332" s="202">
        <v>4</v>
      </c>
      <c r="L332" s="218" t="s">
        <v>1761</v>
      </c>
      <c r="M332" s="288"/>
    </row>
    <row r="333" spans="1:14" ht="16.5">
      <c r="A333" s="105" t="s">
        <v>2578</v>
      </c>
      <c r="B333" s="105" t="s">
        <v>2573</v>
      </c>
      <c r="C333" s="101" t="s">
        <v>2574</v>
      </c>
      <c r="D333" s="46" t="s">
        <v>1747</v>
      </c>
      <c r="E333" s="21" t="s">
        <v>1522</v>
      </c>
      <c r="F333" s="24"/>
      <c r="G333" s="22" t="s">
        <v>1195</v>
      </c>
      <c r="H333" s="22" t="s">
        <v>1530</v>
      </c>
      <c r="I333" s="67">
        <v>1120</v>
      </c>
      <c r="J333" s="26" t="s">
        <v>688</v>
      </c>
      <c r="K333" s="202">
        <v>6</v>
      </c>
      <c r="L333" s="220" t="s">
        <v>1761</v>
      </c>
      <c r="M333" s="204"/>
    </row>
    <row r="334" spans="1:14" ht="16.5">
      <c r="A334" s="105" t="s">
        <v>2579</v>
      </c>
      <c r="B334" s="105" t="s">
        <v>2575</v>
      </c>
      <c r="C334" s="101" t="s">
        <v>2576</v>
      </c>
      <c r="D334" s="187"/>
      <c r="E334" s="21" t="s">
        <v>1522</v>
      </c>
      <c r="F334" s="24"/>
      <c r="G334" s="22" t="s">
        <v>1195</v>
      </c>
      <c r="H334" s="22" t="s">
        <v>1530</v>
      </c>
      <c r="I334" s="199">
        <v>1130</v>
      </c>
      <c r="J334" s="25" t="s">
        <v>438</v>
      </c>
      <c r="K334" s="112">
        <v>6</v>
      </c>
      <c r="L334" s="220" t="s">
        <v>1761</v>
      </c>
      <c r="M334" s="204"/>
    </row>
    <row r="335" spans="1:14" ht="16.5">
      <c r="A335" s="105" t="s">
        <v>2581</v>
      </c>
      <c r="B335" s="105" t="s">
        <v>2582</v>
      </c>
      <c r="C335" s="101" t="s">
        <v>2583</v>
      </c>
      <c r="D335" s="46" t="s">
        <v>1747</v>
      </c>
      <c r="E335" s="21" t="s">
        <v>1522</v>
      </c>
      <c r="F335" s="24"/>
      <c r="G335" s="22" t="s">
        <v>1195</v>
      </c>
      <c r="H335" s="22" t="s">
        <v>1530</v>
      </c>
      <c r="I335" s="67">
        <v>1320</v>
      </c>
      <c r="J335" s="26" t="s">
        <v>771</v>
      </c>
      <c r="K335" s="112">
        <v>6</v>
      </c>
      <c r="L335" s="220" t="s">
        <v>1761</v>
      </c>
      <c r="M335" s="204"/>
    </row>
    <row r="336" spans="1:14" ht="16.5">
      <c r="A336" s="105" t="s">
        <v>371</v>
      </c>
      <c r="B336" s="105" t="s">
        <v>568</v>
      </c>
      <c r="C336" s="101" t="s">
        <v>2580</v>
      </c>
      <c r="D336" s="46" t="s">
        <v>1747</v>
      </c>
      <c r="E336" s="21" t="s">
        <v>1522</v>
      </c>
      <c r="F336" s="24"/>
      <c r="G336" s="22" t="s">
        <v>1195</v>
      </c>
      <c r="H336" s="22" t="s">
        <v>1530</v>
      </c>
      <c r="I336" s="199">
        <v>1430</v>
      </c>
      <c r="J336" s="25" t="s">
        <v>74</v>
      </c>
      <c r="K336" s="112">
        <v>6</v>
      </c>
      <c r="L336" s="220" t="s">
        <v>1761</v>
      </c>
      <c r="M336" s="204"/>
    </row>
    <row r="337" spans="1:14" ht="16.5">
      <c r="A337" s="21" t="s">
        <v>734</v>
      </c>
      <c r="B337" s="222"/>
      <c r="C337" s="28" t="s">
        <v>1077</v>
      </c>
      <c r="D337" s="46"/>
      <c r="E337" s="21" t="s">
        <v>1522</v>
      </c>
      <c r="F337" s="24" t="s">
        <v>540</v>
      </c>
      <c r="G337" s="22" t="s">
        <v>1195</v>
      </c>
      <c r="H337" s="22" t="s">
        <v>283</v>
      </c>
      <c r="I337" s="67">
        <v>1010</v>
      </c>
      <c r="J337" s="26" t="s">
        <v>468</v>
      </c>
      <c r="K337" s="202">
        <v>3</v>
      </c>
      <c r="L337" s="218" t="s">
        <v>1761</v>
      </c>
      <c r="M337" s="288"/>
    </row>
    <row r="338" spans="1:14" ht="33">
      <c r="A338" s="21" t="s">
        <v>1678</v>
      </c>
      <c r="B338" s="21"/>
      <c r="C338" s="28" t="s">
        <v>1430</v>
      </c>
      <c r="D338" s="43" t="s">
        <v>1716</v>
      </c>
      <c r="E338" s="21" t="s">
        <v>1521</v>
      </c>
      <c r="F338" s="22" t="s">
        <v>540</v>
      </c>
      <c r="G338" s="22" t="s">
        <v>1195</v>
      </c>
      <c r="H338" s="122" t="s">
        <v>810</v>
      </c>
      <c r="I338" s="67">
        <v>1610</v>
      </c>
      <c r="J338" s="26" t="s">
        <v>1677</v>
      </c>
      <c r="K338" s="202">
        <v>4</v>
      </c>
      <c r="L338" s="218" t="s">
        <v>1761</v>
      </c>
      <c r="M338" s="288"/>
    </row>
    <row r="339" spans="1:14" ht="49.5">
      <c r="A339" s="21" t="s">
        <v>1678</v>
      </c>
      <c r="B339" s="21"/>
      <c r="C339" s="28" t="s">
        <v>1430</v>
      </c>
      <c r="D339" s="43" t="s">
        <v>1717</v>
      </c>
      <c r="E339" s="21" t="s">
        <v>1521</v>
      </c>
      <c r="F339" s="22"/>
      <c r="G339" s="22" t="s">
        <v>1195</v>
      </c>
      <c r="H339" s="122" t="s">
        <v>810</v>
      </c>
      <c r="I339" s="67">
        <v>1615</v>
      </c>
      <c r="J339" s="26" t="s">
        <v>1676</v>
      </c>
      <c r="K339" s="202">
        <v>1</v>
      </c>
      <c r="L339" s="218" t="s">
        <v>1761</v>
      </c>
      <c r="M339" s="288"/>
    </row>
    <row r="340" spans="1:14" ht="16.5">
      <c r="A340" s="21" t="s">
        <v>790</v>
      </c>
      <c r="B340" s="45" t="s">
        <v>92</v>
      </c>
      <c r="C340" s="28" t="s">
        <v>989</v>
      </c>
      <c r="D340" s="46"/>
      <c r="E340" s="21" t="s">
        <v>1522</v>
      </c>
      <c r="F340" s="22"/>
      <c r="G340" s="22" t="s">
        <v>1195</v>
      </c>
      <c r="H340" s="22" t="s">
        <v>441</v>
      </c>
      <c r="I340" s="67" t="s">
        <v>1528</v>
      </c>
      <c r="J340" s="25" t="s">
        <v>150</v>
      </c>
      <c r="K340" s="112">
        <v>3</v>
      </c>
      <c r="L340" s="218" t="s">
        <v>1761</v>
      </c>
      <c r="M340" s="288"/>
    </row>
    <row r="341" spans="1:14" ht="16.5">
      <c r="A341" s="21" t="s">
        <v>790</v>
      </c>
      <c r="B341" s="45" t="s">
        <v>92</v>
      </c>
      <c r="C341" s="28" t="s">
        <v>989</v>
      </c>
      <c r="D341" s="13"/>
      <c r="E341" s="21" t="s">
        <v>1522</v>
      </c>
      <c r="F341" s="22"/>
      <c r="G341" s="22" t="s">
        <v>1195</v>
      </c>
      <c r="H341" s="22" t="s">
        <v>441</v>
      </c>
      <c r="I341" s="67" t="s">
        <v>442</v>
      </c>
      <c r="J341" s="25" t="s">
        <v>1454</v>
      </c>
      <c r="K341" s="112">
        <v>3</v>
      </c>
      <c r="L341" s="218" t="s">
        <v>1761</v>
      </c>
      <c r="M341" s="288"/>
    </row>
    <row r="342" spans="1:14" ht="16.5">
      <c r="A342" s="21" t="s">
        <v>746</v>
      </c>
      <c r="B342" s="21"/>
      <c r="C342" s="28" t="s">
        <v>1058</v>
      </c>
      <c r="D342" s="43"/>
      <c r="E342" s="21" t="s">
        <v>1522</v>
      </c>
      <c r="F342" s="22" t="s">
        <v>1332</v>
      </c>
      <c r="G342" s="22" t="s">
        <v>1195</v>
      </c>
      <c r="H342" s="22" t="s">
        <v>1541</v>
      </c>
      <c r="I342" s="67">
        <v>1010</v>
      </c>
      <c r="J342" s="26" t="s">
        <v>836</v>
      </c>
      <c r="K342" s="202">
        <v>3</v>
      </c>
      <c r="L342" s="218" t="s">
        <v>1761</v>
      </c>
      <c r="M342" s="288"/>
    </row>
    <row r="343" spans="1:14" ht="33">
      <c r="A343" s="21" t="s">
        <v>736</v>
      </c>
      <c r="B343" s="21"/>
      <c r="C343" s="28" t="s">
        <v>609</v>
      </c>
      <c r="D343" s="43" t="s">
        <v>1714</v>
      </c>
      <c r="E343" s="21" t="s">
        <v>1521</v>
      </c>
      <c r="F343" s="22" t="s">
        <v>1332</v>
      </c>
      <c r="G343" s="22" t="s">
        <v>1195</v>
      </c>
      <c r="H343" s="122" t="s">
        <v>1541</v>
      </c>
      <c r="I343" s="67">
        <v>1110</v>
      </c>
      <c r="J343" s="26" t="s">
        <v>1680</v>
      </c>
      <c r="K343" s="202">
        <v>4</v>
      </c>
      <c r="L343" s="218" t="s">
        <v>1777</v>
      </c>
      <c r="M343" s="288"/>
    </row>
    <row r="344" spans="1:14" ht="49.5">
      <c r="A344" s="21" t="s">
        <v>736</v>
      </c>
      <c r="B344" s="21"/>
      <c r="C344" s="28" t="s">
        <v>609</v>
      </c>
      <c r="D344" s="43" t="s">
        <v>1715</v>
      </c>
      <c r="E344" s="21" t="s">
        <v>1521</v>
      </c>
      <c r="F344" s="22"/>
      <c r="G344" s="22" t="s">
        <v>1195</v>
      </c>
      <c r="H344" s="122" t="s">
        <v>1541</v>
      </c>
      <c r="I344" s="67">
        <v>1115</v>
      </c>
      <c r="J344" s="26" t="s">
        <v>1681</v>
      </c>
      <c r="K344" s="202">
        <v>1</v>
      </c>
      <c r="L344" s="218"/>
      <c r="M344" s="288"/>
    </row>
    <row r="345" spans="1:14" ht="66">
      <c r="A345" s="21" t="s">
        <v>736</v>
      </c>
      <c r="B345" s="21"/>
      <c r="C345" s="28" t="s">
        <v>1431</v>
      </c>
      <c r="D345" s="43" t="s">
        <v>527</v>
      </c>
      <c r="E345" s="21" t="s">
        <v>1521</v>
      </c>
      <c r="F345" s="22" t="s">
        <v>1332</v>
      </c>
      <c r="G345" s="22" t="s">
        <v>1195</v>
      </c>
      <c r="H345" s="88" t="s">
        <v>1541</v>
      </c>
      <c r="I345" s="67">
        <v>1210</v>
      </c>
      <c r="J345" s="26" t="s">
        <v>410</v>
      </c>
      <c r="K345" s="202">
        <v>4</v>
      </c>
      <c r="L345" s="218" t="s">
        <v>1761</v>
      </c>
      <c r="M345" s="288"/>
    </row>
    <row r="346" spans="1:14" ht="66">
      <c r="A346" s="21" t="s">
        <v>736</v>
      </c>
      <c r="B346" s="21"/>
      <c r="C346" s="28" t="s">
        <v>1431</v>
      </c>
      <c r="D346" s="13" t="s">
        <v>583</v>
      </c>
      <c r="E346" s="21" t="s">
        <v>1521</v>
      </c>
      <c r="F346" s="22"/>
      <c r="G346" s="22" t="s">
        <v>1195</v>
      </c>
      <c r="H346" s="22" t="s">
        <v>1541</v>
      </c>
      <c r="I346" s="67">
        <v>1215</v>
      </c>
      <c r="J346" s="26" t="s">
        <v>588</v>
      </c>
      <c r="K346" s="202">
        <v>1</v>
      </c>
      <c r="L346" s="218" t="s">
        <v>1761</v>
      </c>
      <c r="M346" s="288"/>
      <c r="N346" s="4"/>
    </row>
    <row r="347" spans="1:14" ht="16.5">
      <c r="A347" s="125" t="s">
        <v>235</v>
      </c>
      <c r="B347" s="265"/>
      <c r="C347" s="256" t="s">
        <v>2657</v>
      </c>
      <c r="D347" s="123"/>
      <c r="E347" s="125" t="s">
        <v>1522</v>
      </c>
      <c r="F347" s="131" t="s">
        <v>1330</v>
      </c>
      <c r="G347" s="131" t="s">
        <v>1195</v>
      </c>
      <c r="H347" s="257" t="s">
        <v>1547</v>
      </c>
      <c r="I347" s="131" t="s">
        <v>2655</v>
      </c>
      <c r="J347" s="134" t="s">
        <v>2661</v>
      </c>
      <c r="K347" s="131" t="s">
        <v>753</v>
      </c>
      <c r="L347" s="295" t="s">
        <v>1761</v>
      </c>
      <c r="M347" s="289"/>
      <c r="N347" s="4"/>
    </row>
    <row r="348" spans="1:14" ht="16.5">
      <c r="A348" s="21" t="s">
        <v>368</v>
      </c>
      <c r="B348" s="21" t="s">
        <v>119</v>
      </c>
      <c r="C348" s="29" t="s">
        <v>1003</v>
      </c>
      <c r="D348" s="46"/>
      <c r="E348" s="21" t="s">
        <v>1522</v>
      </c>
      <c r="F348" s="24"/>
      <c r="G348" s="22" t="s">
        <v>1195</v>
      </c>
      <c r="H348" s="22" t="s">
        <v>300</v>
      </c>
      <c r="I348" s="67">
        <v>1400</v>
      </c>
      <c r="J348" s="26" t="s">
        <v>268</v>
      </c>
      <c r="K348" s="112">
        <v>3</v>
      </c>
      <c r="L348" s="218" t="s">
        <v>1761</v>
      </c>
      <c r="M348" s="288"/>
    </row>
    <row r="349" spans="1:14" ht="16.5">
      <c r="A349" s="21" t="s">
        <v>443</v>
      </c>
      <c r="B349" s="21" t="s">
        <v>120</v>
      </c>
      <c r="C349" s="28" t="s">
        <v>1004</v>
      </c>
      <c r="D349" s="43" t="s">
        <v>585</v>
      </c>
      <c r="E349" s="21" t="s">
        <v>1522</v>
      </c>
      <c r="F349" s="22"/>
      <c r="G349" s="22" t="s">
        <v>1195</v>
      </c>
      <c r="H349" s="22" t="s">
        <v>300</v>
      </c>
      <c r="I349" s="67">
        <v>1410</v>
      </c>
      <c r="J349" s="26" t="s">
        <v>689</v>
      </c>
      <c r="K349" s="112">
        <v>3</v>
      </c>
      <c r="L349" s="218" t="s">
        <v>1761</v>
      </c>
      <c r="M349" s="288"/>
    </row>
    <row r="350" spans="1:14" ht="16.5">
      <c r="A350" s="21" t="s">
        <v>44</v>
      </c>
      <c r="B350" s="21"/>
      <c r="C350" s="28" t="s">
        <v>1305</v>
      </c>
      <c r="D350" s="43"/>
      <c r="E350" s="21" t="s">
        <v>1522</v>
      </c>
      <c r="F350" s="22"/>
      <c r="G350" s="22" t="s">
        <v>1195</v>
      </c>
      <c r="H350" s="22" t="s">
        <v>1483</v>
      </c>
      <c r="I350" s="67">
        <v>1010</v>
      </c>
      <c r="J350" s="26" t="s">
        <v>1602</v>
      </c>
      <c r="K350" s="202">
        <v>3</v>
      </c>
      <c r="L350" s="218" t="s">
        <v>1761</v>
      </c>
      <c r="M350" s="178"/>
    </row>
    <row r="351" spans="1:14" ht="16.5">
      <c r="A351" s="21" t="s">
        <v>523</v>
      </c>
      <c r="B351" s="21" t="s">
        <v>123</v>
      </c>
      <c r="C351" s="28" t="s">
        <v>1005</v>
      </c>
      <c r="D351" s="43" t="s">
        <v>608</v>
      </c>
      <c r="E351" s="21" t="s">
        <v>1522</v>
      </c>
      <c r="F351" s="22"/>
      <c r="G351" s="22" t="s">
        <v>1195</v>
      </c>
      <c r="H351" s="22" t="s">
        <v>450</v>
      </c>
      <c r="I351" s="67" t="s">
        <v>1078</v>
      </c>
      <c r="J351" s="25" t="s">
        <v>1325</v>
      </c>
      <c r="K351" s="112">
        <v>9</v>
      </c>
      <c r="L351" s="218" t="s">
        <v>1761</v>
      </c>
      <c r="M351" s="288"/>
    </row>
    <row r="352" spans="1:14" ht="66">
      <c r="A352" s="21" t="s">
        <v>1712</v>
      </c>
      <c r="B352" s="21"/>
      <c r="C352" s="28" t="s">
        <v>1711</v>
      </c>
      <c r="D352" s="43" t="s">
        <v>1752</v>
      </c>
      <c r="E352" s="21" t="s">
        <v>1522</v>
      </c>
      <c r="F352" s="22" t="s">
        <v>533</v>
      </c>
      <c r="G352" s="22" t="s">
        <v>1195</v>
      </c>
      <c r="H352" s="22" t="s">
        <v>1091</v>
      </c>
      <c r="I352" s="67">
        <v>1010</v>
      </c>
      <c r="J352" s="26" t="s">
        <v>1416</v>
      </c>
      <c r="K352" s="202">
        <v>3</v>
      </c>
      <c r="L352" s="218"/>
      <c r="M352" s="288"/>
    </row>
    <row r="353" spans="1:14" ht="82.5">
      <c r="A353" s="21" t="s">
        <v>229</v>
      </c>
      <c r="B353" s="21"/>
      <c r="C353" s="28" t="s">
        <v>295</v>
      </c>
      <c r="D353" s="46" t="s">
        <v>1753</v>
      </c>
      <c r="E353" s="21" t="s">
        <v>1522</v>
      </c>
      <c r="F353" s="22" t="s">
        <v>533</v>
      </c>
      <c r="G353" s="22" t="s">
        <v>1195</v>
      </c>
      <c r="H353" s="22" t="s">
        <v>1091</v>
      </c>
      <c r="I353" s="67">
        <v>2010</v>
      </c>
      <c r="J353" s="25" t="s">
        <v>697</v>
      </c>
      <c r="K353" s="112">
        <v>3</v>
      </c>
      <c r="L353" s="218" t="s">
        <v>1761</v>
      </c>
      <c r="M353" s="288"/>
    </row>
    <row r="354" spans="1:14" ht="16.5">
      <c r="A354" s="21" t="s">
        <v>1861</v>
      </c>
      <c r="B354" s="21"/>
      <c r="C354" s="28" t="s">
        <v>1665</v>
      </c>
      <c r="D354" s="43" t="s">
        <v>326</v>
      </c>
      <c r="E354" s="21" t="s">
        <v>1522</v>
      </c>
      <c r="F354" s="22" t="s">
        <v>446</v>
      </c>
      <c r="G354" s="22" t="s">
        <v>1195</v>
      </c>
      <c r="H354" s="122" t="s">
        <v>1091</v>
      </c>
      <c r="I354" s="67">
        <v>2200</v>
      </c>
      <c r="J354" s="26" t="s">
        <v>1301</v>
      </c>
      <c r="K354" s="202">
        <v>3</v>
      </c>
      <c r="L354" s="218" t="s">
        <v>1780</v>
      </c>
      <c r="M354" s="178"/>
    </row>
    <row r="355" spans="1:14" ht="16.5">
      <c r="A355" s="21" t="s">
        <v>927</v>
      </c>
      <c r="B355" s="21" t="s">
        <v>135</v>
      </c>
      <c r="C355" s="28" t="s">
        <v>1702</v>
      </c>
      <c r="D355" s="43"/>
      <c r="E355" s="21" t="s">
        <v>1522</v>
      </c>
      <c r="F355" s="22"/>
      <c r="G355" s="22" t="s">
        <v>1195</v>
      </c>
      <c r="H355" s="22" t="s">
        <v>1302</v>
      </c>
      <c r="I355" s="67">
        <v>1000</v>
      </c>
      <c r="J355" s="26" t="s">
        <v>1701</v>
      </c>
      <c r="K355" s="202">
        <v>2</v>
      </c>
      <c r="L355" s="218" t="s">
        <v>1776</v>
      </c>
      <c r="M355" s="288"/>
    </row>
    <row r="356" spans="1:14" ht="16.5">
      <c r="A356" s="21" t="s">
        <v>516</v>
      </c>
      <c r="B356" s="21" t="s">
        <v>111</v>
      </c>
      <c r="C356" s="28" t="s">
        <v>1136</v>
      </c>
      <c r="D356" s="43"/>
      <c r="E356" s="21" t="s">
        <v>1522</v>
      </c>
      <c r="F356" s="22" t="s">
        <v>1329</v>
      </c>
      <c r="G356" s="22" t="s">
        <v>1195</v>
      </c>
      <c r="H356" s="22" t="s">
        <v>1703</v>
      </c>
      <c r="I356" s="67">
        <v>1500</v>
      </c>
      <c r="J356" s="26" t="s">
        <v>73</v>
      </c>
      <c r="K356" s="202">
        <v>3</v>
      </c>
      <c r="L356" s="218" t="s">
        <v>1777</v>
      </c>
      <c r="M356" s="288"/>
      <c r="N356" s="3"/>
    </row>
    <row r="357" spans="1:14" ht="16.5">
      <c r="A357" s="21" t="s">
        <v>789</v>
      </c>
      <c r="B357" s="21" t="s">
        <v>91</v>
      </c>
      <c r="C357" s="28" t="s">
        <v>1130</v>
      </c>
      <c r="D357" s="43"/>
      <c r="E357" s="21" t="s">
        <v>1522</v>
      </c>
      <c r="F357" s="22"/>
      <c r="G357" s="122" t="s">
        <v>1195</v>
      </c>
      <c r="H357" s="22" t="s">
        <v>452</v>
      </c>
      <c r="I357" s="67">
        <v>1750</v>
      </c>
      <c r="J357" s="26" t="s">
        <v>919</v>
      </c>
      <c r="K357" s="202">
        <v>3</v>
      </c>
      <c r="L357" s="157" t="s">
        <v>1761</v>
      </c>
      <c r="M357" s="175"/>
    </row>
    <row r="358" spans="1:14" ht="16.5">
      <c r="A358" s="146" t="s">
        <v>747</v>
      </c>
      <c r="B358" s="146"/>
      <c r="C358" s="256" t="s">
        <v>1137</v>
      </c>
      <c r="D358" s="266"/>
      <c r="E358" s="146" t="s">
        <v>1522</v>
      </c>
      <c r="F358" s="148" t="s">
        <v>1332</v>
      </c>
      <c r="G358" s="148" t="s">
        <v>1195</v>
      </c>
      <c r="H358" s="257" t="s">
        <v>1098</v>
      </c>
      <c r="I358" s="148" t="s">
        <v>1528</v>
      </c>
      <c r="J358" s="267" t="s">
        <v>2662</v>
      </c>
      <c r="K358" s="148" t="s">
        <v>753</v>
      </c>
      <c r="L358" s="295" t="s">
        <v>1761</v>
      </c>
      <c r="M358" s="284"/>
    </row>
    <row r="359" spans="1:14" ht="16.5">
      <c r="A359" s="21" t="s">
        <v>230</v>
      </c>
      <c r="B359" s="21"/>
      <c r="C359" s="28" t="s">
        <v>296</v>
      </c>
      <c r="D359" s="43"/>
      <c r="E359" s="21" t="s">
        <v>1522</v>
      </c>
      <c r="F359" s="22" t="s">
        <v>534</v>
      </c>
      <c r="G359" s="22" t="s">
        <v>1195</v>
      </c>
      <c r="H359" s="22" t="s">
        <v>469</v>
      </c>
      <c r="I359" s="67">
        <v>1010</v>
      </c>
      <c r="J359" s="26" t="s">
        <v>852</v>
      </c>
      <c r="K359" s="202">
        <v>3</v>
      </c>
      <c r="L359" s="218" t="s">
        <v>1761</v>
      </c>
      <c r="M359" s="288"/>
    </row>
    <row r="360" spans="1:14" ht="25.5">
      <c r="A360" s="21" t="s">
        <v>507</v>
      </c>
      <c r="B360" s="21" t="s">
        <v>101</v>
      </c>
      <c r="C360" s="106" t="s">
        <v>818</v>
      </c>
      <c r="D360" s="43" t="s">
        <v>584</v>
      </c>
      <c r="E360" s="21" t="s">
        <v>1521</v>
      </c>
      <c r="F360" s="22" t="s">
        <v>1331</v>
      </c>
      <c r="G360" s="22" t="s">
        <v>1195</v>
      </c>
      <c r="H360" s="22" t="s">
        <v>270</v>
      </c>
      <c r="I360" s="67">
        <v>1100</v>
      </c>
      <c r="J360" s="25" t="s">
        <v>853</v>
      </c>
      <c r="K360" s="23">
        <v>3</v>
      </c>
      <c r="L360" s="218" t="s">
        <v>1761</v>
      </c>
      <c r="M360" s="272" t="s">
        <v>2650</v>
      </c>
    </row>
    <row r="361" spans="1:14" ht="25.5">
      <c r="A361" s="21" t="s">
        <v>445</v>
      </c>
      <c r="B361" s="21" t="s">
        <v>114</v>
      </c>
      <c r="C361" s="106" t="s">
        <v>999</v>
      </c>
      <c r="D361" s="43"/>
      <c r="E361" s="21" t="s">
        <v>1522</v>
      </c>
      <c r="F361" s="22"/>
      <c r="G361" s="22" t="s">
        <v>1195</v>
      </c>
      <c r="H361" s="22" t="s">
        <v>270</v>
      </c>
      <c r="I361" s="67">
        <v>2400</v>
      </c>
      <c r="J361" s="26" t="s">
        <v>405</v>
      </c>
      <c r="K361" s="22" t="s">
        <v>753</v>
      </c>
      <c r="L361" s="218" t="s">
        <v>1777</v>
      </c>
      <c r="M361" s="272" t="s">
        <v>2650</v>
      </c>
    </row>
    <row r="362" spans="1:14" ht="16.5">
      <c r="A362" s="21" t="s">
        <v>369</v>
      </c>
      <c r="B362" s="21"/>
      <c r="C362" s="28" t="s">
        <v>1061</v>
      </c>
      <c r="D362" s="43"/>
      <c r="E362" s="21" t="s">
        <v>1522</v>
      </c>
      <c r="F362" s="22" t="s">
        <v>1331</v>
      </c>
      <c r="G362" s="22" t="s">
        <v>1195</v>
      </c>
      <c r="H362" s="22" t="s">
        <v>1154</v>
      </c>
      <c r="I362" s="67">
        <v>1010</v>
      </c>
      <c r="J362" s="26" t="s">
        <v>398</v>
      </c>
      <c r="K362" s="202">
        <v>1</v>
      </c>
      <c r="L362" s="218" t="s">
        <v>1761</v>
      </c>
      <c r="M362" s="288"/>
    </row>
    <row r="363" spans="1:14" ht="33">
      <c r="A363" s="21" t="s">
        <v>51</v>
      </c>
      <c r="B363" s="45"/>
      <c r="C363" s="28" t="s">
        <v>979</v>
      </c>
      <c r="D363" s="43" t="s">
        <v>586</v>
      </c>
      <c r="E363" s="21" t="s">
        <v>1522</v>
      </c>
      <c r="F363" s="22"/>
      <c r="G363" s="22" t="s">
        <v>1195</v>
      </c>
      <c r="H363" s="22" t="s">
        <v>1113</v>
      </c>
      <c r="I363" s="67">
        <v>1010</v>
      </c>
      <c r="J363" s="26" t="s">
        <v>1115</v>
      </c>
      <c r="K363" s="202">
        <v>4</v>
      </c>
      <c r="L363" s="218" t="s">
        <v>1761</v>
      </c>
      <c r="M363" s="288"/>
      <c r="N363" s="3"/>
    </row>
    <row r="364" spans="1:14" ht="85.5" customHeight="1">
      <c r="A364" s="125" t="s">
        <v>50</v>
      </c>
      <c r="B364" s="125"/>
      <c r="C364" s="256" t="s">
        <v>957</v>
      </c>
      <c r="D364" s="123" t="s">
        <v>2659</v>
      </c>
      <c r="E364" s="125" t="s">
        <v>1522</v>
      </c>
      <c r="F364" s="131"/>
      <c r="G364" s="131" t="s">
        <v>1195</v>
      </c>
      <c r="H364" s="257" t="s">
        <v>455</v>
      </c>
      <c r="I364" s="131" t="s">
        <v>440</v>
      </c>
      <c r="J364" s="134" t="s">
        <v>2660</v>
      </c>
      <c r="K364" s="131" t="s">
        <v>753</v>
      </c>
      <c r="L364" s="295" t="s">
        <v>1761</v>
      </c>
      <c r="M364" s="289"/>
      <c r="N364" s="3"/>
    </row>
    <row r="365" spans="1:14" ht="49.5">
      <c r="A365" s="21" t="s">
        <v>1488</v>
      </c>
      <c r="B365" s="21"/>
      <c r="C365" s="28" t="s">
        <v>980</v>
      </c>
      <c r="D365" s="43" t="s">
        <v>1250</v>
      </c>
      <c r="E365" s="21" t="s">
        <v>1522</v>
      </c>
      <c r="F365" s="22" t="s">
        <v>845</v>
      </c>
      <c r="G365" s="22" t="s">
        <v>1195</v>
      </c>
      <c r="H365" s="22" t="s">
        <v>1113</v>
      </c>
      <c r="I365" s="67">
        <v>1050</v>
      </c>
      <c r="J365" s="26" t="s">
        <v>787</v>
      </c>
      <c r="K365" s="202">
        <v>4</v>
      </c>
      <c r="L365" s="218" t="s">
        <v>1781</v>
      </c>
      <c r="M365" s="288"/>
      <c r="N365" s="3"/>
    </row>
    <row r="366" spans="1:14" ht="16.5">
      <c r="A366" s="21" t="s">
        <v>50</v>
      </c>
      <c r="B366" s="21"/>
      <c r="C366" s="28" t="s">
        <v>1062</v>
      </c>
      <c r="D366" s="43" t="s">
        <v>476</v>
      </c>
      <c r="E366" s="21" t="s">
        <v>1522</v>
      </c>
      <c r="F366" s="22"/>
      <c r="G366" s="22" t="s">
        <v>1195</v>
      </c>
      <c r="H366" s="22" t="s">
        <v>1113</v>
      </c>
      <c r="I366" s="67">
        <v>1060</v>
      </c>
      <c r="J366" s="26" t="s">
        <v>1120</v>
      </c>
      <c r="K366" s="202">
        <v>3</v>
      </c>
      <c r="L366" s="218" t="s">
        <v>1777</v>
      </c>
      <c r="M366" s="288"/>
    </row>
    <row r="367" spans="1:14" ht="49.5">
      <c r="A367" s="21" t="s">
        <v>1488</v>
      </c>
      <c r="B367" s="21"/>
      <c r="C367" s="28" t="s">
        <v>980</v>
      </c>
      <c r="D367" s="43" t="s">
        <v>1606</v>
      </c>
      <c r="E367" s="21" t="s">
        <v>1522</v>
      </c>
      <c r="F367" s="22"/>
      <c r="G367" s="22" t="s">
        <v>1195</v>
      </c>
      <c r="H367" s="22" t="s">
        <v>1113</v>
      </c>
      <c r="I367" s="67">
        <v>1065</v>
      </c>
      <c r="J367" s="26" t="s">
        <v>1604</v>
      </c>
      <c r="K367" s="202">
        <v>5</v>
      </c>
      <c r="L367" s="218" t="s">
        <v>1777</v>
      </c>
      <c r="M367" s="288"/>
    </row>
    <row r="368" spans="1:14" ht="33">
      <c r="A368" s="21" t="s">
        <v>1487</v>
      </c>
      <c r="B368" s="21"/>
      <c r="C368" s="28" t="s">
        <v>180</v>
      </c>
      <c r="D368" s="43" t="s">
        <v>477</v>
      </c>
      <c r="E368" s="21" t="s">
        <v>1522</v>
      </c>
      <c r="F368" s="22"/>
      <c r="G368" s="22" t="s">
        <v>1195</v>
      </c>
      <c r="H368" s="22" t="s">
        <v>1113</v>
      </c>
      <c r="I368" s="67">
        <v>1210</v>
      </c>
      <c r="J368" s="26" t="s">
        <v>841</v>
      </c>
      <c r="K368" s="202">
        <v>5</v>
      </c>
      <c r="L368" s="218" t="s">
        <v>1776</v>
      </c>
      <c r="M368" s="288"/>
    </row>
    <row r="369" spans="1:14" ht="33">
      <c r="A369" s="21" t="s">
        <v>1487</v>
      </c>
      <c r="B369" s="21"/>
      <c r="C369" s="28" t="s">
        <v>180</v>
      </c>
      <c r="D369" s="43" t="s">
        <v>1608</v>
      </c>
      <c r="E369" s="21" t="s">
        <v>1522</v>
      </c>
      <c r="F369" s="22"/>
      <c r="G369" s="22" t="s">
        <v>1195</v>
      </c>
      <c r="H369" s="22" t="s">
        <v>1113</v>
      </c>
      <c r="I369" s="67">
        <v>1220</v>
      </c>
      <c r="J369" s="26" t="s">
        <v>350</v>
      </c>
      <c r="K369" s="202">
        <v>4</v>
      </c>
      <c r="L369" s="218"/>
      <c r="M369" s="288"/>
      <c r="N369" s="3"/>
    </row>
    <row r="370" spans="1:14" ht="16.5">
      <c r="A370" s="21" t="s">
        <v>1487</v>
      </c>
      <c r="B370" s="21"/>
      <c r="C370" s="28" t="s">
        <v>180</v>
      </c>
      <c r="D370" s="43" t="s">
        <v>1609</v>
      </c>
      <c r="E370" s="21" t="s">
        <v>1522</v>
      </c>
      <c r="F370" s="22"/>
      <c r="G370" s="22" t="s">
        <v>1195</v>
      </c>
      <c r="H370" s="22" t="s">
        <v>1113</v>
      </c>
      <c r="I370" s="67">
        <v>2210</v>
      </c>
      <c r="J370" s="26" t="s">
        <v>1474</v>
      </c>
      <c r="K370" s="202">
        <v>3</v>
      </c>
      <c r="L370" s="218" t="s">
        <v>1776</v>
      </c>
      <c r="M370" s="288"/>
    </row>
    <row r="371" spans="1:14" ht="16.5">
      <c r="A371" s="21" t="s">
        <v>792</v>
      </c>
      <c r="B371" s="21" t="s">
        <v>94</v>
      </c>
      <c r="C371" s="28" t="s">
        <v>218</v>
      </c>
      <c r="D371" s="43"/>
      <c r="E371" s="21" t="s">
        <v>1522</v>
      </c>
      <c r="F371" s="22"/>
      <c r="G371" s="22" t="s">
        <v>1195</v>
      </c>
      <c r="H371" s="22" t="s">
        <v>457</v>
      </c>
      <c r="I371" s="67">
        <v>1650</v>
      </c>
      <c r="J371" s="26" t="s">
        <v>275</v>
      </c>
      <c r="K371" s="202">
        <v>3</v>
      </c>
      <c r="L371" s="218"/>
      <c r="M371" s="288"/>
    </row>
    <row r="372" spans="1:14" ht="16.5">
      <c r="A372" s="21" t="s">
        <v>791</v>
      </c>
      <c r="B372" s="21" t="s">
        <v>93</v>
      </c>
      <c r="C372" s="28" t="s">
        <v>1063</v>
      </c>
      <c r="D372" s="43"/>
      <c r="E372" s="21" t="s">
        <v>1522</v>
      </c>
      <c r="F372" s="22"/>
      <c r="G372" s="22" t="s">
        <v>1195</v>
      </c>
      <c r="H372" s="22" t="s">
        <v>457</v>
      </c>
      <c r="I372" s="67">
        <v>2050</v>
      </c>
      <c r="J372" s="25" t="s">
        <v>1456</v>
      </c>
      <c r="K372" s="112">
        <v>3</v>
      </c>
      <c r="L372" s="218"/>
      <c r="M372" s="288"/>
      <c r="N372" s="3"/>
    </row>
    <row r="373" spans="1:14" ht="16.5">
      <c r="A373" s="21" t="s">
        <v>506</v>
      </c>
      <c r="B373" s="21" t="s">
        <v>100</v>
      </c>
      <c r="C373" s="28" t="s">
        <v>254</v>
      </c>
      <c r="D373" s="43"/>
      <c r="E373" s="21" t="s">
        <v>1522</v>
      </c>
      <c r="F373" s="22"/>
      <c r="G373" s="22" t="s">
        <v>1195</v>
      </c>
      <c r="H373" s="22" t="s">
        <v>457</v>
      </c>
      <c r="I373" s="67">
        <v>2600</v>
      </c>
      <c r="J373" s="25" t="s">
        <v>456</v>
      </c>
      <c r="K373" s="112">
        <v>3</v>
      </c>
      <c r="L373" s="218" t="s">
        <v>1761</v>
      </c>
      <c r="M373" s="1"/>
    </row>
    <row r="374" spans="1:14" ht="18" customHeight="1">
      <c r="A374" s="21" t="s">
        <v>591</v>
      </c>
      <c r="B374" s="21" t="s">
        <v>131</v>
      </c>
      <c r="C374" s="28" t="s">
        <v>1065</v>
      </c>
      <c r="D374" s="43" t="s">
        <v>2651</v>
      </c>
      <c r="E374" s="21" t="s">
        <v>1522</v>
      </c>
      <c r="F374" s="22"/>
      <c r="G374" s="22" t="s">
        <v>1195</v>
      </c>
      <c r="H374" s="22" t="s">
        <v>459</v>
      </c>
      <c r="I374" s="67">
        <v>2550</v>
      </c>
      <c r="J374" s="26" t="s">
        <v>587</v>
      </c>
      <c r="K374" s="112">
        <v>3</v>
      </c>
      <c r="L374" s="218" t="s">
        <v>1761</v>
      </c>
      <c r="M374" s="288"/>
    </row>
    <row r="375" spans="1:14" ht="16.5">
      <c r="A375" s="19" t="s">
        <v>592</v>
      </c>
      <c r="B375" s="20" t="s">
        <v>133</v>
      </c>
      <c r="C375" s="28" t="s">
        <v>1066</v>
      </c>
      <c r="D375" s="43"/>
      <c r="E375" s="21" t="s">
        <v>1522</v>
      </c>
      <c r="F375" s="22"/>
      <c r="G375" s="22" t="s">
        <v>1195</v>
      </c>
      <c r="H375" s="22" t="s">
        <v>459</v>
      </c>
      <c r="I375" s="67">
        <v>2540</v>
      </c>
      <c r="J375" s="26" t="s">
        <v>767</v>
      </c>
      <c r="K375" s="112">
        <v>3</v>
      </c>
      <c r="L375" s="218" t="s">
        <v>1761</v>
      </c>
      <c r="M375" s="288"/>
      <c r="N375" s="3"/>
    </row>
    <row r="376" spans="1:14" ht="16.5">
      <c r="A376" s="21" t="s">
        <v>52</v>
      </c>
      <c r="B376" s="21"/>
      <c r="C376" s="28" t="s">
        <v>181</v>
      </c>
      <c r="D376" s="43"/>
      <c r="E376" s="21" t="s">
        <v>1521</v>
      </c>
      <c r="F376" s="22" t="s">
        <v>1330</v>
      </c>
      <c r="G376" s="122" t="s">
        <v>1195</v>
      </c>
      <c r="H376" s="22" t="s">
        <v>1876</v>
      </c>
      <c r="I376" s="67">
        <v>1010</v>
      </c>
      <c r="J376" s="26" t="s">
        <v>1877</v>
      </c>
      <c r="K376" s="202">
        <v>3</v>
      </c>
      <c r="L376" s="157" t="s">
        <v>1761</v>
      </c>
      <c r="M376" s="178"/>
    </row>
    <row r="377" spans="1:14" ht="16.5">
      <c r="A377" s="21" t="s">
        <v>743</v>
      </c>
      <c r="B377" s="21" t="s">
        <v>110</v>
      </c>
      <c r="C377" s="28" t="s">
        <v>184</v>
      </c>
      <c r="D377" s="43"/>
      <c r="E377" s="21" t="s">
        <v>1522</v>
      </c>
      <c r="F377" s="22" t="s">
        <v>540</v>
      </c>
      <c r="G377" s="122" t="s">
        <v>1195</v>
      </c>
      <c r="H377" s="22" t="s">
        <v>1264</v>
      </c>
      <c r="I377" s="67">
        <v>1020</v>
      </c>
      <c r="J377" s="26" t="s">
        <v>1885</v>
      </c>
      <c r="K377" s="202">
        <v>3</v>
      </c>
      <c r="L377" s="157" t="s">
        <v>1761</v>
      </c>
      <c r="M377" s="178"/>
    </row>
    <row r="378" spans="1:14" ht="33">
      <c r="A378" s="21" t="s">
        <v>589</v>
      </c>
      <c r="B378" s="21" t="s">
        <v>127</v>
      </c>
      <c r="C378" s="28" t="s">
        <v>183</v>
      </c>
      <c r="D378" s="43" t="s">
        <v>1251</v>
      </c>
      <c r="E378" s="21" t="s">
        <v>1522</v>
      </c>
      <c r="F378" s="22"/>
      <c r="G378" s="22" t="s">
        <v>1195</v>
      </c>
      <c r="H378" s="22" t="s">
        <v>460</v>
      </c>
      <c r="I378" s="67">
        <v>1005</v>
      </c>
      <c r="J378" s="26" t="s">
        <v>28</v>
      </c>
      <c r="K378" s="202">
        <v>3.5</v>
      </c>
      <c r="L378" s="218" t="s">
        <v>1761</v>
      </c>
      <c r="M378" s="288"/>
    </row>
    <row r="379" spans="1:14" ht="33">
      <c r="A379" s="21" t="s">
        <v>589</v>
      </c>
      <c r="B379" s="21" t="s">
        <v>127</v>
      </c>
      <c r="C379" s="28" t="s">
        <v>183</v>
      </c>
      <c r="D379" s="43" t="s">
        <v>1252</v>
      </c>
      <c r="E379" s="21" t="s">
        <v>1522</v>
      </c>
      <c r="F379" s="22"/>
      <c r="G379" s="22" t="s">
        <v>1195</v>
      </c>
      <c r="H379" s="22" t="s">
        <v>460</v>
      </c>
      <c r="I379" s="67">
        <v>1006</v>
      </c>
      <c r="J379" s="26" t="s">
        <v>1498</v>
      </c>
      <c r="K379" s="202">
        <v>0</v>
      </c>
      <c r="L379" s="218" t="s">
        <v>1761</v>
      </c>
      <c r="M379" s="288"/>
    </row>
    <row r="380" spans="1:14" ht="16.5">
      <c r="A380" s="21" t="s">
        <v>589</v>
      </c>
      <c r="B380" s="21" t="s">
        <v>127</v>
      </c>
      <c r="C380" s="28" t="s">
        <v>183</v>
      </c>
      <c r="D380" s="43" t="s">
        <v>690</v>
      </c>
      <c r="E380" s="21" t="s">
        <v>1522</v>
      </c>
      <c r="F380" s="22"/>
      <c r="G380" s="22" t="s">
        <v>1195</v>
      </c>
      <c r="H380" s="22" t="s">
        <v>460</v>
      </c>
      <c r="I380" s="67">
        <v>1007</v>
      </c>
      <c r="J380" s="26" t="s">
        <v>1499</v>
      </c>
      <c r="K380" s="202">
        <v>0</v>
      </c>
      <c r="L380" s="218" t="s">
        <v>1761</v>
      </c>
      <c r="M380" s="288"/>
    </row>
    <row r="381" spans="1:14" ht="33">
      <c r="A381" s="21" t="s">
        <v>737</v>
      </c>
      <c r="B381" s="21"/>
      <c r="C381" s="28" t="s">
        <v>1067</v>
      </c>
      <c r="D381" s="43" t="s">
        <v>819</v>
      </c>
      <c r="E381" s="21" t="s">
        <v>1522</v>
      </c>
      <c r="F381" s="22" t="s">
        <v>1332</v>
      </c>
      <c r="G381" s="22" t="s">
        <v>1195</v>
      </c>
      <c r="H381" s="22" t="s">
        <v>427</v>
      </c>
      <c r="I381" s="67">
        <v>1010</v>
      </c>
      <c r="J381" s="26" t="s">
        <v>867</v>
      </c>
      <c r="K381" s="202">
        <v>3</v>
      </c>
      <c r="L381" s="218" t="s">
        <v>1761</v>
      </c>
      <c r="M381" s="288"/>
    </row>
    <row r="382" spans="1:14" ht="16.5">
      <c r="A382" s="21" t="s">
        <v>750</v>
      </c>
      <c r="B382" s="21"/>
      <c r="C382" s="28" t="s">
        <v>1068</v>
      </c>
      <c r="D382" s="43" t="s">
        <v>478</v>
      </c>
      <c r="E382" s="21" t="s">
        <v>1522</v>
      </c>
      <c r="F382" s="22" t="s">
        <v>1332</v>
      </c>
      <c r="G382" s="22" t="s">
        <v>1195</v>
      </c>
      <c r="H382" s="22" t="s">
        <v>427</v>
      </c>
      <c r="I382" s="67">
        <v>1040</v>
      </c>
      <c r="J382" s="26" t="s">
        <v>269</v>
      </c>
      <c r="K382" s="202">
        <v>3</v>
      </c>
      <c r="L382" s="218" t="s">
        <v>1761</v>
      </c>
      <c r="M382" s="288"/>
    </row>
    <row r="383" spans="1:14" ht="16.5">
      <c r="A383" s="263" t="s">
        <v>752</v>
      </c>
      <c r="B383" s="263"/>
      <c r="C383" s="264" t="s">
        <v>1069</v>
      </c>
      <c r="D383" s="43" t="s">
        <v>479</v>
      </c>
      <c r="E383" s="21" t="s">
        <v>1521</v>
      </c>
      <c r="F383" s="22"/>
      <c r="G383" s="22" t="s">
        <v>1195</v>
      </c>
      <c r="H383" s="22" t="s">
        <v>427</v>
      </c>
      <c r="I383" s="67">
        <v>1045</v>
      </c>
      <c r="J383" s="26" t="s">
        <v>1276</v>
      </c>
      <c r="K383" s="202">
        <v>0</v>
      </c>
      <c r="L383" s="218" t="s">
        <v>1761</v>
      </c>
      <c r="M383" s="288"/>
    </row>
    <row r="384" spans="1:14" ht="33">
      <c r="A384" s="21" t="s">
        <v>737</v>
      </c>
      <c r="B384" s="21"/>
      <c r="C384" s="28" t="s">
        <v>1692</v>
      </c>
      <c r="D384" s="43" t="s">
        <v>1756</v>
      </c>
      <c r="E384" s="21" t="s">
        <v>1522</v>
      </c>
      <c r="F384" s="22" t="s">
        <v>1332</v>
      </c>
      <c r="G384" s="22" t="s">
        <v>1195</v>
      </c>
      <c r="H384" s="122" t="s">
        <v>427</v>
      </c>
      <c r="I384" s="67">
        <v>2010</v>
      </c>
      <c r="J384" s="26" t="s">
        <v>1691</v>
      </c>
      <c r="K384" s="202">
        <v>4</v>
      </c>
      <c r="L384" s="218" t="s">
        <v>1761</v>
      </c>
      <c r="M384" s="288"/>
    </row>
    <row r="385" spans="1:13" ht="33">
      <c r="A385" s="21" t="s">
        <v>737</v>
      </c>
      <c r="B385" s="21"/>
      <c r="C385" s="28" t="s">
        <v>1692</v>
      </c>
      <c r="D385" s="43" t="s">
        <v>1757</v>
      </c>
      <c r="E385" s="21" t="s">
        <v>1522</v>
      </c>
      <c r="F385" s="22"/>
      <c r="G385" s="22" t="s">
        <v>1195</v>
      </c>
      <c r="H385" s="122" t="s">
        <v>427</v>
      </c>
      <c r="I385" s="67">
        <v>2015</v>
      </c>
      <c r="J385" s="26" t="s">
        <v>1755</v>
      </c>
      <c r="K385" s="202">
        <v>1</v>
      </c>
      <c r="L385" s="218" t="s">
        <v>1761</v>
      </c>
      <c r="M385" s="288"/>
    </row>
    <row r="386" spans="1:13" ht="16.5">
      <c r="A386" s="21" t="s">
        <v>2</v>
      </c>
      <c r="B386" s="21"/>
      <c r="C386" s="28" t="s">
        <v>1698</v>
      </c>
      <c r="D386" s="43"/>
      <c r="E386" s="21" t="s">
        <v>1521</v>
      </c>
      <c r="F386" s="22" t="s">
        <v>70</v>
      </c>
      <c r="G386" s="22" t="s">
        <v>1195</v>
      </c>
      <c r="H386" s="122" t="s">
        <v>196</v>
      </c>
      <c r="I386" s="67">
        <v>1100</v>
      </c>
      <c r="J386" s="26" t="s">
        <v>389</v>
      </c>
      <c r="K386" s="202">
        <v>3</v>
      </c>
      <c r="L386" s="218"/>
      <c r="M386" s="288"/>
    </row>
    <row r="387" spans="1:13" ht="16.5">
      <c r="A387" s="21" t="s">
        <v>1540</v>
      </c>
      <c r="B387" s="21"/>
      <c r="C387" s="28" t="s">
        <v>14</v>
      </c>
      <c r="D387" s="43"/>
      <c r="E387" s="21" t="s">
        <v>1522</v>
      </c>
      <c r="F387" s="22" t="s">
        <v>1329</v>
      </c>
      <c r="G387" s="22" t="s">
        <v>1195</v>
      </c>
      <c r="H387" s="22" t="s">
        <v>343</v>
      </c>
      <c r="I387" s="67" t="s">
        <v>1528</v>
      </c>
      <c r="J387" s="25" t="s">
        <v>390</v>
      </c>
      <c r="K387" s="112">
        <v>3</v>
      </c>
      <c r="L387" s="218"/>
      <c r="M387" s="288"/>
    </row>
    <row r="388" spans="1:13" ht="33.75" customHeight="1">
      <c r="A388" s="21" t="s">
        <v>1174</v>
      </c>
      <c r="B388" s="21"/>
      <c r="C388" s="28" t="s">
        <v>1873</v>
      </c>
      <c r="D388" s="43"/>
      <c r="E388" s="21" t="s">
        <v>1521</v>
      </c>
      <c r="F388" s="22" t="s">
        <v>1330</v>
      </c>
      <c r="G388" s="122" t="s">
        <v>1195</v>
      </c>
      <c r="H388" s="22" t="s">
        <v>391</v>
      </c>
      <c r="I388" s="67">
        <v>1013</v>
      </c>
      <c r="J388" s="26" t="s">
        <v>1878</v>
      </c>
      <c r="K388" s="202">
        <v>3</v>
      </c>
      <c r="L388" s="157" t="s">
        <v>1761</v>
      </c>
      <c r="M388" s="178"/>
    </row>
    <row r="389" spans="1:13" ht="16.5">
      <c r="A389" s="21" t="s">
        <v>520</v>
      </c>
      <c r="B389" s="21" t="s">
        <v>118</v>
      </c>
      <c r="C389" s="28" t="s">
        <v>1002</v>
      </c>
      <c r="D389" s="43"/>
      <c r="E389" s="21" t="s">
        <v>1522</v>
      </c>
      <c r="F389" s="22"/>
      <c r="G389" s="22" t="s">
        <v>1195</v>
      </c>
      <c r="H389" s="22" t="s">
        <v>462</v>
      </c>
      <c r="I389" s="67" t="s">
        <v>1532</v>
      </c>
      <c r="J389" s="25" t="s">
        <v>1458</v>
      </c>
      <c r="K389" s="112">
        <v>3</v>
      </c>
      <c r="L389" s="218"/>
      <c r="M389" s="288"/>
    </row>
    <row r="390" spans="1:13" ht="16.5">
      <c r="A390" s="21" t="s">
        <v>521</v>
      </c>
      <c r="B390" s="21" t="s">
        <v>121</v>
      </c>
      <c r="C390" s="28" t="s">
        <v>1070</v>
      </c>
      <c r="D390" s="43"/>
      <c r="E390" s="21" t="s">
        <v>1522</v>
      </c>
      <c r="F390" s="22"/>
      <c r="G390" s="22" t="s">
        <v>1195</v>
      </c>
      <c r="H390" s="22" t="s">
        <v>462</v>
      </c>
      <c r="I390" s="67" t="s">
        <v>1534</v>
      </c>
      <c r="J390" s="26" t="s">
        <v>854</v>
      </c>
      <c r="K390" s="112">
        <v>3</v>
      </c>
      <c r="L390" s="218" t="s">
        <v>1777</v>
      </c>
      <c r="M390" s="288"/>
    </row>
    <row r="391" spans="1:13" ht="25.5">
      <c r="A391" s="21" t="s">
        <v>1496</v>
      </c>
      <c r="B391" s="21" t="s">
        <v>1452</v>
      </c>
      <c r="C391" s="106" t="s">
        <v>1074</v>
      </c>
      <c r="D391" s="101"/>
      <c r="E391" s="21" t="s">
        <v>1522</v>
      </c>
      <c r="F391" s="22"/>
      <c r="G391" s="22" t="s">
        <v>1195</v>
      </c>
      <c r="H391" s="22" t="s">
        <v>462</v>
      </c>
      <c r="I391" s="67" t="s">
        <v>1095</v>
      </c>
      <c r="J391" s="25" t="s">
        <v>480</v>
      </c>
      <c r="K391" s="23">
        <v>3</v>
      </c>
      <c r="L391" s="218" t="s">
        <v>1761</v>
      </c>
      <c r="M391" s="272" t="s">
        <v>2650</v>
      </c>
    </row>
    <row r="392" spans="1:13" ht="16.5">
      <c r="A392" s="255">
        <v>40130013010</v>
      </c>
      <c r="B392" s="21" t="s">
        <v>1451</v>
      </c>
      <c r="C392" s="28" t="s">
        <v>1075</v>
      </c>
      <c r="D392" s="43" t="s">
        <v>481</v>
      </c>
      <c r="E392" s="21" t="s">
        <v>1522</v>
      </c>
      <c r="F392" s="22"/>
      <c r="G392" s="22" t="s">
        <v>1195</v>
      </c>
      <c r="H392" s="22" t="s">
        <v>462</v>
      </c>
      <c r="I392" s="67" t="s">
        <v>451</v>
      </c>
      <c r="J392" s="25" t="s">
        <v>482</v>
      </c>
      <c r="K392" s="112">
        <v>3</v>
      </c>
      <c r="L392" s="218" t="s">
        <v>1776</v>
      </c>
      <c r="M392" s="288"/>
    </row>
    <row r="393" spans="1:13" ht="16.5">
      <c r="A393" s="21" t="s">
        <v>549</v>
      </c>
      <c r="B393" s="21" t="s">
        <v>88</v>
      </c>
      <c r="C393" s="28" t="s">
        <v>1146</v>
      </c>
      <c r="D393" s="43"/>
      <c r="E393" s="21" t="s">
        <v>1522</v>
      </c>
      <c r="F393" s="22"/>
      <c r="G393" s="22" t="s">
        <v>463</v>
      </c>
      <c r="H393" s="22" t="s">
        <v>435</v>
      </c>
      <c r="I393" s="68">
        <v>1110</v>
      </c>
      <c r="J393" s="26" t="s">
        <v>878</v>
      </c>
      <c r="K393" s="112">
        <v>3</v>
      </c>
      <c r="L393" s="218" t="s">
        <v>1776</v>
      </c>
      <c r="M393" s="288"/>
    </row>
    <row r="394" spans="1:13" ht="16.5">
      <c r="A394" s="21" t="s">
        <v>550</v>
      </c>
      <c r="B394" s="21" t="s">
        <v>89</v>
      </c>
      <c r="C394" s="28" t="s">
        <v>1147</v>
      </c>
      <c r="D394" s="43" t="s">
        <v>483</v>
      </c>
      <c r="E394" s="21" t="s">
        <v>1522</v>
      </c>
      <c r="F394" s="22"/>
      <c r="G394" s="22" t="s">
        <v>463</v>
      </c>
      <c r="H394" s="22" t="s">
        <v>435</v>
      </c>
      <c r="I394" s="68">
        <v>1120</v>
      </c>
      <c r="J394" s="26" t="s">
        <v>879</v>
      </c>
      <c r="K394" s="112">
        <v>3</v>
      </c>
      <c r="L394" s="218"/>
      <c r="M394" s="288"/>
    </row>
    <row r="395" spans="1:13" ht="16.5">
      <c r="A395" s="21" t="s">
        <v>50</v>
      </c>
      <c r="B395" s="21"/>
      <c r="C395" s="28" t="s">
        <v>1062</v>
      </c>
      <c r="D395" s="43"/>
      <c r="E395" s="21" t="s">
        <v>1522</v>
      </c>
      <c r="F395" s="22"/>
      <c r="G395" s="22" t="s">
        <v>463</v>
      </c>
      <c r="H395" s="22" t="s">
        <v>376</v>
      </c>
      <c r="I395" s="68">
        <v>1470</v>
      </c>
      <c r="J395" s="26" t="s">
        <v>377</v>
      </c>
      <c r="K395" s="202">
        <v>5</v>
      </c>
      <c r="L395" s="218" t="s">
        <v>1781</v>
      </c>
      <c r="M395" s="288"/>
    </row>
    <row r="396" spans="1:13" ht="16.5">
      <c r="A396" s="21" t="s">
        <v>2606</v>
      </c>
      <c r="B396" s="21" t="s">
        <v>2607</v>
      </c>
      <c r="C396" s="101" t="s">
        <v>2608</v>
      </c>
      <c r="D396" s="43" t="s">
        <v>727</v>
      </c>
      <c r="E396" s="21" t="s">
        <v>1522</v>
      </c>
      <c r="F396" s="22"/>
      <c r="G396" s="22" t="s">
        <v>463</v>
      </c>
      <c r="H396" s="22" t="s">
        <v>900</v>
      </c>
      <c r="I396" s="68">
        <v>1100</v>
      </c>
      <c r="J396" s="26" t="s">
        <v>899</v>
      </c>
      <c r="K396" s="110">
        <v>5</v>
      </c>
      <c r="L396" s="218" t="s">
        <v>1761</v>
      </c>
      <c r="M396" s="204"/>
    </row>
    <row r="397" spans="1:13" ht="16.5">
      <c r="A397" s="21" t="s">
        <v>2606</v>
      </c>
      <c r="B397" s="21" t="s">
        <v>2607</v>
      </c>
      <c r="C397" s="101" t="s">
        <v>2608</v>
      </c>
      <c r="D397" s="43" t="s">
        <v>728</v>
      </c>
      <c r="E397" s="21" t="s">
        <v>1522</v>
      </c>
      <c r="F397" s="22"/>
      <c r="G397" s="22" t="s">
        <v>463</v>
      </c>
      <c r="H397" s="22" t="s">
        <v>900</v>
      </c>
      <c r="I397" s="68">
        <v>1111</v>
      </c>
      <c r="J397" s="26" t="s">
        <v>901</v>
      </c>
      <c r="K397" s="110">
        <v>7</v>
      </c>
      <c r="L397" s="218" t="s">
        <v>1765</v>
      </c>
      <c r="M397" s="204"/>
    </row>
    <row r="398" spans="1:13" ht="16.5">
      <c r="A398" s="21" t="s">
        <v>306</v>
      </c>
      <c r="B398" s="21" t="s">
        <v>571</v>
      </c>
      <c r="C398" s="28" t="s">
        <v>1071</v>
      </c>
      <c r="D398" s="43"/>
      <c r="E398" s="21" t="s">
        <v>1522</v>
      </c>
      <c r="F398" s="22"/>
      <c r="G398" s="22" t="s">
        <v>463</v>
      </c>
      <c r="H398" s="22" t="s">
        <v>464</v>
      </c>
      <c r="I398" s="68">
        <v>1100</v>
      </c>
      <c r="J398" s="26" t="s">
        <v>855</v>
      </c>
      <c r="K398" s="112">
        <v>3</v>
      </c>
      <c r="L398" s="218" t="s">
        <v>1776</v>
      </c>
      <c r="M398" s="272"/>
    </row>
    <row r="399" spans="1:13" ht="16.5">
      <c r="A399" s="21" t="s">
        <v>307</v>
      </c>
      <c r="B399" s="21" t="s">
        <v>575</v>
      </c>
      <c r="C399" s="28" t="s">
        <v>1072</v>
      </c>
      <c r="D399" s="43"/>
      <c r="E399" s="21" t="s">
        <v>1522</v>
      </c>
      <c r="F399" s="22"/>
      <c r="G399" s="22" t="s">
        <v>463</v>
      </c>
      <c r="H399" s="22" t="s">
        <v>464</v>
      </c>
      <c r="I399" s="68">
        <v>1130</v>
      </c>
      <c r="J399" s="26" t="s">
        <v>466</v>
      </c>
      <c r="K399" s="112">
        <v>3</v>
      </c>
      <c r="L399" s="218" t="s">
        <v>1776</v>
      </c>
      <c r="M399" s="272"/>
    </row>
    <row r="400" spans="1:13" ht="16.5">
      <c r="A400" s="21" t="s">
        <v>616</v>
      </c>
      <c r="B400" s="21" t="s">
        <v>574</v>
      </c>
      <c r="C400" s="28" t="s">
        <v>1073</v>
      </c>
      <c r="D400" s="43" t="s">
        <v>1720</v>
      </c>
      <c r="E400" s="21" t="s">
        <v>1522</v>
      </c>
      <c r="F400" s="22"/>
      <c r="G400" s="22" t="s">
        <v>463</v>
      </c>
      <c r="H400" s="22" t="s">
        <v>464</v>
      </c>
      <c r="I400" s="68">
        <v>1310</v>
      </c>
      <c r="J400" s="26" t="s">
        <v>856</v>
      </c>
      <c r="K400" s="112">
        <v>3</v>
      </c>
      <c r="L400" s="218" t="s">
        <v>1776</v>
      </c>
      <c r="M400" s="272"/>
    </row>
    <row r="401" spans="1:14" ht="16.5">
      <c r="A401" s="21" t="s">
        <v>307</v>
      </c>
      <c r="B401" s="21" t="s">
        <v>575</v>
      </c>
      <c r="C401" s="28" t="s">
        <v>1072</v>
      </c>
      <c r="D401" s="43" t="s">
        <v>1720</v>
      </c>
      <c r="E401" s="21" t="s">
        <v>1522</v>
      </c>
      <c r="F401" s="22"/>
      <c r="G401" s="22" t="s">
        <v>463</v>
      </c>
      <c r="H401" s="22" t="s">
        <v>464</v>
      </c>
      <c r="I401" s="68">
        <v>1350</v>
      </c>
      <c r="J401" s="26" t="s">
        <v>599</v>
      </c>
      <c r="K401" s="112">
        <v>3</v>
      </c>
      <c r="L401" s="218" t="s">
        <v>1776</v>
      </c>
      <c r="M401" s="272"/>
    </row>
    <row r="402" spans="1:14" ht="16.5">
      <c r="A402" s="21" t="s">
        <v>386</v>
      </c>
      <c r="B402" s="21"/>
      <c r="C402" s="28" t="s">
        <v>816</v>
      </c>
      <c r="D402" s="43"/>
      <c r="E402" s="21" t="s">
        <v>1521</v>
      </c>
      <c r="F402" s="22" t="s">
        <v>1330</v>
      </c>
      <c r="G402" s="22" t="s">
        <v>463</v>
      </c>
      <c r="H402" s="22" t="s">
        <v>1529</v>
      </c>
      <c r="I402" s="68">
        <v>1010</v>
      </c>
      <c r="J402" s="26" t="s">
        <v>465</v>
      </c>
      <c r="K402" s="112">
        <v>3</v>
      </c>
      <c r="L402" s="218" t="s">
        <v>1776</v>
      </c>
      <c r="M402" s="272"/>
    </row>
    <row r="403" spans="1:14" ht="16.5">
      <c r="A403" s="45" t="s">
        <v>55</v>
      </c>
      <c r="B403" s="45"/>
      <c r="C403" s="28" t="s">
        <v>969</v>
      </c>
      <c r="D403" s="43"/>
      <c r="E403" s="21" t="s">
        <v>1521</v>
      </c>
      <c r="F403" s="22" t="s">
        <v>1330</v>
      </c>
      <c r="G403" s="22" t="s">
        <v>463</v>
      </c>
      <c r="H403" s="22" t="s">
        <v>1529</v>
      </c>
      <c r="I403" s="68">
        <v>1020</v>
      </c>
      <c r="J403" s="26" t="s">
        <v>857</v>
      </c>
      <c r="K403" s="202">
        <v>3</v>
      </c>
      <c r="L403" s="218" t="s">
        <v>1776</v>
      </c>
      <c r="M403" s="272"/>
    </row>
    <row r="404" spans="1:14" ht="16.5">
      <c r="A404" s="45" t="s">
        <v>1496</v>
      </c>
      <c r="B404" s="45" t="s">
        <v>1452</v>
      </c>
      <c r="C404" s="28" t="s">
        <v>1074</v>
      </c>
      <c r="D404" s="43"/>
      <c r="E404" s="21" t="s">
        <v>1522</v>
      </c>
      <c r="F404" s="22" t="s">
        <v>1330</v>
      </c>
      <c r="G404" s="22" t="s">
        <v>463</v>
      </c>
      <c r="H404" s="22" t="s">
        <v>1529</v>
      </c>
      <c r="I404" s="68">
        <v>1020</v>
      </c>
      <c r="J404" s="26" t="s">
        <v>857</v>
      </c>
      <c r="K404" s="202">
        <v>3</v>
      </c>
      <c r="L404" s="218" t="s">
        <v>1781</v>
      </c>
      <c r="M404" s="272"/>
      <c r="N404" s="3"/>
    </row>
    <row r="405" spans="1:14" ht="35.25" customHeight="1">
      <c r="A405" s="21" t="s">
        <v>1352</v>
      </c>
      <c r="B405" s="21"/>
      <c r="C405" s="28" t="s">
        <v>973</v>
      </c>
      <c r="D405" s="103"/>
      <c r="E405" s="21" t="s">
        <v>1522</v>
      </c>
      <c r="F405" s="22" t="s">
        <v>1330</v>
      </c>
      <c r="G405" s="22" t="s">
        <v>463</v>
      </c>
      <c r="H405" s="22" t="s">
        <v>1529</v>
      </c>
      <c r="I405" s="68">
        <v>1060</v>
      </c>
      <c r="J405" s="26" t="s">
        <v>1500</v>
      </c>
      <c r="K405" s="112">
        <v>3</v>
      </c>
      <c r="L405" s="218" t="s">
        <v>1761</v>
      </c>
      <c r="M405" s="272"/>
      <c r="N405" s="3"/>
    </row>
    <row r="406" spans="1:14" ht="16.5">
      <c r="A406" s="21" t="s">
        <v>361</v>
      </c>
      <c r="B406" s="21"/>
      <c r="C406" s="28" t="s">
        <v>970</v>
      </c>
      <c r="D406" s="43" t="s">
        <v>1721</v>
      </c>
      <c r="E406" s="21" t="s">
        <v>1521</v>
      </c>
      <c r="F406" s="22"/>
      <c r="G406" s="22" t="s">
        <v>463</v>
      </c>
      <c r="H406" s="22" t="s">
        <v>1529</v>
      </c>
      <c r="I406" s="68">
        <v>1120</v>
      </c>
      <c r="J406" s="26" t="s">
        <v>770</v>
      </c>
      <c r="K406" s="110">
        <v>3</v>
      </c>
      <c r="L406" s="218" t="s">
        <v>1761</v>
      </c>
      <c r="M406" s="272"/>
      <c r="N406" s="3"/>
    </row>
    <row r="407" spans="1:14" ht="16.5">
      <c r="A407" s="21" t="s">
        <v>309</v>
      </c>
      <c r="B407" s="21" t="s">
        <v>572</v>
      </c>
      <c r="C407" s="28" t="s">
        <v>1011</v>
      </c>
      <c r="D407" s="43"/>
      <c r="E407" s="21" t="s">
        <v>1522</v>
      </c>
      <c r="F407" s="22"/>
      <c r="G407" s="22" t="s">
        <v>463</v>
      </c>
      <c r="H407" s="22" t="s">
        <v>1529</v>
      </c>
      <c r="I407" s="68">
        <v>1135</v>
      </c>
      <c r="J407" s="26" t="s">
        <v>691</v>
      </c>
      <c r="K407" s="112">
        <v>3</v>
      </c>
      <c r="L407" s="218" t="s">
        <v>1761</v>
      </c>
      <c r="M407" s="272"/>
    </row>
    <row r="408" spans="1:14" ht="16.5">
      <c r="A408" s="21" t="s">
        <v>309</v>
      </c>
      <c r="B408" s="21" t="s">
        <v>572</v>
      </c>
      <c r="C408" s="28" t="s">
        <v>1011</v>
      </c>
      <c r="D408" s="43"/>
      <c r="E408" s="21" t="s">
        <v>1522</v>
      </c>
      <c r="F408" s="22"/>
      <c r="G408" s="22" t="s">
        <v>463</v>
      </c>
      <c r="H408" s="22" t="s">
        <v>1529</v>
      </c>
      <c r="I408" s="68">
        <v>1240</v>
      </c>
      <c r="J408" s="26" t="s">
        <v>471</v>
      </c>
      <c r="K408" s="112">
        <v>3</v>
      </c>
      <c r="L408" s="218" t="s">
        <v>1761</v>
      </c>
      <c r="M408" s="272"/>
    </row>
    <row r="409" spans="1:14" ht="16.5">
      <c r="A409" s="21" t="s">
        <v>666</v>
      </c>
      <c r="B409" s="21" t="s">
        <v>1451</v>
      </c>
      <c r="C409" s="28" t="s">
        <v>1075</v>
      </c>
      <c r="D409" s="102"/>
      <c r="E409" s="21" t="s">
        <v>1522</v>
      </c>
      <c r="F409" s="22"/>
      <c r="G409" s="22" t="s">
        <v>463</v>
      </c>
      <c r="H409" s="22" t="s">
        <v>1529</v>
      </c>
      <c r="I409" s="68">
        <v>1310</v>
      </c>
      <c r="J409" s="26" t="s">
        <v>1372</v>
      </c>
      <c r="K409" s="112">
        <v>4</v>
      </c>
      <c r="L409" s="218" t="s">
        <v>1761</v>
      </c>
      <c r="M409" s="272"/>
    </row>
    <row r="410" spans="1:14" ht="16.5">
      <c r="A410" s="21" t="s">
        <v>57</v>
      </c>
      <c r="B410" s="21"/>
      <c r="C410" s="28" t="s">
        <v>971</v>
      </c>
      <c r="D410" s="43"/>
      <c r="E410" s="21" t="s">
        <v>1521</v>
      </c>
      <c r="F410" s="22"/>
      <c r="G410" s="22" t="s">
        <v>463</v>
      </c>
      <c r="H410" s="22" t="s">
        <v>1529</v>
      </c>
      <c r="I410" s="68">
        <v>1530</v>
      </c>
      <c r="J410" s="134" t="s">
        <v>2696</v>
      </c>
      <c r="K410" s="202">
        <v>3</v>
      </c>
      <c r="L410" s="218" t="s">
        <v>1761</v>
      </c>
      <c r="M410" s="272" t="s">
        <v>2697</v>
      </c>
    </row>
    <row r="411" spans="1:14" ht="16.5">
      <c r="A411" s="21" t="s">
        <v>58</v>
      </c>
      <c r="B411" s="21"/>
      <c r="C411" s="28" t="s">
        <v>972</v>
      </c>
      <c r="D411" s="43"/>
      <c r="E411" s="21" t="s">
        <v>1521</v>
      </c>
      <c r="F411" s="22"/>
      <c r="G411" s="22" t="s">
        <v>463</v>
      </c>
      <c r="H411" s="22" t="s">
        <v>1529</v>
      </c>
      <c r="I411" s="68">
        <v>1540</v>
      </c>
      <c r="J411" s="134" t="s">
        <v>2698</v>
      </c>
      <c r="K411" s="202">
        <v>3</v>
      </c>
      <c r="L411" s="218" t="s">
        <v>1761</v>
      </c>
      <c r="M411" s="272" t="s">
        <v>2699</v>
      </c>
      <c r="N411" s="3"/>
    </row>
    <row r="412" spans="1:14" ht="16.5">
      <c r="A412" s="21" t="s">
        <v>54</v>
      </c>
      <c r="B412" s="21"/>
      <c r="C412" s="28" t="s">
        <v>966</v>
      </c>
      <c r="D412" s="43"/>
      <c r="E412" s="21" t="s">
        <v>1521</v>
      </c>
      <c r="F412" s="22"/>
      <c r="G412" s="22" t="s">
        <v>463</v>
      </c>
      <c r="H412" s="22" t="s">
        <v>1529</v>
      </c>
      <c r="I412" s="68">
        <v>1600</v>
      </c>
      <c r="J412" s="26" t="s">
        <v>227</v>
      </c>
      <c r="K412" s="202">
        <v>3</v>
      </c>
      <c r="L412" s="218" t="s">
        <v>1761</v>
      </c>
    </row>
    <row r="413" spans="1:14" ht="16.5">
      <c r="A413" s="21" t="s">
        <v>519</v>
      </c>
      <c r="B413" s="21" t="s">
        <v>117</v>
      </c>
      <c r="C413" s="28" t="s">
        <v>1001</v>
      </c>
      <c r="D413" s="43"/>
      <c r="E413" s="21" t="s">
        <v>1522</v>
      </c>
      <c r="F413" s="22"/>
      <c r="G413" s="22" t="s">
        <v>463</v>
      </c>
      <c r="H413" s="22" t="s">
        <v>1529</v>
      </c>
      <c r="I413" s="68">
        <v>1800</v>
      </c>
      <c r="J413" s="26" t="s">
        <v>1502</v>
      </c>
      <c r="K413" s="112">
        <v>4</v>
      </c>
      <c r="L413" s="218" t="s">
        <v>1761</v>
      </c>
      <c r="M413" s="272"/>
    </row>
    <row r="414" spans="1:14" ht="16.5">
      <c r="A414" s="19" t="s">
        <v>521</v>
      </c>
      <c r="B414" s="20" t="s">
        <v>121</v>
      </c>
      <c r="C414" s="28" t="s">
        <v>1070</v>
      </c>
      <c r="D414" s="43" t="s">
        <v>484</v>
      </c>
      <c r="E414" s="21" t="s">
        <v>1522</v>
      </c>
      <c r="F414" s="22"/>
      <c r="G414" s="22" t="s">
        <v>463</v>
      </c>
      <c r="H414" s="22" t="s">
        <v>1529</v>
      </c>
      <c r="I414" s="68">
        <v>2440</v>
      </c>
      <c r="J414" s="26" t="s">
        <v>1501</v>
      </c>
      <c r="K414" s="112">
        <v>3</v>
      </c>
      <c r="L414" s="218" t="s">
        <v>1761</v>
      </c>
      <c r="M414" s="272"/>
    </row>
    <row r="415" spans="1:14" ht="16.5">
      <c r="A415" s="21" t="s">
        <v>520</v>
      </c>
      <c r="B415" s="21" t="s">
        <v>118</v>
      </c>
      <c r="C415" s="28" t="s">
        <v>1002</v>
      </c>
      <c r="D415" s="43" t="s">
        <v>1810</v>
      </c>
      <c r="E415" s="21" t="s">
        <v>1522</v>
      </c>
      <c r="F415" s="22"/>
      <c r="G415" s="22" t="s">
        <v>463</v>
      </c>
      <c r="H415" s="22" t="s">
        <v>1529</v>
      </c>
      <c r="I415" s="68">
        <v>2980</v>
      </c>
      <c r="J415" s="26" t="s">
        <v>1503</v>
      </c>
      <c r="K415" s="110" t="s">
        <v>636</v>
      </c>
      <c r="L415" s="218" t="s">
        <v>1761</v>
      </c>
      <c r="M415" s="272"/>
    </row>
    <row r="416" spans="1:14" ht="16.5">
      <c r="A416" s="105" t="s">
        <v>2581</v>
      </c>
      <c r="B416" s="105" t="s">
        <v>2584</v>
      </c>
      <c r="C416" s="101" t="s">
        <v>2585</v>
      </c>
      <c r="D416" s="46" t="s">
        <v>485</v>
      </c>
      <c r="E416" s="21" t="s">
        <v>1522</v>
      </c>
      <c r="F416" s="24"/>
      <c r="G416" s="22" t="s">
        <v>463</v>
      </c>
      <c r="H416" s="22" t="s">
        <v>472</v>
      </c>
      <c r="I416" s="68">
        <v>1110</v>
      </c>
      <c r="J416" s="26" t="s">
        <v>1139</v>
      </c>
      <c r="K416" s="202">
        <v>2</v>
      </c>
      <c r="L416" s="218" t="s">
        <v>1761</v>
      </c>
      <c r="M416" s="204"/>
    </row>
    <row r="417" spans="1:14" ht="16.5">
      <c r="A417" s="105" t="s">
        <v>2581</v>
      </c>
      <c r="B417" s="105" t="s">
        <v>2584</v>
      </c>
      <c r="C417" s="101" t="s">
        <v>2585</v>
      </c>
      <c r="D417" s="46" t="s">
        <v>486</v>
      </c>
      <c r="E417" s="21" t="s">
        <v>1522</v>
      </c>
      <c r="F417" s="24"/>
      <c r="G417" s="22" t="s">
        <v>463</v>
      </c>
      <c r="H417" s="22" t="s">
        <v>472</v>
      </c>
      <c r="I417" s="68">
        <v>1111</v>
      </c>
      <c r="J417" s="26" t="s">
        <v>1197</v>
      </c>
      <c r="K417" s="112">
        <v>4</v>
      </c>
      <c r="L417" s="218" t="s">
        <v>1761</v>
      </c>
      <c r="M417" s="204"/>
    </row>
    <row r="418" spans="1:14" ht="16.5">
      <c r="A418" s="21" t="s">
        <v>362</v>
      </c>
      <c r="B418" s="21" t="s">
        <v>564</v>
      </c>
      <c r="C418" s="106" t="s">
        <v>2610</v>
      </c>
      <c r="D418" s="43"/>
      <c r="E418" s="21" t="s">
        <v>1522</v>
      </c>
      <c r="F418" s="22"/>
      <c r="G418" s="22" t="s">
        <v>463</v>
      </c>
      <c r="H418" s="22" t="s">
        <v>1533</v>
      </c>
      <c r="I418" s="67">
        <v>1010</v>
      </c>
      <c r="J418" s="26" t="s">
        <v>858</v>
      </c>
      <c r="K418" s="112">
        <v>5</v>
      </c>
      <c r="L418" s="218" t="s">
        <v>1761</v>
      </c>
      <c r="M418" s="204"/>
    </row>
    <row r="419" spans="1:14" ht="16.5">
      <c r="A419" s="21" t="s">
        <v>362</v>
      </c>
      <c r="B419" s="21" t="s">
        <v>564</v>
      </c>
      <c r="C419" s="106" t="s">
        <v>2610</v>
      </c>
      <c r="D419" s="43" t="s">
        <v>1281</v>
      </c>
      <c r="E419" s="21" t="s">
        <v>1522</v>
      </c>
      <c r="F419" s="22"/>
      <c r="G419" s="22" t="s">
        <v>463</v>
      </c>
      <c r="H419" s="22" t="s">
        <v>1533</v>
      </c>
      <c r="I419" s="67">
        <v>1040</v>
      </c>
      <c r="J419" s="26" t="s">
        <v>912</v>
      </c>
      <c r="K419" s="112">
        <v>3.5</v>
      </c>
      <c r="L419" s="218" t="s">
        <v>1761</v>
      </c>
      <c r="M419" s="204"/>
    </row>
    <row r="420" spans="1:14" s="2" customFormat="1" ht="16.5">
      <c r="A420" s="21" t="s">
        <v>362</v>
      </c>
      <c r="B420" s="21" t="s">
        <v>564</v>
      </c>
      <c r="C420" s="106" t="s">
        <v>2610</v>
      </c>
      <c r="D420" s="43" t="s">
        <v>1282</v>
      </c>
      <c r="E420" s="21" t="s">
        <v>1522</v>
      </c>
      <c r="F420" s="22"/>
      <c r="G420" s="22" t="s">
        <v>463</v>
      </c>
      <c r="H420" s="22" t="s">
        <v>1533</v>
      </c>
      <c r="I420" s="67">
        <v>1060</v>
      </c>
      <c r="J420" s="26" t="s">
        <v>1234</v>
      </c>
      <c r="K420" s="112">
        <v>1</v>
      </c>
      <c r="L420" s="218" t="s">
        <v>1761</v>
      </c>
      <c r="M420" s="204"/>
      <c r="N420" s="1"/>
    </row>
    <row r="421" spans="1:14" ht="16.5">
      <c r="A421" s="21" t="s">
        <v>1198</v>
      </c>
      <c r="B421" s="21" t="s">
        <v>1338</v>
      </c>
      <c r="C421" s="28" t="s">
        <v>1199</v>
      </c>
      <c r="D421" s="43"/>
      <c r="E421" s="21" t="s">
        <v>1522</v>
      </c>
      <c r="F421" s="22"/>
      <c r="G421" s="22" t="s">
        <v>463</v>
      </c>
      <c r="H421" s="22" t="s">
        <v>1533</v>
      </c>
      <c r="I421" s="67">
        <v>1100</v>
      </c>
      <c r="J421" s="26" t="s">
        <v>1200</v>
      </c>
      <c r="K421" s="202">
        <v>5</v>
      </c>
      <c r="L421" s="218" t="s">
        <v>1761</v>
      </c>
      <c r="M421" s="272"/>
    </row>
    <row r="422" spans="1:14" ht="16.5">
      <c r="A422" s="21" t="s">
        <v>362</v>
      </c>
      <c r="B422" s="21" t="s">
        <v>564</v>
      </c>
      <c r="C422" s="106" t="s">
        <v>2610</v>
      </c>
      <c r="D422" s="43" t="s">
        <v>1283</v>
      </c>
      <c r="E422" s="21" t="s">
        <v>1522</v>
      </c>
      <c r="F422" s="22"/>
      <c r="G422" s="22" t="s">
        <v>463</v>
      </c>
      <c r="H422" s="22" t="s">
        <v>1533</v>
      </c>
      <c r="I422" s="67">
        <v>1140</v>
      </c>
      <c r="J422" s="26" t="s">
        <v>914</v>
      </c>
      <c r="K422" s="112">
        <v>3.5</v>
      </c>
      <c r="L422" s="218" t="s">
        <v>1761</v>
      </c>
      <c r="M422" s="204"/>
    </row>
    <row r="423" spans="1:14" ht="16.5">
      <c r="A423" s="21" t="s">
        <v>362</v>
      </c>
      <c r="B423" s="21" t="s">
        <v>564</v>
      </c>
      <c r="C423" s="106" t="s">
        <v>2610</v>
      </c>
      <c r="D423" s="43" t="s">
        <v>1284</v>
      </c>
      <c r="E423" s="21" t="s">
        <v>1522</v>
      </c>
      <c r="F423" s="22"/>
      <c r="G423" s="22" t="s">
        <v>463</v>
      </c>
      <c r="H423" s="22" t="s">
        <v>1533</v>
      </c>
      <c r="I423" s="67">
        <v>1160</v>
      </c>
      <c r="J423" s="26" t="s">
        <v>913</v>
      </c>
      <c r="K423" s="112">
        <v>1</v>
      </c>
      <c r="L423" s="157" t="s">
        <v>1761</v>
      </c>
      <c r="M423" s="204"/>
    </row>
    <row r="424" spans="1:14" ht="16.5">
      <c r="A424" s="21" t="s">
        <v>374</v>
      </c>
      <c r="B424" s="21" t="s">
        <v>573</v>
      </c>
      <c r="C424" s="28" t="s">
        <v>1076</v>
      </c>
      <c r="D424" s="43"/>
      <c r="E424" s="21" t="s">
        <v>1522</v>
      </c>
      <c r="F424" s="22"/>
      <c r="G424" s="22" t="s">
        <v>463</v>
      </c>
      <c r="H424" s="22" t="s">
        <v>1533</v>
      </c>
      <c r="I424" s="68">
        <v>1200</v>
      </c>
      <c r="J424" s="26" t="s">
        <v>473</v>
      </c>
      <c r="K424" s="112">
        <v>7</v>
      </c>
      <c r="L424" s="218" t="s">
        <v>1761</v>
      </c>
      <c r="M424" s="272"/>
    </row>
    <row r="425" spans="1:14" ht="16.5">
      <c r="A425" s="21" t="s">
        <v>374</v>
      </c>
      <c r="B425" s="21" t="s">
        <v>573</v>
      </c>
      <c r="C425" s="29" t="s">
        <v>1076</v>
      </c>
      <c r="D425" s="43" t="s">
        <v>1285</v>
      </c>
      <c r="E425" s="21" t="s">
        <v>1522</v>
      </c>
      <c r="F425" s="24"/>
      <c r="G425" s="22" t="s">
        <v>463</v>
      </c>
      <c r="H425" s="24" t="s">
        <v>1533</v>
      </c>
      <c r="I425" s="68">
        <v>1240</v>
      </c>
      <c r="J425" s="26" t="s">
        <v>859</v>
      </c>
      <c r="K425" s="110">
        <v>3.5</v>
      </c>
      <c r="L425" s="218" t="s">
        <v>1761</v>
      </c>
      <c r="M425" s="272"/>
    </row>
    <row r="426" spans="1:14" ht="16.5">
      <c r="A426" s="21" t="s">
        <v>374</v>
      </c>
      <c r="B426" s="21" t="s">
        <v>573</v>
      </c>
      <c r="C426" s="29" t="s">
        <v>1076</v>
      </c>
      <c r="D426" s="43" t="s">
        <v>1504</v>
      </c>
      <c r="E426" s="21" t="s">
        <v>1522</v>
      </c>
      <c r="F426" s="24"/>
      <c r="G426" s="22" t="s">
        <v>463</v>
      </c>
      <c r="H426" s="24" t="s">
        <v>1533</v>
      </c>
      <c r="I426" s="68">
        <v>1260</v>
      </c>
      <c r="J426" s="26" t="s">
        <v>692</v>
      </c>
      <c r="K426" s="202">
        <v>1</v>
      </c>
      <c r="L426" s="218" t="s">
        <v>1761</v>
      </c>
      <c r="M426" s="272"/>
    </row>
    <row r="427" spans="1:14" ht="33">
      <c r="A427" s="21" t="s">
        <v>363</v>
      </c>
      <c r="B427" s="21"/>
      <c r="C427" s="28" t="s">
        <v>1430</v>
      </c>
      <c r="D427" s="43" t="s">
        <v>798</v>
      </c>
      <c r="E427" s="21" t="s">
        <v>1521</v>
      </c>
      <c r="F427" s="22" t="s">
        <v>540</v>
      </c>
      <c r="G427" s="22" t="s">
        <v>463</v>
      </c>
      <c r="H427" s="22" t="s">
        <v>283</v>
      </c>
      <c r="I427" s="68">
        <v>1010</v>
      </c>
      <c r="J427" s="26" t="s">
        <v>1505</v>
      </c>
      <c r="K427" s="110">
        <v>4</v>
      </c>
      <c r="L427" s="218" t="s">
        <v>1761</v>
      </c>
      <c r="M427" s="272"/>
    </row>
    <row r="428" spans="1:14" ht="33">
      <c r="A428" s="21" t="s">
        <v>363</v>
      </c>
      <c r="B428" s="21"/>
      <c r="C428" s="28" t="s">
        <v>1430</v>
      </c>
      <c r="D428" s="43" t="s">
        <v>799</v>
      </c>
      <c r="E428" s="21" t="s">
        <v>1521</v>
      </c>
      <c r="F428" s="22"/>
      <c r="G428" s="22" t="s">
        <v>463</v>
      </c>
      <c r="H428" s="22" t="s">
        <v>283</v>
      </c>
      <c r="I428" s="68">
        <v>1015</v>
      </c>
      <c r="J428" s="26" t="s">
        <v>1506</v>
      </c>
      <c r="K428" s="110">
        <v>0</v>
      </c>
      <c r="L428" s="218" t="s">
        <v>1761</v>
      </c>
      <c r="M428" s="272"/>
    </row>
    <row r="429" spans="1:14" ht="33">
      <c r="A429" s="21" t="s">
        <v>375</v>
      </c>
      <c r="B429" s="21"/>
      <c r="C429" s="28" t="s">
        <v>1582</v>
      </c>
      <c r="D429" s="43" t="s">
        <v>800</v>
      </c>
      <c r="E429" s="21" t="s">
        <v>1522</v>
      </c>
      <c r="F429" s="22" t="s">
        <v>540</v>
      </c>
      <c r="G429" s="22" t="s">
        <v>463</v>
      </c>
      <c r="H429" s="22" t="s">
        <v>283</v>
      </c>
      <c r="I429" s="68">
        <v>1070</v>
      </c>
      <c r="J429" s="26" t="s">
        <v>1567</v>
      </c>
      <c r="K429" s="110">
        <v>4</v>
      </c>
      <c r="L429" s="218" t="s">
        <v>1761</v>
      </c>
      <c r="M429" s="272"/>
    </row>
    <row r="430" spans="1:14" ht="33">
      <c r="A430" s="19" t="s">
        <v>375</v>
      </c>
      <c r="B430" s="20"/>
      <c r="C430" s="28" t="s">
        <v>1582</v>
      </c>
      <c r="D430" s="43" t="s">
        <v>801</v>
      </c>
      <c r="E430" s="21" t="s">
        <v>1522</v>
      </c>
      <c r="F430" s="22"/>
      <c r="G430" s="22" t="s">
        <v>463</v>
      </c>
      <c r="H430" s="22" t="s">
        <v>283</v>
      </c>
      <c r="I430" s="68">
        <v>1075</v>
      </c>
      <c r="J430" s="26" t="s">
        <v>1568</v>
      </c>
      <c r="K430" s="110">
        <v>0</v>
      </c>
      <c r="L430" s="218" t="s">
        <v>1761</v>
      </c>
      <c r="M430" s="272"/>
    </row>
    <row r="431" spans="1:14" ht="33">
      <c r="A431" s="125" t="s">
        <v>734</v>
      </c>
      <c r="B431" s="125"/>
      <c r="C431" s="251" t="s">
        <v>1077</v>
      </c>
      <c r="D431" s="123" t="s">
        <v>263</v>
      </c>
      <c r="E431" s="125" t="s">
        <v>1522</v>
      </c>
      <c r="F431" s="131" t="s">
        <v>540</v>
      </c>
      <c r="G431" s="131" t="s">
        <v>463</v>
      </c>
      <c r="H431" s="131" t="s">
        <v>283</v>
      </c>
      <c r="I431" s="145">
        <v>1090</v>
      </c>
      <c r="J431" s="134" t="s">
        <v>313</v>
      </c>
      <c r="K431" s="131" t="s">
        <v>753</v>
      </c>
      <c r="L431" s="295" t="s">
        <v>1761</v>
      </c>
      <c r="M431" s="272" t="s">
        <v>2663</v>
      </c>
    </row>
    <row r="432" spans="1:14" ht="33">
      <c r="A432" s="125" t="s">
        <v>526</v>
      </c>
      <c r="B432" s="125" t="s">
        <v>881</v>
      </c>
      <c r="C432" s="251" t="s">
        <v>216</v>
      </c>
      <c r="D432" s="123" t="s">
        <v>1722</v>
      </c>
      <c r="E432" s="125" t="s">
        <v>1522</v>
      </c>
      <c r="F432" s="131" t="s">
        <v>540</v>
      </c>
      <c r="G432" s="131" t="s">
        <v>463</v>
      </c>
      <c r="H432" s="131" t="s">
        <v>283</v>
      </c>
      <c r="I432" s="145">
        <v>1090</v>
      </c>
      <c r="J432" s="134" t="s">
        <v>313</v>
      </c>
      <c r="K432" s="131" t="s">
        <v>753</v>
      </c>
      <c r="L432" s="295" t="s">
        <v>1761</v>
      </c>
      <c r="M432" s="272" t="s">
        <v>2663</v>
      </c>
    </row>
    <row r="433" spans="1:13" ht="99">
      <c r="A433" s="21" t="s">
        <v>363</v>
      </c>
      <c r="B433" s="21"/>
      <c r="C433" s="28" t="s">
        <v>1430</v>
      </c>
      <c r="D433" s="46" t="s">
        <v>1801</v>
      </c>
      <c r="E433" s="21" t="s">
        <v>1521</v>
      </c>
      <c r="F433" s="22" t="s">
        <v>540</v>
      </c>
      <c r="G433" s="22" t="s">
        <v>463</v>
      </c>
      <c r="H433" s="22" t="s">
        <v>283</v>
      </c>
      <c r="I433" s="68">
        <v>1610</v>
      </c>
      <c r="J433" s="26" t="s">
        <v>1042</v>
      </c>
      <c r="K433" s="110">
        <v>4</v>
      </c>
      <c r="L433" s="220" t="s">
        <v>1761</v>
      </c>
      <c r="M433" s="285"/>
    </row>
    <row r="434" spans="1:13" ht="99">
      <c r="A434" s="21" t="s">
        <v>363</v>
      </c>
      <c r="B434" s="21"/>
      <c r="C434" s="28" t="s">
        <v>1430</v>
      </c>
      <c r="D434" s="46" t="s">
        <v>1800</v>
      </c>
      <c r="E434" s="21" t="s">
        <v>1521</v>
      </c>
      <c r="F434" s="22"/>
      <c r="G434" s="22" t="s">
        <v>463</v>
      </c>
      <c r="H434" s="22" t="s">
        <v>283</v>
      </c>
      <c r="I434" s="68">
        <v>1615</v>
      </c>
      <c r="J434" s="26" t="s">
        <v>1043</v>
      </c>
      <c r="K434" s="202">
        <v>0</v>
      </c>
      <c r="L434" s="220" t="s">
        <v>1761</v>
      </c>
      <c r="M434" s="285"/>
    </row>
    <row r="435" spans="1:13" ht="49.5">
      <c r="A435" s="21" t="s">
        <v>734</v>
      </c>
      <c r="B435" s="21"/>
      <c r="C435" s="28" t="s">
        <v>1077</v>
      </c>
      <c r="D435" s="43" t="s">
        <v>1792</v>
      </c>
      <c r="E435" s="21" t="s">
        <v>1522</v>
      </c>
      <c r="F435" s="22"/>
      <c r="G435" s="22" t="s">
        <v>463</v>
      </c>
      <c r="H435" s="22" t="s">
        <v>283</v>
      </c>
      <c r="I435" s="68">
        <v>2020</v>
      </c>
      <c r="J435" s="26" t="s">
        <v>234</v>
      </c>
      <c r="K435" s="202">
        <v>4</v>
      </c>
      <c r="L435" s="220" t="s">
        <v>1761</v>
      </c>
      <c r="M435" s="285"/>
    </row>
    <row r="436" spans="1:13" ht="49.5">
      <c r="A436" s="21" t="s">
        <v>734</v>
      </c>
      <c r="B436" s="21"/>
      <c r="C436" s="28" t="s">
        <v>1077</v>
      </c>
      <c r="D436" s="43" t="s">
        <v>1793</v>
      </c>
      <c r="E436" s="21" t="s">
        <v>1522</v>
      </c>
      <c r="F436" s="22"/>
      <c r="G436" s="22" t="s">
        <v>463</v>
      </c>
      <c r="H436" s="22" t="s">
        <v>283</v>
      </c>
      <c r="I436" s="68">
        <v>2025</v>
      </c>
      <c r="J436" s="26" t="s">
        <v>237</v>
      </c>
      <c r="K436" s="202">
        <v>0</v>
      </c>
      <c r="L436" s="220" t="s">
        <v>1761</v>
      </c>
      <c r="M436" s="285"/>
    </row>
    <row r="437" spans="1:13" ht="66">
      <c r="A437" s="21" t="s">
        <v>233</v>
      </c>
      <c r="B437" s="21"/>
      <c r="C437" s="28" t="s">
        <v>214</v>
      </c>
      <c r="D437" s="43" t="s">
        <v>1794</v>
      </c>
      <c r="E437" s="21" t="s">
        <v>1522</v>
      </c>
      <c r="F437" s="22"/>
      <c r="G437" s="22" t="s">
        <v>463</v>
      </c>
      <c r="H437" s="22" t="s">
        <v>283</v>
      </c>
      <c r="I437" s="68">
        <v>2030</v>
      </c>
      <c r="J437" s="26" t="s">
        <v>542</v>
      </c>
      <c r="K437" s="202">
        <v>4</v>
      </c>
      <c r="L437" s="220" t="s">
        <v>1761</v>
      </c>
      <c r="M437" s="285"/>
    </row>
    <row r="438" spans="1:13" ht="66">
      <c r="A438" s="21" t="s">
        <v>233</v>
      </c>
      <c r="B438" s="21"/>
      <c r="C438" s="28" t="s">
        <v>214</v>
      </c>
      <c r="D438" s="43" t="s">
        <v>1795</v>
      </c>
      <c r="E438" s="21" t="s">
        <v>1522</v>
      </c>
      <c r="F438" s="22"/>
      <c r="G438" s="22" t="s">
        <v>463</v>
      </c>
      <c r="H438" s="22" t="s">
        <v>283</v>
      </c>
      <c r="I438" s="68">
        <v>2035</v>
      </c>
      <c r="J438" s="26" t="s">
        <v>250</v>
      </c>
      <c r="K438" s="202">
        <v>0</v>
      </c>
      <c r="L438" s="220" t="s">
        <v>1761</v>
      </c>
      <c r="M438" s="285"/>
    </row>
    <row r="439" spans="1:13" ht="49.5">
      <c r="A439" s="21" t="s">
        <v>734</v>
      </c>
      <c r="B439" s="21"/>
      <c r="C439" s="28" t="s">
        <v>1077</v>
      </c>
      <c r="D439" s="43" t="s">
        <v>1796</v>
      </c>
      <c r="E439" s="21" t="s">
        <v>1522</v>
      </c>
      <c r="F439" s="22"/>
      <c r="G439" s="22" t="s">
        <v>463</v>
      </c>
      <c r="H439" s="22" t="s">
        <v>283</v>
      </c>
      <c r="I439" s="68">
        <v>2060</v>
      </c>
      <c r="J439" s="26" t="s">
        <v>251</v>
      </c>
      <c r="K439" s="202">
        <v>4</v>
      </c>
      <c r="L439" s="220" t="s">
        <v>1761</v>
      </c>
      <c r="M439" s="285"/>
    </row>
    <row r="440" spans="1:13" ht="49.5">
      <c r="A440" s="21" t="s">
        <v>734</v>
      </c>
      <c r="B440" s="21"/>
      <c r="C440" s="28" t="s">
        <v>1077</v>
      </c>
      <c r="D440" s="43" t="s">
        <v>1797</v>
      </c>
      <c r="E440" s="21" t="s">
        <v>1522</v>
      </c>
      <c r="F440" s="22"/>
      <c r="G440" s="22" t="s">
        <v>463</v>
      </c>
      <c r="H440" s="22" t="s">
        <v>283</v>
      </c>
      <c r="I440" s="68">
        <v>2065</v>
      </c>
      <c r="J440" s="26" t="s">
        <v>252</v>
      </c>
      <c r="K440" s="202">
        <v>0</v>
      </c>
      <c r="L440" s="220" t="s">
        <v>1761</v>
      </c>
      <c r="M440" s="285"/>
    </row>
    <row r="441" spans="1:13" ht="49.5">
      <c r="A441" s="21" t="s">
        <v>603</v>
      </c>
      <c r="B441" s="21"/>
      <c r="C441" s="28" t="s">
        <v>215</v>
      </c>
      <c r="D441" s="43" t="s">
        <v>1798</v>
      </c>
      <c r="E441" s="21" t="s">
        <v>1522</v>
      </c>
      <c r="F441" s="22"/>
      <c r="G441" s="22" t="s">
        <v>463</v>
      </c>
      <c r="H441" s="22" t="s">
        <v>283</v>
      </c>
      <c r="I441" s="68">
        <v>2320</v>
      </c>
      <c r="J441" s="26" t="s">
        <v>1106</v>
      </c>
      <c r="K441" s="202">
        <v>4</v>
      </c>
      <c r="L441" s="220" t="s">
        <v>1761</v>
      </c>
      <c r="M441" s="285"/>
    </row>
    <row r="442" spans="1:13" ht="49.5">
      <c r="A442" s="21" t="s">
        <v>526</v>
      </c>
      <c r="B442" s="21" t="s">
        <v>881</v>
      </c>
      <c r="C442" s="28" t="s">
        <v>216</v>
      </c>
      <c r="D442" s="43" t="s">
        <v>1798</v>
      </c>
      <c r="E442" s="21" t="s">
        <v>1522</v>
      </c>
      <c r="F442" s="22"/>
      <c r="G442" s="22" t="s">
        <v>463</v>
      </c>
      <c r="H442" s="22" t="s">
        <v>283</v>
      </c>
      <c r="I442" s="68">
        <v>2320</v>
      </c>
      <c r="J442" s="26" t="s">
        <v>1106</v>
      </c>
      <c r="K442" s="202">
        <v>4</v>
      </c>
      <c r="L442" s="220" t="s">
        <v>1761</v>
      </c>
      <c r="M442" s="285"/>
    </row>
    <row r="443" spans="1:13" ht="49.5">
      <c r="A443" s="21" t="s">
        <v>603</v>
      </c>
      <c r="B443" s="21"/>
      <c r="C443" s="28" t="s">
        <v>215</v>
      </c>
      <c r="D443" s="43" t="s">
        <v>1799</v>
      </c>
      <c r="E443" s="21" t="s">
        <v>1522</v>
      </c>
      <c r="F443" s="22"/>
      <c r="G443" s="22" t="s">
        <v>463</v>
      </c>
      <c r="H443" s="22" t="s">
        <v>283</v>
      </c>
      <c r="I443" s="68">
        <v>2325</v>
      </c>
      <c r="J443" s="26" t="s">
        <v>1108</v>
      </c>
      <c r="K443" s="202">
        <v>0</v>
      </c>
      <c r="L443" s="220" t="s">
        <v>1761</v>
      </c>
      <c r="M443" s="285"/>
    </row>
    <row r="444" spans="1:13" ht="16.5">
      <c r="A444" s="21" t="s">
        <v>1868</v>
      </c>
      <c r="B444" s="21" t="s">
        <v>1869</v>
      </c>
      <c r="C444" s="28" t="s">
        <v>1870</v>
      </c>
      <c r="D444" s="43"/>
      <c r="E444" s="21" t="s">
        <v>1522</v>
      </c>
      <c r="F444" s="22"/>
      <c r="G444" s="122" t="s">
        <v>463</v>
      </c>
      <c r="H444" s="22" t="s">
        <v>1866</v>
      </c>
      <c r="I444" s="67">
        <v>1110</v>
      </c>
      <c r="J444" s="26" t="s">
        <v>1867</v>
      </c>
      <c r="K444" s="202">
        <v>3</v>
      </c>
      <c r="L444" s="169" t="s">
        <v>1761</v>
      </c>
      <c r="M444" s="290"/>
    </row>
    <row r="445" spans="1:13" ht="16.5">
      <c r="A445" s="21" t="s">
        <v>1868</v>
      </c>
      <c r="B445" s="21" t="s">
        <v>1869</v>
      </c>
      <c r="C445" s="28" t="s">
        <v>1870</v>
      </c>
      <c r="D445" s="43" t="s">
        <v>1887</v>
      </c>
      <c r="E445" s="21" t="s">
        <v>1522</v>
      </c>
      <c r="F445" s="22"/>
      <c r="G445" s="122" t="s">
        <v>463</v>
      </c>
      <c r="H445" s="22" t="s">
        <v>1866</v>
      </c>
      <c r="I445" s="67">
        <v>1120</v>
      </c>
      <c r="J445" s="26" t="s">
        <v>1871</v>
      </c>
      <c r="K445" s="202">
        <v>3</v>
      </c>
      <c r="L445" s="169" t="s">
        <v>1761</v>
      </c>
      <c r="M445" s="290"/>
    </row>
    <row r="446" spans="1:13" ht="16.5">
      <c r="A446" s="21" t="s">
        <v>5</v>
      </c>
      <c r="B446" s="21" t="s">
        <v>560</v>
      </c>
      <c r="C446" s="101" t="s">
        <v>2564</v>
      </c>
      <c r="D446" s="187"/>
      <c r="E446" s="21" t="s">
        <v>1522</v>
      </c>
      <c r="F446" s="22"/>
      <c r="G446" s="122" t="s">
        <v>463</v>
      </c>
      <c r="H446" s="22" t="s">
        <v>2535</v>
      </c>
      <c r="I446" s="67">
        <v>1101</v>
      </c>
      <c r="J446" s="26" t="s">
        <v>2537</v>
      </c>
      <c r="K446" s="202">
        <v>3</v>
      </c>
      <c r="L446" s="169" t="s">
        <v>1761</v>
      </c>
      <c r="M446" s="285"/>
    </row>
    <row r="447" spans="1:13" ht="16.5">
      <c r="A447" s="21" t="s">
        <v>2565</v>
      </c>
      <c r="B447" s="21" t="s">
        <v>2566</v>
      </c>
      <c r="C447" s="101" t="s">
        <v>2567</v>
      </c>
      <c r="D447" s="187"/>
      <c r="E447" s="21" t="s">
        <v>1522</v>
      </c>
      <c r="F447" s="22"/>
      <c r="G447" s="122" t="s">
        <v>463</v>
      </c>
      <c r="H447" s="22" t="s">
        <v>2535</v>
      </c>
      <c r="I447" s="67">
        <v>1101</v>
      </c>
      <c r="J447" s="26" t="s">
        <v>2537</v>
      </c>
      <c r="K447" s="202">
        <v>3</v>
      </c>
      <c r="L447" s="169" t="s">
        <v>1761</v>
      </c>
      <c r="M447" s="285"/>
    </row>
    <row r="448" spans="1:13" ht="16.5">
      <c r="A448" s="21" t="s">
        <v>5</v>
      </c>
      <c r="B448" s="21" t="s">
        <v>560</v>
      </c>
      <c r="C448" s="101" t="s">
        <v>2564</v>
      </c>
      <c r="D448" s="187"/>
      <c r="E448" s="21" t="s">
        <v>1522</v>
      </c>
      <c r="F448" s="22"/>
      <c r="G448" s="122" t="s">
        <v>463</v>
      </c>
      <c r="H448" s="22" t="s">
        <v>2535</v>
      </c>
      <c r="I448" s="67">
        <v>1102</v>
      </c>
      <c r="J448" s="26" t="s">
        <v>2538</v>
      </c>
      <c r="K448" s="202">
        <v>3</v>
      </c>
      <c r="L448" s="169" t="s">
        <v>1761</v>
      </c>
      <c r="M448" s="285"/>
    </row>
    <row r="449" spans="1:13" ht="16.5">
      <c r="A449" s="21" t="s">
        <v>2565</v>
      </c>
      <c r="B449" s="21" t="s">
        <v>2566</v>
      </c>
      <c r="C449" s="101" t="s">
        <v>2567</v>
      </c>
      <c r="D449" s="187"/>
      <c r="E449" s="21" t="s">
        <v>1522</v>
      </c>
      <c r="F449" s="22"/>
      <c r="G449" s="122" t="s">
        <v>463</v>
      </c>
      <c r="H449" s="22" t="s">
        <v>2535</v>
      </c>
      <c r="I449" s="67">
        <v>1102</v>
      </c>
      <c r="J449" s="26" t="s">
        <v>2538</v>
      </c>
      <c r="K449" s="202">
        <v>3</v>
      </c>
      <c r="L449" s="169" t="s">
        <v>1761</v>
      </c>
      <c r="M449" s="285"/>
    </row>
    <row r="450" spans="1:13" ht="16.5">
      <c r="A450" s="21" t="s">
        <v>5</v>
      </c>
      <c r="B450" s="21" t="s">
        <v>560</v>
      </c>
      <c r="C450" s="101" t="s">
        <v>2564</v>
      </c>
      <c r="D450" s="187"/>
      <c r="E450" s="21" t="s">
        <v>1522</v>
      </c>
      <c r="F450" s="22"/>
      <c r="G450" s="122" t="s">
        <v>463</v>
      </c>
      <c r="H450" s="22" t="s">
        <v>2535</v>
      </c>
      <c r="I450" s="67">
        <v>1110</v>
      </c>
      <c r="J450" s="26" t="s">
        <v>2539</v>
      </c>
      <c r="K450" s="202">
        <v>4</v>
      </c>
      <c r="L450" s="169" t="s">
        <v>1761</v>
      </c>
      <c r="M450" s="285"/>
    </row>
    <row r="451" spans="1:13" ht="16.5">
      <c r="A451" s="21" t="s">
        <v>2565</v>
      </c>
      <c r="B451" s="21" t="s">
        <v>2566</v>
      </c>
      <c r="C451" s="101" t="s">
        <v>2567</v>
      </c>
      <c r="D451" s="187"/>
      <c r="E451" s="21" t="s">
        <v>1522</v>
      </c>
      <c r="F451" s="22"/>
      <c r="G451" s="122" t="s">
        <v>463</v>
      </c>
      <c r="H451" s="22" t="s">
        <v>2535</v>
      </c>
      <c r="I451" s="67">
        <v>1110</v>
      </c>
      <c r="J451" s="26" t="s">
        <v>2539</v>
      </c>
      <c r="K451" s="202">
        <v>4</v>
      </c>
      <c r="L451" s="169" t="s">
        <v>1761</v>
      </c>
      <c r="M451" s="285"/>
    </row>
    <row r="452" spans="1:13" ht="16.5">
      <c r="A452" s="21" t="s">
        <v>5</v>
      </c>
      <c r="B452" s="21" t="s">
        <v>560</v>
      </c>
      <c r="C452" s="101" t="s">
        <v>2564</v>
      </c>
      <c r="D452" s="187"/>
      <c r="E452" s="21" t="s">
        <v>1522</v>
      </c>
      <c r="F452" s="22"/>
      <c r="G452" s="122" t="s">
        <v>463</v>
      </c>
      <c r="H452" s="22" t="s">
        <v>2535</v>
      </c>
      <c r="I452" s="67">
        <v>1201</v>
      </c>
      <c r="J452" s="26" t="s">
        <v>2540</v>
      </c>
      <c r="K452" s="202">
        <v>3</v>
      </c>
      <c r="L452" s="169" t="s">
        <v>1761</v>
      </c>
      <c r="M452" s="285"/>
    </row>
    <row r="453" spans="1:13" ht="16.5">
      <c r="A453" s="21" t="s">
        <v>2565</v>
      </c>
      <c r="B453" s="21" t="s">
        <v>2566</v>
      </c>
      <c r="C453" s="101" t="s">
        <v>2567</v>
      </c>
      <c r="D453" s="187"/>
      <c r="E453" s="21" t="s">
        <v>1522</v>
      </c>
      <c r="F453" s="22"/>
      <c r="G453" s="122" t="s">
        <v>463</v>
      </c>
      <c r="H453" s="22" t="s">
        <v>2535</v>
      </c>
      <c r="I453" s="67">
        <v>1201</v>
      </c>
      <c r="J453" s="26" t="s">
        <v>2540</v>
      </c>
      <c r="K453" s="202">
        <v>3</v>
      </c>
      <c r="L453" s="169" t="s">
        <v>1761</v>
      </c>
      <c r="M453" s="285"/>
    </row>
    <row r="454" spans="1:13" ht="16.5">
      <c r="A454" s="21" t="s">
        <v>5</v>
      </c>
      <c r="B454" s="21" t="s">
        <v>560</v>
      </c>
      <c r="C454" s="101" t="s">
        <v>2564</v>
      </c>
      <c r="D454" s="187"/>
      <c r="E454" s="21" t="s">
        <v>1522</v>
      </c>
      <c r="F454" s="22"/>
      <c r="G454" s="122" t="s">
        <v>463</v>
      </c>
      <c r="H454" s="22" t="s">
        <v>2535</v>
      </c>
      <c r="I454" s="67">
        <v>1202</v>
      </c>
      <c r="J454" s="26" t="s">
        <v>2541</v>
      </c>
      <c r="K454" s="202">
        <v>3</v>
      </c>
      <c r="L454" s="169" t="s">
        <v>1761</v>
      </c>
      <c r="M454" s="285"/>
    </row>
    <row r="455" spans="1:13" ht="16.5">
      <c r="A455" s="21" t="s">
        <v>2565</v>
      </c>
      <c r="B455" s="21" t="s">
        <v>2566</v>
      </c>
      <c r="C455" s="101" t="s">
        <v>2567</v>
      </c>
      <c r="D455" s="187"/>
      <c r="E455" s="21" t="s">
        <v>1522</v>
      </c>
      <c r="F455" s="22"/>
      <c r="G455" s="122" t="s">
        <v>463</v>
      </c>
      <c r="H455" s="22" t="s">
        <v>2535</v>
      </c>
      <c r="I455" s="67">
        <v>1202</v>
      </c>
      <c r="J455" s="26" t="s">
        <v>2541</v>
      </c>
      <c r="K455" s="202">
        <v>3</v>
      </c>
      <c r="L455" s="169" t="s">
        <v>1761</v>
      </c>
      <c r="M455" s="285"/>
    </row>
    <row r="456" spans="1:13" ht="16.5">
      <c r="A456" s="21" t="s">
        <v>5</v>
      </c>
      <c r="B456" s="21" t="s">
        <v>560</v>
      </c>
      <c r="C456" s="101" t="s">
        <v>2564</v>
      </c>
      <c r="D456" s="187"/>
      <c r="E456" s="21" t="s">
        <v>1522</v>
      </c>
      <c r="F456" s="22"/>
      <c r="G456" s="122" t="s">
        <v>463</v>
      </c>
      <c r="H456" s="22" t="s">
        <v>2535</v>
      </c>
      <c r="I456" s="67">
        <v>1210</v>
      </c>
      <c r="J456" s="26" t="s">
        <v>2542</v>
      </c>
      <c r="K456" s="202">
        <v>4</v>
      </c>
      <c r="L456" s="169" t="s">
        <v>1761</v>
      </c>
      <c r="M456" s="285"/>
    </row>
    <row r="457" spans="1:13" ht="16.5">
      <c r="A457" s="21" t="s">
        <v>2565</v>
      </c>
      <c r="B457" s="21" t="s">
        <v>2566</v>
      </c>
      <c r="C457" s="101" t="s">
        <v>2567</v>
      </c>
      <c r="D457" s="187"/>
      <c r="E457" s="21" t="s">
        <v>1522</v>
      </c>
      <c r="F457" s="22"/>
      <c r="G457" s="122" t="s">
        <v>463</v>
      </c>
      <c r="H457" s="22" t="s">
        <v>2535</v>
      </c>
      <c r="I457" s="67">
        <v>1210</v>
      </c>
      <c r="J457" s="26" t="s">
        <v>2542</v>
      </c>
      <c r="K457" s="202">
        <v>4</v>
      </c>
      <c r="L457" s="169" t="s">
        <v>1761</v>
      </c>
      <c r="M457" s="285"/>
    </row>
    <row r="458" spans="1:13" ht="16.5">
      <c r="A458" s="21" t="s">
        <v>5</v>
      </c>
      <c r="B458" s="21" t="s">
        <v>560</v>
      </c>
      <c r="C458" s="101" t="s">
        <v>2564</v>
      </c>
      <c r="D458" s="187"/>
      <c r="E458" s="21" t="s">
        <v>1522</v>
      </c>
      <c r="F458" s="22"/>
      <c r="G458" s="122" t="s">
        <v>463</v>
      </c>
      <c r="H458" s="22" t="s">
        <v>2535</v>
      </c>
      <c r="I458" s="67">
        <v>2301</v>
      </c>
      <c r="J458" s="26" t="s">
        <v>2543</v>
      </c>
      <c r="K458" s="202">
        <v>3</v>
      </c>
      <c r="L458" s="169" t="s">
        <v>1761</v>
      </c>
      <c r="M458" s="285"/>
    </row>
    <row r="459" spans="1:13" ht="16.5">
      <c r="A459" s="21" t="s">
        <v>2565</v>
      </c>
      <c r="B459" s="21" t="s">
        <v>2566</v>
      </c>
      <c r="C459" s="101" t="s">
        <v>2567</v>
      </c>
      <c r="D459" s="187"/>
      <c r="E459" s="21" t="s">
        <v>1522</v>
      </c>
      <c r="F459" s="22"/>
      <c r="G459" s="122" t="s">
        <v>463</v>
      </c>
      <c r="H459" s="22" t="s">
        <v>2535</v>
      </c>
      <c r="I459" s="67">
        <v>2301</v>
      </c>
      <c r="J459" s="26" t="s">
        <v>2543</v>
      </c>
      <c r="K459" s="202">
        <v>3</v>
      </c>
      <c r="L459" s="169" t="s">
        <v>1761</v>
      </c>
      <c r="M459" s="285"/>
    </row>
    <row r="460" spans="1:13" ht="16.5">
      <c r="A460" s="21" t="s">
        <v>5</v>
      </c>
      <c r="B460" s="21" t="s">
        <v>560</v>
      </c>
      <c r="C460" s="101" t="s">
        <v>2564</v>
      </c>
      <c r="D460" s="187"/>
      <c r="E460" s="21" t="s">
        <v>1522</v>
      </c>
      <c r="F460" s="22"/>
      <c r="G460" s="122" t="s">
        <v>463</v>
      </c>
      <c r="H460" s="22" t="s">
        <v>2535</v>
      </c>
      <c r="I460" s="67">
        <v>2302</v>
      </c>
      <c r="J460" s="26" t="s">
        <v>2545</v>
      </c>
      <c r="K460" s="202">
        <v>3</v>
      </c>
      <c r="L460" s="169" t="s">
        <v>1761</v>
      </c>
      <c r="M460" s="285"/>
    </row>
    <row r="461" spans="1:13" ht="16.5">
      <c r="A461" s="21" t="s">
        <v>2565</v>
      </c>
      <c r="B461" s="21" t="s">
        <v>2566</v>
      </c>
      <c r="C461" s="101" t="s">
        <v>2567</v>
      </c>
      <c r="D461" s="187"/>
      <c r="E461" s="21" t="s">
        <v>1522</v>
      </c>
      <c r="F461" s="22"/>
      <c r="G461" s="122" t="s">
        <v>463</v>
      </c>
      <c r="H461" s="22" t="s">
        <v>2535</v>
      </c>
      <c r="I461" s="67">
        <v>2302</v>
      </c>
      <c r="J461" s="26" t="s">
        <v>2545</v>
      </c>
      <c r="K461" s="202">
        <v>3</v>
      </c>
      <c r="L461" s="169" t="s">
        <v>1761</v>
      </c>
      <c r="M461" s="285"/>
    </row>
    <row r="462" spans="1:13" ht="16.5">
      <c r="A462" s="21" t="s">
        <v>5</v>
      </c>
      <c r="B462" s="21" t="s">
        <v>560</v>
      </c>
      <c r="C462" s="101" t="s">
        <v>2564</v>
      </c>
      <c r="D462" s="187"/>
      <c r="E462" s="21" t="s">
        <v>1522</v>
      </c>
      <c r="F462" s="22"/>
      <c r="G462" s="122" t="s">
        <v>463</v>
      </c>
      <c r="H462" s="22" t="s">
        <v>2535</v>
      </c>
      <c r="I462" s="67">
        <v>2310</v>
      </c>
      <c r="J462" s="26" t="s">
        <v>2544</v>
      </c>
      <c r="K462" s="202">
        <v>4</v>
      </c>
      <c r="L462" s="169" t="s">
        <v>1761</v>
      </c>
      <c r="M462" s="285"/>
    </row>
    <row r="463" spans="1:13" ht="16.5">
      <c r="A463" s="21" t="s">
        <v>2565</v>
      </c>
      <c r="B463" s="21" t="s">
        <v>2566</v>
      </c>
      <c r="C463" s="101" t="s">
        <v>2567</v>
      </c>
      <c r="D463" s="187"/>
      <c r="E463" s="21" t="s">
        <v>1522</v>
      </c>
      <c r="F463" s="22"/>
      <c r="G463" s="122" t="s">
        <v>463</v>
      </c>
      <c r="H463" s="22" t="s">
        <v>2535</v>
      </c>
      <c r="I463" s="67">
        <v>2310</v>
      </c>
      <c r="J463" s="26" t="s">
        <v>2544</v>
      </c>
      <c r="K463" s="202">
        <v>4</v>
      </c>
      <c r="L463" s="169" t="s">
        <v>1761</v>
      </c>
      <c r="M463" s="285"/>
    </row>
    <row r="464" spans="1:13" ht="16.5">
      <c r="A464" s="21" t="s">
        <v>5</v>
      </c>
      <c r="B464" s="21" t="s">
        <v>560</v>
      </c>
      <c r="C464" s="101" t="s">
        <v>2564</v>
      </c>
      <c r="D464" s="187"/>
      <c r="E464" s="21" t="s">
        <v>1522</v>
      </c>
      <c r="F464" s="22"/>
      <c r="G464" s="122" t="s">
        <v>463</v>
      </c>
      <c r="H464" s="22" t="s">
        <v>2535</v>
      </c>
      <c r="I464" s="67">
        <v>2401</v>
      </c>
      <c r="J464" s="26" t="s">
        <v>2546</v>
      </c>
      <c r="K464" s="202">
        <v>3</v>
      </c>
      <c r="L464" s="169" t="s">
        <v>1761</v>
      </c>
      <c r="M464" s="285"/>
    </row>
    <row r="465" spans="1:14" ht="16.5">
      <c r="A465" s="21" t="s">
        <v>2565</v>
      </c>
      <c r="B465" s="21" t="s">
        <v>2566</v>
      </c>
      <c r="C465" s="101" t="s">
        <v>2567</v>
      </c>
      <c r="D465" s="187"/>
      <c r="E465" s="21" t="s">
        <v>1522</v>
      </c>
      <c r="F465" s="22"/>
      <c r="G465" s="122" t="s">
        <v>463</v>
      </c>
      <c r="H465" s="22" t="s">
        <v>2535</v>
      </c>
      <c r="I465" s="67">
        <v>2401</v>
      </c>
      <c r="J465" s="26" t="s">
        <v>2546</v>
      </c>
      <c r="K465" s="202">
        <v>3</v>
      </c>
      <c r="L465" s="169" t="s">
        <v>1761</v>
      </c>
      <c r="M465" s="285"/>
    </row>
    <row r="466" spans="1:14" ht="16.5">
      <c r="A466" s="21" t="s">
        <v>5</v>
      </c>
      <c r="B466" s="21" t="s">
        <v>560</v>
      </c>
      <c r="C466" s="101" t="s">
        <v>2564</v>
      </c>
      <c r="D466" s="187"/>
      <c r="E466" s="21" t="s">
        <v>1522</v>
      </c>
      <c r="F466" s="22"/>
      <c r="G466" s="122" t="s">
        <v>463</v>
      </c>
      <c r="H466" s="22" t="s">
        <v>2535</v>
      </c>
      <c r="I466" s="67">
        <v>2990</v>
      </c>
      <c r="J466" s="26" t="s">
        <v>2551</v>
      </c>
      <c r="K466" s="202" t="s">
        <v>2552</v>
      </c>
      <c r="L466" s="169" t="s">
        <v>1761</v>
      </c>
      <c r="M466" s="285"/>
    </row>
    <row r="467" spans="1:14" ht="16.5">
      <c r="A467" s="21" t="s">
        <v>2565</v>
      </c>
      <c r="B467" s="21" t="s">
        <v>2566</v>
      </c>
      <c r="C467" s="101" t="s">
        <v>2567</v>
      </c>
      <c r="D467" s="187"/>
      <c r="E467" s="21" t="s">
        <v>1522</v>
      </c>
      <c r="F467" s="22"/>
      <c r="G467" s="122" t="s">
        <v>463</v>
      </c>
      <c r="H467" s="22" t="s">
        <v>2535</v>
      </c>
      <c r="I467" s="67">
        <v>2990</v>
      </c>
      <c r="J467" s="26" t="s">
        <v>2551</v>
      </c>
      <c r="K467" s="202" t="s">
        <v>2552</v>
      </c>
      <c r="L467" s="169" t="s">
        <v>1761</v>
      </c>
      <c r="M467" s="285"/>
    </row>
    <row r="468" spans="1:14" ht="16.5">
      <c r="A468" s="21" t="s">
        <v>1100</v>
      </c>
      <c r="B468" s="21" t="s">
        <v>885</v>
      </c>
      <c r="C468" s="28" t="s">
        <v>884</v>
      </c>
      <c r="D468" s="43"/>
      <c r="E468" s="21" t="s">
        <v>1522</v>
      </c>
      <c r="F468" s="22"/>
      <c r="G468" s="22" t="s">
        <v>463</v>
      </c>
      <c r="H468" s="22" t="s">
        <v>915</v>
      </c>
      <c r="I468" s="67">
        <v>1010</v>
      </c>
      <c r="J468" s="26" t="s">
        <v>349</v>
      </c>
      <c r="K468" s="112">
        <v>3</v>
      </c>
      <c r="L468" s="220" t="s">
        <v>1761</v>
      </c>
      <c r="M468" s="285"/>
    </row>
    <row r="469" spans="1:14" ht="25.5">
      <c r="A469" s="125" t="s">
        <v>1100</v>
      </c>
      <c r="B469" s="125" t="s">
        <v>885</v>
      </c>
      <c r="C469" s="251" t="s">
        <v>884</v>
      </c>
      <c r="D469" s="123"/>
      <c r="E469" s="125" t="s">
        <v>1522</v>
      </c>
      <c r="F469" s="131"/>
      <c r="G469" s="131" t="s">
        <v>463</v>
      </c>
      <c r="H469" s="131" t="s">
        <v>915</v>
      </c>
      <c r="I469" s="133">
        <v>1015</v>
      </c>
      <c r="J469" s="134" t="s">
        <v>2638</v>
      </c>
      <c r="K469" s="254" t="s">
        <v>638</v>
      </c>
      <c r="L469" s="253" t="s">
        <v>1761</v>
      </c>
      <c r="M469" s="285" t="s">
        <v>2637</v>
      </c>
    </row>
    <row r="470" spans="1:14" ht="17.25" customHeight="1">
      <c r="A470" s="21" t="s">
        <v>1100</v>
      </c>
      <c r="B470" s="21" t="s">
        <v>885</v>
      </c>
      <c r="C470" s="28" t="s">
        <v>884</v>
      </c>
      <c r="D470" s="43"/>
      <c r="E470" s="21" t="s">
        <v>1522</v>
      </c>
      <c r="F470" s="22"/>
      <c r="G470" s="22" t="s">
        <v>463</v>
      </c>
      <c r="H470" s="22" t="s">
        <v>915</v>
      </c>
      <c r="I470" s="67">
        <v>1030</v>
      </c>
      <c r="J470" s="26" t="s">
        <v>1581</v>
      </c>
      <c r="K470" s="112">
        <v>2</v>
      </c>
      <c r="L470" s="220" t="s">
        <v>1761</v>
      </c>
      <c r="M470" s="285"/>
    </row>
    <row r="471" spans="1:14" ht="16.5">
      <c r="A471" s="21" t="s">
        <v>1100</v>
      </c>
      <c r="B471" s="21" t="s">
        <v>885</v>
      </c>
      <c r="C471" s="28" t="s">
        <v>884</v>
      </c>
      <c r="D471" s="43" t="s">
        <v>693</v>
      </c>
      <c r="E471" s="21" t="s">
        <v>1522</v>
      </c>
      <c r="F471" s="22"/>
      <c r="G471" s="22" t="s">
        <v>463</v>
      </c>
      <c r="H471" s="22" t="s">
        <v>915</v>
      </c>
      <c r="I471" s="67">
        <v>1060</v>
      </c>
      <c r="J471" s="26" t="s">
        <v>1411</v>
      </c>
      <c r="K471" s="112">
        <v>2</v>
      </c>
      <c r="L471" s="220" t="s">
        <v>1761</v>
      </c>
      <c r="M471" s="285"/>
      <c r="N471" s="2"/>
    </row>
    <row r="472" spans="1:14" ht="16.5">
      <c r="A472" s="125" t="s">
        <v>1100</v>
      </c>
      <c r="B472" s="125" t="s">
        <v>885</v>
      </c>
      <c r="C472" s="256" t="s">
        <v>884</v>
      </c>
      <c r="D472" s="123"/>
      <c r="E472" s="125" t="s">
        <v>1522</v>
      </c>
      <c r="F472" s="131"/>
      <c r="G472" s="131" t="s">
        <v>463</v>
      </c>
      <c r="H472" s="131" t="s">
        <v>915</v>
      </c>
      <c r="I472" s="133">
        <v>1080</v>
      </c>
      <c r="J472" s="134" t="s">
        <v>2639</v>
      </c>
      <c r="K472" s="131" t="s">
        <v>753</v>
      </c>
      <c r="L472" s="253" t="s">
        <v>1761</v>
      </c>
      <c r="M472" s="284"/>
    </row>
    <row r="473" spans="1:14" ht="33">
      <c r="A473" s="21" t="s">
        <v>1100</v>
      </c>
      <c r="B473" s="21" t="s">
        <v>885</v>
      </c>
      <c r="C473" s="28" t="s">
        <v>884</v>
      </c>
      <c r="D473" s="43" t="s">
        <v>1253</v>
      </c>
      <c r="E473" s="21" t="s">
        <v>1522</v>
      </c>
      <c r="F473" s="22"/>
      <c r="G473" s="22" t="s">
        <v>463</v>
      </c>
      <c r="H473" s="22" t="s">
        <v>915</v>
      </c>
      <c r="I473" s="67">
        <v>2010</v>
      </c>
      <c r="J473" s="26" t="s">
        <v>380</v>
      </c>
      <c r="K473" s="202">
        <v>4</v>
      </c>
      <c r="L473" s="220" t="s">
        <v>1761</v>
      </c>
      <c r="M473" s="285"/>
      <c r="N473" s="2"/>
    </row>
    <row r="474" spans="1:14" ht="49.5">
      <c r="A474" s="21" t="s">
        <v>1100</v>
      </c>
      <c r="B474" s="21" t="s">
        <v>885</v>
      </c>
      <c r="C474" s="28" t="s">
        <v>884</v>
      </c>
      <c r="D474" s="43" t="s">
        <v>1254</v>
      </c>
      <c r="E474" s="21" t="s">
        <v>1522</v>
      </c>
      <c r="F474" s="22"/>
      <c r="G474" s="22" t="s">
        <v>463</v>
      </c>
      <c r="H474" s="22" t="s">
        <v>915</v>
      </c>
      <c r="I474" s="67">
        <v>2020</v>
      </c>
      <c r="J474" s="26" t="s">
        <v>416</v>
      </c>
      <c r="K474" s="202">
        <v>4</v>
      </c>
      <c r="L474" s="220" t="s">
        <v>1761</v>
      </c>
      <c r="M474" s="285"/>
      <c r="N474" s="2"/>
    </row>
    <row r="475" spans="1:14" ht="33">
      <c r="A475" s="21" t="s">
        <v>1100</v>
      </c>
      <c r="B475" s="21" t="s">
        <v>885</v>
      </c>
      <c r="C475" s="28" t="s">
        <v>884</v>
      </c>
      <c r="D475" s="43" t="s">
        <v>1255</v>
      </c>
      <c r="E475" s="21" t="s">
        <v>1522</v>
      </c>
      <c r="F475" s="22"/>
      <c r="G475" s="22" t="s">
        <v>463</v>
      </c>
      <c r="H475" s="22" t="s">
        <v>915</v>
      </c>
      <c r="I475" s="67">
        <v>2030</v>
      </c>
      <c r="J475" s="26" t="s">
        <v>417</v>
      </c>
      <c r="K475" s="202">
        <v>3</v>
      </c>
      <c r="L475" s="220" t="s">
        <v>1761</v>
      </c>
      <c r="M475" s="285"/>
      <c r="N475" s="2"/>
    </row>
    <row r="476" spans="1:14" ht="33">
      <c r="A476" s="21" t="s">
        <v>1100</v>
      </c>
      <c r="B476" s="21" t="s">
        <v>885</v>
      </c>
      <c r="C476" s="28" t="s">
        <v>884</v>
      </c>
      <c r="D476" s="43" t="s">
        <v>1256</v>
      </c>
      <c r="E476" s="21" t="s">
        <v>1522</v>
      </c>
      <c r="F476" s="22"/>
      <c r="G476" s="22" t="s">
        <v>463</v>
      </c>
      <c r="H476" s="22" t="s">
        <v>915</v>
      </c>
      <c r="I476" s="67">
        <v>2040</v>
      </c>
      <c r="J476" s="26" t="s">
        <v>314</v>
      </c>
      <c r="K476" s="202">
        <v>4</v>
      </c>
      <c r="L476" s="220" t="s">
        <v>1761</v>
      </c>
      <c r="M476" s="285"/>
    </row>
    <row r="477" spans="1:14" ht="33">
      <c r="A477" s="21" t="s">
        <v>790</v>
      </c>
      <c r="B477" s="45" t="s">
        <v>92</v>
      </c>
      <c r="C477" s="28" t="s">
        <v>989</v>
      </c>
      <c r="D477" s="43" t="s">
        <v>889</v>
      </c>
      <c r="E477" s="21" t="s">
        <v>1522</v>
      </c>
      <c r="F477" s="22" t="s">
        <v>1329</v>
      </c>
      <c r="G477" s="22" t="s">
        <v>463</v>
      </c>
      <c r="H477" s="68" t="s">
        <v>441</v>
      </c>
      <c r="I477" s="68">
        <v>1050</v>
      </c>
      <c r="J477" s="26" t="s">
        <v>1040</v>
      </c>
      <c r="K477" s="112">
        <v>3</v>
      </c>
      <c r="L477" s="220" t="s">
        <v>1761</v>
      </c>
      <c r="M477" s="285"/>
    </row>
    <row r="478" spans="1:14" ht="16.5">
      <c r="A478" s="21" t="s">
        <v>364</v>
      </c>
      <c r="B478" s="21" t="s">
        <v>109</v>
      </c>
      <c r="C478" s="28" t="s">
        <v>1583</v>
      </c>
      <c r="D478" s="43"/>
      <c r="E478" s="21" t="s">
        <v>1522</v>
      </c>
      <c r="F478" s="22"/>
      <c r="G478" s="22" t="s">
        <v>463</v>
      </c>
      <c r="H478" s="22" t="s">
        <v>475</v>
      </c>
      <c r="I478" s="68">
        <v>1110</v>
      </c>
      <c r="J478" s="26" t="s">
        <v>259</v>
      </c>
      <c r="K478" s="112">
        <v>3</v>
      </c>
      <c r="L478" s="220" t="s">
        <v>1761</v>
      </c>
      <c r="M478" s="285"/>
    </row>
    <row r="479" spans="1:14" ht="31.5" customHeight="1">
      <c r="A479" s="21" t="s">
        <v>364</v>
      </c>
      <c r="B479" s="21" t="s">
        <v>109</v>
      </c>
      <c r="C479" s="106" t="s">
        <v>1583</v>
      </c>
      <c r="D479" s="252" t="s">
        <v>2636</v>
      </c>
      <c r="E479" s="21" t="s">
        <v>1522</v>
      </c>
      <c r="F479" s="22"/>
      <c r="G479" s="22" t="s">
        <v>463</v>
      </c>
      <c r="H479" s="22" t="s">
        <v>475</v>
      </c>
      <c r="I479" s="68">
        <v>1120</v>
      </c>
      <c r="J479" s="26" t="s">
        <v>1569</v>
      </c>
      <c r="K479" s="23">
        <v>3</v>
      </c>
      <c r="L479" s="218" t="s">
        <v>1776</v>
      </c>
      <c r="M479" s="272"/>
    </row>
    <row r="480" spans="1:14" ht="16.5">
      <c r="A480" s="21" t="s">
        <v>743</v>
      </c>
      <c r="B480" s="21" t="s">
        <v>110</v>
      </c>
      <c r="C480" s="28" t="s">
        <v>184</v>
      </c>
      <c r="D480" s="43"/>
      <c r="E480" s="21" t="s">
        <v>1522</v>
      </c>
      <c r="F480" s="22"/>
      <c r="G480" s="22" t="s">
        <v>463</v>
      </c>
      <c r="H480" s="22" t="s">
        <v>475</v>
      </c>
      <c r="I480" s="68">
        <v>2520</v>
      </c>
      <c r="J480" s="26" t="s">
        <v>1554</v>
      </c>
      <c r="K480" s="112">
        <v>3</v>
      </c>
      <c r="L480" s="220" t="s">
        <v>1761</v>
      </c>
      <c r="M480" s="285"/>
    </row>
    <row r="481" spans="1:13" ht="89.25" customHeight="1">
      <c r="A481" s="21" t="s">
        <v>746</v>
      </c>
      <c r="B481" s="21"/>
      <c r="C481" s="28" t="s">
        <v>1058</v>
      </c>
      <c r="D481" s="43"/>
      <c r="E481" s="21" t="s">
        <v>1522</v>
      </c>
      <c r="F481" s="22" t="s">
        <v>1332</v>
      </c>
      <c r="G481" s="22" t="s">
        <v>463</v>
      </c>
      <c r="H481" s="22" t="s">
        <v>1541</v>
      </c>
      <c r="I481" s="68">
        <v>1010</v>
      </c>
      <c r="J481" s="26" t="s">
        <v>836</v>
      </c>
      <c r="K481" s="112">
        <v>3</v>
      </c>
      <c r="L481" s="220" t="s">
        <v>1761</v>
      </c>
      <c r="M481" s="285"/>
    </row>
    <row r="482" spans="1:13" ht="33">
      <c r="A482" s="21" t="s">
        <v>736</v>
      </c>
      <c r="B482" s="21"/>
      <c r="C482" s="28" t="s">
        <v>1431</v>
      </c>
      <c r="D482" s="43" t="s">
        <v>890</v>
      </c>
      <c r="E482" s="21" t="s">
        <v>1521</v>
      </c>
      <c r="F482" s="22"/>
      <c r="G482" s="22" t="s">
        <v>463</v>
      </c>
      <c r="H482" s="22" t="s">
        <v>1541</v>
      </c>
      <c r="I482" s="68">
        <v>1110</v>
      </c>
      <c r="J482" s="26" t="s">
        <v>1553</v>
      </c>
      <c r="K482" s="202">
        <v>4</v>
      </c>
      <c r="L482" s="220" t="s">
        <v>1761</v>
      </c>
      <c r="M482" s="285"/>
    </row>
    <row r="483" spans="1:13" ht="33">
      <c r="A483" s="21" t="s">
        <v>736</v>
      </c>
      <c r="B483" s="21"/>
      <c r="C483" s="28" t="s">
        <v>1431</v>
      </c>
      <c r="D483" s="43" t="s">
        <v>891</v>
      </c>
      <c r="E483" s="21" t="s">
        <v>1521</v>
      </c>
      <c r="F483" s="22"/>
      <c r="G483" s="22" t="s">
        <v>463</v>
      </c>
      <c r="H483" s="22" t="s">
        <v>1541</v>
      </c>
      <c r="I483" s="68">
        <v>1115</v>
      </c>
      <c r="J483" s="26" t="s">
        <v>916</v>
      </c>
      <c r="K483" s="202">
        <v>1</v>
      </c>
      <c r="L483" s="220" t="s">
        <v>1781</v>
      </c>
      <c r="M483" s="285"/>
    </row>
    <row r="484" spans="1:13" ht="33">
      <c r="A484" s="21" t="s">
        <v>736</v>
      </c>
      <c r="B484" s="21"/>
      <c r="C484" s="28" t="s">
        <v>1431</v>
      </c>
      <c r="D484" s="43" t="s">
        <v>892</v>
      </c>
      <c r="E484" s="21" t="s">
        <v>1521</v>
      </c>
      <c r="F484" s="22"/>
      <c r="G484" s="22" t="s">
        <v>463</v>
      </c>
      <c r="H484" s="22" t="s">
        <v>1541</v>
      </c>
      <c r="I484" s="68">
        <v>1120</v>
      </c>
      <c r="J484" s="26" t="s">
        <v>1023</v>
      </c>
      <c r="K484" s="202">
        <v>4</v>
      </c>
      <c r="L484" s="220" t="s">
        <v>1777</v>
      </c>
      <c r="M484" s="285"/>
    </row>
    <row r="485" spans="1:13" ht="33">
      <c r="A485" s="21" t="s">
        <v>736</v>
      </c>
      <c r="B485" s="21"/>
      <c r="C485" s="28" t="s">
        <v>1431</v>
      </c>
      <c r="D485" s="43" t="s">
        <v>1180</v>
      </c>
      <c r="E485" s="21" t="s">
        <v>1521</v>
      </c>
      <c r="F485" s="22"/>
      <c r="G485" s="22" t="s">
        <v>463</v>
      </c>
      <c r="H485" s="22" t="s">
        <v>1541</v>
      </c>
      <c r="I485" s="68">
        <v>1125</v>
      </c>
      <c r="J485" s="26" t="s">
        <v>1022</v>
      </c>
      <c r="K485" s="202">
        <v>1</v>
      </c>
      <c r="L485" s="220" t="s">
        <v>1776</v>
      </c>
      <c r="M485" s="285"/>
    </row>
    <row r="486" spans="1:13" ht="33">
      <c r="A486" s="21" t="s">
        <v>736</v>
      </c>
      <c r="B486" s="21"/>
      <c r="C486" s="28" t="s">
        <v>1431</v>
      </c>
      <c r="D486" s="43" t="s">
        <v>700</v>
      </c>
      <c r="E486" s="21" t="s">
        <v>1521</v>
      </c>
      <c r="F486" s="22"/>
      <c r="G486" s="22" t="s">
        <v>463</v>
      </c>
      <c r="H486" s="22" t="s">
        <v>1541</v>
      </c>
      <c r="I486" s="68">
        <v>1210</v>
      </c>
      <c r="J486" s="26" t="s">
        <v>860</v>
      </c>
      <c r="K486" s="202">
        <v>4</v>
      </c>
      <c r="L486" s="220" t="s">
        <v>1776</v>
      </c>
      <c r="M486" s="285"/>
    </row>
    <row r="487" spans="1:13" ht="49.5" customHeight="1">
      <c r="A487" s="21" t="s">
        <v>736</v>
      </c>
      <c r="B487" s="21"/>
      <c r="C487" s="28" t="s">
        <v>1431</v>
      </c>
      <c r="D487" s="43" t="s">
        <v>701</v>
      </c>
      <c r="E487" s="21" t="s">
        <v>1521</v>
      </c>
      <c r="F487" s="22"/>
      <c r="G487" s="22" t="s">
        <v>463</v>
      </c>
      <c r="H487" s="22" t="s">
        <v>1541</v>
      </c>
      <c r="I487" s="68">
        <v>1215</v>
      </c>
      <c r="J487" s="26" t="s">
        <v>353</v>
      </c>
      <c r="K487" s="202">
        <v>1</v>
      </c>
      <c r="L487" s="220" t="s">
        <v>1776</v>
      </c>
      <c r="M487" s="285"/>
    </row>
    <row r="488" spans="1:13" ht="49.5" customHeight="1">
      <c r="A488" s="21" t="s">
        <v>736</v>
      </c>
      <c r="B488" s="21"/>
      <c r="C488" s="28" t="s">
        <v>1431</v>
      </c>
      <c r="D488" s="43" t="s">
        <v>778</v>
      </c>
      <c r="E488" s="21" t="s">
        <v>1521</v>
      </c>
      <c r="F488" s="22"/>
      <c r="G488" s="22" t="s">
        <v>463</v>
      </c>
      <c r="H488" s="22" t="s">
        <v>1541</v>
      </c>
      <c r="I488" s="68">
        <v>1220</v>
      </c>
      <c r="J488" s="26" t="s">
        <v>861</v>
      </c>
      <c r="K488" s="202">
        <v>4</v>
      </c>
      <c r="L488" s="220" t="s">
        <v>1776</v>
      </c>
      <c r="M488" s="285"/>
    </row>
    <row r="489" spans="1:13" ht="66" customHeight="1">
      <c r="A489" s="21" t="s">
        <v>736</v>
      </c>
      <c r="B489" s="21"/>
      <c r="C489" s="28" t="s">
        <v>1431</v>
      </c>
      <c r="D489" s="43" t="s">
        <v>779</v>
      </c>
      <c r="E489" s="21" t="s">
        <v>1521</v>
      </c>
      <c r="F489" s="22"/>
      <c r="G489" s="22" t="s">
        <v>463</v>
      </c>
      <c r="H489" s="22" t="s">
        <v>1541</v>
      </c>
      <c r="I489" s="68">
        <v>1225</v>
      </c>
      <c r="J489" s="26" t="s">
        <v>1149</v>
      </c>
      <c r="K489" s="202">
        <v>1</v>
      </c>
      <c r="L489" s="220" t="s">
        <v>1776</v>
      </c>
      <c r="M489" s="285"/>
    </row>
    <row r="490" spans="1:13" ht="51" customHeight="1">
      <c r="A490" s="21" t="s">
        <v>367</v>
      </c>
      <c r="B490" s="21" t="s">
        <v>562</v>
      </c>
      <c r="C490" s="29" t="s">
        <v>287</v>
      </c>
      <c r="D490" s="46"/>
      <c r="E490" s="21" t="s">
        <v>1522</v>
      </c>
      <c r="F490" s="22" t="s">
        <v>1329</v>
      </c>
      <c r="G490" s="22" t="s">
        <v>463</v>
      </c>
      <c r="H490" s="22" t="s">
        <v>449</v>
      </c>
      <c r="I490" s="68" t="s">
        <v>1528</v>
      </c>
      <c r="J490" s="26" t="s">
        <v>298</v>
      </c>
      <c r="K490" s="112">
        <v>3</v>
      </c>
      <c r="L490" s="220" t="s">
        <v>1776</v>
      </c>
      <c r="M490" s="285"/>
    </row>
    <row r="491" spans="1:13" ht="16.5">
      <c r="A491" s="21" t="s">
        <v>367</v>
      </c>
      <c r="B491" s="21" t="s">
        <v>562</v>
      </c>
      <c r="C491" s="29" t="s">
        <v>287</v>
      </c>
      <c r="D491" s="46" t="s">
        <v>780</v>
      </c>
      <c r="E491" s="21" t="s">
        <v>1522</v>
      </c>
      <c r="F491" s="24"/>
      <c r="G491" s="22" t="s">
        <v>463</v>
      </c>
      <c r="H491" s="22" t="s">
        <v>449</v>
      </c>
      <c r="I491" s="68">
        <v>1300</v>
      </c>
      <c r="J491" s="26" t="s">
        <v>1570</v>
      </c>
      <c r="K491" s="112">
        <v>3</v>
      </c>
      <c r="L491" s="220" t="s">
        <v>1781</v>
      </c>
      <c r="M491" s="285"/>
    </row>
    <row r="492" spans="1:13" ht="16.5">
      <c r="A492" s="19" t="s">
        <v>367</v>
      </c>
      <c r="B492" s="20" t="s">
        <v>562</v>
      </c>
      <c r="C492" s="29" t="s">
        <v>287</v>
      </c>
      <c r="D492" s="46" t="s">
        <v>781</v>
      </c>
      <c r="E492" s="21" t="s">
        <v>1522</v>
      </c>
      <c r="F492" s="24"/>
      <c r="G492" s="22" t="s">
        <v>463</v>
      </c>
      <c r="H492" s="22" t="s">
        <v>449</v>
      </c>
      <c r="I492" s="68">
        <v>1330</v>
      </c>
      <c r="J492" s="26" t="s">
        <v>1333</v>
      </c>
      <c r="K492" s="112">
        <v>3</v>
      </c>
      <c r="L492" s="220" t="s">
        <v>1781</v>
      </c>
      <c r="M492" s="285"/>
    </row>
    <row r="493" spans="1:13" ht="16.5">
      <c r="A493" s="21" t="s">
        <v>367</v>
      </c>
      <c r="B493" s="21" t="s">
        <v>562</v>
      </c>
      <c r="C493" s="29" t="s">
        <v>287</v>
      </c>
      <c r="D493" s="46" t="s">
        <v>781</v>
      </c>
      <c r="E493" s="21" t="s">
        <v>1522</v>
      </c>
      <c r="F493" s="24"/>
      <c r="G493" s="22" t="s">
        <v>463</v>
      </c>
      <c r="H493" s="22" t="s">
        <v>449</v>
      </c>
      <c r="I493" s="68">
        <v>1340</v>
      </c>
      <c r="J493" s="26" t="s">
        <v>1334</v>
      </c>
      <c r="K493" s="112">
        <v>3</v>
      </c>
      <c r="L493" s="220" t="s">
        <v>1761</v>
      </c>
      <c r="M493" s="285"/>
    </row>
    <row r="494" spans="1:13" ht="16.5">
      <c r="A494" s="21" t="s">
        <v>367</v>
      </c>
      <c r="B494" s="21" t="s">
        <v>562</v>
      </c>
      <c r="C494" s="29" t="s">
        <v>287</v>
      </c>
      <c r="D494" s="46" t="s">
        <v>782</v>
      </c>
      <c r="E494" s="21" t="s">
        <v>1522</v>
      </c>
      <c r="F494" s="24"/>
      <c r="G494" s="22" t="s">
        <v>463</v>
      </c>
      <c r="H494" s="22" t="s">
        <v>449</v>
      </c>
      <c r="I494" s="68">
        <v>1350</v>
      </c>
      <c r="J494" s="26" t="s">
        <v>1571</v>
      </c>
      <c r="K494" s="112">
        <v>3</v>
      </c>
      <c r="L494" s="220" t="s">
        <v>1761</v>
      </c>
      <c r="M494" s="285"/>
    </row>
    <row r="495" spans="1:13" ht="16.5">
      <c r="A495" s="21" t="s">
        <v>367</v>
      </c>
      <c r="B495" s="21" t="s">
        <v>562</v>
      </c>
      <c r="C495" s="29" t="s">
        <v>287</v>
      </c>
      <c r="D495" s="46" t="s">
        <v>781</v>
      </c>
      <c r="E495" s="21" t="s">
        <v>1522</v>
      </c>
      <c r="F495" s="24"/>
      <c r="G495" s="22" t="s">
        <v>463</v>
      </c>
      <c r="H495" s="22" t="s">
        <v>449</v>
      </c>
      <c r="I495" s="68">
        <v>2540</v>
      </c>
      <c r="J495" s="26" t="s">
        <v>223</v>
      </c>
      <c r="K495" s="112">
        <v>3</v>
      </c>
      <c r="L495" s="220" t="s">
        <v>1761</v>
      </c>
      <c r="M495" s="285"/>
    </row>
    <row r="496" spans="1:13" ht="16.5">
      <c r="A496" s="21" t="s">
        <v>369</v>
      </c>
      <c r="B496" s="21"/>
      <c r="C496" s="28" t="s">
        <v>1061</v>
      </c>
      <c r="D496" s="46"/>
      <c r="E496" s="21" t="s">
        <v>1522</v>
      </c>
      <c r="F496" s="22" t="s">
        <v>1331</v>
      </c>
      <c r="G496" s="22" t="s">
        <v>463</v>
      </c>
      <c r="H496" s="22" t="s">
        <v>1547</v>
      </c>
      <c r="I496" s="68">
        <v>1010</v>
      </c>
      <c r="J496" s="26" t="s">
        <v>224</v>
      </c>
      <c r="K496" s="112">
        <v>3</v>
      </c>
      <c r="L496" s="220" t="s">
        <v>1761</v>
      </c>
      <c r="M496" s="285"/>
    </row>
    <row r="497" spans="1:14" ht="16.5">
      <c r="A497" s="21" t="s">
        <v>1175</v>
      </c>
      <c r="B497" s="21"/>
      <c r="C497" s="28" t="s">
        <v>288</v>
      </c>
      <c r="D497" s="43"/>
      <c r="E497" s="21" t="s">
        <v>1522</v>
      </c>
      <c r="F497" s="22" t="s">
        <v>1331</v>
      </c>
      <c r="G497" s="22" t="s">
        <v>463</v>
      </c>
      <c r="H497" s="22" t="s">
        <v>1547</v>
      </c>
      <c r="I497" s="68">
        <v>1020</v>
      </c>
      <c r="J497" s="26" t="s">
        <v>299</v>
      </c>
      <c r="K497" s="112">
        <v>3</v>
      </c>
      <c r="L497" s="220" t="s">
        <v>1761</v>
      </c>
      <c r="M497" s="285"/>
    </row>
    <row r="498" spans="1:14" ht="16.5">
      <c r="A498" s="21" t="s">
        <v>4</v>
      </c>
      <c r="B498" s="21" t="s">
        <v>559</v>
      </c>
      <c r="C498" s="28" t="s">
        <v>829</v>
      </c>
      <c r="D498" s="43" t="s">
        <v>783</v>
      </c>
      <c r="E498" s="21" t="s">
        <v>1522</v>
      </c>
      <c r="F498" s="22"/>
      <c r="G498" s="22" t="s">
        <v>463</v>
      </c>
      <c r="H498" s="22" t="s">
        <v>1547</v>
      </c>
      <c r="I498" s="68">
        <v>2200</v>
      </c>
      <c r="J498" s="26" t="s">
        <v>1150</v>
      </c>
      <c r="K498" s="202">
        <v>4</v>
      </c>
      <c r="L498" s="220" t="s">
        <v>1782</v>
      </c>
      <c r="M498" s="285"/>
    </row>
    <row r="499" spans="1:14" ht="16.5">
      <c r="A499" s="21" t="s">
        <v>4</v>
      </c>
      <c r="B499" s="21" t="s">
        <v>559</v>
      </c>
      <c r="C499" s="28" t="s">
        <v>829</v>
      </c>
      <c r="D499" s="43" t="s">
        <v>784</v>
      </c>
      <c r="E499" s="21" t="s">
        <v>1522</v>
      </c>
      <c r="F499" s="22"/>
      <c r="G499" s="22" t="s">
        <v>463</v>
      </c>
      <c r="H499" s="22" t="s">
        <v>1547</v>
      </c>
      <c r="I499" s="68">
        <v>2205</v>
      </c>
      <c r="J499" s="26" t="s">
        <v>1235</v>
      </c>
      <c r="K499" s="202">
        <v>1</v>
      </c>
      <c r="L499" s="220" t="s">
        <v>1761</v>
      </c>
      <c r="M499" s="285"/>
    </row>
    <row r="500" spans="1:14" ht="16.5">
      <c r="A500" s="105" t="s">
        <v>518</v>
      </c>
      <c r="B500" s="105" t="s">
        <v>116</v>
      </c>
      <c r="C500" s="106" t="s">
        <v>1000</v>
      </c>
      <c r="D500" s="43" t="s">
        <v>1886</v>
      </c>
      <c r="E500" s="105" t="s">
        <v>1522</v>
      </c>
      <c r="F500" s="87"/>
      <c r="G500" s="107" t="s">
        <v>463</v>
      </c>
      <c r="H500" s="107" t="s">
        <v>300</v>
      </c>
      <c r="I500" s="94">
        <v>1121</v>
      </c>
      <c r="J500" s="95" t="s">
        <v>1881</v>
      </c>
      <c r="K500" s="114">
        <v>4</v>
      </c>
      <c r="L500" s="157" t="s">
        <v>1761</v>
      </c>
      <c r="M500" s="272"/>
    </row>
    <row r="501" spans="1:14" ht="31.5" customHeight="1">
      <c r="A501" s="21" t="s">
        <v>368</v>
      </c>
      <c r="B501" s="21" t="s">
        <v>119</v>
      </c>
      <c r="C501" s="29" t="s">
        <v>1003</v>
      </c>
      <c r="D501" s="43" t="s">
        <v>785</v>
      </c>
      <c r="E501" s="21" t="s">
        <v>1522</v>
      </c>
      <c r="F501" s="22"/>
      <c r="G501" s="22" t="s">
        <v>463</v>
      </c>
      <c r="H501" s="22" t="s">
        <v>300</v>
      </c>
      <c r="I501" s="67">
        <v>1400</v>
      </c>
      <c r="J501" s="26" t="s">
        <v>248</v>
      </c>
      <c r="K501" s="202">
        <v>3</v>
      </c>
      <c r="L501" s="218" t="s">
        <v>1761</v>
      </c>
      <c r="M501" s="272"/>
    </row>
    <row r="502" spans="1:14" ht="31.5" customHeight="1">
      <c r="A502" s="125" t="s">
        <v>368</v>
      </c>
      <c r="B502" s="125" t="s">
        <v>119</v>
      </c>
      <c r="C502" s="256" t="s">
        <v>2623</v>
      </c>
      <c r="D502" s="123" t="s">
        <v>2624</v>
      </c>
      <c r="E502" s="125" t="s">
        <v>1522</v>
      </c>
      <c r="F502" s="131"/>
      <c r="G502" s="257" t="s">
        <v>463</v>
      </c>
      <c r="H502" s="131" t="s">
        <v>300</v>
      </c>
      <c r="I502" s="133">
        <v>1405</v>
      </c>
      <c r="J502" s="134" t="s">
        <v>2625</v>
      </c>
      <c r="K502" s="131" t="s">
        <v>638</v>
      </c>
      <c r="L502" s="295" t="s">
        <v>1761</v>
      </c>
      <c r="M502" s="272"/>
    </row>
    <row r="503" spans="1:14" ht="31.5" customHeight="1">
      <c r="A503" s="125" t="s">
        <v>443</v>
      </c>
      <c r="B503" s="125" t="s">
        <v>119</v>
      </c>
      <c r="C503" s="256" t="s">
        <v>1004</v>
      </c>
      <c r="D503" s="123" t="s">
        <v>2626</v>
      </c>
      <c r="E503" s="125" t="s">
        <v>1522</v>
      </c>
      <c r="F503" s="131"/>
      <c r="G503" s="257" t="s">
        <v>463</v>
      </c>
      <c r="H503" s="131" t="s">
        <v>300</v>
      </c>
      <c r="I503" s="133">
        <v>1410</v>
      </c>
      <c r="J503" s="134" t="s">
        <v>689</v>
      </c>
      <c r="K503" s="131" t="s">
        <v>753</v>
      </c>
      <c r="L503" s="295" t="s">
        <v>1761</v>
      </c>
      <c r="M503" s="272"/>
    </row>
    <row r="504" spans="1:14" ht="31.5" customHeight="1">
      <c r="A504" s="125" t="s">
        <v>443</v>
      </c>
      <c r="B504" s="125" t="s">
        <v>119</v>
      </c>
      <c r="C504" s="256" t="s">
        <v>1004</v>
      </c>
      <c r="D504" s="123" t="s">
        <v>2628</v>
      </c>
      <c r="E504" s="125" t="s">
        <v>1522</v>
      </c>
      <c r="F504" s="131"/>
      <c r="G504" s="257" t="s">
        <v>463</v>
      </c>
      <c r="H504" s="131" t="s">
        <v>300</v>
      </c>
      <c r="I504" s="133">
        <v>1415</v>
      </c>
      <c r="J504" s="134" t="s">
        <v>2627</v>
      </c>
      <c r="K504" s="131" t="s">
        <v>638</v>
      </c>
      <c r="L504" s="295" t="s">
        <v>1761</v>
      </c>
      <c r="M504" s="272"/>
    </row>
    <row r="505" spans="1:14" ht="16.5">
      <c r="A505" s="21" t="s">
        <v>370</v>
      </c>
      <c r="B505" s="21" t="s">
        <v>570</v>
      </c>
      <c r="C505" s="101" t="s">
        <v>2602</v>
      </c>
      <c r="D505" s="43" t="s">
        <v>1723</v>
      </c>
      <c r="E505" s="21" t="s">
        <v>1522</v>
      </c>
      <c r="F505" s="22"/>
      <c r="G505" s="22" t="s">
        <v>463</v>
      </c>
      <c r="H505" s="22" t="s">
        <v>1525</v>
      </c>
      <c r="I505" s="67">
        <v>1040</v>
      </c>
      <c r="J505" s="26" t="s">
        <v>1523</v>
      </c>
      <c r="K505" s="112">
        <v>1</v>
      </c>
      <c r="L505" s="218" t="s">
        <v>1761</v>
      </c>
      <c r="M505" s="3"/>
    </row>
    <row r="506" spans="1:14" ht="16.5">
      <c r="A506" s="21" t="s">
        <v>370</v>
      </c>
      <c r="B506" s="21" t="s">
        <v>570</v>
      </c>
      <c r="C506" s="101" t="s">
        <v>2602</v>
      </c>
      <c r="D506" s="43" t="s">
        <v>1724</v>
      </c>
      <c r="E506" s="21" t="s">
        <v>1522</v>
      </c>
      <c r="F506" s="22"/>
      <c r="G506" s="22" t="s">
        <v>463</v>
      </c>
      <c r="H506" s="22" t="s">
        <v>1525</v>
      </c>
      <c r="I506" s="67">
        <v>1050</v>
      </c>
      <c r="J506" s="26" t="s">
        <v>1524</v>
      </c>
      <c r="K506" s="112">
        <v>2</v>
      </c>
      <c r="L506" s="218" t="s">
        <v>1761</v>
      </c>
      <c r="M506" s="3"/>
    </row>
    <row r="507" spans="1:14" s="2" customFormat="1" ht="16.5">
      <c r="A507" s="21" t="s">
        <v>2603</v>
      </c>
      <c r="B507" s="21" t="s">
        <v>2604</v>
      </c>
      <c r="C507" s="101" t="s">
        <v>2605</v>
      </c>
      <c r="D507" s="43" t="s">
        <v>1725</v>
      </c>
      <c r="E507" s="21" t="s">
        <v>1522</v>
      </c>
      <c r="F507" s="22"/>
      <c r="G507" s="22" t="s">
        <v>463</v>
      </c>
      <c r="H507" s="22" t="s">
        <v>1525</v>
      </c>
      <c r="I507" s="67">
        <v>1060</v>
      </c>
      <c r="J507" s="26" t="s">
        <v>1151</v>
      </c>
      <c r="K507" s="112">
        <v>1</v>
      </c>
      <c r="L507" s="218" t="s">
        <v>1761</v>
      </c>
      <c r="M507" s="204"/>
      <c r="N507" s="1"/>
    </row>
    <row r="508" spans="1:14" s="2" customFormat="1" ht="16.5">
      <c r="A508" s="21" t="s">
        <v>2603</v>
      </c>
      <c r="B508" s="21" t="s">
        <v>2604</v>
      </c>
      <c r="C508" s="101" t="s">
        <v>2605</v>
      </c>
      <c r="D508" s="43" t="s">
        <v>1726</v>
      </c>
      <c r="E508" s="21" t="s">
        <v>1522</v>
      </c>
      <c r="F508" s="22"/>
      <c r="G508" s="22" t="s">
        <v>463</v>
      </c>
      <c r="H508" s="22" t="s">
        <v>1525</v>
      </c>
      <c r="I508" s="67">
        <v>1070</v>
      </c>
      <c r="J508" s="26" t="s">
        <v>1152</v>
      </c>
      <c r="K508" s="112">
        <v>2</v>
      </c>
      <c r="L508" s="218" t="s">
        <v>1761</v>
      </c>
      <c r="M508" s="204"/>
      <c r="N508" s="1"/>
    </row>
    <row r="509" spans="1:14" s="2" customFormat="1" ht="16.5">
      <c r="A509" s="21" t="s">
        <v>548</v>
      </c>
      <c r="B509" s="21"/>
      <c r="C509" s="28" t="s">
        <v>1423</v>
      </c>
      <c r="D509" s="43"/>
      <c r="E509" s="21" t="s">
        <v>1522</v>
      </c>
      <c r="F509" s="22" t="s">
        <v>1329</v>
      </c>
      <c r="G509" s="22" t="s">
        <v>463</v>
      </c>
      <c r="H509" s="22" t="s">
        <v>302</v>
      </c>
      <c r="I509" s="68">
        <v>1010</v>
      </c>
      <c r="J509" s="26" t="s">
        <v>1512</v>
      </c>
      <c r="K509" s="202">
        <v>3</v>
      </c>
      <c r="L509" s="218" t="s">
        <v>1761</v>
      </c>
      <c r="M509" s="272"/>
      <c r="N509" s="1"/>
    </row>
    <row r="510" spans="1:14" s="2" customFormat="1" ht="16.5">
      <c r="A510" s="21" t="s">
        <v>597</v>
      </c>
      <c r="B510" s="21" t="s">
        <v>98</v>
      </c>
      <c r="C510" s="28" t="s">
        <v>992</v>
      </c>
      <c r="D510" s="43"/>
      <c r="E510" s="21" t="s">
        <v>1522</v>
      </c>
      <c r="F510" s="22" t="s">
        <v>1329</v>
      </c>
      <c r="G510" s="22" t="s">
        <v>463</v>
      </c>
      <c r="H510" s="22" t="s">
        <v>302</v>
      </c>
      <c r="I510" s="68">
        <v>1010</v>
      </c>
      <c r="J510" s="26" t="s">
        <v>1153</v>
      </c>
      <c r="K510" s="112">
        <v>3</v>
      </c>
      <c r="L510" s="220" t="s">
        <v>1761</v>
      </c>
      <c r="M510" s="285"/>
      <c r="N510" s="1"/>
    </row>
    <row r="511" spans="1:14" ht="16.5">
      <c r="A511" s="21" t="s">
        <v>548</v>
      </c>
      <c r="B511" s="21"/>
      <c r="C511" s="28" t="s">
        <v>1423</v>
      </c>
      <c r="D511" s="43" t="s">
        <v>1811</v>
      </c>
      <c r="E511" s="21" t="s">
        <v>1522</v>
      </c>
      <c r="F511" s="22" t="s">
        <v>70</v>
      </c>
      <c r="G511" s="22" t="s">
        <v>463</v>
      </c>
      <c r="H511" s="22" t="s">
        <v>302</v>
      </c>
      <c r="I511" s="68" t="s">
        <v>303</v>
      </c>
      <c r="J511" s="26" t="s">
        <v>531</v>
      </c>
      <c r="K511" s="202">
        <v>3</v>
      </c>
      <c r="L511" s="220" t="s">
        <v>1761</v>
      </c>
      <c r="M511" s="285"/>
    </row>
    <row r="512" spans="1:14" ht="16.5">
      <c r="A512" s="21" t="s">
        <v>32</v>
      </c>
      <c r="B512" s="21" t="s">
        <v>581</v>
      </c>
      <c r="C512" s="28" t="s">
        <v>651</v>
      </c>
      <c r="D512" s="43"/>
      <c r="E512" s="21" t="s">
        <v>1522</v>
      </c>
      <c r="F512" s="22"/>
      <c r="G512" s="22" t="s">
        <v>463</v>
      </c>
      <c r="H512" s="22" t="s">
        <v>1089</v>
      </c>
      <c r="I512" s="68" t="s">
        <v>1528</v>
      </c>
      <c r="J512" s="26" t="s">
        <v>1155</v>
      </c>
      <c r="K512" s="202">
        <v>3</v>
      </c>
      <c r="L512" s="220" t="s">
        <v>1783</v>
      </c>
      <c r="M512" s="285"/>
    </row>
    <row r="513" spans="1:14" ht="16.5">
      <c r="A513" s="21" t="s">
        <v>616</v>
      </c>
      <c r="B513" s="21" t="s">
        <v>574</v>
      </c>
      <c r="C513" s="28" t="s">
        <v>1073</v>
      </c>
      <c r="D513" s="43"/>
      <c r="E513" s="21" t="s">
        <v>1522</v>
      </c>
      <c r="F513" s="22"/>
      <c r="G513" s="22" t="s">
        <v>463</v>
      </c>
      <c r="H513" s="22" t="s">
        <v>1089</v>
      </c>
      <c r="I513" s="68" t="s">
        <v>440</v>
      </c>
      <c r="J513" s="26" t="s">
        <v>856</v>
      </c>
      <c r="K513" s="112">
        <v>3</v>
      </c>
      <c r="L513" s="220" t="s">
        <v>1761</v>
      </c>
      <c r="M513" s="285"/>
      <c r="N513" s="2"/>
    </row>
    <row r="514" spans="1:14" ht="16.5">
      <c r="A514" s="28" t="s">
        <v>308</v>
      </c>
      <c r="B514" s="21" t="s">
        <v>581</v>
      </c>
      <c r="C514" s="185" t="s">
        <v>2558</v>
      </c>
      <c r="D514" s="43"/>
      <c r="E514" s="21" t="s">
        <v>1522</v>
      </c>
      <c r="F514" s="22"/>
      <c r="G514" s="22" t="s">
        <v>463</v>
      </c>
      <c r="H514" s="22" t="s">
        <v>1089</v>
      </c>
      <c r="I514" s="68">
        <v>2710</v>
      </c>
      <c r="J514" s="26" t="s">
        <v>2557</v>
      </c>
      <c r="K514" s="110" t="s">
        <v>637</v>
      </c>
      <c r="L514" s="220" t="s">
        <v>1761</v>
      </c>
      <c r="M514" s="285"/>
      <c r="N514" s="2"/>
    </row>
    <row r="515" spans="1:14" ht="16.5">
      <c r="A515" s="21" t="s">
        <v>44</v>
      </c>
      <c r="B515" s="21"/>
      <c r="C515" s="28" t="s">
        <v>1305</v>
      </c>
      <c r="D515" s="43"/>
      <c r="E515" s="21" t="s">
        <v>1522</v>
      </c>
      <c r="F515" s="22"/>
      <c r="G515" s="122" t="s">
        <v>463</v>
      </c>
      <c r="H515" s="22" t="s">
        <v>1838</v>
      </c>
      <c r="I515" s="67">
        <v>1010</v>
      </c>
      <c r="J515" s="26" t="s">
        <v>1839</v>
      </c>
      <c r="K515" s="112">
        <v>3</v>
      </c>
      <c r="L515" s="169" t="s">
        <v>1761</v>
      </c>
      <c r="M515" s="290"/>
    </row>
    <row r="516" spans="1:14" ht="59.25" customHeight="1">
      <c r="A516" s="21" t="s">
        <v>379</v>
      </c>
      <c r="B516" s="21" t="s">
        <v>565</v>
      </c>
      <c r="C516" s="106" t="s">
        <v>2611</v>
      </c>
      <c r="D516" s="43" t="s">
        <v>1812</v>
      </c>
      <c r="E516" s="21" t="s">
        <v>1522</v>
      </c>
      <c r="F516" s="22"/>
      <c r="G516" s="22" t="s">
        <v>463</v>
      </c>
      <c r="H516" s="22" t="s">
        <v>378</v>
      </c>
      <c r="I516" s="68">
        <v>1110</v>
      </c>
      <c r="J516" s="26" t="s">
        <v>1412</v>
      </c>
      <c r="K516" s="202">
        <v>5</v>
      </c>
      <c r="L516" s="220" t="s">
        <v>1761</v>
      </c>
      <c r="M516" s="124"/>
    </row>
    <row r="517" spans="1:14" ht="16.5">
      <c r="A517" s="21" t="s">
        <v>50</v>
      </c>
      <c r="B517" s="21"/>
      <c r="C517" s="28" t="s">
        <v>1062</v>
      </c>
      <c r="D517" s="43"/>
      <c r="E517" s="21" t="s">
        <v>1522</v>
      </c>
      <c r="F517" s="22"/>
      <c r="G517" s="22" t="s">
        <v>463</v>
      </c>
      <c r="H517" s="22" t="s">
        <v>378</v>
      </c>
      <c r="I517" s="68">
        <v>1470</v>
      </c>
      <c r="J517" s="26" t="s">
        <v>680</v>
      </c>
      <c r="K517" s="202">
        <v>5</v>
      </c>
      <c r="L517" s="220" t="s">
        <v>1781</v>
      </c>
      <c r="M517" s="285"/>
    </row>
    <row r="518" spans="1:14" ht="33">
      <c r="A518" s="21" t="s">
        <v>1712</v>
      </c>
      <c r="B518" s="21"/>
      <c r="C518" s="28" t="s">
        <v>1711</v>
      </c>
      <c r="D518" s="43" t="s">
        <v>1813</v>
      </c>
      <c r="E518" s="21" t="s">
        <v>1522</v>
      </c>
      <c r="F518" s="22" t="s">
        <v>533</v>
      </c>
      <c r="G518" s="22" t="s">
        <v>463</v>
      </c>
      <c r="H518" s="22" t="s">
        <v>305</v>
      </c>
      <c r="I518" s="68" t="s">
        <v>1528</v>
      </c>
      <c r="J518" s="26" t="s">
        <v>1416</v>
      </c>
      <c r="K518" s="112">
        <v>3</v>
      </c>
      <c r="L518" s="220" t="s">
        <v>1781</v>
      </c>
      <c r="M518" s="124"/>
    </row>
    <row r="519" spans="1:14" ht="16.5">
      <c r="A519" s="21" t="s">
        <v>1328</v>
      </c>
      <c r="B519" s="21"/>
      <c r="C519" s="28" t="s">
        <v>217</v>
      </c>
      <c r="D519" s="43" t="s">
        <v>1814</v>
      </c>
      <c r="E519" s="21" t="s">
        <v>1522</v>
      </c>
      <c r="F519" s="22" t="s">
        <v>1332</v>
      </c>
      <c r="G519" s="22" t="s">
        <v>463</v>
      </c>
      <c r="H519" s="22" t="s">
        <v>917</v>
      </c>
      <c r="I519" s="68" t="s">
        <v>1528</v>
      </c>
      <c r="J519" s="26" t="s">
        <v>23</v>
      </c>
      <c r="K519" s="112">
        <v>3</v>
      </c>
      <c r="L519" s="220"/>
      <c r="M519" s="124"/>
    </row>
    <row r="520" spans="1:14" ht="16.5">
      <c r="A520" s="21" t="s">
        <v>2568</v>
      </c>
      <c r="B520" s="21" t="s">
        <v>2569</v>
      </c>
      <c r="C520" s="101" t="s">
        <v>2570</v>
      </c>
      <c r="D520" s="187"/>
      <c r="E520" s="21" t="s">
        <v>1522</v>
      </c>
      <c r="F520" s="22"/>
      <c r="G520" s="122" t="s">
        <v>463</v>
      </c>
      <c r="H520" s="22" t="s">
        <v>2536</v>
      </c>
      <c r="I520" s="67">
        <v>1101</v>
      </c>
      <c r="J520" s="26" t="s">
        <v>2553</v>
      </c>
      <c r="K520" s="202">
        <v>4</v>
      </c>
      <c r="L520" s="169" t="s">
        <v>1761</v>
      </c>
      <c r="M520" s="290"/>
    </row>
    <row r="521" spans="1:14" ht="16.5">
      <c r="A521" s="21" t="s">
        <v>2568</v>
      </c>
      <c r="B521" s="21" t="s">
        <v>2569</v>
      </c>
      <c r="C521" s="101" t="s">
        <v>2570</v>
      </c>
      <c r="D521" s="187"/>
      <c r="E521" s="21" t="s">
        <v>1522</v>
      </c>
      <c r="F521" s="22"/>
      <c r="G521" s="122" t="s">
        <v>463</v>
      </c>
      <c r="H521" s="22" t="s">
        <v>2536</v>
      </c>
      <c r="I521" s="67">
        <v>1110</v>
      </c>
      <c r="J521" s="26" t="s">
        <v>2554</v>
      </c>
      <c r="K521" s="202">
        <v>4</v>
      </c>
      <c r="L521" s="169" t="s">
        <v>1761</v>
      </c>
      <c r="M521" s="290"/>
    </row>
    <row r="522" spans="1:14" ht="16.5">
      <c r="A522" s="21" t="s">
        <v>2568</v>
      </c>
      <c r="B522" s="21" t="s">
        <v>2569</v>
      </c>
      <c r="C522" s="101" t="s">
        <v>2570</v>
      </c>
      <c r="D522" s="187"/>
      <c r="E522" s="21" t="s">
        <v>1522</v>
      </c>
      <c r="F522" s="22"/>
      <c r="G522" s="122" t="s">
        <v>463</v>
      </c>
      <c r="H522" s="22" t="s">
        <v>2536</v>
      </c>
      <c r="I522" s="67">
        <v>1201</v>
      </c>
      <c r="J522" s="26" t="s">
        <v>2555</v>
      </c>
      <c r="K522" s="202">
        <v>6</v>
      </c>
      <c r="L522" s="169" t="s">
        <v>1761</v>
      </c>
      <c r="M522" s="290"/>
    </row>
    <row r="523" spans="1:14" ht="16.5">
      <c r="A523" s="21" t="s">
        <v>2568</v>
      </c>
      <c r="B523" s="21" t="s">
        <v>2569</v>
      </c>
      <c r="C523" s="101" t="s">
        <v>2570</v>
      </c>
      <c r="D523" s="187"/>
      <c r="E523" s="21" t="s">
        <v>1522</v>
      </c>
      <c r="F523" s="22"/>
      <c r="G523" s="122" t="s">
        <v>463</v>
      </c>
      <c r="H523" s="22" t="s">
        <v>2536</v>
      </c>
      <c r="I523" s="67">
        <v>1210</v>
      </c>
      <c r="J523" s="26" t="s">
        <v>2556</v>
      </c>
      <c r="K523" s="202">
        <v>4</v>
      </c>
      <c r="L523" s="169" t="s">
        <v>1761</v>
      </c>
      <c r="M523" s="290"/>
    </row>
    <row r="524" spans="1:14" ht="16.5">
      <c r="A524" s="125" t="s">
        <v>2666</v>
      </c>
      <c r="B524" s="125" t="s">
        <v>2667</v>
      </c>
      <c r="C524" s="256" t="s">
        <v>2665</v>
      </c>
      <c r="D524" s="123"/>
      <c r="E524" s="125" t="s">
        <v>1522</v>
      </c>
      <c r="F524" s="131"/>
      <c r="G524" s="131" t="s">
        <v>463</v>
      </c>
      <c r="H524" s="131" t="s">
        <v>2640</v>
      </c>
      <c r="I524" s="133">
        <v>1010</v>
      </c>
      <c r="J524" s="134" t="s">
        <v>2641</v>
      </c>
      <c r="K524" s="131" t="s">
        <v>753</v>
      </c>
      <c r="L524" s="296" t="s">
        <v>1761</v>
      </c>
      <c r="M524" s="289"/>
    </row>
    <row r="525" spans="1:14" ht="49.5">
      <c r="A525" s="19" t="s">
        <v>373</v>
      </c>
      <c r="B525" s="21" t="s">
        <v>108</v>
      </c>
      <c r="C525" s="28" t="s">
        <v>997</v>
      </c>
      <c r="D525" s="43" t="s">
        <v>2502</v>
      </c>
      <c r="E525" s="21" t="s">
        <v>1522</v>
      </c>
      <c r="F525" s="22"/>
      <c r="G525" s="22" t="s">
        <v>463</v>
      </c>
      <c r="H525" s="22" t="s">
        <v>918</v>
      </c>
      <c r="I525" s="67" t="s">
        <v>2503</v>
      </c>
      <c r="J525" s="26" t="s">
        <v>139</v>
      </c>
      <c r="K525" s="202">
        <v>0</v>
      </c>
      <c r="L525" s="220" t="s">
        <v>1761</v>
      </c>
      <c r="M525" s="285"/>
    </row>
    <row r="526" spans="1:14" ht="16.5">
      <c r="A526" s="19" t="s">
        <v>516</v>
      </c>
      <c r="B526" s="21" t="s">
        <v>111</v>
      </c>
      <c r="C526" s="28" t="s">
        <v>1136</v>
      </c>
      <c r="D526" s="43"/>
      <c r="E526" s="21" t="s">
        <v>1522</v>
      </c>
      <c r="F526" s="80"/>
      <c r="G526" s="22" t="s">
        <v>463</v>
      </c>
      <c r="H526" s="22" t="s">
        <v>918</v>
      </c>
      <c r="I526" s="68">
        <v>1500</v>
      </c>
      <c r="J526" s="26" t="s">
        <v>73</v>
      </c>
      <c r="K526" s="202">
        <v>3</v>
      </c>
      <c r="L526" s="220" t="s">
        <v>1784</v>
      </c>
      <c r="M526" s="124"/>
    </row>
    <row r="527" spans="1:14" ht="16.5">
      <c r="A527" s="21" t="s">
        <v>515</v>
      </c>
      <c r="B527" s="21" t="s">
        <v>107</v>
      </c>
      <c r="C527" s="28" t="s">
        <v>694</v>
      </c>
      <c r="D527" s="43"/>
      <c r="E527" s="21" t="s">
        <v>1522</v>
      </c>
      <c r="F527" s="22" t="s">
        <v>1329</v>
      </c>
      <c r="G527" s="22" t="s">
        <v>463</v>
      </c>
      <c r="H527" s="22" t="s">
        <v>918</v>
      </c>
      <c r="I527" s="68" t="s">
        <v>448</v>
      </c>
      <c r="J527" s="26" t="s">
        <v>1229</v>
      </c>
      <c r="K527" s="112">
        <v>3</v>
      </c>
      <c r="L527" s="220" t="s">
        <v>1776</v>
      </c>
      <c r="M527" s="124"/>
    </row>
    <row r="528" spans="1:14" ht="16.5">
      <c r="A528" s="21" t="s">
        <v>373</v>
      </c>
      <c r="B528" s="21" t="s">
        <v>108</v>
      </c>
      <c r="C528" s="28" t="s">
        <v>997</v>
      </c>
      <c r="D528" s="43" t="s">
        <v>1442</v>
      </c>
      <c r="E528" s="21" t="s">
        <v>1522</v>
      </c>
      <c r="F528" s="22"/>
      <c r="G528" s="22" t="s">
        <v>463</v>
      </c>
      <c r="H528" s="22" t="s">
        <v>918</v>
      </c>
      <c r="I528" s="68" t="s">
        <v>451</v>
      </c>
      <c r="J528" s="26" t="s">
        <v>139</v>
      </c>
      <c r="K528" s="112">
        <v>3</v>
      </c>
      <c r="L528" s="220" t="s">
        <v>1781</v>
      </c>
      <c r="M528" s="124"/>
    </row>
    <row r="529" spans="1:14" ht="16.5">
      <c r="A529" s="21" t="s">
        <v>748</v>
      </c>
      <c r="B529" s="21"/>
      <c r="C529" s="28" t="s">
        <v>194</v>
      </c>
      <c r="D529" s="43"/>
      <c r="E529" s="21" t="s">
        <v>1521</v>
      </c>
      <c r="F529" s="22" t="s">
        <v>1329</v>
      </c>
      <c r="G529" s="22" t="s">
        <v>463</v>
      </c>
      <c r="H529" s="22" t="s">
        <v>452</v>
      </c>
      <c r="I529" s="68">
        <v>1050</v>
      </c>
      <c r="J529" s="26" t="s">
        <v>919</v>
      </c>
      <c r="K529" s="202">
        <v>3</v>
      </c>
      <c r="L529" s="220" t="s">
        <v>1780</v>
      </c>
      <c r="M529" s="124"/>
    </row>
    <row r="530" spans="1:14" ht="16.5">
      <c r="A530" s="21" t="s">
        <v>789</v>
      </c>
      <c r="B530" s="21" t="s">
        <v>91</v>
      </c>
      <c r="C530" s="28" t="s">
        <v>1130</v>
      </c>
      <c r="D530" s="43"/>
      <c r="E530" s="21" t="s">
        <v>1522</v>
      </c>
      <c r="F530" s="22"/>
      <c r="G530" s="22" t="s">
        <v>463</v>
      </c>
      <c r="H530" s="22" t="s">
        <v>452</v>
      </c>
      <c r="I530" s="68">
        <v>1210</v>
      </c>
      <c r="J530" s="26" t="s">
        <v>418</v>
      </c>
      <c r="K530" s="202">
        <v>2</v>
      </c>
      <c r="L530" s="220" t="s">
        <v>1781</v>
      </c>
      <c r="M530" s="124"/>
      <c r="N530" s="4"/>
    </row>
    <row r="531" spans="1:14" ht="16.5">
      <c r="A531" s="21" t="s">
        <v>1407</v>
      </c>
      <c r="B531" s="21" t="s">
        <v>1015</v>
      </c>
      <c r="C531" s="28" t="s">
        <v>1580</v>
      </c>
      <c r="D531" s="43" t="s">
        <v>1443</v>
      </c>
      <c r="E531" s="21" t="s">
        <v>1522</v>
      </c>
      <c r="F531" s="22"/>
      <c r="G531" s="22" t="s">
        <v>463</v>
      </c>
      <c r="H531" s="22" t="s">
        <v>452</v>
      </c>
      <c r="I531" s="68">
        <v>2000</v>
      </c>
      <c r="J531" s="26" t="s">
        <v>1408</v>
      </c>
      <c r="K531" s="110" t="s">
        <v>1177</v>
      </c>
      <c r="L531" s="220" t="s">
        <v>1776</v>
      </c>
      <c r="M531" s="124"/>
    </row>
    <row r="532" spans="1:14" ht="16.5">
      <c r="A532" s="21" t="s">
        <v>56</v>
      </c>
      <c r="B532" s="21"/>
      <c r="C532" s="28" t="s">
        <v>850</v>
      </c>
      <c r="D532" s="43"/>
      <c r="E532" s="21" t="s">
        <v>1522</v>
      </c>
      <c r="F532" s="22"/>
      <c r="G532" s="22" t="s">
        <v>463</v>
      </c>
      <c r="H532" s="22" t="s">
        <v>1603</v>
      </c>
      <c r="I532" s="67">
        <v>1045</v>
      </c>
      <c r="J532" s="26" t="s">
        <v>2534</v>
      </c>
      <c r="K532" s="202">
        <v>6</v>
      </c>
      <c r="L532" s="218" t="s">
        <v>1776</v>
      </c>
      <c r="M532" s="3"/>
    </row>
    <row r="533" spans="1:14" ht="82.5">
      <c r="A533" s="21" t="s">
        <v>33</v>
      </c>
      <c r="B533" s="219"/>
      <c r="C533" s="28" t="s">
        <v>1626</v>
      </c>
      <c r="D533" s="233" t="s">
        <v>1820</v>
      </c>
      <c r="E533" s="21" t="s">
        <v>1522</v>
      </c>
      <c r="F533" s="22"/>
      <c r="G533" s="22" t="s">
        <v>463</v>
      </c>
      <c r="H533" s="22" t="s">
        <v>922</v>
      </c>
      <c r="I533" s="68" t="s">
        <v>1528</v>
      </c>
      <c r="J533" s="26" t="s">
        <v>1157</v>
      </c>
      <c r="K533" s="112">
        <v>5</v>
      </c>
      <c r="L533" s="220" t="s">
        <v>1776</v>
      </c>
      <c r="M533" s="124"/>
    </row>
    <row r="534" spans="1:14" ht="66">
      <c r="A534" s="21" t="s">
        <v>1624</v>
      </c>
      <c r="B534" s="21"/>
      <c r="C534" s="28" t="s">
        <v>1625</v>
      </c>
      <c r="D534" s="43" t="s">
        <v>1821</v>
      </c>
      <c r="E534" s="21" t="s">
        <v>1522</v>
      </c>
      <c r="F534" s="22"/>
      <c r="G534" s="22" t="s">
        <v>463</v>
      </c>
      <c r="H534" s="22" t="s">
        <v>922</v>
      </c>
      <c r="I534" s="68" t="s">
        <v>428</v>
      </c>
      <c r="J534" s="26" t="s">
        <v>1158</v>
      </c>
      <c r="K534" s="112">
        <v>5</v>
      </c>
      <c r="L534" s="220" t="s">
        <v>1776</v>
      </c>
      <c r="M534" s="124"/>
    </row>
    <row r="535" spans="1:14" ht="16.5">
      <c r="A535" s="21" t="s">
        <v>747</v>
      </c>
      <c r="B535" s="21"/>
      <c r="C535" s="28" t="s">
        <v>1137</v>
      </c>
      <c r="D535" s="43"/>
      <c r="E535" s="21" t="s">
        <v>1522</v>
      </c>
      <c r="F535" s="22" t="s">
        <v>1332</v>
      </c>
      <c r="G535" s="22" t="s">
        <v>463</v>
      </c>
      <c r="H535" s="22" t="s">
        <v>1041</v>
      </c>
      <c r="I535" s="68">
        <v>1010</v>
      </c>
      <c r="J535" s="26" t="s">
        <v>1419</v>
      </c>
      <c r="K535" s="112">
        <v>3</v>
      </c>
      <c r="L535" s="220" t="s">
        <v>1776</v>
      </c>
      <c r="M535" s="124"/>
    </row>
    <row r="536" spans="1:14" ht="56.25" customHeight="1">
      <c r="A536" s="21" t="s">
        <v>0</v>
      </c>
      <c r="B536" s="21"/>
      <c r="C536" s="28" t="s">
        <v>1138</v>
      </c>
      <c r="D536" s="43"/>
      <c r="E536" s="21" t="s">
        <v>1521</v>
      </c>
      <c r="F536" s="22" t="s">
        <v>1332</v>
      </c>
      <c r="G536" s="22" t="s">
        <v>463</v>
      </c>
      <c r="H536" s="22" t="s">
        <v>1098</v>
      </c>
      <c r="I536" s="68">
        <v>1300</v>
      </c>
      <c r="J536" s="26" t="s">
        <v>925</v>
      </c>
      <c r="K536" s="112">
        <v>3</v>
      </c>
      <c r="L536" s="220" t="s">
        <v>1776</v>
      </c>
      <c r="M536" s="124"/>
    </row>
    <row r="537" spans="1:14" ht="50.25" customHeight="1">
      <c r="A537" s="21" t="s">
        <v>61</v>
      </c>
      <c r="B537" s="21" t="s">
        <v>62</v>
      </c>
      <c r="C537" s="28" t="s">
        <v>1133</v>
      </c>
      <c r="D537" s="43"/>
      <c r="E537" s="21" t="s">
        <v>1522</v>
      </c>
      <c r="F537" s="22" t="s">
        <v>1332</v>
      </c>
      <c r="G537" s="22" t="s">
        <v>463</v>
      </c>
      <c r="H537" s="22" t="s">
        <v>1098</v>
      </c>
      <c r="I537" s="68">
        <v>1300</v>
      </c>
      <c r="J537" s="26" t="s">
        <v>925</v>
      </c>
      <c r="K537" s="202">
        <v>3</v>
      </c>
      <c r="L537" s="220" t="s">
        <v>1776</v>
      </c>
      <c r="M537" s="124"/>
    </row>
    <row r="538" spans="1:14" ht="50.25" customHeight="1">
      <c r="A538" s="21" t="s">
        <v>1639</v>
      </c>
      <c r="B538" s="21"/>
      <c r="C538" s="28" t="s">
        <v>1640</v>
      </c>
      <c r="D538" s="233" t="s">
        <v>1820</v>
      </c>
      <c r="E538" s="21" t="s">
        <v>1522</v>
      </c>
      <c r="F538" s="22"/>
      <c r="G538" s="22" t="s">
        <v>463</v>
      </c>
      <c r="H538" s="22" t="s">
        <v>470</v>
      </c>
      <c r="I538" s="68">
        <v>1010</v>
      </c>
      <c r="J538" s="26" t="s">
        <v>658</v>
      </c>
      <c r="K538" s="112">
        <v>5</v>
      </c>
      <c r="L538" s="220" t="s">
        <v>1776</v>
      </c>
      <c r="M538" s="124"/>
    </row>
    <row r="539" spans="1:14" ht="50.25" customHeight="1">
      <c r="A539" s="21" t="s">
        <v>1641</v>
      </c>
      <c r="B539" s="21"/>
      <c r="C539" s="28" t="s">
        <v>1642</v>
      </c>
      <c r="D539" s="43" t="s">
        <v>1822</v>
      </c>
      <c r="E539" s="21" t="s">
        <v>1522</v>
      </c>
      <c r="F539" s="22"/>
      <c r="G539" s="22" t="s">
        <v>463</v>
      </c>
      <c r="H539" s="22" t="s">
        <v>470</v>
      </c>
      <c r="I539" s="68">
        <v>1020</v>
      </c>
      <c r="J539" s="26" t="s">
        <v>659</v>
      </c>
      <c r="K539" s="112">
        <v>5</v>
      </c>
      <c r="L539" s="220" t="s">
        <v>1776</v>
      </c>
      <c r="M539" s="124"/>
    </row>
    <row r="540" spans="1:14" ht="33">
      <c r="A540" s="21" t="s">
        <v>1539</v>
      </c>
      <c r="B540" s="21"/>
      <c r="C540" s="28" t="s">
        <v>1425</v>
      </c>
      <c r="D540" s="43" t="s">
        <v>1828</v>
      </c>
      <c r="E540" s="21" t="s">
        <v>1522</v>
      </c>
      <c r="F540" s="22" t="s">
        <v>70</v>
      </c>
      <c r="G540" s="22" t="s">
        <v>463</v>
      </c>
      <c r="H540" s="22" t="s">
        <v>1101</v>
      </c>
      <c r="I540" s="68" t="s">
        <v>430</v>
      </c>
      <c r="J540" s="26" t="s">
        <v>429</v>
      </c>
      <c r="K540" s="112">
        <v>3</v>
      </c>
      <c r="L540" s="220" t="s">
        <v>1781</v>
      </c>
      <c r="M540" s="124"/>
    </row>
    <row r="541" spans="1:14" ht="16.5">
      <c r="A541" s="21" t="s">
        <v>743</v>
      </c>
      <c r="B541" s="21" t="s">
        <v>110</v>
      </c>
      <c r="C541" s="28" t="s">
        <v>184</v>
      </c>
      <c r="D541" s="43" t="s">
        <v>1814</v>
      </c>
      <c r="E541" s="21" t="s">
        <v>1522</v>
      </c>
      <c r="F541" s="22"/>
      <c r="G541" s="22" t="s">
        <v>463</v>
      </c>
      <c r="H541" s="22" t="s">
        <v>928</v>
      </c>
      <c r="I541" s="67">
        <v>1020</v>
      </c>
      <c r="J541" s="26" t="s">
        <v>1097</v>
      </c>
      <c r="K541" s="112">
        <v>3</v>
      </c>
      <c r="L541" s="220" t="s">
        <v>1781</v>
      </c>
      <c r="M541" s="124"/>
    </row>
    <row r="542" spans="1:14" s="4" customFormat="1" ht="16.5">
      <c r="A542" s="21" t="s">
        <v>522</v>
      </c>
      <c r="B542" s="21" t="s">
        <v>880</v>
      </c>
      <c r="C542" s="28" t="s">
        <v>1060</v>
      </c>
      <c r="D542" s="43" t="s">
        <v>1814</v>
      </c>
      <c r="E542" s="21" t="s">
        <v>1522</v>
      </c>
      <c r="F542" s="22"/>
      <c r="G542" s="22" t="s">
        <v>463</v>
      </c>
      <c r="H542" s="22" t="s">
        <v>928</v>
      </c>
      <c r="I542" s="67">
        <v>1020</v>
      </c>
      <c r="J542" s="26" t="s">
        <v>1097</v>
      </c>
      <c r="K542" s="202">
        <v>3</v>
      </c>
      <c r="L542" s="220" t="s">
        <v>1781</v>
      </c>
      <c r="M542" s="124"/>
      <c r="N542" s="1"/>
    </row>
    <row r="543" spans="1:14" ht="16.5">
      <c r="A543" s="21" t="s">
        <v>525</v>
      </c>
      <c r="B543" s="21" t="s">
        <v>882</v>
      </c>
      <c r="C543" s="28" t="s">
        <v>1007</v>
      </c>
      <c r="D543" s="43"/>
      <c r="E543" s="21" t="s">
        <v>1522</v>
      </c>
      <c r="F543" s="22"/>
      <c r="G543" s="22" t="s">
        <v>463</v>
      </c>
      <c r="H543" s="22" t="s">
        <v>928</v>
      </c>
      <c r="I543" s="68" t="s">
        <v>1080</v>
      </c>
      <c r="J543" s="26" t="s">
        <v>541</v>
      </c>
      <c r="K543" s="112">
        <v>3</v>
      </c>
      <c r="L543" s="220"/>
      <c r="M543" s="124"/>
    </row>
    <row r="544" spans="1:14" s="2" customFormat="1" ht="16.5">
      <c r="A544" s="21" t="s">
        <v>522</v>
      </c>
      <c r="B544" s="21" t="s">
        <v>880</v>
      </c>
      <c r="C544" s="28" t="s">
        <v>1060</v>
      </c>
      <c r="D544" s="43"/>
      <c r="E544" s="21" t="s">
        <v>1522</v>
      </c>
      <c r="F544" s="22"/>
      <c r="G544" s="22" t="s">
        <v>463</v>
      </c>
      <c r="H544" s="22" t="s">
        <v>928</v>
      </c>
      <c r="I544" s="68">
        <v>1250</v>
      </c>
      <c r="J544" s="26" t="s">
        <v>406</v>
      </c>
      <c r="K544" s="112">
        <v>2</v>
      </c>
      <c r="L544" s="220" t="s">
        <v>1761</v>
      </c>
      <c r="M544" s="124"/>
      <c r="N544" s="1"/>
    </row>
    <row r="545" spans="1:14" ht="33">
      <c r="A545" s="21" t="s">
        <v>522</v>
      </c>
      <c r="B545" s="21" t="s">
        <v>880</v>
      </c>
      <c r="C545" s="28" t="s">
        <v>1060</v>
      </c>
      <c r="D545" s="43" t="s">
        <v>1248</v>
      </c>
      <c r="E545" s="21" t="s">
        <v>1522</v>
      </c>
      <c r="F545" s="22" t="s">
        <v>1331</v>
      </c>
      <c r="G545" s="22" t="s">
        <v>463</v>
      </c>
      <c r="H545" s="22" t="s">
        <v>928</v>
      </c>
      <c r="I545" s="67">
        <v>1500</v>
      </c>
      <c r="J545" s="26" t="s">
        <v>1241</v>
      </c>
      <c r="K545" s="202">
        <v>3</v>
      </c>
      <c r="L545" s="220" t="s">
        <v>1777</v>
      </c>
      <c r="M545" s="124"/>
    </row>
    <row r="546" spans="1:14" ht="16.5">
      <c r="A546" s="21" t="s">
        <v>230</v>
      </c>
      <c r="B546" s="21"/>
      <c r="C546" s="28" t="s">
        <v>296</v>
      </c>
      <c r="D546" s="43"/>
      <c r="E546" s="21" t="s">
        <v>1522</v>
      </c>
      <c r="F546" s="22" t="s">
        <v>534</v>
      </c>
      <c r="G546" s="22" t="s">
        <v>463</v>
      </c>
      <c r="H546" s="22" t="s">
        <v>929</v>
      </c>
      <c r="I546" s="68" t="s">
        <v>1078</v>
      </c>
      <c r="J546" s="26" t="s">
        <v>140</v>
      </c>
      <c r="K546" s="112">
        <v>3</v>
      </c>
      <c r="L546" s="220" t="s">
        <v>1777</v>
      </c>
      <c r="M546" s="124"/>
    </row>
    <row r="547" spans="1:14" ht="16.5">
      <c r="A547" s="21" t="s">
        <v>517</v>
      </c>
      <c r="B547" s="21" t="s">
        <v>112</v>
      </c>
      <c r="C547" s="28" t="s">
        <v>1135</v>
      </c>
      <c r="D547" s="43"/>
      <c r="E547" s="21" t="s">
        <v>1522</v>
      </c>
      <c r="F547" s="22"/>
      <c r="G547" s="122" t="s">
        <v>463</v>
      </c>
      <c r="H547" s="22" t="s">
        <v>1865</v>
      </c>
      <c r="I547" s="67">
        <v>1010</v>
      </c>
      <c r="J547" s="26" t="s">
        <v>1863</v>
      </c>
      <c r="K547" s="202">
        <v>3</v>
      </c>
      <c r="L547" s="169" t="s">
        <v>1761</v>
      </c>
      <c r="M547" s="290"/>
    </row>
    <row r="548" spans="1:14" ht="16.5">
      <c r="A548" s="21" t="s">
        <v>849</v>
      </c>
      <c r="B548" s="21" t="s">
        <v>848</v>
      </c>
      <c r="C548" s="28" t="s">
        <v>847</v>
      </c>
      <c r="D548" s="43"/>
      <c r="E548" s="21" t="s">
        <v>1522</v>
      </c>
      <c r="F548" s="22"/>
      <c r="G548" s="22" t="s">
        <v>463</v>
      </c>
      <c r="H548" s="22" t="s">
        <v>931</v>
      </c>
      <c r="I548" s="68" t="s">
        <v>1078</v>
      </c>
      <c r="J548" s="26" t="s">
        <v>1128</v>
      </c>
      <c r="K548" s="110">
        <v>2</v>
      </c>
      <c r="L548" s="220" t="s">
        <v>1778</v>
      </c>
      <c r="M548" s="124"/>
    </row>
    <row r="549" spans="1:14" ht="16.5">
      <c r="A549" s="21" t="s">
        <v>310</v>
      </c>
      <c r="B549" s="21" t="s">
        <v>580</v>
      </c>
      <c r="C549" s="28" t="s">
        <v>179</v>
      </c>
      <c r="D549" s="43" t="s">
        <v>1727</v>
      </c>
      <c r="E549" s="21" t="s">
        <v>1522</v>
      </c>
      <c r="F549" s="22"/>
      <c r="G549" s="22" t="s">
        <v>463</v>
      </c>
      <c r="H549" s="22" t="s">
        <v>933</v>
      </c>
      <c r="I549" s="68" t="s">
        <v>1548</v>
      </c>
      <c r="J549" s="26" t="s">
        <v>932</v>
      </c>
      <c r="K549" s="202">
        <v>3</v>
      </c>
      <c r="L549" s="220" t="s">
        <v>1781</v>
      </c>
      <c r="M549" s="124"/>
    </row>
    <row r="550" spans="1:14" ht="16.5">
      <c r="A550" s="21" t="s">
        <v>310</v>
      </c>
      <c r="B550" s="21" t="s">
        <v>580</v>
      </c>
      <c r="C550" s="28" t="s">
        <v>179</v>
      </c>
      <c r="D550" s="43" t="s">
        <v>1728</v>
      </c>
      <c r="E550" s="21" t="s">
        <v>1522</v>
      </c>
      <c r="F550" s="22"/>
      <c r="G550" s="22" t="s">
        <v>463</v>
      </c>
      <c r="H550" s="22" t="s">
        <v>933</v>
      </c>
      <c r="I550" s="68">
        <v>1510</v>
      </c>
      <c r="J550" s="26" t="s">
        <v>1141</v>
      </c>
      <c r="K550" s="202">
        <v>1</v>
      </c>
      <c r="L550" s="220" t="s">
        <v>1761</v>
      </c>
      <c r="M550" s="124"/>
    </row>
    <row r="551" spans="1:14" ht="33">
      <c r="A551" s="21" t="s">
        <v>51</v>
      </c>
      <c r="B551" s="45"/>
      <c r="C551" s="28" t="s">
        <v>979</v>
      </c>
      <c r="D551" s="43" t="s">
        <v>489</v>
      </c>
      <c r="E551" s="21" t="s">
        <v>1522</v>
      </c>
      <c r="F551" s="22"/>
      <c r="G551" s="22" t="s">
        <v>463</v>
      </c>
      <c r="H551" s="22" t="s">
        <v>455</v>
      </c>
      <c r="I551" s="68" t="s">
        <v>1528</v>
      </c>
      <c r="J551" s="26" t="s">
        <v>1115</v>
      </c>
      <c r="K551" s="202">
        <v>4</v>
      </c>
      <c r="L551" s="220" t="s">
        <v>1761</v>
      </c>
      <c r="M551" s="124"/>
    </row>
    <row r="552" spans="1:14" ht="96" customHeight="1">
      <c r="A552" s="21" t="s">
        <v>49</v>
      </c>
      <c r="B552" s="21"/>
      <c r="C552" s="28" t="s">
        <v>957</v>
      </c>
      <c r="D552" s="43" t="s">
        <v>490</v>
      </c>
      <c r="E552" s="21" t="s">
        <v>1522</v>
      </c>
      <c r="F552" s="22" t="s">
        <v>845</v>
      </c>
      <c r="G552" s="22" t="s">
        <v>463</v>
      </c>
      <c r="H552" s="22" t="s">
        <v>455</v>
      </c>
      <c r="I552" s="68" t="s">
        <v>440</v>
      </c>
      <c r="J552" s="26" t="s">
        <v>142</v>
      </c>
      <c r="K552" s="112">
        <v>3</v>
      </c>
      <c r="L552" s="220" t="s">
        <v>1761</v>
      </c>
      <c r="M552" s="124"/>
      <c r="N552" s="6"/>
    </row>
    <row r="553" spans="1:14" ht="75.75" customHeight="1">
      <c r="A553" s="21" t="s">
        <v>1488</v>
      </c>
      <c r="B553" s="21"/>
      <c r="C553" s="28" t="s">
        <v>980</v>
      </c>
      <c r="D553" s="43" t="s">
        <v>490</v>
      </c>
      <c r="E553" s="21" t="s">
        <v>1522</v>
      </c>
      <c r="F553" s="22" t="s">
        <v>845</v>
      </c>
      <c r="G553" s="22" t="s">
        <v>463</v>
      </c>
      <c r="H553" s="22" t="s">
        <v>455</v>
      </c>
      <c r="I553" s="68" t="s">
        <v>1119</v>
      </c>
      <c r="J553" s="26" t="s">
        <v>1118</v>
      </c>
      <c r="K553" s="112">
        <v>4</v>
      </c>
      <c r="L553" s="220" t="s">
        <v>1761</v>
      </c>
      <c r="M553" s="124"/>
    </row>
    <row r="554" spans="1:14" ht="33">
      <c r="A554" s="45" t="s">
        <v>50</v>
      </c>
      <c r="B554" s="45"/>
      <c r="C554" s="28" t="s">
        <v>1062</v>
      </c>
      <c r="D554" s="43" t="s">
        <v>491</v>
      </c>
      <c r="E554" s="21" t="s">
        <v>1522</v>
      </c>
      <c r="F554" s="22"/>
      <c r="G554" s="22" t="s">
        <v>463</v>
      </c>
      <c r="H554" s="22" t="s">
        <v>455</v>
      </c>
      <c r="I554" s="68" t="s">
        <v>1121</v>
      </c>
      <c r="J554" s="26" t="s">
        <v>1120</v>
      </c>
      <c r="K554" s="112">
        <v>3</v>
      </c>
      <c r="L554" s="220" t="s">
        <v>1761</v>
      </c>
      <c r="M554" s="124"/>
    </row>
    <row r="555" spans="1:14" ht="33">
      <c r="A555" s="21" t="s">
        <v>1487</v>
      </c>
      <c r="B555" s="21"/>
      <c r="C555" s="28" t="s">
        <v>180</v>
      </c>
      <c r="D555" s="43" t="s">
        <v>1249</v>
      </c>
      <c r="E555" s="21" t="s">
        <v>1522</v>
      </c>
      <c r="F555" s="22"/>
      <c r="G555" s="22" t="s">
        <v>463</v>
      </c>
      <c r="H555" s="22" t="s">
        <v>455</v>
      </c>
      <c r="I555" s="68">
        <v>1210</v>
      </c>
      <c r="J555" s="26" t="s">
        <v>841</v>
      </c>
      <c r="K555" s="202">
        <v>4</v>
      </c>
      <c r="L555" s="218" t="s">
        <v>1761</v>
      </c>
      <c r="M555" s="1"/>
    </row>
    <row r="556" spans="1:14" s="4" customFormat="1" ht="16.5">
      <c r="A556" s="21" t="s">
        <v>749</v>
      </c>
      <c r="B556" s="21"/>
      <c r="C556" s="28" t="s">
        <v>255</v>
      </c>
      <c r="D556" s="43"/>
      <c r="E556" s="21" t="s">
        <v>1522</v>
      </c>
      <c r="F556" s="22" t="s">
        <v>1332</v>
      </c>
      <c r="G556" s="22" t="s">
        <v>463</v>
      </c>
      <c r="H556" s="22" t="s">
        <v>360</v>
      </c>
      <c r="I556" s="67">
        <v>1010</v>
      </c>
      <c r="J556" s="73" t="s">
        <v>1265</v>
      </c>
      <c r="K556" s="112">
        <v>3</v>
      </c>
      <c r="L556" s="220" t="s">
        <v>1761</v>
      </c>
      <c r="M556" s="124"/>
      <c r="N556" s="1"/>
    </row>
    <row r="557" spans="1:14" ht="16.5">
      <c r="A557" s="21" t="s">
        <v>506</v>
      </c>
      <c r="B557" s="21" t="s">
        <v>100</v>
      </c>
      <c r="C557" s="28" t="s">
        <v>254</v>
      </c>
      <c r="D557" s="43"/>
      <c r="E557" s="21" t="s">
        <v>1522</v>
      </c>
      <c r="F557" s="22"/>
      <c r="G557" s="22" t="s">
        <v>463</v>
      </c>
      <c r="H557" s="22" t="s">
        <v>864</v>
      </c>
      <c r="I557" s="68">
        <v>1100</v>
      </c>
      <c r="J557" s="26" t="s">
        <v>863</v>
      </c>
      <c r="K557" s="112">
        <v>3</v>
      </c>
      <c r="L557" s="220" t="s">
        <v>1761</v>
      </c>
      <c r="M557" s="124"/>
    </row>
    <row r="558" spans="1:14" ht="16.5">
      <c r="A558" s="21" t="s">
        <v>790</v>
      </c>
      <c r="B558" s="45" t="s">
        <v>92</v>
      </c>
      <c r="C558" s="28" t="s">
        <v>989</v>
      </c>
      <c r="D558" s="43"/>
      <c r="E558" s="21" t="s">
        <v>1522</v>
      </c>
      <c r="F558" s="22"/>
      <c r="G558" s="22" t="s">
        <v>463</v>
      </c>
      <c r="H558" s="22" t="s">
        <v>864</v>
      </c>
      <c r="I558" s="68">
        <v>1600</v>
      </c>
      <c r="J558" s="26" t="s">
        <v>6</v>
      </c>
      <c r="K558" s="112">
        <v>3</v>
      </c>
      <c r="L558" s="220" t="s">
        <v>1761</v>
      </c>
      <c r="M558" s="124"/>
    </row>
    <row r="559" spans="1:14" ht="33">
      <c r="A559" s="21" t="s">
        <v>592</v>
      </c>
      <c r="B559" s="21" t="s">
        <v>133</v>
      </c>
      <c r="C559" s="28" t="s">
        <v>1066</v>
      </c>
      <c r="D559" s="43" t="s">
        <v>315</v>
      </c>
      <c r="E559" s="21" t="s">
        <v>1522</v>
      </c>
      <c r="F559" s="22"/>
      <c r="G559" s="22" t="s">
        <v>463</v>
      </c>
      <c r="H559" s="22" t="s">
        <v>459</v>
      </c>
      <c r="I559" s="68" t="s">
        <v>1528</v>
      </c>
      <c r="J559" s="26" t="s">
        <v>301</v>
      </c>
      <c r="K559" s="112">
        <v>2</v>
      </c>
      <c r="L559" s="220" t="s">
        <v>1761</v>
      </c>
      <c r="M559" s="124"/>
    </row>
    <row r="560" spans="1:14" ht="16.5">
      <c r="A560" s="21" t="s">
        <v>591</v>
      </c>
      <c r="B560" s="21" t="s">
        <v>132</v>
      </c>
      <c r="C560" s="28" t="s">
        <v>1065</v>
      </c>
      <c r="D560" s="43"/>
      <c r="E560" s="21" t="s">
        <v>1522</v>
      </c>
      <c r="F560" s="22"/>
      <c r="G560" s="22" t="s">
        <v>463</v>
      </c>
      <c r="H560" s="22" t="s">
        <v>459</v>
      </c>
      <c r="I560" s="68">
        <v>1030</v>
      </c>
      <c r="J560" s="26" t="s">
        <v>1266</v>
      </c>
      <c r="K560" s="112">
        <v>3</v>
      </c>
      <c r="L560" s="220" t="s">
        <v>1761</v>
      </c>
      <c r="M560" s="124"/>
    </row>
    <row r="561" spans="1:14" ht="32.25" customHeight="1">
      <c r="A561" s="21" t="s">
        <v>590</v>
      </c>
      <c r="B561" s="21" t="s">
        <v>129</v>
      </c>
      <c r="C561" s="28" t="s">
        <v>827</v>
      </c>
      <c r="D561" s="43"/>
      <c r="E561" s="21" t="s">
        <v>1522</v>
      </c>
      <c r="F561" s="22"/>
      <c r="G561" s="22" t="s">
        <v>463</v>
      </c>
      <c r="H561" s="22" t="s">
        <v>459</v>
      </c>
      <c r="I561" s="68">
        <v>1070</v>
      </c>
      <c r="J561" s="26" t="s">
        <v>669</v>
      </c>
      <c r="K561" s="112">
        <v>3</v>
      </c>
      <c r="L561" s="220" t="s">
        <v>1761</v>
      </c>
      <c r="M561" s="124"/>
    </row>
    <row r="562" spans="1:14" ht="32.25" customHeight="1">
      <c r="A562" s="21" t="s">
        <v>506</v>
      </c>
      <c r="B562" s="21" t="s">
        <v>100</v>
      </c>
      <c r="C562" s="28" t="s">
        <v>254</v>
      </c>
      <c r="D562" s="43"/>
      <c r="E562" s="21" t="s">
        <v>1522</v>
      </c>
      <c r="F562" s="22"/>
      <c r="G562" s="22" t="s">
        <v>463</v>
      </c>
      <c r="H562" s="22" t="s">
        <v>459</v>
      </c>
      <c r="I562" s="68">
        <v>1480</v>
      </c>
      <c r="J562" s="26" t="s">
        <v>866</v>
      </c>
      <c r="K562" s="112">
        <v>3</v>
      </c>
      <c r="L562" s="220" t="s">
        <v>1761</v>
      </c>
      <c r="M562" s="124"/>
    </row>
    <row r="563" spans="1:14" ht="32.25" customHeight="1">
      <c r="A563" s="21" t="s">
        <v>792</v>
      </c>
      <c r="B563" s="21" t="s">
        <v>94</v>
      </c>
      <c r="C563" s="28" t="s">
        <v>218</v>
      </c>
      <c r="D563" s="43"/>
      <c r="E563" s="21" t="s">
        <v>1522</v>
      </c>
      <c r="F563" s="23"/>
      <c r="G563" s="22" t="s">
        <v>463</v>
      </c>
      <c r="H563" s="22" t="s">
        <v>459</v>
      </c>
      <c r="I563" s="22" t="s">
        <v>2533</v>
      </c>
      <c r="J563" s="25" t="s">
        <v>1140</v>
      </c>
      <c r="K563" s="202">
        <v>2</v>
      </c>
      <c r="L563" s="220" t="s">
        <v>1761</v>
      </c>
      <c r="M563" s="124"/>
    </row>
    <row r="564" spans="1:14" ht="33.75" customHeight="1">
      <c r="A564" s="21" t="s">
        <v>592</v>
      </c>
      <c r="B564" s="21" t="s">
        <v>133</v>
      </c>
      <c r="C564" s="28" t="s">
        <v>1066</v>
      </c>
      <c r="D564" s="43" t="s">
        <v>840</v>
      </c>
      <c r="E564" s="21" t="s">
        <v>1522</v>
      </c>
      <c r="F564" s="22"/>
      <c r="G564" s="22" t="s">
        <v>463</v>
      </c>
      <c r="H564" s="22" t="s">
        <v>459</v>
      </c>
      <c r="I564" s="68">
        <v>2000</v>
      </c>
      <c r="J564" s="26" t="s">
        <v>170</v>
      </c>
      <c r="K564" s="110" t="s">
        <v>1177</v>
      </c>
      <c r="L564" s="220" t="s">
        <v>1761</v>
      </c>
      <c r="M564" s="124"/>
    </row>
    <row r="565" spans="1:14" ht="16.5">
      <c r="A565" s="21" t="s">
        <v>412</v>
      </c>
      <c r="B565" s="21"/>
      <c r="C565" s="28" t="s">
        <v>413</v>
      </c>
      <c r="D565" s="43"/>
      <c r="E565" s="21" t="s">
        <v>1522</v>
      </c>
      <c r="F565" s="22"/>
      <c r="G565" s="22" t="s">
        <v>463</v>
      </c>
      <c r="H565" s="22" t="s">
        <v>414</v>
      </c>
      <c r="I565" s="67">
        <v>1010</v>
      </c>
      <c r="J565" s="26" t="s">
        <v>289</v>
      </c>
      <c r="K565" s="202">
        <v>2</v>
      </c>
      <c r="L565" s="220" t="s">
        <v>1761</v>
      </c>
      <c r="M565" s="297"/>
    </row>
    <row r="566" spans="1:14" ht="16.5">
      <c r="A566" s="21" t="s">
        <v>412</v>
      </c>
      <c r="B566" s="21"/>
      <c r="C566" s="28" t="s">
        <v>413</v>
      </c>
      <c r="D566" s="43"/>
      <c r="E566" s="21" t="s">
        <v>1522</v>
      </c>
      <c r="F566" s="22"/>
      <c r="G566" s="22" t="s">
        <v>463</v>
      </c>
      <c r="H566" s="22" t="s">
        <v>414</v>
      </c>
      <c r="I566" s="67">
        <v>1020</v>
      </c>
      <c r="J566" s="26" t="s">
        <v>290</v>
      </c>
      <c r="K566" s="202">
        <v>2</v>
      </c>
      <c r="L566" s="220" t="s">
        <v>1761</v>
      </c>
      <c r="M566" s="297"/>
    </row>
    <row r="567" spans="1:14" ht="16.5">
      <c r="A567" s="21" t="s">
        <v>52</v>
      </c>
      <c r="B567" s="21"/>
      <c r="C567" s="28" t="s">
        <v>181</v>
      </c>
      <c r="D567" s="43"/>
      <c r="E567" s="21" t="s">
        <v>1521</v>
      </c>
      <c r="F567" s="56" t="s">
        <v>1330</v>
      </c>
      <c r="G567" s="22" t="s">
        <v>463</v>
      </c>
      <c r="H567" s="22" t="s">
        <v>1124</v>
      </c>
      <c r="I567" s="68" t="s">
        <v>1528</v>
      </c>
      <c r="J567" s="26" t="s">
        <v>143</v>
      </c>
      <c r="K567" s="112">
        <v>3</v>
      </c>
      <c r="L567" s="220" t="s">
        <v>1761</v>
      </c>
      <c r="M567" s="124"/>
    </row>
    <row r="568" spans="1:14" ht="33">
      <c r="A568" s="21" t="s">
        <v>524</v>
      </c>
      <c r="B568" s="21" t="s">
        <v>883</v>
      </c>
      <c r="C568" s="28" t="s">
        <v>1006</v>
      </c>
      <c r="D568" s="43" t="s">
        <v>1815</v>
      </c>
      <c r="E568" s="21" t="s">
        <v>1522</v>
      </c>
      <c r="F568" s="22"/>
      <c r="G568" s="22" t="s">
        <v>463</v>
      </c>
      <c r="H568" s="22" t="s">
        <v>764</v>
      </c>
      <c r="I568" s="68">
        <v>1020</v>
      </c>
      <c r="J568" s="26" t="s">
        <v>1267</v>
      </c>
      <c r="K568" s="202">
        <v>2</v>
      </c>
      <c r="L568" s="220" t="s">
        <v>1761</v>
      </c>
      <c r="M568" s="124"/>
    </row>
    <row r="569" spans="1:14" ht="16.5">
      <c r="A569" s="58" t="s">
        <v>1212</v>
      </c>
      <c r="B569" s="193"/>
      <c r="C569" s="59" t="s">
        <v>1674</v>
      </c>
      <c r="D569" s="60"/>
      <c r="E569" s="58" t="s">
        <v>1522</v>
      </c>
      <c r="F569" s="61"/>
      <c r="G569" s="22" t="s">
        <v>463</v>
      </c>
      <c r="H569" s="61" t="s">
        <v>282</v>
      </c>
      <c r="I569" s="69">
        <v>1010</v>
      </c>
      <c r="J569" s="74" t="s">
        <v>1348</v>
      </c>
      <c r="K569" s="202">
        <v>3</v>
      </c>
      <c r="L569" s="220" t="s">
        <v>1785</v>
      </c>
      <c r="M569" s="124"/>
      <c r="N569" s="4"/>
    </row>
    <row r="570" spans="1:14" ht="49.5">
      <c r="A570" s="58" t="s">
        <v>47</v>
      </c>
      <c r="B570" s="58"/>
      <c r="C570" s="59" t="s">
        <v>982</v>
      </c>
      <c r="D570" s="60" t="s">
        <v>1257</v>
      </c>
      <c r="E570" s="58" t="s">
        <v>1522</v>
      </c>
      <c r="F570" s="61"/>
      <c r="G570" s="22" t="s">
        <v>463</v>
      </c>
      <c r="H570" s="61" t="s">
        <v>282</v>
      </c>
      <c r="I570" s="69">
        <v>2150</v>
      </c>
      <c r="J570" s="74" t="s">
        <v>1349</v>
      </c>
      <c r="K570" s="202">
        <v>3</v>
      </c>
      <c r="L570" s="220" t="s">
        <v>1761</v>
      </c>
      <c r="M570" s="124"/>
    </row>
    <row r="571" spans="1:14" ht="49.5">
      <c r="A571" s="58" t="s">
        <v>46</v>
      </c>
      <c r="B571" s="58"/>
      <c r="C571" s="59" t="s">
        <v>45</v>
      </c>
      <c r="D571" s="60" t="s">
        <v>1258</v>
      </c>
      <c r="E571" s="58" t="s">
        <v>1522</v>
      </c>
      <c r="F571" s="61"/>
      <c r="G571" s="22" t="s">
        <v>463</v>
      </c>
      <c r="H571" s="61" t="s">
        <v>282</v>
      </c>
      <c r="I571" s="69">
        <v>2160</v>
      </c>
      <c r="J571" s="74" t="s">
        <v>1350</v>
      </c>
      <c r="K571" s="202">
        <v>1</v>
      </c>
      <c r="L571" s="220" t="s">
        <v>1761</v>
      </c>
      <c r="M571" s="124"/>
    </row>
    <row r="572" spans="1:14" ht="16.5">
      <c r="A572" s="19" t="s">
        <v>737</v>
      </c>
      <c r="B572" s="20"/>
      <c r="C572" s="28" t="s">
        <v>1067</v>
      </c>
      <c r="D572" s="43"/>
      <c r="E572" s="21" t="s">
        <v>1522</v>
      </c>
      <c r="F572" s="22" t="s">
        <v>1332</v>
      </c>
      <c r="G572" s="22" t="s">
        <v>463</v>
      </c>
      <c r="H572" s="22" t="s">
        <v>427</v>
      </c>
      <c r="I572" s="68">
        <v>1010</v>
      </c>
      <c r="J572" s="26" t="s">
        <v>867</v>
      </c>
      <c r="K572" s="112">
        <v>3</v>
      </c>
      <c r="L572" s="220" t="s">
        <v>1761</v>
      </c>
      <c r="M572" s="124"/>
    </row>
    <row r="573" spans="1:14" ht="16.5">
      <c r="A573" s="21" t="s">
        <v>750</v>
      </c>
      <c r="B573" s="21"/>
      <c r="C573" s="29" t="s">
        <v>1068</v>
      </c>
      <c r="D573" s="46"/>
      <c r="E573" s="21" t="s">
        <v>1522</v>
      </c>
      <c r="F573" s="24" t="s">
        <v>1332</v>
      </c>
      <c r="G573" s="22" t="s">
        <v>463</v>
      </c>
      <c r="H573" s="22" t="s">
        <v>427</v>
      </c>
      <c r="I573" s="68">
        <v>1040</v>
      </c>
      <c r="J573" s="26" t="s">
        <v>269</v>
      </c>
      <c r="K573" s="112">
        <v>3</v>
      </c>
      <c r="L573" s="220" t="s">
        <v>1781</v>
      </c>
      <c r="M573" s="124"/>
    </row>
    <row r="574" spans="1:14" ht="33">
      <c r="A574" s="21" t="s">
        <v>312</v>
      </c>
      <c r="B574" s="21" t="s">
        <v>1450</v>
      </c>
      <c r="C574" s="28" t="s">
        <v>1131</v>
      </c>
      <c r="D574" s="101" t="s">
        <v>1816</v>
      </c>
      <c r="E574" s="21" t="s">
        <v>1522</v>
      </c>
      <c r="F574" s="22"/>
      <c r="G574" s="22" t="s">
        <v>463</v>
      </c>
      <c r="H574" s="22" t="s">
        <v>702</v>
      </c>
      <c r="I574" s="68">
        <v>1020</v>
      </c>
      <c r="J574" s="26" t="s">
        <v>703</v>
      </c>
      <c r="K574" s="202">
        <v>2</v>
      </c>
      <c r="L574" s="220" t="s">
        <v>1779</v>
      </c>
      <c r="M574" s="124"/>
    </row>
    <row r="575" spans="1:14" ht="33">
      <c r="A575" s="21" t="s">
        <v>312</v>
      </c>
      <c r="B575" s="21" t="s">
        <v>1450</v>
      </c>
      <c r="C575" s="28" t="s">
        <v>1131</v>
      </c>
      <c r="D575" s="101" t="s">
        <v>1816</v>
      </c>
      <c r="E575" s="21" t="s">
        <v>1522</v>
      </c>
      <c r="F575" s="22"/>
      <c r="G575" s="22" t="s">
        <v>463</v>
      </c>
      <c r="H575" s="22" t="s">
        <v>702</v>
      </c>
      <c r="I575" s="68">
        <v>1040</v>
      </c>
      <c r="J575" s="26" t="s">
        <v>1156</v>
      </c>
      <c r="K575" s="112">
        <v>1</v>
      </c>
      <c r="L575" s="220" t="s">
        <v>1761</v>
      </c>
      <c r="M575" s="124"/>
    </row>
    <row r="576" spans="1:14" ht="33">
      <c r="A576" s="21" t="s">
        <v>312</v>
      </c>
      <c r="B576" s="21" t="s">
        <v>1450</v>
      </c>
      <c r="C576" s="28" t="s">
        <v>1131</v>
      </c>
      <c r="D576" s="101" t="s">
        <v>1816</v>
      </c>
      <c r="E576" s="21" t="s">
        <v>1522</v>
      </c>
      <c r="F576" s="22"/>
      <c r="G576" s="22" t="s">
        <v>463</v>
      </c>
      <c r="H576" s="22" t="s">
        <v>702</v>
      </c>
      <c r="I576" s="24">
        <v>1050</v>
      </c>
      <c r="J576" s="26" t="s">
        <v>920</v>
      </c>
      <c r="K576" s="24">
        <v>2</v>
      </c>
      <c r="L576" s="218" t="s">
        <v>1761</v>
      </c>
      <c r="M576" s="3"/>
    </row>
    <row r="577" spans="1:14" ht="49.5">
      <c r="A577" s="21" t="s">
        <v>312</v>
      </c>
      <c r="B577" s="21" t="s">
        <v>1450</v>
      </c>
      <c r="C577" s="28" t="s">
        <v>1131</v>
      </c>
      <c r="D577" s="43" t="s">
        <v>1817</v>
      </c>
      <c r="E577" s="21" t="s">
        <v>1522</v>
      </c>
      <c r="F577" s="22"/>
      <c r="G577" s="22" t="s">
        <v>463</v>
      </c>
      <c r="H577" s="22" t="s">
        <v>702</v>
      </c>
      <c r="I577" s="24">
        <v>1100</v>
      </c>
      <c r="J577" s="26" t="s">
        <v>921</v>
      </c>
      <c r="K577" s="202">
        <v>5</v>
      </c>
      <c r="L577" s="220" t="s">
        <v>1761</v>
      </c>
      <c r="M577" s="124"/>
    </row>
    <row r="578" spans="1:14" ht="66">
      <c r="A578" s="21" t="s">
        <v>312</v>
      </c>
      <c r="B578" s="21" t="s">
        <v>1450</v>
      </c>
      <c r="C578" s="28" t="s">
        <v>1131</v>
      </c>
      <c r="D578" s="43" t="s">
        <v>1818</v>
      </c>
      <c r="E578" s="21" t="s">
        <v>1522</v>
      </c>
      <c r="F578" s="22"/>
      <c r="G578" s="22" t="s">
        <v>463</v>
      </c>
      <c r="H578" s="22" t="s">
        <v>702</v>
      </c>
      <c r="I578" s="68">
        <v>1140</v>
      </c>
      <c r="J578" s="26" t="s">
        <v>225</v>
      </c>
      <c r="K578" s="202">
        <v>1</v>
      </c>
      <c r="L578" s="220" t="s">
        <v>1761</v>
      </c>
      <c r="M578" s="124"/>
    </row>
    <row r="579" spans="1:14" s="6" customFormat="1" ht="49.5">
      <c r="A579" s="125" t="s">
        <v>312</v>
      </c>
      <c r="B579" s="125" t="s">
        <v>1450</v>
      </c>
      <c r="C579" s="256" t="s">
        <v>1131</v>
      </c>
      <c r="D579" s="123" t="s">
        <v>2658</v>
      </c>
      <c r="E579" s="125" t="s">
        <v>1522</v>
      </c>
      <c r="F579" s="131"/>
      <c r="G579" s="131" t="s">
        <v>463</v>
      </c>
      <c r="H579" s="131" t="s">
        <v>702</v>
      </c>
      <c r="I579" s="133">
        <v>1145</v>
      </c>
      <c r="J579" s="134" t="s">
        <v>2642</v>
      </c>
      <c r="K579" s="254" t="s">
        <v>638</v>
      </c>
      <c r="L579" s="253" t="s">
        <v>1761</v>
      </c>
      <c r="M579" s="291"/>
      <c r="N579" s="1"/>
    </row>
    <row r="580" spans="1:14" ht="16.5">
      <c r="A580" s="21" t="s">
        <v>312</v>
      </c>
      <c r="B580" s="21" t="s">
        <v>1450</v>
      </c>
      <c r="C580" s="28" t="s">
        <v>1131</v>
      </c>
      <c r="D580" s="43"/>
      <c r="E580" s="21" t="s">
        <v>1522</v>
      </c>
      <c r="F580" s="22"/>
      <c r="G580" s="122" t="s">
        <v>463</v>
      </c>
      <c r="H580" s="22" t="s">
        <v>702</v>
      </c>
      <c r="I580" s="67">
        <v>1420</v>
      </c>
      <c r="J580" s="26" t="s">
        <v>1864</v>
      </c>
      <c r="K580" s="202">
        <v>3</v>
      </c>
      <c r="L580" s="169" t="s">
        <v>1761</v>
      </c>
      <c r="M580" s="290"/>
    </row>
    <row r="581" spans="1:14" ht="33">
      <c r="A581" s="21" t="s">
        <v>681</v>
      </c>
      <c r="B581" s="21" t="s">
        <v>566</v>
      </c>
      <c r="C581" s="106" t="s">
        <v>2612</v>
      </c>
      <c r="D581" s="43" t="s">
        <v>1819</v>
      </c>
      <c r="E581" s="21" t="s">
        <v>1522</v>
      </c>
      <c r="F581" s="22"/>
      <c r="G581" s="22" t="s">
        <v>463</v>
      </c>
      <c r="H581" s="22" t="s">
        <v>381</v>
      </c>
      <c r="I581" s="68">
        <v>1110</v>
      </c>
      <c r="J581" s="26" t="s">
        <v>382</v>
      </c>
      <c r="K581" s="202">
        <v>5</v>
      </c>
      <c r="L581" s="220" t="s">
        <v>1761</v>
      </c>
      <c r="M581" s="124"/>
    </row>
    <row r="582" spans="1:14" ht="16.5">
      <c r="A582" s="21" t="s">
        <v>50</v>
      </c>
      <c r="B582" s="21"/>
      <c r="C582" s="28" t="s">
        <v>1062</v>
      </c>
      <c r="D582" s="43"/>
      <c r="E582" s="21" t="s">
        <v>1522</v>
      </c>
      <c r="F582" s="22"/>
      <c r="G582" s="22" t="s">
        <v>463</v>
      </c>
      <c r="H582" s="22" t="s">
        <v>381</v>
      </c>
      <c r="I582" s="68">
        <v>1470</v>
      </c>
      <c r="J582" s="26" t="s">
        <v>680</v>
      </c>
      <c r="K582" s="202">
        <v>5</v>
      </c>
      <c r="L582" s="220" t="s">
        <v>1781</v>
      </c>
      <c r="M582" s="124"/>
    </row>
    <row r="583" spans="1:14" ht="16.5">
      <c r="A583" s="21" t="s">
        <v>367</v>
      </c>
      <c r="B583" s="21" t="s">
        <v>562</v>
      </c>
      <c r="C583" s="28" t="s">
        <v>287</v>
      </c>
      <c r="D583" s="43"/>
      <c r="E583" s="21" t="s">
        <v>1522</v>
      </c>
      <c r="F583" s="22"/>
      <c r="G583" s="22" t="s">
        <v>463</v>
      </c>
      <c r="H583" s="22" t="s">
        <v>868</v>
      </c>
      <c r="I583" s="24">
        <v>1010</v>
      </c>
      <c r="J583" s="26" t="s">
        <v>1268</v>
      </c>
      <c r="K583" s="112">
        <v>3</v>
      </c>
      <c r="L583" s="220" t="s">
        <v>1781</v>
      </c>
      <c r="M583" s="124"/>
      <c r="N583" s="4"/>
    </row>
    <row r="584" spans="1:14" ht="16.5">
      <c r="A584" s="21" t="s">
        <v>1540</v>
      </c>
      <c r="B584" s="21"/>
      <c r="C584" s="28" t="s">
        <v>14</v>
      </c>
      <c r="D584" s="43"/>
      <c r="E584" s="21" t="s">
        <v>1522</v>
      </c>
      <c r="F584" s="22" t="s">
        <v>1329</v>
      </c>
      <c r="G584" s="22" t="s">
        <v>463</v>
      </c>
      <c r="H584" s="22" t="s">
        <v>343</v>
      </c>
      <c r="I584" s="68">
        <v>1010</v>
      </c>
      <c r="J584" s="26" t="s">
        <v>660</v>
      </c>
      <c r="K584" s="112">
        <v>3</v>
      </c>
      <c r="L584" s="220"/>
      <c r="M584" s="124"/>
      <c r="N584" s="4"/>
    </row>
    <row r="585" spans="1:14" ht="16.5">
      <c r="A585" s="21" t="s">
        <v>602</v>
      </c>
      <c r="B585" s="21"/>
      <c r="C585" s="28" t="s">
        <v>253</v>
      </c>
      <c r="D585" s="43" t="s">
        <v>1811</v>
      </c>
      <c r="E585" s="21" t="s">
        <v>1522</v>
      </c>
      <c r="F585" s="22" t="s">
        <v>1329</v>
      </c>
      <c r="G585" s="22" t="s">
        <v>463</v>
      </c>
      <c r="H585" s="22" t="s">
        <v>344</v>
      </c>
      <c r="I585" s="24">
        <v>1010</v>
      </c>
      <c r="J585" s="26" t="s">
        <v>147</v>
      </c>
      <c r="K585" s="112">
        <v>3</v>
      </c>
      <c r="L585" s="220" t="s">
        <v>1761</v>
      </c>
      <c r="M585" s="124"/>
      <c r="N585" s="4"/>
    </row>
    <row r="586" spans="1:14" ht="82.5">
      <c r="A586" s="21" t="s">
        <v>1633</v>
      </c>
      <c r="B586" s="21"/>
      <c r="C586" s="28" t="s">
        <v>1634</v>
      </c>
      <c r="D586" s="233" t="s">
        <v>1820</v>
      </c>
      <c r="E586" s="21" t="s">
        <v>1522</v>
      </c>
      <c r="F586" s="22"/>
      <c r="G586" s="22" t="s">
        <v>463</v>
      </c>
      <c r="H586" s="22" t="s">
        <v>345</v>
      </c>
      <c r="I586" s="68">
        <v>1010</v>
      </c>
      <c r="J586" s="26" t="s">
        <v>661</v>
      </c>
      <c r="K586" s="112">
        <v>5</v>
      </c>
      <c r="L586" s="220" t="s">
        <v>1780</v>
      </c>
      <c r="M586" s="124"/>
      <c r="N586" s="4"/>
    </row>
    <row r="587" spans="1:14" ht="66">
      <c r="A587" s="21" t="s">
        <v>1631</v>
      </c>
      <c r="B587" s="21"/>
      <c r="C587" s="28" t="s">
        <v>1632</v>
      </c>
      <c r="D587" s="43" t="s">
        <v>1823</v>
      </c>
      <c r="E587" s="21" t="s">
        <v>1522</v>
      </c>
      <c r="F587" s="22"/>
      <c r="G587" s="22" t="s">
        <v>463</v>
      </c>
      <c r="H587" s="22" t="s">
        <v>345</v>
      </c>
      <c r="I587" s="24">
        <v>1020</v>
      </c>
      <c r="J587" s="26" t="s">
        <v>662</v>
      </c>
      <c r="K587" s="112">
        <v>5</v>
      </c>
      <c r="L587" s="220" t="s">
        <v>1777</v>
      </c>
      <c r="M587" s="124"/>
    </row>
    <row r="588" spans="1:14" ht="33">
      <c r="A588" s="21" t="s">
        <v>1405</v>
      </c>
      <c r="B588" s="21" t="s">
        <v>128</v>
      </c>
      <c r="C588" s="28" t="s">
        <v>9</v>
      </c>
      <c r="D588" s="43" t="s">
        <v>1259</v>
      </c>
      <c r="E588" s="21" t="s">
        <v>1522</v>
      </c>
      <c r="F588" s="22"/>
      <c r="G588" s="22" t="s">
        <v>463</v>
      </c>
      <c r="H588" s="22" t="s">
        <v>1404</v>
      </c>
      <c r="I588" s="68">
        <v>1200</v>
      </c>
      <c r="J588" s="26" t="s">
        <v>1269</v>
      </c>
      <c r="K588" s="112">
        <v>6</v>
      </c>
      <c r="L588" s="220" t="s">
        <v>1777</v>
      </c>
      <c r="M588" s="124"/>
    </row>
    <row r="589" spans="1:14" ht="33">
      <c r="A589" s="21" t="s">
        <v>1405</v>
      </c>
      <c r="B589" s="21" t="s">
        <v>128</v>
      </c>
      <c r="C589" s="28" t="s">
        <v>9</v>
      </c>
      <c r="D589" s="43" t="s">
        <v>1808</v>
      </c>
      <c r="E589" s="21" t="s">
        <v>1522</v>
      </c>
      <c r="F589" s="22"/>
      <c r="G589" s="22" t="s">
        <v>463</v>
      </c>
      <c r="H589" s="22" t="s">
        <v>1404</v>
      </c>
      <c r="I589" s="68">
        <v>1250</v>
      </c>
      <c r="J589" s="26" t="s">
        <v>77</v>
      </c>
      <c r="K589" s="112">
        <v>6</v>
      </c>
      <c r="L589" s="220" t="s">
        <v>1761</v>
      </c>
      <c r="M589" s="124"/>
    </row>
    <row r="590" spans="1:14" ht="16.5">
      <c r="A590" s="21" t="s">
        <v>311</v>
      </c>
      <c r="B590" s="21" t="s">
        <v>582</v>
      </c>
      <c r="C590" s="28" t="s">
        <v>2530</v>
      </c>
      <c r="D590" s="43"/>
      <c r="E590" s="21" t="s">
        <v>1522</v>
      </c>
      <c r="F590" s="22"/>
      <c r="G590" s="22" t="s">
        <v>463</v>
      </c>
      <c r="H590" s="22" t="s">
        <v>347</v>
      </c>
      <c r="I590" s="24">
        <v>1005</v>
      </c>
      <c r="J590" s="26" t="s">
        <v>346</v>
      </c>
      <c r="K590" s="112">
        <v>3</v>
      </c>
      <c r="L590" s="220" t="s">
        <v>1761</v>
      </c>
      <c r="M590" s="124"/>
    </row>
    <row r="591" spans="1:14" ht="16.5">
      <c r="A591" s="21" t="s">
        <v>311</v>
      </c>
      <c r="B591" s="21" t="s">
        <v>582</v>
      </c>
      <c r="C591" s="28" t="s">
        <v>2530</v>
      </c>
      <c r="D591" s="43" t="s">
        <v>1729</v>
      </c>
      <c r="E591" s="21" t="s">
        <v>1522</v>
      </c>
      <c r="F591" s="22"/>
      <c r="G591" s="22" t="s">
        <v>463</v>
      </c>
      <c r="H591" s="22" t="s">
        <v>347</v>
      </c>
      <c r="I591" s="24">
        <v>1110</v>
      </c>
      <c r="J591" s="26" t="s">
        <v>348</v>
      </c>
      <c r="K591" s="112">
        <v>4</v>
      </c>
      <c r="L591" s="220" t="s">
        <v>1761</v>
      </c>
      <c r="M591" s="124"/>
    </row>
    <row r="592" spans="1:14" ht="16.5">
      <c r="A592" s="21" t="s">
        <v>311</v>
      </c>
      <c r="B592" s="21" t="s">
        <v>582</v>
      </c>
      <c r="C592" s="28" t="s">
        <v>2530</v>
      </c>
      <c r="D592" s="43" t="s">
        <v>1730</v>
      </c>
      <c r="E592" s="21" t="s">
        <v>1522</v>
      </c>
      <c r="F592" s="22"/>
      <c r="G592" s="22" t="s">
        <v>463</v>
      </c>
      <c r="H592" s="22" t="s">
        <v>347</v>
      </c>
      <c r="I592" s="24">
        <v>1111</v>
      </c>
      <c r="J592" s="26" t="s">
        <v>943</v>
      </c>
      <c r="K592" s="112">
        <v>8</v>
      </c>
      <c r="L592" s="220" t="s">
        <v>1761</v>
      </c>
      <c r="M592" s="124"/>
    </row>
    <row r="593" spans="1:14" ht="16.5">
      <c r="A593" s="21" t="s">
        <v>1579</v>
      </c>
      <c r="B593" s="21" t="s">
        <v>404</v>
      </c>
      <c r="C593" s="28" t="s">
        <v>1014</v>
      </c>
      <c r="D593" s="43"/>
      <c r="E593" s="21" t="s">
        <v>1522</v>
      </c>
      <c r="F593" s="22"/>
      <c r="G593" s="22" t="s">
        <v>1261</v>
      </c>
      <c r="H593" s="22" t="s">
        <v>543</v>
      </c>
      <c r="I593" s="67">
        <v>1010</v>
      </c>
      <c r="J593" s="26" t="s">
        <v>151</v>
      </c>
      <c r="K593" s="112">
        <v>3</v>
      </c>
      <c r="L593" s="220" t="s">
        <v>1761</v>
      </c>
      <c r="M593" s="124"/>
    </row>
    <row r="594" spans="1:14" ht="16.5">
      <c r="A594" s="21" t="s">
        <v>589</v>
      </c>
      <c r="B594" s="21" t="s">
        <v>127</v>
      </c>
      <c r="C594" s="28" t="s">
        <v>183</v>
      </c>
      <c r="D594" s="43"/>
      <c r="E594" s="21" t="s">
        <v>1522</v>
      </c>
      <c r="F594" s="22"/>
      <c r="G594" s="22" t="s">
        <v>1261</v>
      </c>
      <c r="H594" s="22" t="s">
        <v>544</v>
      </c>
      <c r="I594" s="67">
        <v>1000</v>
      </c>
      <c r="J594" s="26" t="s">
        <v>1126</v>
      </c>
      <c r="K594" s="112">
        <v>6</v>
      </c>
      <c r="L594" s="218" t="s">
        <v>1761</v>
      </c>
      <c r="M594" s="3"/>
    </row>
    <row r="595" spans="1:14" ht="52.5" customHeight="1">
      <c r="A595" s="19" t="s">
        <v>386</v>
      </c>
      <c r="B595" s="20"/>
      <c r="C595" s="28" t="s">
        <v>816</v>
      </c>
      <c r="D595" s="43"/>
      <c r="E595" s="21" t="s">
        <v>1521</v>
      </c>
      <c r="F595" s="22" t="s">
        <v>1330</v>
      </c>
      <c r="G595" s="22" t="s">
        <v>1261</v>
      </c>
      <c r="H595" s="22" t="s">
        <v>1529</v>
      </c>
      <c r="I595" s="67">
        <v>1010</v>
      </c>
      <c r="J595" s="26" t="s">
        <v>834</v>
      </c>
      <c r="K595" s="112">
        <v>3</v>
      </c>
      <c r="L595" s="220" t="s">
        <v>1787</v>
      </c>
      <c r="M595" s="124"/>
    </row>
    <row r="596" spans="1:14" ht="52.5" customHeight="1">
      <c r="A596" s="21" t="s">
        <v>362</v>
      </c>
      <c r="B596" s="21" t="s">
        <v>564</v>
      </c>
      <c r="C596" s="106" t="s">
        <v>2610</v>
      </c>
      <c r="D596" s="103"/>
      <c r="E596" s="21" t="s">
        <v>1522</v>
      </c>
      <c r="F596" s="22"/>
      <c r="G596" s="22" t="s">
        <v>1261</v>
      </c>
      <c r="H596" s="22" t="s">
        <v>1533</v>
      </c>
      <c r="I596" s="67">
        <v>2150</v>
      </c>
      <c r="J596" s="26" t="s">
        <v>545</v>
      </c>
      <c r="K596" s="112">
        <v>4</v>
      </c>
      <c r="L596" s="157" t="s">
        <v>1761</v>
      </c>
      <c r="M596" s="204"/>
    </row>
    <row r="597" spans="1:14" ht="16.5">
      <c r="A597" s="21" t="s">
        <v>374</v>
      </c>
      <c r="B597" s="20" t="s">
        <v>573</v>
      </c>
      <c r="C597" s="28" t="s">
        <v>1076</v>
      </c>
      <c r="D597" s="43" t="s">
        <v>1201</v>
      </c>
      <c r="E597" s="21" t="s">
        <v>1522</v>
      </c>
      <c r="F597" s="22"/>
      <c r="G597" s="22" t="s">
        <v>1261</v>
      </c>
      <c r="H597" s="22" t="s">
        <v>1533</v>
      </c>
      <c r="I597" s="67">
        <v>2690</v>
      </c>
      <c r="J597" s="26" t="s">
        <v>546</v>
      </c>
      <c r="K597" s="112">
        <v>3</v>
      </c>
      <c r="L597" s="220" t="s">
        <v>1761</v>
      </c>
      <c r="M597" s="124"/>
    </row>
    <row r="598" spans="1:14" ht="33">
      <c r="A598" s="21" t="s">
        <v>363</v>
      </c>
      <c r="B598" s="21"/>
      <c r="C598" s="28" t="s">
        <v>1430</v>
      </c>
      <c r="D598" s="43" t="s">
        <v>798</v>
      </c>
      <c r="E598" s="21" t="s">
        <v>1521</v>
      </c>
      <c r="F598" s="22" t="s">
        <v>540</v>
      </c>
      <c r="G598" s="22" t="s">
        <v>1261</v>
      </c>
      <c r="H598" s="22" t="s">
        <v>283</v>
      </c>
      <c r="I598" s="67">
        <v>1010</v>
      </c>
      <c r="J598" s="26" t="s">
        <v>468</v>
      </c>
      <c r="K598" s="110" t="s">
        <v>753</v>
      </c>
      <c r="L598" s="220" t="s">
        <v>1761</v>
      </c>
      <c r="M598" s="124"/>
    </row>
    <row r="599" spans="1:14" ht="16.5">
      <c r="A599" s="21" t="s">
        <v>549</v>
      </c>
      <c r="B599" s="21" t="s">
        <v>88</v>
      </c>
      <c r="C599" s="28" t="s">
        <v>1146</v>
      </c>
      <c r="D599" s="43"/>
      <c r="E599" s="21" t="s">
        <v>1522</v>
      </c>
      <c r="F599" s="22"/>
      <c r="G599" s="22" t="s">
        <v>1261</v>
      </c>
      <c r="H599" s="22" t="s">
        <v>945</v>
      </c>
      <c r="I599" s="67">
        <v>1060</v>
      </c>
      <c r="J599" s="26" t="s">
        <v>944</v>
      </c>
      <c r="K599" s="112">
        <v>3</v>
      </c>
      <c r="L599" s="220" t="s">
        <v>1761</v>
      </c>
      <c r="M599" s="124"/>
    </row>
    <row r="600" spans="1:14" ht="16.5">
      <c r="A600" s="21" t="s">
        <v>794</v>
      </c>
      <c r="B600" s="21" t="s">
        <v>95</v>
      </c>
      <c r="C600" s="28" t="s">
        <v>11</v>
      </c>
      <c r="D600" s="43" t="s">
        <v>1748</v>
      </c>
      <c r="E600" s="21" t="s">
        <v>1522</v>
      </c>
      <c r="F600" s="22"/>
      <c r="G600" s="22" t="s">
        <v>1261</v>
      </c>
      <c r="H600" s="22" t="s">
        <v>1378</v>
      </c>
      <c r="I600" s="67">
        <v>1080</v>
      </c>
      <c r="J600" s="26" t="s">
        <v>663</v>
      </c>
      <c r="K600" s="110" t="s">
        <v>639</v>
      </c>
      <c r="L600" s="220" t="s">
        <v>1761</v>
      </c>
      <c r="M600" s="124"/>
    </row>
    <row r="601" spans="1:14" ht="16.5">
      <c r="A601" s="21" t="s">
        <v>514</v>
      </c>
      <c r="B601" s="21" t="s">
        <v>106</v>
      </c>
      <c r="C601" s="28" t="s">
        <v>213</v>
      </c>
      <c r="D601" s="43" t="s">
        <v>1202</v>
      </c>
      <c r="E601" s="21" t="s">
        <v>1522</v>
      </c>
      <c r="F601" s="22"/>
      <c r="G601" s="22" t="s">
        <v>1261</v>
      </c>
      <c r="H601" s="22" t="s">
        <v>1378</v>
      </c>
      <c r="I601" s="67">
        <v>1430</v>
      </c>
      <c r="J601" s="26" t="s">
        <v>946</v>
      </c>
      <c r="K601" s="112">
        <v>3</v>
      </c>
      <c r="L601" s="220" t="s">
        <v>1761</v>
      </c>
      <c r="M601" s="124"/>
    </row>
    <row r="602" spans="1:14" ht="16.5">
      <c r="A602" s="21" t="s">
        <v>521</v>
      </c>
      <c r="B602" s="21" t="s">
        <v>114</v>
      </c>
      <c r="C602" s="28" t="s">
        <v>1070</v>
      </c>
      <c r="D602" s="43" t="s">
        <v>1589</v>
      </c>
      <c r="E602" s="21" t="s">
        <v>1522</v>
      </c>
      <c r="F602" s="22"/>
      <c r="G602" s="22" t="s">
        <v>1261</v>
      </c>
      <c r="H602" s="22" t="s">
        <v>1378</v>
      </c>
      <c r="I602" s="67">
        <v>1801</v>
      </c>
      <c r="J602" s="26" t="s">
        <v>1851</v>
      </c>
      <c r="K602" s="110" t="s">
        <v>753</v>
      </c>
      <c r="L602" s="220" t="s">
        <v>1761</v>
      </c>
      <c r="M602" s="124"/>
    </row>
    <row r="603" spans="1:14" s="4" customFormat="1" ht="16.5">
      <c r="A603" s="21" t="s">
        <v>790</v>
      </c>
      <c r="B603" s="45" t="s">
        <v>92</v>
      </c>
      <c r="C603" s="28" t="s">
        <v>989</v>
      </c>
      <c r="D603" s="43"/>
      <c r="E603" s="21" t="s">
        <v>1522</v>
      </c>
      <c r="F603" s="22"/>
      <c r="G603" s="22" t="s">
        <v>1261</v>
      </c>
      <c r="H603" s="22" t="s">
        <v>1378</v>
      </c>
      <c r="I603" s="67">
        <v>2200</v>
      </c>
      <c r="J603" s="26" t="s">
        <v>947</v>
      </c>
      <c r="K603" s="112">
        <v>3</v>
      </c>
      <c r="L603" s="220" t="s">
        <v>1761</v>
      </c>
      <c r="M603" s="124"/>
      <c r="N603" s="1"/>
    </row>
    <row r="604" spans="1:14" ht="16.5">
      <c r="A604" s="21" t="s">
        <v>794</v>
      </c>
      <c r="B604" s="21" t="s">
        <v>95</v>
      </c>
      <c r="C604" s="28" t="s">
        <v>11</v>
      </c>
      <c r="D604" s="43" t="s">
        <v>1321</v>
      </c>
      <c r="E604" s="21" t="s">
        <v>1522</v>
      </c>
      <c r="F604" s="22"/>
      <c r="G604" s="22" t="s">
        <v>1261</v>
      </c>
      <c r="H604" s="22" t="s">
        <v>1378</v>
      </c>
      <c r="I604" s="67">
        <v>2350</v>
      </c>
      <c r="J604" s="26" t="s">
        <v>76</v>
      </c>
      <c r="K604" s="112">
        <v>3</v>
      </c>
      <c r="L604" s="220" t="s">
        <v>1761</v>
      </c>
      <c r="M604" s="124"/>
    </row>
    <row r="605" spans="1:14" ht="16.5">
      <c r="A605" s="21" t="s">
        <v>504</v>
      </c>
      <c r="B605" s="21" t="s">
        <v>96</v>
      </c>
      <c r="C605" s="28" t="s">
        <v>990</v>
      </c>
      <c r="D605" s="43" t="s">
        <v>1322</v>
      </c>
      <c r="E605" s="21" t="s">
        <v>1522</v>
      </c>
      <c r="F605" s="22"/>
      <c r="G605" s="22" t="s">
        <v>1261</v>
      </c>
      <c r="H605" s="22" t="s">
        <v>1378</v>
      </c>
      <c r="I605" s="67">
        <v>2420</v>
      </c>
      <c r="J605" s="26" t="s">
        <v>948</v>
      </c>
      <c r="K605" s="112">
        <v>3</v>
      </c>
      <c r="L605" s="220" t="s">
        <v>1761</v>
      </c>
      <c r="M605" s="3"/>
    </row>
    <row r="606" spans="1:14" ht="16.5">
      <c r="A606" s="21" t="s">
        <v>1025</v>
      </c>
      <c r="B606" s="45" t="s">
        <v>97</v>
      </c>
      <c r="C606" s="28" t="s">
        <v>991</v>
      </c>
      <c r="D606" s="43" t="s">
        <v>1202</v>
      </c>
      <c r="E606" s="21" t="s">
        <v>1522</v>
      </c>
      <c r="F606" s="22"/>
      <c r="G606" s="22" t="s">
        <v>1261</v>
      </c>
      <c r="H606" s="22" t="s">
        <v>1378</v>
      </c>
      <c r="I606" s="67">
        <v>2450</v>
      </c>
      <c r="J606" s="26" t="s">
        <v>949</v>
      </c>
      <c r="K606" s="112">
        <v>2</v>
      </c>
      <c r="L606" s="220" t="s">
        <v>1761</v>
      </c>
      <c r="M606" s="3"/>
    </row>
    <row r="607" spans="1:14" ht="33">
      <c r="A607" s="21" t="s">
        <v>746</v>
      </c>
      <c r="B607" s="21"/>
      <c r="C607" s="28" t="s">
        <v>1058</v>
      </c>
      <c r="D607" s="43" t="s">
        <v>1323</v>
      </c>
      <c r="E607" s="21" t="s">
        <v>1522</v>
      </c>
      <c r="F607" s="22" t="s">
        <v>1332</v>
      </c>
      <c r="G607" s="22" t="s">
        <v>1261</v>
      </c>
      <c r="H607" s="22" t="s">
        <v>1541</v>
      </c>
      <c r="I607" s="67">
        <v>1010</v>
      </c>
      <c r="J607" s="26" t="s">
        <v>1379</v>
      </c>
      <c r="K607" s="110" t="s">
        <v>753</v>
      </c>
      <c r="L607" s="220" t="s">
        <v>1761</v>
      </c>
      <c r="M607" s="3"/>
    </row>
    <row r="608" spans="1:14" ht="33">
      <c r="A608" s="21" t="s">
        <v>746</v>
      </c>
      <c r="B608" s="21"/>
      <c r="C608" s="28" t="s">
        <v>1058</v>
      </c>
      <c r="D608" s="43" t="s">
        <v>1324</v>
      </c>
      <c r="E608" s="21" t="s">
        <v>1522</v>
      </c>
      <c r="F608" s="22"/>
      <c r="G608" s="22" t="s">
        <v>1261</v>
      </c>
      <c r="H608" s="22" t="s">
        <v>1541</v>
      </c>
      <c r="I608" s="67">
        <v>1015</v>
      </c>
      <c r="J608" s="26" t="s">
        <v>1380</v>
      </c>
      <c r="K608" s="110" t="s">
        <v>638</v>
      </c>
      <c r="L608" s="220" t="s">
        <v>1761</v>
      </c>
      <c r="M608" s="3"/>
    </row>
    <row r="609" spans="1:13" ht="33">
      <c r="A609" s="21" t="s">
        <v>368</v>
      </c>
      <c r="B609" s="21" t="s">
        <v>119</v>
      </c>
      <c r="C609" s="28" t="s">
        <v>1003</v>
      </c>
      <c r="D609" s="43" t="s">
        <v>1588</v>
      </c>
      <c r="E609" s="21" t="s">
        <v>1522</v>
      </c>
      <c r="F609" s="22"/>
      <c r="G609" s="22" t="s">
        <v>1261</v>
      </c>
      <c r="H609" s="22" t="s">
        <v>447</v>
      </c>
      <c r="I609" s="67">
        <v>1050</v>
      </c>
      <c r="J609" s="26" t="s">
        <v>1587</v>
      </c>
      <c r="K609" s="110" t="s">
        <v>753</v>
      </c>
      <c r="L609" s="220" t="s">
        <v>1761</v>
      </c>
      <c r="M609" s="3"/>
    </row>
    <row r="610" spans="1:13" ht="16.5">
      <c r="A610" s="21" t="s">
        <v>518</v>
      </c>
      <c r="B610" s="21" t="s">
        <v>116</v>
      </c>
      <c r="C610" s="28" t="s">
        <v>1705</v>
      </c>
      <c r="D610" s="43"/>
      <c r="E610" s="21" t="s">
        <v>1522</v>
      </c>
      <c r="F610" s="22"/>
      <c r="G610" s="22" t="s">
        <v>1261</v>
      </c>
      <c r="H610" s="22" t="s">
        <v>447</v>
      </c>
      <c r="I610" s="67">
        <v>1121</v>
      </c>
      <c r="J610" s="26" t="s">
        <v>243</v>
      </c>
      <c r="K610" s="110" t="s">
        <v>753</v>
      </c>
      <c r="L610" s="220" t="s">
        <v>1761</v>
      </c>
      <c r="M610" s="3"/>
    </row>
    <row r="611" spans="1:13" ht="16.5">
      <c r="A611" s="21" t="s">
        <v>518</v>
      </c>
      <c r="B611" s="21" t="s">
        <v>116</v>
      </c>
      <c r="C611" s="28" t="s">
        <v>1705</v>
      </c>
      <c r="D611" s="43"/>
      <c r="E611" s="21" t="s">
        <v>1522</v>
      </c>
      <c r="F611" s="22"/>
      <c r="G611" s="22" t="s">
        <v>1261</v>
      </c>
      <c r="H611" s="22" t="s">
        <v>447</v>
      </c>
      <c r="I611" s="67">
        <v>1122</v>
      </c>
      <c r="J611" s="26" t="s">
        <v>1706</v>
      </c>
      <c r="K611" s="110" t="s">
        <v>753</v>
      </c>
      <c r="L611" s="220" t="s">
        <v>1761</v>
      </c>
      <c r="M611" s="3"/>
    </row>
    <row r="612" spans="1:13" ht="33">
      <c r="A612" s="21" t="s">
        <v>1591</v>
      </c>
      <c r="B612" s="21" t="s">
        <v>1592</v>
      </c>
      <c r="C612" s="28" t="s">
        <v>1593</v>
      </c>
      <c r="D612" s="43" t="s">
        <v>1731</v>
      </c>
      <c r="E612" s="21" t="s">
        <v>1522</v>
      </c>
      <c r="F612" s="22"/>
      <c r="G612" s="22" t="s">
        <v>1261</v>
      </c>
      <c r="H612" s="22" t="s">
        <v>447</v>
      </c>
      <c r="I612" s="67">
        <v>1140</v>
      </c>
      <c r="J612" s="26" t="s">
        <v>1590</v>
      </c>
      <c r="K612" s="110" t="s">
        <v>753</v>
      </c>
      <c r="L612" s="220" t="s">
        <v>1761</v>
      </c>
      <c r="M612" s="3"/>
    </row>
    <row r="613" spans="1:13" ht="16.5">
      <c r="A613" s="21" t="s">
        <v>445</v>
      </c>
      <c r="B613" s="21" t="s">
        <v>114</v>
      </c>
      <c r="C613" s="28" t="s">
        <v>1708</v>
      </c>
      <c r="D613" s="43" t="s">
        <v>1709</v>
      </c>
      <c r="E613" s="21" t="s">
        <v>1522</v>
      </c>
      <c r="F613" s="22"/>
      <c r="G613" s="22" t="s">
        <v>1261</v>
      </c>
      <c r="H613" s="22" t="s">
        <v>447</v>
      </c>
      <c r="I613" s="67">
        <v>1401</v>
      </c>
      <c r="J613" s="26" t="s">
        <v>1707</v>
      </c>
      <c r="K613" s="110" t="s">
        <v>753</v>
      </c>
      <c r="L613" s="220" t="s">
        <v>1761</v>
      </c>
      <c r="M613" s="3"/>
    </row>
    <row r="614" spans="1:13" ht="33" customHeight="1">
      <c r="A614" s="58" t="s">
        <v>594</v>
      </c>
      <c r="B614" s="58" t="s">
        <v>1556</v>
      </c>
      <c r="C614" s="59" t="s">
        <v>1555</v>
      </c>
      <c r="D614" s="60" t="s">
        <v>394</v>
      </c>
      <c r="E614" s="58" t="s">
        <v>1522</v>
      </c>
      <c r="F614" s="61"/>
      <c r="G614" s="22" t="s">
        <v>1261</v>
      </c>
      <c r="H614" s="61" t="s">
        <v>951</v>
      </c>
      <c r="I614" s="69">
        <v>1007</v>
      </c>
      <c r="J614" s="74" t="s">
        <v>683</v>
      </c>
      <c r="K614" s="110" t="s">
        <v>637</v>
      </c>
      <c r="L614" s="220" t="s">
        <v>1767</v>
      </c>
      <c r="M614" s="1"/>
    </row>
    <row r="615" spans="1:13" ht="16.5">
      <c r="A615" s="58" t="s">
        <v>595</v>
      </c>
      <c r="B615" s="58" t="s">
        <v>1557</v>
      </c>
      <c r="C615" s="59" t="s">
        <v>1010</v>
      </c>
      <c r="D615" s="60" t="s">
        <v>1032</v>
      </c>
      <c r="E615" s="58" t="s">
        <v>1522</v>
      </c>
      <c r="F615" s="61"/>
      <c r="G615" s="22" t="s">
        <v>1261</v>
      </c>
      <c r="H615" s="61" t="s">
        <v>951</v>
      </c>
      <c r="I615" s="69">
        <v>1008</v>
      </c>
      <c r="J615" s="74" t="s">
        <v>684</v>
      </c>
      <c r="K615" s="110" t="s">
        <v>637</v>
      </c>
      <c r="L615" s="220" t="s">
        <v>1761</v>
      </c>
      <c r="M615" s="1"/>
    </row>
    <row r="616" spans="1:13" ht="16.5">
      <c r="A616" s="21" t="s">
        <v>307</v>
      </c>
      <c r="B616" s="21" t="s">
        <v>575</v>
      </c>
      <c r="C616" s="28" t="s">
        <v>1072</v>
      </c>
      <c r="D616" s="43"/>
      <c r="E616" s="21" t="s">
        <v>1522</v>
      </c>
      <c r="F616" s="22"/>
      <c r="G616" s="22" t="s">
        <v>1261</v>
      </c>
      <c r="H616" s="22" t="s">
        <v>951</v>
      </c>
      <c r="I616" s="67">
        <v>1010</v>
      </c>
      <c r="J616" s="26" t="s">
        <v>664</v>
      </c>
      <c r="K616" s="110" t="s">
        <v>640</v>
      </c>
      <c r="L616" s="220" t="s">
        <v>1761</v>
      </c>
      <c r="M616" s="3"/>
    </row>
    <row r="617" spans="1:13" ht="16.5">
      <c r="A617" s="21" t="s">
        <v>306</v>
      </c>
      <c r="B617" s="21" t="s">
        <v>571</v>
      </c>
      <c r="C617" s="28" t="s">
        <v>1071</v>
      </c>
      <c r="D617" s="43"/>
      <c r="E617" s="21" t="s">
        <v>1522</v>
      </c>
      <c r="F617" s="22"/>
      <c r="G617" s="22" t="s">
        <v>1261</v>
      </c>
      <c r="H617" s="22" t="s">
        <v>951</v>
      </c>
      <c r="I617" s="67">
        <v>1100</v>
      </c>
      <c r="J617" s="26" t="s">
        <v>704</v>
      </c>
      <c r="K617" s="110" t="s">
        <v>753</v>
      </c>
      <c r="L617" s="220" t="s">
        <v>1761</v>
      </c>
      <c r="M617" s="3"/>
    </row>
    <row r="618" spans="1:13" ht="16.5">
      <c r="A618" s="21" t="s">
        <v>616</v>
      </c>
      <c r="B618" s="21" t="s">
        <v>574</v>
      </c>
      <c r="C618" s="28" t="s">
        <v>1073</v>
      </c>
      <c r="D618" s="43" t="s">
        <v>2501</v>
      </c>
      <c r="E618" s="21" t="s">
        <v>1522</v>
      </c>
      <c r="F618" s="22"/>
      <c r="G618" s="22" t="s">
        <v>1261</v>
      </c>
      <c r="H618" s="122" t="s">
        <v>951</v>
      </c>
      <c r="I618" s="67">
        <v>1312</v>
      </c>
      <c r="J618" s="26" t="s">
        <v>1666</v>
      </c>
      <c r="K618" s="110" t="s">
        <v>642</v>
      </c>
      <c r="L618" s="220" t="s">
        <v>1761</v>
      </c>
      <c r="M618" s="1"/>
    </row>
    <row r="619" spans="1:13" ht="16.5">
      <c r="A619" s="21" t="s">
        <v>616</v>
      </c>
      <c r="B619" s="21" t="s">
        <v>574</v>
      </c>
      <c r="C619" s="28" t="s">
        <v>1073</v>
      </c>
      <c r="D619" s="43" t="s">
        <v>1667</v>
      </c>
      <c r="E619" s="21" t="s">
        <v>1522</v>
      </c>
      <c r="F619" s="22"/>
      <c r="G619" s="22" t="s">
        <v>1261</v>
      </c>
      <c r="H619" s="122" t="s">
        <v>951</v>
      </c>
      <c r="I619" s="67">
        <v>1312</v>
      </c>
      <c r="J619" s="26" t="s">
        <v>1666</v>
      </c>
      <c r="K619" s="110" t="s">
        <v>642</v>
      </c>
      <c r="L619" s="220" t="s">
        <v>1761</v>
      </c>
      <c r="M619" s="1"/>
    </row>
    <row r="620" spans="1:13" ht="16.5">
      <c r="A620" s="21" t="s">
        <v>306</v>
      </c>
      <c r="B620" s="21" t="s">
        <v>571</v>
      </c>
      <c r="C620" s="28" t="s">
        <v>1071</v>
      </c>
      <c r="D620" s="43" t="s">
        <v>1669</v>
      </c>
      <c r="E620" s="21" t="s">
        <v>1522</v>
      </c>
      <c r="F620" s="22"/>
      <c r="G620" s="22" t="s">
        <v>1261</v>
      </c>
      <c r="H620" s="122" t="s">
        <v>951</v>
      </c>
      <c r="I620" s="67">
        <v>2100</v>
      </c>
      <c r="J620" s="26" t="s">
        <v>1668</v>
      </c>
      <c r="K620" s="110" t="s">
        <v>642</v>
      </c>
      <c r="L620" s="220" t="s">
        <v>1761</v>
      </c>
      <c r="M620" s="3"/>
    </row>
    <row r="621" spans="1:13" ht="16.5">
      <c r="A621" s="21" t="s">
        <v>616</v>
      </c>
      <c r="B621" s="21" t="s">
        <v>574</v>
      </c>
      <c r="C621" s="28" t="s">
        <v>1073</v>
      </c>
      <c r="D621" s="43" t="s">
        <v>1671</v>
      </c>
      <c r="E621" s="21" t="s">
        <v>1522</v>
      </c>
      <c r="F621" s="22"/>
      <c r="G621" s="22" t="s">
        <v>1261</v>
      </c>
      <c r="H621" s="122" t="s">
        <v>951</v>
      </c>
      <c r="I621" s="67">
        <v>2332</v>
      </c>
      <c r="J621" s="26" t="s">
        <v>1670</v>
      </c>
      <c r="K621" s="110" t="s">
        <v>642</v>
      </c>
      <c r="L621" s="220" t="s">
        <v>1761</v>
      </c>
      <c r="M621" s="3"/>
    </row>
    <row r="622" spans="1:13" ht="16.5">
      <c r="A622" s="21" t="s">
        <v>548</v>
      </c>
      <c r="B622" s="21"/>
      <c r="C622" s="28" t="s">
        <v>1423</v>
      </c>
      <c r="D622" s="43"/>
      <c r="E622" s="21" t="s">
        <v>1522</v>
      </c>
      <c r="F622" s="22" t="s">
        <v>1329</v>
      </c>
      <c r="G622" s="22" t="s">
        <v>1261</v>
      </c>
      <c r="H622" s="22" t="s">
        <v>1088</v>
      </c>
      <c r="I622" s="67">
        <v>1010</v>
      </c>
      <c r="J622" s="26" t="s">
        <v>598</v>
      </c>
      <c r="K622" s="112">
        <v>3</v>
      </c>
      <c r="L622" s="220" t="s">
        <v>1761</v>
      </c>
      <c r="M622" s="3"/>
    </row>
    <row r="623" spans="1:13" ht="16.5">
      <c r="A623" s="21" t="s">
        <v>1712</v>
      </c>
      <c r="B623" s="21"/>
      <c r="C623" s="28" t="s">
        <v>1711</v>
      </c>
      <c r="D623" s="43"/>
      <c r="E623" s="21" t="s">
        <v>1522</v>
      </c>
      <c r="F623" s="22" t="s">
        <v>844</v>
      </c>
      <c r="G623" s="22" t="s">
        <v>1261</v>
      </c>
      <c r="H623" s="22" t="s">
        <v>1091</v>
      </c>
      <c r="I623" s="68">
        <v>1010</v>
      </c>
      <c r="J623" s="26" t="s">
        <v>1416</v>
      </c>
      <c r="K623" s="110" t="s">
        <v>753</v>
      </c>
      <c r="L623" s="220" t="s">
        <v>1761</v>
      </c>
      <c r="M623" s="3"/>
    </row>
    <row r="624" spans="1:13" ht="16.5">
      <c r="A624" s="21" t="s">
        <v>627</v>
      </c>
      <c r="B624" s="21"/>
      <c r="C624" s="28" t="s">
        <v>13</v>
      </c>
      <c r="D624" s="43"/>
      <c r="E624" s="21" t="s">
        <v>1522</v>
      </c>
      <c r="F624" s="22" t="s">
        <v>534</v>
      </c>
      <c r="G624" s="22" t="s">
        <v>1261</v>
      </c>
      <c r="H624" s="22" t="s">
        <v>1091</v>
      </c>
      <c r="I624" s="67">
        <v>2230</v>
      </c>
      <c r="J624" s="26" t="s">
        <v>956</v>
      </c>
      <c r="K624" s="112">
        <v>3</v>
      </c>
      <c r="L624" s="220" t="s">
        <v>1767</v>
      </c>
      <c r="M624" s="3"/>
    </row>
    <row r="625" spans="1:14" ht="16.5">
      <c r="A625" s="21" t="s">
        <v>0</v>
      </c>
      <c r="B625" s="21"/>
      <c r="C625" s="28" t="s">
        <v>1138</v>
      </c>
      <c r="D625" s="43"/>
      <c r="E625" s="21" t="s">
        <v>1521</v>
      </c>
      <c r="F625" s="22" t="s">
        <v>1329</v>
      </c>
      <c r="G625" s="22" t="s">
        <v>1261</v>
      </c>
      <c r="H625" s="22" t="s">
        <v>1098</v>
      </c>
      <c r="I625" s="67">
        <v>1300</v>
      </c>
      <c r="J625" s="26" t="s">
        <v>1381</v>
      </c>
      <c r="K625" s="112">
        <v>3</v>
      </c>
      <c r="L625" s="220" t="s">
        <v>1767</v>
      </c>
      <c r="M625" s="3"/>
    </row>
    <row r="626" spans="1:14" ht="16.5">
      <c r="A626" s="21" t="s">
        <v>1540</v>
      </c>
      <c r="B626" s="21"/>
      <c r="C626" s="28" t="s">
        <v>14</v>
      </c>
      <c r="D626" s="43"/>
      <c r="E626" s="21" t="s">
        <v>1522</v>
      </c>
      <c r="F626" s="22" t="s">
        <v>1329</v>
      </c>
      <c r="G626" s="22" t="s">
        <v>1261</v>
      </c>
      <c r="H626" s="22" t="s">
        <v>357</v>
      </c>
      <c r="I626" s="67">
        <v>1500</v>
      </c>
      <c r="J626" s="26" t="s">
        <v>358</v>
      </c>
      <c r="K626" s="110" t="s">
        <v>753</v>
      </c>
      <c r="L626" s="220" t="s">
        <v>1777</v>
      </c>
      <c r="M626" s="3"/>
    </row>
    <row r="627" spans="1:14" ht="16.5">
      <c r="A627" s="21" t="s">
        <v>516</v>
      </c>
      <c r="B627" s="21" t="s">
        <v>111</v>
      </c>
      <c r="C627" s="28" t="s">
        <v>1136</v>
      </c>
      <c r="D627" s="43"/>
      <c r="E627" s="21" t="s">
        <v>1522</v>
      </c>
      <c r="F627" s="22" t="s">
        <v>1329</v>
      </c>
      <c r="G627" s="22" t="s">
        <v>1261</v>
      </c>
      <c r="H627" s="22" t="s">
        <v>357</v>
      </c>
      <c r="I627" s="67">
        <v>1500</v>
      </c>
      <c r="J627" s="26" t="s">
        <v>358</v>
      </c>
      <c r="K627" s="112">
        <v>3</v>
      </c>
      <c r="L627" s="220" t="s">
        <v>1777</v>
      </c>
      <c r="M627" s="3"/>
    </row>
    <row r="628" spans="1:14" ht="16.5">
      <c r="A628" s="45" t="s">
        <v>384</v>
      </c>
      <c r="B628" s="45"/>
      <c r="C628" s="28" t="s">
        <v>1428</v>
      </c>
      <c r="D628" s="43" t="s">
        <v>2737</v>
      </c>
      <c r="E628" s="21" t="s">
        <v>1521</v>
      </c>
      <c r="F628" s="22" t="s">
        <v>70</v>
      </c>
      <c r="G628" s="22" t="s">
        <v>1261</v>
      </c>
      <c r="H628" s="22" t="s">
        <v>1101</v>
      </c>
      <c r="I628" s="67">
        <v>1700</v>
      </c>
      <c r="J628" s="26" t="s">
        <v>429</v>
      </c>
      <c r="K628" s="112">
        <v>3</v>
      </c>
      <c r="L628" s="220" t="s">
        <v>1761</v>
      </c>
      <c r="M628" s="3"/>
    </row>
    <row r="629" spans="1:14" ht="16.5">
      <c r="A629" s="21" t="s">
        <v>230</v>
      </c>
      <c r="B629" s="21"/>
      <c r="C629" s="28" t="s">
        <v>296</v>
      </c>
      <c r="D629" s="43" t="s">
        <v>326</v>
      </c>
      <c r="E629" s="21" t="s">
        <v>1522</v>
      </c>
      <c r="F629" s="22" t="s">
        <v>534</v>
      </c>
      <c r="G629" s="22" t="s">
        <v>1261</v>
      </c>
      <c r="H629" s="22" t="s">
        <v>469</v>
      </c>
      <c r="I629" s="67">
        <v>1010</v>
      </c>
      <c r="J629" s="26" t="s">
        <v>140</v>
      </c>
      <c r="K629" s="112">
        <v>3</v>
      </c>
      <c r="L629" s="220" t="s">
        <v>1761</v>
      </c>
      <c r="M629" s="3"/>
    </row>
    <row r="630" spans="1:14" ht="33">
      <c r="A630" s="21" t="s">
        <v>1488</v>
      </c>
      <c r="B630" s="21"/>
      <c r="C630" s="28" t="s">
        <v>980</v>
      </c>
      <c r="D630" s="43" t="s">
        <v>705</v>
      </c>
      <c r="E630" s="21" t="s">
        <v>1522</v>
      </c>
      <c r="F630" s="22" t="s">
        <v>845</v>
      </c>
      <c r="G630" s="22" t="s">
        <v>1261</v>
      </c>
      <c r="H630" s="22" t="s">
        <v>1113</v>
      </c>
      <c r="I630" s="67">
        <v>1050</v>
      </c>
      <c r="J630" s="26" t="s">
        <v>1118</v>
      </c>
      <c r="K630" s="110" t="s">
        <v>642</v>
      </c>
      <c r="L630" s="220" t="s">
        <v>1761</v>
      </c>
      <c r="M630" s="3"/>
    </row>
    <row r="631" spans="1:14" ht="16.5">
      <c r="A631" s="21" t="s">
        <v>50</v>
      </c>
      <c r="B631" s="21"/>
      <c r="C631" s="28" t="s">
        <v>1062</v>
      </c>
      <c r="D631" s="43" t="s">
        <v>336</v>
      </c>
      <c r="E631" s="21" t="s">
        <v>1522</v>
      </c>
      <c r="F631" s="22"/>
      <c r="G631" s="22" t="s">
        <v>1261</v>
      </c>
      <c r="H631" s="22" t="s">
        <v>1113</v>
      </c>
      <c r="I631" s="67">
        <v>1060</v>
      </c>
      <c r="J631" s="26" t="s">
        <v>1120</v>
      </c>
      <c r="K631" s="112">
        <v>2</v>
      </c>
      <c r="L631" s="220" t="s">
        <v>1777</v>
      </c>
      <c r="M631" s="1"/>
      <c r="N631" s="3"/>
    </row>
    <row r="632" spans="1:14" ht="33">
      <c r="A632" s="21" t="s">
        <v>1487</v>
      </c>
      <c r="B632" s="21"/>
      <c r="C632" s="28" t="s">
        <v>180</v>
      </c>
      <c r="D632" s="43" t="s">
        <v>774</v>
      </c>
      <c r="E632" s="21" t="s">
        <v>1522</v>
      </c>
      <c r="F632" s="22"/>
      <c r="G632" s="22" t="s">
        <v>1261</v>
      </c>
      <c r="H632" s="22" t="s">
        <v>1113</v>
      </c>
      <c r="I632" s="67">
        <v>1210</v>
      </c>
      <c r="J632" s="26" t="s">
        <v>841</v>
      </c>
      <c r="K632" s="112">
        <v>5</v>
      </c>
      <c r="L632" s="220" t="s">
        <v>1761</v>
      </c>
      <c r="M632" s="3"/>
    </row>
    <row r="633" spans="1:14" ht="16.5">
      <c r="A633" s="21" t="s">
        <v>310</v>
      </c>
      <c r="B633" s="21"/>
      <c r="C633" s="28" t="s">
        <v>1843</v>
      </c>
      <c r="D633" s="43"/>
      <c r="E633" s="21" t="s">
        <v>1522</v>
      </c>
      <c r="F633" s="22"/>
      <c r="G633" s="122" t="s">
        <v>1261</v>
      </c>
      <c r="H633" s="22" t="s">
        <v>1841</v>
      </c>
      <c r="I633" s="67">
        <v>1000</v>
      </c>
      <c r="J633" s="26" t="s">
        <v>1842</v>
      </c>
      <c r="K633" s="110" t="s">
        <v>637</v>
      </c>
      <c r="L633" s="169" t="s">
        <v>1761</v>
      </c>
      <c r="M633" s="178"/>
      <c r="N633" s="3"/>
    </row>
    <row r="634" spans="1:14" ht="16.5">
      <c r="A634" s="21" t="s">
        <v>52</v>
      </c>
      <c r="B634" s="21"/>
      <c r="C634" s="28" t="s">
        <v>181</v>
      </c>
      <c r="D634" s="43"/>
      <c r="E634" s="21" t="s">
        <v>1521</v>
      </c>
      <c r="F634" s="22" t="s">
        <v>1330</v>
      </c>
      <c r="G634" s="22" t="s">
        <v>1261</v>
      </c>
      <c r="H634" s="22" t="s">
        <v>1124</v>
      </c>
      <c r="I634" s="67">
        <v>1010</v>
      </c>
      <c r="J634" s="26" t="s">
        <v>143</v>
      </c>
      <c r="K634" s="112">
        <v>3</v>
      </c>
      <c r="L634" s="220" t="s">
        <v>1761</v>
      </c>
      <c r="M634" s="3"/>
      <c r="N634" s="3"/>
    </row>
    <row r="635" spans="1:14" ht="16.5">
      <c r="A635" s="21" t="s">
        <v>53</v>
      </c>
      <c r="B635" s="21"/>
      <c r="C635" s="28" t="s">
        <v>182</v>
      </c>
      <c r="D635" s="43"/>
      <c r="E635" s="21" t="s">
        <v>1521</v>
      </c>
      <c r="F635" s="22" t="s">
        <v>1330</v>
      </c>
      <c r="G635" s="22" t="s">
        <v>1261</v>
      </c>
      <c r="H635" s="22" t="s">
        <v>1124</v>
      </c>
      <c r="I635" s="67">
        <v>1030</v>
      </c>
      <c r="J635" s="26" t="s">
        <v>1852</v>
      </c>
      <c r="K635" s="112">
        <v>3</v>
      </c>
      <c r="L635" s="220" t="s">
        <v>1761</v>
      </c>
      <c r="M635" s="3"/>
    </row>
    <row r="636" spans="1:14" ht="16.5">
      <c r="A636" s="21" t="s">
        <v>737</v>
      </c>
      <c r="B636" s="21"/>
      <c r="C636" s="29" t="s">
        <v>1067</v>
      </c>
      <c r="D636" s="46" t="s">
        <v>775</v>
      </c>
      <c r="E636" s="21" t="s">
        <v>1522</v>
      </c>
      <c r="F636" s="22" t="s">
        <v>1332</v>
      </c>
      <c r="G636" s="22" t="s">
        <v>1261</v>
      </c>
      <c r="H636" s="22" t="s">
        <v>733</v>
      </c>
      <c r="I636" s="67">
        <v>1000</v>
      </c>
      <c r="J636" s="26" t="s">
        <v>165</v>
      </c>
      <c r="K636" s="110" t="s">
        <v>753</v>
      </c>
      <c r="L636" s="220" t="s">
        <v>1767</v>
      </c>
      <c r="M636" s="3"/>
    </row>
    <row r="637" spans="1:14" ht="33">
      <c r="A637" s="21" t="s">
        <v>751</v>
      </c>
      <c r="B637" s="21"/>
      <c r="C637" s="28" t="s">
        <v>1429</v>
      </c>
      <c r="D637" s="43" t="s">
        <v>1584</v>
      </c>
      <c r="E637" s="21" t="s">
        <v>1521</v>
      </c>
      <c r="F637" s="22" t="s">
        <v>1332</v>
      </c>
      <c r="G637" s="22" t="s">
        <v>1261</v>
      </c>
      <c r="H637" s="22" t="s">
        <v>427</v>
      </c>
      <c r="I637" s="67">
        <v>1010</v>
      </c>
      <c r="J637" s="26" t="s">
        <v>867</v>
      </c>
      <c r="K637" s="110" t="s">
        <v>753</v>
      </c>
      <c r="L637" s="157" t="s">
        <v>1761</v>
      </c>
      <c r="M637" s="3"/>
    </row>
    <row r="638" spans="1:14" ht="33">
      <c r="A638" s="21" t="s">
        <v>752</v>
      </c>
      <c r="B638" s="21"/>
      <c r="C638" s="28" t="s">
        <v>1069</v>
      </c>
      <c r="D638" s="43" t="s">
        <v>1585</v>
      </c>
      <c r="E638" s="21" t="s">
        <v>1521</v>
      </c>
      <c r="F638" s="22"/>
      <c r="G638" s="22" t="s">
        <v>1261</v>
      </c>
      <c r="H638" s="22" t="s">
        <v>427</v>
      </c>
      <c r="I638" s="68">
        <v>1015</v>
      </c>
      <c r="J638" s="26" t="s">
        <v>83</v>
      </c>
      <c r="K638" s="110" t="s">
        <v>638</v>
      </c>
      <c r="L638" s="220" t="s">
        <v>1761</v>
      </c>
      <c r="M638" s="3"/>
    </row>
    <row r="639" spans="1:14" ht="16.5">
      <c r="A639" s="21" t="s">
        <v>2</v>
      </c>
      <c r="B639" s="21"/>
      <c r="C639" s="28" t="s">
        <v>981</v>
      </c>
      <c r="D639" s="43"/>
      <c r="E639" s="21" t="s">
        <v>1521</v>
      </c>
      <c r="F639" s="22" t="s">
        <v>70</v>
      </c>
      <c r="G639" s="22" t="s">
        <v>1261</v>
      </c>
      <c r="H639" s="22" t="s">
        <v>196</v>
      </c>
      <c r="I639" s="67">
        <v>1100</v>
      </c>
      <c r="J639" s="26" t="s">
        <v>389</v>
      </c>
      <c r="K639" s="112">
        <v>3</v>
      </c>
      <c r="L639" s="220" t="s">
        <v>1761</v>
      </c>
      <c r="M639" s="3"/>
    </row>
    <row r="640" spans="1:14" ht="16.5">
      <c r="A640" s="21" t="s">
        <v>1540</v>
      </c>
      <c r="B640" s="21"/>
      <c r="C640" s="28" t="s">
        <v>14</v>
      </c>
      <c r="D640" s="43"/>
      <c r="E640" s="21" t="s">
        <v>1522</v>
      </c>
      <c r="F640" s="22" t="s">
        <v>1329</v>
      </c>
      <c r="G640" s="22" t="s">
        <v>1261</v>
      </c>
      <c r="H640" s="22" t="s">
        <v>343</v>
      </c>
      <c r="I640" s="67">
        <v>1010</v>
      </c>
      <c r="J640" s="26" t="s">
        <v>390</v>
      </c>
      <c r="K640" s="112">
        <v>3</v>
      </c>
      <c r="L640" s="220" t="s">
        <v>1777</v>
      </c>
      <c r="M640" s="3"/>
    </row>
    <row r="641" spans="1:14" ht="16.5">
      <c r="A641" s="21" t="s">
        <v>602</v>
      </c>
      <c r="B641" s="21"/>
      <c r="C641" s="28" t="s">
        <v>253</v>
      </c>
      <c r="D641" s="43"/>
      <c r="E641" s="21"/>
      <c r="F641" s="22" t="s">
        <v>1329</v>
      </c>
      <c r="G641" s="22" t="s">
        <v>1261</v>
      </c>
      <c r="H641" s="22" t="s">
        <v>461</v>
      </c>
      <c r="I641" s="67">
        <v>1010</v>
      </c>
      <c r="J641" s="26" t="s">
        <v>147</v>
      </c>
      <c r="K641" s="110" t="s">
        <v>753</v>
      </c>
      <c r="L641" s="220" t="s">
        <v>1767</v>
      </c>
      <c r="M641" s="3"/>
    </row>
    <row r="642" spans="1:14" ht="71.25" customHeight="1">
      <c r="A642" s="21" t="s">
        <v>1633</v>
      </c>
      <c r="B642" s="21"/>
      <c r="C642" s="28" t="s">
        <v>1634</v>
      </c>
      <c r="D642" s="101" t="s">
        <v>1802</v>
      </c>
      <c r="E642" s="21" t="s">
        <v>1522</v>
      </c>
      <c r="F642" s="22"/>
      <c r="G642" s="22" t="s">
        <v>1261</v>
      </c>
      <c r="H642" s="22" t="s">
        <v>431</v>
      </c>
      <c r="I642" s="67">
        <v>1010</v>
      </c>
      <c r="J642" s="26" t="s">
        <v>698</v>
      </c>
      <c r="K642" s="112">
        <v>4</v>
      </c>
      <c r="L642" s="220" t="s">
        <v>1761</v>
      </c>
      <c r="M642" s="3"/>
    </row>
    <row r="643" spans="1:14" ht="16.5">
      <c r="A643" s="21" t="s">
        <v>1631</v>
      </c>
      <c r="B643" s="21"/>
      <c r="C643" s="28" t="s">
        <v>1632</v>
      </c>
      <c r="D643" s="13" t="s">
        <v>341</v>
      </c>
      <c r="E643" s="21" t="s">
        <v>1522</v>
      </c>
      <c r="F643" s="22"/>
      <c r="G643" s="22" t="s">
        <v>1261</v>
      </c>
      <c r="H643" s="22" t="s">
        <v>431</v>
      </c>
      <c r="I643" s="67">
        <v>1020</v>
      </c>
      <c r="J643" s="26" t="s">
        <v>699</v>
      </c>
      <c r="K643" s="112">
        <v>4</v>
      </c>
      <c r="L643" s="220" t="s">
        <v>1761</v>
      </c>
      <c r="M643" s="3"/>
    </row>
    <row r="644" spans="1:14" ht="16.5">
      <c r="A644" s="21" t="s">
        <v>1174</v>
      </c>
      <c r="B644" s="21"/>
      <c r="C644" s="28" t="s">
        <v>355</v>
      </c>
      <c r="D644" s="43"/>
      <c r="E644" s="21" t="s">
        <v>1521</v>
      </c>
      <c r="F644" s="22" t="s">
        <v>1330</v>
      </c>
      <c r="G644" s="22" t="s">
        <v>1261</v>
      </c>
      <c r="H644" s="22" t="s">
        <v>391</v>
      </c>
      <c r="I644" s="67">
        <v>1013</v>
      </c>
      <c r="J644" s="26" t="s">
        <v>1448</v>
      </c>
      <c r="K644" s="112">
        <v>3</v>
      </c>
      <c r="L644" s="220" t="s">
        <v>1761</v>
      </c>
      <c r="M644" s="3"/>
    </row>
    <row r="645" spans="1:14" ht="16.5">
      <c r="A645" s="21" t="s">
        <v>1403</v>
      </c>
      <c r="B645" s="21"/>
      <c r="C645" s="28" t="s">
        <v>8</v>
      </c>
      <c r="D645" s="43"/>
      <c r="E645" s="21" t="s">
        <v>1522</v>
      </c>
      <c r="F645" s="22"/>
      <c r="G645" s="22" t="s">
        <v>1261</v>
      </c>
      <c r="H645" s="22" t="s">
        <v>391</v>
      </c>
      <c r="I645" s="68">
        <v>2726</v>
      </c>
      <c r="J645" s="26" t="s">
        <v>1260</v>
      </c>
      <c r="K645" s="110" t="s">
        <v>638</v>
      </c>
      <c r="L645" s="220" t="s">
        <v>1761</v>
      </c>
      <c r="M645" s="272"/>
    </row>
    <row r="646" spans="1:14" ht="16.5">
      <c r="A646" s="21" t="s">
        <v>1403</v>
      </c>
      <c r="B646" s="21"/>
      <c r="C646" s="28" t="s">
        <v>8</v>
      </c>
      <c r="D646" s="43" t="s">
        <v>323</v>
      </c>
      <c r="E646" s="21" t="s">
        <v>1522</v>
      </c>
      <c r="F646" s="22"/>
      <c r="G646" s="22" t="s">
        <v>1261</v>
      </c>
      <c r="H646" s="22" t="s">
        <v>391</v>
      </c>
      <c r="I646" s="67">
        <v>2746</v>
      </c>
      <c r="J646" s="26" t="s">
        <v>717</v>
      </c>
      <c r="K646" s="110" t="s">
        <v>637</v>
      </c>
      <c r="L646" s="220" t="s">
        <v>1761</v>
      </c>
      <c r="M646" s="272"/>
    </row>
    <row r="647" spans="1:14" ht="65.25" customHeight="1">
      <c r="A647" s="135">
        <v>30010013001</v>
      </c>
      <c r="B647" s="21" t="s">
        <v>872</v>
      </c>
      <c r="C647" s="28" t="s">
        <v>983</v>
      </c>
      <c r="D647" s="44"/>
      <c r="E647" s="21" t="s">
        <v>1522</v>
      </c>
      <c r="F647" s="22"/>
      <c r="G647" s="22" t="s">
        <v>1261</v>
      </c>
      <c r="H647" s="22" t="s">
        <v>432</v>
      </c>
      <c r="I647" s="67">
        <v>1010</v>
      </c>
      <c r="J647" s="26" t="s">
        <v>1475</v>
      </c>
      <c r="K647" s="110" t="s">
        <v>642</v>
      </c>
      <c r="L647" s="220" t="s">
        <v>1761</v>
      </c>
      <c r="M647" s="3"/>
    </row>
    <row r="648" spans="1:14" ht="33" customHeight="1">
      <c r="A648" s="136">
        <v>40100013110</v>
      </c>
      <c r="B648" s="21" t="s">
        <v>582</v>
      </c>
      <c r="C648" s="28" t="s">
        <v>2530</v>
      </c>
      <c r="D648" s="44"/>
      <c r="E648" s="21" t="s">
        <v>1522</v>
      </c>
      <c r="F648" s="22"/>
      <c r="G648" s="22" t="s">
        <v>1261</v>
      </c>
      <c r="H648" s="22" t="s">
        <v>432</v>
      </c>
      <c r="I648" s="67">
        <v>1010</v>
      </c>
      <c r="J648" s="26" t="s">
        <v>1475</v>
      </c>
      <c r="K648" s="110" t="s">
        <v>642</v>
      </c>
      <c r="L648" s="220" t="s">
        <v>1761</v>
      </c>
      <c r="M648" s="3"/>
    </row>
    <row r="649" spans="1:14" ht="16.5">
      <c r="A649" s="135">
        <v>30010013001</v>
      </c>
      <c r="B649" s="21" t="s">
        <v>872</v>
      </c>
      <c r="C649" s="28" t="s">
        <v>983</v>
      </c>
      <c r="D649" s="44"/>
      <c r="E649" s="21" t="s">
        <v>1522</v>
      </c>
      <c r="F649" s="22"/>
      <c r="G649" s="22" t="s">
        <v>1261</v>
      </c>
      <c r="H649" s="22" t="s">
        <v>432</v>
      </c>
      <c r="I649" s="67">
        <v>1020</v>
      </c>
      <c r="J649" s="26" t="s">
        <v>1476</v>
      </c>
      <c r="K649" s="110" t="s">
        <v>642</v>
      </c>
      <c r="L649" s="220" t="s">
        <v>1761</v>
      </c>
      <c r="M649" s="3"/>
    </row>
    <row r="650" spans="1:14" ht="16.5">
      <c r="A650" s="136">
        <v>40100013110</v>
      </c>
      <c r="B650" s="21" t="s">
        <v>582</v>
      </c>
      <c r="C650" s="28" t="s">
        <v>2530</v>
      </c>
      <c r="D650" s="44"/>
      <c r="E650" s="21" t="s">
        <v>1522</v>
      </c>
      <c r="F650" s="22"/>
      <c r="G650" s="22" t="s">
        <v>1261</v>
      </c>
      <c r="H650" s="22" t="s">
        <v>432</v>
      </c>
      <c r="I650" s="67">
        <v>1020</v>
      </c>
      <c r="J650" s="26" t="s">
        <v>1476</v>
      </c>
      <c r="K650" s="110" t="s">
        <v>642</v>
      </c>
      <c r="L650" s="220" t="s">
        <v>1761</v>
      </c>
      <c r="M650" s="3"/>
    </row>
    <row r="651" spans="1:14" ht="49.5">
      <c r="A651" s="137">
        <v>40100013110</v>
      </c>
      <c r="B651" s="58" t="s">
        <v>582</v>
      </c>
      <c r="C651" s="59" t="s">
        <v>2530</v>
      </c>
      <c r="D651" s="60" t="s">
        <v>2725</v>
      </c>
      <c r="E651" s="58" t="s">
        <v>1522</v>
      </c>
      <c r="F651" s="61"/>
      <c r="G651" s="22" t="s">
        <v>1261</v>
      </c>
      <c r="H651" s="61" t="s">
        <v>432</v>
      </c>
      <c r="I651" s="69">
        <v>1303</v>
      </c>
      <c r="J651" s="74" t="s">
        <v>1369</v>
      </c>
      <c r="K651" s="110" t="s">
        <v>642</v>
      </c>
      <c r="L651" s="218" t="s">
        <v>1761</v>
      </c>
      <c r="M651" s="3"/>
    </row>
    <row r="652" spans="1:14" ht="36" customHeight="1">
      <c r="A652" s="137">
        <v>40100013110</v>
      </c>
      <c r="B652" s="58" t="s">
        <v>582</v>
      </c>
      <c r="C652" s="59" t="s">
        <v>2530</v>
      </c>
      <c r="D652" s="60" t="s">
        <v>2726</v>
      </c>
      <c r="E652" s="58" t="s">
        <v>1522</v>
      </c>
      <c r="F652" s="61"/>
      <c r="G652" s="22" t="s">
        <v>1261</v>
      </c>
      <c r="H652" s="61" t="s">
        <v>432</v>
      </c>
      <c r="I652" s="69">
        <v>1305</v>
      </c>
      <c r="J652" s="74" t="s">
        <v>1370</v>
      </c>
      <c r="K652" s="110" t="s">
        <v>642</v>
      </c>
      <c r="L652" s="218" t="s">
        <v>1761</v>
      </c>
      <c r="M652" s="3"/>
    </row>
    <row r="653" spans="1:14" ht="16.5">
      <c r="A653" s="45" t="s">
        <v>734</v>
      </c>
      <c r="B653" s="45"/>
      <c r="C653" s="28" t="s">
        <v>1077</v>
      </c>
      <c r="D653" s="43"/>
      <c r="E653" s="21" t="s">
        <v>1522</v>
      </c>
      <c r="F653" s="22" t="s">
        <v>540</v>
      </c>
      <c r="G653" s="22" t="s">
        <v>1262</v>
      </c>
      <c r="H653" s="22" t="s">
        <v>795</v>
      </c>
      <c r="I653" s="199">
        <v>1100</v>
      </c>
      <c r="J653" s="26" t="s">
        <v>1142</v>
      </c>
      <c r="K653" s="112">
        <v>3</v>
      </c>
      <c r="L653" s="220"/>
      <c r="M653" s="3"/>
    </row>
    <row r="654" spans="1:14" ht="16.5">
      <c r="A654" s="45" t="s">
        <v>386</v>
      </c>
      <c r="B654" s="45"/>
      <c r="C654" s="28" t="s">
        <v>816</v>
      </c>
      <c r="D654" s="43"/>
      <c r="E654" s="21" t="s">
        <v>1521</v>
      </c>
      <c r="F654" s="22" t="s">
        <v>1330</v>
      </c>
      <c r="G654" s="22" t="s">
        <v>1262</v>
      </c>
      <c r="H654" s="22" t="s">
        <v>1529</v>
      </c>
      <c r="I654" s="199">
        <v>1010</v>
      </c>
      <c r="J654" s="26" t="s">
        <v>1183</v>
      </c>
      <c r="K654" s="112">
        <v>3</v>
      </c>
      <c r="L654" s="220" t="s">
        <v>1767</v>
      </c>
      <c r="M654" s="3"/>
    </row>
    <row r="655" spans="1:14" ht="16.5">
      <c r="A655" s="45" t="s">
        <v>55</v>
      </c>
      <c r="B655" s="45"/>
      <c r="C655" s="28" t="s">
        <v>969</v>
      </c>
      <c r="D655" s="43"/>
      <c r="E655" s="21" t="s">
        <v>1521</v>
      </c>
      <c r="F655" s="22" t="s">
        <v>1330</v>
      </c>
      <c r="G655" s="22" t="s">
        <v>1262</v>
      </c>
      <c r="H655" s="22" t="s">
        <v>1529</v>
      </c>
      <c r="I655" s="199">
        <v>1110</v>
      </c>
      <c r="J655" s="26" t="s">
        <v>902</v>
      </c>
      <c r="K655" s="112">
        <v>3</v>
      </c>
      <c r="L655" s="220" t="s">
        <v>1781</v>
      </c>
      <c r="M655" s="3"/>
    </row>
    <row r="656" spans="1:14" ht="16.5">
      <c r="A656" s="45" t="s">
        <v>54</v>
      </c>
      <c r="B656" s="90"/>
      <c r="C656" s="28" t="s">
        <v>966</v>
      </c>
      <c r="D656" s="43"/>
      <c r="E656" s="21" t="s">
        <v>1521</v>
      </c>
      <c r="F656" s="22"/>
      <c r="G656" s="22" t="s">
        <v>1262</v>
      </c>
      <c r="H656" s="22" t="s">
        <v>1529</v>
      </c>
      <c r="I656" s="23">
        <v>1610</v>
      </c>
      <c r="J656" s="26" t="s">
        <v>903</v>
      </c>
      <c r="K656" s="112">
        <v>3</v>
      </c>
      <c r="L656" s="220" t="s">
        <v>1761</v>
      </c>
      <c r="M656" s="3"/>
      <c r="N656" s="4"/>
    </row>
    <row r="657" spans="1:13" ht="66">
      <c r="A657" s="21" t="s">
        <v>1615</v>
      </c>
      <c r="B657" s="84"/>
      <c r="C657" s="28" t="s">
        <v>1616</v>
      </c>
      <c r="D657" s="101" t="s">
        <v>1802</v>
      </c>
      <c r="E657" s="21" t="s">
        <v>1522</v>
      </c>
      <c r="F657" s="22"/>
      <c r="G657" s="22" t="s">
        <v>1262</v>
      </c>
      <c r="H657" s="22" t="s">
        <v>437</v>
      </c>
      <c r="I657" s="24">
        <v>1050</v>
      </c>
      <c r="J657" s="26" t="s">
        <v>1395</v>
      </c>
      <c r="K657" s="110" t="s">
        <v>637</v>
      </c>
      <c r="L657" s="220" t="s">
        <v>1761</v>
      </c>
      <c r="M657" s="3"/>
    </row>
    <row r="658" spans="1:13" ht="72.75" customHeight="1">
      <c r="A658" s="21" t="s">
        <v>1615</v>
      </c>
      <c r="B658" s="21"/>
      <c r="C658" s="28" t="s">
        <v>1616</v>
      </c>
      <c r="D658" s="43" t="s">
        <v>776</v>
      </c>
      <c r="E658" s="21" t="s">
        <v>1522</v>
      </c>
      <c r="F658" s="22"/>
      <c r="G658" s="22" t="s">
        <v>1262</v>
      </c>
      <c r="H658" s="22" t="s">
        <v>437</v>
      </c>
      <c r="I658" s="24">
        <v>1060</v>
      </c>
      <c r="J658" s="26" t="s">
        <v>1394</v>
      </c>
      <c r="K658" s="110" t="s">
        <v>637</v>
      </c>
      <c r="L658" s="220" t="s">
        <v>1761</v>
      </c>
      <c r="M658" s="3"/>
    </row>
    <row r="659" spans="1:13" ht="16.5">
      <c r="A659" s="45" t="s">
        <v>790</v>
      </c>
      <c r="B659" s="45" t="s">
        <v>92</v>
      </c>
      <c r="C659" s="28" t="s">
        <v>989</v>
      </c>
      <c r="D659" s="43"/>
      <c r="E659" s="21" t="s">
        <v>1522</v>
      </c>
      <c r="F659" s="22" t="s">
        <v>1329</v>
      </c>
      <c r="G659" s="22" t="s">
        <v>1262</v>
      </c>
      <c r="H659" s="22" t="s">
        <v>796</v>
      </c>
      <c r="I659" s="199">
        <v>1010</v>
      </c>
      <c r="J659" s="26" t="s">
        <v>474</v>
      </c>
      <c r="K659" s="112">
        <v>3</v>
      </c>
      <c r="L659" s="220" t="s">
        <v>1761</v>
      </c>
      <c r="M659" s="3"/>
    </row>
    <row r="660" spans="1:13" ht="33">
      <c r="A660" s="45" t="s">
        <v>363</v>
      </c>
      <c r="B660" s="45"/>
      <c r="C660" s="28" t="s">
        <v>1430</v>
      </c>
      <c r="D660" s="43" t="s">
        <v>164</v>
      </c>
      <c r="E660" s="21" t="s">
        <v>1521</v>
      </c>
      <c r="F660" s="22" t="s">
        <v>540</v>
      </c>
      <c r="G660" s="22" t="s">
        <v>1262</v>
      </c>
      <c r="H660" s="22" t="s">
        <v>283</v>
      </c>
      <c r="I660" s="23">
        <v>1010</v>
      </c>
      <c r="J660" s="26" t="s">
        <v>1505</v>
      </c>
      <c r="K660" s="112">
        <v>3</v>
      </c>
      <c r="L660" s="218" t="s">
        <v>1780</v>
      </c>
      <c r="M660" s="3"/>
    </row>
    <row r="661" spans="1:13" ht="33">
      <c r="A661" s="45" t="s">
        <v>363</v>
      </c>
      <c r="B661" s="45"/>
      <c r="C661" s="28" t="s">
        <v>1430</v>
      </c>
      <c r="D661" s="43" t="s">
        <v>809</v>
      </c>
      <c r="E661" s="21" t="s">
        <v>1521</v>
      </c>
      <c r="F661" s="22"/>
      <c r="G661" s="22" t="s">
        <v>1262</v>
      </c>
      <c r="H661" s="22" t="s">
        <v>283</v>
      </c>
      <c r="I661" s="24">
        <v>1015</v>
      </c>
      <c r="J661" s="26" t="s">
        <v>1506</v>
      </c>
      <c r="K661" s="110" t="s">
        <v>638</v>
      </c>
      <c r="L661" s="218" t="s">
        <v>1781</v>
      </c>
      <c r="M661" s="3"/>
    </row>
    <row r="662" spans="1:13" ht="16.5">
      <c r="A662" s="45" t="s">
        <v>603</v>
      </c>
      <c r="B662" s="45"/>
      <c r="C662" s="28" t="s">
        <v>215</v>
      </c>
      <c r="D662" s="43" t="s">
        <v>264</v>
      </c>
      <c r="E662" s="21" t="s">
        <v>1522</v>
      </c>
      <c r="F662" s="22" t="s">
        <v>540</v>
      </c>
      <c r="G662" s="22" t="s">
        <v>1262</v>
      </c>
      <c r="H662" s="22" t="s">
        <v>283</v>
      </c>
      <c r="I662" s="24">
        <v>1020</v>
      </c>
      <c r="J662" s="26" t="s">
        <v>313</v>
      </c>
      <c r="K662" s="110" t="s">
        <v>753</v>
      </c>
      <c r="L662" s="218" t="s">
        <v>1781</v>
      </c>
      <c r="M662" s="3"/>
    </row>
    <row r="663" spans="1:13" ht="67.5" customHeight="1">
      <c r="A663" s="45" t="s">
        <v>603</v>
      </c>
      <c r="B663" s="45"/>
      <c r="C663" s="28" t="s">
        <v>215</v>
      </c>
      <c r="D663" s="43" t="s">
        <v>265</v>
      </c>
      <c r="E663" s="21" t="s">
        <v>1522</v>
      </c>
      <c r="F663" s="22"/>
      <c r="G663" s="22" t="s">
        <v>1262</v>
      </c>
      <c r="H663" s="22" t="s">
        <v>283</v>
      </c>
      <c r="I663" s="24">
        <v>1025</v>
      </c>
      <c r="J663" s="26" t="s">
        <v>1480</v>
      </c>
      <c r="K663" s="110" t="s">
        <v>638</v>
      </c>
      <c r="L663" s="218" t="s">
        <v>1775</v>
      </c>
      <c r="M663" s="3"/>
    </row>
    <row r="664" spans="1:13" ht="63.75" customHeight="1">
      <c r="A664" s="45" t="s">
        <v>363</v>
      </c>
      <c r="B664" s="45"/>
      <c r="C664" s="28" t="s">
        <v>1430</v>
      </c>
      <c r="D664" s="43" t="s">
        <v>1754</v>
      </c>
      <c r="E664" s="21" t="s">
        <v>1521</v>
      </c>
      <c r="F664" s="22" t="s">
        <v>540</v>
      </c>
      <c r="G664" s="22" t="s">
        <v>1262</v>
      </c>
      <c r="H664" s="22" t="s">
        <v>283</v>
      </c>
      <c r="I664" s="24">
        <v>1610</v>
      </c>
      <c r="J664" s="26" t="s">
        <v>1489</v>
      </c>
      <c r="K664" s="112">
        <v>3</v>
      </c>
      <c r="L664" s="218" t="s">
        <v>1775</v>
      </c>
      <c r="M664" s="3"/>
    </row>
    <row r="665" spans="1:13" ht="69.75" customHeight="1">
      <c r="A665" s="45" t="s">
        <v>363</v>
      </c>
      <c r="B665" s="45"/>
      <c r="C665" s="28" t="s">
        <v>1430</v>
      </c>
      <c r="D665" s="43" t="s">
        <v>1732</v>
      </c>
      <c r="E665" s="21" t="s">
        <v>1521</v>
      </c>
      <c r="F665" s="22"/>
      <c r="G665" s="22" t="s">
        <v>1262</v>
      </c>
      <c r="H665" s="22" t="s">
        <v>283</v>
      </c>
      <c r="I665" s="24">
        <v>1615</v>
      </c>
      <c r="J665" s="26" t="s">
        <v>1490</v>
      </c>
      <c r="K665" s="110" t="s">
        <v>638</v>
      </c>
      <c r="L665" s="218"/>
      <c r="M665" s="3"/>
    </row>
    <row r="666" spans="1:13" ht="33">
      <c r="A666" s="21" t="s">
        <v>363</v>
      </c>
      <c r="B666" s="21"/>
      <c r="C666" s="28" t="s">
        <v>1430</v>
      </c>
      <c r="D666" s="43" t="s">
        <v>1684</v>
      </c>
      <c r="E666" s="21" t="s">
        <v>1521</v>
      </c>
      <c r="F666" s="22" t="s">
        <v>540</v>
      </c>
      <c r="G666" s="22" t="s">
        <v>1262</v>
      </c>
      <c r="H666" s="122" t="s">
        <v>283</v>
      </c>
      <c r="I666" s="67">
        <v>1620</v>
      </c>
      <c r="J666" s="26" t="s">
        <v>1682</v>
      </c>
      <c r="K666" s="110" t="s">
        <v>753</v>
      </c>
      <c r="L666" s="218"/>
      <c r="M666" s="3"/>
    </row>
    <row r="667" spans="1:13" ht="16.5">
      <c r="A667" s="45" t="s">
        <v>734</v>
      </c>
      <c r="B667" s="45"/>
      <c r="C667" s="28" t="s">
        <v>1077</v>
      </c>
      <c r="D667" s="43"/>
      <c r="E667" s="21" t="s">
        <v>1522</v>
      </c>
      <c r="F667" s="22" t="s">
        <v>540</v>
      </c>
      <c r="G667" s="22" t="s">
        <v>1262</v>
      </c>
      <c r="H667" s="22" t="s">
        <v>283</v>
      </c>
      <c r="I667" s="199">
        <v>2000</v>
      </c>
      <c r="J667" s="26" t="s">
        <v>1492</v>
      </c>
      <c r="K667" s="112">
        <v>3</v>
      </c>
      <c r="L667" s="218" t="s">
        <v>1781</v>
      </c>
      <c r="M667" s="3"/>
    </row>
    <row r="668" spans="1:13" ht="16.5">
      <c r="A668" s="58" t="s">
        <v>734</v>
      </c>
      <c r="B668" s="58"/>
      <c r="C668" s="59" t="s">
        <v>1077</v>
      </c>
      <c r="D668" s="60" t="s">
        <v>1733</v>
      </c>
      <c r="E668" s="58" t="s">
        <v>1522</v>
      </c>
      <c r="F668" s="61" t="s">
        <v>540</v>
      </c>
      <c r="G668" s="22" t="s">
        <v>1262</v>
      </c>
      <c r="H668" s="61" t="s">
        <v>283</v>
      </c>
      <c r="I668" s="69">
        <v>2060</v>
      </c>
      <c r="J668" s="74" t="s">
        <v>172</v>
      </c>
      <c r="K668" s="110" t="s">
        <v>753</v>
      </c>
      <c r="L668" s="218" t="s">
        <v>1781</v>
      </c>
      <c r="M668" s="3"/>
    </row>
    <row r="669" spans="1:13" ht="16.5">
      <c r="A669" s="58" t="s">
        <v>734</v>
      </c>
      <c r="B669" s="58"/>
      <c r="C669" s="59" t="s">
        <v>1077</v>
      </c>
      <c r="D669" s="60" t="s">
        <v>1734</v>
      </c>
      <c r="E669" s="58" t="s">
        <v>1522</v>
      </c>
      <c r="F669" s="61"/>
      <c r="G669" s="22" t="s">
        <v>1262</v>
      </c>
      <c r="H669" s="61" t="s">
        <v>283</v>
      </c>
      <c r="I669" s="83">
        <v>2065</v>
      </c>
      <c r="J669" s="74" t="s">
        <v>173</v>
      </c>
      <c r="K669" s="110" t="s">
        <v>638</v>
      </c>
      <c r="L669" s="218" t="s">
        <v>1781</v>
      </c>
      <c r="M669" s="3"/>
    </row>
    <row r="670" spans="1:13" ht="33">
      <c r="A670" s="45" t="s">
        <v>1176</v>
      </c>
      <c r="B670" s="45"/>
      <c r="C670" s="28" t="s">
        <v>1439</v>
      </c>
      <c r="D670" s="43" t="s">
        <v>266</v>
      </c>
      <c r="E670" s="21" t="s">
        <v>1522</v>
      </c>
      <c r="F670" s="22" t="s">
        <v>540</v>
      </c>
      <c r="G670" s="22" t="s">
        <v>1262</v>
      </c>
      <c r="H670" s="22" t="s">
        <v>283</v>
      </c>
      <c r="I670" s="24">
        <v>2420</v>
      </c>
      <c r="J670" s="26" t="s">
        <v>166</v>
      </c>
      <c r="K670" s="112">
        <v>3</v>
      </c>
      <c r="L670" s="218" t="s">
        <v>1781</v>
      </c>
      <c r="M670" s="3"/>
    </row>
    <row r="671" spans="1:13" ht="33">
      <c r="A671" s="45" t="s">
        <v>1176</v>
      </c>
      <c r="B671" s="45"/>
      <c r="C671" s="28" t="s">
        <v>1439</v>
      </c>
      <c r="D671" s="43" t="s">
        <v>267</v>
      </c>
      <c r="E671" s="21" t="s">
        <v>1522</v>
      </c>
      <c r="F671" s="22"/>
      <c r="G671" s="22" t="s">
        <v>1262</v>
      </c>
      <c r="H671" s="22" t="s">
        <v>283</v>
      </c>
      <c r="I671" s="24">
        <v>2425</v>
      </c>
      <c r="J671" s="26" t="s">
        <v>1374</v>
      </c>
      <c r="K671" s="112">
        <v>1</v>
      </c>
      <c r="L671" s="218" t="s">
        <v>1761</v>
      </c>
      <c r="M671" s="3"/>
    </row>
    <row r="672" spans="1:13" ht="16.5">
      <c r="A672" s="21" t="s">
        <v>734</v>
      </c>
      <c r="B672" s="21"/>
      <c r="C672" s="28" t="s">
        <v>1077</v>
      </c>
      <c r="D672" s="43" t="s">
        <v>1679</v>
      </c>
      <c r="E672" s="21" t="s">
        <v>1522</v>
      </c>
      <c r="F672" s="22" t="s">
        <v>540</v>
      </c>
      <c r="G672" s="22" t="s">
        <v>1262</v>
      </c>
      <c r="H672" s="122" t="s">
        <v>810</v>
      </c>
      <c r="I672" s="67">
        <v>1620</v>
      </c>
      <c r="J672" s="26" t="s">
        <v>1682</v>
      </c>
      <c r="K672" s="110" t="s">
        <v>753</v>
      </c>
      <c r="L672" s="218" t="s">
        <v>1761</v>
      </c>
      <c r="M672" s="3"/>
    </row>
    <row r="673" spans="1:14" ht="49.5">
      <c r="A673" s="21" t="s">
        <v>363</v>
      </c>
      <c r="B673" s="21"/>
      <c r="C673" s="28" t="s">
        <v>1430</v>
      </c>
      <c r="D673" s="43" t="s">
        <v>1685</v>
      </c>
      <c r="E673" s="21" t="s">
        <v>1521</v>
      </c>
      <c r="F673" s="22"/>
      <c r="G673" s="22" t="s">
        <v>1262</v>
      </c>
      <c r="H673" s="122" t="s">
        <v>810</v>
      </c>
      <c r="I673" s="67">
        <v>1625</v>
      </c>
      <c r="J673" s="26" t="s">
        <v>1683</v>
      </c>
      <c r="K673" s="110" t="s">
        <v>638</v>
      </c>
      <c r="L673" s="218" t="s">
        <v>1781</v>
      </c>
      <c r="M673" s="3"/>
    </row>
    <row r="674" spans="1:14" ht="16.5">
      <c r="A674" s="45" t="s">
        <v>307</v>
      </c>
      <c r="B674" s="21" t="s">
        <v>575</v>
      </c>
      <c r="C674" s="224" t="s">
        <v>1072</v>
      </c>
      <c r="D674" s="43"/>
      <c r="E674" s="21" t="s">
        <v>1522</v>
      </c>
      <c r="F674" s="22"/>
      <c r="G674" s="22" t="s">
        <v>1262</v>
      </c>
      <c r="H674" s="22" t="s">
        <v>401</v>
      </c>
      <c r="I674" s="24">
        <v>1010</v>
      </c>
      <c r="J674" s="26" t="s">
        <v>909</v>
      </c>
      <c r="K674" s="110" t="s">
        <v>753</v>
      </c>
      <c r="L674" s="218"/>
      <c r="M674" s="3"/>
      <c r="N674" s="9"/>
    </row>
    <row r="675" spans="1:14" ht="16.5">
      <c r="A675" s="45" t="s">
        <v>306</v>
      </c>
      <c r="B675" s="21" t="s">
        <v>571</v>
      </c>
      <c r="C675" s="28" t="s">
        <v>1071</v>
      </c>
      <c r="D675" s="43"/>
      <c r="E675" s="21" t="s">
        <v>1522</v>
      </c>
      <c r="F675" s="22"/>
      <c r="G675" s="22" t="s">
        <v>1262</v>
      </c>
      <c r="H675" s="22" t="s">
        <v>401</v>
      </c>
      <c r="I675" s="24">
        <v>1040</v>
      </c>
      <c r="J675" s="26" t="s">
        <v>1493</v>
      </c>
      <c r="K675" s="112">
        <v>3</v>
      </c>
      <c r="L675" s="218"/>
      <c r="M675" s="3"/>
      <c r="N675" s="9"/>
    </row>
    <row r="676" spans="1:14" ht="16.5">
      <c r="A676" s="21" t="s">
        <v>616</v>
      </c>
      <c r="B676" s="21" t="s">
        <v>574</v>
      </c>
      <c r="C676" s="28" t="s">
        <v>1073</v>
      </c>
      <c r="D676" s="43"/>
      <c r="E676" s="21" t="s">
        <v>1522</v>
      </c>
      <c r="F676" s="22"/>
      <c r="G676" s="22" t="s">
        <v>1262</v>
      </c>
      <c r="H676" s="122" t="s">
        <v>401</v>
      </c>
      <c r="I676" s="67">
        <v>1630</v>
      </c>
      <c r="J676" s="26" t="s">
        <v>1672</v>
      </c>
      <c r="K676" s="110" t="s">
        <v>753</v>
      </c>
      <c r="L676" s="218" t="s">
        <v>1781</v>
      </c>
      <c r="M676" s="3"/>
      <c r="N676" s="9"/>
    </row>
    <row r="677" spans="1:14" ht="16.5">
      <c r="A677" s="45" t="s">
        <v>309</v>
      </c>
      <c r="B677" s="84" t="s">
        <v>572</v>
      </c>
      <c r="C677" s="28" t="s">
        <v>1011</v>
      </c>
      <c r="D677" s="43" t="s">
        <v>1144</v>
      </c>
      <c r="E677" s="21" t="s">
        <v>1522</v>
      </c>
      <c r="F677" s="22"/>
      <c r="G677" s="22" t="s">
        <v>1262</v>
      </c>
      <c r="H677" s="22" t="s">
        <v>401</v>
      </c>
      <c r="I677" s="24">
        <v>2620</v>
      </c>
      <c r="J677" s="26" t="s">
        <v>907</v>
      </c>
      <c r="K677" s="110" t="s">
        <v>753</v>
      </c>
      <c r="L677" s="218"/>
      <c r="M677" s="3"/>
      <c r="N677" s="9"/>
    </row>
    <row r="678" spans="1:14" ht="33">
      <c r="A678" s="45" t="s">
        <v>736</v>
      </c>
      <c r="B678" s="45"/>
      <c r="C678" s="28" t="s">
        <v>609</v>
      </c>
      <c r="D678" s="43" t="s">
        <v>1478</v>
      </c>
      <c r="E678" s="21" t="s">
        <v>1521</v>
      </c>
      <c r="F678" s="22" t="s">
        <v>1332</v>
      </c>
      <c r="G678" s="22" t="s">
        <v>1262</v>
      </c>
      <c r="H678" s="22" t="s">
        <v>1541</v>
      </c>
      <c r="I678" s="199">
        <v>1010</v>
      </c>
      <c r="J678" s="26" t="s">
        <v>836</v>
      </c>
      <c r="K678" s="112">
        <v>3</v>
      </c>
      <c r="L678" s="218" t="s">
        <v>1781</v>
      </c>
      <c r="M678" s="3"/>
      <c r="N678" s="9"/>
    </row>
    <row r="679" spans="1:14" ht="33">
      <c r="A679" s="45" t="s">
        <v>736</v>
      </c>
      <c r="B679" s="45"/>
      <c r="C679" s="28" t="s">
        <v>609</v>
      </c>
      <c r="D679" s="43" t="s">
        <v>1478</v>
      </c>
      <c r="E679" s="21" t="s">
        <v>1521</v>
      </c>
      <c r="F679" s="22"/>
      <c r="G679" s="22" t="s">
        <v>1262</v>
      </c>
      <c r="H679" s="22" t="s">
        <v>1541</v>
      </c>
      <c r="I679" s="24">
        <v>1015</v>
      </c>
      <c r="J679" s="26" t="s">
        <v>837</v>
      </c>
      <c r="K679" s="112">
        <v>1</v>
      </c>
      <c r="L679" s="218" t="s">
        <v>1761</v>
      </c>
      <c r="M679" s="3"/>
      <c r="N679" s="3"/>
    </row>
    <row r="680" spans="1:14" ht="64.5" customHeight="1">
      <c r="A680" s="45" t="s">
        <v>746</v>
      </c>
      <c r="B680" s="45"/>
      <c r="C680" s="28" t="s">
        <v>1058</v>
      </c>
      <c r="D680" s="43" t="s">
        <v>1145</v>
      </c>
      <c r="E680" s="21" t="s">
        <v>1522</v>
      </c>
      <c r="F680" s="22" t="s">
        <v>1332</v>
      </c>
      <c r="G680" s="22" t="s">
        <v>1262</v>
      </c>
      <c r="H680" s="22" t="s">
        <v>1541</v>
      </c>
      <c r="I680" s="24">
        <v>1110</v>
      </c>
      <c r="J680" s="26" t="s">
        <v>1553</v>
      </c>
      <c r="K680" s="110" t="s">
        <v>753</v>
      </c>
      <c r="L680" s="218" t="s">
        <v>1761</v>
      </c>
      <c r="M680" s="3"/>
      <c r="N680" s="9"/>
    </row>
    <row r="681" spans="1:14" ht="49.5">
      <c r="A681" s="45" t="s">
        <v>746</v>
      </c>
      <c r="B681" s="45"/>
      <c r="C681" s="28" t="s">
        <v>1058</v>
      </c>
      <c r="D681" s="43" t="s">
        <v>1044</v>
      </c>
      <c r="E681" s="21" t="s">
        <v>1522</v>
      </c>
      <c r="F681" s="22"/>
      <c r="G681" s="22" t="s">
        <v>1262</v>
      </c>
      <c r="H681" s="22" t="s">
        <v>1541</v>
      </c>
      <c r="I681" s="24">
        <v>1115</v>
      </c>
      <c r="J681" s="26" t="s">
        <v>916</v>
      </c>
      <c r="K681" s="110" t="s">
        <v>638</v>
      </c>
      <c r="L681" s="218" t="s">
        <v>1761</v>
      </c>
      <c r="M681" s="3"/>
      <c r="N681" s="9"/>
    </row>
    <row r="682" spans="1:14" ht="16.5">
      <c r="A682" s="45" t="s">
        <v>746</v>
      </c>
      <c r="B682" s="45"/>
      <c r="C682" s="28" t="s">
        <v>1058</v>
      </c>
      <c r="D682" s="43" t="s">
        <v>529</v>
      </c>
      <c r="E682" s="21" t="s">
        <v>1522</v>
      </c>
      <c r="F682" s="22"/>
      <c r="G682" s="22" t="s">
        <v>1262</v>
      </c>
      <c r="H682" s="22" t="s">
        <v>1541</v>
      </c>
      <c r="I682" s="24">
        <v>1120</v>
      </c>
      <c r="J682" s="26" t="s">
        <v>528</v>
      </c>
      <c r="K682" s="110" t="s">
        <v>640</v>
      </c>
      <c r="L682" s="218" t="s">
        <v>1785</v>
      </c>
      <c r="M682" s="3"/>
      <c r="N682" s="9"/>
    </row>
    <row r="683" spans="1:14" ht="33">
      <c r="A683" s="58" t="s">
        <v>736</v>
      </c>
      <c r="B683" s="58"/>
      <c r="C683" s="59" t="s">
        <v>1431</v>
      </c>
      <c r="D683" s="43" t="s">
        <v>1434</v>
      </c>
      <c r="E683" s="21" t="s">
        <v>1521</v>
      </c>
      <c r="F683" s="22"/>
      <c r="G683" s="22" t="s">
        <v>1262</v>
      </c>
      <c r="H683" s="22" t="s">
        <v>1541</v>
      </c>
      <c r="I683" s="24">
        <v>1120</v>
      </c>
      <c r="J683" s="26" t="s">
        <v>528</v>
      </c>
      <c r="K683" s="110" t="s">
        <v>640</v>
      </c>
      <c r="L683" s="218" t="s">
        <v>1785</v>
      </c>
      <c r="M683" s="3"/>
      <c r="N683" s="9"/>
    </row>
    <row r="684" spans="1:14" ht="33">
      <c r="A684" s="58" t="s">
        <v>736</v>
      </c>
      <c r="B684" s="58"/>
      <c r="C684" s="59" t="s">
        <v>1431</v>
      </c>
      <c r="D684" s="60" t="s">
        <v>1435</v>
      </c>
      <c r="E684" s="58" t="s">
        <v>1521</v>
      </c>
      <c r="F684" s="61"/>
      <c r="G684" s="22" t="s">
        <v>1262</v>
      </c>
      <c r="H684" s="61" t="s">
        <v>1541</v>
      </c>
      <c r="I684" s="201">
        <v>1125</v>
      </c>
      <c r="J684" s="26" t="s">
        <v>174</v>
      </c>
      <c r="K684" s="110" t="s">
        <v>638</v>
      </c>
      <c r="L684" s="218" t="s">
        <v>1785</v>
      </c>
      <c r="M684" s="3"/>
      <c r="N684" s="9"/>
    </row>
    <row r="685" spans="1:14" ht="49.5">
      <c r="A685" s="45" t="s">
        <v>736</v>
      </c>
      <c r="B685" s="45"/>
      <c r="C685" s="28" t="s">
        <v>609</v>
      </c>
      <c r="D685" s="43" t="s">
        <v>21</v>
      </c>
      <c r="E685" s="21" t="s">
        <v>1521</v>
      </c>
      <c r="F685" s="22" t="s">
        <v>1332</v>
      </c>
      <c r="G685" s="22" t="s">
        <v>1262</v>
      </c>
      <c r="H685" s="22" t="s">
        <v>1541</v>
      </c>
      <c r="I685" s="199">
        <v>1210</v>
      </c>
      <c r="J685" s="26" t="s">
        <v>1206</v>
      </c>
      <c r="K685" s="112">
        <v>4</v>
      </c>
      <c r="L685" s="218" t="s">
        <v>1785</v>
      </c>
      <c r="M685" s="3"/>
      <c r="N685" s="3"/>
    </row>
    <row r="686" spans="1:14" ht="33">
      <c r="A686" s="45" t="s">
        <v>736</v>
      </c>
      <c r="B686" s="45"/>
      <c r="C686" s="28" t="s">
        <v>609</v>
      </c>
      <c r="D686" s="43" t="s">
        <v>59</v>
      </c>
      <c r="E686" s="21" t="s">
        <v>1521</v>
      </c>
      <c r="F686" s="22"/>
      <c r="G686" s="22" t="s">
        <v>1262</v>
      </c>
      <c r="H686" s="22" t="s">
        <v>1541</v>
      </c>
      <c r="I686" s="24">
        <v>1215</v>
      </c>
      <c r="J686" s="26" t="s">
        <v>175</v>
      </c>
      <c r="K686" s="110" t="s">
        <v>638</v>
      </c>
      <c r="L686" s="218" t="s">
        <v>1761</v>
      </c>
      <c r="M686" s="3"/>
      <c r="N686" s="3"/>
    </row>
    <row r="687" spans="1:14" ht="33">
      <c r="A687" s="45" t="s">
        <v>736</v>
      </c>
      <c r="B687" s="45"/>
      <c r="C687" s="28" t="s">
        <v>609</v>
      </c>
      <c r="D687" s="43" t="s">
        <v>1507</v>
      </c>
      <c r="E687" s="21" t="s">
        <v>1521</v>
      </c>
      <c r="F687" s="22"/>
      <c r="G687" s="22" t="s">
        <v>1262</v>
      </c>
      <c r="H687" s="22" t="s">
        <v>1541</v>
      </c>
      <c r="I687" s="199">
        <v>1220</v>
      </c>
      <c r="J687" s="26" t="s">
        <v>1208</v>
      </c>
      <c r="K687" s="110" t="s">
        <v>642</v>
      </c>
      <c r="L687" s="218" t="s">
        <v>1761</v>
      </c>
      <c r="M687" s="3"/>
      <c r="N687" s="9"/>
    </row>
    <row r="688" spans="1:14" ht="33">
      <c r="A688" s="45" t="s">
        <v>736</v>
      </c>
      <c r="B688" s="45"/>
      <c r="C688" s="28" t="s">
        <v>609</v>
      </c>
      <c r="D688" s="43" t="s">
        <v>1508</v>
      </c>
      <c r="E688" s="21" t="s">
        <v>1521</v>
      </c>
      <c r="F688" s="22"/>
      <c r="G688" s="22" t="s">
        <v>1262</v>
      </c>
      <c r="H688" s="22" t="s">
        <v>1541</v>
      </c>
      <c r="I688" s="24">
        <v>1225</v>
      </c>
      <c r="J688" s="26" t="s">
        <v>530</v>
      </c>
      <c r="K688" s="112">
        <v>1</v>
      </c>
      <c r="L688" s="218" t="s">
        <v>1761</v>
      </c>
      <c r="M688" s="3"/>
      <c r="N688" s="9"/>
    </row>
    <row r="689" spans="1:14" ht="16.5">
      <c r="A689" s="21" t="s">
        <v>746</v>
      </c>
      <c r="B689" s="21"/>
      <c r="C689" s="28" t="s">
        <v>1058</v>
      </c>
      <c r="D689" s="43" t="s">
        <v>1688</v>
      </c>
      <c r="E689" s="21" t="s">
        <v>1522</v>
      </c>
      <c r="F689" s="22"/>
      <c r="G689" s="22" t="s">
        <v>1262</v>
      </c>
      <c r="H689" s="122" t="s">
        <v>1541</v>
      </c>
      <c r="I689" s="67">
        <v>2310</v>
      </c>
      <c r="J689" s="26" t="s">
        <v>1686</v>
      </c>
      <c r="K689" s="110" t="s">
        <v>642</v>
      </c>
      <c r="L689" s="218" t="s">
        <v>1761</v>
      </c>
      <c r="M689" s="3"/>
      <c r="N689" s="3"/>
    </row>
    <row r="690" spans="1:14" ht="16.5">
      <c r="A690" s="21" t="s">
        <v>746</v>
      </c>
      <c r="B690" s="21"/>
      <c r="C690" s="28" t="s">
        <v>1058</v>
      </c>
      <c r="D690" s="43" t="s">
        <v>1689</v>
      </c>
      <c r="E690" s="21" t="s">
        <v>1522</v>
      </c>
      <c r="F690" s="22"/>
      <c r="G690" s="22" t="s">
        <v>1262</v>
      </c>
      <c r="H690" s="122" t="s">
        <v>1541</v>
      </c>
      <c r="I690" s="67">
        <v>2320</v>
      </c>
      <c r="J690" s="26" t="s">
        <v>1687</v>
      </c>
      <c r="K690" s="110" t="s">
        <v>642</v>
      </c>
      <c r="L690" s="218"/>
      <c r="M690" s="3"/>
      <c r="N690" s="9"/>
    </row>
    <row r="691" spans="1:14" ht="16.5">
      <c r="A691" s="82" t="s">
        <v>367</v>
      </c>
      <c r="B691" s="54" t="s">
        <v>562</v>
      </c>
      <c r="C691" s="28" t="s">
        <v>287</v>
      </c>
      <c r="D691" s="43"/>
      <c r="E691" s="21" t="s">
        <v>1522</v>
      </c>
      <c r="F691" s="22" t="s">
        <v>1329</v>
      </c>
      <c r="G691" s="22" t="s">
        <v>1262</v>
      </c>
      <c r="H691" s="22" t="s">
        <v>449</v>
      </c>
      <c r="I691" s="199">
        <v>1010</v>
      </c>
      <c r="J691" s="26" t="s">
        <v>838</v>
      </c>
      <c r="K691" s="112">
        <v>3</v>
      </c>
      <c r="L691" s="218"/>
      <c r="M691" s="3"/>
      <c r="N691" s="9"/>
    </row>
    <row r="692" spans="1:14" ht="16.5">
      <c r="A692" s="45" t="s">
        <v>367</v>
      </c>
      <c r="B692" s="21" t="s">
        <v>562</v>
      </c>
      <c r="C692" s="28" t="s">
        <v>287</v>
      </c>
      <c r="D692" s="43"/>
      <c r="E692" s="21" t="s">
        <v>1522</v>
      </c>
      <c r="F692" s="22"/>
      <c r="G692" s="22" t="s">
        <v>1262</v>
      </c>
      <c r="H692" s="22" t="s">
        <v>449</v>
      </c>
      <c r="I692" s="24">
        <v>2330</v>
      </c>
      <c r="J692" s="26" t="s">
        <v>1566</v>
      </c>
      <c r="K692" s="112">
        <v>3</v>
      </c>
      <c r="L692" s="218" t="s">
        <v>1777</v>
      </c>
      <c r="M692" s="3"/>
      <c r="N692" s="9"/>
    </row>
    <row r="693" spans="1:14" s="9" customFormat="1" ht="16.5">
      <c r="A693" s="45" t="s">
        <v>790</v>
      </c>
      <c r="B693" s="45" t="s">
        <v>92</v>
      </c>
      <c r="C693" s="28" t="s">
        <v>989</v>
      </c>
      <c r="D693" s="43"/>
      <c r="E693" s="21" t="s">
        <v>1522</v>
      </c>
      <c r="F693" s="22" t="s">
        <v>534</v>
      </c>
      <c r="G693" s="22" t="s">
        <v>1262</v>
      </c>
      <c r="H693" s="22" t="s">
        <v>1547</v>
      </c>
      <c r="I693" s="199">
        <v>1010</v>
      </c>
      <c r="J693" s="26" t="s">
        <v>1509</v>
      </c>
      <c r="K693" s="112">
        <v>3</v>
      </c>
      <c r="L693" s="218" t="s">
        <v>1761</v>
      </c>
      <c r="M693" s="292"/>
    </row>
    <row r="694" spans="1:14" s="9" customFormat="1" ht="16.5">
      <c r="A694" s="45" t="s">
        <v>1239</v>
      </c>
      <c r="B694" s="45" t="s">
        <v>1240</v>
      </c>
      <c r="C694" s="28" t="s">
        <v>1008</v>
      </c>
      <c r="D694" s="102"/>
      <c r="E694" s="21" t="s">
        <v>1522</v>
      </c>
      <c r="F694" s="22" t="s">
        <v>1331</v>
      </c>
      <c r="G694" s="22" t="s">
        <v>1262</v>
      </c>
      <c r="H694" s="22" t="s">
        <v>1204</v>
      </c>
      <c r="I694" s="24">
        <v>1010</v>
      </c>
      <c r="J694" s="26" t="s">
        <v>1171</v>
      </c>
      <c r="K694" s="110" t="s">
        <v>753</v>
      </c>
      <c r="L694" s="218" t="s">
        <v>1781</v>
      </c>
      <c r="M694" s="3"/>
    </row>
    <row r="695" spans="1:14" s="9" customFormat="1" ht="16.5">
      <c r="A695" s="45" t="s">
        <v>548</v>
      </c>
      <c r="B695" s="45"/>
      <c r="C695" s="28" t="s">
        <v>1423</v>
      </c>
      <c r="D695" s="43"/>
      <c r="E695" s="21" t="s">
        <v>1522</v>
      </c>
      <c r="F695" s="22" t="s">
        <v>1329</v>
      </c>
      <c r="G695" s="22" t="s">
        <v>1262</v>
      </c>
      <c r="H695" s="22" t="s">
        <v>1088</v>
      </c>
      <c r="I695" s="199">
        <v>1010</v>
      </c>
      <c r="J695" s="26" t="s">
        <v>598</v>
      </c>
      <c r="K695" s="112">
        <v>3</v>
      </c>
      <c r="L695" s="218"/>
      <c r="M695" s="3"/>
    </row>
    <row r="696" spans="1:14" s="9" customFormat="1" ht="16.5">
      <c r="A696" s="45" t="s">
        <v>548</v>
      </c>
      <c r="B696" s="45"/>
      <c r="C696" s="28" t="s">
        <v>1423</v>
      </c>
      <c r="D696" s="43"/>
      <c r="E696" s="21" t="s">
        <v>1522</v>
      </c>
      <c r="F696" s="22" t="s">
        <v>1329</v>
      </c>
      <c r="G696" s="22" t="s">
        <v>1262</v>
      </c>
      <c r="H696" s="22" t="s">
        <v>1088</v>
      </c>
      <c r="I696" s="199">
        <v>2010</v>
      </c>
      <c r="J696" s="26" t="s">
        <v>397</v>
      </c>
      <c r="K696" s="112">
        <v>3</v>
      </c>
      <c r="L696" s="218" t="s">
        <v>1780</v>
      </c>
      <c r="M696" s="3"/>
    </row>
    <row r="697" spans="1:14" s="9" customFormat="1" ht="16.5">
      <c r="A697" s="21" t="s">
        <v>1712</v>
      </c>
      <c r="B697" s="21"/>
      <c r="C697" s="28" t="s">
        <v>1711</v>
      </c>
      <c r="D697" s="43" t="s">
        <v>1313</v>
      </c>
      <c r="E697" s="21" t="s">
        <v>1522</v>
      </c>
      <c r="F697" s="22" t="s">
        <v>533</v>
      </c>
      <c r="G697" s="22" t="s">
        <v>1262</v>
      </c>
      <c r="H697" s="22" t="s">
        <v>1091</v>
      </c>
      <c r="I697" s="199">
        <v>1010</v>
      </c>
      <c r="J697" s="26" t="s">
        <v>1271</v>
      </c>
      <c r="K697" s="112">
        <v>3</v>
      </c>
      <c r="L697" s="218"/>
      <c r="M697" s="3"/>
    </row>
    <row r="698" spans="1:14" s="9" customFormat="1" ht="66">
      <c r="A698" s="45" t="s">
        <v>229</v>
      </c>
      <c r="B698" s="45"/>
      <c r="C698" s="28" t="s">
        <v>295</v>
      </c>
      <c r="D698" s="43" t="s">
        <v>777</v>
      </c>
      <c r="E698" s="21" t="s">
        <v>1522</v>
      </c>
      <c r="F698" s="22" t="s">
        <v>533</v>
      </c>
      <c r="G698" s="22" t="s">
        <v>1262</v>
      </c>
      <c r="H698" s="22" t="s">
        <v>1091</v>
      </c>
      <c r="I698" s="23">
        <v>2010</v>
      </c>
      <c r="J698" s="26" t="s">
        <v>532</v>
      </c>
      <c r="K698" s="112">
        <v>3</v>
      </c>
      <c r="L698" s="218" t="s">
        <v>1780</v>
      </c>
      <c r="M698" s="3"/>
    </row>
    <row r="699" spans="1:14" s="9" customFormat="1" ht="16.5">
      <c r="A699" s="21" t="s">
        <v>1861</v>
      </c>
      <c r="B699" s="21"/>
      <c r="C699" s="28" t="s">
        <v>1665</v>
      </c>
      <c r="D699" s="43"/>
      <c r="E699" s="21" t="s">
        <v>1522</v>
      </c>
      <c r="F699" s="22" t="s">
        <v>534</v>
      </c>
      <c r="G699" s="22" t="s">
        <v>1262</v>
      </c>
      <c r="H699" s="22" t="s">
        <v>1091</v>
      </c>
      <c r="I699" s="24">
        <v>2200</v>
      </c>
      <c r="J699" s="26" t="s">
        <v>1272</v>
      </c>
      <c r="K699" s="112">
        <v>3</v>
      </c>
      <c r="L699" s="218" t="s">
        <v>1780</v>
      </c>
      <c r="M699" s="178"/>
    </row>
    <row r="700" spans="1:14" s="9" customFormat="1" ht="16.5">
      <c r="A700" s="45" t="s">
        <v>369</v>
      </c>
      <c r="B700" s="45"/>
      <c r="C700" s="28" t="s">
        <v>1061</v>
      </c>
      <c r="D700" s="43"/>
      <c r="E700" s="21" t="s">
        <v>1522</v>
      </c>
      <c r="F700" s="22" t="s">
        <v>534</v>
      </c>
      <c r="G700" s="22" t="s">
        <v>1262</v>
      </c>
      <c r="H700" s="22" t="s">
        <v>1091</v>
      </c>
      <c r="I700" s="24">
        <v>2240</v>
      </c>
      <c r="J700" s="26" t="s">
        <v>1417</v>
      </c>
      <c r="K700" s="110" t="s">
        <v>753</v>
      </c>
      <c r="L700" s="218" t="s">
        <v>1781</v>
      </c>
      <c r="M700" s="3"/>
      <c r="N700" s="3"/>
    </row>
    <row r="701" spans="1:14" s="9" customFormat="1" ht="16.5">
      <c r="A701" s="45" t="s">
        <v>927</v>
      </c>
      <c r="B701" s="45" t="s">
        <v>135</v>
      </c>
      <c r="C701" s="28" t="s">
        <v>1440</v>
      </c>
      <c r="D701" s="43"/>
      <c r="E701" s="21" t="s">
        <v>1522</v>
      </c>
      <c r="F701" s="22"/>
      <c r="G701" s="22" t="s">
        <v>1262</v>
      </c>
      <c r="H701" s="22" t="s">
        <v>1302</v>
      </c>
      <c r="I701" s="24">
        <v>1010</v>
      </c>
      <c r="J701" s="26" t="s">
        <v>1497</v>
      </c>
      <c r="K701" s="110" t="s">
        <v>753</v>
      </c>
      <c r="L701" s="218"/>
      <c r="M701" s="3"/>
      <c r="N701" s="3"/>
    </row>
    <row r="702" spans="1:14" s="9" customFormat="1" ht="16.5">
      <c r="A702" s="45" t="s">
        <v>748</v>
      </c>
      <c r="B702" s="45"/>
      <c r="C702" s="28" t="s">
        <v>194</v>
      </c>
      <c r="D702" s="103"/>
      <c r="E702" s="21" t="s">
        <v>1521</v>
      </c>
      <c r="F702" s="22" t="s">
        <v>1329</v>
      </c>
      <c r="G702" s="22" t="s">
        <v>1262</v>
      </c>
      <c r="H702" s="22" t="s">
        <v>452</v>
      </c>
      <c r="I702" s="24">
        <v>2870</v>
      </c>
      <c r="J702" s="26" t="s">
        <v>919</v>
      </c>
      <c r="K702" s="110" t="s">
        <v>753</v>
      </c>
      <c r="L702" s="218" t="s">
        <v>1761</v>
      </c>
      <c r="M702" s="3"/>
    </row>
    <row r="703" spans="1:14" s="9" customFormat="1" ht="16.5">
      <c r="A703" s="45" t="s">
        <v>747</v>
      </c>
      <c r="B703" s="45"/>
      <c r="C703" s="28" t="s">
        <v>1137</v>
      </c>
      <c r="D703" s="43" t="s">
        <v>1045</v>
      </c>
      <c r="E703" s="21" t="s">
        <v>1522</v>
      </c>
      <c r="F703" s="22" t="s">
        <v>1332</v>
      </c>
      <c r="G703" s="22" t="s">
        <v>1262</v>
      </c>
      <c r="H703" s="22" t="s">
        <v>1386</v>
      </c>
      <c r="I703" s="24">
        <v>1010</v>
      </c>
      <c r="J703" s="26" t="s">
        <v>245</v>
      </c>
      <c r="K703" s="110" t="s">
        <v>753</v>
      </c>
      <c r="L703" s="218" t="s">
        <v>1781</v>
      </c>
      <c r="M703" s="3"/>
    </row>
    <row r="704" spans="1:14" s="9" customFormat="1" ht="16.5">
      <c r="A704" s="45" t="s">
        <v>747</v>
      </c>
      <c r="B704" s="45"/>
      <c r="C704" s="28" t="s">
        <v>1137</v>
      </c>
      <c r="D704" s="43" t="s">
        <v>1046</v>
      </c>
      <c r="E704" s="21" t="s">
        <v>1522</v>
      </c>
      <c r="F704" s="22"/>
      <c r="G704" s="22" t="s">
        <v>1262</v>
      </c>
      <c r="H704" s="22" t="s">
        <v>1386</v>
      </c>
      <c r="I704" s="24">
        <v>1015</v>
      </c>
      <c r="J704" s="26" t="s">
        <v>244</v>
      </c>
      <c r="K704" s="110" t="s">
        <v>638</v>
      </c>
      <c r="L704" s="218" t="s">
        <v>1781</v>
      </c>
      <c r="M704" s="3"/>
    </row>
    <row r="705" spans="1:14" s="9" customFormat="1" ht="16.5">
      <c r="A705" s="21" t="s">
        <v>747</v>
      </c>
      <c r="B705" s="21"/>
      <c r="C705" s="28" t="s">
        <v>1137</v>
      </c>
      <c r="D705" s="43"/>
      <c r="E705" s="21" t="s">
        <v>1522</v>
      </c>
      <c r="F705" s="22" t="s">
        <v>1332</v>
      </c>
      <c r="G705" s="22" t="s">
        <v>1262</v>
      </c>
      <c r="H705" s="122" t="s">
        <v>1386</v>
      </c>
      <c r="I705" s="67">
        <v>1030</v>
      </c>
      <c r="J705" s="26" t="s">
        <v>1690</v>
      </c>
      <c r="K705" s="110" t="s">
        <v>753</v>
      </c>
      <c r="L705" s="218" t="s">
        <v>1781</v>
      </c>
      <c r="M705" s="3"/>
    </row>
    <row r="706" spans="1:14" s="9" customFormat="1" ht="16.5">
      <c r="A706" s="45" t="s">
        <v>747</v>
      </c>
      <c r="B706" s="45"/>
      <c r="C706" s="28" t="s">
        <v>1137</v>
      </c>
      <c r="D706" s="43" t="s">
        <v>1047</v>
      </c>
      <c r="E706" s="21" t="s">
        <v>1522</v>
      </c>
      <c r="F706" s="22" t="s">
        <v>1332</v>
      </c>
      <c r="G706" s="22" t="s">
        <v>1262</v>
      </c>
      <c r="H706" s="22" t="s">
        <v>1386</v>
      </c>
      <c r="I706" s="24">
        <v>1050</v>
      </c>
      <c r="J706" s="26" t="s">
        <v>1481</v>
      </c>
      <c r="K706" s="110" t="s">
        <v>753</v>
      </c>
      <c r="L706" s="218"/>
      <c r="M706" s="3"/>
    </row>
    <row r="707" spans="1:14" s="9" customFormat="1" ht="16.5">
      <c r="A707" s="45" t="s">
        <v>747</v>
      </c>
      <c r="B707" s="45"/>
      <c r="C707" s="28" t="s">
        <v>1137</v>
      </c>
      <c r="D707" s="43" t="s">
        <v>1048</v>
      </c>
      <c r="E707" s="21" t="s">
        <v>1522</v>
      </c>
      <c r="F707" s="22"/>
      <c r="G707" s="22" t="s">
        <v>1262</v>
      </c>
      <c r="H707" s="22" t="s">
        <v>1386</v>
      </c>
      <c r="I707" s="24">
        <v>1055</v>
      </c>
      <c r="J707" s="26" t="s">
        <v>1485</v>
      </c>
      <c r="K707" s="110" t="s">
        <v>638</v>
      </c>
      <c r="L707" s="218" t="s">
        <v>1781</v>
      </c>
      <c r="M707" s="3"/>
    </row>
    <row r="708" spans="1:14" s="9" customFormat="1" ht="16.5">
      <c r="A708" s="45" t="s">
        <v>747</v>
      </c>
      <c r="B708" s="45"/>
      <c r="C708" s="28" t="s">
        <v>1137</v>
      </c>
      <c r="D708" s="43" t="s">
        <v>1700</v>
      </c>
      <c r="E708" s="21" t="s">
        <v>1522</v>
      </c>
      <c r="F708" s="22" t="s">
        <v>1332</v>
      </c>
      <c r="G708" s="22" t="s">
        <v>1262</v>
      </c>
      <c r="H708" s="22" t="s">
        <v>1386</v>
      </c>
      <c r="I708" s="24">
        <v>1090</v>
      </c>
      <c r="J708" s="26" t="s">
        <v>1034</v>
      </c>
      <c r="K708" s="110" t="s">
        <v>753</v>
      </c>
      <c r="L708" s="218" t="s">
        <v>1781</v>
      </c>
      <c r="M708" s="3"/>
    </row>
    <row r="709" spans="1:14" s="9" customFormat="1" ht="16.5">
      <c r="A709" s="21" t="s">
        <v>747</v>
      </c>
      <c r="B709" s="21"/>
      <c r="C709" s="28" t="s">
        <v>1137</v>
      </c>
      <c r="D709" s="43" t="s">
        <v>1735</v>
      </c>
      <c r="E709" s="21" t="s">
        <v>1522</v>
      </c>
      <c r="F709" s="22"/>
      <c r="G709" s="22" t="s">
        <v>1262</v>
      </c>
      <c r="H709" s="122" t="s">
        <v>1386</v>
      </c>
      <c r="I709" s="67">
        <v>1095</v>
      </c>
      <c r="J709" s="26" t="s">
        <v>1699</v>
      </c>
      <c r="K709" s="110" t="s">
        <v>638</v>
      </c>
      <c r="L709" s="218"/>
      <c r="M709" s="3"/>
    </row>
    <row r="710" spans="1:14" s="9" customFormat="1" ht="66">
      <c r="A710" s="21" t="s">
        <v>1639</v>
      </c>
      <c r="B710" s="21"/>
      <c r="C710" s="28" t="s">
        <v>1640</v>
      </c>
      <c r="D710" s="101" t="s">
        <v>1802</v>
      </c>
      <c r="E710" s="21" t="s">
        <v>1522</v>
      </c>
      <c r="F710" s="22"/>
      <c r="G710" s="22" t="s">
        <v>1262</v>
      </c>
      <c r="H710" s="22" t="s">
        <v>923</v>
      </c>
      <c r="I710" s="199">
        <v>1010</v>
      </c>
      <c r="J710" s="26" t="s">
        <v>1449</v>
      </c>
      <c r="K710" s="112">
        <v>4</v>
      </c>
      <c r="L710" s="218"/>
      <c r="M710" s="3"/>
    </row>
    <row r="711" spans="1:14" s="9" customFormat="1" ht="16.5">
      <c r="A711" s="21" t="s">
        <v>1641</v>
      </c>
      <c r="B711" s="21"/>
      <c r="C711" s="28" t="s">
        <v>1642</v>
      </c>
      <c r="D711" s="43" t="s">
        <v>1049</v>
      </c>
      <c r="E711" s="21" t="s">
        <v>1522</v>
      </c>
      <c r="F711" s="22"/>
      <c r="G711" s="22" t="s">
        <v>1262</v>
      </c>
      <c r="H711" s="22" t="s">
        <v>923</v>
      </c>
      <c r="I711" s="199">
        <v>1020</v>
      </c>
      <c r="J711" s="26" t="s">
        <v>676</v>
      </c>
      <c r="K711" s="112">
        <v>4</v>
      </c>
      <c r="L711" s="218" t="s">
        <v>1777</v>
      </c>
      <c r="M711" s="3"/>
    </row>
    <row r="712" spans="1:14" s="9" customFormat="1" ht="16.5">
      <c r="A712" s="21" t="s">
        <v>1539</v>
      </c>
      <c r="B712" s="21"/>
      <c r="C712" s="28" t="s">
        <v>1425</v>
      </c>
      <c r="D712" s="225"/>
      <c r="E712" s="21" t="s">
        <v>1522</v>
      </c>
      <c r="F712" s="22" t="s">
        <v>534</v>
      </c>
      <c r="G712" s="22" t="s">
        <v>1262</v>
      </c>
      <c r="H712" s="22" t="s">
        <v>1101</v>
      </c>
      <c r="I712" s="24">
        <v>1100</v>
      </c>
      <c r="J712" s="26" t="s">
        <v>1132</v>
      </c>
      <c r="K712" s="112">
        <v>3</v>
      </c>
      <c r="L712" s="218" t="s">
        <v>1761</v>
      </c>
      <c r="M712" s="3"/>
    </row>
    <row r="713" spans="1:14" s="9" customFormat="1" ht="33">
      <c r="A713" s="21" t="s">
        <v>1028</v>
      </c>
      <c r="B713" s="21"/>
      <c r="C713" s="28" t="s">
        <v>646</v>
      </c>
      <c r="D713" s="43" t="s">
        <v>320</v>
      </c>
      <c r="E713" s="21" t="s">
        <v>1521</v>
      </c>
      <c r="F713" s="22" t="s">
        <v>534</v>
      </c>
      <c r="G713" s="22" t="s">
        <v>1262</v>
      </c>
      <c r="H713" s="22" t="s">
        <v>1101</v>
      </c>
      <c r="I713" s="24">
        <v>1100</v>
      </c>
      <c r="J713" s="26" t="s">
        <v>1314</v>
      </c>
      <c r="K713" s="112">
        <v>3</v>
      </c>
      <c r="L713" s="218" t="s">
        <v>1761</v>
      </c>
      <c r="M713" s="3"/>
    </row>
    <row r="714" spans="1:14" s="9" customFormat="1" ht="33">
      <c r="A714" s="21" t="s">
        <v>648</v>
      </c>
      <c r="B714" s="21"/>
      <c r="C714" s="28" t="s">
        <v>647</v>
      </c>
      <c r="D714" s="43" t="s">
        <v>321</v>
      </c>
      <c r="E714" s="21" t="s">
        <v>1521</v>
      </c>
      <c r="F714" s="22" t="s">
        <v>534</v>
      </c>
      <c r="G714" s="22" t="s">
        <v>1262</v>
      </c>
      <c r="H714" s="22" t="s">
        <v>1101</v>
      </c>
      <c r="I714" s="24">
        <v>1110</v>
      </c>
      <c r="J714" s="26" t="s">
        <v>1315</v>
      </c>
      <c r="K714" s="112">
        <v>3</v>
      </c>
      <c r="L714" s="218" t="s">
        <v>1761</v>
      </c>
      <c r="M714" s="3"/>
    </row>
    <row r="715" spans="1:14" s="9" customFormat="1" ht="16.5">
      <c r="A715" s="21" t="s">
        <v>1539</v>
      </c>
      <c r="B715" s="21"/>
      <c r="C715" s="28" t="s">
        <v>1425</v>
      </c>
      <c r="D715" s="225"/>
      <c r="E715" s="21" t="s">
        <v>1522</v>
      </c>
      <c r="F715" s="22" t="s">
        <v>534</v>
      </c>
      <c r="G715" s="22" t="s">
        <v>1262</v>
      </c>
      <c r="H715" s="22" t="s">
        <v>1101</v>
      </c>
      <c r="I715" s="24">
        <v>1110</v>
      </c>
      <c r="J715" s="26" t="s">
        <v>1315</v>
      </c>
      <c r="K715" s="112">
        <v>3</v>
      </c>
      <c r="L715" s="218" t="s">
        <v>1761</v>
      </c>
      <c r="M715" s="3"/>
    </row>
    <row r="716" spans="1:14" s="9" customFormat="1" ht="16.5">
      <c r="A716" s="81" t="s">
        <v>384</v>
      </c>
      <c r="B716" s="192"/>
      <c r="C716" s="28" t="s">
        <v>1428</v>
      </c>
      <c r="D716" s="43" t="s">
        <v>2737</v>
      </c>
      <c r="E716" s="21" t="s">
        <v>1521</v>
      </c>
      <c r="F716" s="22" t="s">
        <v>70</v>
      </c>
      <c r="G716" s="22" t="s">
        <v>1262</v>
      </c>
      <c r="H716" s="22" t="s">
        <v>1101</v>
      </c>
      <c r="I716" s="199">
        <v>1700</v>
      </c>
      <c r="J716" s="26" t="s">
        <v>429</v>
      </c>
      <c r="K716" s="112">
        <v>3</v>
      </c>
      <c r="L716" s="218" t="s">
        <v>1761</v>
      </c>
      <c r="M716" s="3"/>
    </row>
    <row r="717" spans="1:14" s="9" customFormat="1" ht="20.25" customHeight="1">
      <c r="A717" s="21" t="s">
        <v>1539</v>
      </c>
      <c r="B717" s="21"/>
      <c r="C717" s="28" t="s">
        <v>1425</v>
      </c>
      <c r="D717" s="43" t="s">
        <v>2738</v>
      </c>
      <c r="E717" s="21" t="s">
        <v>1522</v>
      </c>
      <c r="F717" s="22" t="s">
        <v>70</v>
      </c>
      <c r="G717" s="22" t="s">
        <v>1262</v>
      </c>
      <c r="H717" s="22" t="s">
        <v>1101</v>
      </c>
      <c r="I717" s="199">
        <v>1700</v>
      </c>
      <c r="J717" s="26" t="s">
        <v>429</v>
      </c>
      <c r="K717" s="112">
        <v>3</v>
      </c>
      <c r="L717" s="218" t="s">
        <v>1780</v>
      </c>
      <c r="M717" s="3"/>
    </row>
    <row r="718" spans="1:14" s="9" customFormat="1" ht="16.5">
      <c r="A718" s="125" t="s">
        <v>1539</v>
      </c>
      <c r="B718" s="125"/>
      <c r="C718" s="256" t="s">
        <v>1425</v>
      </c>
      <c r="D718" s="123" t="s">
        <v>2671</v>
      </c>
      <c r="E718" s="125" t="s">
        <v>1522</v>
      </c>
      <c r="F718" s="131" t="s">
        <v>1331</v>
      </c>
      <c r="G718" s="131" t="s">
        <v>1262</v>
      </c>
      <c r="H718" s="131" t="s">
        <v>2669</v>
      </c>
      <c r="I718" s="133">
        <v>1120</v>
      </c>
      <c r="J718" s="134" t="s">
        <v>2670</v>
      </c>
      <c r="K718" s="131" t="s">
        <v>753</v>
      </c>
      <c r="L718" s="295" t="s">
        <v>1761</v>
      </c>
      <c r="M718" s="289"/>
    </row>
    <row r="719" spans="1:14" s="9" customFormat="1" ht="16.5">
      <c r="A719" s="45" t="s">
        <v>230</v>
      </c>
      <c r="B719" s="45"/>
      <c r="C719" s="28" t="s">
        <v>296</v>
      </c>
      <c r="D719" s="43"/>
      <c r="E719" s="21" t="s">
        <v>1522</v>
      </c>
      <c r="F719" s="22" t="s">
        <v>534</v>
      </c>
      <c r="G719" s="22" t="s">
        <v>1262</v>
      </c>
      <c r="H719" s="22" t="s">
        <v>911</v>
      </c>
      <c r="I719" s="24">
        <v>1010</v>
      </c>
      <c r="J719" s="26" t="s">
        <v>852</v>
      </c>
      <c r="K719" s="110" t="s">
        <v>753</v>
      </c>
      <c r="L719" s="218" t="s">
        <v>1780</v>
      </c>
      <c r="M719" s="3"/>
      <c r="N719" s="3"/>
    </row>
    <row r="720" spans="1:14" s="9" customFormat="1" ht="16.5">
      <c r="A720" s="45" t="s">
        <v>500</v>
      </c>
      <c r="B720" s="45"/>
      <c r="C720" s="28" t="s">
        <v>1441</v>
      </c>
      <c r="D720" s="43"/>
      <c r="E720" s="21" t="s">
        <v>1521</v>
      </c>
      <c r="F720" s="22" t="s">
        <v>1331</v>
      </c>
      <c r="G720" s="22" t="s">
        <v>1262</v>
      </c>
      <c r="H720" s="22" t="s">
        <v>501</v>
      </c>
      <c r="I720" s="199">
        <v>1010</v>
      </c>
      <c r="J720" s="26" t="s">
        <v>398</v>
      </c>
      <c r="K720" s="112">
        <v>1</v>
      </c>
      <c r="L720" s="218" t="s">
        <v>1780</v>
      </c>
      <c r="M720" s="3"/>
    </row>
    <row r="721" spans="1:14" s="9" customFormat="1" ht="16.5">
      <c r="A721" s="45" t="s">
        <v>51</v>
      </c>
      <c r="B721" s="45"/>
      <c r="C721" s="28" t="s">
        <v>979</v>
      </c>
      <c r="D721" s="43" t="s">
        <v>1050</v>
      </c>
      <c r="E721" s="21" t="s">
        <v>1522</v>
      </c>
      <c r="F721" s="22"/>
      <c r="G721" s="22" t="s">
        <v>1262</v>
      </c>
      <c r="H721" s="22" t="s">
        <v>455</v>
      </c>
      <c r="I721" s="199">
        <v>1010</v>
      </c>
      <c r="J721" s="26" t="s">
        <v>1115</v>
      </c>
      <c r="K721" s="110" t="s">
        <v>640</v>
      </c>
      <c r="L721" s="218" t="s">
        <v>1781</v>
      </c>
      <c r="M721" s="3"/>
    </row>
    <row r="722" spans="1:14" s="9" customFormat="1" ht="33">
      <c r="A722" s="45" t="s">
        <v>50</v>
      </c>
      <c r="B722" s="45"/>
      <c r="C722" s="28" t="s">
        <v>1062</v>
      </c>
      <c r="D722" s="43" t="s">
        <v>1051</v>
      </c>
      <c r="E722" s="21" t="s">
        <v>1522</v>
      </c>
      <c r="F722" s="22" t="s">
        <v>845</v>
      </c>
      <c r="G722" s="22" t="s">
        <v>1262</v>
      </c>
      <c r="H722" s="22" t="s">
        <v>455</v>
      </c>
      <c r="I722" s="24">
        <v>1030</v>
      </c>
      <c r="J722" s="26" t="s">
        <v>1116</v>
      </c>
      <c r="K722" s="112">
        <v>4</v>
      </c>
      <c r="L722" s="218"/>
      <c r="M722" s="3"/>
    </row>
    <row r="723" spans="1:14" s="9" customFormat="1" ht="33">
      <c r="A723" s="45" t="s">
        <v>49</v>
      </c>
      <c r="B723" s="45"/>
      <c r="C723" s="28" t="s">
        <v>957</v>
      </c>
      <c r="D723" s="43" t="s">
        <v>1052</v>
      </c>
      <c r="E723" s="21" t="s">
        <v>1522</v>
      </c>
      <c r="F723" s="22" t="s">
        <v>845</v>
      </c>
      <c r="G723" s="22" t="s">
        <v>1262</v>
      </c>
      <c r="H723" s="22" t="s">
        <v>455</v>
      </c>
      <c r="I723" s="24">
        <v>1040</v>
      </c>
      <c r="J723" s="26" t="s">
        <v>1316</v>
      </c>
      <c r="K723" s="110" t="s">
        <v>642</v>
      </c>
      <c r="L723" s="218"/>
      <c r="M723" s="3"/>
      <c r="N723" s="3"/>
    </row>
    <row r="724" spans="1:14" s="9" customFormat="1" ht="33">
      <c r="A724" s="45" t="s">
        <v>1488</v>
      </c>
      <c r="B724" s="45"/>
      <c r="C724" s="28" t="s">
        <v>980</v>
      </c>
      <c r="D724" s="43" t="s">
        <v>1052</v>
      </c>
      <c r="E724" s="21" t="s">
        <v>1522</v>
      </c>
      <c r="F724" s="22" t="s">
        <v>845</v>
      </c>
      <c r="G724" s="22" t="s">
        <v>1262</v>
      </c>
      <c r="H724" s="22" t="s">
        <v>455</v>
      </c>
      <c r="I724" s="199">
        <v>1050</v>
      </c>
      <c r="J724" s="26" t="s">
        <v>1118</v>
      </c>
      <c r="K724" s="112">
        <v>4</v>
      </c>
      <c r="L724" s="218"/>
      <c r="M724" s="3"/>
      <c r="N724" s="8"/>
    </row>
    <row r="725" spans="1:14" s="9" customFormat="1" ht="33">
      <c r="A725" s="45" t="s">
        <v>50</v>
      </c>
      <c r="B725" s="45"/>
      <c r="C725" s="28" t="s">
        <v>1062</v>
      </c>
      <c r="D725" s="43" t="s">
        <v>1052</v>
      </c>
      <c r="E725" s="21" t="s">
        <v>1522</v>
      </c>
      <c r="F725" s="22"/>
      <c r="G725" s="22" t="s">
        <v>1262</v>
      </c>
      <c r="H725" s="22" t="s">
        <v>455</v>
      </c>
      <c r="I725" s="24">
        <v>1060</v>
      </c>
      <c r="J725" s="26" t="s">
        <v>1120</v>
      </c>
      <c r="K725" s="110" t="s">
        <v>753</v>
      </c>
      <c r="L725" s="218" t="s">
        <v>1780</v>
      </c>
      <c r="M725" s="3"/>
      <c r="N725" s="8"/>
    </row>
    <row r="726" spans="1:14" s="9" customFormat="1" ht="49.5">
      <c r="A726" s="21" t="s">
        <v>1487</v>
      </c>
      <c r="B726" s="21"/>
      <c r="C726" s="28" t="s">
        <v>180</v>
      </c>
      <c r="D726" s="43" t="s">
        <v>1607</v>
      </c>
      <c r="E726" s="21" t="s">
        <v>1522</v>
      </c>
      <c r="F726" s="22"/>
      <c r="G726" s="22" t="s">
        <v>1262</v>
      </c>
      <c r="H726" s="22" t="s">
        <v>1113</v>
      </c>
      <c r="I726" s="67">
        <v>1210</v>
      </c>
      <c r="J726" s="26" t="s">
        <v>841</v>
      </c>
      <c r="K726" s="110" t="s">
        <v>642</v>
      </c>
      <c r="L726" s="218" t="s">
        <v>1781</v>
      </c>
      <c r="M726" s="3"/>
    </row>
    <row r="727" spans="1:14" s="9" customFormat="1" ht="69" customHeight="1">
      <c r="A727" s="21" t="s">
        <v>1487</v>
      </c>
      <c r="B727" s="21"/>
      <c r="C727" s="28" t="s">
        <v>180</v>
      </c>
      <c r="D727" s="43" t="s">
        <v>1608</v>
      </c>
      <c r="E727" s="21" t="s">
        <v>1522</v>
      </c>
      <c r="F727" s="22"/>
      <c r="G727" s="22" t="s">
        <v>1262</v>
      </c>
      <c r="H727" s="22" t="s">
        <v>1113</v>
      </c>
      <c r="I727" s="67">
        <v>1220</v>
      </c>
      <c r="J727" s="26" t="s">
        <v>350</v>
      </c>
      <c r="K727" s="110" t="s">
        <v>642</v>
      </c>
      <c r="L727" s="218" t="s">
        <v>1761</v>
      </c>
      <c r="M727" s="3"/>
    </row>
    <row r="728" spans="1:14" s="9" customFormat="1" ht="16.5">
      <c r="A728" s="21" t="s">
        <v>1487</v>
      </c>
      <c r="B728" s="21"/>
      <c r="C728" s="28" t="s">
        <v>180</v>
      </c>
      <c r="D728" s="43" t="s">
        <v>1609</v>
      </c>
      <c r="E728" s="21" t="s">
        <v>1522</v>
      </c>
      <c r="F728" s="22"/>
      <c r="G728" s="22" t="s">
        <v>1262</v>
      </c>
      <c r="H728" s="22" t="s">
        <v>1113</v>
      </c>
      <c r="I728" s="67">
        <v>2210</v>
      </c>
      <c r="J728" s="26" t="s">
        <v>1605</v>
      </c>
      <c r="K728" s="110" t="s">
        <v>642</v>
      </c>
      <c r="L728" s="218"/>
      <c r="M728" s="3"/>
    </row>
    <row r="729" spans="1:14" s="9" customFormat="1" ht="16.5">
      <c r="A729" s="45" t="s">
        <v>52</v>
      </c>
      <c r="B729" s="45"/>
      <c r="C729" s="28" t="s">
        <v>181</v>
      </c>
      <c r="D729" s="43"/>
      <c r="E729" s="21" t="s">
        <v>1521</v>
      </c>
      <c r="F729" s="22" t="s">
        <v>1330</v>
      </c>
      <c r="G729" s="22" t="s">
        <v>1262</v>
      </c>
      <c r="H729" s="22" t="s">
        <v>1124</v>
      </c>
      <c r="I729" s="199">
        <v>1010</v>
      </c>
      <c r="J729" s="26" t="s">
        <v>143</v>
      </c>
      <c r="K729" s="112">
        <v>3</v>
      </c>
      <c r="L729" s="218"/>
      <c r="M729" s="3"/>
    </row>
    <row r="730" spans="1:14" s="9" customFormat="1" ht="16.5">
      <c r="A730" s="45" t="s">
        <v>53</v>
      </c>
      <c r="B730" s="90"/>
      <c r="C730" s="28" t="s">
        <v>182</v>
      </c>
      <c r="D730" s="43" t="s">
        <v>323</v>
      </c>
      <c r="E730" s="21" t="s">
        <v>1521</v>
      </c>
      <c r="F730" s="22"/>
      <c r="G730" s="22" t="s">
        <v>1262</v>
      </c>
      <c r="H730" s="22" t="s">
        <v>1124</v>
      </c>
      <c r="I730" s="199">
        <v>1410</v>
      </c>
      <c r="J730" s="26" t="s">
        <v>399</v>
      </c>
      <c r="K730" s="112">
        <v>2</v>
      </c>
      <c r="L730" s="218" t="s">
        <v>1780</v>
      </c>
      <c r="M730" s="3"/>
    </row>
    <row r="731" spans="1:14" s="9" customFormat="1" ht="16.5">
      <c r="A731" s="45" t="s">
        <v>1402</v>
      </c>
      <c r="B731" s="45"/>
      <c r="C731" s="28" t="s">
        <v>977</v>
      </c>
      <c r="D731" s="43" t="s">
        <v>323</v>
      </c>
      <c r="E731" s="21" t="s">
        <v>1521</v>
      </c>
      <c r="F731" s="22"/>
      <c r="G731" s="22" t="s">
        <v>1262</v>
      </c>
      <c r="H731" s="22" t="s">
        <v>1124</v>
      </c>
      <c r="I731" s="199">
        <v>3380</v>
      </c>
      <c r="J731" s="26" t="s">
        <v>400</v>
      </c>
      <c r="K731" s="110" t="s">
        <v>638</v>
      </c>
      <c r="L731" s="218"/>
      <c r="M731" s="3"/>
    </row>
    <row r="732" spans="1:14" s="9" customFormat="1" ht="16.5">
      <c r="A732" s="45" t="s">
        <v>743</v>
      </c>
      <c r="B732" s="45" t="s">
        <v>110</v>
      </c>
      <c r="C732" s="28" t="s">
        <v>184</v>
      </c>
      <c r="D732" s="43"/>
      <c r="E732" s="21" t="s">
        <v>1522</v>
      </c>
      <c r="F732" s="22" t="s">
        <v>540</v>
      </c>
      <c r="G732" s="22" t="s">
        <v>1262</v>
      </c>
      <c r="H732" s="22" t="s">
        <v>1264</v>
      </c>
      <c r="I732" s="23">
        <v>1020</v>
      </c>
      <c r="J732" s="26" t="s">
        <v>1317</v>
      </c>
      <c r="K732" s="112">
        <v>3</v>
      </c>
      <c r="L732" s="218"/>
      <c r="M732" s="3"/>
    </row>
    <row r="733" spans="1:14" s="9" customFormat="1" ht="16.5">
      <c r="A733" s="58" t="s">
        <v>737</v>
      </c>
      <c r="B733" s="58"/>
      <c r="C733" s="59" t="s">
        <v>1067</v>
      </c>
      <c r="D733" s="60"/>
      <c r="E733" s="58" t="s">
        <v>1522</v>
      </c>
      <c r="F733" s="61" t="s">
        <v>1332</v>
      </c>
      <c r="G733" s="22" t="s">
        <v>1262</v>
      </c>
      <c r="H733" s="61" t="s">
        <v>427</v>
      </c>
      <c r="I733" s="69">
        <v>1010</v>
      </c>
      <c r="J733" s="74" t="s">
        <v>867</v>
      </c>
      <c r="K733" s="110" t="s">
        <v>753</v>
      </c>
      <c r="L733" s="218" t="s">
        <v>1780</v>
      </c>
      <c r="M733" s="3"/>
    </row>
    <row r="734" spans="1:14" s="9" customFormat="1" ht="16.5">
      <c r="A734" s="21" t="s">
        <v>750</v>
      </c>
      <c r="B734" s="21"/>
      <c r="C734" s="28" t="s">
        <v>1068</v>
      </c>
      <c r="D734" s="43"/>
      <c r="E734" s="21" t="s">
        <v>1522</v>
      </c>
      <c r="F734" s="22"/>
      <c r="G734" s="22" t="s">
        <v>1262</v>
      </c>
      <c r="H734" s="122" t="s">
        <v>427</v>
      </c>
      <c r="I734" s="67">
        <v>1040</v>
      </c>
      <c r="J734" s="26" t="s">
        <v>269</v>
      </c>
      <c r="K734" s="110" t="s">
        <v>753</v>
      </c>
      <c r="L734" s="218"/>
      <c r="M734" s="3"/>
    </row>
    <row r="735" spans="1:14" s="9" customFormat="1" ht="16.5">
      <c r="A735" s="21" t="s">
        <v>2</v>
      </c>
      <c r="B735" s="21"/>
      <c r="C735" s="28" t="s">
        <v>981</v>
      </c>
      <c r="D735" s="102"/>
      <c r="E735" s="21" t="s">
        <v>1521</v>
      </c>
      <c r="F735" s="22" t="s">
        <v>70</v>
      </c>
      <c r="G735" s="22" t="s">
        <v>1262</v>
      </c>
      <c r="H735" s="22" t="s">
        <v>196</v>
      </c>
      <c r="I735" s="24">
        <v>1100</v>
      </c>
      <c r="J735" s="26" t="s">
        <v>389</v>
      </c>
      <c r="K735" s="110" t="s">
        <v>753</v>
      </c>
      <c r="L735" s="218"/>
      <c r="M735" s="3"/>
    </row>
    <row r="736" spans="1:14" s="9" customFormat="1" ht="16.5">
      <c r="A736" s="45" t="s">
        <v>1540</v>
      </c>
      <c r="B736" s="45"/>
      <c r="C736" s="28" t="s">
        <v>14</v>
      </c>
      <c r="D736" s="43"/>
      <c r="E736" s="21" t="s">
        <v>1522</v>
      </c>
      <c r="F736" s="22" t="s">
        <v>1329</v>
      </c>
      <c r="G736" s="22" t="s">
        <v>1262</v>
      </c>
      <c r="H736" s="22" t="s">
        <v>343</v>
      </c>
      <c r="I736" s="199">
        <v>1010</v>
      </c>
      <c r="J736" s="26" t="s">
        <v>390</v>
      </c>
      <c r="K736" s="112">
        <v>3</v>
      </c>
      <c r="L736" s="218" t="s">
        <v>1761</v>
      </c>
      <c r="M736" s="3"/>
    </row>
    <row r="737" spans="1:14" s="9" customFormat="1" ht="16.5">
      <c r="A737" s="45" t="s">
        <v>523</v>
      </c>
      <c r="B737" s="21" t="s">
        <v>123</v>
      </c>
      <c r="C737" s="28" t="s">
        <v>1005</v>
      </c>
      <c r="D737" s="43"/>
      <c r="E737" s="21" t="s">
        <v>1522</v>
      </c>
      <c r="F737" s="22"/>
      <c r="G737" s="22" t="s">
        <v>1262</v>
      </c>
      <c r="H737" s="22" t="s">
        <v>403</v>
      </c>
      <c r="I737" s="24">
        <v>2300</v>
      </c>
      <c r="J737" s="26" t="s">
        <v>407</v>
      </c>
      <c r="K737" s="110" t="s">
        <v>904</v>
      </c>
      <c r="L737" s="218" t="s">
        <v>1780</v>
      </c>
      <c r="M737" s="3"/>
    </row>
    <row r="738" spans="1:14" s="9" customFormat="1" ht="16.5">
      <c r="A738" s="45" t="s">
        <v>602</v>
      </c>
      <c r="B738" s="45"/>
      <c r="C738" s="28" t="s">
        <v>253</v>
      </c>
      <c r="D738" s="43"/>
      <c r="E738" s="21" t="s">
        <v>1522</v>
      </c>
      <c r="F738" s="22" t="s">
        <v>1329</v>
      </c>
      <c r="G738" s="22" t="s">
        <v>1262</v>
      </c>
      <c r="H738" s="22" t="s">
        <v>461</v>
      </c>
      <c r="I738" s="199">
        <v>1010</v>
      </c>
      <c r="J738" s="26" t="s">
        <v>147</v>
      </c>
      <c r="K738" s="112">
        <v>3</v>
      </c>
      <c r="L738" s="218"/>
      <c r="M738" s="3"/>
    </row>
    <row r="739" spans="1:14" s="9" customFormat="1" ht="66">
      <c r="A739" s="21" t="s">
        <v>1633</v>
      </c>
      <c r="B739" s="21"/>
      <c r="C739" s="28" t="s">
        <v>1634</v>
      </c>
      <c r="D739" s="101" t="s">
        <v>1802</v>
      </c>
      <c r="E739" s="21" t="s">
        <v>1522</v>
      </c>
      <c r="F739" s="22"/>
      <c r="G739" s="22" t="s">
        <v>1262</v>
      </c>
      <c r="H739" s="22" t="s">
        <v>431</v>
      </c>
      <c r="I739" s="199">
        <v>1010</v>
      </c>
      <c r="J739" s="26" t="s">
        <v>661</v>
      </c>
      <c r="K739" s="112">
        <v>4</v>
      </c>
      <c r="L739" s="218" t="s">
        <v>1781</v>
      </c>
      <c r="M739" s="3"/>
      <c r="N739" s="1"/>
    </row>
    <row r="740" spans="1:14" s="9" customFormat="1" ht="16.5">
      <c r="A740" s="19" t="s">
        <v>1631</v>
      </c>
      <c r="B740" s="54"/>
      <c r="C740" s="28" t="s">
        <v>1632</v>
      </c>
      <c r="D740" s="43" t="s">
        <v>341</v>
      </c>
      <c r="E740" s="21" t="s">
        <v>1522</v>
      </c>
      <c r="F740" s="22"/>
      <c r="G740" s="22" t="s">
        <v>1262</v>
      </c>
      <c r="H740" s="22" t="s">
        <v>431</v>
      </c>
      <c r="I740" s="23">
        <v>1020</v>
      </c>
      <c r="J740" s="26" t="s">
        <v>662</v>
      </c>
      <c r="K740" s="112">
        <v>4</v>
      </c>
      <c r="L740" s="218" t="s">
        <v>1780</v>
      </c>
      <c r="M740" s="3"/>
      <c r="N740" s="1"/>
    </row>
    <row r="741" spans="1:14" s="9" customFormat="1" ht="16.5">
      <c r="A741" s="21" t="s">
        <v>1174</v>
      </c>
      <c r="B741" s="21"/>
      <c r="C741" s="28" t="s">
        <v>355</v>
      </c>
      <c r="D741" s="43"/>
      <c r="E741" s="21" t="s">
        <v>1521</v>
      </c>
      <c r="F741" s="22" t="s">
        <v>1330</v>
      </c>
      <c r="G741" s="22" t="s">
        <v>1262</v>
      </c>
      <c r="H741" s="22" t="s">
        <v>391</v>
      </c>
      <c r="I741" s="23">
        <v>1013</v>
      </c>
      <c r="J741" s="26" t="s">
        <v>1448</v>
      </c>
      <c r="K741" s="112">
        <v>3</v>
      </c>
      <c r="L741" s="218" t="s">
        <v>1767</v>
      </c>
      <c r="M741" s="3"/>
      <c r="N741" s="1"/>
    </row>
    <row r="742" spans="1:14" s="9" customFormat="1" ht="16.5">
      <c r="A742" s="45" t="s">
        <v>1356</v>
      </c>
      <c r="B742" s="45"/>
      <c r="C742" s="28" t="s">
        <v>976</v>
      </c>
      <c r="D742" s="43"/>
      <c r="E742" s="21" t="s">
        <v>1521</v>
      </c>
      <c r="F742" s="22" t="s">
        <v>1330</v>
      </c>
      <c r="G742" s="22" t="s">
        <v>1262</v>
      </c>
      <c r="H742" s="22" t="s">
        <v>391</v>
      </c>
      <c r="I742" s="24">
        <v>1033</v>
      </c>
      <c r="J742" s="26" t="s">
        <v>1318</v>
      </c>
      <c r="K742" s="112">
        <v>3</v>
      </c>
      <c r="L742" s="218" t="s">
        <v>1761</v>
      </c>
      <c r="M742" s="3"/>
    </row>
    <row r="743" spans="1:14" s="9" customFormat="1" ht="16.5">
      <c r="A743" s="125" t="s">
        <v>2644</v>
      </c>
      <c r="B743" s="125" t="s">
        <v>2664</v>
      </c>
      <c r="C743" s="256" t="s">
        <v>2645</v>
      </c>
      <c r="D743" s="123"/>
      <c r="E743" s="125" t="s">
        <v>1522</v>
      </c>
      <c r="F743" s="131"/>
      <c r="G743" s="131" t="s">
        <v>551</v>
      </c>
      <c r="H743" s="257" t="s">
        <v>1693</v>
      </c>
      <c r="I743" s="131" t="s">
        <v>1548</v>
      </c>
      <c r="J743" s="134" t="s">
        <v>2643</v>
      </c>
      <c r="K743" s="131" t="s">
        <v>637</v>
      </c>
      <c r="L743" s="295" t="s">
        <v>1761</v>
      </c>
      <c r="M743" s="289"/>
    </row>
    <row r="744" spans="1:14" s="9" customFormat="1" ht="16.5">
      <c r="A744" s="45" t="s">
        <v>386</v>
      </c>
      <c r="B744" s="45"/>
      <c r="C744" s="28" t="s">
        <v>816</v>
      </c>
      <c r="D744" s="43"/>
      <c r="E744" s="21" t="s">
        <v>1521</v>
      </c>
      <c r="F744" s="22" t="s">
        <v>1330</v>
      </c>
      <c r="G744" s="22" t="s">
        <v>551</v>
      </c>
      <c r="H744" s="22" t="s">
        <v>1529</v>
      </c>
      <c r="I744" s="24">
        <v>1010</v>
      </c>
      <c r="J744" s="26" t="s">
        <v>465</v>
      </c>
      <c r="K744" s="110" t="s">
        <v>753</v>
      </c>
      <c r="L744" s="218" t="s">
        <v>1761</v>
      </c>
      <c r="M744" s="3"/>
    </row>
    <row r="745" spans="1:14" s="9" customFormat="1" ht="16.5">
      <c r="A745" s="166" t="s">
        <v>226</v>
      </c>
      <c r="B745" s="166"/>
      <c r="C745" s="232" t="s">
        <v>153</v>
      </c>
      <c r="D745" s="101"/>
      <c r="E745" s="166" t="s">
        <v>1521</v>
      </c>
      <c r="F745" s="168"/>
      <c r="G745" s="22" t="s">
        <v>551</v>
      </c>
      <c r="H745" s="22" t="s">
        <v>1529</v>
      </c>
      <c r="I745" s="24">
        <v>2650</v>
      </c>
      <c r="J745" s="26" t="s">
        <v>1342</v>
      </c>
      <c r="K745" s="110" t="s">
        <v>753</v>
      </c>
      <c r="L745" s="218" t="s">
        <v>1761</v>
      </c>
      <c r="M745" s="3"/>
    </row>
    <row r="746" spans="1:14" s="9" customFormat="1" ht="16.5">
      <c r="A746" s="45" t="s">
        <v>34</v>
      </c>
      <c r="B746" s="45" t="s">
        <v>35</v>
      </c>
      <c r="C746" s="121" t="s">
        <v>987</v>
      </c>
      <c r="D746" s="43"/>
      <c r="E746" s="21" t="s">
        <v>1522</v>
      </c>
      <c r="F746" s="247" t="s">
        <v>1329</v>
      </c>
      <c r="G746" s="22" t="s">
        <v>551</v>
      </c>
      <c r="H746" s="22" t="s">
        <v>605</v>
      </c>
      <c r="I746" s="24">
        <v>2900</v>
      </c>
      <c r="J746" s="26" t="s">
        <v>1513</v>
      </c>
      <c r="K746" s="110" t="s">
        <v>753</v>
      </c>
      <c r="L746" s="218" t="s">
        <v>1780</v>
      </c>
      <c r="M746" s="3"/>
    </row>
    <row r="747" spans="1:14" s="9" customFormat="1" ht="16.5">
      <c r="A747" s="21" t="s">
        <v>312</v>
      </c>
      <c r="B747" s="21" t="s">
        <v>1450</v>
      </c>
      <c r="C747" s="28" t="s">
        <v>1131</v>
      </c>
      <c r="D747" s="43"/>
      <c r="E747" s="21" t="s">
        <v>1522</v>
      </c>
      <c r="F747" s="248"/>
      <c r="G747" s="22" t="s">
        <v>551</v>
      </c>
      <c r="H747" s="22" t="s">
        <v>2523</v>
      </c>
      <c r="I747" s="67">
        <v>1130</v>
      </c>
      <c r="J747" s="26" t="s">
        <v>1710</v>
      </c>
      <c r="K747" s="110" t="s">
        <v>637</v>
      </c>
      <c r="L747" s="218"/>
      <c r="M747" s="3"/>
    </row>
    <row r="748" spans="1:14" s="9" customFormat="1" ht="16.5">
      <c r="A748" s="21" t="s">
        <v>734</v>
      </c>
      <c r="B748" s="21"/>
      <c r="C748" s="28" t="s">
        <v>1077</v>
      </c>
      <c r="D748" s="43"/>
      <c r="E748" s="21" t="s">
        <v>1522</v>
      </c>
      <c r="F748" s="248" t="s">
        <v>540</v>
      </c>
      <c r="G748" s="22" t="s">
        <v>551</v>
      </c>
      <c r="H748" s="22" t="s">
        <v>283</v>
      </c>
      <c r="I748" s="67">
        <v>1010</v>
      </c>
      <c r="J748" s="26" t="s">
        <v>552</v>
      </c>
      <c r="K748" s="110" t="s">
        <v>753</v>
      </c>
      <c r="L748" s="218" t="s">
        <v>1780</v>
      </c>
      <c r="M748" s="3"/>
      <c r="N748" s="4"/>
    </row>
    <row r="749" spans="1:14" s="9" customFormat="1" ht="16.5">
      <c r="A749" s="21" t="s">
        <v>746</v>
      </c>
      <c r="B749" s="21"/>
      <c r="C749" s="28" t="s">
        <v>1058</v>
      </c>
      <c r="D749" s="43"/>
      <c r="E749" s="21" t="s">
        <v>1522</v>
      </c>
      <c r="F749" s="248" t="s">
        <v>1332</v>
      </c>
      <c r="G749" s="22" t="s">
        <v>551</v>
      </c>
      <c r="H749" s="22" t="s">
        <v>1541</v>
      </c>
      <c r="I749" s="67">
        <v>1010</v>
      </c>
      <c r="J749" s="26" t="s">
        <v>836</v>
      </c>
      <c r="K749" s="110" t="s">
        <v>753</v>
      </c>
      <c r="L749" s="218" t="s">
        <v>1786</v>
      </c>
      <c r="M749" s="3"/>
    </row>
    <row r="750" spans="1:14" s="9" customFormat="1" ht="33">
      <c r="A750" s="21" t="s">
        <v>548</v>
      </c>
      <c r="B750" s="21"/>
      <c r="C750" s="28" t="s">
        <v>1423</v>
      </c>
      <c r="D750" s="43"/>
      <c r="E750" s="21" t="s">
        <v>1522</v>
      </c>
      <c r="F750" s="249" t="s">
        <v>70</v>
      </c>
      <c r="G750" s="22" t="s">
        <v>551</v>
      </c>
      <c r="H750" s="22" t="s">
        <v>1088</v>
      </c>
      <c r="I750" s="67">
        <v>1500</v>
      </c>
      <c r="J750" s="26" t="s">
        <v>1273</v>
      </c>
      <c r="K750" s="112">
        <v>3</v>
      </c>
      <c r="L750" s="218" t="s">
        <v>1777</v>
      </c>
      <c r="M750" s="3"/>
      <c r="N750" s="8"/>
    </row>
    <row r="751" spans="1:14" s="9" customFormat="1" ht="16.5">
      <c r="A751" s="21" t="s">
        <v>1712</v>
      </c>
      <c r="B751" s="21"/>
      <c r="C751" s="28" t="s">
        <v>1711</v>
      </c>
      <c r="D751" s="219"/>
      <c r="E751" s="21" t="s">
        <v>1522</v>
      </c>
      <c r="F751" s="248" t="s">
        <v>533</v>
      </c>
      <c r="G751" s="22" t="s">
        <v>551</v>
      </c>
      <c r="H751" s="22" t="s">
        <v>1091</v>
      </c>
      <c r="I751" s="67">
        <v>1010</v>
      </c>
      <c r="J751" s="25" t="s">
        <v>1274</v>
      </c>
      <c r="K751" s="112">
        <v>3</v>
      </c>
      <c r="L751" s="218" t="s">
        <v>1780</v>
      </c>
      <c r="M751" s="3"/>
      <c r="N751" s="8"/>
    </row>
    <row r="752" spans="1:14" s="8" customFormat="1" ht="16.5">
      <c r="A752" s="21" t="s">
        <v>1861</v>
      </c>
      <c r="B752" s="21"/>
      <c r="C752" s="28" t="s">
        <v>1665</v>
      </c>
      <c r="D752" s="43"/>
      <c r="E752" s="21" t="s">
        <v>1522</v>
      </c>
      <c r="F752" s="248" t="s">
        <v>534</v>
      </c>
      <c r="G752" s="22" t="s">
        <v>551</v>
      </c>
      <c r="H752" s="22" t="s">
        <v>1091</v>
      </c>
      <c r="I752" s="67">
        <v>2200</v>
      </c>
      <c r="J752" s="26" t="s">
        <v>1301</v>
      </c>
      <c r="K752" s="112">
        <v>3</v>
      </c>
      <c r="L752" s="218" t="s">
        <v>1761</v>
      </c>
      <c r="M752" s="178"/>
    </row>
    <row r="753" spans="1:14" s="8" customFormat="1" ht="16.5">
      <c r="A753" s="21" t="s">
        <v>927</v>
      </c>
      <c r="B753" s="21" t="s">
        <v>135</v>
      </c>
      <c r="C753" s="28" t="s">
        <v>1440</v>
      </c>
      <c r="D753" s="43"/>
      <c r="E753" s="21" t="s">
        <v>1522</v>
      </c>
      <c r="F753" s="248"/>
      <c r="G753" s="22" t="s">
        <v>551</v>
      </c>
      <c r="H753" s="24" t="s">
        <v>1302</v>
      </c>
      <c r="I753" s="67">
        <v>1000</v>
      </c>
      <c r="J753" s="25" t="s">
        <v>1275</v>
      </c>
      <c r="K753" s="112">
        <v>2</v>
      </c>
      <c r="L753" s="218" t="s">
        <v>1761</v>
      </c>
      <c r="M753" s="3"/>
    </row>
    <row r="754" spans="1:14" s="8" customFormat="1" ht="16.5">
      <c r="A754" s="21" t="s">
        <v>307</v>
      </c>
      <c r="B754" s="21" t="s">
        <v>575</v>
      </c>
      <c r="C754" s="28" t="s">
        <v>1072</v>
      </c>
      <c r="D754" s="43"/>
      <c r="E754" s="21" t="s">
        <v>1522</v>
      </c>
      <c r="F754" s="248"/>
      <c r="G754" s="22" t="s">
        <v>551</v>
      </c>
      <c r="H754" s="22" t="s">
        <v>1210</v>
      </c>
      <c r="I754" s="67">
        <v>1200</v>
      </c>
      <c r="J754" s="26" t="s">
        <v>1472</v>
      </c>
      <c r="K754" s="110">
        <v>3</v>
      </c>
      <c r="L754" s="218" t="s">
        <v>1761</v>
      </c>
      <c r="M754" s="3"/>
    </row>
    <row r="755" spans="1:14" s="8" customFormat="1" ht="16.5">
      <c r="A755" s="21" t="s">
        <v>734</v>
      </c>
      <c r="B755" s="21"/>
      <c r="C755" s="28" t="s">
        <v>1077</v>
      </c>
      <c r="D755" s="43"/>
      <c r="E755" s="21" t="s">
        <v>1522</v>
      </c>
      <c r="F755" s="248" t="s">
        <v>1329</v>
      </c>
      <c r="G755" s="22" t="s">
        <v>551</v>
      </c>
      <c r="H755" s="22" t="s">
        <v>493</v>
      </c>
      <c r="I755" s="67">
        <v>1500</v>
      </c>
      <c r="J755" s="25" t="s">
        <v>73</v>
      </c>
      <c r="K755" s="112">
        <v>3</v>
      </c>
      <c r="L755" s="218" t="s">
        <v>1787</v>
      </c>
      <c r="M755" s="3"/>
    </row>
    <row r="756" spans="1:14" s="8" customFormat="1" ht="66">
      <c r="A756" s="21" t="s">
        <v>33</v>
      </c>
      <c r="B756" s="219"/>
      <c r="C756" s="43" t="s">
        <v>1626</v>
      </c>
      <c r="D756" s="101" t="s">
        <v>1802</v>
      </c>
      <c r="E756" s="21" t="s">
        <v>1522</v>
      </c>
      <c r="F756" s="248"/>
      <c r="G756" s="22" t="s">
        <v>551</v>
      </c>
      <c r="H756" s="22" t="s">
        <v>356</v>
      </c>
      <c r="I756" s="67">
        <v>1010</v>
      </c>
      <c r="J756" s="25" t="s">
        <v>1303</v>
      </c>
      <c r="K756" s="112">
        <v>4</v>
      </c>
      <c r="L756" s="218" t="s">
        <v>1761</v>
      </c>
      <c r="M756" s="3"/>
    </row>
    <row r="757" spans="1:14" s="8" customFormat="1" ht="16.5">
      <c r="A757" s="21" t="s">
        <v>1624</v>
      </c>
      <c r="B757" s="21"/>
      <c r="C757" s="43" t="s">
        <v>1625</v>
      </c>
      <c r="D757" s="43" t="s">
        <v>1432</v>
      </c>
      <c r="E757" s="21" t="s">
        <v>1522</v>
      </c>
      <c r="F757" s="248"/>
      <c r="G757" s="22" t="s">
        <v>551</v>
      </c>
      <c r="H757" s="22" t="s">
        <v>356</v>
      </c>
      <c r="I757" s="67">
        <v>1020</v>
      </c>
      <c r="J757" s="25" t="s">
        <v>1304</v>
      </c>
      <c r="K757" s="112">
        <v>4</v>
      </c>
      <c r="L757" s="218" t="s">
        <v>1761</v>
      </c>
      <c r="M757" s="3"/>
    </row>
    <row r="758" spans="1:14" s="8" customFormat="1" ht="66">
      <c r="A758" s="21" t="s">
        <v>1639</v>
      </c>
      <c r="B758" s="21"/>
      <c r="C758" s="43" t="s">
        <v>1640</v>
      </c>
      <c r="D758" s="101" t="s">
        <v>1802</v>
      </c>
      <c r="E758" s="21" t="s">
        <v>1522</v>
      </c>
      <c r="F758" s="22"/>
      <c r="G758" s="22" t="s">
        <v>551</v>
      </c>
      <c r="H758" s="22" t="s">
        <v>923</v>
      </c>
      <c r="I758" s="67">
        <v>1010</v>
      </c>
      <c r="J758" s="25" t="s">
        <v>1468</v>
      </c>
      <c r="K758" s="112">
        <v>4</v>
      </c>
      <c r="L758" s="218" t="s">
        <v>1761</v>
      </c>
      <c r="M758" s="3"/>
    </row>
    <row r="759" spans="1:14" s="8" customFormat="1" ht="16.5">
      <c r="A759" s="21" t="s">
        <v>1641</v>
      </c>
      <c r="B759" s="21"/>
      <c r="C759" s="43" t="s">
        <v>1642</v>
      </c>
      <c r="D759" s="43" t="s">
        <v>1049</v>
      </c>
      <c r="E759" s="21" t="s">
        <v>1522</v>
      </c>
      <c r="F759" s="22"/>
      <c r="G759" s="22" t="s">
        <v>551</v>
      </c>
      <c r="H759" s="22" t="s">
        <v>923</v>
      </c>
      <c r="I759" s="67">
        <v>1020</v>
      </c>
      <c r="J759" s="25" t="s">
        <v>1469</v>
      </c>
      <c r="K759" s="112">
        <v>4</v>
      </c>
      <c r="L759" s="218" t="s">
        <v>1761</v>
      </c>
      <c r="M759" s="3"/>
    </row>
    <row r="760" spans="1:14" s="8" customFormat="1" ht="33">
      <c r="A760" s="21" t="s">
        <v>1539</v>
      </c>
      <c r="B760" s="21"/>
      <c r="C760" s="28" t="s">
        <v>1425</v>
      </c>
      <c r="D760" s="226"/>
      <c r="E760" s="21" t="s">
        <v>1522</v>
      </c>
      <c r="F760" s="22" t="s">
        <v>534</v>
      </c>
      <c r="G760" s="22" t="s">
        <v>551</v>
      </c>
      <c r="H760" s="22" t="s">
        <v>1101</v>
      </c>
      <c r="I760" s="67">
        <v>1100</v>
      </c>
      <c r="J760" s="26" t="s">
        <v>1470</v>
      </c>
      <c r="K760" s="112">
        <v>3</v>
      </c>
      <c r="L760" s="218" t="s">
        <v>1787</v>
      </c>
      <c r="M760" s="3"/>
    </row>
    <row r="761" spans="1:14" s="8" customFormat="1" ht="33">
      <c r="A761" s="21" t="s">
        <v>1028</v>
      </c>
      <c r="B761" s="21"/>
      <c r="C761" s="28" t="s">
        <v>646</v>
      </c>
      <c r="D761" s="43" t="s">
        <v>329</v>
      </c>
      <c r="E761" s="21" t="s">
        <v>1521</v>
      </c>
      <c r="F761" s="22" t="s">
        <v>534</v>
      </c>
      <c r="G761" s="22" t="s">
        <v>551</v>
      </c>
      <c r="H761" s="22" t="s">
        <v>1101</v>
      </c>
      <c r="I761" s="67">
        <v>1100</v>
      </c>
      <c r="J761" s="26" t="s">
        <v>1470</v>
      </c>
      <c r="K761" s="112">
        <v>3</v>
      </c>
      <c r="L761" s="218" t="s">
        <v>1787</v>
      </c>
      <c r="M761" s="3"/>
    </row>
    <row r="762" spans="1:14" s="8" customFormat="1" ht="33">
      <c r="A762" s="21" t="s">
        <v>648</v>
      </c>
      <c r="B762" s="21"/>
      <c r="C762" s="28" t="s">
        <v>647</v>
      </c>
      <c r="D762" s="43" t="s">
        <v>330</v>
      </c>
      <c r="E762" s="21" t="s">
        <v>1521</v>
      </c>
      <c r="F762" s="22" t="s">
        <v>534</v>
      </c>
      <c r="G762" s="22" t="s">
        <v>551</v>
      </c>
      <c r="H762" s="22" t="s">
        <v>1101</v>
      </c>
      <c r="I762" s="67">
        <v>1110</v>
      </c>
      <c r="J762" s="25" t="s">
        <v>1471</v>
      </c>
      <c r="K762" s="112">
        <v>3</v>
      </c>
      <c r="L762" s="218" t="s">
        <v>1761</v>
      </c>
      <c r="M762" s="3"/>
    </row>
    <row r="763" spans="1:14" s="8" customFormat="1" ht="16.5">
      <c r="A763" s="21" t="s">
        <v>1539</v>
      </c>
      <c r="B763" s="21"/>
      <c r="C763" s="28" t="s">
        <v>1425</v>
      </c>
      <c r="D763" s="226"/>
      <c r="E763" s="21" t="s">
        <v>1522</v>
      </c>
      <c r="F763" s="22" t="s">
        <v>534</v>
      </c>
      <c r="G763" s="22" t="s">
        <v>551</v>
      </c>
      <c r="H763" s="22" t="s">
        <v>1101</v>
      </c>
      <c r="I763" s="67">
        <v>1110</v>
      </c>
      <c r="J763" s="25" t="s">
        <v>1471</v>
      </c>
      <c r="K763" s="112">
        <v>3</v>
      </c>
      <c r="L763" s="218" t="s">
        <v>1761</v>
      </c>
      <c r="M763" s="3"/>
    </row>
    <row r="764" spans="1:14" s="8" customFormat="1" ht="16.5">
      <c r="A764" s="21" t="s">
        <v>1539</v>
      </c>
      <c r="B764" s="21"/>
      <c r="C764" s="28" t="s">
        <v>1425</v>
      </c>
      <c r="D764" s="167" t="s">
        <v>1826</v>
      </c>
      <c r="E764" s="21" t="s">
        <v>1522</v>
      </c>
      <c r="F764" s="22" t="s">
        <v>70</v>
      </c>
      <c r="G764" s="22" t="s">
        <v>551</v>
      </c>
      <c r="H764" s="22" t="s">
        <v>1101</v>
      </c>
      <c r="I764" s="199">
        <v>1700</v>
      </c>
      <c r="J764" s="26" t="s">
        <v>429</v>
      </c>
      <c r="K764" s="112">
        <v>3</v>
      </c>
      <c r="L764" s="218" t="s">
        <v>1780</v>
      </c>
      <c r="M764" s="3"/>
    </row>
    <row r="765" spans="1:14" s="8" customFormat="1" ht="82.5">
      <c r="A765" s="21" t="s">
        <v>1488</v>
      </c>
      <c r="B765" s="21"/>
      <c r="C765" s="28" t="s">
        <v>980</v>
      </c>
      <c r="D765" s="46" t="s">
        <v>893</v>
      </c>
      <c r="E765" s="21" t="s">
        <v>1522</v>
      </c>
      <c r="F765" s="22" t="s">
        <v>845</v>
      </c>
      <c r="G765" s="22" t="s">
        <v>551</v>
      </c>
      <c r="H765" s="22" t="s">
        <v>455</v>
      </c>
      <c r="I765" s="67">
        <v>1050</v>
      </c>
      <c r="J765" s="26" t="s">
        <v>1118</v>
      </c>
      <c r="K765" s="112">
        <v>4</v>
      </c>
      <c r="L765" s="218" t="s">
        <v>1777</v>
      </c>
      <c r="M765" s="3"/>
    </row>
    <row r="766" spans="1:14" s="8" customFormat="1" ht="82.5">
      <c r="A766" s="21" t="s">
        <v>50</v>
      </c>
      <c r="B766" s="21"/>
      <c r="C766" s="28" t="s">
        <v>1062</v>
      </c>
      <c r="D766" s="46" t="s">
        <v>893</v>
      </c>
      <c r="E766" s="21" t="s">
        <v>1522</v>
      </c>
      <c r="F766" s="107"/>
      <c r="G766" s="22" t="s">
        <v>551</v>
      </c>
      <c r="H766" s="107" t="s">
        <v>455</v>
      </c>
      <c r="I766" s="108">
        <v>1060</v>
      </c>
      <c r="J766" s="109" t="s">
        <v>1120</v>
      </c>
      <c r="K766" s="115">
        <v>2</v>
      </c>
      <c r="L766" s="218" t="s">
        <v>1777</v>
      </c>
      <c r="M766" s="3"/>
    </row>
    <row r="767" spans="1:14" s="8" customFormat="1" ht="67.5" customHeight="1">
      <c r="A767" s="21" t="s">
        <v>52</v>
      </c>
      <c r="B767" s="21"/>
      <c r="C767" s="28" t="s">
        <v>181</v>
      </c>
      <c r="D767" s="43"/>
      <c r="E767" s="21" t="s">
        <v>1521</v>
      </c>
      <c r="F767" s="107" t="s">
        <v>1330</v>
      </c>
      <c r="G767" s="22" t="s">
        <v>551</v>
      </c>
      <c r="H767" s="107" t="s">
        <v>1124</v>
      </c>
      <c r="I767" s="108">
        <v>1010</v>
      </c>
      <c r="J767" s="95" t="s">
        <v>143</v>
      </c>
      <c r="K767" s="114">
        <v>3</v>
      </c>
      <c r="L767" s="218" t="s">
        <v>1761</v>
      </c>
      <c r="M767" s="3"/>
      <c r="N767" s="9"/>
    </row>
    <row r="768" spans="1:14" s="8" customFormat="1" ht="16.5">
      <c r="A768" s="21" t="s">
        <v>53</v>
      </c>
      <c r="B768" s="21"/>
      <c r="C768" s="28" t="s">
        <v>182</v>
      </c>
      <c r="D768" s="43"/>
      <c r="E768" s="21" t="s">
        <v>1521</v>
      </c>
      <c r="F768" s="22" t="s">
        <v>1330</v>
      </c>
      <c r="G768" s="22" t="s">
        <v>551</v>
      </c>
      <c r="H768" s="22" t="s">
        <v>1124</v>
      </c>
      <c r="I768" s="67">
        <v>1100</v>
      </c>
      <c r="J768" s="25" t="s">
        <v>1373</v>
      </c>
      <c r="K768" s="112">
        <v>3</v>
      </c>
      <c r="L768" s="218"/>
      <c r="M768" s="3"/>
      <c r="N768" s="9"/>
    </row>
    <row r="769" spans="1:13" s="8" customFormat="1" ht="72" customHeight="1">
      <c r="A769" s="21" t="s">
        <v>743</v>
      </c>
      <c r="B769" s="21" t="s">
        <v>110</v>
      </c>
      <c r="C769" s="28" t="s">
        <v>184</v>
      </c>
      <c r="D769" s="43"/>
      <c r="E769" s="21" t="s">
        <v>1522</v>
      </c>
      <c r="F769" s="22" t="s">
        <v>540</v>
      </c>
      <c r="G769" s="22" t="s">
        <v>551</v>
      </c>
      <c r="H769" s="22" t="s">
        <v>1264</v>
      </c>
      <c r="I769" s="67">
        <v>1020</v>
      </c>
      <c r="J769" s="26" t="s">
        <v>665</v>
      </c>
      <c r="K769" s="110" t="s">
        <v>753</v>
      </c>
      <c r="L769" s="218" t="s">
        <v>1780</v>
      </c>
      <c r="M769" s="3"/>
    </row>
    <row r="770" spans="1:13" s="8" customFormat="1" ht="16.5">
      <c r="A770" s="58" t="s">
        <v>849</v>
      </c>
      <c r="B770" s="58" t="s">
        <v>848</v>
      </c>
      <c r="C770" s="59" t="s">
        <v>847</v>
      </c>
      <c r="D770" s="60"/>
      <c r="E770" s="58" t="s">
        <v>1522</v>
      </c>
      <c r="F770" s="61"/>
      <c r="G770" s="22" t="s">
        <v>551</v>
      </c>
      <c r="H770" s="61" t="s">
        <v>1264</v>
      </c>
      <c r="I770" s="69">
        <v>3600</v>
      </c>
      <c r="J770" s="74" t="s">
        <v>894</v>
      </c>
      <c r="K770" s="110" t="s">
        <v>638</v>
      </c>
      <c r="L770" s="218" t="s">
        <v>1779</v>
      </c>
      <c r="M770" s="3"/>
    </row>
    <row r="771" spans="1:13" s="8" customFormat="1" ht="16.5">
      <c r="A771" s="21" t="s">
        <v>790</v>
      </c>
      <c r="B771" s="45" t="s">
        <v>92</v>
      </c>
      <c r="C771" s="28" t="s">
        <v>989</v>
      </c>
      <c r="D771" s="43"/>
      <c r="E771" s="21" t="s">
        <v>1522</v>
      </c>
      <c r="F771" s="22"/>
      <c r="G771" s="22" t="s">
        <v>551</v>
      </c>
      <c r="H771" s="22" t="s">
        <v>256</v>
      </c>
      <c r="I771" s="67">
        <v>1550</v>
      </c>
      <c r="J771" s="26" t="s">
        <v>895</v>
      </c>
      <c r="K771" s="110" t="s">
        <v>753</v>
      </c>
      <c r="L771" s="218" t="s">
        <v>1781</v>
      </c>
      <c r="M771" s="3"/>
    </row>
    <row r="772" spans="1:13" s="8" customFormat="1" ht="33">
      <c r="A772" s="21" t="s">
        <v>751</v>
      </c>
      <c r="B772" s="21"/>
      <c r="C772" s="28" t="s">
        <v>1429</v>
      </c>
      <c r="D772" s="227" t="s">
        <v>354</v>
      </c>
      <c r="E772" s="21" t="s">
        <v>1521</v>
      </c>
      <c r="F772" s="22" t="s">
        <v>1332</v>
      </c>
      <c r="G772" s="22" t="s">
        <v>551</v>
      </c>
      <c r="H772" s="22" t="s">
        <v>427</v>
      </c>
      <c r="I772" s="67">
        <v>1200</v>
      </c>
      <c r="J772" s="25" t="s">
        <v>1277</v>
      </c>
      <c r="K772" s="112">
        <v>4</v>
      </c>
      <c r="L772" s="218" t="s">
        <v>1761</v>
      </c>
      <c r="M772" s="3"/>
    </row>
    <row r="773" spans="1:13" s="8" customFormat="1" ht="16.5">
      <c r="A773" s="21" t="s">
        <v>383</v>
      </c>
      <c r="B773" s="21" t="s">
        <v>408</v>
      </c>
      <c r="C773" s="28" t="s">
        <v>985</v>
      </c>
      <c r="D773" s="43"/>
      <c r="E773" s="21" t="s">
        <v>1522</v>
      </c>
      <c r="F773" s="22" t="s">
        <v>540</v>
      </c>
      <c r="G773" s="22" t="s">
        <v>551</v>
      </c>
      <c r="H773" s="131" t="s">
        <v>2714</v>
      </c>
      <c r="I773" s="133">
        <v>1800</v>
      </c>
      <c r="J773" s="26" t="s">
        <v>1278</v>
      </c>
      <c r="K773" s="110" t="s">
        <v>753</v>
      </c>
      <c r="L773" s="218" t="s">
        <v>1761</v>
      </c>
      <c r="M773" s="272" t="s">
        <v>2618</v>
      </c>
    </row>
    <row r="774" spans="1:13" s="8" customFormat="1" ht="16.5">
      <c r="A774" s="21" t="s">
        <v>192</v>
      </c>
      <c r="B774" s="21" t="s">
        <v>85</v>
      </c>
      <c r="C774" s="28" t="s">
        <v>984</v>
      </c>
      <c r="D774" s="43"/>
      <c r="E774" s="21" t="s">
        <v>1522</v>
      </c>
      <c r="F774" s="22"/>
      <c r="G774" s="22" t="s">
        <v>551</v>
      </c>
      <c r="H774" s="131" t="s">
        <v>2714</v>
      </c>
      <c r="I774" s="67">
        <v>2900</v>
      </c>
      <c r="J774" s="26" t="s">
        <v>193</v>
      </c>
      <c r="K774" s="110" t="s">
        <v>185</v>
      </c>
      <c r="L774" s="218" t="s">
        <v>1761</v>
      </c>
      <c r="M774" s="272" t="s">
        <v>2713</v>
      </c>
    </row>
    <row r="775" spans="1:13" s="8" customFormat="1" ht="16.5">
      <c r="A775" s="21" t="s">
        <v>195</v>
      </c>
      <c r="B775" s="21" t="s">
        <v>86</v>
      </c>
      <c r="C775" s="28" t="s">
        <v>986</v>
      </c>
      <c r="D775" s="43"/>
      <c r="E775" s="21" t="s">
        <v>1522</v>
      </c>
      <c r="F775" s="22"/>
      <c r="G775" s="22" t="s">
        <v>551</v>
      </c>
      <c r="H775" s="131" t="s">
        <v>2714</v>
      </c>
      <c r="I775" s="67">
        <v>2900</v>
      </c>
      <c r="J775" s="26" t="s">
        <v>193</v>
      </c>
      <c r="K775" s="110" t="s">
        <v>185</v>
      </c>
      <c r="L775" s="218" t="s">
        <v>1761</v>
      </c>
      <c r="M775" s="272" t="s">
        <v>2713</v>
      </c>
    </row>
    <row r="776" spans="1:13" s="8" customFormat="1" ht="16.5">
      <c r="A776" s="21" t="s">
        <v>2</v>
      </c>
      <c r="B776" s="21"/>
      <c r="C776" s="28" t="s">
        <v>981</v>
      </c>
      <c r="D776" s="43"/>
      <c r="E776" s="21" t="s">
        <v>1521</v>
      </c>
      <c r="F776" s="22" t="s">
        <v>70</v>
      </c>
      <c r="G776" s="22" t="s">
        <v>551</v>
      </c>
      <c r="H776" s="22" t="s">
        <v>196</v>
      </c>
      <c r="I776" s="67">
        <v>1100</v>
      </c>
      <c r="J776" s="26" t="s">
        <v>257</v>
      </c>
      <c r="K776" s="112">
        <v>3</v>
      </c>
      <c r="L776" s="218" t="s">
        <v>1777</v>
      </c>
      <c r="M776" s="3"/>
    </row>
    <row r="777" spans="1:13" s="8" customFormat="1" ht="16.5">
      <c r="A777" s="21" t="s">
        <v>1540</v>
      </c>
      <c r="B777" s="21"/>
      <c r="C777" s="28" t="s">
        <v>14</v>
      </c>
      <c r="D777" s="43"/>
      <c r="E777" s="21" t="s">
        <v>1522</v>
      </c>
      <c r="F777" s="22" t="s">
        <v>1329</v>
      </c>
      <c r="G777" s="22" t="s">
        <v>551</v>
      </c>
      <c r="H777" s="22" t="s">
        <v>343</v>
      </c>
      <c r="I777" s="67">
        <v>1010</v>
      </c>
      <c r="J777" s="25" t="s">
        <v>390</v>
      </c>
      <c r="K777" s="112">
        <v>3</v>
      </c>
      <c r="L777" s="218" t="s">
        <v>1777</v>
      </c>
      <c r="M777" s="3"/>
    </row>
    <row r="778" spans="1:13" s="8" customFormat="1" ht="66">
      <c r="A778" s="21" t="s">
        <v>1635</v>
      </c>
      <c r="B778" s="21"/>
      <c r="C778" s="43" t="s">
        <v>1636</v>
      </c>
      <c r="D778" s="101" t="s">
        <v>1802</v>
      </c>
      <c r="E778" s="21" t="s">
        <v>1522</v>
      </c>
      <c r="F778" s="22"/>
      <c r="G778" s="22" t="s">
        <v>551</v>
      </c>
      <c r="H778" s="22" t="s">
        <v>1409</v>
      </c>
      <c r="I778" s="67">
        <v>1010</v>
      </c>
      <c r="J778" s="26" t="s">
        <v>186</v>
      </c>
      <c r="K778" s="110" t="s">
        <v>642</v>
      </c>
      <c r="L778" s="218" t="s">
        <v>1761</v>
      </c>
      <c r="M778" s="3"/>
    </row>
    <row r="779" spans="1:13" s="8" customFormat="1" ht="16.5">
      <c r="A779" s="21" t="s">
        <v>1637</v>
      </c>
      <c r="B779" s="21"/>
      <c r="C779" s="43" t="s">
        <v>1638</v>
      </c>
      <c r="D779" s="43" t="s">
        <v>1643</v>
      </c>
      <c r="E779" s="21" t="s">
        <v>1522</v>
      </c>
      <c r="F779" s="22"/>
      <c r="G779" s="22" t="s">
        <v>551</v>
      </c>
      <c r="H779" s="22" t="s">
        <v>1409</v>
      </c>
      <c r="I779" s="67">
        <v>1020</v>
      </c>
      <c r="J779" s="26" t="s">
        <v>1461</v>
      </c>
      <c r="K779" s="110" t="s">
        <v>642</v>
      </c>
      <c r="L779" s="218" t="s">
        <v>1761</v>
      </c>
      <c r="M779" s="3"/>
    </row>
    <row r="780" spans="1:13" s="8" customFormat="1" ht="16.5">
      <c r="A780" s="21" t="s">
        <v>602</v>
      </c>
      <c r="B780" s="21"/>
      <c r="C780" s="28" t="s">
        <v>253</v>
      </c>
      <c r="D780" s="43"/>
      <c r="E780" s="21" t="s">
        <v>1522</v>
      </c>
      <c r="F780" s="22" t="s">
        <v>1329</v>
      </c>
      <c r="G780" s="22" t="s">
        <v>551</v>
      </c>
      <c r="H780" s="22" t="s">
        <v>461</v>
      </c>
      <c r="I780" s="67">
        <v>1010</v>
      </c>
      <c r="J780" s="26" t="s">
        <v>198</v>
      </c>
      <c r="K780" s="112">
        <v>3</v>
      </c>
      <c r="L780" s="218" t="s">
        <v>1777</v>
      </c>
      <c r="M780" s="3"/>
    </row>
    <row r="781" spans="1:13" s="8" customFormat="1" ht="66">
      <c r="A781" s="21" t="s">
        <v>1633</v>
      </c>
      <c r="B781" s="21"/>
      <c r="C781" s="43" t="s">
        <v>1634</v>
      </c>
      <c r="D781" s="101" t="s">
        <v>1802</v>
      </c>
      <c r="E781" s="21" t="s">
        <v>1522</v>
      </c>
      <c r="F781" s="22"/>
      <c r="G781" s="22" t="s">
        <v>551</v>
      </c>
      <c r="H781" s="22" t="s">
        <v>431</v>
      </c>
      <c r="I781" s="67">
        <v>1010</v>
      </c>
      <c r="J781" s="25" t="s">
        <v>199</v>
      </c>
      <c r="K781" s="110">
        <v>4</v>
      </c>
      <c r="L781" s="218" t="s">
        <v>1777</v>
      </c>
      <c r="M781" s="3"/>
    </row>
    <row r="782" spans="1:13" s="8" customFormat="1" ht="16.5">
      <c r="A782" s="21" t="s">
        <v>1631</v>
      </c>
      <c r="B782" s="21"/>
      <c r="C782" s="43" t="s">
        <v>1632</v>
      </c>
      <c r="D782" s="43" t="s">
        <v>1054</v>
      </c>
      <c r="E782" s="21" t="s">
        <v>1522</v>
      </c>
      <c r="F782" s="22"/>
      <c r="G782" s="107" t="s">
        <v>551</v>
      </c>
      <c r="H782" s="107" t="s">
        <v>431</v>
      </c>
      <c r="I782" s="108">
        <v>1020</v>
      </c>
      <c r="J782" s="109" t="s">
        <v>710</v>
      </c>
      <c r="K782" s="114">
        <v>4</v>
      </c>
      <c r="L782" s="218" t="s">
        <v>1777</v>
      </c>
      <c r="M782" s="3"/>
    </row>
    <row r="783" spans="1:13" s="8" customFormat="1" ht="16.5">
      <c r="A783" s="21" t="s">
        <v>1175</v>
      </c>
      <c r="B783" s="21"/>
      <c r="C783" s="28" t="s">
        <v>288</v>
      </c>
      <c r="D783" s="43"/>
      <c r="E783" s="21" t="s">
        <v>1522</v>
      </c>
      <c r="F783" s="22"/>
      <c r="G783" s="107" t="s">
        <v>551</v>
      </c>
      <c r="H783" s="107" t="s">
        <v>712</v>
      </c>
      <c r="I783" s="280">
        <v>1020</v>
      </c>
      <c r="J783" s="95" t="s">
        <v>711</v>
      </c>
      <c r="K783" s="262">
        <v>3</v>
      </c>
      <c r="L783" s="218" t="s">
        <v>1777</v>
      </c>
      <c r="M783" s="3"/>
    </row>
    <row r="784" spans="1:13" ht="18" customHeight="1">
      <c r="A784" s="195" t="s">
        <v>1175</v>
      </c>
      <c r="B784" s="195"/>
      <c r="C784" s="196" t="s">
        <v>288</v>
      </c>
      <c r="D784" s="197"/>
      <c r="E784" s="195" t="s">
        <v>1522</v>
      </c>
      <c r="F784" s="195"/>
      <c r="G784" s="198" t="s">
        <v>551</v>
      </c>
      <c r="H784" s="198" t="s">
        <v>712</v>
      </c>
      <c r="I784" s="281">
        <v>2110</v>
      </c>
      <c r="J784" s="95" t="s">
        <v>1459</v>
      </c>
      <c r="K784" s="262">
        <v>3</v>
      </c>
      <c r="L784" s="186"/>
      <c r="M784" s="272"/>
    </row>
    <row r="785" spans="1:14" s="8" customFormat="1" ht="33">
      <c r="A785" s="21" t="s">
        <v>1212</v>
      </c>
      <c r="B785" s="21"/>
      <c r="C785" s="28" t="s">
        <v>1674</v>
      </c>
      <c r="D785" s="294" t="s">
        <v>2735</v>
      </c>
      <c r="E785" s="21" t="s">
        <v>1522</v>
      </c>
      <c r="F785" s="22"/>
      <c r="G785" s="107" t="s">
        <v>551</v>
      </c>
      <c r="H785" s="107" t="s">
        <v>715</v>
      </c>
      <c r="I785" s="282">
        <v>1000</v>
      </c>
      <c r="J785" s="95" t="s">
        <v>714</v>
      </c>
      <c r="K785" s="107" t="s">
        <v>637</v>
      </c>
      <c r="L785" s="218" t="s">
        <v>1761</v>
      </c>
      <c r="M785" s="236"/>
    </row>
    <row r="786" spans="1:14" s="8" customFormat="1" ht="16.5">
      <c r="A786" s="21" t="s">
        <v>44</v>
      </c>
      <c r="B786" s="21"/>
      <c r="C786" s="28" t="s">
        <v>1305</v>
      </c>
      <c r="D786" s="43"/>
      <c r="E786" s="21" t="s">
        <v>1522</v>
      </c>
      <c r="F786" s="22"/>
      <c r="G786" s="122" t="s">
        <v>551</v>
      </c>
      <c r="H786" s="22" t="s">
        <v>1844</v>
      </c>
      <c r="I786" s="67" t="s">
        <v>1528</v>
      </c>
      <c r="J786" s="26" t="s">
        <v>1845</v>
      </c>
      <c r="K786" s="112">
        <v>3</v>
      </c>
      <c r="L786" s="157" t="s">
        <v>1761</v>
      </c>
      <c r="M786" s="175"/>
    </row>
    <row r="787" spans="1:14" s="8" customFormat="1" ht="16.5">
      <c r="A787" s="21" t="s">
        <v>1174</v>
      </c>
      <c r="B787" s="21"/>
      <c r="C787" s="28" t="s">
        <v>355</v>
      </c>
      <c r="D787" s="43"/>
      <c r="E787" s="21" t="s">
        <v>1521</v>
      </c>
      <c r="F787" s="22" t="s">
        <v>1330</v>
      </c>
      <c r="G787" s="22" t="s">
        <v>551</v>
      </c>
      <c r="H787" s="22" t="s">
        <v>391</v>
      </c>
      <c r="I787" s="67">
        <v>1013</v>
      </c>
      <c r="J787" s="25" t="s">
        <v>716</v>
      </c>
      <c r="K787" s="112">
        <v>3</v>
      </c>
      <c r="L787" s="218" t="s">
        <v>1788</v>
      </c>
      <c r="M787" s="175"/>
    </row>
    <row r="788" spans="1:14" s="8" customFormat="1" ht="16.5">
      <c r="A788" s="21" t="s">
        <v>1539</v>
      </c>
      <c r="B788" s="21"/>
      <c r="C788" s="28" t="s">
        <v>1425</v>
      </c>
      <c r="D788" s="43"/>
      <c r="E788" s="21" t="s">
        <v>1522</v>
      </c>
      <c r="F788" s="22" t="s">
        <v>70</v>
      </c>
      <c r="G788" s="22" t="s">
        <v>551</v>
      </c>
      <c r="H788" s="22" t="s">
        <v>551</v>
      </c>
      <c r="I788" s="67">
        <v>1300</v>
      </c>
      <c r="J788" s="26" t="s">
        <v>187</v>
      </c>
      <c r="K788" s="112">
        <v>3</v>
      </c>
      <c r="L788" s="218" t="s">
        <v>1777</v>
      </c>
      <c r="M788" s="3"/>
    </row>
    <row r="789" spans="1:14" s="8" customFormat="1" ht="16.5">
      <c r="A789" s="21" t="s">
        <v>1</v>
      </c>
      <c r="B789" s="21"/>
      <c r="C789" s="28" t="s">
        <v>1427</v>
      </c>
      <c r="D789" s="43"/>
      <c r="E789" s="21" t="s">
        <v>1521</v>
      </c>
      <c r="F789" s="22" t="s">
        <v>534</v>
      </c>
      <c r="G789" s="22" t="s">
        <v>551</v>
      </c>
      <c r="H789" s="22" t="s">
        <v>551</v>
      </c>
      <c r="I789" s="67">
        <v>1320</v>
      </c>
      <c r="J789" s="26" t="s">
        <v>718</v>
      </c>
      <c r="K789" s="112">
        <v>3</v>
      </c>
      <c r="L789" s="218" t="s">
        <v>1777</v>
      </c>
      <c r="M789" s="3"/>
    </row>
    <row r="790" spans="1:14" s="8" customFormat="1" ht="16.5">
      <c r="A790" s="21" t="s">
        <v>1356</v>
      </c>
      <c r="B790" s="21"/>
      <c r="C790" s="28" t="s">
        <v>976</v>
      </c>
      <c r="D790" s="43"/>
      <c r="E790" s="21" t="s">
        <v>1521</v>
      </c>
      <c r="F790" s="22" t="s">
        <v>1330</v>
      </c>
      <c r="G790" s="22" t="s">
        <v>551</v>
      </c>
      <c r="H790" s="22" t="s">
        <v>551</v>
      </c>
      <c r="I790" s="67">
        <v>1330</v>
      </c>
      <c r="J790" s="26" t="s">
        <v>719</v>
      </c>
      <c r="K790" s="112">
        <v>3</v>
      </c>
      <c r="L790" s="218" t="s">
        <v>1777</v>
      </c>
      <c r="M790" s="3"/>
      <c r="N790" s="1"/>
    </row>
    <row r="791" spans="1:14" s="8" customFormat="1" ht="16.5">
      <c r="A791" s="21" t="s">
        <v>734</v>
      </c>
      <c r="B791" s="21"/>
      <c r="C791" s="28" t="s">
        <v>1077</v>
      </c>
      <c r="D791" s="43"/>
      <c r="E791" s="21" t="s">
        <v>1522</v>
      </c>
      <c r="F791" s="22" t="s">
        <v>540</v>
      </c>
      <c r="G791" s="22" t="s">
        <v>551</v>
      </c>
      <c r="H791" s="22" t="s">
        <v>551</v>
      </c>
      <c r="I791" s="67">
        <v>1350</v>
      </c>
      <c r="J791" s="25" t="s">
        <v>720</v>
      </c>
      <c r="K791" s="112">
        <v>3</v>
      </c>
      <c r="L791" s="218" t="s">
        <v>1780</v>
      </c>
      <c r="M791" s="3"/>
      <c r="N791" s="1"/>
    </row>
    <row r="792" spans="1:14" s="8" customFormat="1" ht="72" customHeight="1">
      <c r="A792" s="21" t="s">
        <v>737</v>
      </c>
      <c r="B792" s="21"/>
      <c r="C792" s="28" t="s">
        <v>1067</v>
      </c>
      <c r="D792" s="43"/>
      <c r="E792" s="21" t="s">
        <v>1522</v>
      </c>
      <c r="F792" s="22" t="s">
        <v>1332</v>
      </c>
      <c r="G792" s="22" t="s">
        <v>551</v>
      </c>
      <c r="H792" s="22" t="s">
        <v>551</v>
      </c>
      <c r="I792" s="67">
        <v>1360</v>
      </c>
      <c r="J792" s="25" t="s">
        <v>1486</v>
      </c>
      <c r="K792" s="112">
        <v>3</v>
      </c>
      <c r="L792" s="218" t="s">
        <v>1777</v>
      </c>
      <c r="M792" s="3"/>
    </row>
    <row r="793" spans="1:14" s="8" customFormat="1" ht="33">
      <c r="A793" s="21" t="s">
        <v>736</v>
      </c>
      <c r="B793" s="21"/>
      <c r="C793" s="28" t="s">
        <v>609</v>
      </c>
      <c r="D793" s="43" t="s">
        <v>821</v>
      </c>
      <c r="E793" s="21" t="s">
        <v>1521</v>
      </c>
      <c r="F793" s="22" t="s">
        <v>1332</v>
      </c>
      <c r="G793" s="22" t="s">
        <v>797</v>
      </c>
      <c r="H793" s="22" t="s">
        <v>1541</v>
      </c>
      <c r="I793" s="67">
        <v>1210</v>
      </c>
      <c r="J793" s="26" t="s">
        <v>860</v>
      </c>
      <c r="K793" s="110" t="s">
        <v>642</v>
      </c>
      <c r="L793" s="218" t="s">
        <v>1761</v>
      </c>
      <c r="M793" s="3"/>
    </row>
    <row r="794" spans="1:14" s="8" customFormat="1" ht="16.5">
      <c r="A794" s="21" t="s">
        <v>746</v>
      </c>
      <c r="B794" s="21"/>
      <c r="C794" s="28" t="s">
        <v>1058</v>
      </c>
      <c r="D794" s="43" t="s">
        <v>393</v>
      </c>
      <c r="E794" s="21" t="s">
        <v>1522</v>
      </c>
      <c r="F794" s="22" t="s">
        <v>1332</v>
      </c>
      <c r="G794" s="22" t="s">
        <v>797</v>
      </c>
      <c r="H794" s="22" t="s">
        <v>1541</v>
      </c>
      <c r="I794" s="67">
        <v>1210</v>
      </c>
      <c r="J794" s="26" t="s">
        <v>860</v>
      </c>
      <c r="K794" s="110" t="s">
        <v>642</v>
      </c>
      <c r="L794" s="218" t="s">
        <v>1761</v>
      </c>
      <c r="M794" s="3"/>
      <c r="N794" s="4"/>
    </row>
    <row r="795" spans="1:14" s="8" customFormat="1" ht="69" customHeight="1">
      <c r="A795" s="21" t="s">
        <v>736</v>
      </c>
      <c r="B795" s="21"/>
      <c r="C795" s="28" t="s">
        <v>609</v>
      </c>
      <c r="D795" s="43" t="s">
        <v>1572</v>
      </c>
      <c r="E795" s="21" t="s">
        <v>1521</v>
      </c>
      <c r="F795" s="22"/>
      <c r="G795" s="22" t="s">
        <v>797</v>
      </c>
      <c r="H795" s="22" t="s">
        <v>1541</v>
      </c>
      <c r="I795" s="67">
        <v>1215</v>
      </c>
      <c r="J795" s="26" t="s">
        <v>188</v>
      </c>
      <c r="K795" s="110" t="s">
        <v>638</v>
      </c>
      <c r="L795" s="218" t="s">
        <v>1761</v>
      </c>
      <c r="M795" s="3"/>
    </row>
    <row r="796" spans="1:14" s="8" customFormat="1" ht="16.5">
      <c r="A796" s="21" t="s">
        <v>746</v>
      </c>
      <c r="B796" s="21"/>
      <c r="C796" s="28" t="s">
        <v>1058</v>
      </c>
      <c r="D796" s="43" t="s">
        <v>392</v>
      </c>
      <c r="E796" s="21" t="s">
        <v>1522</v>
      </c>
      <c r="F796" s="22" t="s">
        <v>1332</v>
      </c>
      <c r="G796" s="22" t="s">
        <v>797</v>
      </c>
      <c r="H796" s="22" t="s">
        <v>1541</v>
      </c>
      <c r="I796" s="67">
        <v>1220</v>
      </c>
      <c r="J796" s="26" t="s">
        <v>861</v>
      </c>
      <c r="K796" s="110" t="s">
        <v>642</v>
      </c>
      <c r="L796" s="218" t="s">
        <v>1761</v>
      </c>
      <c r="M796" s="3"/>
    </row>
    <row r="797" spans="1:14" s="8" customFormat="1" ht="33">
      <c r="A797" s="21" t="s">
        <v>736</v>
      </c>
      <c r="B797" s="21"/>
      <c r="C797" s="28" t="s">
        <v>609</v>
      </c>
      <c r="D797" s="43" t="s">
        <v>1203</v>
      </c>
      <c r="E797" s="21" t="s">
        <v>1521</v>
      </c>
      <c r="F797" s="22" t="s">
        <v>1332</v>
      </c>
      <c r="G797" s="22" t="s">
        <v>797</v>
      </c>
      <c r="H797" s="22" t="s">
        <v>1541</v>
      </c>
      <c r="I797" s="67">
        <v>1220</v>
      </c>
      <c r="J797" s="26" t="s">
        <v>861</v>
      </c>
      <c r="K797" s="110" t="s">
        <v>642</v>
      </c>
      <c r="L797" s="218" t="s">
        <v>1761</v>
      </c>
      <c r="M797" s="3"/>
    </row>
    <row r="798" spans="1:14" s="8" customFormat="1" ht="33">
      <c r="A798" s="21" t="s">
        <v>736</v>
      </c>
      <c r="B798" s="21"/>
      <c r="C798" s="28" t="s">
        <v>609</v>
      </c>
      <c r="D798" s="13" t="s">
        <v>1573</v>
      </c>
      <c r="E798" s="21" t="s">
        <v>1521</v>
      </c>
      <c r="F798" s="22"/>
      <c r="G798" s="22" t="s">
        <v>797</v>
      </c>
      <c r="H798" s="22" t="s">
        <v>1541</v>
      </c>
      <c r="I798" s="67">
        <v>1225</v>
      </c>
      <c r="J798" s="26" t="s">
        <v>189</v>
      </c>
      <c r="K798" s="110" t="s">
        <v>638</v>
      </c>
      <c r="L798" s="218" t="s">
        <v>1761</v>
      </c>
      <c r="M798" s="3"/>
    </row>
    <row r="799" spans="1:14" s="8" customFormat="1" ht="16.5">
      <c r="A799" s="21" t="s">
        <v>230</v>
      </c>
      <c r="B799" s="58"/>
      <c r="C799" s="59" t="s">
        <v>296</v>
      </c>
      <c r="D799" s="46"/>
      <c r="E799" s="58" t="s">
        <v>1522</v>
      </c>
      <c r="F799" s="22" t="s">
        <v>534</v>
      </c>
      <c r="G799" s="22" t="s">
        <v>797</v>
      </c>
      <c r="H799" s="61" t="s">
        <v>284</v>
      </c>
      <c r="I799" s="83">
        <v>2001</v>
      </c>
      <c r="J799" s="74" t="s">
        <v>2562</v>
      </c>
      <c r="K799" s="110" t="s">
        <v>753</v>
      </c>
      <c r="L799" s="218" t="s">
        <v>1761</v>
      </c>
      <c r="M799" s="3"/>
    </row>
    <row r="800" spans="1:14" s="8" customFormat="1" ht="33">
      <c r="A800" s="58" t="s">
        <v>50</v>
      </c>
      <c r="B800" s="58"/>
      <c r="C800" s="59" t="s">
        <v>1062</v>
      </c>
      <c r="D800" s="227" t="s">
        <v>553</v>
      </c>
      <c r="E800" s="58" t="s">
        <v>1522</v>
      </c>
      <c r="F800" s="61" t="s">
        <v>845</v>
      </c>
      <c r="G800" s="22" t="s">
        <v>797</v>
      </c>
      <c r="H800" s="61" t="s">
        <v>455</v>
      </c>
      <c r="I800" s="69">
        <v>1030</v>
      </c>
      <c r="J800" s="74" t="s">
        <v>1341</v>
      </c>
      <c r="K800" s="110" t="s">
        <v>753</v>
      </c>
      <c r="L800" s="218" t="s">
        <v>1761</v>
      </c>
      <c r="M800" s="3"/>
    </row>
    <row r="801" spans="1:13" s="8" customFormat="1" ht="33">
      <c r="A801" s="21" t="s">
        <v>1488</v>
      </c>
      <c r="B801" s="21"/>
      <c r="C801" s="28" t="s">
        <v>980</v>
      </c>
      <c r="D801" s="227" t="s">
        <v>553</v>
      </c>
      <c r="E801" s="21" t="s">
        <v>1522</v>
      </c>
      <c r="F801" s="22" t="s">
        <v>845</v>
      </c>
      <c r="G801" s="22" t="s">
        <v>797</v>
      </c>
      <c r="H801" s="22" t="s">
        <v>455</v>
      </c>
      <c r="I801" s="67">
        <v>1050</v>
      </c>
      <c r="J801" s="26" t="s">
        <v>1118</v>
      </c>
      <c r="K801" s="110" t="s">
        <v>642</v>
      </c>
      <c r="L801" s="218" t="s">
        <v>1761</v>
      </c>
      <c r="M801" s="3"/>
    </row>
    <row r="802" spans="1:13" s="8" customFormat="1" ht="42.75" customHeight="1">
      <c r="A802" s="21" t="s">
        <v>50</v>
      </c>
      <c r="B802" s="21"/>
      <c r="C802" s="28" t="s">
        <v>1062</v>
      </c>
      <c r="D802" s="227" t="s">
        <v>553</v>
      </c>
      <c r="E802" s="21" t="s">
        <v>1522</v>
      </c>
      <c r="F802" s="226"/>
      <c r="G802" s="22" t="s">
        <v>797</v>
      </c>
      <c r="H802" s="22" t="s">
        <v>455</v>
      </c>
      <c r="I802" s="67">
        <v>1060</v>
      </c>
      <c r="J802" s="26" t="s">
        <v>1120</v>
      </c>
      <c r="K802" s="110" t="s">
        <v>637</v>
      </c>
      <c r="L802" s="218" t="s">
        <v>1761</v>
      </c>
      <c r="M802" s="3"/>
    </row>
    <row r="803" spans="1:13" s="8" customFormat="1" ht="33">
      <c r="A803" s="21" t="s">
        <v>49</v>
      </c>
      <c r="B803" s="21"/>
      <c r="C803" s="28" t="s">
        <v>957</v>
      </c>
      <c r="D803" s="227" t="s">
        <v>553</v>
      </c>
      <c r="E803" s="21" t="s">
        <v>1522</v>
      </c>
      <c r="F803" s="22" t="s">
        <v>845</v>
      </c>
      <c r="G803" s="22" t="s">
        <v>797</v>
      </c>
      <c r="H803" s="22" t="s">
        <v>455</v>
      </c>
      <c r="I803" s="67">
        <v>1070</v>
      </c>
      <c r="J803" s="26" t="s">
        <v>1182</v>
      </c>
      <c r="K803" s="110" t="s">
        <v>753</v>
      </c>
      <c r="L803" s="218" t="s">
        <v>1761</v>
      </c>
      <c r="M803" s="3"/>
    </row>
    <row r="804" spans="1:13" s="8" customFormat="1" ht="33">
      <c r="A804" s="21" t="s">
        <v>1487</v>
      </c>
      <c r="B804" s="21"/>
      <c r="C804" s="28" t="s">
        <v>180</v>
      </c>
      <c r="D804" s="43" t="s">
        <v>1297</v>
      </c>
      <c r="E804" s="21" t="s">
        <v>1522</v>
      </c>
      <c r="F804" s="22"/>
      <c r="G804" s="22" t="s">
        <v>797</v>
      </c>
      <c r="H804" s="22" t="s">
        <v>455</v>
      </c>
      <c r="I804" s="67">
        <v>1210</v>
      </c>
      <c r="J804" s="26" t="s">
        <v>841</v>
      </c>
      <c r="K804" s="110" t="s">
        <v>642</v>
      </c>
      <c r="L804" s="218" t="s">
        <v>1761</v>
      </c>
      <c r="M804" s="3"/>
    </row>
    <row r="805" spans="1:13" s="8" customFormat="1" ht="16.5">
      <c r="A805" s="21" t="s">
        <v>1487</v>
      </c>
      <c r="B805" s="21"/>
      <c r="C805" s="28" t="s">
        <v>180</v>
      </c>
      <c r="D805" s="43" t="s">
        <v>338</v>
      </c>
      <c r="E805" s="21" t="s">
        <v>1522</v>
      </c>
      <c r="F805" s="22"/>
      <c r="G805" s="22" t="s">
        <v>797</v>
      </c>
      <c r="H805" s="22" t="s">
        <v>455</v>
      </c>
      <c r="I805" s="67">
        <v>1220</v>
      </c>
      <c r="J805" s="26" t="s">
        <v>350</v>
      </c>
      <c r="K805" s="110" t="s">
        <v>642</v>
      </c>
      <c r="L805" s="218" t="s">
        <v>1761</v>
      </c>
      <c r="M805" s="3"/>
    </row>
    <row r="806" spans="1:13" s="8" customFormat="1" ht="16.5">
      <c r="A806" s="21" t="s">
        <v>737</v>
      </c>
      <c r="B806" s="21"/>
      <c r="C806" s="28" t="s">
        <v>1067</v>
      </c>
      <c r="D806" s="43" t="s">
        <v>338</v>
      </c>
      <c r="E806" s="21" t="s">
        <v>1522</v>
      </c>
      <c r="F806" s="22"/>
      <c r="G806" s="22" t="s">
        <v>797</v>
      </c>
      <c r="H806" s="22" t="s">
        <v>427</v>
      </c>
      <c r="I806" s="67">
        <v>2210</v>
      </c>
      <c r="J806" s="26" t="s">
        <v>319</v>
      </c>
      <c r="K806" s="110" t="s">
        <v>642</v>
      </c>
      <c r="L806" s="218" t="s">
        <v>1761</v>
      </c>
      <c r="M806" s="3"/>
    </row>
    <row r="807" spans="1:13" s="8" customFormat="1" ht="16.5">
      <c r="A807" s="21" t="s">
        <v>737</v>
      </c>
      <c r="B807" s="21"/>
      <c r="C807" s="28" t="s">
        <v>1067</v>
      </c>
      <c r="D807" s="43" t="s">
        <v>138</v>
      </c>
      <c r="E807" s="21" t="s">
        <v>1522</v>
      </c>
      <c r="F807" s="22"/>
      <c r="G807" s="22" t="s">
        <v>797</v>
      </c>
      <c r="H807" s="22" t="s">
        <v>427</v>
      </c>
      <c r="I807" s="67">
        <v>2220</v>
      </c>
      <c r="J807" s="26" t="s">
        <v>492</v>
      </c>
      <c r="K807" s="110" t="s">
        <v>642</v>
      </c>
      <c r="L807" s="218" t="s">
        <v>1761</v>
      </c>
      <c r="M807" s="3"/>
    </row>
    <row r="808" spans="1:13" s="8" customFormat="1" ht="16.5">
      <c r="A808" s="21" t="s">
        <v>369</v>
      </c>
      <c r="B808" s="21"/>
      <c r="C808" s="28" t="s">
        <v>1061</v>
      </c>
      <c r="D808" s="43"/>
      <c r="E808" s="21" t="s">
        <v>1522</v>
      </c>
      <c r="F808" s="22" t="s">
        <v>533</v>
      </c>
      <c r="G808" s="22" t="s">
        <v>797</v>
      </c>
      <c r="H808" s="22" t="s">
        <v>1319</v>
      </c>
      <c r="I808" s="67">
        <v>1010</v>
      </c>
      <c r="J808" s="26" t="s">
        <v>1271</v>
      </c>
      <c r="K808" s="110" t="s">
        <v>753</v>
      </c>
      <c r="L808" s="218" t="s">
        <v>1761</v>
      </c>
      <c r="M808" s="3"/>
    </row>
    <row r="809" spans="1:13" s="8" customFormat="1" ht="72.75" customHeight="1">
      <c r="A809" s="21" t="s">
        <v>369</v>
      </c>
      <c r="B809" s="21"/>
      <c r="C809" s="28" t="s">
        <v>1061</v>
      </c>
      <c r="D809" s="43" t="s">
        <v>1298</v>
      </c>
      <c r="E809" s="21" t="s">
        <v>1522</v>
      </c>
      <c r="F809" s="22" t="s">
        <v>533</v>
      </c>
      <c r="G809" s="22" t="s">
        <v>797</v>
      </c>
      <c r="H809" s="22" t="s">
        <v>1319</v>
      </c>
      <c r="I809" s="67">
        <v>2010</v>
      </c>
      <c r="J809" s="26" t="s">
        <v>1320</v>
      </c>
      <c r="K809" s="110" t="s">
        <v>753</v>
      </c>
      <c r="L809" s="218" t="s">
        <v>1761</v>
      </c>
      <c r="M809" s="3"/>
    </row>
    <row r="810" spans="1:13" s="8" customFormat="1" ht="16.5">
      <c r="A810" s="21" t="s">
        <v>78</v>
      </c>
      <c r="B810" s="21" t="s">
        <v>87</v>
      </c>
      <c r="C810" s="28" t="s">
        <v>1057</v>
      </c>
      <c r="D810" s="43"/>
      <c r="E810" s="21" t="s">
        <v>1522</v>
      </c>
      <c r="F810" s="22"/>
      <c r="G810" s="22" t="s">
        <v>1586</v>
      </c>
      <c r="H810" s="22" t="s">
        <v>366</v>
      </c>
      <c r="I810" s="67">
        <v>1150</v>
      </c>
      <c r="J810" s="73" t="s">
        <v>555</v>
      </c>
      <c r="K810" s="110" t="s">
        <v>753</v>
      </c>
      <c r="L810" s="218" t="s">
        <v>1761</v>
      </c>
      <c r="M810" s="3"/>
    </row>
    <row r="811" spans="1:13" s="8" customFormat="1" ht="49.5">
      <c r="A811" s="105" t="s">
        <v>1495</v>
      </c>
      <c r="B811" s="105" t="s">
        <v>90</v>
      </c>
      <c r="C811" s="106" t="s">
        <v>988</v>
      </c>
      <c r="D811" s="101" t="s">
        <v>2498</v>
      </c>
      <c r="E811" s="105" t="s">
        <v>1522</v>
      </c>
      <c r="F811" s="107"/>
      <c r="G811" s="107" t="s">
        <v>1586</v>
      </c>
      <c r="H811" s="107" t="s">
        <v>366</v>
      </c>
      <c r="I811" s="108">
        <v>2010</v>
      </c>
      <c r="J811" s="95" t="s">
        <v>1536</v>
      </c>
      <c r="K811" s="114">
        <v>3</v>
      </c>
      <c r="L811" s="228" t="s">
        <v>1765</v>
      </c>
      <c r="M811" s="178"/>
    </row>
    <row r="812" spans="1:13" s="8" customFormat="1" ht="16.5">
      <c r="A812" s="21" t="s">
        <v>744</v>
      </c>
      <c r="B812" s="21"/>
      <c r="C812" s="28" t="s">
        <v>1422</v>
      </c>
      <c r="D812" s="43"/>
      <c r="E812" s="21" t="s">
        <v>1522</v>
      </c>
      <c r="F812" s="22" t="s">
        <v>1329</v>
      </c>
      <c r="G812" s="22" t="s">
        <v>1586</v>
      </c>
      <c r="H812" s="22" t="s">
        <v>1527</v>
      </c>
      <c r="I812" s="67">
        <v>1010</v>
      </c>
      <c r="J812" s="26" t="s">
        <v>643</v>
      </c>
      <c r="K812" s="112">
        <v>3</v>
      </c>
      <c r="L812" s="218" t="s">
        <v>1777</v>
      </c>
      <c r="M812" s="3"/>
    </row>
    <row r="813" spans="1:13" s="8" customFormat="1" ht="16.5">
      <c r="A813" s="21" t="s">
        <v>386</v>
      </c>
      <c r="B813" s="21"/>
      <c r="C813" s="29" t="s">
        <v>816</v>
      </c>
      <c r="D813" s="46"/>
      <c r="E813" s="21" t="s">
        <v>1521</v>
      </c>
      <c r="F813" s="24" t="s">
        <v>1330</v>
      </c>
      <c r="G813" s="22" t="s">
        <v>1586</v>
      </c>
      <c r="H813" s="22" t="s">
        <v>1529</v>
      </c>
      <c r="I813" s="68">
        <v>1010</v>
      </c>
      <c r="J813" s="26" t="s">
        <v>1183</v>
      </c>
      <c r="K813" s="22" t="s">
        <v>753</v>
      </c>
      <c r="L813" s="218" t="s">
        <v>1777</v>
      </c>
      <c r="M813" s="3"/>
    </row>
    <row r="814" spans="1:13" s="8" customFormat="1" ht="16.5">
      <c r="A814" s="21" t="s">
        <v>666</v>
      </c>
      <c r="B814" s="21" t="s">
        <v>1451</v>
      </c>
      <c r="C814" s="28" t="s">
        <v>1075</v>
      </c>
      <c r="D814" s="43"/>
      <c r="E814" s="21" t="s">
        <v>1522</v>
      </c>
      <c r="F814" s="22" t="s">
        <v>1330</v>
      </c>
      <c r="G814" s="22" t="s">
        <v>1586</v>
      </c>
      <c r="H814" s="22" t="s">
        <v>1529</v>
      </c>
      <c r="I814" s="68">
        <v>1050</v>
      </c>
      <c r="J814" s="26" t="s">
        <v>1372</v>
      </c>
      <c r="K814" s="110">
        <v>3</v>
      </c>
      <c r="L814" s="218" t="s">
        <v>1761</v>
      </c>
      <c r="M814" s="3"/>
    </row>
    <row r="815" spans="1:13" s="8" customFormat="1" ht="16.5">
      <c r="A815" s="21" t="s">
        <v>55</v>
      </c>
      <c r="B815" s="21"/>
      <c r="C815" s="28" t="s">
        <v>969</v>
      </c>
      <c r="D815" s="43"/>
      <c r="E815" s="21" t="s">
        <v>1521</v>
      </c>
      <c r="F815" s="22" t="s">
        <v>1330</v>
      </c>
      <c r="G815" s="22" t="s">
        <v>1586</v>
      </c>
      <c r="H815" s="22" t="s">
        <v>1529</v>
      </c>
      <c r="I815" s="68">
        <v>1110</v>
      </c>
      <c r="J815" s="26" t="s">
        <v>201</v>
      </c>
      <c r="K815" s="110">
        <v>3</v>
      </c>
      <c r="L815" s="218" t="s">
        <v>1761</v>
      </c>
      <c r="M815" s="3"/>
    </row>
    <row r="816" spans="1:13" s="8" customFormat="1" ht="16.5">
      <c r="A816" s="45" t="s">
        <v>1496</v>
      </c>
      <c r="B816" s="45" t="s">
        <v>1452</v>
      </c>
      <c r="C816" s="28" t="s">
        <v>1074</v>
      </c>
      <c r="D816" s="43"/>
      <c r="E816" s="21" t="s">
        <v>1522</v>
      </c>
      <c r="F816" s="22"/>
      <c r="G816" s="22" t="s">
        <v>1586</v>
      </c>
      <c r="H816" s="22" t="s">
        <v>1529</v>
      </c>
      <c r="I816" s="68">
        <v>1120</v>
      </c>
      <c r="J816" s="26" t="s">
        <v>770</v>
      </c>
      <c r="K816" s="110">
        <v>3</v>
      </c>
      <c r="L816" s="218" t="s">
        <v>1761</v>
      </c>
      <c r="M816" s="3"/>
    </row>
    <row r="817" spans="1:14" s="8" customFormat="1" ht="16.5">
      <c r="A817" s="21" t="s">
        <v>226</v>
      </c>
      <c r="B817" s="21"/>
      <c r="C817" s="28" t="s">
        <v>153</v>
      </c>
      <c r="D817" s="43"/>
      <c r="E817" s="21" t="s">
        <v>1521</v>
      </c>
      <c r="F817" s="22"/>
      <c r="G817" s="22" t="s">
        <v>1586</v>
      </c>
      <c r="H817" s="22" t="s">
        <v>1529</v>
      </c>
      <c r="I817" s="68">
        <v>1340</v>
      </c>
      <c r="J817" s="26" t="s">
        <v>768</v>
      </c>
      <c r="K817" s="110" t="s">
        <v>753</v>
      </c>
      <c r="L817" s="218" t="s">
        <v>1761</v>
      </c>
      <c r="M817" s="3"/>
    </row>
    <row r="818" spans="1:14" s="8" customFormat="1" ht="16.5">
      <c r="A818" s="21" t="s">
        <v>54</v>
      </c>
      <c r="B818" s="21"/>
      <c r="C818" s="28" t="s">
        <v>966</v>
      </c>
      <c r="D818" s="43"/>
      <c r="E818" s="21" t="s">
        <v>1521</v>
      </c>
      <c r="F818" s="22"/>
      <c r="G818" s="22" t="s">
        <v>1586</v>
      </c>
      <c r="H818" s="22" t="s">
        <v>1529</v>
      </c>
      <c r="I818" s="68">
        <v>1350</v>
      </c>
      <c r="J818" s="26" t="s">
        <v>897</v>
      </c>
      <c r="K818" s="110" t="s">
        <v>753</v>
      </c>
      <c r="L818" s="218" t="s">
        <v>1761</v>
      </c>
      <c r="M818" s="3"/>
    </row>
    <row r="819" spans="1:14" s="8" customFormat="1" ht="16.5">
      <c r="A819" s="21" t="s">
        <v>1496</v>
      </c>
      <c r="B819" s="21" t="s">
        <v>1452</v>
      </c>
      <c r="C819" s="28" t="s">
        <v>1074</v>
      </c>
      <c r="D819" s="43"/>
      <c r="E819" s="21" t="s">
        <v>1522</v>
      </c>
      <c r="F819" s="22"/>
      <c r="G819" s="22" t="s">
        <v>1586</v>
      </c>
      <c r="H819" s="22" t="s">
        <v>1529</v>
      </c>
      <c r="I819" s="68">
        <v>1400</v>
      </c>
      <c r="J819" s="26" t="s">
        <v>200</v>
      </c>
      <c r="K819" s="110">
        <v>3</v>
      </c>
      <c r="L819" s="218" t="s">
        <v>1761</v>
      </c>
      <c r="M819" s="3"/>
    </row>
    <row r="820" spans="1:14" s="8" customFormat="1" ht="16.5">
      <c r="A820" s="21" t="s">
        <v>519</v>
      </c>
      <c r="B820" s="21" t="s">
        <v>117</v>
      </c>
      <c r="C820" s="28" t="s">
        <v>1001</v>
      </c>
      <c r="D820" s="43" t="s">
        <v>1213</v>
      </c>
      <c r="E820" s="21" t="s">
        <v>1522</v>
      </c>
      <c r="F820" s="22"/>
      <c r="G820" s="22" t="s">
        <v>1586</v>
      </c>
      <c r="H820" s="22" t="s">
        <v>1529</v>
      </c>
      <c r="I820" s="68">
        <v>1430</v>
      </c>
      <c r="J820" s="26" t="s">
        <v>419</v>
      </c>
      <c r="K820" s="110" t="s">
        <v>753</v>
      </c>
      <c r="L820" s="218" t="s">
        <v>1761</v>
      </c>
      <c r="M820" s="3"/>
      <c r="N820" s="1"/>
    </row>
    <row r="821" spans="1:14" s="8" customFormat="1" ht="65.25" customHeight="1">
      <c r="A821" s="21" t="s">
        <v>57</v>
      </c>
      <c r="B821" s="43"/>
      <c r="C821" s="28" t="s">
        <v>971</v>
      </c>
      <c r="D821" s="43"/>
      <c r="E821" s="21" t="s">
        <v>1521</v>
      </c>
      <c r="F821" s="22"/>
      <c r="G821" s="22" t="s">
        <v>1586</v>
      </c>
      <c r="H821" s="22" t="s">
        <v>1529</v>
      </c>
      <c r="I821" s="68">
        <v>1650</v>
      </c>
      <c r="J821" s="26" t="s">
        <v>769</v>
      </c>
      <c r="K821" s="110" t="s">
        <v>753</v>
      </c>
      <c r="L821" s="218" t="s">
        <v>1761</v>
      </c>
      <c r="M821" s="3"/>
      <c r="N821" s="3"/>
    </row>
    <row r="822" spans="1:14" s="8" customFormat="1" ht="16.5">
      <c r="A822" s="21" t="s">
        <v>386</v>
      </c>
      <c r="B822" s="21"/>
      <c r="C822" s="28" t="s">
        <v>816</v>
      </c>
      <c r="D822" s="43"/>
      <c r="E822" s="21" t="s">
        <v>1521</v>
      </c>
      <c r="F822" s="22"/>
      <c r="G822" s="22" t="s">
        <v>1586</v>
      </c>
      <c r="H822" s="22" t="s">
        <v>1327</v>
      </c>
      <c r="I822" s="68">
        <v>2720</v>
      </c>
      <c r="J822" s="26" t="s">
        <v>846</v>
      </c>
      <c r="K822" s="110" t="s">
        <v>753</v>
      </c>
      <c r="L822" s="218" t="s">
        <v>1761</v>
      </c>
      <c r="M822" s="3"/>
      <c r="N822" s="1"/>
    </row>
    <row r="823" spans="1:14" s="8" customFormat="1" ht="66">
      <c r="A823" s="21" t="s">
        <v>1615</v>
      </c>
      <c r="B823" s="21"/>
      <c r="C823" s="28" t="s">
        <v>1616</v>
      </c>
      <c r="D823" s="101" t="s">
        <v>1802</v>
      </c>
      <c r="E823" s="21" t="s">
        <v>1522</v>
      </c>
      <c r="F823" s="22"/>
      <c r="G823" s="22" t="s">
        <v>1586</v>
      </c>
      <c r="H823" s="22" t="s">
        <v>437</v>
      </c>
      <c r="I823" s="68">
        <v>1010</v>
      </c>
      <c r="J823" s="26" t="s">
        <v>60</v>
      </c>
      <c r="K823" s="110" t="s">
        <v>640</v>
      </c>
      <c r="L823" s="218" t="s">
        <v>1761</v>
      </c>
      <c r="M823" s="3"/>
      <c r="N823" s="1"/>
    </row>
    <row r="824" spans="1:14" s="8" customFormat="1" ht="16.5">
      <c r="A824" s="21" t="s">
        <v>1617</v>
      </c>
      <c r="B824" s="21"/>
      <c r="C824" s="28" t="s">
        <v>1618</v>
      </c>
      <c r="D824" s="43" t="s">
        <v>1619</v>
      </c>
      <c r="E824" s="21" t="s">
        <v>1522</v>
      </c>
      <c r="F824" s="56"/>
      <c r="G824" s="22" t="s">
        <v>1586</v>
      </c>
      <c r="H824" s="22" t="s">
        <v>437</v>
      </c>
      <c r="I824" s="68">
        <v>1020</v>
      </c>
      <c r="J824" s="26" t="s">
        <v>1620</v>
      </c>
      <c r="K824" s="110" t="s">
        <v>640</v>
      </c>
      <c r="L824" s="218" t="s">
        <v>1761</v>
      </c>
      <c r="M824" s="3"/>
      <c r="N824" s="1"/>
    </row>
    <row r="825" spans="1:14" s="8" customFormat="1" ht="16.5">
      <c r="A825" s="21" t="s">
        <v>1621</v>
      </c>
      <c r="B825" s="21"/>
      <c r="C825" s="28" t="s">
        <v>1622</v>
      </c>
      <c r="D825" s="123" t="s">
        <v>2687</v>
      </c>
      <c r="E825" s="21" t="s">
        <v>1522</v>
      </c>
      <c r="F825" s="22"/>
      <c r="G825" s="22" t="s">
        <v>1586</v>
      </c>
      <c r="H825" s="22" t="s">
        <v>437</v>
      </c>
      <c r="I825" s="68">
        <v>2010</v>
      </c>
      <c r="J825" s="26" t="s">
        <v>1623</v>
      </c>
      <c r="K825" s="110" t="s">
        <v>640</v>
      </c>
      <c r="L825" s="218"/>
      <c r="M825" s="272"/>
      <c r="N825" s="1"/>
    </row>
    <row r="826" spans="1:14" s="8" customFormat="1" ht="16.5">
      <c r="A826" s="105" t="s">
        <v>2579</v>
      </c>
      <c r="B826" s="105" t="s">
        <v>2575</v>
      </c>
      <c r="C826" s="101" t="s">
        <v>2576</v>
      </c>
      <c r="D826" s="46" t="s">
        <v>1736</v>
      </c>
      <c r="E826" s="21" t="s">
        <v>1522</v>
      </c>
      <c r="F826" s="24"/>
      <c r="G826" s="22" t="s">
        <v>1586</v>
      </c>
      <c r="H826" s="22" t="s">
        <v>644</v>
      </c>
      <c r="I826" s="68">
        <v>1110</v>
      </c>
      <c r="J826" s="26" t="s">
        <v>898</v>
      </c>
      <c r="K826" s="110" t="s">
        <v>637</v>
      </c>
      <c r="L826" s="218" t="s">
        <v>1761</v>
      </c>
      <c r="M826" s="204"/>
      <c r="N826" s="1"/>
    </row>
    <row r="827" spans="1:14" ht="16.5">
      <c r="A827" s="105" t="s">
        <v>2581</v>
      </c>
      <c r="B827" s="105" t="s">
        <v>2582</v>
      </c>
      <c r="C827" s="101" t="s">
        <v>2583</v>
      </c>
      <c r="D827" s="46" t="s">
        <v>1737</v>
      </c>
      <c r="E827" s="21" t="s">
        <v>1522</v>
      </c>
      <c r="F827" s="24"/>
      <c r="G827" s="22" t="s">
        <v>1586</v>
      </c>
      <c r="H827" s="22" t="s">
        <v>644</v>
      </c>
      <c r="I827" s="68">
        <v>1130</v>
      </c>
      <c r="J827" s="26" t="s">
        <v>771</v>
      </c>
      <c r="K827" s="110" t="s">
        <v>637</v>
      </c>
      <c r="L827" s="218" t="s">
        <v>1761</v>
      </c>
      <c r="M827" s="204"/>
    </row>
    <row r="828" spans="1:14" ht="16.5">
      <c r="A828" s="105" t="s">
        <v>2581</v>
      </c>
      <c r="B828" s="105" t="s">
        <v>2584</v>
      </c>
      <c r="C828" s="101" t="s">
        <v>2585</v>
      </c>
      <c r="D828" s="43" t="s">
        <v>1899</v>
      </c>
      <c r="E828" s="21" t="s">
        <v>1522</v>
      </c>
      <c r="F828" s="22"/>
      <c r="G828" s="122" t="s">
        <v>1586</v>
      </c>
      <c r="H828" s="22" t="s">
        <v>1530</v>
      </c>
      <c r="I828" s="67">
        <v>1160</v>
      </c>
      <c r="J828" s="26" t="s">
        <v>936</v>
      </c>
      <c r="K828" s="110" t="s">
        <v>637</v>
      </c>
      <c r="L828" s="157" t="s">
        <v>1761</v>
      </c>
      <c r="M828" s="204"/>
    </row>
    <row r="829" spans="1:14" ht="16.5">
      <c r="A829" s="105" t="s">
        <v>2581</v>
      </c>
      <c r="B829" s="105" t="s">
        <v>2584</v>
      </c>
      <c r="C829" s="101" t="s">
        <v>2585</v>
      </c>
      <c r="D829" s="43" t="s">
        <v>1900</v>
      </c>
      <c r="E829" s="21" t="s">
        <v>1522</v>
      </c>
      <c r="F829" s="22"/>
      <c r="G829" s="122" t="s">
        <v>1586</v>
      </c>
      <c r="H829" s="22" t="s">
        <v>1530</v>
      </c>
      <c r="I829" s="67">
        <v>1170</v>
      </c>
      <c r="J829" s="26" t="s">
        <v>1857</v>
      </c>
      <c r="K829" s="110" t="s">
        <v>637</v>
      </c>
      <c r="L829" s="157" t="s">
        <v>1761</v>
      </c>
      <c r="M829" s="204"/>
    </row>
    <row r="830" spans="1:14" ht="16.5">
      <c r="A830" s="105" t="s">
        <v>2578</v>
      </c>
      <c r="B830" s="105" t="s">
        <v>2573</v>
      </c>
      <c r="C830" s="101" t="s">
        <v>2574</v>
      </c>
      <c r="D830" s="46" t="s">
        <v>1738</v>
      </c>
      <c r="E830" s="21" t="s">
        <v>1522</v>
      </c>
      <c r="F830" s="24"/>
      <c r="G830" s="22" t="s">
        <v>1586</v>
      </c>
      <c r="H830" s="22" t="s">
        <v>644</v>
      </c>
      <c r="I830" s="68">
        <v>1210</v>
      </c>
      <c r="J830" s="26" t="s">
        <v>1444</v>
      </c>
      <c r="K830" s="110" t="s">
        <v>637</v>
      </c>
      <c r="L830" s="218" t="s">
        <v>1761</v>
      </c>
      <c r="M830" s="204"/>
    </row>
    <row r="831" spans="1:14" ht="16.5">
      <c r="A831" s="105" t="s">
        <v>2581</v>
      </c>
      <c r="B831" s="105" t="s">
        <v>2582</v>
      </c>
      <c r="C831" s="101" t="s">
        <v>2583</v>
      </c>
      <c r="D831" s="46" t="s">
        <v>1739</v>
      </c>
      <c r="E831" s="21" t="s">
        <v>1522</v>
      </c>
      <c r="F831" s="24"/>
      <c r="G831" s="22" t="s">
        <v>1586</v>
      </c>
      <c r="H831" s="22" t="s">
        <v>644</v>
      </c>
      <c r="I831" s="68">
        <v>1230</v>
      </c>
      <c r="J831" s="26" t="s">
        <v>645</v>
      </c>
      <c r="K831" s="110" t="s">
        <v>637</v>
      </c>
      <c r="L831" s="218" t="s">
        <v>1761</v>
      </c>
      <c r="M831" s="204"/>
    </row>
    <row r="832" spans="1:14" ht="16.5">
      <c r="A832" s="105" t="s">
        <v>2579</v>
      </c>
      <c r="B832" s="105" t="s">
        <v>2575</v>
      </c>
      <c r="C832" s="101" t="s">
        <v>2576</v>
      </c>
      <c r="D832" s="46" t="s">
        <v>1740</v>
      </c>
      <c r="E832" s="21" t="s">
        <v>1522</v>
      </c>
      <c r="F832" s="24"/>
      <c r="G832" s="22" t="s">
        <v>1586</v>
      </c>
      <c r="H832" s="22" t="s">
        <v>644</v>
      </c>
      <c r="I832" s="68" t="s">
        <v>1300</v>
      </c>
      <c r="J832" s="26" t="s">
        <v>822</v>
      </c>
      <c r="K832" s="110" t="s">
        <v>638</v>
      </c>
      <c r="L832" s="218"/>
      <c r="M832" s="204"/>
    </row>
    <row r="833" spans="1:13" ht="16.5">
      <c r="A833" s="105" t="s">
        <v>2581</v>
      </c>
      <c r="B833" s="105" t="s">
        <v>2582</v>
      </c>
      <c r="C833" s="101" t="s">
        <v>2583</v>
      </c>
      <c r="D833" s="46" t="s">
        <v>1741</v>
      </c>
      <c r="E833" s="21" t="s">
        <v>1522</v>
      </c>
      <c r="F833" s="24"/>
      <c r="G833" s="22" t="s">
        <v>1586</v>
      </c>
      <c r="H833" s="22" t="s">
        <v>644</v>
      </c>
      <c r="I833" s="68" t="s">
        <v>823</v>
      </c>
      <c r="J833" s="26" t="s">
        <v>657</v>
      </c>
      <c r="K833" s="110" t="s">
        <v>638</v>
      </c>
      <c r="L833" s="218"/>
      <c r="M833" s="204"/>
    </row>
    <row r="834" spans="1:13" ht="16.5">
      <c r="A834" s="105" t="s">
        <v>2581</v>
      </c>
      <c r="B834" s="105" t="s">
        <v>2584</v>
      </c>
      <c r="C834" s="101" t="s">
        <v>2585</v>
      </c>
      <c r="D834" s="43" t="s">
        <v>1901</v>
      </c>
      <c r="E834" s="21" t="s">
        <v>1522</v>
      </c>
      <c r="F834" s="22"/>
      <c r="G834" s="122" t="s">
        <v>1586</v>
      </c>
      <c r="H834" s="22" t="s">
        <v>1530</v>
      </c>
      <c r="I834" s="68" t="s">
        <v>1853</v>
      </c>
      <c r="J834" s="26" t="s">
        <v>1856</v>
      </c>
      <c r="K834" s="110" t="s">
        <v>638</v>
      </c>
      <c r="L834" s="157" t="s">
        <v>1761</v>
      </c>
      <c r="M834" s="204"/>
    </row>
    <row r="835" spans="1:13" ht="16.5">
      <c r="A835" s="105" t="s">
        <v>2581</v>
      </c>
      <c r="B835" s="105" t="s">
        <v>2584</v>
      </c>
      <c r="C835" s="101" t="s">
        <v>2585</v>
      </c>
      <c r="D835" s="43" t="s">
        <v>1902</v>
      </c>
      <c r="E835" s="21" t="s">
        <v>1522</v>
      </c>
      <c r="F835" s="22"/>
      <c r="G835" s="122" t="s">
        <v>1586</v>
      </c>
      <c r="H835" s="22" t="s">
        <v>1530</v>
      </c>
      <c r="I835" s="68" t="s">
        <v>1854</v>
      </c>
      <c r="J835" s="26" t="s">
        <v>1858</v>
      </c>
      <c r="K835" s="110" t="s">
        <v>638</v>
      </c>
      <c r="L835" s="157" t="s">
        <v>1761</v>
      </c>
      <c r="M835" s="204"/>
    </row>
    <row r="836" spans="1:13" ht="16.5">
      <c r="A836" s="105" t="s">
        <v>2578</v>
      </c>
      <c r="B836" s="105" t="s">
        <v>2573</v>
      </c>
      <c r="C836" s="101" t="s">
        <v>2574</v>
      </c>
      <c r="D836" s="46" t="s">
        <v>1743</v>
      </c>
      <c r="E836" s="21" t="s">
        <v>1522</v>
      </c>
      <c r="F836" s="24"/>
      <c r="G836" s="22" t="s">
        <v>1586</v>
      </c>
      <c r="H836" s="22" t="s">
        <v>644</v>
      </c>
      <c r="I836" s="68" t="s">
        <v>824</v>
      </c>
      <c r="J836" s="26" t="s">
        <v>825</v>
      </c>
      <c r="K836" s="110" t="s">
        <v>638</v>
      </c>
      <c r="L836" s="218"/>
      <c r="M836" s="204"/>
    </row>
    <row r="837" spans="1:13" ht="16.5">
      <c r="A837" s="105" t="s">
        <v>2581</v>
      </c>
      <c r="B837" s="105" t="s">
        <v>2582</v>
      </c>
      <c r="C837" s="101" t="s">
        <v>2583</v>
      </c>
      <c r="D837" s="46" t="s">
        <v>1742</v>
      </c>
      <c r="E837" s="21" t="s">
        <v>1522</v>
      </c>
      <c r="F837" s="24"/>
      <c r="G837" s="22" t="s">
        <v>1586</v>
      </c>
      <c r="H837" s="22" t="s">
        <v>644</v>
      </c>
      <c r="I837" s="68" t="s">
        <v>862</v>
      </c>
      <c r="J837" s="26" t="s">
        <v>645</v>
      </c>
      <c r="K837" s="110" t="s">
        <v>637</v>
      </c>
      <c r="L837" s="218"/>
      <c r="M837" s="204"/>
    </row>
    <row r="838" spans="1:13" ht="16.5">
      <c r="A838" s="21" t="s">
        <v>312</v>
      </c>
      <c r="B838" s="21" t="s">
        <v>1450</v>
      </c>
      <c r="C838" s="28" t="s">
        <v>1131</v>
      </c>
      <c r="D838" s="43"/>
      <c r="E838" s="21" t="s">
        <v>1522</v>
      </c>
      <c r="F838" s="22"/>
      <c r="G838" s="22" t="s">
        <v>1586</v>
      </c>
      <c r="H838" s="22" t="s">
        <v>722</v>
      </c>
      <c r="I838" s="67">
        <v>1010</v>
      </c>
      <c r="J838" s="73" t="s">
        <v>721</v>
      </c>
      <c r="K838" s="112">
        <v>2</v>
      </c>
      <c r="L838" s="218" t="s">
        <v>2704</v>
      </c>
      <c r="M838" s="3"/>
    </row>
    <row r="839" spans="1:13" ht="49.5">
      <c r="A839" s="21" t="s">
        <v>312</v>
      </c>
      <c r="B839" s="21" t="s">
        <v>1450</v>
      </c>
      <c r="C839" s="28" t="s">
        <v>1131</v>
      </c>
      <c r="D839" s="43" t="s">
        <v>1564</v>
      </c>
      <c r="E839" s="21" t="s">
        <v>1522</v>
      </c>
      <c r="F839" s="22"/>
      <c r="G839" s="22" t="s">
        <v>1586</v>
      </c>
      <c r="H839" s="22" t="s">
        <v>722</v>
      </c>
      <c r="I839" s="67">
        <v>1100</v>
      </c>
      <c r="J839" s="73" t="s">
        <v>1021</v>
      </c>
      <c r="K839" s="110" t="s">
        <v>642</v>
      </c>
      <c r="L839" s="218" t="s">
        <v>1761</v>
      </c>
      <c r="M839" s="3"/>
    </row>
    <row r="840" spans="1:13" ht="16.5">
      <c r="A840" s="21" t="s">
        <v>362</v>
      </c>
      <c r="B840" s="21" t="s">
        <v>564</v>
      </c>
      <c r="C840" s="106" t="s">
        <v>2610</v>
      </c>
      <c r="D840" s="43"/>
      <c r="E840" s="21" t="s">
        <v>1522</v>
      </c>
      <c r="F840" s="22"/>
      <c r="G840" s="22" t="s">
        <v>1586</v>
      </c>
      <c r="H840" s="22" t="s">
        <v>1533</v>
      </c>
      <c r="I840" s="68">
        <v>1190</v>
      </c>
      <c r="J840" s="26" t="s">
        <v>723</v>
      </c>
      <c r="K840" s="110">
        <v>5</v>
      </c>
      <c r="L840" s="157" t="s">
        <v>1761</v>
      </c>
      <c r="M840" s="204"/>
    </row>
    <row r="841" spans="1:13" ht="16.5">
      <c r="A841" s="21" t="s">
        <v>362</v>
      </c>
      <c r="B841" s="21" t="s">
        <v>564</v>
      </c>
      <c r="C841" s="106" t="s">
        <v>2610</v>
      </c>
      <c r="D841" s="43"/>
      <c r="E841" s="21" t="s">
        <v>1522</v>
      </c>
      <c r="F841" s="22"/>
      <c r="G841" s="22" t="s">
        <v>1586</v>
      </c>
      <c r="H841" s="22" t="s">
        <v>1533</v>
      </c>
      <c r="I841" s="24">
        <v>1220</v>
      </c>
      <c r="J841" s="26" t="s">
        <v>724</v>
      </c>
      <c r="K841" s="110">
        <v>5</v>
      </c>
      <c r="L841" s="157" t="s">
        <v>1761</v>
      </c>
      <c r="M841" s="204"/>
    </row>
    <row r="842" spans="1:13" ht="18" customHeight="1">
      <c r="A842" s="45" t="s">
        <v>363</v>
      </c>
      <c r="B842" s="45"/>
      <c r="C842" s="28" t="s">
        <v>1430</v>
      </c>
      <c r="D842" s="43" t="s">
        <v>798</v>
      </c>
      <c r="E842" s="21" t="s">
        <v>1521</v>
      </c>
      <c r="F842" s="22" t="s">
        <v>540</v>
      </c>
      <c r="G842" s="22" t="s">
        <v>1586</v>
      </c>
      <c r="H842" s="22" t="s">
        <v>283</v>
      </c>
      <c r="I842" s="67">
        <v>1010</v>
      </c>
      <c r="J842" s="73" t="s">
        <v>468</v>
      </c>
      <c r="K842" s="112">
        <v>3</v>
      </c>
      <c r="L842" s="218" t="s">
        <v>1789</v>
      </c>
      <c r="M842" s="3"/>
    </row>
    <row r="843" spans="1:13" ht="33">
      <c r="A843" s="45" t="s">
        <v>363</v>
      </c>
      <c r="B843" s="45"/>
      <c r="C843" s="28" t="s">
        <v>1430</v>
      </c>
      <c r="D843" s="43" t="s">
        <v>799</v>
      </c>
      <c r="E843" s="21" t="s">
        <v>1521</v>
      </c>
      <c r="F843" s="22"/>
      <c r="G843" s="22" t="s">
        <v>1586</v>
      </c>
      <c r="H843" s="22" t="s">
        <v>283</v>
      </c>
      <c r="I843" s="68">
        <v>1015</v>
      </c>
      <c r="J843" s="26" t="s">
        <v>725</v>
      </c>
      <c r="K843" s="110">
        <v>1</v>
      </c>
      <c r="L843" s="218" t="s">
        <v>1761</v>
      </c>
      <c r="M843" s="3"/>
    </row>
    <row r="844" spans="1:13" ht="33">
      <c r="A844" s="21" t="s">
        <v>233</v>
      </c>
      <c r="B844" s="21"/>
      <c r="C844" s="28" t="s">
        <v>214</v>
      </c>
      <c r="D844" s="43" t="s">
        <v>1214</v>
      </c>
      <c r="E844" s="21" t="s">
        <v>1522</v>
      </c>
      <c r="F844" s="22" t="s">
        <v>540</v>
      </c>
      <c r="G844" s="22" t="s">
        <v>1586</v>
      </c>
      <c r="H844" s="22" t="s">
        <v>283</v>
      </c>
      <c r="I844" s="67">
        <v>1070</v>
      </c>
      <c r="J844" s="73" t="s">
        <v>1445</v>
      </c>
      <c r="K844" s="112">
        <v>3</v>
      </c>
      <c r="L844" s="218" t="s">
        <v>1767</v>
      </c>
      <c r="M844" s="3"/>
    </row>
    <row r="845" spans="1:13" ht="16.5">
      <c r="A845" s="21" t="s">
        <v>1100</v>
      </c>
      <c r="B845" s="21" t="s">
        <v>885</v>
      </c>
      <c r="C845" s="28" t="s">
        <v>884</v>
      </c>
      <c r="D845" s="43"/>
      <c r="E845" s="21" t="s">
        <v>1522</v>
      </c>
      <c r="F845" s="22"/>
      <c r="G845" s="22" t="s">
        <v>1586</v>
      </c>
      <c r="H845" s="22" t="s">
        <v>915</v>
      </c>
      <c r="I845" s="67">
        <v>1010</v>
      </c>
      <c r="J845" s="73" t="s">
        <v>1807</v>
      </c>
      <c r="K845" s="110" t="s">
        <v>753</v>
      </c>
      <c r="L845" s="218" t="s">
        <v>1761</v>
      </c>
      <c r="M845" s="3"/>
    </row>
    <row r="846" spans="1:13" ht="16.5">
      <c r="A846" s="21" t="s">
        <v>374</v>
      </c>
      <c r="B846" s="21" t="s">
        <v>573</v>
      </c>
      <c r="C846" s="29" t="s">
        <v>1076</v>
      </c>
      <c r="D846" s="46"/>
      <c r="E846" s="21" t="s">
        <v>1522</v>
      </c>
      <c r="F846" s="24"/>
      <c r="G846" s="22" t="s">
        <v>1586</v>
      </c>
      <c r="H846" s="22" t="s">
        <v>1179</v>
      </c>
      <c r="I846" s="68">
        <v>1130</v>
      </c>
      <c r="J846" s="75" t="s">
        <v>1178</v>
      </c>
      <c r="K846" s="112">
        <v>4</v>
      </c>
      <c r="L846" s="218" t="s">
        <v>1761</v>
      </c>
      <c r="M846" s="3"/>
    </row>
    <row r="847" spans="1:13" ht="16.5">
      <c r="A847" s="21" t="s">
        <v>20</v>
      </c>
      <c r="B847" s="21" t="s">
        <v>19</v>
      </c>
      <c r="C847" s="29" t="s">
        <v>1013</v>
      </c>
      <c r="D847" s="104"/>
      <c r="E847" s="21" t="s">
        <v>1522</v>
      </c>
      <c r="F847" s="24"/>
      <c r="G847" s="22" t="s">
        <v>1586</v>
      </c>
      <c r="H847" s="22" t="s">
        <v>1179</v>
      </c>
      <c r="I847" s="68">
        <v>1140</v>
      </c>
      <c r="J847" s="75" t="s">
        <v>1446</v>
      </c>
      <c r="K847" s="110" t="s">
        <v>640</v>
      </c>
      <c r="L847" s="218" t="s">
        <v>1761</v>
      </c>
      <c r="M847" s="3"/>
    </row>
    <row r="848" spans="1:13" ht="16.5">
      <c r="A848" s="21" t="s">
        <v>20</v>
      </c>
      <c r="B848" s="21" t="s">
        <v>19</v>
      </c>
      <c r="C848" s="29" t="s">
        <v>1013</v>
      </c>
      <c r="D848" s="104"/>
      <c r="E848" s="21" t="s">
        <v>1522</v>
      </c>
      <c r="F848" s="24"/>
      <c r="G848" s="22" t="s">
        <v>1586</v>
      </c>
      <c r="H848" s="22" t="s">
        <v>1179</v>
      </c>
      <c r="I848" s="68">
        <v>1240</v>
      </c>
      <c r="J848" s="75" t="s">
        <v>1466</v>
      </c>
      <c r="K848" s="110" t="s">
        <v>640</v>
      </c>
      <c r="L848" s="218" t="s">
        <v>1761</v>
      </c>
      <c r="M848" s="3"/>
    </row>
    <row r="849" spans="1:14" ht="16.5">
      <c r="A849" s="21" t="s">
        <v>746</v>
      </c>
      <c r="B849" s="21"/>
      <c r="C849" s="28" t="s">
        <v>1058</v>
      </c>
      <c r="D849" s="43"/>
      <c r="E849" s="21" t="s">
        <v>1522</v>
      </c>
      <c r="F849" s="22" t="s">
        <v>1332</v>
      </c>
      <c r="G849" s="122" t="s">
        <v>1586</v>
      </c>
      <c r="H849" s="22" t="s">
        <v>1541</v>
      </c>
      <c r="I849" s="67">
        <v>1010</v>
      </c>
      <c r="J849" s="26" t="s">
        <v>1846</v>
      </c>
      <c r="K849" s="112">
        <v>3</v>
      </c>
      <c r="L849" s="157" t="s">
        <v>1761</v>
      </c>
      <c r="M849" s="178"/>
    </row>
    <row r="850" spans="1:14" ht="16.5">
      <c r="A850" s="21" t="s">
        <v>230</v>
      </c>
      <c r="B850" s="58"/>
      <c r="C850" s="59" t="s">
        <v>296</v>
      </c>
      <c r="D850" s="46"/>
      <c r="E850" s="58" t="s">
        <v>1522</v>
      </c>
      <c r="F850" s="22" t="s">
        <v>534</v>
      </c>
      <c r="G850" s="22" t="s">
        <v>797</v>
      </c>
      <c r="H850" s="61" t="s">
        <v>284</v>
      </c>
      <c r="I850" s="69">
        <v>2002</v>
      </c>
      <c r="J850" s="74" t="s">
        <v>2563</v>
      </c>
      <c r="K850" s="110" t="s">
        <v>753</v>
      </c>
      <c r="L850" s="218" t="s">
        <v>1761</v>
      </c>
      <c r="M850" s="3"/>
    </row>
    <row r="851" spans="1:14" ht="16.5">
      <c r="A851" s="21" t="s">
        <v>1175</v>
      </c>
      <c r="B851" s="21"/>
      <c r="C851" s="28" t="s">
        <v>288</v>
      </c>
      <c r="D851" s="43"/>
      <c r="E851" s="21" t="s">
        <v>1522</v>
      </c>
      <c r="F851" s="22" t="s">
        <v>534</v>
      </c>
      <c r="G851" s="22" t="s">
        <v>1586</v>
      </c>
      <c r="H851" s="22" t="s">
        <v>1547</v>
      </c>
      <c r="I851" s="67">
        <v>1020</v>
      </c>
      <c r="J851" s="73" t="s">
        <v>711</v>
      </c>
      <c r="K851" s="112">
        <v>3</v>
      </c>
      <c r="L851" s="218" t="s">
        <v>1790</v>
      </c>
      <c r="M851" s="3"/>
    </row>
    <row r="852" spans="1:14" ht="16.5">
      <c r="A852" s="21" t="s">
        <v>1175</v>
      </c>
      <c r="B852" s="21"/>
      <c r="C852" s="28" t="s">
        <v>288</v>
      </c>
      <c r="D852" s="43"/>
      <c r="E852" s="21" t="s">
        <v>1522</v>
      </c>
      <c r="F852" s="22" t="s">
        <v>446</v>
      </c>
      <c r="G852" s="122" t="s">
        <v>1586</v>
      </c>
      <c r="H852" s="22" t="s">
        <v>1547</v>
      </c>
      <c r="I852" s="67">
        <v>1050</v>
      </c>
      <c r="J852" s="26" t="s">
        <v>224</v>
      </c>
      <c r="K852" s="112">
        <v>3</v>
      </c>
      <c r="L852" s="157" t="s">
        <v>1759</v>
      </c>
      <c r="M852" s="178"/>
    </row>
    <row r="853" spans="1:14" ht="16.5">
      <c r="A853" s="21" t="s">
        <v>235</v>
      </c>
      <c r="B853" s="21"/>
      <c r="C853" s="28" t="s">
        <v>649</v>
      </c>
      <c r="D853" s="43" t="s">
        <v>1211</v>
      </c>
      <c r="E853" s="21" t="s">
        <v>1522</v>
      </c>
      <c r="F853" s="22" t="s">
        <v>534</v>
      </c>
      <c r="G853" s="22" t="s">
        <v>1586</v>
      </c>
      <c r="H853" s="22" t="s">
        <v>1547</v>
      </c>
      <c r="I853" s="67">
        <v>2110</v>
      </c>
      <c r="J853" s="73" t="s">
        <v>1459</v>
      </c>
      <c r="K853" s="110" t="s">
        <v>753</v>
      </c>
      <c r="L853" s="218" t="s">
        <v>1767</v>
      </c>
      <c r="M853" s="3"/>
    </row>
    <row r="854" spans="1:14" ht="16.5">
      <c r="A854" s="21" t="s">
        <v>2606</v>
      </c>
      <c r="B854" s="21" t="s">
        <v>2607</v>
      </c>
      <c r="C854" s="101" t="s">
        <v>2608</v>
      </c>
      <c r="D854" s="43" t="s">
        <v>2511</v>
      </c>
      <c r="E854" s="21" t="s">
        <v>1522</v>
      </c>
      <c r="F854" s="22"/>
      <c r="G854" s="22" t="s">
        <v>1586</v>
      </c>
      <c r="H854" s="22" t="s">
        <v>158</v>
      </c>
      <c r="I854" s="24">
        <v>1110</v>
      </c>
      <c r="J854" s="26" t="s">
        <v>157</v>
      </c>
      <c r="K854" s="110" t="s">
        <v>637</v>
      </c>
      <c r="L854" s="218" t="s">
        <v>1761</v>
      </c>
      <c r="M854" s="204"/>
    </row>
    <row r="855" spans="1:14" ht="16.5">
      <c r="A855" s="21" t="s">
        <v>3</v>
      </c>
      <c r="B855" s="21" t="s">
        <v>567</v>
      </c>
      <c r="C855" s="234" t="s">
        <v>2609</v>
      </c>
      <c r="D855" s="43" t="s">
        <v>2513</v>
      </c>
      <c r="E855" s="21" t="s">
        <v>1522</v>
      </c>
      <c r="F855" s="22"/>
      <c r="G855" s="22" t="s">
        <v>1586</v>
      </c>
      <c r="H855" s="22" t="s">
        <v>158</v>
      </c>
      <c r="I855" s="24">
        <v>1120</v>
      </c>
      <c r="J855" s="26" t="s">
        <v>159</v>
      </c>
      <c r="K855" s="110" t="s">
        <v>637</v>
      </c>
      <c r="L855" s="218" t="s">
        <v>1761</v>
      </c>
      <c r="M855" s="204"/>
    </row>
    <row r="856" spans="1:14" ht="16.5">
      <c r="A856" s="21" t="s">
        <v>2606</v>
      </c>
      <c r="B856" s="21" t="s">
        <v>2607</v>
      </c>
      <c r="C856" s="101" t="s">
        <v>2608</v>
      </c>
      <c r="D856" s="43" t="s">
        <v>2510</v>
      </c>
      <c r="E856" s="21" t="s">
        <v>1522</v>
      </c>
      <c r="F856" s="22"/>
      <c r="G856" s="22" t="s">
        <v>1586</v>
      </c>
      <c r="H856" s="22" t="s">
        <v>158</v>
      </c>
      <c r="I856" s="24">
        <v>1130</v>
      </c>
      <c r="J856" s="26" t="s">
        <v>160</v>
      </c>
      <c r="K856" s="110" t="s">
        <v>637</v>
      </c>
      <c r="L856" s="218" t="s">
        <v>1761</v>
      </c>
      <c r="M856" s="204"/>
    </row>
    <row r="857" spans="1:14" ht="16.5">
      <c r="A857" s="21" t="s">
        <v>3</v>
      </c>
      <c r="B857" s="21" t="s">
        <v>567</v>
      </c>
      <c r="C857" s="234" t="s">
        <v>2609</v>
      </c>
      <c r="D857" s="43" t="s">
        <v>2516</v>
      </c>
      <c r="E857" s="21" t="s">
        <v>1522</v>
      </c>
      <c r="F857" s="22"/>
      <c r="G857" s="22" t="s">
        <v>1586</v>
      </c>
      <c r="H857" s="22" t="s">
        <v>158</v>
      </c>
      <c r="I857" s="68">
        <v>1140</v>
      </c>
      <c r="J857" s="26" t="s">
        <v>1242</v>
      </c>
      <c r="K857" s="110" t="s">
        <v>637</v>
      </c>
      <c r="L857" s="218" t="s">
        <v>1761</v>
      </c>
      <c r="M857" s="204"/>
    </row>
    <row r="858" spans="1:14" ht="16.5">
      <c r="A858" s="21" t="s">
        <v>2606</v>
      </c>
      <c r="B858" s="21" t="s">
        <v>2607</v>
      </c>
      <c r="C858" s="101" t="s">
        <v>2608</v>
      </c>
      <c r="D858" s="43" t="s">
        <v>2518</v>
      </c>
      <c r="E858" s="21" t="s">
        <v>1522</v>
      </c>
      <c r="F858" s="22"/>
      <c r="G858" s="22" t="s">
        <v>1586</v>
      </c>
      <c r="H858" s="22" t="s">
        <v>158</v>
      </c>
      <c r="I858" s="24">
        <v>1210</v>
      </c>
      <c r="J858" s="26" t="s">
        <v>161</v>
      </c>
      <c r="K858" s="110" t="s">
        <v>637</v>
      </c>
      <c r="L858" s="218" t="s">
        <v>1761</v>
      </c>
      <c r="M858" s="204"/>
      <c r="N858" s="2"/>
    </row>
    <row r="859" spans="1:14" ht="16.5">
      <c r="A859" s="21" t="s">
        <v>3</v>
      </c>
      <c r="B859" s="21" t="s">
        <v>567</v>
      </c>
      <c r="C859" s="234" t="s">
        <v>2609</v>
      </c>
      <c r="D859" s="43" t="s">
        <v>2520</v>
      </c>
      <c r="E859" s="21" t="s">
        <v>1522</v>
      </c>
      <c r="F859" s="22"/>
      <c r="G859" s="22" t="s">
        <v>1586</v>
      </c>
      <c r="H859" s="22" t="s">
        <v>158</v>
      </c>
      <c r="I859" s="24">
        <v>1230</v>
      </c>
      <c r="J859" s="26" t="s">
        <v>1243</v>
      </c>
      <c r="K859" s="110" t="s">
        <v>637</v>
      </c>
      <c r="L859" s="218" t="s">
        <v>1761</v>
      </c>
      <c r="M859" s="204"/>
    </row>
    <row r="860" spans="1:14" ht="16.5">
      <c r="A860" s="21" t="s">
        <v>2606</v>
      </c>
      <c r="B860" s="21" t="s">
        <v>2607</v>
      </c>
      <c r="C860" s="101" t="s">
        <v>2608</v>
      </c>
      <c r="D860" s="43" t="s">
        <v>2512</v>
      </c>
      <c r="E860" s="21" t="s">
        <v>1522</v>
      </c>
      <c r="F860" s="22"/>
      <c r="G860" s="22" t="s">
        <v>1586</v>
      </c>
      <c r="H860" s="22" t="s">
        <v>158</v>
      </c>
      <c r="I860" s="68" t="s">
        <v>1300</v>
      </c>
      <c r="J860" s="26" t="s">
        <v>2504</v>
      </c>
      <c r="K860" s="110" t="s">
        <v>638</v>
      </c>
      <c r="L860" s="218" t="s">
        <v>1761</v>
      </c>
      <c r="M860" s="3"/>
    </row>
    <row r="861" spans="1:14" ht="16.5">
      <c r="A861" s="21" t="s">
        <v>3</v>
      </c>
      <c r="B861" s="21" t="s">
        <v>567</v>
      </c>
      <c r="C861" s="235" t="s">
        <v>2609</v>
      </c>
      <c r="D861" s="43" t="s">
        <v>2514</v>
      </c>
      <c r="E861" s="21" t="s">
        <v>1522</v>
      </c>
      <c r="F861" s="22"/>
      <c r="G861" s="22" t="s">
        <v>1586</v>
      </c>
      <c r="H861" s="22" t="s">
        <v>158</v>
      </c>
      <c r="I861" s="68" t="s">
        <v>2524</v>
      </c>
      <c r="J861" s="26" t="s">
        <v>2505</v>
      </c>
      <c r="K861" s="110" t="s">
        <v>638</v>
      </c>
      <c r="L861" s="218" t="s">
        <v>1761</v>
      </c>
      <c r="M861" s="3"/>
    </row>
    <row r="862" spans="1:14" ht="16.5">
      <c r="A862" s="21" t="s">
        <v>2606</v>
      </c>
      <c r="B862" s="21" t="s">
        <v>2607</v>
      </c>
      <c r="C862" s="101" t="s">
        <v>2608</v>
      </c>
      <c r="D862" s="43" t="s">
        <v>2515</v>
      </c>
      <c r="E862" s="21" t="s">
        <v>1522</v>
      </c>
      <c r="F862" s="22"/>
      <c r="G862" s="22" t="s">
        <v>1586</v>
      </c>
      <c r="H862" s="22" t="s">
        <v>158</v>
      </c>
      <c r="I862" s="68" t="s">
        <v>823</v>
      </c>
      <c r="J862" s="26" t="s">
        <v>2506</v>
      </c>
      <c r="K862" s="110" t="s">
        <v>638</v>
      </c>
      <c r="L862" s="218" t="s">
        <v>1761</v>
      </c>
      <c r="M862" s="3"/>
    </row>
    <row r="863" spans="1:14" ht="16.5">
      <c r="A863" s="21" t="s">
        <v>3</v>
      </c>
      <c r="B863" s="21" t="s">
        <v>567</v>
      </c>
      <c r="C863" s="235" t="s">
        <v>2609</v>
      </c>
      <c r="D863" s="43" t="s">
        <v>2517</v>
      </c>
      <c r="E863" s="21" t="s">
        <v>1522</v>
      </c>
      <c r="F863" s="22"/>
      <c r="G863" s="22" t="s">
        <v>1586</v>
      </c>
      <c r="H863" s="22" t="s">
        <v>158</v>
      </c>
      <c r="I863" s="68" t="s">
        <v>2525</v>
      </c>
      <c r="J863" s="26" t="s">
        <v>2507</v>
      </c>
      <c r="K863" s="110" t="s">
        <v>638</v>
      </c>
      <c r="L863" s="218" t="s">
        <v>1761</v>
      </c>
      <c r="M863" s="3"/>
    </row>
    <row r="864" spans="1:14" ht="16.5">
      <c r="A864" s="21" t="s">
        <v>2606</v>
      </c>
      <c r="B864" s="21" t="s">
        <v>2607</v>
      </c>
      <c r="C864" s="101" t="s">
        <v>2608</v>
      </c>
      <c r="D864" s="43" t="s">
        <v>2519</v>
      </c>
      <c r="E864" s="21" t="s">
        <v>1522</v>
      </c>
      <c r="F864" s="187"/>
      <c r="G864" s="22" t="s">
        <v>1586</v>
      </c>
      <c r="H864" s="22" t="s">
        <v>158</v>
      </c>
      <c r="I864" s="68" t="s">
        <v>824</v>
      </c>
      <c r="J864" s="26" t="s">
        <v>2508</v>
      </c>
      <c r="K864" s="144" t="s">
        <v>638</v>
      </c>
      <c r="L864" s="218" t="s">
        <v>1761</v>
      </c>
      <c r="M864" s="3"/>
    </row>
    <row r="865" spans="1:13" ht="16.5">
      <c r="A865" s="21" t="s">
        <v>3</v>
      </c>
      <c r="B865" s="21" t="s">
        <v>567</v>
      </c>
      <c r="C865" s="235" t="s">
        <v>2609</v>
      </c>
      <c r="D865" s="43" t="s">
        <v>2521</v>
      </c>
      <c r="E865" s="21" t="s">
        <v>1522</v>
      </c>
      <c r="F865" s="56"/>
      <c r="G865" s="22" t="s">
        <v>1586</v>
      </c>
      <c r="H865" s="22" t="s">
        <v>158</v>
      </c>
      <c r="I865" s="68" t="s">
        <v>862</v>
      </c>
      <c r="J865" s="26" t="s">
        <v>2509</v>
      </c>
      <c r="K865" s="56" t="s">
        <v>638</v>
      </c>
      <c r="L865" s="218" t="s">
        <v>1761</v>
      </c>
      <c r="M865" s="3"/>
    </row>
    <row r="866" spans="1:13" ht="16.5">
      <c r="A866" s="105" t="s">
        <v>368</v>
      </c>
      <c r="B866" s="105" t="s">
        <v>119</v>
      </c>
      <c r="C866" s="106" t="s">
        <v>1003</v>
      </c>
      <c r="D866" s="101" t="s">
        <v>1898</v>
      </c>
      <c r="E866" s="105" t="s">
        <v>1522</v>
      </c>
      <c r="F866" s="87"/>
      <c r="G866" s="258" t="s">
        <v>1586</v>
      </c>
      <c r="H866" s="258" t="s">
        <v>300</v>
      </c>
      <c r="I866" s="259">
        <v>1030</v>
      </c>
      <c r="J866" s="260" t="s">
        <v>420</v>
      </c>
      <c r="K866" s="261">
        <v>3</v>
      </c>
      <c r="L866" s="191"/>
      <c r="M866" s="272"/>
    </row>
    <row r="867" spans="1:13" ht="33">
      <c r="A867" s="21" t="s">
        <v>368</v>
      </c>
      <c r="B867" s="21" t="s">
        <v>119</v>
      </c>
      <c r="C867" s="29" t="s">
        <v>1003</v>
      </c>
      <c r="D867" s="43" t="s">
        <v>1447</v>
      </c>
      <c r="E867" s="21" t="s">
        <v>1522</v>
      </c>
      <c r="F867" s="22"/>
      <c r="G867" s="22" t="s">
        <v>1586</v>
      </c>
      <c r="H867" s="22" t="s">
        <v>300</v>
      </c>
      <c r="I867" s="67">
        <v>1400</v>
      </c>
      <c r="J867" s="75" t="s">
        <v>248</v>
      </c>
      <c r="K867" s="112">
        <v>3</v>
      </c>
      <c r="L867" s="218" t="s">
        <v>1761</v>
      </c>
      <c r="M867" s="3"/>
    </row>
    <row r="868" spans="1:13" ht="16.5">
      <c r="A868" s="21" t="s">
        <v>443</v>
      </c>
      <c r="B868" s="21" t="s">
        <v>120</v>
      </c>
      <c r="C868" s="28" t="s">
        <v>1004</v>
      </c>
      <c r="D868" s="46" t="s">
        <v>585</v>
      </c>
      <c r="E868" s="21" t="s">
        <v>1522</v>
      </c>
      <c r="F868" s="24"/>
      <c r="G868" s="22" t="s">
        <v>1586</v>
      </c>
      <c r="H868" s="22" t="s">
        <v>300</v>
      </c>
      <c r="I868" s="67">
        <v>1410</v>
      </c>
      <c r="J868" s="75" t="s">
        <v>249</v>
      </c>
      <c r="K868" s="112">
        <v>3</v>
      </c>
      <c r="L868" s="218" t="s">
        <v>1761</v>
      </c>
      <c r="M868" s="3"/>
    </row>
    <row r="869" spans="1:13" ht="16.5">
      <c r="A869" s="21" t="s">
        <v>519</v>
      </c>
      <c r="B869" s="21" t="s">
        <v>117</v>
      </c>
      <c r="C869" s="28" t="s">
        <v>1001</v>
      </c>
      <c r="D869" s="43"/>
      <c r="E869" s="21" t="s">
        <v>1522</v>
      </c>
      <c r="F869" s="22"/>
      <c r="G869" s="22" t="s">
        <v>1586</v>
      </c>
      <c r="H869" s="22" t="s">
        <v>286</v>
      </c>
      <c r="I869" s="67">
        <v>1110</v>
      </c>
      <c r="J869" s="73" t="s">
        <v>1299</v>
      </c>
      <c r="K869" s="112">
        <v>4</v>
      </c>
      <c r="L869" s="218" t="s">
        <v>1761</v>
      </c>
      <c r="M869" s="3"/>
    </row>
    <row r="870" spans="1:13" ht="33">
      <c r="A870" s="125" t="s">
        <v>505</v>
      </c>
      <c r="B870" s="125" t="s">
        <v>99</v>
      </c>
      <c r="C870" s="256" t="s">
        <v>1884</v>
      </c>
      <c r="D870" s="123" t="s">
        <v>2678</v>
      </c>
      <c r="E870" s="125"/>
      <c r="F870" s="131"/>
      <c r="G870" s="257" t="s">
        <v>1586</v>
      </c>
      <c r="H870" s="131" t="s">
        <v>286</v>
      </c>
      <c r="I870" s="133">
        <v>2010</v>
      </c>
      <c r="J870" s="134" t="s">
        <v>2677</v>
      </c>
      <c r="K870" s="131" t="s">
        <v>753</v>
      </c>
      <c r="L870" s="253" t="s">
        <v>1761</v>
      </c>
      <c r="M870" s="289"/>
    </row>
    <row r="871" spans="1:13" ht="16.5">
      <c r="A871" s="21" t="s">
        <v>597</v>
      </c>
      <c r="B871" s="21" t="s">
        <v>98</v>
      </c>
      <c r="C871" s="28" t="s">
        <v>992</v>
      </c>
      <c r="D871" s="43"/>
      <c r="E871" s="21" t="s">
        <v>1522</v>
      </c>
      <c r="F871" s="22" t="s">
        <v>1329</v>
      </c>
      <c r="G871" s="22" t="s">
        <v>1586</v>
      </c>
      <c r="H871" s="22" t="s">
        <v>1088</v>
      </c>
      <c r="I871" s="24">
        <v>1010</v>
      </c>
      <c r="J871" s="26" t="s">
        <v>1512</v>
      </c>
      <c r="K871" s="110">
        <v>3</v>
      </c>
      <c r="L871" s="218" t="s">
        <v>1777</v>
      </c>
      <c r="M871" s="3"/>
    </row>
    <row r="872" spans="1:13" ht="16.5">
      <c r="A872" s="21" t="s">
        <v>44</v>
      </c>
      <c r="B872" s="21"/>
      <c r="C872" s="28" t="s">
        <v>1305</v>
      </c>
      <c r="D872" s="43"/>
      <c r="E872" s="21" t="s">
        <v>1522</v>
      </c>
      <c r="F872" s="22"/>
      <c r="G872" s="22" t="s">
        <v>1586</v>
      </c>
      <c r="H872" s="107" t="s">
        <v>1601</v>
      </c>
      <c r="I872" s="108">
        <v>1010</v>
      </c>
      <c r="J872" s="95" t="s">
        <v>1602</v>
      </c>
      <c r="K872" s="115" t="s">
        <v>637</v>
      </c>
      <c r="L872" s="218"/>
      <c r="M872" s="3"/>
    </row>
    <row r="873" spans="1:13" ht="16.5">
      <c r="A873" s="21" t="s">
        <v>307</v>
      </c>
      <c r="B873" s="21" t="s">
        <v>575</v>
      </c>
      <c r="C873" s="28" t="s">
        <v>1072</v>
      </c>
      <c r="D873" s="43"/>
      <c r="E873" s="21" t="s">
        <v>1522</v>
      </c>
      <c r="F873" s="22"/>
      <c r="G873" s="22" t="s">
        <v>1586</v>
      </c>
      <c r="H873" s="24" t="s">
        <v>421</v>
      </c>
      <c r="I873" s="199">
        <v>1000</v>
      </c>
      <c r="J873" s="76" t="s">
        <v>1460</v>
      </c>
      <c r="K873" s="112">
        <v>2</v>
      </c>
      <c r="L873" s="218" t="s">
        <v>1761</v>
      </c>
      <c r="M873" s="1"/>
    </row>
    <row r="874" spans="1:13" ht="16.5">
      <c r="A874" s="21" t="s">
        <v>616</v>
      </c>
      <c r="B874" s="21" t="s">
        <v>574</v>
      </c>
      <c r="C874" s="28" t="s">
        <v>1073</v>
      </c>
      <c r="D874" s="43" t="s">
        <v>1749</v>
      </c>
      <c r="E874" s="21" t="s">
        <v>1522</v>
      </c>
      <c r="F874" s="22"/>
      <c r="G874" s="22" t="s">
        <v>1586</v>
      </c>
      <c r="H874" s="24" t="s">
        <v>421</v>
      </c>
      <c r="I874" s="199">
        <v>1040</v>
      </c>
      <c r="J874" s="75" t="s">
        <v>1244</v>
      </c>
      <c r="K874" s="112">
        <v>3</v>
      </c>
      <c r="L874" s="218" t="s">
        <v>1761</v>
      </c>
      <c r="M874" s="3"/>
    </row>
    <row r="875" spans="1:13" ht="16.5">
      <c r="A875" s="21" t="s">
        <v>1020</v>
      </c>
      <c r="B875" s="21" t="s">
        <v>122</v>
      </c>
      <c r="C875" s="28" t="s">
        <v>191</v>
      </c>
      <c r="D875" s="43" t="s">
        <v>48</v>
      </c>
      <c r="E875" s="21" t="s">
        <v>1522</v>
      </c>
      <c r="F875" s="22"/>
      <c r="G875" s="22" t="s">
        <v>1586</v>
      </c>
      <c r="H875" s="24" t="s">
        <v>421</v>
      </c>
      <c r="I875" s="67">
        <v>1070</v>
      </c>
      <c r="J875" s="75" t="s">
        <v>955</v>
      </c>
      <c r="K875" s="112">
        <v>3</v>
      </c>
      <c r="L875" s="218" t="s">
        <v>1761</v>
      </c>
      <c r="M875" s="3"/>
    </row>
    <row r="876" spans="1:13" ht="16.5">
      <c r="A876" s="21" t="s">
        <v>306</v>
      </c>
      <c r="B876" s="21" t="s">
        <v>571</v>
      </c>
      <c r="C876" s="28" t="s">
        <v>1071</v>
      </c>
      <c r="D876" s="43" t="s">
        <v>48</v>
      </c>
      <c r="E876" s="21" t="s">
        <v>1522</v>
      </c>
      <c r="F876" s="22"/>
      <c r="G876" s="22" t="s">
        <v>1586</v>
      </c>
      <c r="H876" s="24" t="s">
        <v>421</v>
      </c>
      <c r="I876" s="67">
        <v>1100</v>
      </c>
      <c r="J876" s="75" t="s">
        <v>1245</v>
      </c>
      <c r="K876" s="112">
        <v>3</v>
      </c>
      <c r="L876" s="218" t="s">
        <v>1761</v>
      </c>
      <c r="M876" s="3"/>
    </row>
    <row r="877" spans="1:13" ht="16.5">
      <c r="A877" s="21" t="s">
        <v>50</v>
      </c>
      <c r="B877" s="21"/>
      <c r="C877" s="28" t="s">
        <v>1062</v>
      </c>
      <c r="D877" s="43" t="s">
        <v>48</v>
      </c>
      <c r="E877" s="21" t="s">
        <v>1522</v>
      </c>
      <c r="F877" s="22"/>
      <c r="G877" s="22" t="s">
        <v>1586</v>
      </c>
      <c r="H877" s="24" t="s">
        <v>421</v>
      </c>
      <c r="I877" s="67">
        <v>2020</v>
      </c>
      <c r="J877" s="75" t="s">
        <v>1511</v>
      </c>
      <c r="K877" s="112">
        <v>3</v>
      </c>
      <c r="L877" s="218" t="s">
        <v>1761</v>
      </c>
      <c r="M877" s="3"/>
    </row>
    <row r="878" spans="1:13" ht="66">
      <c r="A878" s="21" t="s">
        <v>1712</v>
      </c>
      <c r="B878" s="21"/>
      <c r="C878" s="28" t="s">
        <v>1711</v>
      </c>
      <c r="D878" s="43" t="s">
        <v>1287</v>
      </c>
      <c r="E878" s="21" t="s">
        <v>1522</v>
      </c>
      <c r="F878" s="22" t="s">
        <v>533</v>
      </c>
      <c r="G878" s="22" t="s">
        <v>1586</v>
      </c>
      <c r="H878" s="22" t="s">
        <v>1091</v>
      </c>
      <c r="I878" s="24">
        <v>1010</v>
      </c>
      <c r="J878" s="26" t="s">
        <v>1416</v>
      </c>
      <c r="K878" s="110">
        <v>3</v>
      </c>
      <c r="L878" s="218" t="s">
        <v>1780</v>
      </c>
      <c r="M878" s="3"/>
    </row>
    <row r="879" spans="1:13" ht="66">
      <c r="A879" s="21" t="s">
        <v>229</v>
      </c>
      <c r="B879" s="21"/>
      <c r="C879" s="28" t="s">
        <v>295</v>
      </c>
      <c r="D879" s="60" t="s">
        <v>786</v>
      </c>
      <c r="E879" s="21" t="s">
        <v>1522</v>
      </c>
      <c r="F879" s="22" t="s">
        <v>533</v>
      </c>
      <c r="G879" s="22" t="s">
        <v>1586</v>
      </c>
      <c r="H879" s="22" t="s">
        <v>1091</v>
      </c>
      <c r="I879" s="68">
        <v>2010</v>
      </c>
      <c r="J879" s="26" t="s">
        <v>1288</v>
      </c>
      <c r="K879" s="110" t="s">
        <v>753</v>
      </c>
      <c r="L879" s="218" t="s">
        <v>1767</v>
      </c>
      <c r="M879" s="3"/>
    </row>
    <row r="880" spans="1:13" ht="16.5">
      <c r="A880" s="21" t="s">
        <v>1861</v>
      </c>
      <c r="B880" s="21"/>
      <c r="C880" s="28" t="s">
        <v>1665</v>
      </c>
      <c r="D880" s="43" t="s">
        <v>1565</v>
      </c>
      <c r="E880" s="21" t="s">
        <v>1522</v>
      </c>
      <c r="F880" s="22" t="s">
        <v>534</v>
      </c>
      <c r="G880" s="22" t="s">
        <v>1586</v>
      </c>
      <c r="H880" s="22" t="s">
        <v>1091</v>
      </c>
      <c r="I880" s="68">
        <v>2200</v>
      </c>
      <c r="J880" s="26" t="s">
        <v>1418</v>
      </c>
      <c r="K880" s="110">
        <v>3</v>
      </c>
      <c r="L880" s="218" t="s">
        <v>1777</v>
      </c>
      <c r="M880" s="178"/>
    </row>
    <row r="881" spans="1:13" ht="16.5">
      <c r="A881" s="21" t="s">
        <v>231</v>
      </c>
      <c r="B881" s="21"/>
      <c r="C881" s="28" t="s">
        <v>1055</v>
      </c>
      <c r="D881" s="43" t="s">
        <v>1565</v>
      </c>
      <c r="E881" s="21" t="s">
        <v>1522</v>
      </c>
      <c r="F881" s="22" t="s">
        <v>446</v>
      </c>
      <c r="G881" s="22" t="s">
        <v>1586</v>
      </c>
      <c r="H881" s="22" t="s">
        <v>1091</v>
      </c>
      <c r="I881" s="24">
        <v>2300</v>
      </c>
      <c r="J881" s="26" t="s">
        <v>1092</v>
      </c>
      <c r="K881" s="110">
        <v>3</v>
      </c>
      <c r="L881" s="218" t="s">
        <v>1767</v>
      </c>
      <c r="M881" s="3"/>
    </row>
    <row r="882" spans="1:13" ht="16.5">
      <c r="A882" s="21" t="s">
        <v>927</v>
      </c>
      <c r="B882" s="21" t="s">
        <v>135</v>
      </c>
      <c r="C882" s="28" t="s">
        <v>1440</v>
      </c>
      <c r="D882" s="43" t="s">
        <v>1215</v>
      </c>
      <c r="E882" s="21" t="s">
        <v>1522</v>
      </c>
      <c r="F882" s="22"/>
      <c r="G882" s="22" t="s">
        <v>1586</v>
      </c>
      <c r="H882" s="24" t="s">
        <v>814</v>
      </c>
      <c r="I882" s="68">
        <v>1000</v>
      </c>
      <c r="J882" s="75" t="s">
        <v>1184</v>
      </c>
      <c r="K882" s="110">
        <v>3</v>
      </c>
      <c r="L882" s="218" t="s">
        <v>1761</v>
      </c>
      <c r="M882" s="1"/>
    </row>
    <row r="883" spans="1:13" ht="16.5">
      <c r="A883" s="21" t="s">
        <v>815</v>
      </c>
      <c r="B883" s="21" t="s">
        <v>561</v>
      </c>
      <c r="C883" s="28" t="s">
        <v>277</v>
      </c>
      <c r="D883" s="43"/>
      <c r="E883" s="21" t="s">
        <v>1522</v>
      </c>
      <c r="F883" s="22"/>
      <c r="G883" s="22" t="s">
        <v>1586</v>
      </c>
      <c r="H883" s="22" t="s">
        <v>917</v>
      </c>
      <c r="I883" s="67">
        <v>1110</v>
      </c>
      <c r="J883" s="26" t="s">
        <v>1185</v>
      </c>
      <c r="K883" s="112">
        <v>3</v>
      </c>
      <c r="L883" s="218" t="s">
        <v>1761</v>
      </c>
      <c r="M883" s="3"/>
    </row>
    <row r="884" spans="1:13" ht="16.5">
      <c r="A884" s="19" t="s">
        <v>523</v>
      </c>
      <c r="B884" s="20" t="s">
        <v>123</v>
      </c>
      <c r="C884" s="28" t="s">
        <v>1005</v>
      </c>
      <c r="D884" s="43"/>
      <c r="E884" s="21" t="s">
        <v>1522</v>
      </c>
      <c r="F884" s="22"/>
      <c r="G884" s="22" t="s">
        <v>1586</v>
      </c>
      <c r="H884" s="22" t="s">
        <v>2522</v>
      </c>
      <c r="I884" s="24">
        <v>1140</v>
      </c>
      <c r="J884" s="26" t="s">
        <v>1384</v>
      </c>
      <c r="K884" s="110">
        <v>6</v>
      </c>
      <c r="L884" s="218" t="s">
        <v>1761</v>
      </c>
      <c r="M884" s="3"/>
    </row>
    <row r="885" spans="1:13" ht="16.5">
      <c r="A885" s="21" t="s">
        <v>726</v>
      </c>
      <c r="B885" s="21" t="s">
        <v>563</v>
      </c>
      <c r="C885" s="28" t="s">
        <v>278</v>
      </c>
      <c r="D885" s="43"/>
      <c r="E885" s="21" t="s">
        <v>1522</v>
      </c>
      <c r="F885" s="22"/>
      <c r="G885" s="22" t="s">
        <v>1586</v>
      </c>
      <c r="H885" s="22" t="s">
        <v>2522</v>
      </c>
      <c r="I885" s="24">
        <v>1140</v>
      </c>
      <c r="J885" s="26" t="s">
        <v>1384</v>
      </c>
      <c r="K885" s="110">
        <v>6</v>
      </c>
      <c r="L885" s="218" t="s">
        <v>1761</v>
      </c>
      <c r="M885" s="3"/>
    </row>
    <row r="886" spans="1:13" ht="16.5">
      <c r="A886" s="21" t="s">
        <v>726</v>
      </c>
      <c r="B886" s="21" t="s">
        <v>563</v>
      </c>
      <c r="C886" s="28" t="s">
        <v>278</v>
      </c>
      <c r="D886" s="43"/>
      <c r="E886" s="21" t="s">
        <v>1522</v>
      </c>
      <c r="F886" s="22"/>
      <c r="G886" s="22" t="s">
        <v>1586</v>
      </c>
      <c r="H886" s="22" t="s">
        <v>2496</v>
      </c>
      <c r="I886" s="68">
        <v>1000</v>
      </c>
      <c r="J886" s="26" t="s">
        <v>1382</v>
      </c>
      <c r="K886" s="110">
        <v>3</v>
      </c>
      <c r="L886" s="218" t="s">
        <v>1761</v>
      </c>
      <c r="M886" s="3"/>
    </row>
    <row r="888" spans="1:13" ht="16.5">
      <c r="A888" s="21" t="s">
        <v>33</v>
      </c>
      <c r="B888" s="219"/>
      <c r="C888" s="43" t="s">
        <v>1626</v>
      </c>
      <c r="D888" s="101"/>
      <c r="E888" s="21" t="s">
        <v>1522</v>
      </c>
      <c r="F888" s="22"/>
      <c r="G888" s="22" t="s">
        <v>1586</v>
      </c>
      <c r="H888" s="22" t="s">
        <v>356</v>
      </c>
      <c r="I888" s="24">
        <v>1010</v>
      </c>
      <c r="J888" s="26" t="s">
        <v>612</v>
      </c>
      <c r="K888" s="110">
        <v>5</v>
      </c>
      <c r="L888" s="218" t="s">
        <v>1761</v>
      </c>
      <c r="M888" s="178"/>
    </row>
    <row r="889" spans="1:13" ht="16.5">
      <c r="A889" s="21" t="s">
        <v>1624</v>
      </c>
      <c r="B889" s="21"/>
      <c r="C889" s="43" t="s">
        <v>1625</v>
      </c>
      <c r="D889" s="43"/>
      <c r="E889" s="21" t="s">
        <v>1522</v>
      </c>
      <c r="F889" s="22"/>
      <c r="G889" s="22" t="s">
        <v>1586</v>
      </c>
      <c r="H889" s="22" t="s">
        <v>356</v>
      </c>
      <c r="I889" s="24">
        <v>1020</v>
      </c>
      <c r="J889" s="26" t="s">
        <v>613</v>
      </c>
      <c r="K889" s="110">
        <v>5</v>
      </c>
      <c r="L889" s="218" t="s">
        <v>1761</v>
      </c>
      <c r="M889" s="178"/>
    </row>
    <row r="890" spans="1:13" ht="33">
      <c r="A890" s="21" t="s">
        <v>1644</v>
      </c>
      <c r="B890" s="21"/>
      <c r="C890" s="43" t="s">
        <v>1645</v>
      </c>
      <c r="D890" s="123" t="s">
        <v>2688</v>
      </c>
      <c r="E890" s="21" t="s">
        <v>1522</v>
      </c>
      <c r="F890" s="22"/>
      <c r="G890" s="22" t="s">
        <v>1586</v>
      </c>
      <c r="H890" s="22" t="s">
        <v>356</v>
      </c>
      <c r="I890" s="68">
        <v>2010</v>
      </c>
      <c r="J890" s="26" t="s">
        <v>614</v>
      </c>
      <c r="K890" s="110">
        <v>5</v>
      </c>
      <c r="L890" s="218" t="s">
        <v>1761</v>
      </c>
      <c r="M890" s="272"/>
    </row>
    <row r="891" spans="1:13" ht="16.5">
      <c r="A891" s="21" t="s">
        <v>726</v>
      </c>
      <c r="B891" s="21" t="s">
        <v>563</v>
      </c>
      <c r="C891" s="28" t="s">
        <v>278</v>
      </c>
      <c r="D891" s="43"/>
      <c r="E891" s="21" t="s">
        <v>1522</v>
      </c>
      <c r="F891" s="22"/>
      <c r="G891" s="22" t="s">
        <v>1586</v>
      </c>
      <c r="H891" s="22" t="s">
        <v>423</v>
      </c>
      <c r="I891" s="68">
        <v>1400</v>
      </c>
      <c r="J891" s="26" t="s">
        <v>1385</v>
      </c>
      <c r="K891" s="110" t="s">
        <v>642</v>
      </c>
      <c r="L891" s="218" t="s">
        <v>1761</v>
      </c>
      <c r="M891" s="3"/>
    </row>
    <row r="892" spans="1:13" ht="49.5">
      <c r="A892" s="21" t="s">
        <v>747</v>
      </c>
      <c r="B892" s="21"/>
      <c r="C892" s="28" t="s">
        <v>1137</v>
      </c>
      <c r="D892" s="43" t="s">
        <v>729</v>
      </c>
      <c r="E892" s="21" t="s">
        <v>1522</v>
      </c>
      <c r="F892" s="22" t="s">
        <v>1332</v>
      </c>
      <c r="G892" s="22" t="s">
        <v>1586</v>
      </c>
      <c r="H892" s="22" t="s">
        <v>1386</v>
      </c>
      <c r="I892" s="67">
        <v>1010</v>
      </c>
      <c r="J892" s="73" t="s">
        <v>1186</v>
      </c>
      <c r="K892" s="110" t="s">
        <v>753</v>
      </c>
      <c r="L892" s="218" t="s">
        <v>1777</v>
      </c>
      <c r="M892" s="3"/>
    </row>
    <row r="893" spans="1:13" ht="49.5">
      <c r="A893" s="21" t="s">
        <v>747</v>
      </c>
      <c r="B893" s="21"/>
      <c r="C893" s="28" t="s">
        <v>1137</v>
      </c>
      <c r="D893" s="43" t="s">
        <v>730</v>
      </c>
      <c r="E893" s="21" t="s">
        <v>1522</v>
      </c>
      <c r="F893" s="22"/>
      <c r="G893" s="22" t="s">
        <v>1586</v>
      </c>
      <c r="H893" s="22" t="s">
        <v>1386</v>
      </c>
      <c r="I893" s="67">
        <v>1015</v>
      </c>
      <c r="J893" s="73" t="s">
        <v>1187</v>
      </c>
      <c r="K893" s="110" t="s">
        <v>638</v>
      </c>
      <c r="L893" s="218" t="s">
        <v>1761</v>
      </c>
      <c r="M893" s="3"/>
    </row>
    <row r="894" spans="1:13" ht="16.5">
      <c r="A894" s="21" t="s">
        <v>0</v>
      </c>
      <c r="B894" s="21"/>
      <c r="C894" s="28" t="s">
        <v>1138</v>
      </c>
      <c r="D894" s="43"/>
      <c r="E894" s="21" t="s">
        <v>1521</v>
      </c>
      <c r="F894" s="22" t="s">
        <v>1329</v>
      </c>
      <c r="G894" s="22" t="s">
        <v>1586</v>
      </c>
      <c r="H894" s="22" t="s">
        <v>1098</v>
      </c>
      <c r="I894" s="67">
        <v>1300</v>
      </c>
      <c r="J894" s="73" t="s">
        <v>232</v>
      </c>
      <c r="K894" s="112">
        <v>3</v>
      </c>
      <c r="L894" s="218" t="s">
        <v>1767</v>
      </c>
      <c r="M894" s="3"/>
    </row>
    <row r="895" spans="1:13" ht="16.5">
      <c r="A895" s="21" t="s">
        <v>61</v>
      </c>
      <c r="B895" s="21" t="s">
        <v>62</v>
      </c>
      <c r="C895" s="28" t="s">
        <v>1133</v>
      </c>
      <c r="D895" s="43"/>
      <c r="E895" s="21" t="s">
        <v>1522</v>
      </c>
      <c r="F895" s="22" t="s">
        <v>1329</v>
      </c>
      <c r="G895" s="22" t="s">
        <v>1586</v>
      </c>
      <c r="H895" s="22" t="s">
        <v>1098</v>
      </c>
      <c r="I895" s="68">
        <v>1300</v>
      </c>
      <c r="J895" s="26" t="s">
        <v>232</v>
      </c>
      <c r="K895" s="110" t="s">
        <v>753</v>
      </c>
      <c r="L895" s="218" t="s">
        <v>1767</v>
      </c>
      <c r="M895" s="3"/>
    </row>
    <row r="896" spans="1:13" ht="66">
      <c r="A896" s="21" t="s">
        <v>1639</v>
      </c>
      <c r="B896" s="21"/>
      <c r="C896" s="28" t="s">
        <v>1640</v>
      </c>
      <c r="D896" s="101" t="s">
        <v>1802</v>
      </c>
      <c r="E896" s="21" t="s">
        <v>1522</v>
      </c>
      <c r="F896" s="22"/>
      <c r="G896" s="22" t="s">
        <v>1586</v>
      </c>
      <c r="H896" s="22" t="s">
        <v>470</v>
      </c>
      <c r="I896" s="24">
        <v>1010</v>
      </c>
      <c r="J896" s="26" t="s">
        <v>1449</v>
      </c>
      <c r="K896" s="110">
        <v>5</v>
      </c>
      <c r="L896" s="218" t="s">
        <v>1761</v>
      </c>
      <c r="M896" s="3"/>
    </row>
    <row r="897" spans="1:13" ht="16.5">
      <c r="A897" s="21" t="s">
        <v>1641</v>
      </c>
      <c r="B897" s="21"/>
      <c r="C897" s="28" t="s">
        <v>1642</v>
      </c>
      <c r="D897" s="43" t="s">
        <v>731</v>
      </c>
      <c r="E897" s="21" t="s">
        <v>1522</v>
      </c>
      <c r="F897" s="22"/>
      <c r="G897" s="22" t="s">
        <v>1586</v>
      </c>
      <c r="H897" s="22" t="s">
        <v>470</v>
      </c>
      <c r="I897" s="24">
        <v>1020</v>
      </c>
      <c r="J897" s="26" t="s">
        <v>676</v>
      </c>
      <c r="K897" s="110">
        <v>5</v>
      </c>
      <c r="L897" s="218" t="s">
        <v>1761</v>
      </c>
      <c r="M897" s="3"/>
    </row>
    <row r="898" spans="1:13" ht="33">
      <c r="A898" s="21" t="s">
        <v>1648</v>
      </c>
      <c r="B898" s="21"/>
      <c r="C898" s="28" t="s">
        <v>1649</v>
      </c>
      <c r="D898" s="123" t="s">
        <v>2685</v>
      </c>
      <c r="E898" s="21" t="s">
        <v>1522</v>
      </c>
      <c r="F898" s="22"/>
      <c r="G898" s="22" t="s">
        <v>1586</v>
      </c>
      <c r="H898" s="22" t="s">
        <v>470</v>
      </c>
      <c r="I898" s="68">
        <v>2010</v>
      </c>
      <c r="J898" s="26" t="s">
        <v>1387</v>
      </c>
      <c r="K898" s="110">
        <v>5</v>
      </c>
      <c r="L898" s="218" t="s">
        <v>1761</v>
      </c>
      <c r="M898" s="272"/>
    </row>
    <row r="899" spans="1:13" ht="16.5">
      <c r="A899" s="21" t="s">
        <v>1539</v>
      </c>
      <c r="B899" s="21"/>
      <c r="C899" s="28" t="s">
        <v>1425</v>
      </c>
      <c r="D899" s="43"/>
      <c r="E899" s="21" t="s">
        <v>1522</v>
      </c>
      <c r="F899" s="22" t="s">
        <v>1329</v>
      </c>
      <c r="G899" s="22" t="s">
        <v>1586</v>
      </c>
      <c r="H899" s="22" t="s">
        <v>1101</v>
      </c>
      <c r="I899" s="68">
        <v>1100</v>
      </c>
      <c r="J899" s="26" t="s">
        <v>1030</v>
      </c>
      <c r="K899" s="110" t="s">
        <v>753</v>
      </c>
      <c r="L899" s="218" t="s">
        <v>1761</v>
      </c>
      <c r="M899" s="3"/>
    </row>
    <row r="900" spans="1:13" ht="71.25" customHeight="1">
      <c r="A900" s="21" t="s">
        <v>1028</v>
      </c>
      <c r="B900" s="21"/>
      <c r="C900" s="28" t="s">
        <v>646</v>
      </c>
      <c r="D900" s="43" t="s">
        <v>610</v>
      </c>
      <c r="E900" s="21" t="s">
        <v>1521</v>
      </c>
      <c r="F900" s="22" t="s">
        <v>1329</v>
      </c>
      <c r="G900" s="22" t="s">
        <v>1586</v>
      </c>
      <c r="H900" s="22" t="s">
        <v>1101</v>
      </c>
      <c r="I900" s="68">
        <v>1100</v>
      </c>
      <c r="J900" s="26" t="s">
        <v>1030</v>
      </c>
      <c r="K900" s="110" t="s">
        <v>753</v>
      </c>
      <c r="L900" s="218" t="s">
        <v>1761</v>
      </c>
      <c r="M900" s="3"/>
    </row>
    <row r="901" spans="1:13" ht="33">
      <c r="A901" s="21" t="s">
        <v>648</v>
      </c>
      <c r="B901" s="21"/>
      <c r="C901" s="28" t="s">
        <v>647</v>
      </c>
      <c r="D901" s="43" t="s">
        <v>330</v>
      </c>
      <c r="E901" s="21" t="s">
        <v>1521</v>
      </c>
      <c r="F901" s="22" t="s">
        <v>1329</v>
      </c>
      <c r="G901" s="22" t="s">
        <v>1586</v>
      </c>
      <c r="H901" s="22" t="s">
        <v>1101</v>
      </c>
      <c r="I901" s="68">
        <v>1110</v>
      </c>
      <c r="J901" s="26" t="s">
        <v>1031</v>
      </c>
      <c r="K901" s="110" t="s">
        <v>753</v>
      </c>
      <c r="L901" s="218" t="s">
        <v>1761</v>
      </c>
      <c r="M901" s="3"/>
    </row>
    <row r="902" spans="1:13" ht="16.5">
      <c r="A902" s="21" t="s">
        <v>1539</v>
      </c>
      <c r="B902" s="21"/>
      <c r="C902" s="28" t="s">
        <v>1425</v>
      </c>
      <c r="D902" s="43"/>
      <c r="E902" s="21" t="s">
        <v>1522</v>
      </c>
      <c r="F902" s="22" t="s">
        <v>1329</v>
      </c>
      <c r="G902" s="22" t="s">
        <v>1586</v>
      </c>
      <c r="H902" s="22" t="s">
        <v>1101</v>
      </c>
      <c r="I902" s="68">
        <v>1110</v>
      </c>
      <c r="J902" s="26" t="s">
        <v>1031</v>
      </c>
      <c r="K902" s="110" t="s">
        <v>753</v>
      </c>
      <c r="L902" s="218" t="s">
        <v>1761</v>
      </c>
      <c r="M902" s="3"/>
    </row>
    <row r="903" spans="1:13" ht="17.25" customHeight="1">
      <c r="A903" s="45" t="s">
        <v>384</v>
      </c>
      <c r="B903" s="45"/>
      <c r="C903" s="28" t="s">
        <v>1428</v>
      </c>
      <c r="D903" s="43" t="s">
        <v>2739</v>
      </c>
      <c r="E903" s="21" t="s">
        <v>1521</v>
      </c>
      <c r="F903" s="22" t="s">
        <v>70</v>
      </c>
      <c r="G903" s="22" t="s">
        <v>1586</v>
      </c>
      <c r="H903" s="22" t="s">
        <v>1101</v>
      </c>
      <c r="I903" s="67">
        <v>1700</v>
      </c>
      <c r="J903" s="73" t="s">
        <v>429</v>
      </c>
      <c r="K903" s="112">
        <v>3</v>
      </c>
      <c r="L903" s="218" t="s">
        <v>1767</v>
      </c>
      <c r="M903" s="3"/>
    </row>
    <row r="904" spans="1:13" ht="18.75" customHeight="1">
      <c r="A904" s="21" t="s">
        <v>1539</v>
      </c>
      <c r="B904" s="21"/>
      <c r="C904" s="28" t="s">
        <v>1425</v>
      </c>
      <c r="D904" s="43" t="s">
        <v>2738</v>
      </c>
      <c r="E904" s="21" t="s">
        <v>1522</v>
      </c>
      <c r="F904" s="22" t="s">
        <v>70</v>
      </c>
      <c r="G904" s="22" t="s">
        <v>1586</v>
      </c>
      <c r="H904" s="22" t="s">
        <v>1101</v>
      </c>
      <c r="I904" s="67">
        <v>1700</v>
      </c>
      <c r="J904" s="73" t="s">
        <v>429</v>
      </c>
      <c r="K904" s="112">
        <v>3</v>
      </c>
      <c r="L904" s="218" t="s">
        <v>1761</v>
      </c>
      <c r="M904" s="3"/>
    </row>
    <row r="905" spans="1:13" ht="16.5">
      <c r="A905" s="21" t="s">
        <v>1539</v>
      </c>
      <c r="B905" s="21"/>
      <c r="C905" s="28" t="s">
        <v>1425</v>
      </c>
      <c r="D905" s="43"/>
      <c r="E905" s="21" t="s">
        <v>1522</v>
      </c>
      <c r="F905" s="22" t="s">
        <v>1329</v>
      </c>
      <c r="G905" s="22" t="s">
        <v>1586</v>
      </c>
      <c r="H905" s="22" t="s">
        <v>1101</v>
      </c>
      <c r="I905" s="67">
        <v>2700</v>
      </c>
      <c r="J905" s="26" t="s">
        <v>163</v>
      </c>
      <c r="K905" s="110" t="s">
        <v>753</v>
      </c>
      <c r="L905" s="218" t="s">
        <v>1767</v>
      </c>
      <c r="M905" s="3"/>
    </row>
    <row r="906" spans="1:13" ht="16.5">
      <c r="A906" s="165" t="s">
        <v>1306</v>
      </c>
      <c r="B906" s="21"/>
      <c r="C906" s="28" t="s">
        <v>162</v>
      </c>
      <c r="D906" s="43"/>
      <c r="E906" s="21" t="s">
        <v>1521</v>
      </c>
      <c r="F906" s="22" t="s">
        <v>1329</v>
      </c>
      <c r="G906" s="22" t="s">
        <v>1586</v>
      </c>
      <c r="H906" s="22" t="s">
        <v>285</v>
      </c>
      <c r="I906" s="67">
        <v>2710</v>
      </c>
      <c r="J906" s="26" t="s">
        <v>155</v>
      </c>
      <c r="K906" s="110" t="s">
        <v>753</v>
      </c>
      <c r="L906" s="218" t="s">
        <v>1767</v>
      </c>
      <c r="M906" s="3"/>
    </row>
    <row r="907" spans="1:13" ht="16.5">
      <c r="A907" s="21" t="s">
        <v>525</v>
      </c>
      <c r="B907" s="21" t="s">
        <v>882</v>
      </c>
      <c r="C907" s="28" t="s">
        <v>1007</v>
      </c>
      <c r="D907" s="43"/>
      <c r="E907" s="21" t="s">
        <v>1522</v>
      </c>
      <c r="F907" s="22"/>
      <c r="G907" s="22" t="s">
        <v>1586</v>
      </c>
      <c r="H907" s="22" t="s">
        <v>928</v>
      </c>
      <c r="I907" s="24">
        <v>1200</v>
      </c>
      <c r="J907" s="26" t="s">
        <v>1389</v>
      </c>
      <c r="K907" s="112">
        <v>2</v>
      </c>
      <c r="L907" s="218" t="s">
        <v>1777</v>
      </c>
      <c r="M907" s="3"/>
    </row>
    <row r="908" spans="1:13" ht="16.5">
      <c r="A908" s="21" t="s">
        <v>522</v>
      </c>
      <c r="B908" s="21" t="s">
        <v>880</v>
      </c>
      <c r="C908" s="28" t="s">
        <v>1060</v>
      </c>
      <c r="D908" s="102"/>
      <c r="E908" s="21" t="s">
        <v>1522</v>
      </c>
      <c r="F908" s="22" t="s">
        <v>1329</v>
      </c>
      <c r="G908" s="22" t="s">
        <v>1586</v>
      </c>
      <c r="H908" s="22" t="s">
        <v>928</v>
      </c>
      <c r="I908" s="68">
        <v>2600</v>
      </c>
      <c r="J908" s="26" t="s">
        <v>1371</v>
      </c>
      <c r="K908" s="110" t="s">
        <v>753</v>
      </c>
      <c r="L908" s="218" t="s">
        <v>1777</v>
      </c>
      <c r="M908" s="3"/>
    </row>
    <row r="909" spans="1:13" ht="16.5">
      <c r="A909" s="21" t="s">
        <v>61</v>
      </c>
      <c r="B909" s="21" t="s">
        <v>62</v>
      </c>
      <c r="C909" s="28" t="s">
        <v>1133</v>
      </c>
      <c r="D909" s="102"/>
      <c r="E909" s="21" t="s">
        <v>1522</v>
      </c>
      <c r="F909" s="22"/>
      <c r="G909" s="22" t="s">
        <v>1586</v>
      </c>
      <c r="H909" s="22" t="s">
        <v>1392</v>
      </c>
      <c r="I909" s="68">
        <v>1010</v>
      </c>
      <c r="J909" s="26" t="s">
        <v>2559</v>
      </c>
      <c r="K909" s="22" t="s">
        <v>753</v>
      </c>
      <c r="L909" s="218" t="s">
        <v>1761</v>
      </c>
      <c r="M909" s="3"/>
    </row>
    <row r="910" spans="1:13" ht="16.5">
      <c r="A910" s="21" t="s">
        <v>364</v>
      </c>
      <c r="B910" s="21" t="s">
        <v>109</v>
      </c>
      <c r="C910" s="28" t="s">
        <v>1583</v>
      </c>
      <c r="D910" s="43"/>
      <c r="E910" s="21" t="s">
        <v>1522</v>
      </c>
      <c r="F910" s="22"/>
      <c r="G910" s="22" t="s">
        <v>1586</v>
      </c>
      <c r="H910" s="22" t="s">
        <v>1392</v>
      </c>
      <c r="I910" s="68">
        <v>1110</v>
      </c>
      <c r="J910" s="26" t="s">
        <v>1391</v>
      </c>
      <c r="K910" s="110">
        <v>3</v>
      </c>
      <c r="L910" s="218" t="s">
        <v>1777</v>
      </c>
      <c r="M910" s="3"/>
    </row>
    <row r="911" spans="1:13" ht="16.5">
      <c r="A911" s="84" t="s">
        <v>364</v>
      </c>
      <c r="B911" s="21" t="s">
        <v>109</v>
      </c>
      <c r="C911" s="28" t="s">
        <v>1583</v>
      </c>
      <c r="D911" s="43"/>
      <c r="E911" s="21" t="s">
        <v>1522</v>
      </c>
      <c r="F911" s="22"/>
      <c r="G911" s="22" t="s">
        <v>1586</v>
      </c>
      <c r="H911" s="22" t="s">
        <v>1392</v>
      </c>
      <c r="I911" s="68">
        <v>1180</v>
      </c>
      <c r="J911" s="26" t="s">
        <v>1393</v>
      </c>
      <c r="K911" s="110">
        <v>3</v>
      </c>
      <c r="L911" s="218" t="s">
        <v>1761</v>
      </c>
      <c r="M911" s="3"/>
    </row>
    <row r="912" spans="1:13" ht="16.5">
      <c r="A912" s="21" t="s">
        <v>230</v>
      </c>
      <c r="B912" s="21"/>
      <c r="C912" s="28" t="s">
        <v>296</v>
      </c>
      <c r="D912" s="43"/>
      <c r="E912" s="21" t="s">
        <v>1522</v>
      </c>
      <c r="F912" s="22" t="s">
        <v>534</v>
      </c>
      <c r="G912" s="22" t="s">
        <v>1586</v>
      </c>
      <c r="H912" s="22" t="s">
        <v>469</v>
      </c>
      <c r="I912" s="24">
        <v>1010</v>
      </c>
      <c r="J912" s="26" t="s">
        <v>424</v>
      </c>
      <c r="K912" s="110">
        <v>3</v>
      </c>
      <c r="L912" s="218" t="s">
        <v>1777</v>
      </c>
      <c r="M912" s="3"/>
    </row>
    <row r="913" spans="1:13" ht="33">
      <c r="A913" s="21" t="s">
        <v>1344</v>
      </c>
      <c r="B913" s="21" t="s">
        <v>1345</v>
      </c>
      <c r="C913" s="28" t="s">
        <v>1346</v>
      </c>
      <c r="D913" s="43" t="s">
        <v>18</v>
      </c>
      <c r="E913" s="21" t="s">
        <v>1522</v>
      </c>
      <c r="F913" s="22"/>
      <c r="G913" s="22" t="s">
        <v>1586</v>
      </c>
      <c r="H913" s="22" t="s">
        <v>1029</v>
      </c>
      <c r="I913" s="67">
        <v>1420</v>
      </c>
      <c r="J913" s="26" t="s">
        <v>1343</v>
      </c>
      <c r="K913" s="110" t="s">
        <v>753</v>
      </c>
      <c r="L913" s="218"/>
      <c r="M913" s="3"/>
    </row>
    <row r="914" spans="1:13" ht="33">
      <c r="A914" s="21" t="s">
        <v>521</v>
      </c>
      <c r="B914" s="21" t="s">
        <v>121</v>
      </c>
      <c r="C914" s="28" t="s">
        <v>1070</v>
      </c>
      <c r="D914" s="43" t="s">
        <v>820</v>
      </c>
      <c r="E914" s="21" t="s">
        <v>1522</v>
      </c>
      <c r="F914" s="22"/>
      <c r="G914" s="22" t="s">
        <v>1586</v>
      </c>
      <c r="H914" s="22" t="s">
        <v>1029</v>
      </c>
      <c r="I914" s="68">
        <v>2450</v>
      </c>
      <c r="J914" s="26" t="s">
        <v>1289</v>
      </c>
      <c r="K914" s="110" t="s">
        <v>753</v>
      </c>
      <c r="L914" s="218" t="s">
        <v>1761</v>
      </c>
      <c r="M914" s="3"/>
    </row>
    <row r="915" spans="1:13" ht="66">
      <c r="A915" s="21" t="s">
        <v>51</v>
      </c>
      <c r="B915" s="21"/>
      <c r="C915" s="28" t="s">
        <v>979</v>
      </c>
      <c r="D915" s="43" t="s">
        <v>1750</v>
      </c>
      <c r="E915" s="21" t="s">
        <v>1522</v>
      </c>
      <c r="F915" s="22"/>
      <c r="G915" s="22" t="s">
        <v>1586</v>
      </c>
      <c r="H915" s="22" t="s">
        <v>1290</v>
      </c>
      <c r="I915" s="67">
        <v>1010</v>
      </c>
      <c r="J915" s="73" t="s">
        <v>1115</v>
      </c>
      <c r="K915" s="110" t="s">
        <v>642</v>
      </c>
      <c r="L915" s="218" t="s">
        <v>1777</v>
      </c>
      <c r="M915" s="3"/>
    </row>
    <row r="916" spans="1:13" ht="49.5">
      <c r="A916" s="21" t="s">
        <v>1488</v>
      </c>
      <c r="B916" s="21"/>
      <c r="C916" s="28" t="s">
        <v>980</v>
      </c>
      <c r="D916" s="43" t="s">
        <v>1291</v>
      </c>
      <c r="E916" s="21" t="s">
        <v>1522</v>
      </c>
      <c r="F916" s="22" t="s">
        <v>845</v>
      </c>
      <c r="G916" s="22" t="s">
        <v>1586</v>
      </c>
      <c r="H916" s="22" t="s">
        <v>455</v>
      </c>
      <c r="I916" s="67">
        <v>1050</v>
      </c>
      <c r="J916" s="73" t="s">
        <v>1118</v>
      </c>
      <c r="K916" s="112">
        <v>4</v>
      </c>
      <c r="L916" s="218" t="s">
        <v>1780</v>
      </c>
      <c r="M916" s="3"/>
    </row>
    <row r="917" spans="1:13" ht="16.5">
      <c r="A917" s="21" t="s">
        <v>50</v>
      </c>
      <c r="B917" s="21"/>
      <c r="C917" s="28" t="s">
        <v>1062</v>
      </c>
      <c r="D917" s="43" t="s">
        <v>69</v>
      </c>
      <c r="E917" s="21" t="s">
        <v>1522</v>
      </c>
      <c r="F917" s="22"/>
      <c r="G917" s="22" t="s">
        <v>1586</v>
      </c>
      <c r="H917" s="22" t="s">
        <v>455</v>
      </c>
      <c r="I917" s="67">
        <v>1060</v>
      </c>
      <c r="J917" s="75" t="s">
        <v>1120</v>
      </c>
      <c r="K917" s="112">
        <v>3</v>
      </c>
      <c r="L917" s="218" t="s">
        <v>1761</v>
      </c>
      <c r="M917" s="3"/>
    </row>
    <row r="918" spans="1:13" ht="16.5">
      <c r="A918" s="21" t="s">
        <v>749</v>
      </c>
      <c r="B918" s="21"/>
      <c r="C918" s="28" t="s">
        <v>255</v>
      </c>
      <c r="D918" s="43"/>
      <c r="E918" s="21" t="s">
        <v>1522</v>
      </c>
      <c r="F918" s="22" t="s">
        <v>1332</v>
      </c>
      <c r="G918" s="22" t="s">
        <v>1586</v>
      </c>
      <c r="H918" s="22" t="s">
        <v>1018</v>
      </c>
      <c r="I918" s="67">
        <v>1010</v>
      </c>
      <c r="J918" s="73" t="s">
        <v>1265</v>
      </c>
      <c r="K918" s="112">
        <v>3</v>
      </c>
      <c r="L918" s="218" t="s">
        <v>1777</v>
      </c>
      <c r="M918" s="3"/>
    </row>
    <row r="919" spans="1:13" ht="18" customHeight="1">
      <c r="A919" s="21" t="s">
        <v>792</v>
      </c>
      <c r="B919" s="21" t="s">
        <v>94</v>
      </c>
      <c r="C919" s="28" t="s">
        <v>218</v>
      </c>
      <c r="D919" s="43"/>
      <c r="E919" s="21" t="s">
        <v>1522</v>
      </c>
      <c r="F919" s="22"/>
      <c r="G919" s="22" t="s">
        <v>1586</v>
      </c>
      <c r="H919" s="22" t="s">
        <v>457</v>
      </c>
      <c r="I919" s="67">
        <v>1010</v>
      </c>
      <c r="J919" s="73" t="s">
        <v>150</v>
      </c>
      <c r="K919" s="110" t="s">
        <v>753</v>
      </c>
      <c r="L919" s="218" t="s">
        <v>1776</v>
      </c>
      <c r="M919" s="3"/>
    </row>
    <row r="920" spans="1:13" ht="16.5">
      <c r="A920" s="21" t="s">
        <v>365</v>
      </c>
      <c r="B920" s="21" t="s">
        <v>131</v>
      </c>
      <c r="C920" s="106" t="s">
        <v>7</v>
      </c>
      <c r="D920" s="43"/>
      <c r="E920" s="21" t="s">
        <v>1522</v>
      </c>
      <c r="F920" s="22"/>
      <c r="G920" s="22" t="s">
        <v>1586</v>
      </c>
      <c r="H920" s="22" t="s">
        <v>457</v>
      </c>
      <c r="I920" s="68">
        <v>1250</v>
      </c>
      <c r="J920" s="26" t="s">
        <v>1019</v>
      </c>
      <c r="K920" s="110">
        <v>3</v>
      </c>
      <c r="L920" s="218" t="s">
        <v>1776</v>
      </c>
      <c r="M920" s="289"/>
    </row>
    <row r="921" spans="1:13" ht="16.5">
      <c r="A921" s="21" t="s">
        <v>52</v>
      </c>
      <c r="B921" s="21"/>
      <c r="C921" s="28" t="s">
        <v>181</v>
      </c>
      <c r="D921" s="43"/>
      <c r="E921" s="21" t="s">
        <v>1522</v>
      </c>
      <c r="F921" s="22" t="s">
        <v>1330</v>
      </c>
      <c r="G921" s="22" t="s">
        <v>1586</v>
      </c>
      <c r="H921" s="22" t="s">
        <v>1124</v>
      </c>
      <c r="I921" s="68">
        <v>1010</v>
      </c>
      <c r="J921" s="26" t="s">
        <v>143</v>
      </c>
      <c r="K921" s="110">
        <v>3</v>
      </c>
      <c r="L921" s="218" t="s">
        <v>1776</v>
      </c>
      <c r="M921" s="3"/>
    </row>
    <row r="922" spans="1:13" ht="33">
      <c r="A922" s="21" t="s">
        <v>53</v>
      </c>
      <c r="B922" s="21"/>
      <c r="C922" s="28" t="s">
        <v>182</v>
      </c>
      <c r="D922" s="43" t="s">
        <v>1292</v>
      </c>
      <c r="E922" s="21" t="s">
        <v>1522</v>
      </c>
      <c r="F922" s="22"/>
      <c r="G922" s="22" t="s">
        <v>1586</v>
      </c>
      <c r="H922" s="22" t="s">
        <v>1124</v>
      </c>
      <c r="I922" s="68">
        <v>1110</v>
      </c>
      <c r="J922" s="26" t="s">
        <v>1413</v>
      </c>
      <c r="K922" s="110">
        <v>3</v>
      </c>
      <c r="L922" s="218" t="s">
        <v>1776</v>
      </c>
      <c r="M922" s="3"/>
    </row>
    <row r="923" spans="1:13" ht="16.5">
      <c r="A923" s="21" t="s">
        <v>743</v>
      </c>
      <c r="B923" s="21" t="s">
        <v>110</v>
      </c>
      <c r="C923" s="28" t="s">
        <v>184</v>
      </c>
      <c r="D923" s="43"/>
      <c r="E923" s="21" t="s">
        <v>1522</v>
      </c>
      <c r="F923" s="22"/>
      <c r="G923" s="22" t="s">
        <v>1586</v>
      </c>
      <c r="H923" s="22" t="s">
        <v>498</v>
      </c>
      <c r="I923" s="67">
        <v>1020</v>
      </c>
      <c r="J923" s="73" t="s">
        <v>1388</v>
      </c>
      <c r="K923" s="112">
        <v>3</v>
      </c>
      <c r="L923" s="218" t="s">
        <v>1776</v>
      </c>
      <c r="M923" s="3"/>
    </row>
    <row r="924" spans="1:13" ht="33">
      <c r="A924" s="21" t="s">
        <v>524</v>
      </c>
      <c r="B924" s="21" t="s">
        <v>883</v>
      </c>
      <c r="C924" s="28" t="s">
        <v>1006</v>
      </c>
      <c r="D924" s="43" t="s">
        <v>1610</v>
      </c>
      <c r="E924" s="21" t="s">
        <v>1522</v>
      </c>
      <c r="F924" s="22"/>
      <c r="G924" s="22" t="s">
        <v>1586</v>
      </c>
      <c r="H924" s="22" t="s">
        <v>679</v>
      </c>
      <c r="I924" s="67">
        <v>2400</v>
      </c>
      <c r="J924" s="73" t="s">
        <v>1035</v>
      </c>
      <c r="K924" s="110" t="s">
        <v>637</v>
      </c>
      <c r="L924" s="218"/>
      <c r="M924" s="3"/>
    </row>
    <row r="925" spans="1:13" ht="17.25" customHeight="1">
      <c r="A925" s="21" t="s">
        <v>601</v>
      </c>
      <c r="B925" s="21"/>
      <c r="C925" s="28" t="s">
        <v>833</v>
      </c>
      <c r="D925" s="43"/>
      <c r="E925" s="21" t="s">
        <v>1522</v>
      </c>
      <c r="F925" s="22" t="s">
        <v>534</v>
      </c>
      <c r="G925" s="22" t="s">
        <v>1586</v>
      </c>
      <c r="H925" s="22" t="s">
        <v>426</v>
      </c>
      <c r="I925" s="67">
        <v>1000</v>
      </c>
      <c r="J925" s="75" t="s">
        <v>145</v>
      </c>
      <c r="K925" s="112">
        <v>3</v>
      </c>
      <c r="L925" s="218" t="s">
        <v>1761</v>
      </c>
      <c r="M925" s="3"/>
    </row>
    <row r="926" spans="1:13" ht="16.5">
      <c r="A926" s="21" t="s">
        <v>1539</v>
      </c>
      <c r="B926" s="21"/>
      <c r="C926" s="28" t="s">
        <v>1425</v>
      </c>
      <c r="D926" s="43" t="s">
        <v>326</v>
      </c>
      <c r="E926" s="21" t="s">
        <v>1522</v>
      </c>
      <c r="F926" s="22" t="s">
        <v>1331</v>
      </c>
      <c r="G926" s="22" t="s">
        <v>1586</v>
      </c>
      <c r="H926" s="22" t="s">
        <v>426</v>
      </c>
      <c r="I926" s="199">
        <v>2050</v>
      </c>
      <c r="J926" s="75" t="s">
        <v>1293</v>
      </c>
      <c r="K926" s="112">
        <v>3</v>
      </c>
      <c r="L926" s="218" t="s">
        <v>1791</v>
      </c>
      <c r="M926" s="3"/>
    </row>
    <row r="927" spans="1:13" ht="16.5">
      <c r="A927" s="21" t="s">
        <v>737</v>
      </c>
      <c r="B927" s="21"/>
      <c r="C927" s="28" t="s">
        <v>1067</v>
      </c>
      <c r="D927" s="43"/>
      <c r="E927" s="21" t="s">
        <v>1522</v>
      </c>
      <c r="F927" s="22" t="s">
        <v>1332</v>
      </c>
      <c r="G927" s="22" t="s">
        <v>1586</v>
      </c>
      <c r="H927" s="22" t="s">
        <v>733</v>
      </c>
      <c r="I927" s="67">
        <v>1000</v>
      </c>
      <c r="J927" s="26" t="s">
        <v>732</v>
      </c>
      <c r="K927" s="112">
        <v>3</v>
      </c>
      <c r="L927" s="218" t="s">
        <v>1777</v>
      </c>
      <c r="M927" s="3"/>
    </row>
    <row r="928" spans="1:13" ht="16.5">
      <c r="A928" s="21" t="s">
        <v>737</v>
      </c>
      <c r="B928" s="21"/>
      <c r="C928" s="28" t="s">
        <v>1067</v>
      </c>
      <c r="D928" s="43" t="s">
        <v>1294</v>
      </c>
      <c r="E928" s="21" t="s">
        <v>1522</v>
      </c>
      <c r="F928" s="22" t="s">
        <v>1332</v>
      </c>
      <c r="G928" s="22" t="s">
        <v>1586</v>
      </c>
      <c r="H928" s="22" t="s">
        <v>427</v>
      </c>
      <c r="I928" s="68">
        <v>1010</v>
      </c>
      <c r="J928" s="26" t="s">
        <v>867</v>
      </c>
      <c r="K928" s="110">
        <v>3</v>
      </c>
      <c r="L928" s="218" t="s">
        <v>1761</v>
      </c>
      <c r="M928" s="3"/>
    </row>
    <row r="929" spans="1:14" ht="16.5">
      <c r="A929" s="21" t="s">
        <v>750</v>
      </c>
      <c r="B929" s="21"/>
      <c r="C929" s="28" t="s">
        <v>1068</v>
      </c>
      <c r="D929" s="43" t="s">
        <v>1744</v>
      </c>
      <c r="E929" s="21" t="s">
        <v>1522</v>
      </c>
      <c r="F929" s="131" t="s">
        <v>1332</v>
      </c>
      <c r="G929" s="22" t="s">
        <v>1586</v>
      </c>
      <c r="H929" s="22" t="s">
        <v>427</v>
      </c>
      <c r="I929" s="67">
        <v>1040</v>
      </c>
      <c r="J929" s="26" t="s">
        <v>269</v>
      </c>
      <c r="K929" s="110" t="s">
        <v>753</v>
      </c>
      <c r="L929" s="218" t="s">
        <v>1777</v>
      </c>
      <c r="M929" s="272" t="s">
        <v>2709</v>
      </c>
    </row>
    <row r="930" spans="1:14" ht="16.5">
      <c r="A930" s="21" t="s">
        <v>2</v>
      </c>
      <c r="B930" s="21"/>
      <c r="C930" s="28" t="s">
        <v>981</v>
      </c>
      <c r="D930" s="43"/>
      <c r="E930" s="21" t="s">
        <v>1521</v>
      </c>
      <c r="F930" s="22" t="s">
        <v>70</v>
      </c>
      <c r="G930" s="22" t="s">
        <v>1586</v>
      </c>
      <c r="H930" s="22" t="s">
        <v>196</v>
      </c>
      <c r="I930" s="67">
        <v>1100</v>
      </c>
      <c r="J930" s="73" t="s">
        <v>389</v>
      </c>
      <c r="K930" s="112">
        <v>3</v>
      </c>
      <c r="L930" s="218" t="s">
        <v>1777</v>
      </c>
      <c r="M930" s="3"/>
    </row>
    <row r="931" spans="1:14" ht="16.5">
      <c r="A931" s="21" t="s">
        <v>745</v>
      </c>
      <c r="B931" s="21"/>
      <c r="C931" s="28" t="s">
        <v>1426</v>
      </c>
      <c r="D931" s="43"/>
      <c r="E931" s="21" t="s">
        <v>1522</v>
      </c>
      <c r="F931" s="22" t="s">
        <v>1329</v>
      </c>
      <c r="G931" s="22" t="s">
        <v>1586</v>
      </c>
      <c r="H931" s="22" t="s">
        <v>196</v>
      </c>
      <c r="I931" s="67">
        <v>2200</v>
      </c>
      <c r="J931" s="73" t="s">
        <v>1188</v>
      </c>
      <c r="K931" s="110" t="s">
        <v>753</v>
      </c>
      <c r="L931" s="218" t="s">
        <v>1761</v>
      </c>
      <c r="M931" s="3"/>
    </row>
    <row r="932" spans="1:14" ht="16.5">
      <c r="A932" s="21" t="s">
        <v>1540</v>
      </c>
      <c r="B932" s="21"/>
      <c r="C932" s="28" t="s">
        <v>14</v>
      </c>
      <c r="D932" s="43"/>
      <c r="E932" s="21" t="s">
        <v>1522</v>
      </c>
      <c r="F932" s="22" t="s">
        <v>1329</v>
      </c>
      <c r="G932" s="22" t="s">
        <v>1586</v>
      </c>
      <c r="H932" s="22" t="s">
        <v>343</v>
      </c>
      <c r="I932" s="68">
        <v>1010</v>
      </c>
      <c r="J932" s="26" t="s">
        <v>390</v>
      </c>
      <c r="K932" s="110">
        <v>3</v>
      </c>
      <c r="L932" s="218" t="s">
        <v>1777</v>
      </c>
      <c r="M932" s="3"/>
    </row>
    <row r="933" spans="1:14" ht="16.5">
      <c r="A933" s="21" t="s">
        <v>1540</v>
      </c>
      <c r="B933" s="21"/>
      <c r="C933" s="28" t="s">
        <v>826</v>
      </c>
      <c r="D933" s="43"/>
      <c r="E933" s="21" t="s">
        <v>1522</v>
      </c>
      <c r="F933" s="22" t="s">
        <v>1329</v>
      </c>
      <c r="G933" s="22" t="s">
        <v>1586</v>
      </c>
      <c r="H933" s="22" t="s">
        <v>467</v>
      </c>
      <c r="I933" s="68">
        <v>1100</v>
      </c>
      <c r="J933" s="26" t="s">
        <v>1236</v>
      </c>
      <c r="K933" s="110">
        <v>3</v>
      </c>
      <c r="L933" s="218" t="s">
        <v>1777</v>
      </c>
      <c r="M933" s="3"/>
    </row>
    <row r="934" spans="1:14" ht="16.5">
      <c r="A934" s="21" t="s">
        <v>602</v>
      </c>
      <c r="B934" s="21"/>
      <c r="C934" s="28" t="s">
        <v>253</v>
      </c>
      <c r="D934" s="43"/>
      <c r="E934" s="21" t="s">
        <v>1522</v>
      </c>
      <c r="F934" s="22" t="s">
        <v>1329</v>
      </c>
      <c r="G934" s="22" t="s">
        <v>1586</v>
      </c>
      <c r="H934" s="22" t="s">
        <v>461</v>
      </c>
      <c r="I934" s="68">
        <v>1010</v>
      </c>
      <c r="J934" s="26" t="s">
        <v>147</v>
      </c>
      <c r="K934" s="110">
        <v>3</v>
      </c>
      <c r="L934" s="218" t="s">
        <v>1777</v>
      </c>
      <c r="M934" s="3"/>
    </row>
    <row r="935" spans="1:14" ht="16.5">
      <c r="A935" s="21" t="s">
        <v>602</v>
      </c>
      <c r="B935" s="21"/>
      <c r="C935" s="28" t="s">
        <v>253</v>
      </c>
      <c r="D935" s="43"/>
      <c r="E935" s="21" t="s">
        <v>1522</v>
      </c>
      <c r="F935" s="22" t="s">
        <v>1329</v>
      </c>
      <c r="G935" s="22" t="s">
        <v>1586</v>
      </c>
      <c r="H935" s="22" t="s">
        <v>461</v>
      </c>
      <c r="I935" s="68">
        <v>1200</v>
      </c>
      <c r="J935" s="26" t="s">
        <v>621</v>
      </c>
      <c r="K935" s="110">
        <v>3</v>
      </c>
      <c r="L935" s="218" t="s">
        <v>1761</v>
      </c>
      <c r="M935" s="3"/>
    </row>
    <row r="936" spans="1:14" ht="66">
      <c r="A936" s="21" t="s">
        <v>1633</v>
      </c>
      <c r="B936" s="21"/>
      <c r="C936" s="43" t="s">
        <v>1634</v>
      </c>
      <c r="D936" s="101" t="s">
        <v>1802</v>
      </c>
      <c r="E936" s="21" t="s">
        <v>1522</v>
      </c>
      <c r="F936" s="22"/>
      <c r="G936" s="22" t="s">
        <v>1586</v>
      </c>
      <c r="H936" s="22" t="s">
        <v>431</v>
      </c>
      <c r="I936" s="68">
        <v>1010</v>
      </c>
      <c r="J936" s="26" t="s">
        <v>661</v>
      </c>
      <c r="K936" s="110">
        <v>5</v>
      </c>
      <c r="L936" s="218" t="s">
        <v>1761</v>
      </c>
      <c r="M936" s="3"/>
    </row>
    <row r="937" spans="1:14" ht="16.5">
      <c r="A937" s="21" t="s">
        <v>1631</v>
      </c>
      <c r="B937" s="21"/>
      <c r="C937" s="28" t="s">
        <v>1632</v>
      </c>
      <c r="D937" s="43" t="s">
        <v>558</v>
      </c>
      <c r="E937" s="21" t="s">
        <v>1522</v>
      </c>
      <c r="F937" s="22"/>
      <c r="G937" s="22" t="s">
        <v>1586</v>
      </c>
      <c r="H937" s="22" t="s">
        <v>431</v>
      </c>
      <c r="I937" s="68">
        <v>1020</v>
      </c>
      <c r="J937" s="26" t="s">
        <v>662</v>
      </c>
      <c r="K937" s="110">
        <v>5</v>
      </c>
      <c r="L937" s="218" t="s">
        <v>1761</v>
      </c>
      <c r="M937" s="3"/>
    </row>
    <row r="938" spans="1:14" ht="33">
      <c r="A938" s="21" t="s">
        <v>1646</v>
      </c>
      <c r="B938" s="21"/>
      <c r="C938" s="28" t="s">
        <v>1647</v>
      </c>
      <c r="D938" s="123" t="s">
        <v>2686</v>
      </c>
      <c r="E938" s="21" t="s">
        <v>1522</v>
      </c>
      <c r="F938" s="22"/>
      <c r="G938" s="22" t="s">
        <v>1586</v>
      </c>
      <c r="H938" s="22" t="s">
        <v>431</v>
      </c>
      <c r="I938" s="68">
        <v>2010</v>
      </c>
      <c r="J938" s="26" t="s">
        <v>682</v>
      </c>
      <c r="K938" s="110">
        <v>5</v>
      </c>
      <c r="L938" s="218" t="s">
        <v>1767</v>
      </c>
      <c r="M938" s="272"/>
    </row>
    <row r="939" spans="1:14" ht="16.5">
      <c r="A939" s="21" t="s">
        <v>1174</v>
      </c>
      <c r="B939" s="21"/>
      <c r="C939" s="28" t="s">
        <v>355</v>
      </c>
      <c r="D939" s="43"/>
      <c r="E939" s="21" t="s">
        <v>1521</v>
      </c>
      <c r="F939" s="22" t="s">
        <v>1330</v>
      </c>
      <c r="G939" s="22" t="s">
        <v>1586</v>
      </c>
      <c r="H939" s="22" t="s">
        <v>391</v>
      </c>
      <c r="I939" s="67">
        <v>1013</v>
      </c>
      <c r="J939" s="73" t="s">
        <v>1189</v>
      </c>
      <c r="K939" s="112">
        <v>3</v>
      </c>
      <c r="L939" s="218" t="s">
        <v>1767</v>
      </c>
      <c r="M939" s="3"/>
    </row>
    <row r="940" spans="1:14" ht="16.5">
      <c r="A940" s="21" t="s">
        <v>56</v>
      </c>
      <c r="B940" s="21"/>
      <c r="C940" s="28" t="s">
        <v>850</v>
      </c>
      <c r="D940" s="43"/>
      <c r="E940" s="21" t="s">
        <v>1521</v>
      </c>
      <c r="F940" s="22" t="s">
        <v>1330</v>
      </c>
      <c r="G940" s="22" t="s">
        <v>1586</v>
      </c>
      <c r="H940" s="22" t="s">
        <v>391</v>
      </c>
      <c r="I940" s="67">
        <v>1023</v>
      </c>
      <c r="J940" s="73" t="s">
        <v>1190</v>
      </c>
      <c r="K940" s="112">
        <v>3</v>
      </c>
      <c r="L940" s="218" t="s">
        <v>1777</v>
      </c>
      <c r="M940" s="3"/>
      <c r="N940" s="4"/>
    </row>
    <row r="941" spans="1:14" ht="16.5">
      <c r="A941" s="21" t="s">
        <v>550</v>
      </c>
      <c r="B941" s="21" t="s">
        <v>89</v>
      </c>
      <c r="C941" s="28" t="s">
        <v>1147</v>
      </c>
      <c r="D941" s="43"/>
      <c r="E941" s="21" t="s">
        <v>1522</v>
      </c>
      <c r="F941" s="22"/>
      <c r="G941" s="22" t="s">
        <v>739</v>
      </c>
      <c r="H941" s="22" t="s">
        <v>2561</v>
      </c>
      <c r="I941" s="67">
        <v>2010</v>
      </c>
      <c r="J941" s="73" t="s">
        <v>2560</v>
      </c>
      <c r="K941" s="110" t="s">
        <v>753</v>
      </c>
      <c r="L941" s="218" t="s">
        <v>1761</v>
      </c>
      <c r="M941" s="3"/>
      <c r="N941" s="4"/>
    </row>
    <row r="942" spans="1:14" ht="66">
      <c r="A942" s="21" t="s">
        <v>1615</v>
      </c>
      <c r="B942" s="21"/>
      <c r="C942" s="28" t="s">
        <v>1616</v>
      </c>
      <c r="D942" s="101" t="s">
        <v>1802</v>
      </c>
      <c r="E942" s="21" t="s">
        <v>1522</v>
      </c>
      <c r="F942" s="22"/>
      <c r="G942" s="22" t="s">
        <v>739</v>
      </c>
      <c r="H942" s="22" t="s">
        <v>437</v>
      </c>
      <c r="I942" s="68">
        <v>1010</v>
      </c>
      <c r="J942" s="26" t="s">
        <v>604</v>
      </c>
      <c r="K942" s="110" t="s">
        <v>642</v>
      </c>
      <c r="L942" s="218" t="s">
        <v>1761</v>
      </c>
      <c r="M942" s="3"/>
      <c r="N942" s="4"/>
    </row>
    <row r="943" spans="1:14" ht="16.5">
      <c r="A943" s="21" t="s">
        <v>1617</v>
      </c>
      <c r="B943" s="21"/>
      <c r="C943" s="28" t="s">
        <v>1618</v>
      </c>
      <c r="D943" s="43" t="s">
        <v>1619</v>
      </c>
      <c r="E943" s="21" t="s">
        <v>1522</v>
      </c>
      <c r="F943" s="22"/>
      <c r="G943" s="22" t="s">
        <v>739</v>
      </c>
      <c r="H943" s="22" t="s">
        <v>437</v>
      </c>
      <c r="I943" s="68">
        <v>1020</v>
      </c>
      <c r="J943" s="26" t="s">
        <v>604</v>
      </c>
      <c r="K943" s="110" t="s">
        <v>642</v>
      </c>
      <c r="L943" s="218" t="s">
        <v>1761</v>
      </c>
      <c r="M943" s="3"/>
    </row>
    <row r="944" spans="1:14" ht="16.5">
      <c r="A944" s="125" t="s">
        <v>1621</v>
      </c>
      <c r="B944" s="125"/>
      <c r="C944" s="256" t="s">
        <v>2668</v>
      </c>
      <c r="D944" s="123" t="s">
        <v>2687</v>
      </c>
      <c r="E944" s="125"/>
      <c r="F944" s="131"/>
      <c r="G944" s="131" t="s">
        <v>739</v>
      </c>
      <c r="H944" s="257" t="s">
        <v>437</v>
      </c>
      <c r="I944" s="131" t="s">
        <v>1093</v>
      </c>
      <c r="J944" s="134" t="s">
        <v>2656</v>
      </c>
      <c r="K944" s="131" t="s">
        <v>642</v>
      </c>
      <c r="L944" s="295" t="s">
        <v>1761</v>
      </c>
      <c r="M944" s="272"/>
    </row>
    <row r="945" spans="1:13" ht="16.5">
      <c r="A945" s="21" t="s">
        <v>2579</v>
      </c>
      <c r="B945" s="21" t="s">
        <v>2575</v>
      </c>
      <c r="C945" s="101" t="s">
        <v>2576</v>
      </c>
      <c r="D945" s="46"/>
      <c r="E945" s="21" t="s">
        <v>1522</v>
      </c>
      <c r="F945" s="24"/>
      <c r="G945" s="22" t="s">
        <v>739</v>
      </c>
      <c r="H945" s="22" t="s">
        <v>495</v>
      </c>
      <c r="I945" s="68">
        <v>1021</v>
      </c>
      <c r="J945" s="26" t="s">
        <v>1307</v>
      </c>
      <c r="K945" s="110" t="s">
        <v>753</v>
      </c>
      <c r="L945" s="218" t="s">
        <v>1761</v>
      </c>
      <c r="M945" s="204"/>
    </row>
    <row r="946" spans="1:13" ht="16.5">
      <c r="A946" s="21" t="s">
        <v>2578</v>
      </c>
      <c r="B946" s="21" t="s">
        <v>2573</v>
      </c>
      <c r="C946" s="101" t="s">
        <v>2574</v>
      </c>
      <c r="D946" s="46"/>
      <c r="E946" s="21" t="s">
        <v>1522</v>
      </c>
      <c r="F946" s="24"/>
      <c r="G946" s="22" t="s">
        <v>739</v>
      </c>
      <c r="H946" s="22" t="s">
        <v>495</v>
      </c>
      <c r="I946" s="68">
        <v>1022</v>
      </c>
      <c r="J946" s="26" t="s">
        <v>1308</v>
      </c>
      <c r="K946" s="110">
        <v>2</v>
      </c>
      <c r="L946" s="218" t="s">
        <v>1761</v>
      </c>
      <c r="M946" s="204"/>
    </row>
    <row r="947" spans="1:13" ht="16.5">
      <c r="A947" s="21" t="s">
        <v>2603</v>
      </c>
      <c r="B947" s="21" t="s">
        <v>2604</v>
      </c>
      <c r="C947" s="101" t="s">
        <v>2605</v>
      </c>
      <c r="D947" s="43"/>
      <c r="E947" s="21" t="s">
        <v>1522</v>
      </c>
      <c r="F947" s="22"/>
      <c r="G947" s="22" t="s">
        <v>739</v>
      </c>
      <c r="H947" s="22" t="s">
        <v>495</v>
      </c>
      <c r="I947" s="68">
        <v>1071</v>
      </c>
      <c r="J947" s="26" t="s">
        <v>802</v>
      </c>
      <c r="K947" s="110" t="s">
        <v>637</v>
      </c>
      <c r="L947" s="218" t="s">
        <v>1761</v>
      </c>
      <c r="M947" s="204"/>
    </row>
    <row r="948" spans="1:13" ht="16.5">
      <c r="A948" s="21" t="s">
        <v>2603</v>
      </c>
      <c r="B948" s="21" t="s">
        <v>2604</v>
      </c>
      <c r="C948" s="101" t="s">
        <v>2605</v>
      </c>
      <c r="D948" s="43"/>
      <c r="E948" s="21" t="s">
        <v>1522</v>
      </c>
      <c r="F948" s="22"/>
      <c r="G948" s="22" t="s">
        <v>739</v>
      </c>
      <c r="H948" s="22" t="s">
        <v>495</v>
      </c>
      <c r="I948" s="68">
        <v>1072</v>
      </c>
      <c r="J948" s="26" t="s">
        <v>1295</v>
      </c>
      <c r="K948" s="110" t="s">
        <v>753</v>
      </c>
      <c r="L948" s="218" t="s">
        <v>1761</v>
      </c>
      <c r="M948" s="204"/>
    </row>
    <row r="949" spans="1:13" ht="16.5">
      <c r="A949" s="21" t="s">
        <v>3</v>
      </c>
      <c r="B949" s="21" t="s">
        <v>567</v>
      </c>
      <c r="C949" s="234" t="s">
        <v>2609</v>
      </c>
      <c r="D949" s="43" t="s">
        <v>1888</v>
      </c>
      <c r="E949" s="21" t="s">
        <v>1522</v>
      </c>
      <c r="F949" s="22"/>
      <c r="G949" s="122" t="s">
        <v>739</v>
      </c>
      <c r="H949" s="22" t="s">
        <v>495</v>
      </c>
      <c r="I949" s="67">
        <v>1080</v>
      </c>
      <c r="J949" s="26" t="s">
        <v>1882</v>
      </c>
      <c r="K949" s="110" t="s">
        <v>642</v>
      </c>
      <c r="L949" s="157" t="s">
        <v>1761</v>
      </c>
      <c r="M949" s="204"/>
    </row>
    <row r="950" spans="1:13" ht="16.5">
      <c r="A950" s="21" t="s">
        <v>594</v>
      </c>
      <c r="B950" s="21" t="s">
        <v>137</v>
      </c>
      <c r="C950" s="106" t="s">
        <v>1555</v>
      </c>
      <c r="D950" s="43"/>
      <c r="E950" s="21" t="s">
        <v>1522</v>
      </c>
      <c r="F950" s="22"/>
      <c r="G950" s="22" t="s">
        <v>739</v>
      </c>
      <c r="H950" s="22" t="s">
        <v>495</v>
      </c>
      <c r="I950" s="68">
        <v>1100</v>
      </c>
      <c r="J950" s="26" t="s">
        <v>683</v>
      </c>
      <c r="K950" s="110">
        <v>2</v>
      </c>
      <c r="L950" s="218" t="s">
        <v>1761</v>
      </c>
      <c r="M950" s="3"/>
    </row>
    <row r="951" spans="1:13" ht="16.5">
      <c r="A951" s="21" t="s">
        <v>2581</v>
      </c>
      <c r="B951" s="21" t="s">
        <v>2582</v>
      </c>
      <c r="C951" s="101" t="s">
        <v>2583</v>
      </c>
      <c r="D951" s="46"/>
      <c r="E951" s="21" t="s">
        <v>1522</v>
      </c>
      <c r="F951" s="24"/>
      <c r="G951" s="22" t="s">
        <v>739</v>
      </c>
      <c r="H951" s="22" t="s">
        <v>495</v>
      </c>
      <c r="I951" s="68">
        <v>1120</v>
      </c>
      <c r="J951" s="26" t="s">
        <v>1296</v>
      </c>
      <c r="K951" s="110">
        <v>3</v>
      </c>
      <c r="L951" s="218" t="s">
        <v>1761</v>
      </c>
      <c r="M951" s="204"/>
    </row>
    <row r="952" spans="1:13" ht="16.5">
      <c r="A952" s="45" t="s">
        <v>370</v>
      </c>
      <c r="B952" s="45" t="s">
        <v>570</v>
      </c>
      <c r="C952" s="101" t="s">
        <v>2602</v>
      </c>
      <c r="D952" s="43"/>
      <c r="E952" s="21" t="s">
        <v>1522</v>
      </c>
      <c r="F952" s="22"/>
      <c r="G952" s="22" t="s">
        <v>739</v>
      </c>
      <c r="H952" s="22" t="s">
        <v>495</v>
      </c>
      <c r="I952" s="68">
        <v>1170</v>
      </c>
      <c r="J952" s="26" t="s">
        <v>803</v>
      </c>
      <c r="K952" s="110" t="s">
        <v>640</v>
      </c>
      <c r="L952" s="218" t="s">
        <v>1761</v>
      </c>
      <c r="M952" s="3"/>
    </row>
    <row r="953" spans="1:13" ht="16.5">
      <c r="A953" s="45" t="s">
        <v>370</v>
      </c>
      <c r="B953" s="45" t="s">
        <v>570</v>
      </c>
      <c r="C953" s="101" t="s">
        <v>2602</v>
      </c>
      <c r="D953" s="43"/>
      <c r="E953" s="21" t="s">
        <v>1522</v>
      </c>
      <c r="F953" s="22"/>
      <c r="G953" s="22" t="s">
        <v>739</v>
      </c>
      <c r="H953" s="22" t="s">
        <v>495</v>
      </c>
      <c r="I953" s="68">
        <v>1270</v>
      </c>
      <c r="J953" s="26" t="s">
        <v>1477</v>
      </c>
      <c r="K953" s="110" t="s">
        <v>1467</v>
      </c>
      <c r="L953" s="218" t="s">
        <v>1761</v>
      </c>
      <c r="M953" s="3"/>
    </row>
    <row r="954" spans="1:13" ht="16.5">
      <c r="A954" s="45" t="s">
        <v>370</v>
      </c>
      <c r="B954" s="45" t="s">
        <v>570</v>
      </c>
      <c r="C954" s="101" t="s">
        <v>2602</v>
      </c>
      <c r="D954" s="43"/>
      <c r="E954" s="21" t="s">
        <v>1522</v>
      </c>
      <c r="F954" s="22"/>
      <c r="G954" s="22" t="s">
        <v>739</v>
      </c>
      <c r="H954" s="22" t="s">
        <v>495</v>
      </c>
      <c r="I954" s="68">
        <v>2170</v>
      </c>
      <c r="J954" s="26" t="s">
        <v>279</v>
      </c>
      <c r="K954" s="110" t="s">
        <v>753</v>
      </c>
      <c r="L954" s="218" t="s">
        <v>1761</v>
      </c>
      <c r="M954" s="3"/>
    </row>
    <row r="955" spans="1:13" ht="16.5">
      <c r="A955" s="45" t="s">
        <v>370</v>
      </c>
      <c r="B955" s="45" t="s">
        <v>570</v>
      </c>
      <c r="C955" s="101" t="s">
        <v>2602</v>
      </c>
      <c r="D955" s="43"/>
      <c r="E955" s="21" t="s">
        <v>1522</v>
      </c>
      <c r="F955" s="22"/>
      <c r="G955" s="22" t="s">
        <v>739</v>
      </c>
      <c r="H955" s="22" t="s">
        <v>495</v>
      </c>
      <c r="I955" s="68">
        <v>2270</v>
      </c>
      <c r="J955" s="26" t="s">
        <v>280</v>
      </c>
      <c r="K955" s="110" t="s">
        <v>753</v>
      </c>
      <c r="L955" s="218" t="s">
        <v>1761</v>
      </c>
      <c r="M955" s="3"/>
    </row>
    <row r="956" spans="1:13" ht="16.5">
      <c r="A956" s="45" t="s">
        <v>370</v>
      </c>
      <c r="B956" s="45" t="s">
        <v>570</v>
      </c>
      <c r="C956" s="101" t="s">
        <v>2602</v>
      </c>
      <c r="D956" s="43"/>
      <c r="E956" s="21" t="s">
        <v>1522</v>
      </c>
      <c r="F956" s="22"/>
      <c r="G956" s="22" t="s">
        <v>739</v>
      </c>
      <c r="H956" s="22" t="s">
        <v>495</v>
      </c>
      <c r="I956" s="68">
        <v>2370</v>
      </c>
      <c r="J956" s="26" t="s">
        <v>281</v>
      </c>
      <c r="K956" s="110" t="s">
        <v>637</v>
      </c>
      <c r="L956" s="218" t="s">
        <v>1761</v>
      </c>
      <c r="M956" s="3"/>
    </row>
    <row r="957" spans="1:13" ht="16.5">
      <c r="A957" s="21" t="s">
        <v>518</v>
      </c>
      <c r="B957" s="21" t="s">
        <v>116</v>
      </c>
      <c r="C957" s="28" t="s">
        <v>1000</v>
      </c>
      <c r="D957" s="43" t="s">
        <v>1574</v>
      </c>
      <c r="E957" s="21" t="s">
        <v>1522</v>
      </c>
      <c r="F957" s="22"/>
      <c r="G957" s="22" t="s">
        <v>739</v>
      </c>
      <c r="H957" s="22" t="s">
        <v>735</v>
      </c>
      <c r="I957" s="68">
        <v>1105</v>
      </c>
      <c r="J957" s="26" t="s">
        <v>509</v>
      </c>
      <c r="K957" s="110">
        <v>4</v>
      </c>
      <c r="L957" s="218"/>
      <c r="M957" s="3"/>
    </row>
    <row r="958" spans="1:13" ht="16.5">
      <c r="A958" s="165">
        <v>40090013040</v>
      </c>
      <c r="B958" s="21" t="s">
        <v>569</v>
      </c>
      <c r="C958" s="28" t="s">
        <v>2614</v>
      </c>
      <c r="D958" s="43"/>
      <c r="E958" s="21" t="s">
        <v>1522</v>
      </c>
      <c r="F958" s="24"/>
      <c r="G958" s="22" t="s">
        <v>739</v>
      </c>
      <c r="H958" s="22" t="s">
        <v>735</v>
      </c>
      <c r="I958" s="68">
        <v>1110</v>
      </c>
      <c r="J958" s="26" t="s">
        <v>628</v>
      </c>
      <c r="K958" s="110" t="s">
        <v>637</v>
      </c>
      <c r="L958" s="218"/>
      <c r="M958" s="3"/>
    </row>
    <row r="959" spans="1:13" ht="16.5">
      <c r="A959" s="21" t="s">
        <v>1246</v>
      </c>
      <c r="B959" s="21" t="s">
        <v>1247</v>
      </c>
      <c r="C959" s="28" t="s">
        <v>1170</v>
      </c>
      <c r="D959" s="43"/>
      <c r="E959" s="21" t="s">
        <v>1522</v>
      </c>
      <c r="F959" s="22"/>
      <c r="G959" s="22" t="s">
        <v>739</v>
      </c>
      <c r="H959" s="22" t="s">
        <v>735</v>
      </c>
      <c r="I959" s="68">
        <v>1130</v>
      </c>
      <c r="J959" s="26" t="s">
        <v>508</v>
      </c>
      <c r="K959" s="110">
        <v>4</v>
      </c>
      <c r="L959" s="218" t="s">
        <v>1761</v>
      </c>
      <c r="M959" s="3"/>
    </row>
    <row r="960" spans="1:13" ht="16.5">
      <c r="A960" s="21" t="s">
        <v>372</v>
      </c>
      <c r="B960" s="21" t="s">
        <v>569</v>
      </c>
      <c r="C960" s="28" t="s">
        <v>2614</v>
      </c>
      <c r="D960" s="43"/>
      <c r="E960" s="21" t="s">
        <v>1522</v>
      </c>
      <c r="F960" s="22"/>
      <c r="G960" s="22" t="s">
        <v>739</v>
      </c>
      <c r="H960" s="22" t="s">
        <v>735</v>
      </c>
      <c r="I960" s="68">
        <v>1130</v>
      </c>
      <c r="J960" s="26" t="s">
        <v>508</v>
      </c>
      <c r="K960" s="110" t="s">
        <v>642</v>
      </c>
      <c r="L960" s="218" t="s">
        <v>1761</v>
      </c>
      <c r="M960" s="3"/>
    </row>
    <row r="961" spans="1:13" ht="16.5">
      <c r="A961" s="21" t="s">
        <v>736</v>
      </c>
      <c r="B961" s="21"/>
      <c r="C961" s="28" t="s">
        <v>609</v>
      </c>
      <c r="D961" s="43" t="s">
        <v>630</v>
      </c>
      <c r="E961" s="21" t="s">
        <v>1521</v>
      </c>
      <c r="F961" s="22" t="s">
        <v>1332</v>
      </c>
      <c r="G961" s="22" t="s">
        <v>739</v>
      </c>
      <c r="H961" s="22" t="s">
        <v>741</v>
      </c>
      <c r="I961" s="68">
        <v>1110</v>
      </c>
      <c r="J961" s="26" t="s">
        <v>1553</v>
      </c>
      <c r="K961" s="110">
        <v>5</v>
      </c>
      <c r="L961" s="218" t="s">
        <v>1761</v>
      </c>
      <c r="M961" s="3"/>
    </row>
    <row r="962" spans="1:13" ht="38.25" customHeight="1">
      <c r="A962" s="21" t="s">
        <v>736</v>
      </c>
      <c r="B962" s="21"/>
      <c r="C962" s="28" t="s">
        <v>609</v>
      </c>
      <c r="D962" s="43" t="s">
        <v>630</v>
      </c>
      <c r="E962" s="21" t="s">
        <v>1521</v>
      </c>
      <c r="F962" s="22" t="s">
        <v>1332</v>
      </c>
      <c r="G962" s="22" t="s">
        <v>739</v>
      </c>
      <c r="H962" s="22" t="s">
        <v>741</v>
      </c>
      <c r="I962" s="68">
        <v>1120</v>
      </c>
      <c r="J962" s="26" t="s">
        <v>1883</v>
      </c>
      <c r="K962" s="110" t="s">
        <v>640</v>
      </c>
      <c r="L962" s="218" t="s">
        <v>1761</v>
      </c>
      <c r="M962" s="3"/>
    </row>
    <row r="963" spans="1:13" ht="16.5">
      <c r="A963" s="21" t="s">
        <v>1540</v>
      </c>
      <c r="B963" s="21"/>
      <c r="C963" s="28" t="s">
        <v>14</v>
      </c>
      <c r="D963" s="43"/>
      <c r="E963" s="21" t="s">
        <v>1522</v>
      </c>
      <c r="F963" s="22" t="s">
        <v>1329</v>
      </c>
      <c r="G963" s="22" t="s">
        <v>739</v>
      </c>
      <c r="H963" s="22" t="s">
        <v>497</v>
      </c>
      <c r="I963" s="68">
        <v>1500</v>
      </c>
      <c r="J963" s="26" t="s">
        <v>358</v>
      </c>
      <c r="K963" s="110" t="s">
        <v>753</v>
      </c>
      <c r="L963" s="218" t="s">
        <v>1761</v>
      </c>
      <c r="M963" s="3"/>
    </row>
    <row r="964" spans="1:13" ht="16.5">
      <c r="A964" s="21" t="s">
        <v>516</v>
      </c>
      <c r="B964" s="21" t="s">
        <v>111</v>
      </c>
      <c r="C964" s="28" t="s">
        <v>1136</v>
      </c>
      <c r="D964" s="43"/>
      <c r="E964" s="21" t="s">
        <v>1522</v>
      </c>
      <c r="F964" s="22" t="s">
        <v>1329</v>
      </c>
      <c r="G964" s="22" t="s">
        <v>739</v>
      </c>
      <c r="H964" s="22" t="s">
        <v>497</v>
      </c>
      <c r="I964" s="68">
        <v>1500</v>
      </c>
      <c r="J964" s="26" t="s">
        <v>358</v>
      </c>
      <c r="K964" s="110" t="s">
        <v>753</v>
      </c>
      <c r="L964" s="218" t="s">
        <v>1761</v>
      </c>
      <c r="M964" s="3"/>
    </row>
    <row r="965" spans="1:13" ht="16.5">
      <c r="A965" s="21" t="s">
        <v>367</v>
      </c>
      <c r="B965" s="21" t="s">
        <v>562</v>
      </c>
      <c r="C965" s="29" t="s">
        <v>287</v>
      </c>
      <c r="D965" s="46"/>
      <c r="E965" s="21" t="s">
        <v>1522</v>
      </c>
      <c r="F965" s="24" t="s">
        <v>1329</v>
      </c>
      <c r="G965" s="22" t="s">
        <v>739</v>
      </c>
      <c r="H965" s="22" t="s">
        <v>449</v>
      </c>
      <c r="I965" s="68">
        <v>1010</v>
      </c>
      <c r="J965" s="26" t="s">
        <v>838</v>
      </c>
      <c r="K965" s="110">
        <v>3</v>
      </c>
      <c r="L965" s="218" t="s">
        <v>1761</v>
      </c>
      <c r="M965" s="3"/>
    </row>
    <row r="966" spans="1:13" ht="16.5">
      <c r="A966" s="21" t="s">
        <v>362</v>
      </c>
      <c r="B966" s="21" t="s">
        <v>564</v>
      </c>
      <c r="C966" s="106" t="s">
        <v>2610</v>
      </c>
      <c r="D966" s="43"/>
      <c r="E966" s="21" t="s">
        <v>1522</v>
      </c>
      <c r="F966" s="22"/>
      <c r="G966" s="122" t="s">
        <v>739</v>
      </c>
      <c r="H966" s="22" t="s">
        <v>1658</v>
      </c>
      <c r="I966" s="67">
        <v>1150</v>
      </c>
      <c r="J966" s="26" t="s">
        <v>1847</v>
      </c>
      <c r="K966" s="112">
        <v>3</v>
      </c>
      <c r="L966" s="157" t="s">
        <v>1761</v>
      </c>
      <c r="M966" s="204"/>
    </row>
    <row r="967" spans="1:13" ht="16.5">
      <c r="A967" s="21" t="s">
        <v>362</v>
      </c>
      <c r="B967" s="21" t="s">
        <v>564</v>
      </c>
      <c r="C967" s="106" t="s">
        <v>2610</v>
      </c>
      <c r="D967" s="43"/>
      <c r="E967" s="21" t="s">
        <v>1522</v>
      </c>
      <c r="F967" s="22"/>
      <c r="G967" s="22" t="s">
        <v>739</v>
      </c>
      <c r="H967" s="122" t="s">
        <v>1658</v>
      </c>
      <c r="I967" s="67">
        <v>1210</v>
      </c>
      <c r="J967" s="26" t="s">
        <v>1675</v>
      </c>
      <c r="K967" s="110" t="s">
        <v>753</v>
      </c>
      <c r="L967" s="157" t="s">
        <v>1761</v>
      </c>
      <c r="M967" s="204"/>
    </row>
    <row r="968" spans="1:13" ht="16.5">
      <c r="A968" s="21" t="s">
        <v>235</v>
      </c>
      <c r="B968" s="21"/>
      <c r="C968" s="28" t="s">
        <v>649</v>
      </c>
      <c r="D968" s="43"/>
      <c r="E968" s="21" t="s">
        <v>1522</v>
      </c>
      <c r="F968" s="22" t="s">
        <v>534</v>
      </c>
      <c r="G968" s="22" t="s">
        <v>739</v>
      </c>
      <c r="H968" s="22" t="s">
        <v>1547</v>
      </c>
      <c r="I968" s="68">
        <v>2110</v>
      </c>
      <c r="J968" s="26" t="s">
        <v>1653</v>
      </c>
      <c r="K968" s="110">
        <v>3</v>
      </c>
      <c r="L968" s="218" t="s">
        <v>1761</v>
      </c>
      <c r="M968" s="3"/>
    </row>
    <row r="969" spans="1:13" ht="16.5">
      <c r="A969" s="21" t="s">
        <v>4</v>
      </c>
      <c r="B969" s="21" t="s">
        <v>559</v>
      </c>
      <c r="C969" s="28" t="s">
        <v>829</v>
      </c>
      <c r="D969" s="103"/>
      <c r="E969" s="21" t="s">
        <v>1522</v>
      </c>
      <c r="F969" s="22"/>
      <c r="G969" s="22" t="s">
        <v>739</v>
      </c>
      <c r="H969" s="22" t="s">
        <v>1547</v>
      </c>
      <c r="I969" s="68">
        <v>2751</v>
      </c>
      <c r="J969" s="26" t="s">
        <v>622</v>
      </c>
      <c r="K969" s="110">
        <v>3</v>
      </c>
      <c r="L969" s="218" t="s">
        <v>1761</v>
      </c>
      <c r="M969" s="272"/>
    </row>
    <row r="970" spans="1:13" ht="49.5">
      <c r="A970" s="21" t="s">
        <v>2528</v>
      </c>
      <c r="B970" s="21" t="s">
        <v>1830</v>
      </c>
      <c r="C970" s="29" t="s">
        <v>1831</v>
      </c>
      <c r="D970" s="101" t="s">
        <v>1833</v>
      </c>
      <c r="E970" s="21" t="s">
        <v>1522</v>
      </c>
      <c r="F970" s="22"/>
      <c r="G970" s="22" t="s">
        <v>739</v>
      </c>
      <c r="H970" s="22" t="s">
        <v>300</v>
      </c>
      <c r="I970" s="68">
        <v>1030</v>
      </c>
      <c r="J970" s="26" t="s">
        <v>247</v>
      </c>
      <c r="K970" s="110">
        <v>4</v>
      </c>
      <c r="L970" s="218" t="s">
        <v>1761</v>
      </c>
      <c r="M970" s="272"/>
    </row>
    <row r="971" spans="1:13" ht="49.5">
      <c r="A971" s="21" t="s">
        <v>368</v>
      </c>
      <c r="B971" s="21" t="s">
        <v>119</v>
      </c>
      <c r="C971" s="29" t="s">
        <v>1003</v>
      </c>
      <c r="D971" s="101" t="s">
        <v>1832</v>
      </c>
      <c r="E971" s="21" t="s">
        <v>1522</v>
      </c>
      <c r="F971" s="22"/>
      <c r="G971" s="22" t="s">
        <v>739</v>
      </c>
      <c r="H971" s="22" t="s">
        <v>300</v>
      </c>
      <c r="I971" s="68">
        <v>1030</v>
      </c>
      <c r="J971" s="26" t="s">
        <v>247</v>
      </c>
      <c r="K971" s="110">
        <v>4</v>
      </c>
      <c r="L971" s="218" t="s">
        <v>1761</v>
      </c>
      <c r="M971" s="272"/>
    </row>
    <row r="972" spans="1:13" ht="16.5">
      <c r="A972" s="21" t="s">
        <v>368</v>
      </c>
      <c r="B972" s="21" t="s">
        <v>119</v>
      </c>
      <c r="C972" s="29" t="s">
        <v>1003</v>
      </c>
      <c r="D972" s="46" t="s">
        <v>1577</v>
      </c>
      <c r="E972" s="21" t="s">
        <v>1522</v>
      </c>
      <c r="F972" s="22"/>
      <c r="G972" s="22" t="s">
        <v>739</v>
      </c>
      <c r="H972" s="22" t="s">
        <v>300</v>
      </c>
      <c r="I972" s="68">
        <v>1400</v>
      </c>
      <c r="J972" s="26" t="s">
        <v>248</v>
      </c>
      <c r="K972" s="110">
        <v>4</v>
      </c>
      <c r="L972" s="218" t="s">
        <v>1761</v>
      </c>
      <c r="M972" s="3"/>
    </row>
    <row r="973" spans="1:13" ht="16.5">
      <c r="A973" s="21" t="s">
        <v>443</v>
      </c>
      <c r="B973" s="21" t="s">
        <v>120</v>
      </c>
      <c r="C973" s="28" t="s">
        <v>1004</v>
      </c>
      <c r="D973" s="43" t="s">
        <v>1576</v>
      </c>
      <c r="E973" s="21" t="s">
        <v>1522</v>
      </c>
      <c r="F973" s="22"/>
      <c r="G973" s="22" t="s">
        <v>739</v>
      </c>
      <c r="H973" s="22" t="s">
        <v>300</v>
      </c>
      <c r="I973" s="68">
        <v>1410</v>
      </c>
      <c r="J973" s="26" t="s">
        <v>249</v>
      </c>
      <c r="K973" s="110">
        <v>4</v>
      </c>
      <c r="L973" s="218" t="s">
        <v>1761</v>
      </c>
      <c r="M973" s="3"/>
    </row>
    <row r="974" spans="1:13" ht="33">
      <c r="A974" s="21" t="s">
        <v>616</v>
      </c>
      <c r="B974" s="21" t="s">
        <v>574</v>
      </c>
      <c r="C974" s="28" t="s">
        <v>1073</v>
      </c>
      <c r="D974" s="46" t="s">
        <v>2727</v>
      </c>
      <c r="E974" s="21" t="s">
        <v>1522</v>
      </c>
      <c r="F974" s="22"/>
      <c r="G974" s="22" t="s">
        <v>739</v>
      </c>
      <c r="H974" s="22" t="s">
        <v>30</v>
      </c>
      <c r="I974" s="68">
        <v>1050</v>
      </c>
      <c r="J974" s="26" t="s">
        <v>1460</v>
      </c>
      <c r="K974" s="110" t="s">
        <v>753</v>
      </c>
      <c r="L974" s="218" t="s">
        <v>1761</v>
      </c>
    </row>
    <row r="975" spans="1:13" ht="33">
      <c r="A975" s="21" t="s">
        <v>307</v>
      </c>
      <c r="B975" s="21" t="s">
        <v>575</v>
      </c>
      <c r="C975" s="28" t="s">
        <v>1072</v>
      </c>
      <c r="D975" s="46" t="s">
        <v>2727</v>
      </c>
      <c r="E975" s="21" t="s">
        <v>1522</v>
      </c>
      <c r="F975" s="22"/>
      <c r="G975" s="22" t="s">
        <v>739</v>
      </c>
      <c r="H975" s="22" t="s">
        <v>30</v>
      </c>
      <c r="I975" s="68">
        <v>1050</v>
      </c>
      <c r="J975" s="26" t="s">
        <v>1460</v>
      </c>
      <c r="K975" s="110" t="s">
        <v>753</v>
      </c>
      <c r="L975" s="218" t="s">
        <v>1761</v>
      </c>
    </row>
    <row r="976" spans="1:13" ht="33">
      <c r="A976" s="21" t="s">
        <v>306</v>
      </c>
      <c r="B976" s="21" t="s">
        <v>571</v>
      </c>
      <c r="C976" s="29" t="s">
        <v>650</v>
      </c>
      <c r="D976" s="46" t="s">
        <v>2728</v>
      </c>
      <c r="E976" s="21" t="s">
        <v>1522</v>
      </c>
      <c r="F976" s="22"/>
      <c r="G976" s="22" t="s">
        <v>739</v>
      </c>
      <c r="H976" s="22" t="s">
        <v>30</v>
      </c>
      <c r="I976" s="68">
        <v>1150</v>
      </c>
      <c r="J976" s="26" t="s">
        <v>31</v>
      </c>
      <c r="K976" s="110" t="s">
        <v>753</v>
      </c>
      <c r="L976" s="218" t="s">
        <v>1761</v>
      </c>
    </row>
    <row r="977" spans="1:14" ht="66">
      <c r="A977" s="21" t="s">
        <v>616</v>
      </c>
      <c r="B977" s="21" t="s">
        <v>574</v>
      </c>
      <c r="C977" s="28" t="s">
        <v>695</v>
      </c>
      <c r="D977" s="43" t="s">
        <v>2729</v>
      </c>
      <c r="E977" s="21" t="s">
        <v>1522</v>
      </c>
      <c r="F977" s="22"/>
      <c r="G977" s="22" t="s">
        <v>739</v>
      </c>
      <c r="H977" s="22" t="s">
        <v>30</v>
      </c>
      <c r="I977" s="68">
        <v>1250</v>
      </c>
      <c r="J977" s="26" t="s">
        <v>615</v>
      </c>
      <c r="K977" s="110">
        <v>3</v>
      </c>
      <c r="L977" s="218" t="s">
        <v>1761</v>
      </c>
    </row>
    <row r="978" spans="1:14" ht="49.5">
      <c r="A978" s="21" t="s">
        <v>308</v>
      </c>
      <c r="B978" s="21" t="s">
        <v>134</v>
      </c>
      <c r="C978" s="28" t="s">
        <v>2497</v>
      </c>
      <c r="D978" s="43" t="s">
        <v>2731</v>
      </c>
      <c r="E978" s="21" t="s">
        <v>1522</v>
      </c>
      <c r="F978" s="22"/>
      <c r="G978" s="22" t="s">
        <v>739</v>
      </c>
      <c r="H978" s="22" t="s">
        <v>30</v>
      </c>
      <c r="I978" s="68">
        <v>1260</v>
      </c>
      <c r="J978" s="26" t="s">
        <v>79</v>
      </c>
      <c r="K978" s="110" t="s">
        <v>753</v>
      </c>
      <c r="L978" s="218" t="s">
        <v>1761</v>
      </c>
      <c r="N978" s="4"/>
    </row>
    <row r="979" spans="1:14" ht="49.5">
      <c r="A979" s="21" t="s">
        <v>307</v>
      </c>
      <c r="B979" s="21" t="s">
        <v>575</v>
      </c>
      <c r="C979" s="28" t="s">
        <v>1072</v>
      </c>
      <c r="D979" s="43" t="s">
        <v>2731</v>
      </c>
      <c r="E979" s="21" t="s">
        <v>1522</v>
      </c>
      <c r="F979" s="22"/>
      <c r="G979" s="22" t="s">
        <v>739</v>
      </c>
      <c r="H979" s="22" t="s">
        <v>30</v>
      </c>
      <c r="I979" s="68">
        <v>1260</v>
      </c>
      <c r="J979" s="26" t="s">
        <v>79</v>
      </c>
      <c r="K979" s="110">
        <v>3</v>
      </c>
      <c r="L979" s="218" t="s">
        <v>1761</v>
      </c>
      <c r="N979" s="4"/>
    </row>
    <row r="980" spans="1:14" s="4" customFormat="1" ht="82.5">
      <c r="A980" s="21" t="s">
        <v>306</v>
      </c>
      <c r="B980" s="21" t="s">
        <v>571</v>
      </c>
      <c r="C980" s="28" t="s">
        <v>650</v>
      </c>
      <c r="D980" s="43" t="s">
        <v>2730</v>
      </c>
      <c r="E980" s="21" t="s">
        <v>1522</v>
      </c>
      <c r="F980" s="22"/>
      <c r="G980" s="22" t="s">
        <v>739</v>
      </c>
      <c r="H980" s="22" t="s">
        <v>30</v>
      </c>
      <c r="I980" s="68">
        <v>1350</v>
      </c>
      <c r="J980" s="26" t="s">
        <v>80</v>
      </c>
      <c r="K980" s="110" t="s">
        <v>753</v>
      </c>
      <c r="L980" s="218" t="s">
        <v>1761</v>
      </c>
    </row>
    <row r="981" spans="1:14" s="4" customFormat="1" ht="99">
      <c r="A981" s="21" t="s">
        <v>32</v>
      </c>
      <c r="B981" s="21" t="s">
        <v>581</v>
      </c>
      <c r="C981" s="29" t="s">
        <v>651</v>
      </c>
      <c r="D981" s="46" t="s">
        <v>2732</v>
      </c>
      <c r="E981" s="21" t="s">
        <v>1522</v>
      </c>
      <c r="F981" s="22"/>
      <c r="G981" s="22" t="s">
        <v>739</v>
      </c>
      <c r="H981" s="22" t="s">
        <v>30</v>
      </c>
      <c r="I981" s="68">
        <v>2650</v>
      </c>
      <c r="J981" s="26" t="s">
        <v>81</v>
      </c>
      <c r="K981" s="110" t="s">
        <v>753</v>
      </c>
      <c r="L981" s="218" t="s">
        <v>1761</v>
      </c>
      <c r="M981" s="3"/>
    </row>
    <row r="982" spans="1:14" s="4" customFormat="1" ht="16.5">
      <c r="A982" s="45" t="s">
        <v>44</v>
      </c>
      <c r="B982" s="58"/>
      <c r="C982" s="28" t="s">
        <v>1305</v>
      </c>
      <c r="D982" s="102"/>
      <c r="E982" s="21" t="s">
        <v>1522</v>
      </c>
      <c r="F982" s="22"/>
      <c r="G982" s="22" t="s">
        <v>739</v>
      </c>
      <c r="H982" s="22" t="s">
        <v>1483</v>
      </c>
      <c r="I982" s="22" t="s">
        <v>1528</v>
      </c>
      <c r="J982" s="26" t="s">
        <v>1484</v>
      </c>
      <c r="K982" s="110" t="s">
        <v>753</v>
      </c>
      <c r="L982" s="218" t="s">
        <v>1761</v>
      </c>
      <c r="M982" s="175"/>
    </row>
    <row r="983" spans="1:14" s="4" customFormat="1" ht="16.5">
      <c r="A983" s="21" t="s">
        <v>1712</v>
      </c>
      <c r="B983" s="21"/>
      <c r="C983" s="28" t="s">
        <v>1711</v>
      </c>
      <c r="D983" s="43" t="s">
        <v>830</v>
      </c>
      <c r="E983" s="21" t="s">
        <v>1522</v>
      </c>
      <c r="F983" s="22" t="s">
        <v>533</v>
      </c>
      <c r="G983" s="22" t="s">
        <v>739</v>
      </c>
      <c r="H983" s="22" t="s">
        <v>1091</v>
      </c>
      <c r="I983" s="68" t="s">
        <v>1528</v>
      </c>
      <c r="J983" s="26" t="s">
        <v>1416</v>
      </c>
      <c r="K983" s="110">
        <v>3</v>
      </c>
      <c r="L983" s="218" t="s">
        <v>1761</v>
      </c>
      <c r="M983" s="3"/>
    </row>
    <row r="984" spans="1:14" s="4" customFormat="1" ht="16.5">
      <c r="A984" s="21" t="s">
        <v>748</v>
      </c>
      <c r="B984" s="21"/>
      <c r="C984" s="28" t="s">
        <v>194</v>
      </c>
      <c r="D984" s="43"/>
      <c r="E984" s="21" t="s">
        <v>1521</v>
      </c>
      <c r="F984" s="22"/>
      <c r="G984" s="22" t="s">
        <v>739</v>
      </c>
      <c r="H984" s="22" t="s">
        <v>452</v>
      </c>
      <c r="I984" s="68">
        <v>1010</v>
      </c>
      <c r="J984" s="26" t="s">
        <v>919</v>
      </c>
      <c r="K984" s="110" t="s">
        <v>753</v>
      </c>
      <c r="L984" s="218"/>
      <c r="M984" s="272"/>
    </row>
    <row r="985" spans="1:14" s="4" customFormat="1" ht="66">
      <c r="A985" s="21" t="s">
        <v>33</v>
      </c>
      <c r="B985" s="21"/>
      <c r="C985" s="28" t="s">
        <v>1626</v>
      </c>
      <c r="D985" s="101" t="s">
        <v>1802</v>
      </c>
      <c r="E985" s="21" t="s">
        <v>1522</v>
      </c>
      <c r="F985" s="22"/>
      <c r="G985" s="22" t="s">
        <v>739</v>
      </c>
      <c r="H985" s="22" t="s">
        <v>631</v>
      </c>
      <c r="I985" s="68">
        <v>1010</v>
      </c>
      <c r="J985" s="26" t="s">
        <v>618</v>
      </c>
      <c r="K985" s="110">
        <v>4</v>
      </c>
      <c r="L985" s="218" t="s">
        <v>1761</v>
      </c>
      <c r="M985" s="3"/>
    </row>
    <row r="986" spans="1:14" s="4" customFormat="1" ht="18" customHeight="1">
      <c r="A986" s="21" t="s">
        <v>1624</v>
      </c>
      <c r="B986" s="21"/>
      <c r="C986" s="28" t="s">
        <v>1625</v>
      </c>
      <c r="D986" s="43" t="s">
        <v>1309</v>
      </c>
      <c r="E986" s="21" t="s">
        <v>1522</v>
      </c>
      <c r="F986" s="22"/>
      <c r="G986" s="22" t="s">
        <v>739</v>
      </c>
      <c r="H986" s="22" t="s">
        <v>631</v>
      </c>
      <c r="I986" s="68">
        <v>1020</v>
      </c>
      <c r="J986" s="26" t="s">
        <v>635</v>
      </c>
      <c r="K986" s="110">
        <v>4</v>
      </c>
      <c r="L986" s="218" t="s">
        <v>1761</v>
      </c>
      <c r="M986" s="3"/>
      <c r="N986" s="1"/>
    </row>
    <row r="987" spans="1:14" s="4" customFormat="1" ht="67.5" customHeight="1">
      <c r="A987" s="21" t="s">
        <v>1644</v>
      </c>
      <c r="B987" s="21"/>
      <c r="C987" s="28" t="s">
        <v>1645</v>
      </c>
      <c r="D987" s="123" t="s">
        <v>2684</v>
      </c>
      <c r="E987" s="21" t="s">
        <v>1522</v>
      </c>
      <c r="F987" s="22" t="s">
        <v>534</v>
      </c>
      <c r="G987" s="22" t="s">
        <v>739</v>
      </c>
      <c r="H987" s="22" t="s">
        <v>631</v>
      </c>
      <c r="I987" s="68">
        <v>2010</v>
      </c>
      <c r="J987" s="26" t="s">
        <v>696</v>
      </c>
      <c r="K987" s="110" t="s">
        <v>642</v>
      </c>
      <c r="L987" s="218" t="s">
        <v>1761</v>
      </c>
      <c r="M987" s="272"/>
      <c r="N987" s="1"/>
    </row>
    <row r="988" spans="1:14" s="4" customFormat="1" ht="66">
      <c r="A988" s="21" t="s">
        <v>1639</v>
      </c>
      <c r="B988" s="21"/>
      <c r="C988" s="28" t="s">
        <v>1640</v>
      </c>
      <c r="D988" s="101" t="s">
        <v>1802</v>
      </c>
      <c r="E988" s="21" t="s">
        <v>1522</v>
      </c>
      <c r="F988" s="22"/>
      <c r="G988" s="22" t="s">
        <v>739</v>
      </c>
      <c r="H988" s="22" t="s">
        <v>632</v>
      </c>
      <c r="I988" s="68">
        <v>1010</v>
      </c>
      <c r="J988" s="26" t="s">
        <v>619</v>
      </c>
      <c r="K988" s="110">
        <v>4</v>
      </c>
      <c r="L988" s="218" t="s">
        <v>1761</v>
      </c>
      <c r="M988" s="3"/>
      <c r="N988" s="1"/>
    </row>
    <row r="989" spans="1:14" s="4" customFormat="1" ht="16.5">
      <c r="A989" s="21" t="s">
        <v>1641</v>
      </c>
      <c r="B989" s="21"/>
      <c r="C989" s="28" t="s">
        <v>1642</v>
      </c>
      <c r="D989" s="43" t="s">
        <v>1310</v>
      </c>
      <c r="E989" s="21" t="s">
        <v>1522</v>
      </c>
      <c r="F989" s="22"/>
      <c r="G989" s="22" t="s">
        <v>739</v>
      </c>
      <c r="H989" s="22" t="s">
        <v>632</v>
      </c>
      <c r="I989" s="68">
        <v>1020</v>
      </c>
      <c r="J989" s="26" t="s">
        <v>832</v>
      </c>
      <c r="K989" s="110">
        <v>4</v>
      </c>
      <c r="L989" s="218" t="s">
        <v>1761</v>
      </c>
      <c r="M989" s="3"/>
      <c r="N989" s="8"/>
    </row>
    <row r="990" spans="1:14" s="4" customFormat="1" ht="74.25" customHeight="1">
      <c r="A990" s="21" t="s">
        <v>1648</v>
      </c>
      <c r="B990" s="21"/>
      <c r="C990" s="28" t="s">
        <v>1649</v>
      </c>
      <c r="D990" s="123" t="s">
        <v>2683</v>
      </c>
      <c r="E990" s="21" t="s">
        <v>1522</v>
      </c>
      <c r="F990" s="22" t="s">
        <v>534</v>
      </c>
      <c r="G990" s="22" t="s">
        <v>739</v>
      </c>
      <c r="H990" s="22" t="s">
        <v>632</v>
      </c>
      <c r="I990" s="68">
        <v>2010</v>
      </c>
      <c r="J990" s="77" t="s">
        <v>623</v>
      </c>
      <c r="K990" s="110">
        <v>4</v>
      </c>
      <c r="L990" s="218" t="s">
        <v>1761</v>
      </c>
      <c r="M990" s="272"/>
      <c r="N990" s="8"/>
    </row>
    <row r="991" spans="1:14" s="4" customFormat="1" ht="16.5">
      <c r="A991" s="45" t="s">
        <v>384</v>
      </c>
      <c r="B991" s="45"/>
      <c r="C991" s="28" t="s">
        <v>1428</v>
      </c>
      <c r="D991" s="43" t="s">
        <v>2737</v>
      </c>
      <c r="E991" s="21" t="s">
        <v>1521</v>
      </c>
      <c r="F991" s="22" t="s">
        <v>70</v>
      </c>
      <c r="G991" s="22" t="s">
        <v>739</v>
      </c>
      <c r="H991" s="22" t="s">
        <v>1101</v>
      </c>
      <c r="I991" s="23" t="s">
        <v>430</v>
      </c>
      <c r="J991" s="26" t="s">
        <v>429</v>
      </c>
      <c r="K991" s="112">
        <v>3</v>
      </c>
      <c r="L991" s="218" t="s">
        <v>1761</v>
      </c>
      <c r="M991" s="3"/>
      <c r="N991" s="8"/>
    </row>
    <row r="992" spans="1:14" s="4" customFormat="1" ht="16.5">
      <c r="A992" s="21" t="s">
        <v>525</v>
      </c>
      <c r="B992" s="21" t="s">
        <v>882</v>
      </c>
      <c r="C992" s="28" t="s">
        <v>1007</v>
      </c>
      <c r="D992" s="43"/>
      <c r="E992" s="21" t="s">
        <v>1522</v>
      </c>
      <c r="F992" s="22"/>
      <c r="G992" s="22" t="s">
        <v>739</v>
      </c>
      <c r="H992" s="22" t="s">
        <v>928</v>
      </c>
      <c r="I992" s="68">
        <v>2300</v>
      </c>
      <c r="J992" s="26" t="s">
        <v>402</v>
      </c>
      <c r="K992" s="110" t="s">
        <v>753</v>
      </c>
      <c r="L992" s="218" t="s">
        <v>1761</v>
      </c>
      <c r="M992" s="3"/>
      <c r="N992" s="8"/>
    </row>
    <row r="993" spans="1:13" s="4" customFormat="1" ht="16.5">
      <c r="A993" s="21" t="s">
        <v>849</v>
      </c>
      <c r="B993" s="21" t="s">
        <v>848</v>
      </c>
      <c r="C993" s="28" t="s">
        <v>847</v>
      </c>
      <c r="D993" s="43"/>
      <c r="E993" s="21" t="s">
        <v>1522</v>
      </c>
      <c r="F993" s="22"/>
      <c r="G993" s="22" t="s">
        <v>739</v>
      </c>
      <c r="H993" s="22" t="s">
        <v>677</v>
      </c>
      <c r="I993" s="68" t="s">
        <v>754</v>
      </c>
      <c r="J993" s="26" t="s">
        <v>1128</v>
      </c>
      <c r="K993" s="110">
        <v>2</v>
      </c>
      <c r="L993" s="218" t="s">
        <v>1761</v>
      </c>
      <c r="M993" s="3"/>
    </row>
    <row r="994" spans="1:13" s="4" customFormat="1" ht="33">
      <c r="A994" s="21" t="s">
        <v>522</v>
      </c>
      <c r="B994" s="21" t="s">
        <v>880</v>
      </c>
      <c r="C994" s="28" t="s">
        <v>1060</v>
      </c>
      <c r="D994" s="43"/>
      <c r="E994" s="21" t="s">
        <v>1522</v>
      </c>
      <c r="F994" s="22"/>
      <c r="G994" s="22" t="s">
        <v>739</v>
      </c>
      <c r="H994" s="22" t="s">
        <v>677</v>
      </c>
      <c r="I994" s="68" t="s">
        <v>742</v>
      </c>
      <c r="J994" s="26" t="s">
        <v>1326</v>
      </c>
      <c r="K994" s="110">
        <v>4</v>
      </c>
      <c r="L994" s="218" t="s">
        <v>1777</v>
      </c>
      <c r="M994" s="3"/>
    </row>
    <row r="995" spans="1:13" s="4" customFormat="1" ht="33">
      <c r="A995" s="21" t="s">
        <v>522</v>
      </c>
      <c r="B995" s="21" t="s">
        <v>880</v>
      </c>
      <c r="C995" s="28" t="s">
        <v>1060</v>
      </c>
      <c r="D995" s="43" t="s">
        <v>1016</v>
      </c>
      <c r="E995" s="21" t="s">
        <v>1522</v>
      </c>
      <c r="F995" s="22"/>
      <c r="G995" s="22" t="s">
        <v>739</v>
      </c>
      <c r="H995" s="22" t="s">
        <v>677</v>
      </c>
      <c r="I995" s="68">
        <v>1106</v>
      </c>
      <c r="J995" s="26" t="s">
        <v>600</v>
      </c>
      <c r="K995" s="110">
        <v>4</v>
      </c>
      <c r="L995" s="218" t="s">
        <v>1777</v>
      </c>
      <c r="M995" s="3"/>
    </row>
    <row r="996" spans="1:13" s="4" customFormat="1" ht="16.5">
      <c r="A996" s="21" t="s">
        <v>522</v>
      </c>
      <c r="B996" s="21" t="s">
        <v>880</v>
      </c>
      <c r="C996" s="28" t="s">
        <v>1060</v>
      </c>
      <c r="D996" s="43"/>
      <c r="E996" s="21" t="s">
        <v>1522</v>
      </c>
      <c r="F996" s="22"/>
      <c r="G996" s="22" t="s">
        <v>739</v>
      </c>
      <c r="H996" s="22" t="s">
        <v>677</v>
      </c>
      <c r="I996" s="68">
        <v>1120</v>
      </c>
      <c r="J996" s="26" t="s">
        <v>678</v>
      </c>
      <c r="K996" s="110" t="s">
        <v>753</v>
      </c>
      <c r="L996" s="218" t="s">
        <v>1761</v>
      </c>
      <c r="M996" s="3"/>
    </row>
    <row r="997" spans="1:13" s="4" customFormat="1" ht="16.5">
      <c r="A997" s="21" t="s">
        <v>517</v>
      </c>
      <c r="B997" s="21" t="s">
        <v>112</v>
      </c>
      <c r="C997" s="28" t="s">
        <v>1135</v>
      </c>
      <c r="D997" s="43"/>
      <c r="E997" s="21" t="s">
        <v>1522</v>
      </c>
      <c r="F997" s="22"/>
      <c r="G997" s="22" t="s">
        <v>739</v>
      </c>
      <c r="H997" s="22" t="s">
        <v>755</v>
      </c>
      <c r="I997" s="68">
        <v>1010</v>
      </c>
      <c r="J997" s="26" t="s">
        <v>141</v>
      </c>
      <c r="K997" s="110">
        <v>3</v>
      </c>
      <c r="L997" s="218" t="s">
        <v>1761</v>
      </c>
      <c r="M997" s="3"/>
    </row>
    <row r="998" spans="1:13" s="4" customFormat="1" ht="33">
      <c r="A998" s="21" t="s">
        <v>593</v>
      </c>
      <c r="B998" s="21" t="s">
        <v>136</v>
      </c>
      <c r="C998" s="28" t="s">
        <v>828</v>
      </c>
      <c r="D998" s="52"/>
      <c r="E998" s="21" t="s">
        <v>1522</v>
      </c>
      <c r="F998" s="27"/>
      <c r="G998" s="22" t="s">
        <v>739</v>
      </c>
      <c r="H998" s="22" t="s">
        <v>760</v>
      </c>
      <c r="I998" s="68" t="s">
        <v>1531</v>
      </c>
      <c r="J998" s="26" t="s">
        <v>1017</v>
      </c>
      <c r="K998" s="110" t="s">
        <v>753</v>
      </c>
      <c r="L998" s="218" t="s">
        <v>1761</v>
      </c>
      <c r="M998" s="3"/>
    </row>
    <row r="999" spans="1:13" s="4" customFormat="1" ht="16.5">
      <c r="A999" s="21" t="s">
        <v>593</v>
      </c>
      <c r="B999" s="21" t="s">
        <v>136</v>
      </c>
      <c r="C999" s="28" t="s">
        <v>828</v>
      </c>
      <c r="D999" s="52"/>
      <c r="E999" s="21" t="s">
        <v>1522</v>
      </c>
      <c r="F999" s="27"/>
      <c r="G999" s="22" t="s">
        <v>739</v>
      </c>
      <c r="H999" s="22" t="s">
        <v>756</v>
      </c>
      <c r="I999" s="68" t="s">
        <v>1125</v>
      </c>
      <c r="J999" s="26" t="s">
        <v>685</v>
      </c>
      <c r="K999" s="110">
        <v>1</v>
      </c>
      <c r="L999" s="218" t="s">
        <v>1761</v>
      </c>
      <c r="M999" s="3"/>
    </row>
    <row r="1000" spans="1:13" s="4" customFormat="1" ht="16.5">
      <c r="A1000" s="21" t="s">
        <v>310</v>
      </c>
      <c r="B1000" s="21" t="s">
        <v>580</v>
      </c>
      <c r="C1000" s="30" t="s">
        <v>179</v>
      </c>
      <c r="D1000" s="52"/>
      <c r="E1000" s="21" t="s">
        <v>1522</v>
      </c>
      <c r="F1000" s="27"/>
      <c r="G1000" s="22" t="s">
        <v>739</v>
      </c>
      <c r="H1000" s="22" t="s">
        <v>756</v>
      </c>
      <c r="I1000" s="68">
        <v>1210</v>
      </c>
      <c r="J1000" s="26" t="s">
        <v>934</v>
      </c>
      <c r="K1000" s="110" t="s">
        <v>753</v>
      </c>
      <c r="L1000" s="218" t="s">
        <v>1761</v>
      </c>
      <c r="M1000" s="3"/>
    </row>
    <row r="1001" spans="1:13" s="4" customFormat="1" ht="16.5">
      <c r="A1001" s="21" t="s">
        <v>311</v>
      </c>
      <c r="B1001" s="21" t="s">
        <v>582</v>
      </c>
      <c r="C1001" s="30" t="s">
        <v>2530</v>
      </c>
      <c r="D1001" s="52" t="s">
        <v>1311</v>
      </c>
      <c r="E1001" s="21" t="s">
        <v>1522</v>
      </c>
      <c r="F1001" s="27"/>
      <c r="G1001" s="22" t="s">
        <v>739</v>
      </c>
      <c r="H1001" s="22" t="s">
        <v>756</v>
      </c>
      <c r="I1001" s="68">
        <v>2150</v>
      </c>
      <c r="J1001" s="26" t="s">
        <v>625</v>
      </c>
      <c r="K1001" s="110">
        <v>2</v>
      </c>
      <c r="L1001" s="218"/>
      <c r="M1001" s="3"/>
    </row>
    <row r="1002" spans="1:13" s="4" customFormat="1" ht="33">
      <c r="A1002" s="21" t="s">
        <v>311</v>
      </c>
      <c r="B1002" s="21" t="s">
        <v>582</v>
      </c>
      <c r="C1002" s="30" t="s">
        <v>2530</v>
      </c>
      <c r="D1002" s="52" t="s">
        <v>71</v>
      </c>
      <c r="E1002" s="21" t="s">
        <v>1522</v>
      </c>
      <c r="F1002" s="27"/>
      <c r="G1002" s="22" t="s">
        <v>739</v>
      </c>
      <c r="H1002" s="22" t="s">
        <v>756</v>
      </c>
      <c r="I1002" s="68">
        <v>2670</v>
      </c>
      <c r="J1002" s="26" t="s">
        <v>842</v>
      </c>
      <c r="K1002" s="110">
        <v>1</v>
      </c>
      <c r="L1002" s="218" t="s">
        <v>1761</v>
      </c>
      <c r="M1002" s="3"/>
    </row>
    <row r="1003" spans="1:13" s="4" customFormat="1" ht="16.5">
      <c r="A1003" s="21" t="s">
        <v>311</v>
      </c>
      <c r="B1003" s="21" t="s">
        <v>582</v>
      </c>
      <c r="C1003" s="30" t="s">
        <v>2530</v>
      </c>
      <c r="D1003" s="52" t="s">
        <v>1312</v>
      </c>
      <c r="E1003" s="21" t="s">
        <v>1522</v>
      </c>
      <c r="F1003" s="27"/>
      <c r="G1003" s="22" t="s">
        <v>739</v>
      </c>
      <c r="H1003" s="22" t="s">
        <v>756</v>
      </c>
      <c r="I1003" s="68" t="s">
        <v>905</v>
      </c>
      <c r="J1003" s="26" t="s">
        <v>686</v>
      </c>
      <c r="K1003" s="110">
        <v>2</v>
      </c>
      <c r="L1003" s="218"/>
      <c r="M1003" s="3"/>
    </row>
    <row r="1004" spans="1:13" s="4" customFormat="1" ht="33">
      <c r="A1004" s="21" t="s">
        <v>311</v>
      </c>
      <c r="B1004" s="21" t="s">
        <v>582</v>
      </c>
      <c r="C1004" s="30" t="s">
        <v>2530</v>
      </c>
      <c r="D1004" s="52" t="s">
        <v>72</v>
      </c>
      <c r="E1004" s="21" t="s">
        <v>1522</v>
      </c>
      <c r="F1004" s="27"/>
      <c r="G1004" s="22" t="s">
        <v>739</v>
      </c>
      <c r="H1004" s="22" t="s">
        <v>756</v>
      </c>
      <c r="I1004" s="68" t="s">
        <v>906</v>
      </c>
      <c r="J1004" s="26" t="s">
        <v>843</v>
      </c>
      <c r="K1004" s="110">
        <v>2</v>
      </c>
      <c r="L1004" s="218" t="s">
        <v>1761</v>
      </c>
      <c r="M1004" s="3"/>
    </row>
    <row r="1005" spans="1:13" s="4" customFormat="1" ht="16.5">
      <c r="A1005" s="21" t="s">
        <v>52</v>
      </c>
      <c r="B1005" s="21"/>
      <c r="C1005" s="28" t="s">
        <v>181</v>
      </c>
      <c r="D1005" s="43"/>
      <c r="E1005" s="21" t="s">
        <v>1521</v>
      </c>
      <c r="F1005" s="22" t="s">
        <v>1330</v>
      </c>
      <c r="G1005" s="22" t="s">
        <v>739</v>
      </c>
      <c r="H1005" s="22" t="s">
        <v>1124</v>
      </c>
      <c r="I1005" s="68">
        <v>1010</v>
      </c>
      <c r="J1005" s="26" t="s">
        <v>143</v>
      </c>
      <c r="K1005" s="110">
        <v>3</v>
      </c>
      <c r="L1005" s="218" t="s">
        <v>1761</v>
      </c>
      <c r="M1005" s="3"/>
    </row>
    <row r="1006" spans="1:13" s="4" customFormat="1" ht="16.5">
      <c r="A1006" s="21" t="s">
        <v>743</v>
      </c>
      <c r="B1006" s="21" t="s">
        <v>110</v>
      </c>
      <c r="C1006" s="28" t="s">
        <v>184</v>
      </c>
      <c r="D1006" s="43"/>
      <c r="E1006" s="21" t="s">
        <v>1522</v>
      </c>
      <c r="F1006" s="22" t="s">
        <v>540</v>
      </c>
      <c r="G1006" s="22" t="s">
        <v>739</v>
      </c>
      <c r="H1006" s="22" t="s">
        <v>498</v>
      </c>
      <c r="I1006" s="68" t="s">
        <v>428</v>
      </c>
      <c r="J1006" s="26" t="s">
        <v>260</v>
      </c>
      <c r="K1006" s="110">
        <v>3</v>
      </c>
      <c r="L1006" s="218" t="s">
        <v>1761</v>
      </c>
      <c r="M1006" s="3"/>
    </row>
    <row r="1007" spans="1:13" s="4" customFormat="1" ht="16.5">
      <c r="A1007" s="21" t="s">
        <v>523</v>
      </c>
      <c r="B1007" s="21" t="s">
        <v>123</v>
      </c>
      <c r="C1007" s="28" t="s">
        <v>1005</v>
      </c>
      <c r="D1007" s="43"/>
      <c r="E1007" s="21" t="s">
        <v>1522</v>
      </c>
      <c r="F1007" s="22"/>
      <c r="G1007" s="22" t="s">
        <v>739</v>
      </c>
      <c r="H1007" s="22" t="s">
        <v>499</v>
      </c>
      <c r="I1007" s="68">
        <v>1000</v>
      </c>
      <c r="J1007" s="26" t="s">
        <v>1494</v>
      </c>
      <c r="K1007" s="110">
        <v>2</v>
      </c>
      <c r="L1007" s="218" t="s">
        <v>1761</v>
      </c>
      <c r="M1007" s="3"/>
    </row>
    <row r="1008" spans="1:13" s="4" customFormat="1" ht="16.5">
      <c r="A1008" s="21" t="s">
        <v>523</v>
      </c>
      <c r="B1008" s="21" t="s">
        <v>123</v>
      </c>
      <c r="C1008" s="28" t="s">
        <v>1005</v>
      </c>
      <c r="D1008" s="43"/>
      <c r="E1008" s="21" t="s">
        <v>1522</v>
      </c>
      <c r="F1008" s="22"/>
      <c r="G1008" s="22" t="s">
        <v>739</v>
      </c>
      <c r="H1008" s="22" t="s">
        <v>499</v>
      </c>
      <c r="I1008" s="68" t="s">
        <v>596</v>
      </c>
      <c r="J1008" s="26" t="s">
        <v>687</v>
      </c>
      <c r="K1008" s="110">
        <v>4</v>
      </c>
      <c r="L1008" s="218" t="s">
        <v>1761</v>
      </c>
      <c r="M1008" s="3"/>
    </row>
    <row r="1009" spans="1:14" s="4" customFormat="1" ht="16.5">
      <c r="A1009" s="21" t="s">
        <v>745</v>
      </c>
      <c r="B1009" s="21"/>
      <c r="C1009" s="28" t="s">
        <v>1426</v>
      </c>
      <c r="D1009" s="43"/>
      <c r="E1009" s="21" t="s">
        <v>1522</v>
      </c>
      <c r="F1009" s="22"/>
      <c r="G1009" s="22" t="s">
        <v>739</v>
      </c>
      <c r="H1009" s="22" t="s">
        <v>494</v>
      </c>
      <c r="I1009" s="68" t="s">
        <v>458</v>
      </c>
      <c r="J1009" s="26" t="s">
        <v>757</v>
      </c>
      <c r="K1009" s="110">
        <v>3</v>
      </c>
      <c r="L1009" s="218" t="s">
        <v>1761</v>
      </c>
      <c r="M1009" s="3"/>
    </row>
    <row r="1010" spans="1:14" s="4" customFormat="1" ht="66">
      <c r="A1010" s="21" t="s">
        <v>1633</v>
      </c>
      <c r="B1010" s="21"/>
      <c r="C1010" s="28" t="s">
        <v>1634</v>
      </c>
      <c r="D1010" s="101" t="s">
        <v>1802</v>
      </c>
      <c r="E1010" s="21" t="s">
        <v>1522</v>
      </c>
      <c r="F1010" s="22"/>
      <c r="G1010" s="22" t="s">
        <v>739</v>
      </c>
      <c r="H1010" s="22" t="s">
        <v>431</v>
      </c>
      <c r="I1010" s="68">
        <v>1010</v>
      </c>
      <c r="J1010" s="26" t="s">
        <v>620</v>
      </c>
      <c r="K1010" s="110">
        <v>4</v>
      </c>
      <c r="L1010" s="218" t="s">
        <v>1761</v>
      </c>
      <c r="M1010" s="3"/>
    </row>
    <row r="1011" spans="1:14" s="4" customFormat="1" ht="16.5">
      <c r="A1011" s="21" t="s">
        <v>1631</v>
      </c>
      <c r="B1011" s="21"/>
      <c r="C1011" s="28" t="s">
        <v>1632</v>
      </c>
      <c r="D1011" s="43" t="s">
        <v>341</v>
      </c>
      <c r="E1011" s="21" t="s">
        <v>1522</v>
      </c>
      <c r="F1011" s="22"/>
      <c r="G1011" s="22" t="s">
        <v>739</v>
      </c>
      <c r="H1011" s="22" t="s">
        <v>431</v>
      </c>
      <c r="I1011" s="68">
        <v>1020</v>
      </c>
      <c r="J1011" s="26" t="s">
        <v>831</v>
      </c>
      <c r="K1011" s="110">
        <v>4</v>
      </c>
      <c r="L1011" s="218" t="s">
        <v>1761</v>
      </c>
      <c r="M1011" s="3"/>
      <c r="N1011" s="1"/>
    </row>
    <row r="1012" spans="1:14" s="4" customFormat="1" ht="72.75" customHeight="1">
      <c r="A1012" s="21" t="s">
        <v>1646</v>
      </c>
      <c r="B1012" s="21"/>
      <c r="C1012" s="28" t="s">
        <v>1647</v>
      </c>
      <c r="D1012" s="123" t="s">
        <v>2682</v>
      </c>
      <c r="E1012" s="21" t="s">
        <v>1522</v>
      </c>
      <c r="F1012" s="22" t="s">
        <v>534</v>
      </c>
      <c r="G1012" s="22" t="s">
        <v>739</v>
      </c>
      <c r="H1012" s="22" t="s">
        <v>431</v>
      </c>
      <c r="I1012" s="68">
        <v>2010</v>
      </c>
      <c r="J1012" s="77" t="s">
        <v>624</v>
      </c>
      <c r="K1012" s="110">
        <v>4</v>
      </c>
      <c r="L1012" s="218" t="s">
        <v>1761</v>
      </c>
      <c r="M1012" s="272"/>
    </row>
    <row r="1013" spans="1:14" s="4" customFormat="1" ht="16.5">
      <c r="A1013" s="21" t="s">
        <v>591</v>
      </c>
      <c r="B1013" s="21" t="s">
        <v>132</v>
      </c>
      <c r="C1013" s="28" t="s">
        <v>1065</v>
      </c>
      <c r="D1013" s="43" t="s">
        <v>2749</v>
      </c>
      <c r="E1013" s="21" t="s">
        <v>1522</v>
      </c>
      <c r="F1013" s="22"/>
      <c r="G1013" s="22" t="s">
        <v>739</v>
      </c>
      <c r="H1013" s="22" t="s">
        <v>758</v>
      </c>
      <c r="I1013" s="68">
        <v>1143</v>
      </c>
      <c r="J1013" s="26" t="s">
        <v>261</v>
      </c>
      <c r="K1013" s="110">
        <v>3</v>
      </c>
      <c r="L1013" s="218" t="s">
        <v>1761</v>
      </c>
      <c r="M1013" s="3"/>
    </row>
    <row r="1014" spans="1:14" s="4" customFormat="1" ht="25.5">
      <c r="A1014" s="125" t="s">
        <v>2748</v>
      </c>
      <c r="B1014" s="125" t="s">
        <v>2747</v>
      </c>
      <c r="C1014" s="251" t="s">
        <v>2750</v>
      </c>
      <c r="D1014" s="123" t="s">
        <v>2746</v>
      </c>
      <c r="E1014" s="21" t="s">
        <v>1522</v>
      </c>
      <c r="F1014" s="22"/>
      <c r="G1014" s="22" t="s">
        <v>739</v>
      </c>
      <c r="H1014" s="22" t="s">
        <v>758</v>
      </c>
      <c r="I1014" s="68">
        <v>1143</v>
      </c>
      <c r="J1014" s="26" t="s">
        <v>261</v>
      </c>
      <c r="K1014" s="110">
        <v>3</v>
      </c>
      <c r="L1014" s="218" t="s">
        <v>1761</v>
      </c>
      <c r="M1014" s="3" t="s">
        <v>2751</v>
      </c>
    </row>
    <row r="1015" spans="1:14" s="4" customFormat="1" ht="16.5">
      <c r="A1015" s="21" t="s">
        <v>590</v>
      </c>
      <c r="B1015" s="21" t="s">
        <v>129</v>
      </c>
      <c r="C1015" s="28" t="s">
        <v>827</v>
      </c>
      <c r="D1015" s="43"/>
      <c r="E1015" s="21" t="s">
        <v>1522</v>
      </c>
      <c r="F1015" s="22"/>
      <c r="G1015" s="22" t="s">
        <v>739</v>
      </c>
      <c r="H1015" s="22" t="s">
        <v>758</v>
      </c>
      <c r="I1015" s="68">
        <v>1303</v>
      </c>
      <c r="J1015" s="26" t="s">
        <v>761</v>
      </c>
      <c r="K1015" s="110">
        <v>3</v>
      </c>
      <c r="L1015" s="218" t="s">
        <v>1761</v>
      </c>
      <c r="M1015" s="3"/>
    </row>
    <row r="1016" spans="1:14" s="4" customFormat="1" ht="16.5">
      <c r="A1016" s="21" t="s">
        <v>591</v>
      </c>
      <c r="B1016" s="21" t="s">
        <v>132</v>
      </c>
      <c r="C1016" s="28" t="s">
        <v>1065</v>
      </c>
      <c r="D1016" s="43" t="s">
        <v>2749</v>
      </c>
      <c r="E1016" s="21" t="s">
        <v>1522</v>
      </c>
      <c r="F1016" s="22"/>
      <c r="G1016" s="22" t="s">
        <v>739</v>
      </c>
      <c r="H1016" s="22" t="s">
        <v>758</v>
      </c>
      <c r="I1016" s="68">
        <v>1303</v>
      </c>
      <c r="J1016" s="26" t="s">
        <v>761</v>
      </c>
      <c r="K1016" s="110" t="s">
        <v>753</v>
      </c>
      <c r="L1016" s="218" t="s">
        <v>1761</v>
      </c>
      <c r="M1016" s="3"/>
    </row>
    <row r="1017" spans="1:14" s="4" customFormat="1" ht="25.5">
      <c r="A1017" s="125" t="s">
        <v>2748</v>
      </c>
      <c r="B1017" s="125" t="s">
        <v>2747</v>
      </c>
      <c r="C1017" s="251" t="s">
        <v>2750</v>
      </c>
      <c r="D1017" s="123" t="s">
        <v>2746</v>
      </c>
      <c r="E1017" s="21" t="s">
        <v>1522</v>
      </c>
      <c r="F1017" s="22"/>
      <c r="G1017" s="22" t="s">
        <v>739</v>
      </c>
      <c r="H1017" s="22" t="s">
        <v>758</v>
      </c>
      <c r="I1017" s="68">
        <v>1303</v>
      </c>
      <c r="J1017" s="26" t="s">
        <v>761</v>
      </c>
      <c r="K1017" s="110" t="s">
        <v>753</v>
      </c>
      <c r="L1017" s="218" t="s">
        <v>1761</v>
      </c>
      <c r="M1017" s="3" t="s">
        <v>2751</v>
      </c>
    </row>
    <row r="1018" spans="1:14" s="4" customFormat="1" ht="16.5">
      <c r="A1018" s="21" t="s">
        <v>871</v>
      </c>
      <c r="B1018" s="21" t="s">
        <v>342</v>
      </c>
      <c r="C1018" s="28" t="s">
        <v>1237</v>
      </c>
      <c r="D1018" s="43"/>
      <c r="E1018" s="21" t="s">
        <v>1522</v>
      </c>
      <c r="F1018" s="22"/>
      <c r="G1018" s="22" t="s">
        <v>739</v>
      </c>
      <c r="H1018" s="22" t="s">
        <v>758</v>
      </c>
      <c r="I1018" s="68">
        <v>1303</v>
      </c>
      <c r="J1018" s="26" t="s">
        <v>761</v>
      </c>
      <c r="K1018" s="110" t="s">
        <v>753</v>
      </c>
      <c r="L1018" s="218" t="s">
        <v>1761</v>
      </c>
      <c r="M1018" s="3"/>
    </row>
    <row r="1019" spans="1:14" s="4" customFormat="1" ht="16.5">
      <c r="A1019" s="21" t="s">
        <v>1024</v>
      </c>
      <c r="B1019" s="21" t="s">
        <v>130</v>
      </c>
      <c r="C1019" s="28" t="s">
        <v>652</v>
      </c>
      <c r="D1019" s="43"/>
      <c r="E1019" s="21" t="s">
        <v>1522</v>
      </c>
      <c r="F1019" s="22"/>
      <c r="G1019" s="22" t="s">
        <v>739</v>
      </c>
      <c r="H1019" s="22" t="s">
        <v>758</v>
      </c>
      <c r="I1019" s="68">
        <v>1503</v>
      </c>
      <c r="J1019" s="26" t="s">
        <v>1036</v>
      </c>
      <c r="K1019" s="110">
        <v>3</v>
      </c>
      <c r="L1019" s="218" t="s">
        <v>1761</v>
      </c>
      <c r="M1019" s="3"/>
    </row>
    <row r="1020" spans="1:14" s="4" customFormat="1" ht="33">
      <c r="A1020" s="21" t="s">
        <v>592</v>
      </c>
      <c r="B1020" s="21" t="s">
        <v>133</v>
      </c>
      <c r="C1020" s="28" t="s">
        <v>1066</v>
      </c>
      <c r="D1020" s="43" t="s">
        <v>1827</v>
      </c>
      <c r="E1020" s="21" t="s">
        <v>1522</v>
      </c>
      <c r="F1020" s="22"/>
      <c r="G1020" s="22" t="s">
        <v>739</v>
      </c>
      <c r="H1020" s="22" t="s">
        <v>758</v>
      </c>
      <c r="I1020" s="68">
        <v>1890</v>
      </c>
      <c r="J1020" s="26" t="s">
        <v>2710</v>
      </c>
      <c r="K1020" s="110" t="s">
        <v>637</v>
      </c>
      <c r="L1020" s="218" t="s">
        <v>1761</v>
      </c>
      <c r="M1020" s="3"/>
    </row>
    <row r="1021" spans="1:14" s="4" customFormat="1" ht="17.25" customHeight="1">
      <c r="A1021" s="21" t="s">
        <v>592</v>
      </c>
      <c r="B1021" s="21" t="s">
        <v>133</v>
      </c>
      <c r="C1021" s="28" t="s">
        <v>1066</v>
      </c>
      <c r="D1021" s="43"/>
      <c r="E1021" s="21" t="s">
        <v>1522</v>
      </c>
      <c r="F1021" s="22"/>
      <c r="G1021" s="22" t="s">
        <v>739</v>
      </c>
      <c r="H1021" s="22" t="s">
        <v>758</v>
      </c>
      <c r="I1021" s="68">
        <v>2383</v>
      </c>
      <c r="J1021" s="26" t="s">
        <v>667</v>
      </c>
      <c r="K1021" s="110">
        <v>3</v>
      </c>
      <c r="L1021" s="218" t="s">
        <v>1761</v>
      </c>
      <c r="M1021" s="3"/>
    </row>
    <row r="1022" spans="1:14" s="4" customFormat="1" ht="16.5">
      <c r="A1022" s="21" t="s">
        <v>590</v>
      </c>
      <c r="B1022" s="21" t="s">
        <v>129</v>
      </c>
      <c r="C1022" s="28" t="s">
        <v>827</v>
      </c>
      <c r="D1022" s="43"/>
      <c r="E1022" s="21" t="s">
        <v>1522</v>
      </c>
      <c r="F1022" s="22"/>
      <c r="G1022" s="22" t="s">
        <v>739</v>
      </c>
      <c r="H1022" s="22" t="s">
        <v>758</v>
      </c>
      <c r="I1022" s="68" t="s">
        <v>759</v>
      </c>
      <c r="J1022" s="26" t="s">
        <v>262</v>
      </c>
      <c r="K1022" s="110">
        <v>3</v>
      </c>
      <c r="L1022" s="218" t="s">
        <v>1761</v>
      </c>
      <c r="M1022" s="3"/>
    </row>
    <row r="1023" spans="1:14" s="4" customFormat="1" ht="16.5">
      <c r="A1023" s="125" t="s">
        <v>1239</v>
      </c>
      <c r="B1023" s="125" t="s">
        <v>1240</v>
      </c>
      <c r="C1023" s="251" t="s">
        <v>1008</v>
      </c>
      <c r="D1023" s="43"/>
      <c r="E1023" s="21" t="s">
        <v>1522</v>
      </c>
      <c r="F1023" s="22"/>
      <c r="G1023" s="22" t="s">
        <v>739</v>
      </c>
      <c r="H1023" s="22" t="s">
        <v>758</v>
      </c>
      <c r="I1023" s="68">
        <v>2703</v>
      </c>
      <c r="J1023" s="26" t="s">
        <v>935</v>
      </c>
      <c r="K1023" s="110" t="s">
        <v>753</v>
      </c>
      <c r="L1023" s="218" t="s">
        <v>1761</v>
      </c>
      <c r="M1023" s="272" t="s">
        <v>2752</v>
      </c>
    </row>
    <row r="1024" spans="1:14" s="4" customFormat="1" ht="33">
      <c r="A1024" s="21" t="s">
        <v>790</v>
      </c>
      <c r="B1024" s="45" t="s">
        <v>92</v>
      </c>
      <c r="C1024" s="28" t="s">
        <v>989</v>
      </c>
      <c r="D1024" s="43" t="s">
        <v>2495</v>
      </c>
      <c r="E1024" s="21" t="s">
        <v>1522</v>
      </c>
      <c r="F1024" s="22"/>
      <c r="G1024" s="22" t="s">
        <v>739</v>
      </c>
      <c r="H1024" s="22" t="s">
        <v>758</v>
      </c>
      <c r="I1024" s="68">
        <v>2991</v>
      </c>
      <c r="J1024" s="26" t="s">
        <v>626</v>
      </c>
      <c r="K1024" s="110" t="s">
        <v>638</v>
      </c>
      <c r="L1024" s="218" t="s">
        <v>1761</v>
      </c>
      <c r="M1024" s="3"/>
    </row>
    <row r="1025" spans="1:14" s="4" customFormat="1" ht="33">
      <c r="A1025" s="21" t="s">
        <v>869</v>
      </c>
      <c r="B1025" s="21" t="s">
        <v>870</v>
      </c>
      <c r="C1025" s="28" t="s">
        <v>1238</v>
      </c>
      <c r="D1025" s="43" t="s">
        <v>2495</v>
      </c>
      <c r="E1025" s="21" t="s">
        <v>1522</v>
      </c>
      <c r="F1025" s="22"/>
      <c r="G1025" s="22" t="s">
        <v>739</v>
      </c>
      <c r="H1025" s="22" t="s">
        <v>758</v>
      </c>
      <c r="I1025" s="68">
        <v>2991</v>
      </c>
      <c r="J1025" s="26" t="s">
        <v>626</v>
      </c>
      <c r="K1025" s="110" t="s">
        <v>638</v>
      </c>
      <c r="L1025" s="218" t="s">
        <v>1761</v>
      </c>
      <c r="M1025" s="3"/>
    </row>
    <row r="1026" spans="1:14" s="4" customFormat="1" ht="33">
      <c r="A1026" s="21" t="s">
        <v>1024</v>
      </c>
      <c r="B1026" s="21" t="s">
        <v>130</v>
      </c>
      <c r="C1026" s="28" t="s">
        <v>652</v>
      </c>
      <c r="D1026" s="43" t="s">
        <v>2495</v>
      </c>
      <c r="E1026" s="21" t="s">
        <v>1522</v>
      </c>
      <c r="F1026" s="22"/>
      <c r="G1026" s="22" t="s">
        <v>739</v>
      </c>
      <c r="H1026" s="22" t="s">
        <v>758</v>
      </c>
      <c r="I1026" s="68">
        <v>2991</v>
      </c>
      <c r="J1026" s="26" t="s">
        <v>626</v>
      </c>
      <c r="K1026" s="110" t="s">
        <v>638</v>
      </c>
      <c r="L1026" s="218" t="s">
        <v>1761</v>
      </c>
      <c r="M1026" s="3"/>
    </row>
    <row r="1027" spans="1:14" s="4" customFormat="1" ht="33">
      <c r="A1027" s="21" t="s">
        <v>61</v>
      </c>
      <c r="B1027" s="21" t="s">
        <v>62</v>
      </c>
      <c r="C1027" s="28" t="s">
        <v>1133</v>
      </c>
      <c r="D1027" s="43" t="s">
        <v>2495</v>
      </c>
      <c r="E1027" s="21" t="s">
        <v>1522</v>
      </c>
      <c r="F1027" s="22"/>
      <c r="G1027" s="22" t="s">
        <v>739</v>
      </c>
      <c r="H1027" s="22" t="s">
        <v>758</v>
      </c>
      <c r="I1027" s="68">
        <v>2991</v>
      </c>
      <c r="J1027" s="26" t="s">
        <v>626</v>
      </c>
      <c r="K1027" s="110" t="s">
        <v>638</v>
      </c>
      <c r="L1027" s="218" t="s">
        <v>1761</v>
      </c>
      <c r="M1027" s="3"/>
    </row>
    <row r="1028" spans="1:14" s="4" customFormat="1" ht="33">
      <c r="A1028" s="21" t="s">
        <v>871</v>
      </c>
      <c r="B1028" s="21" t="s">
        <v>342</v>
      </c>
      <c r="C1028" s="28" t="s">
        <v>1237</v>
      </c>
      <c r="D1028" s="43" t="s">
        <v>2495</v>
      </c>
      <c r="E1028" s="21" t="s">
        <v>1522</v>
      </c>
      <c r="F1028" s="22"/>
      <c r="G1028" s="22" t="s">
        <v>739</v>
      </c>
      <c r="H1028" s="22" t="s">
        <v>758</v>
      </c>
      <c r="I1028" s="68">
        <v>2991</v>
      </c>
      <c r="J1028" s="26" t="s">
        <v>626</v>
      </c>
      <c r="K1028" s="110" t="s">
        <v>638</v>
      </c>
      <c r="L1028" s="218" t="s">
        <v>1761</v>
      </c>
      <c r="M1028" s="3"/>
    </row>
    <row r="1029" spans="1:14" s="4" customFormat="1" ht="16.5">
      <c r="A1029" s="21" t="s">
        <v>505</v>
      </c>
      <c r="B1029" s="21" t="s">
        <v>99</v>
      </c>
      <c r="C1029" s="28" t="s">
        <v>1884</v>
      </c>
      <c r="D1029" s="43" t="s">
        <v>322</v>
      </c>
      <c r="E1029" s="21" t="s">
        <v>1522</v>
      </c>
      <c r="F1029" s="22" t="s">
        <v>1331</v>
      </c>
      <c r="G1029" s="22" t="s">
        <v>739</v>
      </c>
      <c r="H1029" s="22" t="s">
        <v>1516</v>
      </c>
      <c r="I1029" s="68" t="s">
        <v>430</v>
      </c>
      <c r="J1029" s="26" t="s">
        <v>1037</v>
      </c>
      <c r="K1029" s="110">
        <v>3</v>
      </c>
      <c r="L1029" s="218" t="s">
        <v>1761</v>
      </c>
      <c r="M1029" s="3"/>
    </row>
    <row r="1030" spans="1:14" s="4" customFormat="1" ht="16.5">
      <c r="A1030" s="21" t="s">
        <v>514</v>
      </c>
      <c r="B1030" s="21" t="s">
        <v>106</v>
      </c>
      <c r="C1030" s="28" t="s">
        <v>213</v>
      </c>
      <c r="D1030" s="43" t="s">
        <v>322</v>
      </c>
      <c r="E1030" s="21" t="s">
        <v>1522</v>
      </c>
      <c r="F1030" s="22" t="s">
        <v>1331</v>
      </c>
      <c r="G1030" s="22" t="s">
        <v>739</v>
      </c>
      <c r="H1030" s="22" t="s">
        <v>1516</v>
      </c>
      <c r="I1030" s="68" t="s">
        <v>1517</v>
      </c>
      <c r="J1030" s="26" t="s">
        <v>1227</v>
      </c>
      <c r="K1030" s="110">
        <v>1</v>
      </c>
      <c r="L1030" s="218" t="s">
        <v>1761</v>
      </c>
      <c r="M1030" s="3"/>
    </row>
    <row r="1031" spans="1:14" s="4" customFormat="1" ht="16.5">
      <c r="A1031" s="21" t="s">
        <v>505</v>
      </c>
      <c r="B1031" s="21" t="s">
        <v>99</v>
      </c>
      <c r="C1031" s="28" t="s">
        <v>993</v>
      </c>
      <c r="D1031" s="43" t="s">
        <v>322</v>
      </c>
      <c r="E1031" s="21" t="s">
        <v>1522</v>
      </c>
      <c r="F1031" s="22" t="s">
        <v>1331</v>
      </c>
      <c r="G1031" s="22" t="s">
        <v>739</v>
      </c>
      <c r="H1031" s="22" t="s">
        <v>1516</v>
      </c>
      <c r="I1031" s="68" t="s">
        <v>1519</v>
      </c>
      <c r="J1031" s="26" t="s">
        <v>1228</v>
      </c>
      <c r="K1031" s="110">
        <v>1</v>
      </c>
      <c r="L1031" s="218" t="s">
        <v>1761</v>
      </c>
      <c r="M1031" s="3"/>
    </row>
    <row r="1032" spans="1:14" s="4" customFormat="1" ht="16.5">
      <c r="A1032" s="21" t="s">
        <v>518</v>
      </c>
      <c r="B1032" s="21" t="s">
        <v>116</v>
      </c>
      <c r="C1032" s="28" t="s">
        <v>1000</v>
      </c>
      <c r="D1032" s="43" t="s">
        <v>873</v>
      </c>
      <c r="E1032" s="21" t="s">
        <v>1522</v>
      </c>
      <c r="F1032" s="22"/>
      <c r="G1032" s="22" t="s">
        <v>739</v>
      </c>
      <c r="H1032" s="22" t="s">
        <v>1516</v>
      </c>
      <c r="I1032" s="68">
        <v>2200</v>
      </c>
      <c r="J1032" s="26" t="s">
        <v>763</v>
      </c>
      <c r="K1032" s="110">
        <v>3</v>
      </c>
      <c r="L1032" s="218" t="s">
        <v>1761</v>
      </c>
      <c r="M1032" s="3"/>
    </row>
    <row r="1033" spans="1:14" s="4" customFormat="1" ht="16.5">
      <c r="A1033" s="165">
        <v>35010013030</v>
      </c>
      <c r="B1033" s="21" t="s">
        <v>115</v>
      </c>
      <c r="C1033" s="28" t="s">
        <v>10</v>
      </c>
      <c r="D1033" s="43" t="s">
        <v>1464</v>
      </c>
      <c r="E1033" s="21" t="s">
        <v>1522</v>
      </c>
      <c r="F1033" s="24"/>
      <c r="G1033" s="22" t="s">
        <v>739</v>
      </c>
      <c r="H1033" s="22" t="s">
        <v>1516</v>
      </c>
      <c r="I1033" s="68">
        <v>2300</v>
      </c>
      <c r="J1033" s="26" t="s">
        <v>629</v>
      </c>
      <c r="K1033" s="110" t="s">
        <v>753</v>
      </c>
      <c r="L1033" s="218" t="s">
        <v>1761</v>
      </c>
      <c r="M1033" s="3"/>
    </row>
    <row r="1034" spans="1:14" s="4" customFormat="1" ht="16.5">
      <c r="A1034" s="21" t="s">
        <v>811</v>
      </c>
      <c r="B1034" s="21" t="s">
        <v>812</v>
      </c>
      <c r="C1034" s="28" t="s">
        <v>653</v>
      </c>
      <c r="D1034" s="43" t="s">
        <v>875</v>
      </c>
      <c r="E1034" s="21" t="s">
        <v>1522</v>
      </c>
      <c r="F1034" s="22"/>
      <c r="G1034" s="22" t="s">
        <v>739</v>
      </c>
      <c r="H1034" s="22" t="s">
        <v>1516</v>
      </c>
      <c r="I1034" s="68">
        <v>2532</v>
      </c>
      <c r="J1034" s="26" t="s">
        <v>762</v>
      </c>
      <c r="K1034" s="110" t="s">
        <v>753</v>
      </c>
      <c r="L1034" s="218" t="s">
        <v>1761</v>
      </c>
      <c r="M1034" s="3"/>
    </row>
    <row r="1035" spans="1:14" s="4" customFormat="1" ht="16.5">
      <c r="A1035" s="21" t="s">
        <v>521</v>
      </c>
      <c r="B1035" s="21" t="s">
        <v>121</v>
      </c>
      <c r="C1035" s="28" t="s">
        <v>1070</v>
      </c>
      <c r="D1035" s="43" t="s">
        <v>875</v>
      </c>
      <c r="E1035" s="21" t="s">
        <v>1522</v>
      </c>
      <c r="F1035" s="22"/>
      <c r="G1035" s="22" t="s">
        <v>739</v>
      </c>
      <c r="H1035" s="22" t="s">
        <v>1516</v>
      </c>
      <c r="I1035" s="68" t="s">
        <v>1520</v>
      </c>
      <c r="J1035" s="26" t="s">
        <v>762</v>
      </c>
      <c r="K1035" s="110">
        <v>3</v>
      </c>
      <c r="L1035" s="218" t="s">
        <v>1761</v>
      </c>
      <c r="M1035" s="3"/>
      <c r="N1035" s="1"/>
    </row>
    <row r="1036" spans="1:14" s="4" customFormat="1" ht="16.5">
      <c r="A1036" s="21" t="s">
        <v>1174</v>
      </c>
      <c r="B1036" s="21"/>
      <c r="C1036" s="28" t="s">
        <v>1873</v>
      </c>
      <c r="D1036" s="43"/>
      <c r="E1036" s="21" t="s">
        <v>1521</v>
      </c>
      <c r="F1036" s="22" t="s">
        <v>1330</v>
      </c>
      <c r="G1036" s="122" t="s">
        <v>739</v>
      </c>
      <c r="H1036" s="22" t="s">
        <v>391</v>
      </c>
      <c r="I1036" s="67">
        <v>1013</v>
      </c>
      <c r="J1036" s="26" t="s">
        <v>1878</v>
      </c>
      <c r="K1036" s="110" t="s">
        <v>753</v>
      </c>
      <c r="L1036" s="157" t="s">
        <v>1761</v>
      </c>
      <c r="M1036" s="178"/>
      <c r="N1036" s="1"/>
    </row>
  </sheetData>
  <sheetProtection sort="0" autoFilter="0"/>
  <autoFilter ref="A211:N1036"/>
  <sortState ref="A886:Q919">
    <sortCondition ref="H886:H919"/>
    <sortCondition ref="I886:I919"/>
  </sortState>
  <mergeCells count="36">
    <mergeCell ref="A15:B15"/>
    <mergeCell ref="C12:K12"/>
    <mergeCell ref="C13:K13"/>
    <mergeCell ref="C10:K10"/>
    <mergeCell ref="A13:B13"/>
    <mergeCell ref="C15:K15"/>
    <mergeCell ref="A209:J209"/>
    <mergeCell ref="A92:K92"/>
    <mergeCell ref="A21:B21"/>
    <mergeCell ref="C16:K16"/>
    <mergeCell ref="C20:K20"/>
    <mergeCell ref="A17:B17"/>
    <mergeCell ref="C18:K18"/>
    <mergeCell ref="D46:J46"/>
    <mergeCell ref="C21:K21"/>
    <mergeCell ref="A19:B19"/>
    <mergeCell ref="A20:B20"/>
    <mergeCell ref="A18:B18"/>
    <mergeCell ref="A186:J186"/>
    <mergeCell ref="D52:D68"/>
    <mergeCell ref="A2:J2"/>
    <mergeCell ref="A4:J4"/>
    <mergeCell ref="A204:J204"/>
    <mergeCell ref="A22:B22"/>
    <mergeCell ref="A50:K50"/>
    <mergeCell ref="C22:J22"/>
    <mergeCell ref="C17:K17"/>
    <mergeCell ref="C19:K19"/>
    <mergeCell ref="A11:B11"/>
    <mergeCell ref="A16:B16"/>
    <mergeCell ref="C14:K14"/>
    <mergeCell ref="A14:B14"/>
    <mergeCell ref="A3:J3"/>
    <mergeCell ref="A10:B10"/>
    <mergeCell ref="C11:K11"/>
    <mergeCell ref="A12:B12"/>
  </mergeCells>
  <phoneticPr fontId="0" type="noConversion"/>
  <pageMargins left="0.25" right="0.25" top="0.59" bottom="0.25" header="0" footer="0"/>
  <pageSetup scale="58" orientation="landscape" r:id="rId1"/>
  <headerFooter alignWithMargins="0">
    <oddHeader>&amp;F</oddHeader>
  </headerFooter>
  <drawing r:id="rId2"/>
</worksheet>
</file>

<file path=xl/worksheets/sheet2.xml><?xml version="1.0" encoding="utf-8"?>
<worksheet xmlns="http://schemas.openxmlformats.org/spreadsheetml/2006/main" xmlns:r="http://schemas.openxmlformats.org/officeDocument/2006/relationships">
  <dimension ref="A1:N2271"/>
  <sheetViews>
    <sheetView topLeftCell="A870" workbookViewId="0">
      <selection activeCell="A883" sqref="A883"/>
    </sheetView>
  </sheetViews>
  <sheetFormatPr defaultRowHeight="12.75"/>
  <cols>
    <col min="7" max="7" width="9.140625" style="158"/>
    <col min="10" max="11" width="0" hidden="1" customWidth="1"/>
  </cols>
  <sheetData>
    <row r="1" spans="1:6">
      <c r="B1" t="s">
        <v>1834</v>
      </c>
      <c r="C1" t="s">
        <v>1835</v>
      </c>
    </row>
    <row r="2" spans="1:6">
      <c r="C2" s="151" t="s">
        <v>1893</v>
      </c>
      <c r="F2" s="150"/>
    </row>
    <row r="3" spans="1:6">
      <c r="C3" s="150" t="s">
        <v>1892</v>
      </c>
      <c r="F3" s="150"/>
    </row>
    <row r="4" spans="1:6">
      <c r="C4" s="151" t="s">
        <v>1894</v>
      </c>
      <c r="F4" s="150"/>
    </row>
    <row r="5" spans="1:6">
      <c r="C5" s="151" t="s">
        <v>1895</v>
      </c>
      <c r="F5" s="150"/>
    </row>
    <row r="6" spans="1:6">
      <c r="B6" s="151" t="s">
        <v>1829</v>
      </c>
      <c r="C6" s="151" t="s">
        <v>1896</v>
      </c>
      <c r="F6" s="150"/>
    </row>
    <row r="7" spans="1:6">
      <c r="C7" s="151" t="s">
        <v>1905</v>
      </c>
    </row>
    <row r="10" spans="1:6">
      <c r="A10" s="151" t="s">
        <v>1903</v>
      </c>
    </row>
    <row r="11" spans="1:6" ht="16.5">
      <c r="B11" s="152" t="s">
        <v>797</v>
      </c>
      <c r="C11" s="152" t="s">
        <v>1319</v>
      </c>
      <c r="D11" s="154">
        <v>1010</v>
      </c>
    </row>
    <row r="12" spans="1:6" ht="16.5">
      <c r="B12" s="152" t="s">
        <v>797</v>
      </c>
      <c r="C12" s="152" t="s">
        <v>1319</v>
      </c>
      <c r="D12" s="154">
        <v>2010</v>
      </c>
    </row>
    <row r="13" spans="1:6" ht="16.5">
      <c r="B13" s="153" t="s">
        <v>1526</v>
      </c>
      <c r="C13" s="152" t="s">
        <v>356</v>
      </c>
      <c r="D13" s="154" t="s">
        <v>1528</v>
      </c>
    </row>
    <row r="14" spans="1:6" ht="16.5">
      <c r="B14" s="152" t="s">
        <v>551</v>
      </c>
      <c r="C14" s="152" t="s">
        <v>356</v>
      </c>
      <c r="D14" s="154">
        <v>1010</v>
      </c>
    </row>
    <row r="15" spans="1:6" ht="16.5">
      <c r="B15" s="152" t="s">
        <v>1586</v>
      </c>
      <c r="C15" s="152" t="s">
        <v>356</v>
      </c>
      <c r="D15" s="173" t="s">
        <v>1528</v>
      </c>
    </row>
    <row r="16" spans="1:6" ht="16.5">
      <c r="B16" s="153" t="s">
        <v>1526</v>
      </c>
      <c r="C16" s="152" t="s">
        <v>356</v>
      </c>
      <c r="D16" s="154">
        <v>1020</v>
      </c>
    </row>
    <row r="17" spans="2:4" ht="16.5">
      <c r="B17" s="152" t="s">
        <v>551</v>
      </c>
      <c r="C17" s="152" t="s">
        <v>356</v>
      </c>
      <c r="D17" s="154">
        <v>1020</v>
      </c>
    </row>
    <row r="18" spans="2:4" ht="16.5">
      <c r="B18" s="152" t="s">
        <v>1586</v>
      </c>
      <c r="C18" s="152" t="s">
        <v>356</v>
      </c>
      <c r="D18" s="173" t="s">
        <v>428</v>
      </c>
    </row>
    <row r="19" spans="2:4" ht="16.5">
      <c r="B19" s="152" t="s">
        <v>1586</v>
      </c>
      <c r="C19" s="152" t="s">
        <v>356</v>
      </c>
      <c r="D19" s="173">
        <v>2010</v>
      </c>
    </row>
    <row r="20" spans="2:4" ht="16.5">
      <c r="B20" s="152" t="s">
        <v>463</v>
      </c>
      <c r="C20" s="152" t="s">
        <v>922</v>
      </c>
      <c r="D20" s="173" t="s">
        <v>1528</v>
      </c>
    </row>
    <row r="21" spans="2:4" ht="16.5">
      <c r="B21" s="152" t="s">
        <v>463</v>
      </c>
      <c r="C21" s="152" t="s">
        <v>922</v>
      </c>
      <c r="D21" s="173" t="s">
        <v>428</v>
      </c>
    </row>
    <row r="22" spans="2:4" ht="16.5">
      <c r="B22" s="152" t="s">
        <v>1262</v>
      </c>
      <c r="C22" s="152" t="s">
        <v>923</v>
      </c>
      <c r="D22" s="174" t="s">
        <v>1528</v>
      </c>
    </row>
    <row r="23" spans="2:4" ht="16.5">
      <c r="B23" s="152" t="s">
        <v>551</v>
      </c>
      <c r="C23" s="152" t="s">
        <v>923</v>
      </c>
      <c r="D23" s="154">
        <v>1010</v>
      </c>
    </row>
    <row r="24" spans="2:4" ht="16.5">
      <c r="B24" s="152" t="s">
        <v>1262</v>
      </c>
      <c r="C24" s="152" t="s">
        <v>923</v>
      </c>
      <c r="D24" s="174" t="s">
        <v>428</v>
      </c>
    </row>
    <row r="25" spans="2:4" ht="16.5">
      <c r="B25" s="152" t="s">
        <v>551</v>
      </c>
      <c r="C25" s="152" t="s">
        <v>923</v>
      </c>
      <c r="D25" s="154">
        <v>1020</v>
      </c>
    </row>
    <row r="26" spans="2:4" ht="16.5">
      <c r="B26" s="152" t="s">
        <v>739</v>
      </c>
      <c r="C26" s="152" t="s">
        <v>632</v>
      </c>
      <c r="D26" s="173">
        <v>1010</v>
      </c>
    </row>
    <row r="27" spans="2:4" ht="16.5">
      <c r="B27" s="152" t="s">
        <v>739</v>
      </c>
      <c r="C27" s="152" t="s">
        <v>632</v>
      </c>
      <c r="D27" s="173">
        <v>1020</v>
      </c>
    </row>
    <row r="28" spans="2:4" ht="16.5">
      <c r="B28" s="152" t="s">
        <v>739</v>
      </c>
      <c r="C28" s="152" t="s">
        <v>632</v>
      </c>
      <c r="D28" s="173">
        <v>2010</v>
      </c>
    </row>
    <row r="29" spans="2:4" ht="16.5">
      <c r="B29" s="152" t="s">
        <v>463</v>
      </c>
      <c r="C29" s="152" t="s">
        <v>345</v>
      </c>
      <c r="D29" s="173">
        <v>1010</v>
      </c>
    </row>
    <row r="30" spans="2:4" ht="16.5">
      <c r="B30" s="152" t="s">
        <v>463</v>
      </c>
      <c r="C30" s="152" t="s">
        <v>345</v>
      </c>
      <c r="D30" s="173">
        <v>1020</v>
      </c>
    </row>
    <row r="31" spans="2:4" ht="16.5">
      <c r="B31" s="152" t="s">
        <v>1586</v>
      </c>
      <c r="C31" s="152" t="s">
        <v>498</v>
      </c>
      <c r="D31" s="154">
        <v>1020</v>
      </c>
    </row>
    <row r="32" spans="2:4" ht="16.5">
      <c r="B32" s="152" t="s">
        <v>739</v>
      </c>
      <c r="C32" s="152" t="s">
        <v>498</v>
      </c>
      <c r="D32" s="173" t="s">
        <v>428</v>
      </c>
    </row>
    <row r="33" spans="2:12" ht="16.5">
      <c r="B33" s="153" t="s">
        <v>1526</v>
      </c>
      <c r="C33" s="152" t="s">
        <v>1377</v>
      </c>
      <c r="D33" s="154">
        <v>1500</v>
      </c>
    </row>
    <row r="34" spans="2:12" ht="16.5">
      <c r="B34" s="152" t="s">
        <v>551</v>
      </c>
      <c r="C34" s="152" t="s">
        <v>493</v>
      </c>
      <c r="D34" s="154">
        <v>1500</v>
      </c>
    </row>
    <row r="35" spans="2:12" ht="16.5">
      <c r="B35" s="152" t="s">
        <v>1195</v>
      </c>
      <c r="C35" s="152" t="s">
        <v>1703</v>
      </c>
      <c r="D35" s="154">
        <v>1500</v>
      </c>
    </row>
    <row r="36" spans="2:12" ht="16.5">
      <c r="B36" s="152" t="s">
        <v>463</v>
      </c>
      <c r="C36" s="152" t="s">
        <v>918</v>
      </c>
      <c r="D36" s="173">
        <v>1500</v>
      </c>
    </row>
    <row r="37" spans="2:12" ht="16.5">
      <c r="B37" s="152" t="s">
        <v>1586</v>
      </c>
      <c r="C37" s="152" t="s">
        <v>467</v>
      </c>
      <c r="D37" s="173">
        <v>1100</v>
      </c>
    </row>
    <row r="38" spans="2:12" ht="16.5">
      <c r="B38" s="152" t="s">
        <v>1195</v>
      </c>
      <c r="C38" s="152" t="s">
        <v>441</v>
      </c>
      <c r="D38" s="154" t="s">
        <v>1528</v>
      </c>
    </row>
    <row r="39" spans="2:12" ht="16.5">
      <c r="B39" s="152" t="s">
        <v>463</v>
      </c>
      <c r="C39" s="173" t="s">
        <v>441</v>
      </c>
      <c r="D39" s="173">
        <v>1050</v>
      </c>
    </row>
    <row r="40" spans="2:12" ht="16.5">
      <c r="B40" s="153" t="s">
        <v>1526</v>
      </c>
      <c r="C40" s="152" t="s">
        <v>1535</v>
      </c>
      <c r="D40" s="154" t="s">
        <v>1528</v>
      </c>
    </row>
    <row r="41" spans="2:12" ht="16.5">
      <c r="B41" s="152" t="s">
        <v>1586</v>
      </c>
      <c r="C41" s="152" t="s">
        <v>457</v>
      </c>
      <c r="D41" s="154">
        <v>1010</v>
      </c>
      <c r="E41">
        <f>COUNTA(D11:D41)</f>
        <v>31</v>
      </c>
    </row>
    <row r="46" spans="2:12" ht="16.5">
      <c r="B46" s="21" t="s">
        <v>87</v>
      </c>
      <c r="C46" s="21" t="s">
        <v>1522</v>
      </c>
      <c r="D46" s="22"/>
      <c r="E46" s="22" t="s">
        <v>1586</v>
      </c>
      <c r="F46" s="22" t="s">
        <v>366</v>
      </c>
      <c r="G46" s="67">
        <v>1150</v>
      </c>
      <c r="H46" t="str">
        <f t="shared" ref="H46:H109" si="0">CONCATENATE(F46,G46)</f>
        <v>ACC1150</v>
      </c>
      <c r="I46">
        <f>IF(H46=H47,0,1)</f>
        <v>1</v>
      </c>
      <c r="J46" s="158"/>
      <c r="L46" s="158"/>
    </row>
    <row r="47" spans="2:12" ht="16.5">
      <c r="B47" s="21" t="s">
        <v>88</v>
      </c>
      <c r="C47" s="21" t="s">
        <v>1522</v>
      </c>
      <c r="D47" s="22"/>
      <c r="E47" s="22" t="s">
        <v>1195</v>
      </c>
      <c r="F47" s="22" t="s">
        <v>435</v>
      </c>
      <c r="G47" s="67" t="s">
        <v>1528</v>
      </c>
      <c r="H47" t="str">
        <f t="shared" si="0"/>
        <v>ACCT1010</v>
      </c>
      <c r="I47">
        <f t="shared" ref="I47:I110" si="1">IF(H47=H48,0,1)</f>
        <v>1</v>
      </c>
      <c r="J47" s="158"/>
      <c r="L47" s="158"/>
    </row>
    <row r="48" spans="2:12" ht="16.5">
      <c r="B48" s="21" t="s">
        <v>88</v>
      </c>
      <c r="C48" s="21" t="s">
        <v>1522</v>
      </c>
      <c r="D48" s="22"/>
      <c r="E48" s="22" t="s">
        <v>551</v>
      </c>
      <c r="F48" s="22" t="s">
        <v>435</v>
      </c>
      <c r="G48" s="22" t="s">
        <v>1119</v>
      </c>
      <c r="H48" t="str">
        <f t="shared" si="0"/>
        <v>ACCT1050</v>
      </c>
      <c r="I48">
        <f t="shared" si="1"/>
        <v>1</v>
      </c>
      <c r="J48" s="158"/>
      <c r="L48" s="158"/>
    </row>
    <row r="49" spans="2:12" ht="16.5">
      <c r="B49" s="21" t="s">
        <v>88</v>
      </c>
      <c r="C49" s="21" t="s">
        <v>1522</v>
      </c>
      <c r="D49" s="22"/>
      <c r="E49" s="22" t="s">
        <v>463</v>
      </c>
      <c r="F49" s="22" t="s">
        <v>435</v>
      </c>
      <c r="G49" s="68">
        <v>1110</v>
      </c>
      <c r="H49" t="str">
        <f t="shared" si="0"/>
        <v>ACCT1110</v>
      </c>
      <c r="I49">
        <f t="shared" si="1"/>
        <v>1</v>
      </c>
      <c r="J49" s="158"/>
      <c r="L49" s="158"/>
    </row>
    <row r="50" spans="2:12" ht="16.5">
      <c r="B50" s="21" t="s">
        <v>89</v>
      </c>
      <c r="C50" s="21" t="s">
        <v>1522</v>
      </c>
      <c r="D50" s="22"/>
      <c r="E50" s="96" t="s">
        <v>1526</v>
      </c>
      <c r="F50" s="96" t="s">
        <v>435</v>
      </c>
      <c r="G50" s="67">
        <v>1111</v>
      </c>
      <c r="H50" t="str">
        <f t="shared" si="0"/>
        <v>ACCT1111</v>
      </c>
      <c r="I50">
        <f t="shared" si="1"/>
        <v>1</v>
      </c>
      <c r="J50" s="158"/>
      <c r="L50" s="158"/>
    </row>
    <row r="51" spans="2:12" ht="16.5">
      <c r="B51" s="21" t="s">
        <v>89</v>
      </c>
      <c r="C51" s="21" t="s">
        <v>1522</v>
      </c>
      <c r="D51" s="22"/>
      <c r="E51" s="22" t="s">
        <v>463</v>
      </c>
      <c r="F51" s="22" t="s">
        <v>435</v>
      </c>
      <c r="G51" s="68">
        <v>1120</v>
      </c>
      <c r="H51" t="str">
        <f t="shared" si="0"/>
        <v>ACCT1120</v>
      </c>
      <c r="I51">
        <f t="shared" si="1"/>
        <v>1</v>
      </c>
      <c r="J51" s="158"/>
      <c r="L51" s="158"/>
    </row>
    <row r="52" spans="2:12" ht="16.5">
      <c r="B52" s="21" t="s">
        <v>89</v>
      </c>
      <c r="C52" s="21" t="s">
        <v>1522</v>
      </c>
      <c r="D52" s="22"/>
      <c r="E52" s="22" t="s">
        <v>551</v>
      </c>
      <c r="F52" s="22" t="s">
        <v>435</v>
      </c>
      <c r="G52" s="22" t="s">
        <v>1205</v>
      </c>
      <c r="H52" t="str">
        <f t="shared" si="0"/>
        <v>ACCT1550</v>
      </c>
      <c r="I52">
        <f t="shared" si="1"/>
        <v>1</v>
      </c>
      <c r="J52" s="158"/>
      <c r="L52" s="158"/>
    </row>
    <row r="53" spans="2:12" ht="16.5">
      <c r="B53" s="21" t="s">
        <v>89</v>
      </c>
      <c r="C53" s="21" t="s">
        <v>1522</v>
      </c>
      <c r="D53" s="22"/>
      <c r="E53" s="22" t="s">
        <v>1195</v>
      </c>
      <c r="F53" s="22" t="s">
        <v>435</v>
      </c>
      <c r="G53" s="67" t="s">
        <v>1093</v>
      </c>
      <c r="H53" t="str">
        <f t="shared" si="0"/>
        <v>ACCT2010</v>
      </c>
      <c r="I53">
        <f t="shared" si="1"/>
        <v>1</v>
      </c>
      <c r="J53" s="158"/>
      <c r="L53" s="158"/>
    </row>
    <row r="54" spans="2:12" ht="16.5">
      <c r="B54" s="21" t="s">
        <v>404</v>
      </c>
      <c r="C54" s="21" t="s">
        <v>1522</v>
      </c>
      <c r="D54" s="22"/>
      <c r="E54" s="22" t="s">
        <v>1261</v>
      </c>
      <c r="F54" s="22" t="s">
        <v>543</v>
      </c>
      <c r="G54" s="67">
        <v>1010</v>
      </c>
      <c r="H54" t="str">
        <f t="shared" si="0"/>
        <v>ACOM1010</v>
      </c>
      <c r="I54">
        <f t="shared" si="1"/>
        <v>1</v>
      </c>
      <c r="J54" s="158"/>
      <c r="L54" s="158"/>
    </row>
    <row r="55" spans="2:12" ht="16.5">
      <c r="B55" s="21" t="s">
        <v>1696</v>
      </c>
      <c r="C55" s="21" t="s">
        <v>1522</v>
      </c>
      <c r="D55" s="22"/>
      <c r="E55" s="22" t="s">
        <v>551</v>
      </c>
      <c r="F55" s="96" t="s">
        <v>1693</v>
      </c>
      <c r="G55" s="67">
        <v>1110</v>
      </c>
      <c r="H55" t="str">
        <f t="shared" si="0"/>
        <v>ADVS1110</v>
      </c>
      <c r="I55">
        <f t="shared" si="1"/>
        <v>1</v>
      </c>
      <c r="J55" s="158"/>
      <c r="L55" s="158"/>
    </row>
    <row r="56" spans="2:12" ht="16.5">
      <c r="B56" s="45"/>
      <c r="C56" s="21" t="s">
        <v>1522</v>
      </c>
      <c r="D56" s="22" t="s">
        <v>540</v>
      </c>
      <c r="E56" s="22" t="s">
        <v>1262</v>
      </c>
      <c r="F56" s="22" t="s">
        <v>795</v>
      </c>
      <c r="G56" s="23" t="s">
        <v>1078</v>
      </c>
      <c r="H56" t="str">
        <f t="shared" si="0"/>
        <v>AGSC1100</v>
      </c>
      <c r="I56">
        <f t="shared" si="1"/>
        <v>1</v>
      </c>
      <c r="J56" s="158"/>
      <c r="L56" s="158"/>
    </row>
    <row r="57" spans="2:12" ht="16.5">
      <c r="B57" s="21" t="s">
        <v>127</v>
      </c>
      <c r="C57" s="21" t="s">
        <v>1522</v>
      </c>
      <c r="D57" s="22"/>
      <c r="E57" s="22" t="s">
        <v>1261</v>
      </c>
      <c r="F57" s="22" t="s">
        <v>544</v>
      </c>
      <c r="G57" s="67">
        <v>1000</v>
      </c>
      <c r="H57" t="str">
        <f t="shared" si="0"/>
        <v>AHNA1000</v>
      </c>
      <c r="I57">
        <f t="shared" si="1"/>
        <v>1</v>
      </c>
      <c r="J57" s="158"/>
      <c r="L57" s="158"/>
    </row>
    <row r="58" spans="2:12" ht="16.5">
      <c r="B58" s="21"/>
      <c r="C58" s="21" t="s">
        <v>1522</v>
      </c>
      <c r="D58" s="22" t="s">
        <v>1329</v>
      </c>
      <c r="E58" s="96" t="s">
        <v>1526</v>
      </c>
      <c r="F58" s="22" t="s">
        <v>1527</v>
      </c>
      <c r="G58" s="67" t="s">
        <v>1528</v>
      </c>
      <c r="H58" t="str">
        <f t="shared" si="0"/>
        <v>ANTH1010</v>
      </c>
      <c r="I58">
        <f t="shared" si="1"/>
        <v>0</v>
      </c>
      <c r="J58" s="158"/>
      <c r="L58" s="158"/>
    </row>
    <row r="59" spans="2:12" ht="16.5">
      <c r="B59" s="21"/>
      <c r="C59" s="21" t="s">
        <v>1522</v>
      </c>
      <c r="D59" s="22" t="s">
        <v>1329</v>
      </c>
      <c r="E59" s="22" t="s">
        <v>1586</v>
      </c>
      <c r="F59" s="22" t="s">
        <v>1527</v>
      </c>
      <c r="G59" s="67">
        <v>1010</v>
      </c>
      <c r="H59" t="str">
        <f t="shared" si="0"/>
        <v>ANTH1010</v>
      </c>
      <c r="I59">
        <f t="shared" si="1"/>
        <v>1</v>
      </c>
      <c r="J59" s="158"/>
      <c r="L59" s="158"/>
    </row>
    <row r="60" spans="2:12" ht="16.5">
      <c r="B60" s="21"/>
      <c r="C60" s="21" t="s">
        <v>1522</v>
      </c>
      <c r="D60" s="22"/>
      <c r="E60" s="22" t="s">
        <v>463</v>
      </c>
      <c r="F60" s="22" t="s">
        <v>376</v>
      </c>
      <c r="G60" s="68">
        <v>1470</v>
      </c>
      <c r="H60" t="str">
        <f t="shared" si="0"/>
        <v>APPR1470</v>
      </c>
      <c r="I60">
        <f t="shared" si="1"/>
        <v>1</v>
      </c>
      <c r="J60" s="158"/>
      <c r="L60" s="158"/>
    </row>
    <row r="61" spans="2:12" ht="16.5">
      <c r="B61" s="21" t="s">
        <v>567</v>
      </c>
      <c r="C61" s="21" t="s">
        <v>1522</v>
      </c>
      <c r="D61" s="22"/>
      <c r="E61" s="22" t="s">
        <v>463</v>
      </c>
      <c r="F61" s="22" t="s">
        <v>900</v>
      </c>
      <c r="G61" s="68">
        <v>1100</v>
      </c>
      <c r="H61" t="str">
        <f t="shared" si="0"/>
        <v>AR1100</v>
      </c>
      <c r="I61">
        <f t="shared" si="1"/>
        <v>1</v>
      </c>
      <c r="J61" s="158"/>
      <c r="L61" s="158"/>
    </row>
    <row r="62" spans="2:12" ht="16.5">
      <c r="B62" s="21" t="s">
        <v>567</v>
      </c>
      <c r="C62" s="21" t="s">
        <v>1522</v>
      </c>
      <c r="D62" s="22"/>
      <c r="E62" s="22" t="s">
        <v>463</v>
      </c>
      <c r="F62" s="22" t="s">
        <v>900</v>
      </c>
      <c r="G62" s="68">
        <v>1111</v>
      </c>
      <c r="H62" t="str">
        <f t="shared" si="0"/>
        <v>AR1111</v>
      </c>
      <c r="I62">
        <f t="shared" si="1"/>
        <v>1</v>
      </c>
      <c r="J62" s="158"/>
      <c r="L62" s="158"/>
    </row>
    <row r="63" spans="2:12" ht="16.5">
      <c r="B63" s="21" t="s">
        <v>571</v>
      </c>
      <c r="C63" s="21" t="s">
        <v>1522</v>
      </c>
      <c r="D63" s="22"/>
      <c r="E63" s="22" t="s">
        <v>463</v>
      </c>
      <c r="F63" s="22" t="s">
        <v>464</v>
      </c>
      <c r="G63" s="68">
        <v>1100</v>
      </c>
      <c r="H63" t="str">
        <f t="shared" si="0"/>
        <v>ARCH 1100</v>
      </c>
      <c r="I63">
        <f t="shared" si="1"/>
        <v>1</v>
      </c>
      <c r="J63" s="158"/>
      <c r="L63" s="158"/>
    </row>
    <row r="64" spans="2:12" ht="16.5">
      <c r="B64" s="21" t="s">
        <v>575</v>
      </c>
      <c r="C64" s="21" t="s">
        <v>1522</v>
      </c>
      <c r="D64" s="22"/>
      <c r="E64" s="22" t="s">
        <v>463</v>
      </c>
      <c r="F64" s="22" t="s">
        <v>464</v>
      </c>
      <c r="G64" s="68">
        <v>1130</v>
      </c>
      <c r="H64" t="str">
        <f t="shared" si="0"/>
        <v>ARCH 1130</v>
      </c>
      <c r="I64">
        <f t="shared" si="1"/>
        <v>1</v>
      </c>
      <c r="J64" s="158"/>
      <c r="L64" s="158"/>
    </row>
    <row r="65" spans="2:12" ht="16.5">
      <c r="B65" s="21" t="s">
        <v>574</v>
      </c>
      <c r="C65" s="21" t="s">
        <v>1522</v>
      </c>
      <c r="D65" s="22"/>
      <c r="E65" s="22" t="s">
        <v>463</v>
      </c>
      <c r="F65" s="22" t="s">
        <v>464</v>
      </c>
      <c r="G65" s="68">
        <v>1310</v>
      </c>
      <c r="H65" t="str">
        <f t="shared" si="0"/>
        <v>ARCH 1310</v>
      </c>
      <c r="I65">
        <f t="shared" si="1"/>
        <v>1</v>
      </c>
      <c r="J65" s="158"/>
      <c r="L65" s="158"/>
    </row>
    <row r="66" spans="2:12" ht="16.5">
      <c r="B66" s="21" t="s">
        <v>575</v>
      </c>
      <c r="C66" s="21" t="s">
        <v>1522</v>
      </c>
      <c r="D66" s="22"/>
      <c r="E66" s="22" t="s">
        <v>463</v>
      </c>
      <c r="F66" s="22" t="s">
        <v>464</v>
      </c>
      <c r="G66" s="68">
        <v>1350</v>
      </c>
      <c r="H66" t="str">
        <f t="shared" si="0"/>
        <v>ARCH 1350</v>
      </c>
      <c r="I66">
        <f t="shared" si="1"/>
        <v>1</v>
      </c>
      <c r="J66" s="158"/>
      <c r="L66" s="158"/>
    </row>
    <row r="67" spans="2:12" ht="16.5">
      <c r="B67" s="21"/>
      <c r="C67" s="21" t="s">
        <v>1521</v>
      </c>
      <c r="D67" s="22" t="s">
        <v>1330</v>
      </c>
      <c r="E67" s="96" t="s">
        <v>1526</v>
      </c>
      <c r="F67" s="22" t="s">
        <v>1529</v>
      </c>
      <c r="G67" s="67" t="s">
        <v>1528</v>
      </c>
      <c r="H67" t="str">
        <f t="shared" si="0"/>
        <v>ART1010</v>
      </c>
      <c r="I67">
        <f t="shared" si="1"/>
        <v>0</v>
      </c>
      <c r="J67" s="158"/>
      <c r="L67" s="158"/>
    </row>
    <row r="68" spans="2:12" ht="16.5">
      <c r="B68" s="21"/>
      <c r="C68" s="21" t="s">
        <v>1521</v>
      </c>
      <c r="D68" s="22" t="s">
        <v>1330</v>
      </c>
      <c r="E68" s="22" t="s">
        <v>1195</v>
      </c>
      <c r="F68" s="22" t="s">
        <v>1529</v>
      </c>
      <c r="G68" s="67">
        <v>1010</v>
      </c>
      <c r="H68" t="str">
        <f t="shared" si="0"/>
        <v>ART1010</v>
      </c>
      <c r="I68">
        <f t="shared" si="1"/>
        <v>0</v>
      </c>
      <c r="J68" s="158"/>
      <c r="L68" s="158"/>
    </row>
    <row r="69" spans="2:12" ht="16.5">
      <c r="B69" s="21"/>
      <c r="C69" s="21" t="s">
        <v>1521</v>
      </c>
      <c r="D69" s="22" t="s">
        <v>1330</v>
      </c>
      <c r="E69" s="22" t="s">
        <v>463</v>
      </c>
      <c r="F69" s="22" t="s">
        <v>1529</v>
      </c>
      <c r="G69" s="68">
        <v>1010</v>
      </c>
      <c r="H69" t="str">
        <f t="shared" si="0"/>
        <v>ART1010</v>
      </c>
      <c r="I69">
        <f t="shared" si="1"/>
        <v>0</v>
      </c>
      <c r="J69" s="158"/>
      <c r="L69" s="158"/>
    </row>
    <row r="70" spans="2:12" ht="16.5">
      <c r="B70" s="21"/>
      <c r="C70" s="21" t="s">
        <v>1521</v>
      </c>
      <c r="D70" s="22" t="s">
        <v>1330</v>
      </c>
      <c r="E70" s="22" t="s">
        <v>1261</v>
      </c>
      <c r="F70" s="22" t="s">
        <v>1529</v>
      </c>
      <c r="G70" s="67">
        <v>1010</v>
      </c>
      <c r="H70" t="str">
        <f t="shared" si="0"/>
        <v>ART1010</v>
      </c>
      <c r="I70">
        <f t="shared" si="1"/>
        <v>0</v>
      </c>
      <c r="J70" s="158"/>
      <c r="L70" s="158"/>
    </row>
    <row r="71" spans="2:12" ht="16.5">
      <c r="B71" s="45"/>
      <c r="C71" s="21" t="s">
        <v>1521</v>
      </c>
      <c r="D71" s="22" t="s">
        <v>1330</v>
      </c>
      <c r="E71" s="22" t="s">
        <v>1262</v>
      </c>
      <c r="F71" s="22" t="s">
        <v>1529</v>
      </c>
      <c r="G71" s="23" t="s">
        <v>1528</v>
      </c>
      <c r="H71" t="str">
        <f t="shared" si="0"/>
        <v>ART1010</v>
      </c>
      <c r="I71">
        <f t="shared" si="1"/>
        <v>0</v>
      </c>
      <c r="J71" s="158"/>
      <c r="L71" s="158"/>
    </row>
    <row r="72" spans="2:12" ht="16.5">
      <c r="B72" s="45"/>
      <c r="C72" s="21" t="s">
        <v>1521</v>
      </c>
      <c r="D72" s="22" t="s">
        <v>1330</v>
      </c>
      <c r="E72" s="22" t="s">
        <v>551</v>
      </c>
      <c r="F72" s="22" t="s">
        <v>1529</v>
      </c>
      <c r="G72" s="22" t="s">
        <v>1528</v>
      </c>
      <c r="H72" t="str">
        <f t="shared" si="0"/>
        <v>ART1010</v>
      </c>
      <c r="I72">
        <f t="shared" si="1"/>
        <v>0</v>
      </c>
      <c r="J72" s="158"/>
      <c r="L72" s="158"/>
    </row>
    <row r="73" spans="2:12" ht="16.5">
      <c r="B73" s="21"/>
      <c r="C73" s="21" t="s">
        <v>1521</v>
      </c>
      <c r="D73" s="24" t="s">
        <v>1330</v>
      </c>
      <c r="E73" s="22" t="s">
        <v>1586</v>
      </c>
      <c r="F73" s="22" t="s">
        <v>1529</v>
      </c>
      <c r="G73" s="68">
        <v>1010</v>
      </c>
      <c r="H73" t="str">
        <f t="shared" si="0"/>
        <v>ART1010</v>
      </c>
      <c r="I73">
        <f t="shared" si="1"/>
        <v>1</v>
      </c>
      <c r="J73" s="158"/>
      <c r="L73" s="158"/>
    </row>
    <row r="74" spans="2:12" ht="16.5">
      <c r="B74" s="45"/>
      <c r="C74" s="21" t="s">
        <v>1521</v>
      </c>
      <c r="D74" s="22" t="s">
        <v>1330</v>
      </c>
      <c r="E74" s="22" t="s">
        <v>463</v>
      </c>
      <c r="F74" s="162" t="s">
        <v>1529</v>
      </c>
      <c r="G74" s="163">
        <v>1020</v>
      </c>
      <c r="H74" t="str">
        <f t="shared" si="0"/>
        <v>ART1020</v>
      </c>
      <c r="I74">
        <f t="shared" si="1"/>
        <v>0</v>
      </c>
      <c r="J74" s="158"/>
      <c r="L74" s="158"/>
    </row>
    <row r="75" spans="2:12" ht="16.5">
      <c r="B75" s="45" t="s">
        <v>1452</v>
      </c>
      <c r="C75" s="21" t="s">
        <v>1522</v>
      </c>
      <c r="D75" s="22" t="s">
        <v>1330</v>
      </c>
      <c r="E75" s="22" t="s">
        <v>463</v>
      </c>
      <c r="F75" s="162" t="s">
        <v>1529</v>
      </c>
      <c r="G75" s="163">
        <v>1020</v>
      </c>
      <c r="H75" t="str">
        <f t="shared" si="0"/>
        <v>ART1020</v>
      </c>
      <c r="I75">
        <f t="shared" si="1"/>
        <v>0</v>
      </c>
      <c r="J75" s="158"/>
      <c r="L75" s="158"/>
    </row>
    <row r="76" spans="2:12" ht="16.5">
      <c r="B76" s="45"/>
      <c r="C76" s="21" t="s">
        <v>1521</v>
      </c>
      <c r="D76" s="26"/>
      <c r="E76" s="22" t="s">
        <v>551</v>
      </c>
      <c r="F76" s="22" t="s">
        <v>1529</v>
      </c>
      <c r="G76" s="22" t="s">
        <v>428</v>
      </c>
      <c r="H76" t="str">
        <f t="shared" si="0"/>
        <v>ART1020</v>
      </c>
      <c r="I76">
        <f t="shared" si="1"/>
        <v>1</v>
      </c>
      <c r="J76" s="158"/>
      <c r="L76" s="158"/>
    </row>
    <row r="77" spans="2:12" ht="16.5">
      <c r="B77" s="21" t="s">
        <v>1451</v>
      </c>
      <c r="C77" s="21" t="s">
        <v>1522</v>
      </c>
      <c r="D77" s="22" t="s">
        <v>1330</v>
      </c>
      <c r="E77" s="22" t="s">
        <v>1586</v>
      </c>
      <c r="F77" s="22" t="s">
        <v>1529</v>
      </c>
      <c r="G77" s="68">
        <v>1050</v>
      </c>
      <c r="H77" t="str">
        <f t="shared" si="0"/>
        <v>ART1050</v>
      </c>
      <c r="I77">
        <f t="shared" si="1"/>
        <v>1</v>
      </c>
      <c r="J77" s="158"/>
      <c r="L77" s="158"/>
    </row>
    <row r="78" spans="2:12" ht="16.5">
      <c r="B78" s="21"/>
      <c r="C78" s="21" t="s">
        <v>1522</v>
      </c>
      <c r="D78" s="22" t="s">
        <v>1330</v>
      </c>
      <c r="E78" s="22" t="s">
        <v>463</v>
      </c>
      <c r="F78" s="22" t="s">
        <v>1529</v>
      </c>
      <c r="G78" s="68">
        <v>1060</v>
      </c>
      <c r="H78" t="str">
        <f t="shared" si="0"/>
        <v>ART1060</v>
      </c>
      <c r="I78">
        <f t="shared" si="1"/>
        <v>1</v>
      </c>
      <c r="J78" s="158"/>
      <c r="L78" s="158"/>
    </row>
    <row r="79" spans="2:12" ht="16.5">
      <c r="B79" s="45"/>
      <c r="C79" s="21" t="s">
        <v>1521</v>
      </c>
      <c r="D79" s="22"/>
      <c r="E79" s="96" t="s">
        <v>1526</v>
      </c>
      <c r="F79" s="22" t="s">
        <v>1529</v>
      </c>
      <c r="G79" s="67" t="s">
        <v>436</v>
      </c>
      <c r="H79" t="str">
        <f t="shared" si="0"/>
        <v>ART1110</v>
      </c>
      <c r="I79">
        <f t="shared" si="1"/>
        <v>0</v>
      </c>
      <c r="J79" s="158"/>
      <c r="L79" s="158"/>
    </row>
    <row r="80" spans="2:12" ht="16.5">
      <c r="B80" s="45"/>
      <c r="C80" s="21" t="s">
        <v>1521</v>
      </c>
      <c r="D80" s="22" t="s">
        <v>1330</v>
      </c>
      <c r="E80" s="22" t="s">
        <v>1262</v>
      </c>
      <c r="F80" s="22" t="s">
        <v>1529</v>
      </c>
      <c r="G80" s="23" t="s">
        <v>436</v>
      </c>
      <c r="H80" t="str">
        <f t="shared" si="0"/>
        <v>ART1110</v>
      </c>
      <c r="I80">
        <f t="shared" si="1"/>
        <v>0</v>
      </c>
      <c r="J80" s="158"/>
      <c r="L80" s="158"/>
    </row>
    <row r="81" spans="2:12" ht="16.5">
      <c r="B81" s="21"/>
      <c r="C81" s="21" t="s">
        <v>1521</v>
      </c>
      <c r="D81" s="22" t="s">
        <v>1330</v>
      </c>
      <c r="E81" s="22" t="s">
        <v>1586</v>
      </c>
      <c r="F81" s="22" t="s">
        <v>1529</v>
      </c>
      <c r="G81" s="68">
        <v>1110</v>
      </c>
      <c r="H81" t="str">
        <f t="shared" si="0"/>
        <v>ART1110</v>
      </c>
      <c r="I81">
        <f t="shared" si="1"/>
        <v>1</v>
      </c>
      <c r="J81" s="158"/>
      <c r="L81" s="158"/>
    </row>
    <row r="82" spans="2:12" ht="16.5">
      <c r="B82" s="21"/>
      <c r="C82" s="21" t="s">
        <v>1521</v>
      </c>
      <c r="D82" s="22"/>
      <c r="E82" s="22" t="s">
        <v>463</v>
      </c>
      <c r="F82" s="22" t="s">
        <v>1529</v>
      </c>
      <c r="G82" s="68">
        <v>1120</v>
      </c>
      <c r="H82" t="str">
        <f t="shared" si="0"/>
        <v>ART1120</v>
      </c>
      <c r="I82">
        <f t="shared" si="1"/>
        <v>0</v>
      </c>
      <c r="J82" s="158"/>
      <c r="L82" s="158"/>
    </row>
    <row r="83" spans="2:12" ht="16.5">
      <c r="B83" s="45" t="s">
        <v>1452</v>
      </c>
      <c r="C83" s="21" t="s">
        <v>1522</v>
      </c>
      <c r="D83" s="22"/>
      <c r="E83" s="22" t="s">
        <v>1586</v>
      </c>
      <c r="F83" s="22" t="s">
        <v>1529</v>
      </c>
      <c r="G83" s="68">
        <v>1120</v>
      </c>
      <c r="H83" t="str">
        <f t="shared" si="0"/>
        <v>ART1120</v>
      </c>
      <c r="I83">
        <f t="shared" si="1"/>
        <v>1</v>
      </c>
      <c r="J83" s="158"/>
      <c r="L83" s="158"/>
    </row>
    <row r="84" spans="2:12" ht="16.5">
      <c r="B84" s="21" t="s">
        <v>572</v>
      </c>
      <c r="C84" s="21" t="s">
        <v>1522</v>
      </c>
      <c r="D84" s="22"/>
      <c r="E84" s="22" t="s">
        <v>463</v>
      </c>
      <c r="F84" s="22" t="s">
        <v>1529</v>
      </c>
      <c r="G84" s="68">
        <v>1135</v>
      </c>
      <c r="H84" t="str">
        <f t="shared" si="0"/>
        <v>ART1135</v>
      </c>
      <c r="I84">
        <f t="shared" si="1"/>
        <v>1</v>
      </c>
      <c r="J84" s="158"/>
      <c r="L84" s="158"/>
    </row>
    <row r="85" spans="2:12" ht="16.5">
      <c r="B85" s="21" t="s">
        <v>572</v>
      </c>
      <c r="C85" s="21" t="s">
        <v>1522</v>
      </c>
      <c r="D85" s="22"/>
      <c r="E85" s="22" t="s">
        <v>463</v>
      </c>
      <c r="F85" s="22" t="s">
        <v>1529</v>
      </c>
      <c r="G85" s="68">
        <v>1240</v>
      </c>
      <c r="H85" t="str">
        <f t="shared" si="0"/>
        <v>ART1240</v>
      </c>
      <c r="I85">
        <f t="shared" si="1"/>
        <v>1</v>
      </c>
      <c r="J85" s="158"/>
      <c r="L85" s="158"/>
    </row>
    <row r="86" spans="2:12" ht="16.5">
      <c r="B86" s="21" t="s">
        <v>1451</v>
      </c>
      <c r="C86" s="21" t="s">
        <v>1522</v>
      </c>
      <c r="D86" s="22"/>
      <c r="E86" s="22" t="s">
        <v>463</v>
      </c>
      <c r="F86" s="22" t="s">
        <v>1529</v>
      </c>
      <c r="G86" s="68">
        <v>1310</v>
      </c>
      <c r="H86" t="str">
        <f t="shared" si="0"/>
        <v>ART1310</v>
      </c>
      <c r="I86">
        <f t="shared" si="1"/>
        <v>1</v>
      </c>
      <c r="J86" s="158"/>
      <c r="L86" s="158"/>
    </row>
    <row r="87" spans="2:12" ht="16.5">
      <c r="B87" s="21"/>
      <c r="C87" s="21" t="s">
        <v>1521</v>
      </c>
      <c r="D87" s="22"/>
      <c r="E87" s="22" t="s">
        <v>1586</v>
      </c>
      <c r="F87" s="22" t="s">
        <v>1529</v>
      </c>
      <c r="G87" s="68">
        <v>1340</v>
      </c>
      <c r="H87" t="str">
        <f t="shared" si="0"/>
        <v>ART1340</v>
      </c>
      <c r="I87">
        <f t="shared" si="1"/>
        <v>1</v>
      </c>
      <c r="J87" s="158"/>
      <c r="L87" s="158"/>
    </row>
    <row r="88" spans="2:12" ht="16.5">
      <c r="B88" s="21"/>
      <c r="C88" s="21" t="s">
        <v>1521</v>
      </c>
      <c r="D88" s="22"/>
      <c r="E88" s="22" t="s">
        <v>1586</v>
      </c>
      <c r="F88" s="22" t="s">
        <v>1529</v>
      </c>
      <c r="G88" s="68">
        <v>1350</v>
      </c>
      <c r="H88" t="str">
        <f t="shared" si="0"/>
        <v>ART1350</v>
      </c>
      <c r="I88">
        <f t="shared" si="1"/>
        <v>1</v>
      </c>
      <c r="J88" s="158"/>
      <c r="L88" s="158"/>
    </row>
    <row r="89" spans="2:12" ht="16.5">
      <c r="B89" s="21" t="s">
        <v>1452</v>
      </c>
      <c r="C89" s="21" t="s">
        <v>1522</v>
      </c>
      <c r="D89" s="22"/>
      <c r="E89" s="22" t="s">
        <v>1586</v>
      </c>
      <c r="F89" s="22" t="s">
        <v>1529</v>
      </c>
      <c r="G89" s="68">
        <v>1400</v>
      </c>
      <c r="H89" t="str">
        <f t="shared" si="0"/>
        <v>ART1400</v>
      </c>
      <c r="I89">
        <f t="shared" si="1"/>
        <v>1</v>
      </c>
      <c r="J89" s="158"/>
      <c r="L89" s="158"/>
    </row>
    <row r="90" spans="2:12" ht="16.5">
      <c r="B90" s="21"/>
      <c r="C90" s="21" t="s">
        <v>1521</v>
      </c>
      <c r="D90" s="22"/>
      <c r="E90" s="96" t="s">
        <v>1526</v>
      </c>
      <c r="F90" s="22" t="s">
        <v>1529</v>
      </c>
      <c r="G90" s="67">
        <v>1410</v>
      </c>
      <c r="H90" t="str">
        <f t="shared" si="0"/>
        <v>ART1410</v>
      </c>
      <c r="I90">
        <f t="shared" si="1"/>
        <v>1</v>
      </c>
      <c r="J90" s="158"/>
      <c r="L90" s="158"/>
    </row>
    <row r="91" spans="2:12" ht="16.5">
      <c r="B91" s="21"/>
      <c r="C91" s="21" t="s">
        <v>1521</v>
      </c>
      <c r="D91" s="22"/>
      <c r="E91" s="96" t="s">
        <v>1526</v>
      </c>
      <c r="F91" s="22" t="s">
        <v>1529</v>
      </c>
      <c r="G91" s="67">
        <v>1420</v>
      </c>
      <c r="H91" t="str">
        <f t="shared" si="0"/>
        <v>ART1420</v>
      </c>
      <c r="I91">
        <f t="shared" si="1"/>
        <v>1</v>
      </c>
      <c r="J91" s="158"/>
      <c r="L91" s="158"/>
    </row>
    <row r="92" spans="2:12" ht="16.5">
      <c r="B92" s="21" t="s">
        <v>117</v>
      </c>
      <c r="C92" s="21" t="s">
        <v>1522</v>
      </c>
      <c r="D92" s="22"/>
      <c r="E92" s="22" t="s">
        <v>1586</v>
      </c>
      <c r="F92" s="22" t="s">
        <v>1529</v>
      </c>
      <c r="G92" s="68">
        <v>1430</v>
      </c>
      <c r="H92" t="str">
        <f t="shared" si="0"/>
        <v>ART1430</v>
      </c>
      <c r="I92">
        <f t="shared" si="1"/>
        <v>1</v>
      </c>
      <c r="J92" s="158"/>
      <c r="L92" s="158"/>
    </row>
    <row r="93" spans="2:12" ht="16.5">
      <c r="B93" s="21"/>
      <c r="C93" s="21" t="s">
        <v>1521</v>
      </c>
      <c r="D93" s="22"/>
      <c r="E93" s="22" t="s">
        <v>463</v>
      </c>
      <c r="F93" s="22" t="s">
        <v>1529</v>
      </c>
      <c r="G93" s="68">
        <v>1530</v>
      </c>
      <c r="H93" t="str">
        <f t="shared" si="0"/>
        <v>ART1530</v>
      </c>
      <c r="I93">
        <f t="shared" si="1"/>
        <v>1</v>
      </c>
      <c r="J93" s="158"/>
      <c r="L93" s="158"/>
    </row>
    <row r="94" spans="2:12" ht="16.5">
      <c r="B94" s="21"/>
      <c r="C94" s="21" t="s">
        <v>1521</v>
      </c>
      <c r="D94" s="22"/>
      <c r="E94" s="22" t="s">
        <v>463</v>
      </c>
      <c r="F94" s="22" t="s">
        <v>1529</v>
      </c>
      <c r="G94" s="68">
        <v>1540</v>
      </c>
      <c r="H94" t="str">
        <f t="shared" si="0"/>
        <v>ART1540</v>
      </c>
      <c r="I94">
        <f t="shared" si="1"/>
        <v>1</v>
      </c>
      <c r="J94" s="158"/>
      <c r="L94" s="158"/>
    </row>
    <row r="95" spans="2:12" ht="16.5">
      <c r="B95" s="21"/>
      <c r="C95" s="21" t="s">
        <v>1521</v>
      </c>
      <c r="D95" s="22"/>
      <c r="E95" s="22" t="s">
        <v>463</v>
      </c>
      <c r="F95" s="22" t="s">
        <v>1529</v>
      </c>
      <c r="G95" s="68">
        <v>1600</v>
      </c>
      <c r="H95" t="str">
        <f t="shared" si="0"/>
        <v>ART1600</v>
      </c>
      <c r="I95">
        <f t="shared" si="1"/>
        <v>1</v>
      </c>
      <c r="J95" s="158"/>
      <c r="L95" s="158"/>
    </row>
    <row r="96" spans="2:12" ht="16.5">
      <c r="B96" s="45"/>
      <c r="C96" s="21" t="s">
        <v>1521</v>
      </c>
      <c r="D96" s="22"/>
      <c r="E96" s="22" t="s">
        <v>1262</v>
      </c>
      <c r="F96" s="22" t="s">
        <v>1529</v>
      </c>
      <c r="G96" s="23">
        <v>1610</v>
      </c>
      <c r="H96" t="str">
        <f t="shared" si="0"/>
        <v>ART1610</v>
      </c>
      <c r="I96">
        <f t="shared" si="1"/>
        <v>1</v>
      </c>
      <c r="J96" s="158"/>
      <c r="L96" s="158"/>
    </row>
    <row r="97" spans="2:12" ht="16.5">
      <c r="B97" s="43"/>
      <c r="C97" s="21" t="s">
        <v>1521</v>
      </c>
      <c r="D97" s="22"/>
      <c r="E97" s="22" t="s">
        <v>1586</v>
      </c>
      <c r="F97" s="22" t="s">
        <v>1529</v>
      </c>
      <c r="G97" s="68">
        <v>1650</v>
      </c>
      <c r="H97" t="str">
        <f t="shared" si="0"/>
        <v>ART1650</v>
      </c>
      <c r="I97">
        <f t="shared" si="1"/>
        <v>1</v>
      </c>
      <c r="J97" s="158"/>
      <c r="L97" s="158"/>
    </row>
    <row r="98" spans="2:12" ht="16.5">
      <c r="B98" s="21" t="s">
        <v>117</v>
      </c>
      <c r="C98" s="21" t="s">
        <v>1522</v>
      </c>
      <c r="D98" s="22"/>
      <c r="E98" s="22" t="s">
        <v>463</v>
      </c>
      <c r="F98" s="22" t="s">
        <v>1529</v>
      </c>
      <c r="G98" s="68">
        <v>1800</v>
      </c>
      <c r="H98" t="str">
        <f t="shared" si="0"/>
        <v>ART1800</v>
      </c>
      <c r="I98">
        <f t="shared" si="1"/>
        <v>1</v>
      </c>
      <c r="J98" s="158"/>
      <c r="L98" s="158"/>
    </row>
    <row r="99" spans="2:12" ht="16.5">
      <c r="B99" s="21"/>
      <c r="C99" s="21" t="s">
        <v>1521</v>
      </c>
      <c r="D99" s="22"/>
      <c r="E99" s="96" t="s">
        <v>1526</v>
      </c>
      <c r="F99" s="22" t="s">
        <v>1529</v>
      </c>
      <c r="G99" s="67">
        <v>2110</v>
      </c>
      <c r="H99" t="str">
        <f t="shared" si="0"/>
        <v>ART2110</v>
      </c>
      <c r="I99">
        <f t="shared" si="1"/>
        <v>1</v>
      </c>
      <c r="J99" s="158"/>
      <c r="L99" s="158"/>
    </row>
    <row r="100" spans="2:12" ht="16.5">
      <c r="B100" s="105" t="s">
        <v>1452</v>
      </c>
      <c r="C100" s="105" t="s">
        <v>1522</v>
      </c>
      <c r="D100" s="87"/>
      <c r="E100" s="22" t="s">
        <v>1586</v>
      </c>
      <c r="F100" s="107" t="s">
        <v>1529</v>
      </c>
      <c r="G100" s="94">
        <v>2430</v>
      </c>
      <c r="H100" t="str">
        <f t="shared" si="0"/>
        <v>ART2430</v>
      </c>
      <c r="I100">
        <f t="shared" si="1"/>
        <v>1</v>
      </c>
      <c r="J100" s="158"/>
      <c r="L100" s="158"/>
    </row>
    <row r="101" spans="2:12" ht="16.5">
      <c r="B101" s="21" t="s">
        <v>121</v>
      </c>
      <c r="C101" s="21" t="s">
        <v>1522</v>
      </c>
      <c r="D101" s="22"/>
      <c r="E101" s="22" t="s">
        <v>463</v>
      </c>
      <c r="F101" s="22" t="s">
        <v>1529</v>
      </c>
      <c r="G101" s="68">
        <v>2440</v>
      </c>
      <c r="H101" t="str">
        <f t="shared" si="0"/>
        <v>ART2440</v>
      </c>
      <c r="I101">
        <f t="shared" si="1"/>
        <v>1</v>
      </c>
      <c r="J101" s="158"/>
      <c r="L101" s="158"/>
    </row>
    <row r="102" spans="2:12" ht="16.5">
      <c r="B102" s="166"/>
      <c r="C102" s="166" t="s">
        <v>1521</v>
      </c>
      <c r="D102" s="168"/>
      <c r="E102" s="22" t="s">
        <v>551</v>
      </c>
      <c r="F102" s="22" t="s">
        <v>1529</v>
      </c>
      <c r="G102" s="22" t="s">
        <v>1824</v>
      </c>
      <c r="H102" t="str">
        <f t="shared" si="0"/>
        <v>ART2650</v>
      </c>
      <c r="I102">
        <f t="shared" si="1"/>
        <v>1</v>
      </c>
      <c r="J102" s="158"/>
      <c r="L102" s="158"/>
    </row>
    <row r="103" spans="2:12" ht="16.5">
      <c r="B103" s="21" t="s">
        <v>118</v>
      </c>
      <c r="C103" s="21" t="s">
        <v>1522</v>
      </c>
      <c r="D103" s="22"/>
      <c r="E103" s="22" t="s">
        <v>463</v>
      </c>
      <c r="F103" s="22" t="s">
        <v>1529</v>
      </c>
      <c r="G103" s="68">
        <v>2980</v>
      </c>
      <c r="H103" t="str">
        <f t="shared" si="0"/>
        <v>ART2980</v>
      </c>
      <c r="I103">
        <f t="shared" si="1"/>
        <v>1</v>
      </c>
      <c r="J103" s="158"/>
      <c r="L103" s="158"/>
    </row>
    <row r="104" spans="2:12" ht="16.5">
      <c r="B104" s="21"/>
      <c r="C104" s="21" t="s">
        <v>1521</v>
      </c>
      <c r="D104" s="22"/>
      <c r="E104" s="22" t="s">
        <v>1586</v>
      </c>
      <c r="F104" s="22" t="s">
        <v>1327</v>
      </c>
      <c r="G104" s="68">
        <v>2720</v>
      </c>
      <c r="H104" t="str">
        <f t="shared" si="0"/>
        <v>ARTH2720</v>
      </c>
      <c r="I104">
        <f t="shared" si="1"/>
        <v>1</v>
      </c>
      <c r="J104" s="158"/>
      <c r="L104" s="158"/>
    </row>
    <row r="105" spans="2:12" ht="16.5">
      <c r="B105" s="21"/>
      <c r="C105" s="21" t="s">
        <v>1522</v>
      </c>
      <c r="D105" s="78"/>
      <c r="E105" s="22" t="s">
        <v>1195</v>
      </c>
      <c r="F105" s="22" t="s">
        <v>437</v>
      </c>
      <c r="G105" s="67">
        <v>1010</v>
      </c>
      <c r="H105" t="str">
        <f t="shared" si="0"/>
        <v>ASL1010</v>
      </c>
      <c r="I105">
        <f t="shared" si="1"/>
        <v>0</v>
      </c>
      <c r="J105" s="158"/>
      <c r="L105" s="158"/>
    </row>
    <row r="106" spans="2:12" ht="16.5">
      <c r="B106" s="21"/>
      <c r="C106" s="21" t="s">
        <v>1522</v>
      </c>
      <c r="D106" s="22"/>
      <c r="E106" s="22" t="s">
        <v>1586</v>
      </c>
      <c r="F106" s="22" t="s">
        <v>437</v>
      </c>
      <c r="G106" s="68">
        <v>1010</v>
      </c>
      <c r="H106" t="str">
        <f t="shared" si="0"/>
        <v>ASL1010</v>
      </c>
      <c r="I106">
        <f t="shared" si="1"/>
        <v>0</v>
      </c>
      <c r="J106" s="158"/>
      <c r="L106" s="158"/>
    </row>
    <row r="107" spans="2:12" ht="16.5">
      <c r="B107" s="21"/>
      <c r="C107" s="21" t="s">
        <v>1522</v>
      </c>
      <c r="D107" s="22"/>
      <c r="E107" s="22" t="s">
        <v>739</v>
      </c>
      <c r="F107" s="22" t="s">
        <v>437</v>
      </c>
      <c r="G107" s="68">
        <v>1010</v>
      </c>
      <c r="H107" t="str">
        <f t="shared" si="0"/>
        <v>ASL1010</v>
      </c>
      <c r="I107">
        <f t="shared" si="1"/>
        <v>1</v>
      </c>
      <c r="J107" s="158"/>
      <c r="L107" s="158"/>
    </row>
    <row r="108" spans="2:12" ht="16.5">
      <c r="B108" s="21"/>
      <c r="C108" s="21" t="s">
        <v>1522</v>
      </c>
      <c r="D108" s="22"/>
      <c r="E108" s="22" t="s">
        <v>1586</v>
      </c>
      <c r="F108" s="22" t="s">
        <v>437</v>
      </c>
      <c r="G108" s="68">
        <v>1020</v>
      </c>
      <c r="H108" t="str">
        <f t="shared" si="0"/>
        <v>ASL1020</v>
      </c>
      <c r="I108">
        <f t="shared" si="1"/>
        <v>0</v>
      </c>
      <c r="J108" s="158"/>
      <c r="L108" s="158"/>
    </row>
    <row r="109" spans="2:12" ht="16.5">
      <c r="B109" s="21"/>
      <c r="C109" s="21" t="s">
        <v>1522</v>
      </c>
      <c r="D109" s="22"/>
      <c r="E109" s="22" t="s">
        <v>739</v>
      </c>
      <c r="F109" s="22" t="s">
        <v>437</v>
      </c>
      <c r="G109" s="68">
        <v>1020</v>
      </c>
      <c r="H109" t="str">
        <f t="shared" si="0"/>
        <v>ASL1020</v>
      </c>
      <c r="I109">
        <f t="shared" si="1"/>
        <v>1</v>
      </c>
      <c r="J109" s="158"/>
      <c r="L109" s="158"/>
    </row>
    <row r="110" spans="2:12" ht="16.5">
      <c r="B110" s="21"/>
      <c r="C110" s="21" t="s">
        <v>1522</v>
      </c>
      <c r="D110" s="22"/>
      <c r="E110" s="22" t="s">
        <v>1262</v>
      </c>
      <c r="F110" s="22" t="s">
        <v>437</v>
      </c>
      <c r="G110" s="22" t="s">
        <v>1119</v>
      </c>
      <c r="H110" t="str">
        <f t="shared" ref="H110:H173" si="2">CONCATENATE(F110,G110)</f>
        <v>ASL1050</v>
      </c>
      <c r="I110">
        <f t="shared" si="1"/>
        <v>1</v>
      </c>
      <c r="J110" s="158"/>
      <c r="L110" s="158"/>
    </row>
    <row r="111" spans="2:12" ht="16.5">
      <c r="B111" s="21"/>
      <c r="C111" s="21" t="s">
        <v>1522</v>
      </c>
      <c r="D111" s="22"/>
      <c r="E111" s="22" t="s">
        <v>1262</v>
      </c>
      <c r="F111" s="22" t="s">
        <v>437</v>
      </c>
      <c r="G111" s="22" t="s">
        <v>1121</v>
      </c>
      <c r="H111" t="str">
        <f t="shared" si="2"/>
        <v>ASL1060</v>
      </c>
      <c r="I111">
        <f t="shared" ref="I111:I174" si="3">IF(H111=H112,0,1)</f>
        <v>1</v>
      </c>
      <c r="J111" s="158"/>
      <c r="L111" s="158"/>
    </row>
    <row r="112" spans="2:12" ht="16.5">
      <c r="B112" s="21"/>
      <c r="C112" s="21" t="s">
        <v>1522</v>
      </c>
      <c r="D112" s="22"/>
      <c r="E112" s="22" t="s">
        <v>1586</v>
      </c>
      <c r="F112" s="22" t="s">
        <v>437</v>
      </c>
      <c r="G112" s="68">
        <v>2010</v>
      </c>
      <c r="H112" t="str">
        <f t="shared" si="2"/>
        <v>ASL2010</v>
      </c>
      <c r="I112">
        <f t="shared" si="3"/>
        <v>1</v>
      </c>
      <c r="J112" s="158"/>
      <c r="L112" s="158"/>
    </row>
    <row r="113" spans="2:12" ht="16.5">
      <c r="B113" s="45" t="s">
        <v>35</v>
      </c>
      <c r="C113" s="21" t="s">
        <v>1522</v>
      </c>
      <c r="D113" s="26" t="s">
        <v>1329</v>
      </c>
      <c r="E113" s="22" t="s">
        <v>551</v>
      </c>
      <c r="F113" s="22" t="s">
        <v>605</v>
      </c>
      <c r="G113" s="22" t="s">
        <v>606</v>
      </c>
      <c r="H113" t="str">
        <f t="shared" si="2"/>
        <v>ASTE2900</v>
      </c>
      <c r="I113">
        <f t="shared" si="3"/>
        <v>1</v>
      </c>
      <c r="J113" s="158"/>
      <c r="L113" s="158"/>
    </row>
    <row r="114" spans="2:12" ht="16.5">
      <c r="B114" s="21" t="s">
        <v>37</v>
      </c>
      <c r="C114" s="21" t="s">
        <v>1522</v>
      </c>
      <c r="D114" s="44"/>
      <c r="E114" s="22" t="s">
        <v>551</v>
      </c>
      <c r="F114" s="22" t="s">
        <v>605</v>
      </c>
      <c r="G114" s="22" t="s">
        <v>1053</v>
      </c>
      <c r="H114" t="str">
        <f t="shared" si="2"/>
        <v>ASTE3100</v>
      </c>
      <c r="I114">
        <f t="shared" si="3"/>
        <v>1</v>
      </c>
      <c r="J114" s="158"/>
      <c r="L114" s="158"/>
    </row>
    <row r="115" spans="2:12" ht="16.5">
      <c r="B115" s="21" t="s">
        <v>883</v>
      </c>
      <c r="C115" s="21" t="s">
        <v>1522</v>
      </c>
      <c r="D115" s="22"/>
      <c r="E115" s="22" t="s">
        <v>739</v>
      </c>
      <c r="F115" s="22" t="s">
        <v>1491</v>
      </c>
      <c r="G115" s="68">
        <v>2175</v>
      </c>
      <c r="H115" t="str">
        <f t="shared" si="2"/>
        <v>AT2175</v>
      </c>
      <c r="I115">
        <f t="shared" si="3"/>
        <v>1</v>
      </c>
      <c r="J115" s="158"/>
      <c r="L115" s="158"/>
    </row>
    <row r="116" spans="2:12" ht="16.5">
      <c r="B116" s="21" t="s">
        <v>568</v>
      </c>
      <c r="C116" s="21" t="s">
        <v>1522</v>
      </c>
      <c r="D116" s="24"/>
      <c r="E116" s="22" t="s">
        <v>739</v>
      </c>
      <c r="F116" s="22" t="s">
        <v>495</v>
      </c>
      <c r="G116" s="68">
        <v>1021</v>
      </c>
      <c r="H116" t="str">
        <f t="shared" si="2"/>
        <v>AUSV1021</v>
      </c>
      <c r="I116">
        <f t="shared" si="3"/>
        <v>1</v>
      </c>
      <c r="J116" s="158"/>
      <c r="L116" s="158"/>
    </row>
    <row r="117" spans="2:12" ht="16.5">
      <c r="B117" s="21" t="s">
        <v>568</v>
      </c>
      <c r="C117" s="21" t="s">
        <v>1522</v>
      </c>
      <c r="D117" s="24"/>
      <c r="E117" s="22" t="s">
        <v>739</v>
      </c>
      <c r="F117" s="22" t="s">
        <v>495</v>
      </c>
      <c r="G117" s="68">
        <v>1022</v>
      </c>
      <c r="H117" t="str">
        <f t="shared" si="2"/>
        <v>AUSV1022</v>
      </c>
      <c r="I117">
        <f t="shared" si="3"/>
        <v>1</v>
      </c>
      <c r="J117" s="158"/>
      <c r="L117" s="158"/>
    </row>
    <row r="118" spans="2:12" ht="16.5">
      <c r="B118" s="45" t="s">
        <v>570</v>
      </c>
      <c r="C118" s="21" t="s">
        <v>1522</v>
      </c>
      <c r="D118" s="22"/>
      <c r="E118" s="22" t="s">
        <v>739</v>
      </c>
      <c r="F118" s="22" t="s">
        <v>495</v>
      </c>
      <c r="G118" s="68">
        <v>1071</v>
      </c>
      <c r="H118" t="str">
        <f t="shared" si="2"/>
        <v>AUSV1071</v>
      </c>
      <c r="I118">
        <f t="shared" si="3"/>
        <v>1</v>
      </c>
      <c r="J118" s="158"/>
      <c r="L118" s="158"/>
    </row>
    <row r="119" spans="2:12" ht="16.5">
      <c r="B119" s="45" t="s">
        <v>570</v>
      </c>
      <c r="C119" s="21" t="s">
        <v>1522</v>
      </c>
      <c r="D119" s="22"/>
      <c r="E119" s="22" t="s">
        <v>739</v>
      </c>
      <c r="F119" s="22" t="s">
        <v>495</v>
      </c>
      <c r="G119" s="68">
        <v>1072</v>
      </c>
      <c r="H119" t="str">
        <f t="shared" si="2"/>
        <v>AUSV1072</v>
      </c>
      <c r="I119">
        <f t="shared" si="3"/>
        <v>1</v>
      </c>
      <c r="J119" s="158"/>
      <c r="L119" s="158"/>
    </row>
    <row r="120" spans="2:12" ht="16.5">
      <c r="B120" s="125" t="s">
        <v>567</v>
      </c>
      <c r="C120" s="125" t="s">
        <v>1522</v>
      </c>
      <c r="D120" s="131"/>
      <c r="E120" s="132" t="s">
        <v>739</v>
      </c>
      <c r="F120" s="131" t="s">
        <v>495</v>
      </c>
      <c r="G120" s="133">
        <v>1080</v>
      </c>
      <c r="H120" t="str">
        <f t="shared" si="2"/>
        <v>AUSV1080</v>
      </c>
      <c r="I120">
        <f t="shared" si="3"/>
        <v>1</v>
      </c>
      <c r="J120" s="158"/>
      <c r="L120" s="158"/>
    </row>
    <row r="121" spans="2:12" ht="16.5">
      <c r="B121" s="21" t="s">
        <v>137</v>
      </c>
      <c r="C121" s="21" t="s">
        <v>1522</v>
      </c>
      <c r="D121" s="22"/>
      <c r="E121" s="22" t="s">
        <v>739</v>
      </c>
      <c r="F121" s="22" t="s">
        <v>495</v>
      </c>
      <c r="G121" s="68">
        <v>1100</v>
      </c>
      <c r="H121" t="str">
        <f t="shared" si="2"/>
        <v>AUSV1100</v>
      </c>
      <c r="I121">
        <f t="shared" si="3"/>
        <v>1</v>
      </c>
      <c r="J121" s="158"/>
      <c r="L121" s="158"/>
    </row>
    <row r="122" spans="2:12" ht="16.5">
      <c r="B122" s="21" t="s">
        <v>568</v>
      </c>
      <c r="C122" s="21" t="s">
        <v>1522</v>
      </c>
      <c r="D122" s="24"/>
      <c r="E122" s="22" t="s">
        <v>739</v>
      </c>
      <c r="F122" s="22" t="s">
        <v>495</v>
      </c>
      <c r="G122" s="68">
        <v>1120</v>
      </c>
      <c r="H122" t="str">
        <f t="shared" si="2"/>
        <v>AUSV1120</v>
      </c>
      <c r="I122">
        <f t="shared" si="3"/>
        <v>1</v>
      </c>
      <c r="J122" s="158"/>
      <c r="L122" s="158"/>
    </row>
    <row r="123" spans="2:12" ht="16.5">
      <c r="B123" s="45" t="s">
        <v>570</v>
      </c>
      <c r="C123" s="21" t="s">
        <v>1522</v>
      </c>
      <c r="D123" s="22"/>
      <c r="E123" s="22" t="s">
        <v>739</v>
      </c>
      <c r="F123" s="22" t="s">
        <v>495</v>
      </c>
      <c r="G123" s="68">
        <v>1170</v>
      </c>
      <c r="H123" t="str">
        <f t="shared" si="2"/>
        <v>AUSV1170</v>
      </c>
      <c r="I123">
        <f t="shared" si="3"/>
        <v>1</v>
      </c>
      <c r="J123" s="158"/>
      <c r="L123" s="158"/>
    </row>
    <row r="124" spans="2:12" ht="16.5">
      <c r="B124" s="45" t="s">
        <v>570</v>
      </c>
      <c r="C124" s="21" t="s">
        <v>1522</v>
      </c>
      <c r="D124" s="22"/>
      <c r="E124" s="22" t="s">
        <v>739</v>
      </c>
      <c r="F124" s="22" t="s">
        <v>495</v>
      </c>
      <c r="G124" s="68">
        <v>1270</v>
      </c>
      <c r="H124" t="str">
        <f t="shared" si="2"/>
        <v>AUSV1270</v>
      </c>
      <c r="I124">
        <f t="shared" si="3"/>
        <v>1</v>
      </c>
      <c r="J124" s="158"/>
      <c r="L124" s="158"/>
    </row>
    <row r="125" spans="2:12" ht="16.5">
      <c r="B125" s="45" t="s">
        <v>570</v>
      </c>
      <c r="C125" s="21" t="s">
        <v>1522</v>
      </c>
      <c r="D125" s="22"/>
      <c r="E125" s="22" t="s">
        <v>739</v>
      </c>
      <c r="F125" s="22" t="s">
        <v>495</v>
      </c>
      <c r="G125" s="68">
        <v>2170</v>
      </c>
      <c r="H125" t="str">
        <f t="shared" si="2"/>
        <v>AUSV2170</v>
      </c>
      <c r="I125">
        <f t="shared" si="3"/>
        <v>1</v>
      </c>
      <c r="J125" s="158"/>
      <c r="L125" s="158"/>
    </row>
    <row r="126" spans="2:12" ht="16.5">
      <c r="B126" s="45" t="s">
        <v>570</v>
      </c>
      <c r="C126" s="21" t="s">
        <v>1522</v>
      </c>
      <c r="D126" s="22"/>
      <c r="E126" s="22" t="s">
        <v>739</v>
      </c>
      <c r="F126" s="22" t="s">
        <v>495</v>
      </c>
      <c r="G126" s="68">
        <v>2270</v>
      </c>
      <c r="H126" t="str">
        <f t="shared" si="2"/>
        <v>AUSV2270</v>
      </c>
      <c r="I126">
        <f t="shared" si="3"/>
        <v>1</v>
      </c>
      <c r="J126" s="158"/>
      <c r="L126" s="158"/>
    </row>
    <row r="127" spans="2:12" ht="16.5">
      <c r="B127" s="45" t="s">
        <v>570</v>
      </c>
      <c r="C127" s="21" t="s">
        <v>1522</v>
      </c>
      <c r="D127" s="22"/>
      <c r="E127" s="22" t="s">
        <v>739</v>
      </c>
      <c r="F127" s="22" t="s">
        <v>495</v>
      </c>
      <c r="G127" s="68">
        <v>2370</v>
      </c>
      <c r="H127" t="str">
        <f t="shared" si="2"/>
        <v>AUSV2370</v>
      </c>
      <c r="I127">
        <f t="shared" si="3"/>
        <v>1</v>
      </c>
      <c r="J127" s="158"/>
      <c r="L127" s="158"/>
    </row>
    <row r="128" spans="2:12" ht="16.5">
      <c r="B128" s="21" t="s">
        <v>568</v>
      </c>
      <c r="C128" s="21" t="s">
        <v>1522</v>
      </c>
      <c r="D128" s="24"/>
      <c r="E128" s="22" t="s">
        <v>1586</v>
      </c>
      <c r="F128" s="22" t="s">
        <v>644</v>
      </c>
      <c r="G128" s="68">
        <v>1110</v>
      </c>
      <c r="H128" t="str">
        <f t="shared" si="2"/>
        <v>AUT1110</v>
      </c>
      <c r="I128">
        <f t="shared" si="3"/>
        <v>1</v>
      </c>
      <c r="J128" s="158"/>
      <c r="L128" s="158"/>
    </row>
    <row r="129" spans="2:12" ht="16.5">
      <c r="B129" s="21" t="s">
        <v>568</v>
      </c>
      <c r="C129" s="21" t="s">
        <v>1522</v>
      </c>
      <c r="D129" s="24"/>
      <c r="E129" s="22" t="s">
        <v>1586</v>
      </c>
      <c r="F129" s="22" t="s">
        <v>644</v>
      </c>
      <c r="G129" s="68" t="s">
        <v>1300</v>
      </c>
      <c r="H129" t="str">
        <f t="shared" si="2"/>
        <v>AUT111L</v>
      </c>
      <c r="I129">
        <f t="shared" si="3"/>
        <v>1</v>
      </c>
      <c r="J129" s="159" t="s">
        <v>1897</v>
      </c>
      <c r="L129" s="159" t="s">
        <v>1897</v>
      </c>
    </row>
    <row r="130" spans="2:12" ht="16.5">
      <c r="B130" s="21" t="s">
        <v>568</v>
      </c>
      <c r="C130" s="21" t="s">
        <v>1522</v>
      </c>
      <c r="D130" s="24"/>
      <c r="E130" s="22" t="s">
        <v>1586</v>
      </c>
      <c r="F130" s="22" t="s">
        <v>644</v>
      </c>
      <c r="G130" s="68">
        <v>1130</v>
      </c>
      <c r="H130" t="str">
        <f t="shared" si="2"/>
        <v>AUT1130</v>
      </c>
      <c r="I130">
        <f t="shared" si="3"/>
        <v>1</v>
      </c>
      <c r="J130" s="158"/>
      <c r="L130" s="158"/>
    </row>
    <row r="131" spans="2:12" ht="16.5">
      <c r="B131" s="21" t="s">
        <v>568</v>
      </c>
      <c r="C131" s="21" t="s">
        <v>1522</v>
      </c>
      <c r="D131" s="24"/>
      <c r="E131" s="22" t="s">
        <v>1586</v>
      </c>
      <c r="F131" s="22" t="s">
        <v>644</v>
      </c>
      <c r="G131" s="68" t="s">
        <v>823</v>
      </c>
      <c r="H131" t="str">
        <f t="shared" si="2"/>
        <v>AUT113L</v>
      </c>
      <c r="I131">
        <f t="shared" si="3"/>
        <v>1</v>
      </c>
      <c r="J131" s="159" t="s">
        <v>1897</v>
      </c>
      <c r="L131" s="159" t="s">
        <v>1897</v>
      </c>
    </row>
    <row r="132" spans="2:12" ht="16.5">
      <c r="B132" s="21" t="s">
        <v>568</v>
      </c>
      <c r="C132" s="21" t="s">
        <v>1522</v>
      </c>
      <c r="D132" s="24"/>
      <c r="E132" s="22" t="s">
        <v>1586</v>
      </c>
      <c r="F132" s="22" t="s">
        <v>644</v>
      </c>
      <c r="G132" s="68">
        <v>1210</v>
      </c>
      <c r="H132" t="str">
        <f t="shared" si="2"/>
        <v>AUT1210</v>
      </c>
      <c r="I132">
        <f t="shared" si="3"/>
        <v>1</v>
      </c>
      <c r="J132" s="158"/>
      <c r="L132" s="158"/>
    </row>
    <row r="133" spans="2:12" ht="16.5">
      <c r="B133" s="21" t="s">
        <v>568</v>
      </c>
      <c r="C133" s="21" t="s">
        <v>1522</v>
      </c>
      <c r="D133" s="24"/>
      <c r="E133" s="22" t="s">
        <v>1586</v>
      </c>
      <c r="F133" s="22" t="s">
        <v>644</v>
      </c>
      <c r="G133" s="68" t="s">
        <v>824</v>
      </c>
      <c r="H133" t="str">
        <f t="shared" si="2"/>
        <v>AUT121L</v>
      </c>
      <c r="I133">
        <f t="shared" si="3"/>
        <v>1</v>
      </c>
      <c r="J133" s="159" t="s">
        <v>1897</v>
      </c>
      <c r="L133" s="159" t="s">
        <v>1897</v>
      </c>
    </row>
    <row r="134" spans="2:12" ht="16.5">
      <c r="B134" s="21" t="s">
        <v>568</v>
      </c>
      <c r="C134" s="21" t="s">
        <v>1522</v>
      </c>
      <c r="D134" s="24"/>
      <c r="E134" s="22" t="s">
        <v>1586</v>
      </c>
      <c r="F134" s="22" t="s">
        <v>644</v>
      </c>
      <c r="G134" s="68">
        <v>1230</v>
      </c>
      <c r="H134" t="str">
        <f t="shared" si="2"/>
        <v>AUT1230</v>
      </c>
      <c r="I134">
        <f t="shared" si="3"/>
        <v>1</v>
      </c>
      <c r="J134" s="158"/>
      <c r="L134" s="158"/>
    </row>
    <row r="135" spans="2:12" ht="16.5">
      <c r="B135" s="21" t="s">
        <v>568</v>
      </c>
      <c r="C135" s="21" t="s">
        <v>1522</v>
      </c>
      <c r="D135" s="24"/>
      <c r="E135" s="22" t="s">
        <v>1586</v>
      </c>
      <c r="F135" s="22" t="s">
        <v>644</v>
      </c>
      <c r="G135" s="68" t="s">
        <v>862</v>
      </c>
      <c r="H135" t="str">
        <f t="shared" si="2"/>
        <v>AUT123L</v>
      </c>
      <c r="I135">
        <f t="shared" si="3"/>
        <v>1</v>
      </c>
      <c r="J135" s="159" t="s">
        <v>1897</v>
      </c>
      <c r="L135" s="159" t="s">
        <v>1897</v>
      </c>
    </row>
    <row r="136" spans="2:12" ht="16.5">
      <c r="B136" s="21" t="s">
        <v>568</v>
      </c>
      <c r="C136" s="21" t="s">
        <v>1522</v>
      </c>
      <c r="D136" s="22"/>
      <c r="E136" s="96" t="s">
        <v>1526</v>
      </c>
      <c r="F136" s="22" t="s">
        <v>1530</v>
      </c>
      <c r="G136" s="67">
        <v>1000</v>
      </c>
      <c r="H136" t="str">
        <f t="shared" si="2"/>
        <v>AUTO1000</v>
      </c>
      <c r="I136">
        <f t="shared" ref="I136:I159" si="4">IF(H136=H137,0,1)</f>
        <v>1</v>
      </c>
      <c r="J136" s="158"/>
      <c r="L136" s="158"/>
    </row>
    <row r="137" spans="2:12" ht="16.5">
      <c r="B137" s="21" t="s">
        <v>568</v>
      </c>
      <c r="C137" s="21" t="s">
        <v>1522</v>
      </c>
      <c r="D137" s="22"/>
      <c r="E137" s="22" t="s">
        <v>1195</v>
      </c>
      <c r="F137" s="22" t="s">
        <v>1530</v>
      </c>
      <c r="G137" s="67">
        <v>1100</v>
      </c>
      <c r="H137" t="str">
        <f t="shared" si="2"/>
        <v>AUTO1100</v>
      </c>
      <c r="I137">
        <f t="shared" si="4"/>
        <v>1</v>
      </c>
      <c r="J137" s="158"/>
      <c r="L137" s="158"/>
    </row>
    <row r="138" spans="2:12" ht="16.5">
      <c r="B138" s="21" t="s">
        <v>568</v>
      </c>
      <c r="C138" s="21" t="s">
        <v>1522</v>
      </c>
      <c r="D138" s="24"/>
      <c r="E138" s="22" t="s">
        <v>463</v>
      </c>
      <c r="F138" s="22" t="s">
        <v>1530</v>
      </c>
      <c r="G138" s="68">
        <v>1110</v>
      </c>
      <c r="H138" t="str">
        <f t="shared" si="2"/>
        <v>AUTO1110</v>
      </c>
      <c r="I138">
        <f t="shared" si="4"/>
        <v>1</v>
      </c>
      <c r="J138" s="158"/>
      <c r="L138" s="158"/>
    </row>
    <row r="139" spans="2:12" ht="16.5">
      <c r="B139" s="21" t="s">
        <v>568</v>
      </c>
      <c r="C139" s="21" t="s">
        <v>1522</v>
      </c>
      <c r="D139" s="24"/>
      <c r="E139" s="22" t="s">
        <v>463</v>
      </c>
      <c r="F139" s="22" t="s">
        <v>1530</v>
      </c>
      <c r="G139" s="68">
        <v>1111</v>
      </c>
      <c r="H139" t="str">
        <f t="shared" si="2"/>
        <v>AUTO1111</v>
      </c>
      <c r="I139">
        <f t="shared" si="4"/>
        <v>1</v>
      </c>
      <c r="J139" s="158"/>
      <c r="L139" s="158"/>
    </row>
    <row r="140" spans="2:12" ht="16.5">
      <c r="B140" s="21" t="s">
        <v>568</v>
      </c>
      <c r="C140" s="21" t="s">
        <v>1522</v>
      </c>
      <c r="D140" s="24"/>
      <c r="E140" s="22" t="s">
        <v>1195</v>
      </c>
      <c r="F140" s="22" t="s">
        <v>1530</v>
      </c>
      <c r="G140" s="67">
        <v>1120</v>
      </c>
      <c r="H140" t="str">
        <f t="shared" si="2"/>
        <v>AUTO1120</v>
      </c>
      <c r="I140">
        <f t="shared" si="4"/>
        <v>1</v>
      </c>
      <c r="J140" s="159" t="s">
        <v>1897</v>
      </c>
      <c r="L140" s="159" t="s">
        <v>1897</v>
      </c>
    </row>
    <row r="141" spans="2:12" ht="16.5">
      <c r="B141" s="21" t="s">
        <v>568</v>
      </c>
      <c r="C141" s="21" t="s">
        <v>1522</v>
      </c>
      <c r="D141" s="24"/>
      <c r="E141" s="22" t="s">
        <v>1195</v>
      </c>
      <c r="F141" s="22" t="s">
        <v>1530</v>
      </c>
      <c r="G141" s="67" t="s">
        <v>434</v>
      </c>
      <c r="H141" t="str">
        <f t="shared" si="2"/>
        <v>AUTO1130</v>
      </c>
      <c r="I141">
        <f t="shared" si="4"/>
        <v>1</v>
      </c>
      <c r="J141" s="158"/>
      <c r="L141" s="158"/>
    </row>
    <row r="142" spans="2:12" ht="16.5">
      <c r="B142" s="125" t="s">
        <v>1855</v>
      </c>
      <c r="C142" s="125" t="s">
        <v>1522</v>
      </c>
      <c r="D142" s="131"/>
      <c r="E142" s="132" t="s">
        <v>1586</v>
      </c>
      <c r="F142" s="131" t="s">
        <v>1530</v>
      </c>
      <c r="G142" s="133">
        <v>1160</v>
      </c>
      <c r="H142" t="str">
        <f t="shared" si="2"/>
        <v>AUTO1160</v>
      </c>
      <c r="I142">
        <f t="shared" si="4"/>
        <v>1</v>
      </c>
      <c r="J142" s="158"/>
      <c r="L142" s="158"/>
    </row>
    <row r="143" spans="2:12" ht="16.5">
      <c r="B143" s="125" t="s">
        <v>1855</v>
      </c>
      <c r="C143" s="125" t="s">
        <v>1522</v>
      </c>
      <c r="D143" s="131"/>
      <c r="E143" s="132" t="s">
        <v>1586</v>
      </c>
      <c r="F143" s="131" t="s">
        <v>1530</v>
      </c>
      <c r="G143" s="145" t="s">
        <v>1853</v>
      </c>
      <c r="H143" t="str">
        <f t="shared" si="2"/>
        <v>AUTO116L</v>
      </c>
      <c r="I143">
        <f t="shared" si="4"/>
        <v>1</v>
      </c>
      <c r="J143" s="158"/>
      <c r="L143" s="158"/>
    </row>
    <row r="144" spans="2:12" ht="16.5">
      <c r="B144" s="125" t="s">
        <v>1855</v>
      </c>
      <c r="C144" s="125" t="s">
        <v>1522</v>
      </c>
      <c r="D144" s="131"/>
      <c r="E144" s="132" t="s">
        <v>1586</v>
      </c>
      <c r="F144" s="131" t="s">
        <v>1530</v>
      </c>
      <c r="G144" s="133">
        <v>1170</v>
      </c>
      <c r="H144" t="str">
        <f t="shared" si="2"/>
        <v>AUTO1170</v>
      </c>
      <c r="I144">
        <f t="shared" si="4"/>
        <v>1</v>
      </c>
      <c r="J144" s="158"/>
      <c r="L144" s="158"/>
    </row>
    <row r="145" spans="2:12" ht="16.5">
      <c r="B145" s="125" t="s">
        <v>1855</v>
      </c>
      <c r="C145" s="125" t="s">
        <v>1522</v>
      </c>
      <c r="D145" s="131"/>
      <c r="E145" s="132" t="s">
        <v>1586</v>
      </c>
      <c r="F145" s="131" t="s">
        <v>1530</v>
      </c>
      <c r="G145" s="145" t="s">
        <v>1854</v>
      </c>
      <c r="H145" t="str">
        <f t="shared" si="2"/>
        <v>AUTO117L</v>
      </c>
      <c r="I145">
        <f t="shared" si="4"/>
        <v>1</v>
      </c>
      <c r="J145" s="159" t="s">
        <v>1897</v>
      </c>
      <c r="L145" s="159" t="s">
        <v>1897</v>
      </c>
    </row>
    <row r="146" spans="2:12" ht="16.5">
      <c r="B146" s="21" t="s">
        <v>568</v>
      </c>
      <c r="C146" s="21" t="s">
        <v>1522</v>
      </c>
      <c r="D146" s="24"/>
      <c r="E146" s="22" t="s">
        <v>1195</v>
      </c>
      <c r="F146" s="22" t="s">
        <v>1530</v>
      </c>
      <c r="G146" s="67">
        <v>1320</v>
      </c>
      <c r="H146" t="str">
        <f t="shared" si="2"/>
        <v>AUTO1320</v>
      </c>
      <c r="I146">
        <f t="shared" si="4"/>
        <v>1</v>
      </c>
      <c r="J146" s="158"/>
      <c r="L146" s="158"/>
    </row>
    <row r="147" spans="2:12" ht="16.5">
      <c r="B147" s="21" t="s">
        <v>568</v>
      </c>
      <c r="C147" s="21" t="s">
        <v>1522</v>
      </c>
      <c r="D147" s="22"/>
      <c r="E147" s="96" t="s">
        <v>1526</v>
      </c>
      <c r="F147" s="96" t="s">
        <v>1530</v>
      </c>
      <c r="G147" s="67">
        <v>1400</v>
      </c>
      <c r="H147" t="str">
        <f t="shared" si="2"/>
        <v>AUTO1400</v>
      </c>
      <c r="I147">
        <f t="shared" si="4"/>
        <v>1</v>
      </c>
      <c r="J147" s="158"/>
      <c r="L147" s="158"/>
    </row>
    <row r="148" spans="2:12" ht="16.5">
      <c r="B148" s="21" t="s">
        <v>568</v>
      </c>
      <c r="C148" s="21" t="s">
        <v>1522</v>
      </c>
      <c r="D148" s="22"/>
      <c r="E148" s="96" t="s">
        <v>1526</v>
      </c>
      <c r="F148" s="96" t="s">
        <v>1530</v>
      </c>
      <c r="G148" s="67">
        <v>1405</v>
      </c>
      <c r="H148" t="str">
        <f t="shared" si="2"/>
        <v>AUTO1405</v>
      </c>
      <c r="I148">
        <f t="shared" si="4"/>
        <v>1</v>
      </c>
      <c r="J148" s="158"/>
      <c r="L148" s="158"/>
    </row>
    <row r="149" spans="2:12" ht="16.5">
      <c r="B149" s="21" t="s">
        <v>568</v>
      </c>
      <c r="C149" s="21" t="s">
        <v>1522</v>
      </c>
      <c r="D149" s="24"/>
      <c r="E149" s="22" t="s">
        <v>1195</v>
      </c>
      <c r="F149" s="22" t="s">
        <v>1530</v>
      </c>
      <c r="G149" s="67" t="s">
        <v>425</v>
      </c>
      <c r="H149" t="str">
        <f t="shared" si="2"/>
        <v>AUTO1430</v>
      </c>
      <c r="I149">
        <f t="shared" si="4"/>
        <v>1</v>
      </c>
      <c r="J149" s="158"/>
      <c r="L149" s="158"/>
    </row>
    <row r="150" spans="2:12" ht="16.5">
      <c r="B150" s="21" t="s">
        <v>568</v>
      </c>
      <c r="C150" s="21" t="s">
        <v>1522</v>
      </c>
      <c r="D150" s="22"/>
      <c r="E150" s="22" t="s">
        <v>1262</v>
      </c>
      <c r="F150" s="22" t="s">
        <v>1530</v>
      </c>
      <c r="G150" s="22" t="s">
        <v>1548</v>
      </c>
      <c r="H150" t="str">
        <f t="shared" si="2"/>
        <v>AUTO1500</v>
      </c>
      <c r="I150">
        <f t="shared" si="4"/>
        <v>0</v>
      </c>
      <c r="J150" s="158"/>
      <c r="L150" s="158"/>
    </row>
    <row r="151" spans="2:12" ht="16.5">
      <c r="B151" s="21" t="s">
        <v>568</v>
      </c>
      <c r="C151" s="21" t="s">
        <v>1522</v>
      </c>
      <c r="D151" s="22"/>
      <c r="E151" s="96" t="s">
        <v>1526</v>
      </c>
      <c r="F151" s="22" t="s">
        <v>1530</v>
      </c>
      <c r="G151" s="67">
        <v>1500</v>
      </c>
      <c r="H151" t="str">
        <f t="shared" si="2"/>
        <v>AUTO1500</v>
      </c>
      <c r="I151">
        <f t="shared" si="4"/>
        <v>1</v>
      </c>
      <c r="J151" s="158"/>
      <c r="L151" s="158"/>
    </row>
    <row r="152" spans="2:12" ht="16.5">
      <c r="B152" s="21" t="s">
        <v>568</v>
      </c>
      <c r="C152" s="21" t="s">
        <v>1522</v>
      </c>
      <c r="D152" s="22"/>
      <c r="E152" s="22" t="s">
        <v>1262</v>
      </c>
      <c r="F152" s="22" t="s">
        <v>1530</v>
      </c>
      <c r="G152" s="22" t="s">
        <v>655</v>
      </c>
      <c r="H152" t="str">
        <f t="shared" si="2"/>
        <v>AUTO1501</v>
      </c>
      <c r="I152">
        <f t="shared" si="4"/>
        <v>1</v>
      </c>
      <c r="J152" s="158"/>
      <c r="L152" s="158"/>
    </row>
    <row r="153" spans="2:12" ht="16.5">
      <c r="B153" s="21" t="s">
        <v>568</v>
      </c>
      <c r="C153" s="21" t="s">
        <v>1522</v>
      </c>
      <c r="D153" s="22"/>
      <c r="E153" s="96" t="s">
        <v>1526</v>
      </c>
      <c r="F153" s="22" t="s">
        <v>1530</v>
      </c>
      <c r="G153" s="67">
        <v>1505</v>
      </c>
      <c r="H153" t="str">
        <f t="shared" si="2"/>
        <v>AUTO1505</v>
      </c>
      <c r="I153">
        <f t="shared" si="4"/>
        <v>1</v>
      </c>
      <c r="J153" s="158"/>
      <c r="L153" s="158"/>
    </row>
    <row r="154" spans="2:12" ht="16.5">
      <c r="B154" s="21" t="s">
        <v>568</v>
      </c>
      <c r="C154" s="21" t="s">
        <v>1522</v>
      </c>
      <c r="D154" s="22"/>
      <c r="E154" s="22" t="s">
        <v>1262</v>
      </c>
      <c r="F154" s="22" t="s">
        <v>1530</v>
      </c>
      <c r="G154" s="22" t="s">
        <v>1396</v>
      </c>
      <c r="H154" t="str">
        <f t="shared" si="2"/>
        <v>AUTO1510</v>
      </c>
      <c r="I154">
        <f t="shared" si="4"/>
        <v>1</v>
      </c>
      <c r="J154" s="158"/>
      <c r="L154" s="158"/>
    </row>
    <row r="155" spans="2:12" ht="16.5">
      <c r="B155" s="21" t="s">
        <v>568</v>
      </c>
      <c r="C155" s="21" t="s">
        <v>1522</v>
      </c>
      <c r="D155" s="22"/>
      <c r="E155" s="22" t="s">
        <v>1262</v>
      </c>
      <c r="F155" s="22" t="s">
        <v>1530</v>
      </c>
      <c r="G155" s="22" t="s">
        <v>1397</v>
      </c>
      <c r="H155" t="str">
        <f t="shared" si="2"/>
        <v>AUTO1511</v>
      </c>
      <c r="I155">
        <f t="shared" si="4"/>
        <v>1</v>
      </c>
      <c r="J155" s="158"/>
      <c r="L155" s="158"/>
    </row>
    <row r="156" spans="2:12" ht="16.5">
      <c r="B156" s="21" t="s">
        <v>568</v>
      </c>
      <c r="C156" s="21" t="s">
        <v>1522</v>
      </c>
      <c r="D156" s="22"/>
      <c r="E156" s="22" t="s">
        <v>1262</v>
      </c>
      <c r="F156" s="22" t="s">
        <v>1530</v>
      </c>
      <c r="G156" s="22" t="s">
        <v>1399</v>
      </c>
      <c r="H156" t="str">
        <f t="shared" si="2"/>
        <v>AUTO1520</v>
      </c>
      <c r="I156">
        <f t="shared" si="4"/>
        <v>1</v>
      </c>
      <c r="J156" s="158"/>
      <c r="L156" s="158"/>
    </row>
    <row r="157" spans="2:12" ht="16.5">
      <c r="B157" s="21" t="s">
        <v>568</v>
      </c>
      <c r="C157" s="21" t="s">
        <v>1522</v>
      </c>
      <c r="D157" s="22"/>
      <c r="E157" s="22" t="s">
        <v>1262</v>
      </c>
      <c r="F157" s="22" t="s">
        <v>1530</v>
      </c>
      <c r="G157" s="22" t="s">
        <v>1398</v>
      </c>
      <c r="H157" t="str">
        <f t="shared" si="2"/>
        <v>AUTO1521</v>
      </c>
      <c r="I157">
        <f t="shared" si="4"/>
        <v>1</v>
      </c>
      <c r="J157" s="159" t="s">
        <v>1897</v>
      </c>
      <c r="L157" s="159" t="s">
        <v>1897</v>
      </c>
    </row>
    <row r="158" spans="2:12" ht="16.5">
      <c r="B158" s="21" t="s">
        <v>568</v>
      </c>
      <c r="C158" s="21" t="s">
        <v>1522</v>
      </c>
      <c r="D158" s="22"/>
      <c r="E158" s="22" t="s">
        <v>1262</v>
      </c>
      <c r="F158" s="22" t="s">
        <v>1530</v>
      </c>
      <c r="G158" s="22" t="s">
        <v>1401</v>
      </c>
      <c r="H158" t="str">
        <f t="shared" si="2"/>
        <v>AUTO1530</v>
      </c>
      <c r="I158">
        <f t="shared" si="4"/>
        <v>1</v>
      </c>
      <c r="J158" s="158"/>
      <c r="L158" s="158"/>
    </row>
    <row r="159" spans="2:12" ht="16.5">
      <c r="B159" s="21" t="s">
        <v>568</v>
      </c>
      <c r="C159" s="21" t="s">
        <v>1522</v>
      </c>
      <c r="D159" s="22"/>
      <c r="E159" s="22" t="s">
        <v>1262</v>
      </c>
      <c r="F159" s="22" t="s">
        <v>1530</v>
      </c>
      <c r="G159" s="22" t="s">
        <v>1400</v>
      </c>
      <c r="H159" t="str">
        <f t="shared" si="2"/>
        <v>AUTO1531</v>
      </c>
      <c r="I159">
        <f t="shared" si="4"/>
        <v>1</v>
      </c>
      <c r="J159" s="159" t="s">
        <v>1897</v>
      </c>
      <c r="L159" s="159" t="s">
        <v>1897</v>
      </c>
    </row>
    <row r="160" spans="2:12" ht="16.5">
      <c r="B160" s="21" t="s">
        <v>567</v>
      </c>
      <c r="C160" s="21" t="s">
        <v>1522</v>
      </c>
      <c r="D160" s="24"/>
      <c r="E160" s="22" t="s">
        <v>1195</v>
      </c>
      <c r="F160" s="22" t="s">
        <v>1530</v>
      </c>
      <c r="G160" s="67">
        <v>2100</v>
      </c>
      <c r="H160" t="str">
        <f t="shared" si="2"/>
        <v>AUTO2100</v>
      </c>
      <c r="I160">
        <f t="shared" si="3"/>
        <v>1</v>
      </c>
      <c r="J160" s="158"/>
      <c r="L160" s="158"/>
    </row>
    <row r="161" spans="2:12" ht="16.5">
      <c r="B161" s="21" t="s">
        <v>1450</v>
      </c>
      <c r="C161" s="21" t="s">
        <v>1522</v>
      </c>
      <c r="D161" s="22"/>
      <c r="E161" s="22" t="s">
        <v>551</v>
      </c>
      <c r="F161" s="22" t="s">
        <v>1704</v>
      </c>
      <c r="G161" s="67">
        <v>1130</v>
      </c>
      <c r="H161" t="str">
        <f t="shared" si="2"/>
        <v>AVC1130</v>
      </c>
      <c r="I161">
        <f t="shared" si="3"/>
        <v>1</v>
      </c>
      <c r="J161" s="158"/>
      <c r="L161" s="158"/>
    </row>
    <row r="162" spans="2:12" ht="16.5">
      <c r="B162" s="21" t="s">
        <v>1450</v>
      </c>
      <c r="C162" s="21" t="s">
        <v>1522</v>
      </c>
      <c r="D162" s="22"/>
      <c r="E162" s="22" t="s">
        <v>1586</v>
      </c>
      <c r="F162" s="22" t="s">
        <v>722</v>
      </c>
      <c r="G162" s="67">
        <v>1010</v>
      </c>
      <c r="H162" t="str">
        <f t="shared" si="2"/>
        <v>AVSC1010</v>
      </c>
      <c r="I162">
        <f t="shared" si="3"/>
        <v>1</v>
      </c>
      <c r="J162" s="158"/>
      <c r="L162" s="158"/>
    </row>
    <row r="163" spans="2:12" ht="16.5">
      <c r="B163" s="21" t="s">
        <v>1450</v>
      </c>
      <c r="C163" s="21" t="s">
        <v>1522</v>
      </c>
      <c r="D163" s="22"/>
      <c r="E163" s="22" t="s">
        <v>1586</v>
      </c>
      <c r="F163" s="22" t="s">
        <v>722</v>
      </c>
      <c r="G163" s="67">
        <v>1100</v>
      </c>
      <c r="H163" t="str">
        <f t="shared" si="2"/>
        <v>AVSC1100</v>
      </c>
      <c r="I163">
        <f t="shared" si="3"/>
        <v>1</v>
      </c>
      <c r="J163" s="158"/>
      <c r="L163" s="158"/>
    </row>
    <row r="164" spans="2:12" ht="16.5">
      <c r="B164" s="45" t="s">
        <v>92</v>
      </c>
      <c r="C164" s="21" t="s">
        <v>1522</v>
      </c>
      <c r="D164" s="22" t="s">
        <v>1329</v>
      </c>
      <c r="E164" s="22" t="s">
        <v>1262</v>
      </c>
      <c r="F164" s="22" t="s">
        <v>796</v>
      </c>
      <c r="G164" s="23" t="s">
        <v>1528</v>
      </c>
      <c r="H164" t="str">
        <f t="shared" si="2"/>
        <v>BA1010</v>
      </c>
      <c r="I164">
        <f t="shared" si="3"/>
        <v>1</v>
      </c>
      <c r="J164" s="158"/>
      <c r="L164" s="158"/>
    </row>
    <row r="165" spans="2:12" ht="16.5">
      <c r="B165" s="45" t="s">
        <v>94</v>
      </c>
      <c r="C165" s="21" t="s">
        <v>1522</v>
      </c>
      <c r="D165" s="26"/>
      <c r="E165" s="22" t="s">
        <v>551</v>
      </c>
      <c r="F165" s="22" t="s">
        <v>796</v>
      </c>
      <c r="G165" s="22" t="s">
        <v>930</v>
      </c>
      <c r="H165" t="str">
        <f t="shared" si="2"/>
        <v>BA1350</v>
      </c>
      <c r="I165">
        <f t="shared" si="3"/>
        <v>1</v>
      </c>
      <c r="J165" s="158"/>
      <c r="L165" s="158"/>
    </row>
    <row r="166" spans="2:12" ht="16.5">
      <c r="B166" s="21" t="s">
        <v>564</v>
      </c>
      <c r="C166" s="21" t="s">
        <v>1522</v>
      </c>
      <c r="D166" s="22"/>
      <c r="E166" s="96" t="s">
        <v>1526</v>
      </c>
      <c r="F166" s="22" t="s">
        <v>1533</v>
      </c>
      <c r="G166" s="67">
        <v>1010</v>
      </c>
      <c r="H166" t="str">
        <f t="shared" si="2"/>
        <v>BCCM1010</v>
      </c>
      <c r="I166">
        <f t="shared" si="3"/>
        <v>0</v>
      </c>
      <c r="J166" s="158"/>
      <c r="L166" s="158"/>
    </row>
    <row r="167" spans="2:12" ht="16.5">
      <c r="B167" s="21" t="s">
        <v>564</v>
      </c>
      <c r="C167" s="21" t="s">
        <v>1522</v>
      </c>
      <c r="D167" s="22"/>
      <c r="E167" s="22" t="s">
        <v>463</v>
      </c>
      <c r="F167" s="22" t="s">
        <v>1533</v>
      </c>
      <c r="G167" s="67">
        <v>1010</v>
      </c>
      <c r="H167" t="str">
        <f t="shared" si="2"/>
        <v>BCCM1010</v>
      </c>
      <c r="I167">
        <f t="shared" si="3"/>
        <v>1</v>
      </c>
      <c r="J167" s="158"/>
      <c r="L167" s="158"/>
    </row>
    <row r="168" spans="2:12" ht="16.5">
      <c r="B168" s="21" t="s">
        <v>564</v>
      </c>
      <c r="C168" s="21" t="s">
        <v>1522</v>
      </c>
      <c r="D168" s="22"/>
      <c r="E168" s="22" t="s">
        <v>463</v>
      </c>
      <c r="F168" s="22" t="s">
        <v>1533</v>
      </c>
      <c r="G168" s="67">
        <v>1040</v>
      </c>
      <c r="H168" t="str">
        <f t="shared" si="2"/>
        <v>BCCM1040</v>
      </c>
      <c r="I168">
        <f t="shared" si="3"/>
        <v>1</v>
      </c>
      <c r="J168" s="158"/>
      <c r="L168" s="158"/>
    </row>
    <row r="169" spans="2:12" ht="16.5">
      <c r="B169" s="21" t="s">
        <v>564</v>
      </c>
      <c r="C169" s="21" t="s">
        <v>1522</v>
      </c>
      <c r="D169" s="22"/>
      <c r="E169" s="22" t="s">
        <v>463</v>
      </c>
      <c r="F169" s="22" t="s">
        <v>1533</v>
      </c>
      <c r="G169" s="67">
        <v>1060</v>
      </c>
      <c r="H169" t="str">
        <f t="shared" si="2"/>
        <v>BCCM1060</v>
      </c>
      <c r="I169">
        <f t="shared" si="3"/>
        <v>1</v>
      </c>
      <c r="J169" s="158"/>
      <c r="L169" s="158"/>
    </row>
    <row r="170" spans="2:12" ht="16.5">
      <c r="B170" s="21" t="s">
        <v>1338</v>
      </c>
      <c r="C170" s="21" t="s">
        <v>1522</v>
      </c>
      <c r="D170" s="22"/>
      <c r="E170" s="22" t="s">
        <v>463</v>
      </c>
      <c r="F170" s="22" t="s">
        <v>1533</v>
      </c>
      <c r="G170" s="67">
        <v>1100</v>
      </c>
      <c r="H170" t="str">
        <f t="shared" si="2"/>
        <v>BCCM1100</v>
      </c>
      <c r="I170">
        <f t="shared" si="3"/>
        <v>1</v>
      </c>
      <c r="J170" s="158"/>
      <c r="L170" s="158"/>
    </row>
    <row r="171" spans="2:12" ht="16.5">
      <c r="B171" s="21" t="s">
        <v>564</v>
      </c>
      <c r="C171" s="21" t="s">
        <v>1522</v>
      </c>
      <c r="D171" s="22"/>
      <c r="E171" s="22" t="s">
        <v>463</v>
      </c>
      <c r="F171" s="22" t="s">
        <v>1533</v>
      </c>
      <c r="G171" s="67">
        <v>1140</v>
      </c>
      <c r="H171" t="str">
        <f t="shared" si="2"/>
        <v>BCCM1140</v>
      </c>
      <c r="I171">
        <f t="shared" si="3"/>
        <v>1</v>
      </c>
      <c r="J171" s="158"/>
      <c r="L171" s="158"/>
    </row>
    <row r="172" spans="2:12" ht="16.5">
      <c r="B172" s="21" t="s">
        <v>564</v>
      </c>
      <c r="C172" s="21" t="s">
        <v>1522</v>
      </c>
      <c r="D172" s="22"/>
      <c r="E172" s="22" t="s">
        <v>463</v>
      </c>
      <c r="F172" s="22" t="s">
        <v>1533</v>
      </c>
      <c r="G172" s="67">
        <v>1160</v>
      </c>
      <c r="H172" t="str">
        <f t="shared" si="2"/>
        <v>BCCM1160</v>
      </c>
      <c r="I172">
        <f t="shared" si="3"/>
        <v>1</v>
      </c>
      <c r="J172" s="158"/>
      <c r="L172" s="158"/>
    </row>
    <row r="173" spans="2:12" ht="16.5">
      <c r="B173" s="21" t="s">
        <v>564</v>
      </c>
      <c r="C173" s="21" t="s">
        <v>1522</v>
      </c>
      <c r="D173" s="22"/>
      <c r="E173" s="22" t="s">
        <v>1586</v>
      </c>
      <c r="F173" s="22" t="s">
        <v>1533</v>
      </c>
      <c r="G173" s="68">
        <v>1190</v>
      </c>
      <c r="H173" t="str">
        <f t="shared" si="2"/>
        <v>BCCM1190</v>
      </c>
      <c r="I173">
        <f t="shared" si="3"/>
        <v>1</v>
      </c>
      <c r="J173" s="158"/>
      <c r="L173" s="158"/>
    </row>
    <row r="174" spans="2:12" ht="16.5">
      <c r="B174" s="21" t="s">
        <v>573</v>
      </c>
      <c r="C174" s="21" t="s">
        <v>1522</v>
      </c>
      <c r="D174" s="22"/>
      <c r="E174" s="22" t="s">
        <v>463</v>
      </c>
      <c r="F174" s="22" t="s">
        <v>1533</v>
      </c>
      <c r="G174" s="68">
        <v>1200</v>
      </c>
      <c r="H174" t="str">
        <f t="shared" ref="H174:H237" si="5">CONCATENATE(F174,G174)</f>
        <v>BCCM1200</v>
      </c>
      <c r="I174">
        <f t="shared" si="3"/>
        <v>1</v>
      </c>
      <c r="J174" s="158"/>
      <c r="L174" s="158"/>
    </row>
    <row r="175" spans="2:12" ht="16.5">
      <c r="B175" s="21" t="s">
        <v>564</v>
      </c>
      <c r="C175" s="21" t="s">
        <v>1522</v>
      </c>
      <c r="D175" s="22"/>
      <c r="E175" s="22" t="s">
        <v>1586</v>
      </c>
      <c r="F175" s="22" t="s">
        <v>1533</v>
      </c>
      <c r="G175" s="68" t="s">
        <v>1104</v>
      </c>
      <c r="H175" t="str">
        <f t="shared" si="5"/>
        <v>BCCM1220</v>
      </c>
      <c r="I175">
        <f t="shared" ref="I175:I206" si="6">IF(H175=H176,0,1)</f>
        <v>1</v>
      </c>
      <c r="J175" s="158"/>
      <c r="L175" s="158"/>
    </row>
    <row r="176" spans="2:12" ht="16.5">
      <c r="B176" s="21" t="s">
        <v>573</v>
      </c>
      <c r="C176" s="21" t="s">
        <v>1522</v>
      </c>
      <c r="D176" s="24"/>
      <c r="E176" s="22" t="s">
        <v>463</v>
      </c>
      <c r="F176" s="24" t="s">
        <v>1533</v>
      </c>
      <c r="G176" s="68">
        <v>1240</v>
      </c>
      <c r="H176" t="str">
        <f t="shared" si="5"/>
        <v>BCCM1240</v>
      </c>
      <c r="I176">
        <f t="shared" si="6"/>
        <v>1</v>
      </c>
      <c r="J176" s="158"/>
      <c r="L176" s="158"/>
    </row>
    <row r="177" spans="2:12" ht="16.5">
      <c r="B177" s="21" t="s">
        <v>573</v>
      </c>
      <c r="C177" s="21" t="s">
        <v>1522</v>
      </c>
      <c r="D177" s="24"/>
      <c r="E177" s="22" t="s">
        <v>463</v>
      </c>
      <c r="F177" s="24" t="s">
        <v>1533</v>
      </c>
      <c r="G177" s="68">
        <v>1260</v>
      </c>
      <c r="H177" t="str">
        <f t="shared" si="5"/>
        <v>BCCM1260</v>
      </c>
      <c r="I177">
        <f t="shared" si="6"/>
        <v>1</v>
      </c>
      <c r="J177" s="158"/>
      <c r="L177" s="158"/>
    </row>
    <row r="178" spans="2:12" ht="16.5">
      <c r="B178" s="21" t="s">
        <v>564</v>
      </c>
      <c r="C178" s="21" t="s">
        <v>1522</v>
      </c>
      <c r="D178" s="22"/>
      <c r="E178" s="96" t="s">
        <v>1526</v>
      </c>
      <c r="F178" s="22" t="s">
        <v>1533</v>
      </c>
      <c r="G178" s="67">
        <v>2030</v>
      </c>
      <c r="H178" t="str">
        <f t="shared" si="5"/>
        <v>BCCM2030</v>
      </c>
      <c r="I178">
        <f t="shared" si="6"/>
        <v>1</v>
      </c>
      <c r="J178" s="158"/>
      <c r="L178" s="158"/>
    </row>
    <row r="179" spans="2:12" ht="16.5">
      <c r="B179" s="21" t="s">
        <v>564</v>
      </c>
      <c r="C179" s="21" t="s">
        <v>1522</v>
      </c>
      <c r="D179" s="22"/>
      <c r="E179" s="96" t="s">
        <v>1526</v>
      </c>
      <c r="F179" s="22" t="s">
        <v>1533</v>
      </c>
      <c r="G179" s="67">
        <v>2080</v>
      </c>
      <c r="H179" t="str">
        <f t="shared" si="5"/>
        <v>BCCM2080</v>
      </c>
      <c r="I179">
        <f t="shared" si="6"/>
        <v>1</v>
      </c>
      <c r="J179" s="158"/>
      <c r="L179" s="158"/>
    </row>
    <row r="180" spans="2:12" ht="16.5">
      <c r="B180" s="21" t="s">
        <v>573</v>
      </c>
      <c r="C180" s="21" t="s">
        <v>1522</v>
      </c>
      <c r="D180" s="22"/>
      <c r="E180" s="96" t="s">
        <v>1526</v>
      </c>
      <c r="F180" s="96" t="s">
        <v>1533</v>
      </c>
      <c r="G180" s="67">
        <v>2125</v>
      </c>
      <c r="H180" t="str">
        <f t="shared" si="5"/>
        <v>BCCM2125</v>
      </c>
      <c r="I180">
        <f t="shared" si="6"/>
        <v>1</v>
      </c>
      <c r="J180" s="158"/>
      <c r="L180" s="158"/>
    </row>
    <row r="181" spans="2:12" ht="16.5">
      <c r="B181" s="21" t="s">
        <v>564</v>
      </c>
      <c r="C181" s="21" t="s">
        <v>1522</v>
      </c>
      <c r="D181" s="22"/>
      <c r="E181" s="96" t="s">
        <v>1526</v>
      </c>
      <c r="F181" s="22" t="s">
        <v>1533</v>
      </c>
      <c r="G181" s="67">
        <v>2130</v>
      </c>
      <c r="H181" t="str">
        <f t="shared" si="5"/>
        <v>BCCM2130</v>
      </c>
      <c r="I181">
        <f t="shared" si="6"/>
        <v>1</v>
      </c>
      <c r="J181" s="158"/>
      <c r="L181" s="158"/>
    </row>
    <row r="182" spans="2:12" ht="16.5">
      <c r="B182" s="21" t="s">
        <v>564</v>
      </c>
      <c r="C182" s="21" t="s">
        <v>1522</v>
      </c>
      <c r="D182" s="22"/>
      <c r="E182" s="22" t="s">
        <v>1261</v>
      </c>
      <c r="F182" s="22" t="s">
        <v>1533</v>
      </c>
      <c r="G182" s="67">
        <v>2150</v>
      </c>
      <c r="H182" t="str">
        <f t="shared" si="5"/>
        <v>BCCM2150</v>
      </c>
      <c r="I182">
        <f t="shared" si="6"/>
        <v>1</v>
      </c>
      <c r="J182" s="158"/>
      <c r="L182" s="158"/>
    </row>
    <row r="183" spans="2:12" ht="16.5">
      <c r="B183" s="21" t="s">
        <v>564</v>
      </c>
      <c r="C183" s="21" t="s">
        <v>1522</v>
      </c>
      <c r="D183" s="22"/>
      <c r="E183" s="96" t="s">
        <v>1526</v>
      </c>
      <c r="F183" s="22" t="s">
        <v>1533</v>
      </c>
      <c r="G183" s="67">
        <v>2170</v>
      </c>
      <c r="H183" t="str">
        <f t="shared" si="5"/>
        <v>BCCM2170</v>
      </c>
      <c r="I183">
        <f t="shared" si="6"/>
        <v>1</v>
      </c>
      <c r="J183" s="158"/>
      <c r="L183" s="158"/>
    </row>
    <row r="184" spans="2:12" ht="16.5">
      <c r="B184" s="21" t="s">
        <v>573</v>
      </c>
      <c r="C184" s="21" t="s">
        <v>1522</v>
      </c>
      <c r="D184" s="22"/>
      <c r="E184" s="22" t="s">
        <v>1261</v>
      </c>
      <c r="F184" s="22" t="s">
        <v>1533</v>
      </c>
      <c r="G184" s="67">
        <v>2690</v>
      </c>
      <c r="H184" t="str">
        <f t="shared" si="5"/>
        <v>BCCM2690</v>
      </c>
      <c r="I184">
        <f t="shared" si="6"/>
        <v>1</v>
      </c>
      <c r="J184" s="158"/>
      <c r="L184" s="158"/>
    </row>
    <row r="185" spans="2:12" ht="16.5">
      <c r="B185" s="21" t="s">
        <v>101</v>
      </c>
      <c r="C185" s="21" t="s">
        <v>1521</v>
      </c>
      <c r="D185" s="22" t="s">
        <v>1331</v>
      </c>
      <c r="E185" s="96" t="s">
        <v>1526</v>
      </c>
      <c r="F185" s="22" t="s">
        <v>1362</v>
      </c>
      <c r="G185" s="67">
        <v>1010</v>
      </c>
      <c r="H185" t="str">
        <f t="shared" si="5"/>
        <v>BCIS1010</v>
      </c>
      <c r="I185">
        <f t="shared" si="6"/>
        <v>1</v>
      </c>
      <c r="J185" s="158"/>
      <c r="L185" s="158"/>
    </row>
    <row r="186" spans="2:12" ht="16.5">
      <c r="B186" s="21" t="s">
        <v>102</v>
      </c>
      <c r="C186" s="21" t="s">
        <v>1522</v>
      </c>
      <c r="D186" s="22"/>
      <c r="E186" s="96" t="s">
        <v>1526</v>
      </c>
      <c r="F186" s="22" t="s">
        <v>1362</v>
      </c>
      <c r="G186" s="67">
        <v>1300</v>
      </c>
      <c r="H186" t="str">
        <f t="shared" si="5"/>
        <v>BCIS1300</v>
      </c>
      <c r="I186">
        <f t="shared" si="6"/>
        <v>1</v>
      </c>
      <c r="J186" s="158"/>
      <c r="L186" s="158"/>
    </row>
    <row r="187" spans="2:12" ht="16.5">
      <c r="B187" s="21" t="s">
        <v>105</v>
      </c>
      <c r="C187" s="21" t="s">
        <v>1522</v>
      </c>
      <c r="D187" s="22"/>
      <c r="E187" s="96" t="s">
        <v>1526</v>
      </c>
      <c r="F187" s="22" t="s">
        <v>1362</v>
      </c>
      <c r="G187" s="67">
        <v>1405</v>
      </c>
      <c r="H187" t="str">
        <f t="shared" si="5"/>
        <v>BCIS1405</v>
      </c>
      <c r="I187">
        <f t="shared" si="6"/>
        <v>1</v>
      </c>
      <c r="J187" s="158"/>
      <c r="L187" s="158"/>
    </row>
    <row r="188" spans="2:12" ht="16.5">
      <c r="B188" s="21" t="s">
        <v>106</v>
      </c>
      <c r="C188" s="21" t="s">
        <v>1522</v>
      </c>
      <c r="D188" s="22"/>
      <c r="E188" s="96" t="s">
        <v>1526</v>
      </c>
      <c r="F188" s="22" t="s">
        <v>1362</v>
      </c>
      <c r="G188" s="67">
        <v>1406</v>
      </c>
      <c r="H188" t="str">
        <f t="shared" si="5"/>
        <v>BCIS1406</v>
      </c>
      <c r="I188">
        <f t="shared" si="6"/>
        <v>1</v>
      </c>
      <c r="J188" s="158"/>
      <c r="L188" s="158"/>
    </row>
    <row r="189" spans="2:12" ht="16.5">
      <c r="B189" s="21" t="s">
        <v>103</v>
      </c>
      <c r="C189" s="21" t="s">
        <v>1522</v>
      </c>
      <c r="D189" s="22"/>
      <c r="E189" s="96" t="s">
        <v>1526</v>
      </c>
      <c r="F189" s="22" t="s">
        <v>1362</v>
      </c>
      <c r="G189" s="67">
        <v>1900</v>
      </c>
      <c r="H189" t="str">
        <f t="shared" si="5"/>
        <v>BCIS1900</v>
      </c>
      <c r="I189">
        <f t="shared" si="6"/>
        <v>1</v>
      </c>
      <c r="J189" s="158"/>
      <c r="L189" s="158"/>
    </row>
    <row r="190" spans="2:12" ht="16.5">
      <c r="B190" s="21" t="s">
        <v>96</v>
      </c>
      <c r="C190" s="21" t="s">
        <v>1522</v>
      </c>
      <c r="D190" s="22"/>
      <c r="E190" s="96" t="s">
        <v>1526</v>
      </c>
      <c r="F190" s="22" t="s">
        <v>1362</v>
      </c>
      <c r="G190" s="67">
        <v>2430</v>
      </c>
      <c r="H190" t="str">
        <f t="shared" si="5"/>
        <v>BCIS2430</v>
      </c>
      <c r="I190">
        <f t="shared" si="6"/>
        <v>1</v>
      </c>
      <c r="J190" s="158"/>
      <c r="L190" s="158"/>
    </row>
    <row r="191" spans="2:12" ht="23.25">
      <c r="B191" s="57"/>
      <c r="C191" s="21" t="s">
        <v>1522</v>
      </c>
      <c r="D191" s="22" t="s">
        <v>540</v>
      </c>
      <c r="E191" s="96" t="s">
        <v>1526</v>
      </c>
      <c r="F191" s="22" t="s">
        <v>283</v>
      </c>
      <c r="G191" s="67">
        <v>1010</v>
      </c>
      <c r="H191" t="str">
        <f t="shared" si="5"/>
        <v>BIOL1010</v>
      </c>
      <c r="I191">
        <f t="shared" si="6"/>
        <v>0</v>
      </c>
      <c r="J191" s="158"/>
      <c r="L191" s="158"/>
    </row>
    <row r="192" spans="2:12" ht="23.25">
      <c r="B192" s="57"/>
      <c r="C192" s="21" t="s">
        <v>1522</v>
      </c>
      <c r="D192" s="24" t="s">
        <v>540</v>
      </c>
      <c r="E192" s="22" t="s">
        <v>1195</v>
      </c>
      <c r="F192" s="22" t="s">
        <v>283</v>
      </c>
      <c r="G192" s="67">
        <v>1010</v>
      </c>
      <c r="H192" t="str">
        <f t="shared" si="5"/>
        <v>BIOL1010</v>
      </c>
      <c r="I192">
        <f t="shared" si="6"/>
        <v>0</v>
      </c>
      <c r="J192" s="158"/>
      <c r="L192" s="158"/>
    </row>
    <row r="193" spans="2:12" ht="16.5">
      <c r="B193" s="21"/>
      <c r="C193" s="21" t="s">
        <v>1521</v>
      </c>
      <c r="D193" s="22" t="s">
        <v>540</v>
      </c>
      <c r="E193" s="22" t="s">
        <v>463</v>
      </c>
      <c r="F193" s="22" t="s">
        <v>283</v>
      </c>
      <c r="G193" s="68">
        <v>1010</v>
      </c>
      <c r="H193" t="str">
        <f t="shared" si="5"/>
        <v>BIOL1010</v>
      </c>
      <c r="I193">
        <f t="shared" si="6"/>
        <v>0</v>
      </c>
      <c r="J193" s="158"/>
      <c r="L193" s="158"/>
    </row>
    <row r="194" spans="2:12" ht="16.5">
      <c r="B194" s="21"/>
      <c r="C194" s="21" t="s">
        <v>1521</v>
      </c>
      <c r="D194" s="22" t="s">
        <v>540</v>
      </c>
      <c r="E194" s="22" t="s">
        <v>1261</v>
      </c>
      <c r="F194" s="22" t="s">
        <v>283</v>
      </c>
      <c r="G194" s="67">
        <v>1010</v>
      </c>
      <c r="H194" t="str">
        <f t="shared" si="5"/>
        <v>BIOL1010</v>
      </c>
      <c r="I194">
        <f t="shared" si="6"/>
        <v>0</v>
      </c>
      <c r="J194" s="158"/>
      <c r="L194" s="158"/>
    </row>
    <row r="195" spans="2:12" ht="16.5">
      <c r="B195" s="45"/>
      <c r="C195" s="21" t="s">
        <v>1521</v>
      </c>
      <c r="D195" s="22" t="s">
        <v>540</v>
      </c>
      <c r="E195" s="22" t="s">
        <v>1262</v>
      </c>
      <c r="F195" s="22" t="s">
        <v>283</v>
      </c>
      <c r="G195" s="23">
        <v>1010</v>
      </c>
      <c r="H195" t="str">
        <f t="shared" si="5"/>
        <v>BIOL1010</v>
      </c>
      <c r="I195">
        <f t="shared" si="6"/>
        <v>0</v>
      </c>
      <c r="J195" s="158"/>
      <c r="L195" s="158"/>
    </row>
    <row r="196" spans="2:12" ht="16.5">
      <c r="B196" s="21"/>
      <c r="C196" s="21" t="s">
        <v>1522</v>
      </c>
      <c r="D196" s="22" t="s">
        <v>540</v>
      </c>
      <c r="E196" s="22" t="s">
        <v>551</v>
      </c>
      <c r="F196" s="22" t="s">
        <v>283</v>
      </c>
      <c r="G196" s="67">
        <v>1010</v>
      </c>
      <c r="H196" t="str">
        <f t="shared" si="5"/>
        <v>BIOL1010</v>
      </c>
      <c r="I196">
        <f t="shared" si="6"/>
        <v>0</v>
      </c>
      <c r="J196" s="158"/>
      <c r="L196" s="158"/>
    </row>
    <row r="197" spans="2:12" ht="16.5">
      <c r="B197" s="45"/>
      <c r="C197" s="21" t="s">
        <v>1521</v>
      </c>
      <c r="D197" s="22" t="s">
        <v>540</v>
      </c>
      <c r="E197" s="22" t="s">
        <v>1586</v>
      </c>
      <c r="F197" s="22" t="s">
        <v>283</v>
      </c>
      <c r="G197" s="67">
        <v>1010</v>
      </c>
      <c r="H197" t="str">
        <f t="shared" si="5"/>
        <v>BIOL1010</v>
      </c>
      <c r="I197">
        <f t="shared" si="6"/>
        <v>1</v>
      </c>
      <c r="J197" s="158"/>
      <c r="L197" s="158"/>
    </row>
    <row r="198" spans="2:12" ht="23.25">
      <c r="B198" s="57"/>
      <c r="C198" s="21" t="s">
        <v>1522</v>
      </c>
      <c r="D198" s="22"/>
      <c r="E198" s="96" t="s">
        <v>1526</v>
      </c>
      <c r="F198" s="22" t="s">
        <v>283</v>
      </c>
      <c r="G198" s="67">
        <v>1015</v>
      </c>
      <c r="H198" t="str">
        <f t="shared" si="5"/>
        <v>BIOL1015</v>
      </c>
      <c r="I198">
        <f t="shared" si="6"/>
        <v>0</v>
      </c>
      <c r="J198" s="158"/>
      <c r="L198" s="158"/>
    </row>
    <row r="199" spans="2:12" ht="16.5">
      <c r="B199" s="21"/>
      <c r="C199" s="21" t="s">
        <v>1521</v>
      </c>
      <c r="D199" s="22"/>
      <c r="E199" s="22" t="s">
        <v>463</v>
      </c>
      <c r="F199" s="22" t="s">
        <v>283</v>
      </c>
      <c r="G199" s="68">
        <v>1015</v>
      </c>
      <c r="H199" t="str">
        <f t="shared" si="5"/>
        <v>BIOL1015</v>
      </c>
      <c r="I199">
        <f t="shared" si="6"/>
        <v>0</v>
      </c>
      <c r="J199" s="158"/>
      <c r="L199" s="158"/>
    </row>
    <row r="200" spans="2:12" ht="16.5">
      <c r="B200" s="45"/>
      <c r="C200" s="21" t="s">
        <v>1521</v>
      </c>
      <c r="D200" s="22"/>
      <c r="E200" s="22" t="s">
        <v>1262</v>
      </c>
      <c r="F200" s="22" t="s">
        <v>283</v>
      </c>
      <c r="G200" s="22" t="s">
        <v>713</v>
      </c>
      <c r="H200" t="str">
        <f t="shared" si="5"/>
        <v>BIOL1015</v>
      </c>
      <c r="I200">
        <f t="shared" si="6"/>
        <v>0</v>
      </c>
      <c r="J200" s="158"/>
      <c r="L200" s="158"/>
    </row>
    <row r="201" spans="2:12" ht="16.5">
      <c r="B201" s="45"/>
      <c r="C201" s="21" t="s">
        <v>1521</v>
      </c>
      <c r="D201" s="22"/>
      <c r="E201" s="22" t="s">
        <v>1586</v>
      </c>
      <c r="F201" s="22" t="s">
        <v>283</v>
      </c>
      <c r="G201" s="68">
        <v>1015</v>
      </c>
      <c r="H201" t="str">
        <f t="shared" si="5"/>
        <v>BIOL1015</v>
      </c>
      <c r="I201">
        <f t="shared" si="6"/>
        <v>1</v>
      </c>
      <c r="J201" s="159" t="s">
        <v>1897</v>
      </c>
      <c r="L201" s="159" t="s">
        <v>1897</v>
      </c>
    </row>
    <row r="202" spans="2:12" ht="16.5">
      <c r="B202" s="45"/>
      <c r="C202" s="21" t="s">
        <v>1522</v>
      </c>
      <c r="D202" s="22" t="s">
        <v>540</v>
      </c>
      <c r="E202" s="22" t="s">
        <v>1262</v>
      </c>
      <c r="F202" s="22" t="s">
        <v>283</v>
      </c>
      <c r="G202" s="22" t="s">
        <v>428</v>
      </c>
      <c r="H202" t="str">
        <f t="shared" si="5"/>
        <v>BIOL1020</v>
      </c>
      <c r="I202">
        <f t="shared" si="6"/>
        <v>1</v>
      </c>
      <c r="J202" s="158"/>
      <c r="L202" s="158"/>
    </row>
    <row r="203" spans="2:12" ht="16.5">
      <c r="B203" s="45"/>
      <c r="C203" s="21" t="s">
        <v>1522</v>
      </c>
      <c r="D203" s="22"/>
      <c r="E203" s="22" t="s">
        <v>1262</v>
      </c>
      <c r="F203" s="22" t="s">
        <v>283</v>
      </c>
      <c r="G203" s="22" t="s">
        <v>1479</v>
      </c>
      <c r="H203" t="str">
        <f t="shared" si="5"/>
        <v>BIOL1025</v>
      </c>
      <c r="I203">
        <f t="shared" si="6"/>
        <v>1</v>
      </c>
      <c r="J203" s="158"/>
      <c r="L203" s="158"/>
    </row>
    <row r="204" spans="2:12" ht="16.5">
      <c r="B204" s="21"/>
      <c r="C204" s="21" t="s">
        <v>1522</v>
      </c>
      <c r="D204" s="22" t="s">
        <v>540</v>
      </c>
      <c r="E204" s="22" t="s">
        <v>463</v>
      </c>
      <c r="F204" s="22" t="s">
        <v>283</v>
      </c>
      <c r="G204" s="68">
        <v>1070</v>
      </c>
      <c r="H204" t="str">
        <f t="shared" si="5"/>
        <v>BIOL1070</v>
      </c>
      <c r="I204">
        <f t="shared" si="6"/>
        <v>0</v>
      </c>
      <c r="J204" s="158"/>
      <c r="L204" s="158"/>
    </row>
    <row r="205" spans="2:12" ht="16.5">
      <c r="B205" s="21"/>
      <c r="C205" s="21" t="s">
        <v>1522</v>
      </c>
      <c r="D205" s="22" t="s">
        <v>540</v>
      </c>
      <c r="E205" s="22" t="s">
        <v>1586</v>
      </c>
      <c r="F205" s="22" t="s">
        <v>283</v>
      </c>
      <c r="G205" s="67">
        <v>1070</v>
      </c>
      <c r="H205" t="str">
        <f t="shared" si="5"/>
        <v>BIOL1070</v>
      </c>
      <c r="I205">
        <f t="shared" si="6"/>
        <v>1</v>
      </c>
      <c r="J205" s="158"/>
      <c r="L205" s="158"/>
    </row>
    <row r="206" spans="2:12" ht="16.5">
      <c r="B206" s="21"/>
      <c r="C206" s="21" t="s">
        <v>1522</v>
      </c>
      <c r="D206" s="22"/>
      <c r="E206" s="22" t="s">
        <v>463</v>
      </c>
      <c r="F206" s="22" t="s">
        <v>283</v>
      </c>
      <c r="G206" s="68">
        <v>1075</v>
      </c>
      <c r="H206" t="str">
        <f t="shared" si="5"/>
        <v>BIOL1075</v>
      </c>
      <c r="I206">
        <f t="shared" si="6"/>
        <v>1</v>
      </c>
      <c r="J206" s="159" t="s">
        <v>1897</v>
      </c>
      <c r="L206" s="159" t="s">
        <v>1897</v>
      </c>
    </row>
    <row r="207" spans="2:12" ht="16.5">
      <c r="B207" s="21"/>
      <c r="C207" s="21" t="s">
        <v>1522</v>
      </c>
      <c r="D207" s="22" t="s">
        <v>540</v>
      </c>
      <c r="E207" s="22" t="s">
        <v>463</v>
      </c>
      <c r="F207" s="22" t="s">
        <v>283</v>
      </c>
      <c r="G207" s="68">
        <v>1110</v>
      </c>
      <c r="H207" t="str">
        <f t="shared" si="5"/>
        <v>BIOL1110</v>
      </c>
      <c r="I207">
        <f t="shared" ref="I207:I238" si="7">IF(H207=H208,0,1)</f>
        <v>0</v>
      </c>
      <c r="J207" s="158"/>
      <c r="L207" s="158"/>
    </row>
    <row r="208" spans="2:12" ht="16.5">
      <c r="B208" s="21" t="s">
        <v>881</v>
      </c>
      <c r="C208" s="21" t="s">
        <v>1522</v>
      </c>
      <c r="D208" s="22" t="s">
        <v>540</v>
      </c>
      <c r="E208" s="22" t="s">
        <v>463</v>
      </c>
      <c r="F208" s="22" t="s">
        <v>283</v>
      </c>
      <c r="G208" s="68">
        <v>1110</v>
      </c>
      <c r="H208" t="str">
        <f t="shared" si="5"/>
        <v>BIOL1110</v>
      </c>
      <c r="I208">
        <f t="shared" si="7"/>
        <v>1</v>
      </c>
      <c r="J208" s="158"/>
      <c r="L208" s="158"/>
    </row>
    <row r="209" spans="2:12" ht="16.5">
      <c r="B209" s="21"/>
      <c r="C209" s="21" t="s">
        <v>1522</v>
      </c>
      <c r="D209" s="22"/>
      <c r="E209" s="96" t="s">
        <v>1526</v>
      </c>
      <c r="F209" s="22" t="s">
        <v>283</v>
      </c>
      <c r="G209" s="67" t="s">
        <v>1105</v>
      </c>
      <c r="H209" t="str">
        <f t="shared" si="5"/>
        <v>BIOL1250</v>
      </c>
      <c r="I209">
        <f t="shared" si="7"/>
        <v>1</v>
      </c>
      <c r="J209" s="158"/>
      <c r="L209" s="158"/>
    </row>
    <row r="210" spans="2:12" ht="16.5">
      <c r="B210" s="21" t="s">
        <v>885</v>
      </c>
      <c r="C210" s="21" t="s">
        <v>1522</v>
      </c>
      <c r="D210" s="24" t="s">
        <v>540</v>
      </c>
      <c r="E210" s="22" t="s">
        <v>1195</v>
      </c>
      <c r="F210" s="22" t="s">
        <v>283</v>
      </c>
      <c r="G210" s="67">
        <v>1500</v>
      </c>
      <c r="H210" t="str">
        <f t="shared" si="5"/>
        <v>BIOL1500</v>
      </c>
      <c r="I210">
        <f t="shared" si="7"/>
        <v>0</v>
      </c>
      <c r="J210" s="158"/>
      <c r="L210" s="158"/>
    </row>
    <row r="211" spans="2:12" ht="23.25">
      <c r="B211" s="57"/>
      <c r="C211" s="21" t="s">
        <v>1522</v>
      </c>
      <c r="D211" s="22"/>
      <c r="E211" s="96" t="s">
        <v>1526</v>
      </c>
      <c r="F211" s="22" t="s">
        <v>283</v>
      </c>
      <c r="G211" s="67">
        <v>1500</v>
      </c>
      <c r="H211" t="str">
        <f t="shared" si="5"/>
        <v>BIOL1500</v>
      </c>
      <c r="I211">
        <f t="shared" si="7"/>
        <v>0</v>
      </c>
      <c r="J211" s="158"/>
      <c r="L211" s="158"/>
    </row>
    <row r="212" spans="2:12" ht="16.5">
      <c r="B212" s="21" t="s">
        <v>881</v>
      </c>
      <c r="C212" s="21" t="s">
        <v>1522</v>
      </c>
      <c r="D212" s="22"/>
      <c r="E212" s="96" t="s">
        <v>1526</v>
      </c>
      <c r="F212" s="22" t="s">
        <v>283</v>
      </c>
      <c r="G212" s="67">
        <v>1500</v>
      </c>
      <c r="H212" t="str">
        <f t="shared" si="5"/>
        <v>BIOL1500</v>
      </c>
      <c r="I212">
        <f t="shared" si="7"/>
        <v>1</v>
      </c>
      <c r="J212" s="158"/>
      <c r="L212" s="158"/>
    </row>
    <row r="213" spans="2:12" ht="16.5">
      <c r="B213" s="21" t="s">
        <v>885</v>
      </c>
      <c r="C213" s="21" t="s">
        <v>1522</v>
      </c>
      <c r="D213" s="24"/>
      <c r="E213" s="22" t="s">
        <v>1195</v>
      </c>
      <c r="F213" s="22" t="s">
        <v>283</v>
      </c>
      <c r="G213" s="67">
        <v>1505</v>
      </c>
      <c r="H213" t="str">
        <f t="shared" si="5"/>
        <v>BIOL1505</v>
      </c>
      <c r="I213">
        <f t="shared" si="7"/>
        <v>1</v>
      </c>
      <c r="J213" s="159" t="s">
        <v>1897</v>
      </c>
      <c r="L213" s="159" t="s">
        <v>1897</v>
      </c>
    </row>
    <row r="214" spans="2:12" ht="16.5">
      <c r="B214" s="21"/>
      <c r="C214" s="21" t="s">
        <v>1521</v>
      </c>
      <c r="D214" s="22" t="s">
        <v>540</v>
      </c>
      <c r="E214" s="22" t="s">
        <v>1195</v>
      </c>
      <c r="F214" s="22" t="s">
        <v>283</v>
      </c>
      <c r="G214" s="67">
        <v>1610</v>
      </c>
      <c r="H214" t="str">
        <f t="shared" si="5"/>
        <v>BIOL1610</v>
      </c>
      <c r="I214">
        <f t="shared" si="7"/>
        <v>0</v>
      </c>
      <c r="J214" s="158"/>
      <c r="L214" s="158"/>
    </row>
    <row r="215" spans="2:12" ht="16.5">
      <c r="B215" s="21"/>
      <c r="C215" s="21" t="s">
        <v>1522</v>
      </c>
      <c r="D215" s="22" t="s">
        <v>540</v>
      </c>
      <c r="E215" s="96" t="s">
        <v>1526</v>
      </c>
      <c r="F215" s="22" t="s">
        <v>283</v>
      </c>
      <c r="G215" s="67">
        <v>1610</v>
      </c>
      <c r="H215" t="str">
        <f t="shared" si="5"/>
        <v>BIOL1610</v>
      </c>
      <c r="I215">
        <f t="shared" si="7"/>
        <v>0</v>
      </c>
      <c r="J215" s="158"/>
      <c r="L215" s="158"/>
    </row>
    <row r="216" spans="2:12" ht="16.5">
      <c r="B216" s="21"/>
      <c r="C216" s="21" t="s">
        <v>1521</v>
      </c>
      <c r="D216" s="22" t="s">
        <v>540</v>
      </c>
      <c r="E216" s="22" t="s">
        <v>463</v>
      </c>
      <c r="F216" s="22" t="s">
        <v>283</v>
      </c>
      <c r="G216" s="68">
        <v>1610</v>
      </c>
      <c r="H216" t="str">
        <f t="shared" si="5"/>
        <v>BIOL1610</v>
      </c>
      <c r="I216">
        <f t="shared" si="7"/>
        <v>0</v>
      </c>
      <c r="J216" s="158"/>
      <c r="L216" s="158"/>
    </row>
    <row r="217" spans="2:12" ht="16.5">
      <c r="B217" s="45"/>
      <c r="C217" s="21" t="s">
        <v>1521</v>
      </c>
      <c r="D217" s="22" t="s">
        <v>540</v>
      </c>
      <c r="E217" s="22" t="s">
        <v>1262</v>
      </c>
      <c r="F217" s="22" t="s">
        <v>283</v>
      </c>
      <c r="G217" s="22" t="s">
        <v>910</v>
      </c>
      <c r="H217" t="str">
        <f t="shared" si="5"/>
        <v>BIOL1610</v>
      </c>
      <c r="I217">
        <f t="shared" si="7"/>
        <v>1</v>
      </c>
      <c r="J217" s="158"/>
      <c r="L217" s="158"/>
    </row>
    <row r="218" spans="2:12" ht="16.5">
      <c r="B218" s="21"/>
      <c r="C218" s="21" t="s">
        <v>1521</v>
      </c>
      <c r="D218" s="22"/>
      <c r="E218" s="22" t="s">
        <v>1195</v>
      </c>
      <c r="F218" s="22" t="s">
        <v>283</v>
      </c>
      <c r="G218" s="67">
        <v>1615</v>
      </c>
      <c r="H218" t="str">
        <f t="shared" si="5"/>
        <v>BIOL1615</v>
      </c>
      <c r="I218">
        <f t="shared" si="7"/>
        <v>0</v>
      </c>
      <c r="J218" s="159"/>
      <c r="L218" s="159"/>
    </row>
    <row r="219" spans="2:12" ht="16.5">
      <c r="B219" s="45"/>
      <c r="C219" s="21" t="s">
        <v>1522</v>
      </c>
      <c r="D219" s="22"/>
      <c r="E219" s="96" t="s">
        <v>1526</v>
      </c>
      <c r="F219" s="22" t="s">
        <v>283</v>
      </c>
      <c r="G219" s="67">
        <v>1615</v>
      </c>
      <c r="H219" t="str">
        <f t="shared" si="5"/>
        <v>BIOL1615</v>
      </c>
      <c r="I219">
        <f t="shared" si="7"/>
        <v>0</v>
      </c>
      <c r="J219" s="158"/>
      <c r="L219" s="158"/>
    </row>
    <row r="220" spans="2:12" ht="16.5">
      <c r="B220" s="21"/>
      <c r="C220" s="21" t="s">
        <v>1521</v>
      </c>
      <c r="D220" s="22"/>
      <c r="E220" s="22" t="s">
        <v>463</v>
      </c>
      <c r="F220" s="22" t="s">
        <v>283</v>
      </c>
      <c r="G220" s="68">
        <v>1615</v>
      </c>
      <c r="H220" t="str">
        <f t="shared" si="5"/>
        <v>BIOL1615</v>
      </c>
      <c r="I220">
        <f t="shared" si="7"/>
        <v>0</v>
      </c>
      <c r="J220" s="158"/>
      <c r="L220" s="158"/>
    </row>
    <row r="221" spans="2:12" ht="16.5">
      <c r="B221" s="45"/>
      <c r="C221" s="21" t="s">
        <v>1521</v>
      </c>
      <c r="D221" s="22"/>
      <c r="E221" s="22" t="s">
        <v>1262</v>
      </c>
      <c r="F221" s="22" t="s">
        <v>283</v>
      </c>
      <c r="G221" s="22" t="s">
        <v>238</v>
      </c>
      <c r="H221" t="str">
        <f t="shared" si="5"/>
        <v>BIOL1615</v>
      </c>
      <c r="I221">
        <f t="shared" si="7"/>
        <v>1</v>
      </c>
      <c r="J221" s="56" t="s">
        <v>1897</v>
      </c>
      <c r="L221" s="56" t="s">
        <v>1897</v>
      </c>
    </row>
    <row r="222" spans="2:12" ht="16.5">
      <c r="B222" s="21"/>
      <c r="C222" s="21" t="s">
        <v>1522</v>
      </c>
      <c r="D222" s="22" t="s">
        <v>540</v>
      </c>
      <c r="E222" s="22" t="s">
        <v>1262</v>
      </c>
      <c r="F222" s="22" t="s">
        <v>283</v>
      </c>
      <c r="G222" s="67">
        <v>1620</v>
      </c>
      <c r="H222" t="str">
        <f t="shared" si="5"/>
        <v>BIOL1620</v>
      </c>
      <c r="I222">
        <f t="shared" si="7"/>
        <v>0</v>
      </c>
      <c r="J222" s="158"/>
      <c r="L222" s="158"/>
    </row>
    <row r="223" spans="2:12" ht="16.5">
      <c r="B223" s="21"/>
      <c r="C223" s="21" t="s">
        <v>1522</v>
      </c>
      <c r="D223" s="22"/>
      <c r="E223" s="96" t="s">
        <v>1526</v>
      </c>
      <c r="F223" s="22" t="s">
        <v>283</v>
      </c>
      <c r="G223" s="67">
        <v>1620</v>
      </c>
      <c r="H223" t="str">
        <f t="shared" si="5"/>
        <v>BIOL1620</v>
      </c>
      <c r="I223">
        <f t="shared" si="7"/>
        <v>0</v>
      </c>
      <c r="J223" s="158"/>
      <c r="L223" s="158"/>
    </row>
    <row r="224" spans="2:12" ht="16.5">
      <c r="B224" s="21"/>
      <c r="C224" s="21" t="s">
        <v>1521</v>
      </c>
      <c r="D224" s="22" t="s">
        <v>540</v>
      </c>
      <c r="E224" s="22" t="s">
        <v>1262</v>
      </c>
      <c r="F224" s="22" t="s">
        <v>283</v>
      </c>
      <c r="G224" s="67">
        <v>1620</v>
      </c>
      <c r="H224" t="str">
        <f t="shared" si="5"/>
        <v>BIOL1620</v>
      </c>
      <c r="I224">
        <f t="shared" si="7"/>
        <v>1</v>
      </c>
      <c r="J224" s="158"/>
      <c r="L224" s="158"/>
    </row>
    <row r="225" spans="2:12" ht="16.5">
      <c r="B225" s="21"/>
      <c r="C225" s="21" t="s">
        <v>1521</v>
      </c>
      <c r="D225" s="22"/>
      <c r="E225" s="22" t="s">
        <v>1262</v>
      </c>
      <c r="F225" s="22" t="s">
        <v>283</v>
      </c>
      <c r="G225" s="67">
        <v>1625</v>
      </c>
      <c r="H225" t="str">
        <f t="shared" si="5"/>
        <v>BIOL1625</v>
      </c>
      <c r="I225">
        <f t="shared" si="7"/>
        <v>0</v>
      </c>
      <c r="J225" s="159"/>
      <c r="L225" s="159"/>
    </row>
    <row r="226" spans="2:12" ht="16.5">
      <c r="B226" s="45"/>
      <c r="C226" s="21" t="s">
        <v>1522</v>
      </c>
      <c r="D226" s="22"/>
      <c r="E226" s="96" t="s">
        <v>1526</v>
      </c>
      <c r="F226" s="22" t="s">
        <v>283</v>
      </c>
      <c r="G226" s="67">
        <v>1625</v>
      </c>
      <c r="H226" t="str">
        <f t="shared" si="5"/>
        <v>BIOL1625</v>
      </c>
      <c r="I226">
        <f t="shared" si="7"/>
        <v>1</v>
      </c>
      <c r="J226" s="159" t="s">
        <v>1897</v>
      </c>
      <c r="L226" s="159" t="s">
        <v>1897</v>
      </c>
    </row>
    <row r="227" spans="2:12" ht="16.5">
      <c r="B227" s="45"/>
      <c r="C227" s="21" t="s">
        <v>1522</v>
      </c>
      <c r="D227" s="22" t="s">
        <v>540</v>
      </c>
      <c r="E227" s="96" t="s">
        <v>1526</v>
      </c>
      <c r="F227" s="22" t="s">
        <v>283</v>
      </c>
      <c r="G227" s="67">
        <v>1800</v>
      </c>
      <c r="H227" t="str">
        <f t="shared" si="5"/>
        <v>BIOL1800</v>
      </c>
      <c r="I227">
        <f t="shared" si="7"/>
        <v>1</v>
      </c>
      <c r="J227" s="158"/>
      <c r="L227" s="158"/>
    </row>
    <row r="228" spans="2:12" ht="16.5">
      <c r="B228" s="45"/>
      <c r="C228" s="21" t="s">
        <v>1522</v>
      </c>
      <c r="D228" s="22" t="s">
        <v>540</v>
      </c>
      <c r="E228" s="22" t="s">
        <v>1262</v>
      </c>
      <c r="F228" s="22" t="s">
        <v>283</v>
      </c>
      <c r="G228" s="23" t="s">
        <v>1107</v>
      </c>
      <c r="H228" t="str">
        <f t="shared" si="5"/>
        <v>BIOL2000</v>
      </c>
      <c r="I228">
        <f t="shared" si="7"/>
        <v>1</v>
      </c>
      <c r="J228" s="158"/>
      <c r="L228" s="158"/>
    </row>
    <row r="229" spans="2:12" ht="16.5">
      <c r="B229" s="21"/>
      <c r="C229" s="21" t="s">
        <v>1522</v>
      </c>
      <c r="D229" s="22"/>
      <c r="E229" s="22" t="s">
        <v>463</v>
      </c>
      <c r="F229" s="22" t="s">
        <v>283</v>
      </c>
      <c r="G229" s="68">
        <v>2020</v>
      </c>
      <c r="H229" t="str">
        <f t="shared" si="5"/>
        <v>BIOL2020</v>
      </c>
      <c r="I229">
        <f t="shared" si="7"/>
        <v>1</v>
      </c>
      <c r="J229" s="158"/>
      <c r="L229" s="158"/>
    </row>
    <row r="230" spans="2:12" ht="16.5">
      <c r="B230" s="21"/>
      <c r="C230" s="21" t="s">
        <v>1522</v>
      </c>
      <c r="D230" s="22"/>
      <c r="E230" s="22" t="s">
        <v>463</v>
      </c>
      <c r="F230" s="22" t="s">
        <v>283</v>
      </c>
      <c r="G230" s="68">
        <v>2025</v>
      </c>
      <c r="H230" t="str">
        <f t="shared" si="5"/>
        <v>BIOL2025</v>
      </c>
      <c r="I230">
        <f t="shared" si="7"/>
        <v>1</v>
      </c>
      <c r="J230" s="159" t="s">
        <v>1897</v>
      </c>
      <c r="L230" s="159" t="s">
        <v>1897</v>
      </c>
    </row>
    <row r="231" spans="2:12" ht="16.5">
      <c r="B231" s="21"/>
      <c r="C231" s="21" t="s">
        <v>1522</v>
      </c>
      <c r="D231" s="22"/>
      <c r="E231" s="96" t="s">
        <v>1526</v>
      </c>
      <c r="F231" s="22" t="s">
        <v>283</v>
      </c>
      <c r="G231" s="68">
        <v>2030</v>
      </c>
      <c r="H231" t="str">
        <f t="shared" si="5"/>
        <v>BIOL2030</v>
      </c>
      <c r="I231">
        <f t="shared" si="7"/>
        <v>0</v>
      </c>
      <c r="J231" s="158"/>
      <c r="L231" s="158"/>
    </row>
    <row r="232" spans="2:12" ht="16.5">
      <c r="B232" s="21"/>
      <c r="C232" s="21" t="s">
        <v>1522</v>
      </c>
      <c r="D232" s="22"/>
      <c r="E232" s="22" t="s">
        <v>463</v>
      </c>
      <c r="F232" s="22" t="s">
        <v>283</v>
      </c>
      <c r="G232" s="68">
        <v>2030</v>
      </c>
      <c r="H232" t="str">
        <f t="shared" si="5"/>
        <v>BIOL2030</v>
      </c>
      <c r="I232">
        <f t="shared" si="7"/>
        <v>1</v>
      </c>
      <c r="J232" s="158"/>
      <c r="L232" s="158"/>
    </row>
    <row r="233" spans="2:12" ht="16.5">
      <c r="B233" s="21"/>
      <c r="C233" s="21" t="s">
        <v>1522</v>
      </c>
      <c r="D233" s="22"/>
      <c r="E233" s="96" t="s">
        <v>1526</v>
      </c>
      <c r="F233" s="22" t="s">
        <v>283</v>
      </c>
      <c r="G233" s="67">
        <v>2035</v>
      </c>
      <c r="H233" t="str">
        <f t="shared" si="5"/>
        <v>BIOL2035</v>
      </c>
      <c r="I233">
        <f t="shared" si="7"/>
        <v>0</v>
      </c>
      <c r="J233" s="158"/>
      <c r="L233" s="158"/>
    </row>
    <row r="234" spans="2:12" ht="16.5">
      <c r="B234" s="21"/>
      <c r="C234" s="21" t="s">
        <v>1522</v>
      </c>
      <c r="D234" s="22"/>
      <c r="E234" s="22" t="s">
        <v>463</v>
      </c>
      <c r="F234" s="22" t="s">
        <v>283</v>
      </c>
      <c r="G234" s="68">
        <v>2035</v>
      </c>
      <c r="H234" t="str">
        <f t="shared" si="5"/>
        <v>BIOL2035</v>
      </c>
      <c r="I234">
        <f t="shared" si="7"/>
        <v>1</v>
      </c>
      <c r="J234" s="159" t="s">
        <v>1897</v>
      </c>
      <c r="L234" s="159" t="s">
        <v>1897</v>
      </c>
    </row>
    <row r="235" spans="2:12" ht="16.5">
      <c r="B235" s="21"/>
      <c r="C235" s="21" t="s">
        <v>1522</v>
      </c>
      <c r="D235" s="22"/>
      <c r="E235" s="22" t="s">
        <v>463</v>
      </c>
      <c r="F235" s="22" t="s">
        <v>283</v>
      </c>
      <c r="G235" s="68">
        <v>2060</v>
      </c>
      <c r="H235" t="str">
        <f t="shared" si="5"/>
        <v>BIOL2060</v>
      </c>
      <c r="I235">
        <f t="shared" si="7"/>
        <v>0</v>
      </c>
      <c r="J235" s="158"/>
      <c r="L235" s="158"/>
    </row>
    <row r="236" spans="2:12" ht="16.5">
      <c r="B236" s="58"/>
      <c r="C236" s="58" t="s">
        <v>1522</v>
      </c>
      <c r="D236" s="61" t="s">
        <v>540</v>
      </c>
      <c r="E236" s="22" t="s">
        <v>1262</v>
      </c>
      <c r="F236" s="22" t="s">
        <v>283</v>
      </c>
      <c r="G236" s="69">
        <v>2060</v>
      </c>
      <c r="H236" t="str">
        <f t="shared" si="5"/>
        <v>BIOL2060</v>
      </c>
      <c r="I236">
        <f t="shared" si="7"/>
        <v>1</v>
      </c>
      <c r="J236" s="158"/>
      <c r="L236" s="158"/>
    </row>
    <row r="237" spans="2:12" ht="16.5">
      <c r="B237" s="21"/>
      <c r="C237" s="21" t="s">
        <v>1522</v>
      </c>
      <c r="D237" s="22"/>
      <c r="E237" s="22" t="s">
        <v>463</v>
      </c>
      <c r="F237" s="22" t="s">
        <v>283</v>
      </c>
      <c r="G237" s="68">
        <v>2065</v>
      </c>
      <c r="H237" t="str">
        <f t="shared" si="5"/>
        <v>BIOL2065</v>
      </c>
      <c r="I237">
        <f t="shared" si="7"/>
        <v>0</v>
      </c>
      <c r="J237" s="158"/>
      <c r="L237" s="158"/>
    </row>
    <row r="238" spans="2:12" ht="16.5">
      <c r="B238" s="58"/>
      <c r="C238" s="58" t="s">
        <v>1522</v>
      </c>
      <c r="D238" s="61"/>
      <c r="E238" s="22" t="s">
        <v>1262</v>
      </c>
      <c r="F238" s="22" t="s">
        <v>283</v>
      </c>
      <c r="G238" s="83">
        <v>2065</v>
      </c>
      <c r="H238" t="str">
        <f t="shared" ref="H238:H301" si="8">CONCATENATE(F238,G238)</f>
        <v>BIOL2065</v>
      </c>
      <c r="I238">
        <f t="shared" si="7"/>
        <v>1</v>
      </c>
      <c r="J238" s="159" t="s">
        <v>1897</v>
      </c>
      <c r="L238" s="159" t="s">
        <v>1897</v>
      </c>
    </row>
    <row r="239" spans="2:12" ht="16.5">
      <c r="B239" s="21"/>
      <c r="C239" s="21" t="s">
        <v>1522</v>
      </c>
      <c r="D239" s="22"/>
      <c r="E239" s="96" t="s">
        <v>1526</v>
      </c>
      <c r="F239" s="22" t="s">
        <v>283</v>
      </c>
      <c r="G239" s="67">
        <v>2320</v>
      </c>
      <c r="H239" t="str">
        <f t="shared" si="8"/>
        <v>BIOL2320</v>
      </c>
      <c r="I239">
        <f t="shared" ref="I239:I248" si="9">IF(H239=H240,0,1)</f>
        <v>0</v>
      </c>
      <c r="J239" s="158"/>
      <c r="L239" s="158"/>
    </row>
    <row r="240" spans="2:12" ht="16.5">
      <c r="B240" s="21" t="s">
        <v>881</v>
      </c>
      <c r="C240" s="21" t="s">
        <v>1522</v>
      </c>
      <c r="D240" s="22"/>
      <c r="E240" s="96" t="s">
        <v>1526</v>
      </c>
      <c r="F240" s="22" t="s">
        <v>283</v>
      </c>
      <c r="G240" s="67">
        <v>2320</v>
      </c>
      <c r="H240" t="str">
        <f t="shared" si="8"/>
        <v>BIOL2320</v>
      </c>
      <c r="I240">
        <f t="shared" si="9"/>
        <v>0</v>
      </c>
      <c r="J240" s="158"/>
      <c r="L240" s="158"/>
    </row>
    <row r="241" spans="2:12" ht="16.5">
      <c r="B241" s="21"/>
      <c r="C241" s="21" t="s">
        <v>1522</v>
      </c>
      <c r="D241" s="22"/>
      <c r="E241" s="22" t="s">
        <v>463</v>
      </c>
      <c r="F241" s="22" t="s">
        <v>283</v>
      </c>
      <c r="G241" s="68">
        <v>2320</v>
      </c>
      <c r="H241" t="str">
        <f t="shared" si="8"/>
        <v>BIOL2320</v>
      </c>
      <c r="I241">
        <f t="shared" si="9"/>
        <v>0</v>
      </c>
      <c r="J241" s="158"/>
      <c r="L241" s="158"/>
    </row>
    <row r="242" spans="2:12" ht="16.5">
      <c r="B242" s="21" t="s">
        <v>881</v>
      </c>
      <c r="C242" s="21" t="s">
        <v>1522</v>
      </c>
      <c r="D242" s="22"/>
      <c r="E242" s="22" t="s">
        <v>463</v>
      </c>
      <c r="F242" s="22" t="s">
        <v>283</v>
      </c>
      <c r="G242" s="68">
        <v>2320</v>
      </c>
      <c r="H242" t="str">
        <f t="shared" si="8"/>
        <v>BIOL2320</v>
      </c>
      <c r="I242">
        <f t="shared" si="9"/>
        <v>1</v>
      </c>
      <c r="J242" s="158"/>
      <c r="L242" s="158"/>
    </row>
    <row r="243" spans="2:12" ht="16.5">
      <c r="B243" s="21"/>
      <c r="C243" s="21" t="s">
        <v>1522</v>
      </c>
      <c r="D243" s="22"/>
      <c r="E243" s="96" t="s">
        <v>1526</v>
      </c>
      <c r="F243" s="22" t="s">
        <v>283</v>
      </c>
      <c r="G243" s="67">
        <v>2325</v>
      </c>
      <c r="H243" t="str">
        <f t="shared" si="8"/>
        <v>BIOL2325</v>
      </c>
      <c r="I243">
        <f t="shared" si="9"/>
        <v>0</v>
      </c>
      <c r="J243" s="158"/>
      <c r="L243" s="158"/>
    </row>
    <row r="244" spans="2:12" ht="16.5">
      <c r="B244" s="21"/>
      <c r="C244" s="21" t="s">
        <v>1522</v>
      </c>
      <c r="D244" s="22"/>
      <c r="E244" s="22" t="s">
        <v>463</v>
      </c>
      <c r="F244" s="22" t="s">
        <v>283</v>
      </c>
      <c r="G244" s="68">
        <v>2325</v>
      </c>
      <c r="H244" t="str">
        <f t="shared" si="8"/>
        <v>BIOL2325</v>
      </c>
      <c r="I244">
        <f t="shared" si="9"/>
        <v>1</v>
      </c>
      <c r="J244" s="159" t="s">
        <v>1897</v>
      </c>
      <c r="L244" s="159" t="s">
        <v>1897</v>
      </c>
    </row>
    <row r="245" spans="2:12" ht="16.5">
      <c r="B245" s="21"/>
      <c r="C245" s="21" t="s">
        <v>1521</v>
      </c>
      <c r="D245" s="22"/>
      <c r="E245" s="96" t="s">
        <v>1526</v>
      </c>
      <c r="F245" s="22" t="s">
        <v>283</v>
      </c>
      <c r="G245" s="67">
        <v>2420</v>
      </c>
      <c r="H245" t="str">
        <f t="shared" si="8"/>
        <v>BIOL2420</v>
      </c>
      <c r="I245">
        <f t="shared" si="9"/>
        <v>0</v>
      </c>
      <c r="J245" s="158"/>
      <c r="L245" s="158"/>
    </row>
    <row r="246" spans="2:12" ht="16.5">
      <c r="B246" s="45"/>
      <c r="C246" s="21" t="s">
        <v>1522</v>
      </c>
      <c r="D246" s="22" t="s">
        <v>540</v>
      </c>
      <c r="E246" s="22" t="s">
        <v>1262</v>
      </c>
      <c r="F246" s="22" t="s">
        <v>283</v>
      </c>
      <c r="G246" s="22" t="s">
        <v>239</v>
      </c>
      <c r="H246" t="str">
        <f t="shared" si="8"/>
        <v>BIOL2420</v>
      </c>
      <c r="I246">
        <f t="shared" si="9"/>
        <v>1</v>
      </c>
      <c r="J246" s="158"/>
      <c r="L246" s="158"/>
    </row>
    <row r="247" spans="2:12" ht="16.5">
      <c r="B247" s="45"/>
      <c r="C247" s="21" t="s">
        <v>1521</v>
      </c>
      <c r="D247" s="22"/>
      <c r="E247" s="96" t="s">
        <v>1526</v>
      </c>
      <c r="F247" s="22" t="s">
        <v>283</v>
      </c>
      <c r="G247" s="67">
        <v>2425</v>
      </c>
      <c r="H247" t="str">
        <f t="shared" si="8"/>
        <v>BIOL2425</v>
      </c>
      <c r="I247">
        <f t="shared" si="9"/>
        <v>0</v>
      </c>
      <c r="J247" s="158"/>
      <c r="L247" s="158"/>
    </row>
    <row r="248" spans="2:12" ht="16.5">
      <c r="B248" s="45"/>
      <c r="C248" s="21" t="s">
        <v>1522</v>
      </c>
      <c r="D248" s="22"/>
      <c r="E248" s="22" t="s">
        <v>1262</v>
      </c>
      <c r="F248" s="22" t="s">
        <v>283</v>
      </c>
      <c r="G248" s="22" t="s">
        <v>240</v>
      </c>
      <c r="H248" t="str">
        <f t="shared" si="8"/>
        <v>BIOL2425</v>
      </c>
      <c r="I248">
        <f t="shared" si="9"/>
        <v>1</v>
      </c>
      <c r="J248" s="56" t="s">
        <v>1897</v>
      </c>
      <c r="L248" s="56" t="s">
        <v>1897</v>
      </c>
    </row>
    <row r="249" spans="2:12" ht="16.5">
      <c r="B249" s="125" t="s">
        <v>1869</v>
      </c>
      <c r="C249" s="125" t="s">
        <v>1522</v>
      </c>
      <c r="D249" s="131"/>
      <c r="E249" s="132" t="s">
        <v>463</v>
      </c>
      <c r="F249" s="131" t="s">
        <v>1866</v>
      </c>
      <c r="G249" s="133">
        <v>1110</v>
      </c>
      <c r="H249" t="str">
        <f t="shared" si="8"/>
        <v>BMAN1110</v>
      </c>
      <c r="I249">
        <f t="shared" ref="I249:I302" si="10">IF(H249=H250,0,1)</f>
        <v>1</v>
      </c>
      <c r="J249" s="158"/>
      <c r="L249" s="158"/>
    </row>
    <row r="250" spans="2:12" ht="16.5">
      <c r="B250" s="125" t="s">
        <v>1869</v>
      </c>
      <c r="C250" s="125" t="s">
        <v>1522</v>
      </c>
      <c r="D250" s="131"/>
      <c r="E250" s="132" t="s">
        <v>463</v>
      </c>
      <c r="F250" s="131" t="s">
        <v>1866</v>
      </c>
      <c r="G250" s="133">
        <v>1120</v>
      </c>
      <c r="H250" t="str">
        <f t="shared" si="8"/>
        <v>BMAN1120</v>
      </c>
      <c r="I250">
        <f t="shared" si="10"/>
        <v>1</v>
      </c>
      <c r="J250" s="158"/>
      <c r="L250" s="158"/>
    </row>
    <row r="251" spans="2:12" ht="16.5">
      <c r="B251" s="21" t="s">
        <v>88</v>
      </c>
      <c r="C251" s="21" t="s">
        <v>1522</v>
      </c>
      <c r="D251" s="22"/>
      <c r="E251" s="22" t="s">
        <v>1261</v>
      </c>
      <c r="F251" s="22" t="s">
        <v>945</v>
      </c>
      <c r="G251" s="67">
        <v>1060</v>
      </c>
      <c r="H251" t="str">
        <f t="shared" si="8"/>
        <v>BMGT1060</v>
      </c>
      <c r="I251">
        <f t="shared" si="10"/>
        <v>1</v>
      </c>
      <c r="J251" s="158"/>
      <c r="L251" s="158"/>
    </row>
    <row r="252" spans="2:12" ht="16.5">
      <c r="B252" s="21" t="s">
        <v>101</v>
      </c>
      <c r="C252" s="21" t="s">
        <v>1521</v>
      </c>
      <c r="D252" s="22"/>
      <c r="E252" s="22" t="s">
        <v>1261</v>
      </c>
      <c r="F252" s="22" t="s">
        <v>1378</v>
      </c>
      <c r="G252" s="68">
        <v>1010</v>
      </c>
      <c r="H252" t="str">
        <f t="shared" si="8"/>
        <v>BT1010</v>
      </c>
      <c r="I252">
        <f t="shared" si="10"/>
        <v>1</v>
      </c>
      <c r="J252" s="158"/>
      <c r="L252" s="158"/>
    </row>
    <row r="253" spans="2:12" ht="16.5">
      <c r="B253" s="21" t="s">
        <v>95</v>
      </c>
      <c r="C253" s="21" t="s">
        <v>1522</v>
      </c>
      <c r="D253" s="22"/>
      <c r="E253" s="22" t="s">
        <v>1261</v>
      </c>
      <c r="F253" s="22" t="s">
        <v>1378</v>
      </c>
      <c r="G253" s="67">
        <v>1080</v>
      </c>
      <c r="H253" t="str">
        <f t="shared" si="8"/>
        <v>BT1080</v>
      </c>
      <c r="I253">
        <f t="shared" si="10"/>
        <v>1</v>
      </c>
      <c r="J253" s="158"/>
      <c r="L253" s="158"/>
    </row>
    <row r="254" spans="2:12" ht="16.5">
      <c r="B254" s="21" t="s">
        <v>103</v>
      </c>
      <c r="C254" s="21" t="s">
        <v>1522</v>
      </c>
      <c r="D254" s="22"/>
      <c r="E254" s="22" t="s">
        <v>1261</v>
      </c>
      <c r="F254" s="22" t="s">
        <v>1378</v>
      </c>
      <c r="G254" s="67">
        <v>1100</v>
      </c>
      <c r="H254" t="str">
        <f t="shared" si="8"/>
        <v>BT1100</v>
      </c>
      <c r="I254">
        <f t="shared" si="10"/>
        <v>1</v>
      </c>
      <c r="J254" s="158"/>
      <c r="L254" s="158"/>
    </row>
    <row r="255" spans="2:12" ht="16.5">
      <c r="B255" s="21" t="s">
        <v>104</v>
      </c>
      <c r="C255" s="21" t="s">
        <v>1522</v>
      </c>
      <c r="D255" s="22"/>
      <c r="E255" s="22" t="s">
        <v>1261</v>
      </c>
      <c r="F255" s="22" t="s">
        <v>1378</v>
      </c>
      <c r="G255" s="68">
        <v>1120</v>
      </c>
      <c r="H255" t="str">
        <f t="shared" si="8"/>
        <v>BT1120</v>
      </c>
      <c r="I255">
        <f t="shared" si="10"/>
        <v>1</v>
      </c>
      <c r="J255" s="158"/>
      <c r="L255" s="158"/>
    </row>
    <row r="256" spans="2:12" ht="16.5">
      <c r="B256" s="21" t="s">
        <v>105</v>
      </c>
      <c r="C256" s="21" t="s">
        <v>1522</v>
      </c>
      <c r="D256" s="22"/>
      <c r="E256" s="22" t="s">
        <v>1261</v>
      </c>
      <c r="F256" s="22" t="s">
        <v>1378</v>
      </c>
      <c r="G256" s="67">
        <v>1420</v>
      </c>
      <c r="H256" t="str">
        <f t="shared" si="8"/>
        <v>BT1420</v>
      </c>
      <c r="I256">
        <f t="shared" si="10"/>
        <v>1</v>
      </c>
      <c r="J256" s="158"/>
      <c r="L256" s="158"/>
    </row>
    <row r="257" spans="2:12" ht="16.5">
      <c r="B257" s="21" t="s">
        <v>106</v>
      </c>
      <c r="C257" s="21" t="s">
        <v>1522</v>
      </c>
      <c r="D257" s="22"/>
      <c r="E257" s="22" t="s">
        <v>1261</v>
      </c>
      <c r="F257" s="22" t="s">
        <v>1378</v>
      </c>
      <c r="G257" s="67">
        <v>1430</v>
      </c>
      <c r="H257" t="str">
        <f t="shared" si="8"/>
        <v>BT1430</v>
      </c>
      <c r="I257">
        <f t="shared" si="10"/>
        <v>1</v>
      </c>
      <c r="J257" s="158"/>
      <c r="L257" s="158"/>
    </row>
    <row r="258" spans="2:12" ht="16.5">
      <c r="B258" s="21" t="s">
        <v>114</v>
      </c>
      <c r="C258" s="21" t="s">
        <v>1522</v>
      </c>
      <c r="D258" s="22"/>
      <c r="E258" s="22" t="s">
        <v>1261</v>
      </c>
      <c r="F258" s="22" t="s">
        <v>1378</v>
      </c>
      <c r="G258" s="67">
        <v>1801</v>
      </c>
      <c r="H258" t="str">
        <f t="shared" si="8"/>
        <v>BT1801</v>
      </c>
      <c r="I258">
        <f t="shared" si="10"/>
        <v>1</v>
      </c>
      <c r="J258" s="158"/>
      <c r="L258" s="158"/>
    </row>
    <row r="259" spans="2:12" ht="16.5">
      <c r="B259" s="45" t="s">
        <v>92</v>
      </c>
      <c r="C259" s="21" t="s">
        <v>1522</v>
      </c>
      <c r="D259" s="22"/>
      <c r="E259" s="22" t="s">
        <v>1261</v>
      </c>
      <c r="F259" s="22" t="s">
        <v>1378</v>
      </c>
      <c r="G259" s="67">
        <v>2200</v>
      </c>
      <c r="H259" t="str">
        <f t="shared" si="8"/>
        <v>BT2200</v>
      </c>
      <c r="I259">
        <f t="shared" si="10"/>
        <v>1</v>
      </c>
      <c r="J259" s="158"/>
      <c r="L259" s="158"/>
    </row>
    <row r="260" spans="2:12" ht="16.5">
      <c r="B260" s="21" t="s">
        <v>95</v>
      </c>
      <c r="C260" s="21" t="s">
        <v>1522</v>
      </c>
      <c r="D260" s="22"/>
      <c r="E260" s="22" t="s">
        <v>1261</v>
      </c>
      <c r="F260" s="22" t="s">
        <v>1378</v>
      </c>
      <c r="G260" s="67">
        <v>2350</v>
      </c>
      <c r="H260" t="str">
        <f t="shared" si="8"/>
        <v>BT2350</v>
      </c>
      <c r="I260">
        <f t="shared" si="10"/>
        <v>1</v>
      </c>
      <c r="J260" s="158"/>
      <c r="L260" s="158"/>
    </row>
    <row r="261" spans="2:12" ht="16.5">
      <c r="B261" s="21" t="s">
        <v>96</v>
      </c>
      <c r="C261" s="21" t="s">
        <v>1522</v>
      </c>
      <c r="D261" s="22"/>
      <c r="E261" s="22" t="s">
        <v>1261</v>
      </c>
      <c r="F261" s="22" t="s">
        <v>1378</v>
      </c>
      <c r="G261" s="67">
        <v>2420</v>
      </c>
      <c r="H261" t="str">
        <f t="shared" si="8"/>
        <v>BT2420</v>
      </c>
      <c r="I261">
        <f t="shared" si="10"/>
        <v>1</v>
      </c>
      <c r="J261" s="158"/>
      <c r="L261" s="158"/>
    </row>
    <row r="262" spans="2:12" ht="16.5">
      <c r="B262" s="45" t="s">
        <v>97</v>
      </c>
      <c r="C262" s="21" t="s">
        <v>1522</v>
      </c>
      <c r="D262" s="22"/>
      <c r="E262" s="22" t="s">
        <v>1261</v>
      </c>
      <c r="F262" s="22" t="s">
        <v>1378</v>
      </c>
      <c r="G262" s="67">
        <v>2450</v>
      </c>
      <c r="H262" t="str">
        <f t="shared" si="8"/>
        <v>BT2450</v>
      </c>
      <c r="I262">
        <f t="shared" si="10"/>
        <v>1</v>
      </c>
      <c r="J262" s="158"/>
      <c r="L262" s="158"/>
    </row>
    <row r="263" spans="2:12" ht="16.5">
      <c r="B263" s="21" t="s">
        <v>885</v>
      </c>
      <c r="C263" s="21" t="s">
        <v>1522</v>
      </c>
      <c r="D263" s="22"/>
      <c r="E263" s="22" t="s">
        <v>463</v>
      </c>
      <c r="F263" s="22" t="s">
        <v>915</v>
      </c>
      <c r="G263" s="67">
        <v>1010</v>
      </c>
      <c r="H263" t="str">
        <f t="shared" si="8"/>
        <v>BTEC1010</v>
      </c>
      <c r="I263">
        <f t="shared" si="10"/>
        <v>0</v>
      </c>
      <c r="J263" s="158"/>
      <c r="L263" s="158"/>
    </row>
    <row r="264" spans="2:12" ht="16.5">
      <c r="B264" s="21" t="s">
        <v>885</v>
      </c>
      <c r="C264" s="21" t="s">
        <v>1522</v>
      </c>
      <c r="D264" s="22"/>
      <c r="E264" s="22" t="s">
        <v>1586</v>
      </c>
      <c r="F264" s="22" t="s">
        <v>915</v>
      </c>
      <c r="G264" s="67">
        <v>1010</v>
      </c>
      <c r="H264" t="str">
        <f t="shared" si="8"/>
        <v>BTEC1010</v>
      </c>
      <c r="I264">
        <f t="shared" si="10"/>
        <v>1</v>
      </c>
      <c r="J264" s="158"/>
      <c r="L264" s="158"/>
    </row>
    <row r="265" spans="2:12" ht="16.5">
      <c r="B265" s="21"/>
      <c r="C265" s="21" t="s">
        <v>1522</v>
      </c>
      <c r="D265" s="22"/>
      <c r="E265" s="22" t="s">
        <v>463</v>
      </c>
      <c r="F265" s="22" t="s">
        <v>915</v>
      </c>
      <c r="G265" s="67">
        <v>1020</v>
      </c>
      <c r="H265" t="str">
        <f t="shared" si="8"/>
        <v>BTEC1020</v>
      </c>
      <c r="I265">
        <f t="shared" si="10"/>
        <v>0</v>
      </c>
      <c r="J265" s="158"/>
      <c r="L265" s="158"/>
    </row>
    <row r="266" spans="2:12" ht="16.5">
      <c r="B266" s="21" t="s">
        <v>885</v>
      </c>
      <c r="C266" s="21" t="s">
        <v>1522</v>
      </c>
      <c r="D266" s="22"/>
      <c r="E266" s="22" t="s">
        <v>463</v>
      </c>
      <c r="F266" s="22" t="s">
        <v>915</v>
      </c>
      <c r="G266" s="67">
        <v>1020</v>
      </c>
      <c r="H266" t="str">
        <f t="shared" si="8"/>
        <v>BTEC1020</v>
      </c>
      <c r="I266">
        <f t="shared" si="10"/>
        <v>1</v>
      </c>
      <c r="J266" s="158"/>
      <c r="L266" s="158"/>
    </row>
    <row r="267" spans="2:12" ht="16.5">
      <c r="B267" s="21" t="s">
        <v>885</v>
      </c>
      <c r="C267" s="21" t="s">
        <v>1522</v>
      </c>
      <c r="D267" s="22"/>
      <c r="E267" s="22" t="s">
        <v>463</v>
      </c>
      <c r="F267" s="22" t="s">
        <v>915</v>
      </c>
      <c r="G267" s="67">
        <v>1030</v>
      </c>
      <c r="H267" t="str">
        <f t="shared" si="8"/>
        <v>BTEC1030</v>
      </c>
      <c r="I267">
        <f t="shared" si="10"/>
        <v>1</v>
      </c>
      <c r="J267" s="158"/>
      <c r="L267" s="158"/>
    </row>
    <row r="268" spans="2:12" ht="16.5">
      <c r="B268" s="21" t="s">
        <v>885</v>
      </c>
      <c r="C268" s="21" t="s">
        <v>1522</v>
      </c>
      <c r="D268" s="22"/>
      <c r="E268" s="22" t="s">
        <v>463</v>
      </c>
      <c r="F268" s="22" t="s">
        <v>915</v>
      </c>
      <c r="G268" s="67">
        <v>1060</v>
      </c>
      <c r="H268" t="str">
        <f t="shared" si="8"/>
        <v>BTEC1060</v>
      </c>
      <c r="I268">
        <f t="shared" si="10"/>
        <v>1</v>
      </c>
      <c r="J268" s="158"/>
      <c r="L268" s="158"/>
    </row>
    <row r="269" spans="2:12" ht="16.5">
      <c r="B269" s="21" t="s">
        <v>885</v>
      </c>
      <c r="C269" s="21" t="s">
        <v>1522</v>
      </c>
      <c r="D269" s="22"/>
      <c r="E269" s="22" t="s">
        <v>463</v>
      </c>
      <c r="F269" s="22" t="s">
        <v>915</v>
      </c>
      <c r="G269" s="67">
        <v>2010</v>
      </c>
      <c r="H269" t="str">
        <f t="shared" si="8"/>
        <v>BTEC2010</v>
      </c>
      <c r="I269">
        <f t="shared" si="10"/>
        <v>1</v>
      </c>
      <c r="J269" s="158"/>
      <c r="L269" s="158"/>
    </row>
    <row r="270" spans="2:12" ht="16.5">
      <c r="B270" s="21" t="s">
        <v>885</v>
      </c>
      <c r="C270" s="21" t="s">
        <v>1522</v>
      </c>
      <c r="D270" s="22"/>
      <c r="E270" s="22" t="s">
        <v>463</v>
      </c>
      <c r="F270" s="22" t="s">
        <v>915</v>
      </c>
      <c r="G270" s="67">
        <v>2020</v>
      </c>
      <c r="H270" t="str">
        <f t="shared" si="8"/>
        <v>BTEC2020</v>
      </c>
      <c r="I270">
        <f t="shared" si="10"/>
        <v>1</v>
      </c>
      <c r="J270" s="158"/>
      <c r="L270" s="158"/>
    </row>
    <row r="271" spans="2:12" ht="16.5">
      <c r="B271" s="21" t="s">
        <v>885</v>
      </c>
      <c r="C271" s="21" t="s">
        <v>1522</v>
      </c>
      <c r="D271" s="22"/>
      <c r="E271" s="22" t="s">
        <v>463</v>
      </c>
      <c r="F271" s="22" t="s">
        <v>915</v>
      </c>
      <c r="G271" s="67">
        <v>2030</v>
      </c>
      <c r="H271" t="str">
        <f t="shared" si="8"/>
        <v>BTEC2030</v>
      </c>
      <c r="I271">
        <f t="shared" si="10"/>
        <v>1</v>
      </c>
      <c r="J271" s="158"/>
      <c r="L271" s="158"/>
    </row>
    <row r="272" spans="2:12" ht="16.5">
      <c r="B272" s="21" t="s">
        <v>885</v>
      </c>
      <c r="C272" s="21" t="s">
        <v>1522</v>
      </c>
      <c r="D272" s="22"/>
      <c r="E272" s="22" t="s">
        <v>463</v>
      </c>
      <c r="F272" s="22" t="s">
        <v>915</v>
      </c>
      <c r="G272" s="67">
        <v>2040</v>
      </c>
      <c r="H272" t="str">
        <f t="shared" si="8"/>
        <v>BTEC2040</v>
      </c>
      <c r="I272">
        <f t="shared" si="10"/>
        <v>1</v>
      </c>
      <c r="J272" s="158"/>
      <c r="L272" s="158"/>
    </row>
    <row r="273" spans="2:12" ht="16.5">
      <c r="B273" s="21"/>
      <c r="C273" s="21" t="s">
        <v>1522</v>
      </c>
      <c r="D273" s="22" t="s">
        <v>540</v>
      </c>
      <c r="E273" s="22" t="s">
        <v>739</v>
      </c>
      <c r="F273" s="22" t="s">
        <v>496</v>
      </c>
      <c r="G273" s="68" t="s">
        <v>740</v>
      </c>
      <c r="H273" t="str">
        <f t="shared" si="8"/>
        <v>BTNY1403</v>
      </c>
      <c r="I273">
        <f t="shared" si="10"/>
        <v>1</v>
      </c>
      <c r="J273" s="158"/>
      <c r="L273" s="158"/>
    </row>
    <row r="274" spans="2:12" ht="16.5">
      <c r="B274" s="45" t="s">
        <v>92</v>
      </c>
      <c r="C274" s="21" t="s">
        <v>1522</v>
      </c>
      <c r="D274" s="22"/>
      <c r="E274" s="22" t="s">
        <v>1195</v>
      </c>
      <c r="F274" s="22" t="s">
        <v>441</v>
      </c>
      <c r="G274" s="67" t="s">
        <v>442</v>
      </c>
      <c r="H274" t="str">
        <f t="shared" si="8"/>
        <v>BUS1370</v>
      </c>
      <c r="I274">
        <f t="shared" si="10"/>
        <v>1</v>
      </c>
      <c r="J274" s="158"/>
      <c r="L274" s="158"/>
    </row>
    <row r="275" spans="2:12" ht="16.5">
      <c r="B275" s="21"/>
      <c r="C275" s="21" t="s">
        <v>1522</v>
      </c>
      <c r="D275" s="22"/>
      <c r="E275" s="96" t="s">
        <v>1526</v>
      </c>
      <c r="F275" s="22" t="s">
        <v>1535</v>
      </c>
      <c r="G275" s="67">
        <v>2200</v>
      </c>
      <c r="H275" t="str">
        <f t="shared" si="8"/>
        <v>BUSN2200</v>
      </c>
      <c r="I275">
        <f t="shared" si="10"/>
        <v>1</v>
      </c>
      <c r="J275" s="158"/>
      <c r="L275" s="158"/>
    </row>
    <row r="276" spans="2:12" ht="16.5">
      <c r="B276" s="21" t="s">
        <v>573</v>
      </c>
      <c r="C276" s="21" t="s">
        <v>1522</v>
      </c>
      <c r="D276" s="24"/>
      <c r="E276" s="22" t="s">
        <v>1586</v>
      </c>
      <c r="F276" s="22" t="s">
        <v>1179</v>
      </c>
      <c r="G276" s="68">
        <v>1130</v>
      </c>
      <c r="H276" t="str">
        <f t="shared" si="8"/>
        <v>CAW1130</v>
      </c>
      <c r="I276">
        <f t="shared" si="10"/>
        <v>1</v>
      </c>
      <c r="J276" s="158"/>
      <c r="L276" s="158"/>
    </row>
    <row r="277" spans="2:12" ht="16.5">
      <c r="B277" s="21" t="s">
        <v>19</v>
      </c>
      <c r="C277" s="21" t="s">
        <v>1522</v>
      </c>
      <c r="D277" s="24"/>
      <c r="E277" s="22" t="s">
        <v>1586</v>
      </c>
      <c r="F277" s="22" t="s">
        <v>1179</v>
      </c>
      <c r="G277" s="68">
        <v>1140</v>
      </c>
      <c r="H277" t="str">
        <f t="shared" si="8"/>
        <v>CAW1140</v>
      </c>
      <c r="I277">
        <f t="shared" si="10"/>
        <v>1</v>
      </c>
      <c r="J277" s="158"/>
      <c r="L277" s="158"/>
    </row>
    <row r="278" spans="2:12" ht="16.5">
      <c r="B278" s="21" t="s">
        <v>19</v>
      </c>
      <c r="C278" s="21" t="s">
        <v>1522</v>
      </c>
      <c r="D278" s="24"/>
      <c r="E278" s="22" t="s">
        <v>1586</v>
      </c>
      <c r="F278" s="22" t="s">
        <v>1179</v>
      </c>
      <c r="G278" s="68">
        <v>1240</v>
      </c>
      <c r="H278" t="str">
        <f t="shared" si="8"/>
        <v>CAW1240</v>
      </c>
      <c r="I278">
        <f t="shared" si="10"/>
        <v>1</v>
      </c>
      <c r="J278" s="158"/>
      <c r="L278" s="158"/>
    </row>
    <row r="279" spans="2:12" ht="16.5">
      <c r="B279" s="21" t="s">
        <v>575</v>
      </c>
      <c r="C279" s="21" t="s">
        <v>1522</v>
      </c>
      <c r="D279" s="22"/>
      <c r="E279" s="22" t="s">
        <v>1262</v>
      </c>
      <c r="F279" s="22" t="s">
        <v>401</v>
      </c>
      <c r="G279" s="22" t="s">
        <v>1528</v>
      </c>
      <c r="H279" t="str">
        <f t="shared" si="8"/>
        <v>CCET1010</v>
      </c>
      <c r="I279">
        <f t="shared" si="10"/>
        <v>1</v>
      </c>
      <c r="J279" s="158"/>
      <c r="L279" s="158"/>
    </row>
    <row r="280" spans="2:12" ht="16.5">
      <c r="B280" s="21" t="s">
        <v>571</v>
      </c>
      <c r="C280" s="21" t="s">
        <v>1522</v>
      </c>
      <c r="D280" s="22"/>
      <c r="E280" s="22" t="s">
        <v>1262</v>
      </c>
      <c r="F280" s="22" t="s">
        <v>401</v>
      </c>
      <c r="G280" s="22" t="s">
        <v>440</v>
      </c>
      <c r="H280" t="str">
        <f t="shared" si="8"/>
        <v>CCET1040</v>
      </c>
      <c r="I280">
        <f t="shared" si="10"/>
        <v>1</v>
      </c>
      <c r="J280" s="158"/>
      <c r="L280" s="158"/>
    </row>
    <row r="281" spans="2:12" ht="16.5">
      <c r="B281" s="21" t="s">
        <v>574</v>
      </c>
      <c r="C281" s="21" t="s">
        <v>1522</v>
      </c>
      <c r="D281" s="22"/>
      <c r="E281" s="22" t="s">
        <v>1262</v>
      </c>
      <c r="F281" s="96" t="s">
        <v>401</v>
      </c>
      <c r="G281" s="67">
        <v>1630</v>
      </c>
      <c r="H281" t="str">
        <f t="shared" si="8"/>
        <v>CCET1630</v>
      </c>
      <c r="I281">
        <f t="shared" si="10"/>
        <v>1</v>
      </c>
      <c r="J281" s="158"/>
      <c r="L281" s="158"/>
    </row>
    <row r="282" spans="2:12" ht="16.5">
      <c r="B282" s="21" t="s">
        <v>572</v>
      </c>
      <c r="C282" s="21" t="s">
        <v>1522</v>
      </c>
      <c r="D282" s="22"/>
      <c r="E282" s="22" t="s">
        <v>1262</v>
      </c>
      <c r="F282" s="22" t="s">
        <v>401</v>
      </c>
      <c r="G282" s="22" t="s">
        <v>908</v>
      </c>
      <c r="H282" t="str">
        <f t="shared" si="8"/>
        <v>CCET2620</v>
      </c>
      <c r="I282">
        <f t="shared" si="10"/>
        <v>1</v>
      </c>
      <c r="J282" s="158"/>
      <c r="L282" s="158"/>
    </row>
    <row r="283" spans="2:12" ht="16.5">
      <c r="B283" s="21" t="s">
        <v>116</v>
      </c>
      <c r="C283" s="21" t="s">
        <v>1522</v>
      </c>
      <c r="D283" s="22"/>
      <c r="E283" s="22" t="s">
        <v>739</v>
      </c>
      <c r="F283" s="22" t="s">
        <v>735</v>
      </c>
      <c r="G283" s="68">
        <v>1105</v>
      </c>
      <c r="H283" t="str">
        <f t="shared" si="8"/>
        <v>CEET1105</v>
      </c>
      <c r="I283">
        <f t="shared" si="10"/>
        <v>1</v>
      </c>
      <c r="J283" s="158"/>
      <c r="L283" s="158"/>
    </row>
    <row r="284" spans="2:12" ht="16.5">
      <c r="B284" s="21" t="s">
        <v>569</v>
      </c>
      <c r="C284" s="21" t="s">
        <v>1522</v>
      </c>
      <c r="D284" s="24"/>
      <c r="E284" s="22" t="s">
        <v>739</v>
      </c>
      <c r="F284" s="22" t="s">
        <v>735</v>
      </c>
      <c r="G284" s="68">
        <v>1110</v>
      </c>
      <c r="H284" t="str">
        <f t="shared" si="8"/>
        <v>CEET1110</v>
      </c>
      <c r="I284">
        <f t="shared" si="10"/>
        <v>1</v>
      </c>
      <c r="J284" s="158"/>
      <c r="L284" s="158"/>
    </row>
    <row r="285" spans="2:12" ht="16.5">
      <c r="B285" s="21" t="s">
        <v>1247</v>
      </c>
      <c r="C285" s="21" t="s">
        <v>1522</v>
      </c>
      <c r="D285" s="22"/>
      <c r="E285" s="22" t="s">
        <v>739</v>
      </c>
      <c r="F285" s="22" t="s">
        <v>735</v>
      </c>
      <c r="G285" s="68">
        <v>1130</v>
      </c>
      <c r="H285" t="str">
        <f t="shared" si="8"/>
        <v>CEET1130</v>
      </c>
      <c r="I285">
        <f t="shared" si="10"/>
        <v>0</v>
      </c>
      <c r="J285" s="158"/>
      <c r="L285" s="158"/>
    </row>
    <row r="286" spans="2:12" ht="16.5">
      <c r="B286" s="21" t="s">
        <v>569</v>
      </c>
      <c r="C286" s="21" t="s">
        <v>1522</v>
      </c>
      <c r="D286" s="22"/>
      <c r="E286" s="22" t="s">
        <v>739</v>
      </c>
      <c r="F286" s="22" t="s">
        <v>735</v>
      </c>
      <c r="G286" s="68">
        <v>1130</v>
      </c>
      <c r="H286" t="str">
        <f t="shared" si="8"/>
        <v>CEET1130</v>
      </c>
      <c r="I286">
        <f t="shared" si="10"/>
        <v>1</v>
      </c>
      <c r="J286" s="158"/>
      <c r="L286" s="158"/>
    </row>
    <row r="287" spans="2:12" ht="16.5">
      <c r="B287" s="21" t="s">
        <v>109</v>
      </c>
      <c r="C287" s="21" t="s">
        <v>1522</v>
      </c>
      <c r="D287" s="22"/>
      <c r="E287" s="22" t="s">
        <v>463</v>
      </c>
      <c r="F287" s="22" t="s">
        <v>475</v>
      </c>
      <c r="G287" s="68">
        <v>1110</v>
      </c>
      <c r="H287" t="str">
        <f t="shared" si="8"/>
        <v>CHEF1110</v>
      </c>
      <c r="I287">
        <f t="shared" si="10"/>
        <v>1</v>
      </c>
      <c r="J287" s="158"/>
      <c r="L287" s="158"/>
    </row>
    <row r="288" spans="2:12" ht="16.5">
      <c r="B288" s="21" t="s">
        <v>110</v>
      </c>
      <c r="C288" s="21" t="s">
        <v>1522</v>
      </c>
      <c r="D288" s="22" t="s">
        <v>540</v>
      </c>
      <c r="E288" s="22" t="s">
        <v>463</v>
      </c>
      <c r="F288" s="22" t="s">
        <v>475</v>
      </c>
      <c r="G288" s="68">
        <v>2520</v>
      </c>
      <c r="H288" t="str">
        <f t="shared" si="8"/>
        <v>CHEF2520</v>
      </c>
      <c r="I288">
        <f t="shared" si="10"/>
        <v>1</v>
      </c>
      <c r="J288" s="158"/>
      <c r="L288" s="158"/>
    </row>
    <row r="289" spans="2:12" ht="16.5">
      <c r="B289" s="21"/>
      <c r="C289" s="21" t="s">
        <v>1521</v>
      </c>
      <c r="D289" s="22" t="s">
        <v>1332</v>
      </c>
      <c r="E289" s="22" t="s">
        <v>739</v>
      </c>
      <c r="F289" s="22" t="s">
        <v>741</v>
      </c>
      <c r="G289" s="145">
        <v>1110</v>
      </c>
      <c r="H289" t="str">
        <f t="shared" si="8"/>
        <v>CHEM 1110</v>
      </c>
      <c r="I289">
        <f t="shared" si="10"/>
        <v>1</v>
      </c>
      <c r="J289" s="158"/>
      <c r="L289" s="158"/>
    </row>
    <row r="290" spans="2:12" ht="16.5">
      <c r="B290" s="21"/>
      <c r="C290" s="21" t="s">
        <v>1521</v>
      </c>
      <c r="D290" s="22" t="s">
        <v>1332</v>
      </c>
      <c r="E290" s="22" t="s">
        <v>739</v>
      </c>
      <c r="F290" s="22" t="s">
        <v>741</v>
      </c>
      <c r="G290" s="145">
        <v>1120</v>
      </c>
      <c r="H290" t="str">
        <f t="shared" si="8"/>
        <v>CHEM 1120</v>
      </c>
      <c r="I290">
        <f t="shared" si="10"/>
        <v>1</v>
      </c>
      <c r="J290" s="158"/>
      <c r="L290" s="158"/>
    </row>
    <row r="291" spans="2:12" ht="16.5">
      <c r="B291" s="21"/>
      <c r="C291" s="21" t="s">
        <v>1521</v>
      </c>
      <c r="D291" s="22" t="s">
        <v>1332</v>
      </c>
      <c r="E291" s="96" t="s">
        <v>1526</v>
      </c>
      <c r="F291" s="22" t="s">
        <v>1541</v>
      </c>
      <c r="G291" s="67">
        <v>1010</v>
      </c>
      <c r="H291" t="str">
        <f t="shared" si="8"/>
        <v>CHEM1010</v>
      </c>
      <c r="I291">
        <f t="shared" si="10"/>
        <v>0</v>
      </c>
      <c r="J291" s="158"/>
      <c r="L291" s="158"/>
    </row>
    <row r="292" spans="2:12" ht="16.5">
      <c r="B292" s="21"/>
      <c r="C292" s="21" t="s">
        <v>1522</v>
      </c>
      <c r="D292" s="22" t="s">
        <v>1332</v>
      </c>
      <c r="E292" s="96" t="s">
        <v>1526</v>
      </c>
      <c r="F292" s="22" t="s">
        <v>1541</v>
      </c>
      <c r="G292" s="67" t="s">
        <v>1528</v>
      </c>
      <c r="H292" t="str">
        <f t="shared" si="8"/>
        <v>CHEM1010</v>
      </c>
      <c r="I292">
        <f t="shared" si="10"/>
        <v>0</v>
      </c>
      <c r="J292" s="158"/>
      <c r="L292" s="158"/>
    </row>
    <row r="293" spans="2:12" ht="16.5">
      <c r="B293" s="21"/>
      <c r="C293" s="21" t="s">
        <v>1522</v>
      </c>
      <c r="D293" s="22" t="s">
        <v>1332</v>
      </c>
      <c r="E293" s="22" t="s">
        <v>1195</v>
      </c>
      <c r="F293" s="22" t="s">
        <v>1541</v>
      </c>
      <c r="G293" s="67">
        <v>1010</v>
      </c>
      <c r="H293" t="str">
        <f t="shared" si="8"/>
        <v>CHEM1010</v>
      </c>
      <c r="I293">
        <f t="shared" si="10"/>
        <v>0</v>
      </c>
      <c r="J293" s="158"/>
      <c r="L293" s="158"/>
    </row>
    <row r="294" spans="2:12" ht="16.5">
      <c r="B294" s="21"/>
      <c r="C294" s="21" t="s">
        <v>1522</v>
      </c>
      <c r="D294" s="22" t="s">
        <v>1332</v>
      </c>
      <c r="E294" s="22" t="s">
        <v>463</v>
      </c>
      <c r="F294" s="22" t="s">
        <v>1541</v>
      </c>
      <c r="G294" s="68">
        <v>1010</v>
      </c>
      <c r="H294" t="str">
        <f t="shared" si="8"/>
        <v>CHEM1010</v>
      </c>
      <c r="I294">
        <f t="shared" si="10"/>
        <v>0</v>
      </c>
      <c r="J294" s="158"/>
      <c r="L294" s="158"/>
    </row>
    <row r="295" spans="2:12" ht="16.5">
      <c r="B295" s="21"/>
      <c r="C295" s="21" t="s">
        <v>1522</v>
      </c>
      <c r="D295" s="22" t="s">
        <v>1332</v>
      </c>
      <c r="E295" s="22" t="s">
        <v>1261</v>
      </c>
      <c r="F295" s="22" t="s">
        <v>1541</v>
      </c>
      <c r="G295" s="67">
        <v>1010</v>
      </c>
      <c r="H295" t="str">
        <f t="shared" si="8"/>
        <v>CHEM1010</v>
      </c>
      <c r="I295">
        <f t="shared" si="10"/>
        <v>0</v>
      </c>
      <c r="J295" s="158"/>
      <c r="L295" s="158"/>
    </row>
    <row r="296" spans="2:12" ht="16.5">
      <c r="B296" s="45"/>
      <c r="C296" s="21" t="s">
        <v>1521</v>
      </c>
      <c r="D296" s="22" t="s">
        <v>1332</v>
      </c>
      <c r="E296" s="22" t="s">
        <v>1262</v>
      </c>
      <c r="F296" s="22" t="s">
        <v>1541</v>
      </c>
      <c r="G296" s="23" t="s">
        <v>1528</v>
      </c>
      <c r="H296" t="str">
        <f t="shared" si="8"/>
        <v>CHEM1010</v>
      </c>
      <c r="I296">
        <f t="shared" si="10"/>
        <v>0</v>
      </c>
      <c r="J296" s="158"/>
      <c r="L296" s="158"/>
    </row>
    <row r="297" spans="2:12" ht="16.5">
      <c r="B297" s="21"/>
      <c r="C297" s="21" t="s">
        <v>1522</v>
      </c>
      <c r="D297" s="22" t="s">
        <v>1332</v>
      </c>
      <c r="E297" s="22" t="s">
        <v>551</v>
      </c>
      <c r="F297" s="22" t="s">
        <v>1541</v>
      </c>
      <c r="G297" s="67">
        <v>1010</v>
      </c>
      <c r="H297" t="str">
        <f t="shared" si="8"/>
        <v>CHEM1010</v>
      </c>
      <c r="I297">
        <f t="shared" si="10"/>
        <v>0</v>
      </c>
      <c r="J297" s="158"/>
      <c r="L297" s="158"/>
    </row>
    <row r="298" spans="2:12" ht="16.5">
      <c r="B298" s="125"/>
      <c r="C298" s="125" t="s">
        <v>1522</v>
      </c>
      <c r="D298" s="131" t="s">
        <v>1332</v>
      </c>
      <c r="E298" s="132" t="s">
        <v>1586</v>
      </c>
      <c r="F298" s="131" t="s">
        <v>1541</v>
      </c>
      <c r="G298" s="133">
        <v>1010</v>
      </c>
      <c r="H298" t="str">
        <f t="shared" si="8"/>
        <v>CHEM1010</v>
      </c>
      <c r="I298">
        <f t="shared" si="10"/>
        <v>1</v>
      </c>
      <c r="J298" s="158"/>
      <c r="L298" s="158"/>
    </row>
    <row r="299" spans="2:12" ht="16.5">
      <c r="B299" s="21"/>
      <c r="C299" s="21" t="s">
        <v>1521</v>
      </c>
      <c r="D299" s="22"/>
      <c r="E299" s="96" t="s">
        <v>1526</v>
      </c>
      <c r="F299" s="22" t="s">
        <v>1541</v>
      </c>
      <c r="G299" s="67">
        <v>1015</v>
      </c>
      <c r="H299" t="str">
        <f t="shared" si="8"/>
        <v>CHEM1015</v>
      </c>
      <c r="I299">
        <f t="shared" si="10"/>
        <v>0</v>
      </c>
      <c r="J299" s="158"/>
      <c r="L299" s="158"/>
    </row>
    <row r="300" spans="2:12" ht="16.5">
      <c r="B300" s="21"/>
      <c r="C300" s="21" t="s">
        <v>1522</v>
      </c>
      <c r="D300" s="22"/>
      <c r="E300" s="22" t="s">
        <v>1261</v>
      </c>
      <c r="F300" s="22" t="s">
        <v>1541</v>
      </c>
      <c r="G300" s="67">
        <v>1015</v>
      </c>
      <c r="H300" t="str">
        <f t="shared" si="8"/>
        <v>CHEM1015</v>
      </c>
      <c r="I300">
        <f t="shared" si="10"/>
        <v>0</v>
      </c>
      <c r="J300" s="158"/>
      <c r="L300" s="158"/>
    </row>
    <row r="301" spans="2:12" ht="16.5">
      <c r="B301" s="45"/>
      <c r="C301" s="21" t="s">
        <v>1521</v>
      </c>
      <c r="D301" s="22"/>
      <c r="E301" s="22" t="s">
        <v>1262</v>
      </c>
      <c r="F301" s="22" t="s">
        <v>1541</v>
      </c>
      <c r="G301" s="22" t="s">
        <v>713</v>
      </c>
      <c r="H301" t="str">
        <f t="shared" si="8"/>
        <v>CHEM1015</v>
      </c>
      <c r="I301">
        <f t="shared" si="10"/>
        <v>1</v>
      </c>
      <c r="J301" s="56" t="s">
        <v>1897</v>
      </c>
      <c r="L301" s="56" t="s">
        <v>1897</v>
      </c>
    </row>
    <row r="302" spans="2:12" ht="16.5">
      <c r="B302" s="21"/>
      <c r="C302" s="21" t="s">
        <v>1521</v>
      </c>
      <c r="D302" s="22" t="s">
        <v>1332</v>
      </c>
      <c r="E302" s="22" t="s">
        <v>1195</v>
      </c>
      <c r="F302" s="96" t="s">
        <v>1541</v>
      </c>
      <c r="G302" s="67">
        <v>1110</v>
      </c>
      <c r="H302" t="str">
        <f t="shared" ref="H302:H366" si="11">CONCATENATE(F302,G302)</f>
        <v>CHEM1110</v>
      </c>
      <c r="I302">
        <f t="shared" si="10"/>
        <v>0</v>
      </c>
      <c r="J302" s="158"/>
      <c r="L302" s="158"/>
    </row>
    <row r="303" spans="2:12" ht="16.5">
      <c r="B303" s="21"/>
      <c r="C303" s="21" t="s">
        <v>1521</v>
      </c>
      <c r="D303" s="22"/>
      <c r="E303" s="22" t="s">
        <v>463</v>
      </c>
      <c r="F303" s="22" t="s">
        <v>1541</v>
      </c>
      <c r="G303" s="68">
        <v>1110</v>
      </c>
      <c r="H303" t="str">
        <f t="shared" si="11"/>
        <v>CHEM1110</v>
      </c>
      <c r="I303">
        <f t="shared" ref="I303:I367" si="12">IF(H303=H304,0,1)</f>
        <v>0</v>
      </c>
      <c r="J303" s="158"/>
      <c r="L303" s="158"/>
    </row>
    <row r="304" spans="2:12" ht="16.5">
      <c r="B304" s="45"/>
      <c r="C304" s="21" t="s">
        <v>1522</v>
      </c>
      <c r="D304" s="22" t="s">
        <v>1332</v>
      </c>
      <c r="E304" s="22" t="s">
        <v>1262</v>
      </c>
      <c r="F304" s="22" t="s">
        <v>1541</v>
      </c>
      <c r="G304" s="22" t="s">
        <v>436</v>
      </c>
      <c r="H304" t="str">
        <f t="shared" si="11"/>
        <v>CHEM1110</v>
      </c>
      <c r="I304">
        <f t="shared" si="12"/>
        <v>0</v>
      </c>
      <c r="J304" s="158"/>
      <c r="L304" s="158"/>
    </row>
    <row r="305" spans="2:12" ht="16.5">
      <c r="B305" s="21"/>
      <c r="C305" s="21" t="s">
        <v>1521</v>
      </c>
      <c r="D305" s="22" t="s">
        <v>1332</v>
      </c>
      <c r="E305" s="22" t="s">
        <v>551</v>
      </c>
      <c r="F305" s="22" t="s">
        <v>1541</v>
      </c>
      <c r="G305" s="67">
        <v>1110</v>
      </c>
      <c r="H305" t="str">
        <f t="shared" si="11"/>
        <v>CHEM1110</v>
      </c>
      <c r="I305">
        <f t="shared" si="12"/>
        <v>1</v>
      </c>
      <c r="J305" s="158"/>
      <c r="L305" s="158"/>
    </row>
    <row r="306" spans="2:12" ht="16.5">
      <c r="B306" s="21"/>
      <c r="C306" s="21" t="s">
        <v>1521</v>
      </c>
      <c r="D306" s="22"/>
      <c r="E306" s="22" t="s">
        <v>1195</v>
      </c>
      <c r="F306" s="96" t="s">
        <v>1541</v>
      </c>
      <c r="G306" s="67">
        <v>1115</v>
      </c>
      <c r="H306" t="str">
        <f t="shared" si="11"/>
        <v>CHEM1115</v>
      </c>
      <c r="I306">
        <f t="shared" si="12"/>
        <v>0</v>
      </c>
      <c r="J306" s="158"/>
      <c r="L306" s="158"/>
    </row>
    <row r="307" spans="2:12" ht="16.5">
      <c r="B307" s="21"/>
      <c r="C307" s="21" t="s">
        <v>1521</v>
      </c>
      <c r="D307" s="22"/>
      <c r="E307" s="22" t="s">
        <v>463</v>
      </c>
      <c r="F307" s="22" t="s">
        <v>1541</v>
      </c>
      <c r="G307" s="68">
        <v>1115</v>
      </c>
      <c r="H307" t="str">
        <f t="shared" si="11"/>
        <v>CHEM1115</v>
      </c>
      <c r="I307">
        <f t="shared" si="12"/>
        <v>0</v>
      </c>
      <c r="J307" s="158"/>
      <c r="L307" s="158"/>
    </row>
    <row r="308" spans="2:12" ht="16.5">
      <c r="B308" s="45"/>
      <c r="C308" s="21" t="s">
        <v>1522</v>
      </c>
      <c r="D308" s="22"/>
      <c r="E308" s="22" t="s">
        <v>1262</v>
      </c>
      <c r="F308" s="22" t="s">
        <v>1541</v>
      </c>
      <c r="G308" s="22" t="s">
        <v>579</v>
      </c>
      <c r="H308" t="str">
        <f t="shared" si="11"/>
        <v>CHEM1115</v>
      </c>
      <c r="I308">
        <f t="shared" si="12"/>
        <v>0</v>
      </c>
      <c r="J308" s="158"/>
      <c r="L308" s="158"/>
    </row>
    <row r="309" spans="2:12" ht="16.5">
      <c r="B309" s="21"/>
      <c r="C309" s="21" t="s">
        <v>1521</v>
      </c>
      <c r="D309" s="22"/>
      <c r="E309" s="22" t="s">
        <v>551</v>
      </c>
      <c r="F309" s="22" t="s">
        <v>1541</v>
      </c>
      <c r="G309" s="67">
        <v>1115</v>
      </c>
      <c r="H309" t="str">
        <f t="shared" si="11"/>
        <v>CHEM1115</v>
      </c>
      <c r="I309">
        <f t="shared" si="12"/>
        <v>1</v>
      </c>
      <c r="J309" s="159" t="s">
        <v>1897</v>
      </c>
      <c r="L309" s="159" t="s">
        <v>1897</v>
      </c>
    </row>
    <row r="310" spans="2:12" ht="16.5">
      <c r="B310" s="21"/>
      <c r="C310" s="21" t="s">
        <v>1521</v>
      </c>
      <c r="D310" s="22"/>
      <c r="E310" s="22" t="s">
        <v>463</v>
      </c>
      <c r="F310" s="22" t="s">
        <v>1541</v>
      </c>
      <c r="G310" s="68">
        <v>1120</v>
      </c>
      <c r="H310" t="str">
        <f t="shared" si="11"/>
        <v>CHEM1120</v>
      </c>
      <c r="I310">
        <f t="shared" si="12"/>
        <v>0</v>
      </c>
      <c r="J310" s="158"/>
      <c r="L310" s="158"/>
    </row>
    <row r="311" spans="2:12" ht="16.5">
      <c r="B311" s="45"/>
      <c r="C311" s="21" t="s">
        <v>1522</v>
      </c>
      <c r="D311" s="22"/>
      <c r="E311" s="22" t="s">
        <v>1262</v>
      </c>
      <c r="F311" s="22" t="s">
        <v>1541</v>
      </c>
      <c r="G311" s="22" t="s">
        <v>433</v>
      </c>
      <c r="H311" t="str">
        <f t="shared" si="11"/>
        <v>CHEM1120</v>
      </c>
      <c r="I311">
        <f t="shared" si="12"/>
        <v>0</v>
      </c>
      <c r="J311" s="158"/>
      <c r="L311" s="158"/>
    </row>
    <row r="312" spans="2:12" ht="16.5">
      <c r="B312" s="58"/>
      <c r="C312" s="21" t="s">
        <v>1521</v>
      </c>
      <c r="D312" s="22"/>
      <c r="E312" s="22" t="s">
        <v>1262</v>
      </c>
      <c r="F312" s="22" t="s">
        <v>1541</v>
      </c>
      <c r="G312" s="22" t="s">
        <v>433</v>
      </c>
      <c r="H312" t="str">
        <f t="shared" si="11"/>
        <v>CHEM1120</v>
      </c>
      <c r="I312">
        <f t="shared" si="12"/>
        <v>0</v>
      </c>
      <c r="J312" s="158"/>
      <c r="L312" s="158"/>
    </row>
    <row r="313" spans="2:12" ht="16.5">
      <c r="B313" s="21"/>
      <c r="C313" s="21" t="s">
        <v>1521</v>
      </c>
      <c r="D313" s="22" t="s">
        <v>1332</v>
      </c>
      <c r="E313" s="22" t="s">
        <v>551</v>
      </c>
      <c r="F313" s="22" t="s">
        <v>1541</v>
      </c>
      <c r="G313" s="67">
        <v>1120</v>
      </c>
      <c r="H313" t="str">
        <f t="shared" si="11"/>
        <v>CHEM1120</v>
      </c>
      <c r="I313">
        <f t="shared" si="12"/>
        <v>1</v>
      </c>
      <c r="J313" s="158"/>
      <c r="L313" s="158"/>
    </row>
    <row r="314" spans="2:12" ht="16.5">
      <c r="B314" s="21"/>
      <c r="C314" s="21" t="s">
        <v>1521</v>
      </c>
      <c r="D314" s="22"/>
      <c r="E314" s="22" t="s">
        <v>463</v>
      </c>
      <c r="F314" s="22" t="s">
        <v>1541</v>
      </c>
      <c r="G314" s="68">
        <v>1125</v>
      </c>
      <c r="H314" t="str">
        <f t="shared" si="11"/>
        <v>CHEM1125</v>
      </c>
      <c r="I314">
        <f t="shared" si="12"/>
        <v>0</v>
      </c>
      <c r="J314" s="158"/>
      <c r="L314" s="158"/>
    </row>
    <row r="315" spans="2:12" ht="16.5">
      <c r="B315" s="58"/>
      <c r="C315" s="58" t="s">
        <v>1521</v>
      </c>
      <c r="D315" s="61"/>
      <c r="E315" s="22" t="s">
        <v>1262</v>
      </c>
      <c r="F315" s="61" t="s">
        <v>1541</v>
      </c>
      <c r="G315" s="61" t="s">
        <v>1433</v>
      </c>
      <c r="H315" t="str">
        <f t="shared" si="11"/>
        <v>CHEM1125</v>
      </c>
      <c r="I315">
        <f t="shared" si="12"/>
        <v>1</v>
      </c>
      <c r="J315" s="159" t="s">
        <v>1897</v>
      </c>
      <c r="L315" s="159" t="s">
        <v>1897</v>
      </c>
    </row>
    <row r="316" spans="2:12" ht="16.5">
      <c r="B316" s="21"/>
      <c r="C316" s="21" t="s">
        <v>1521</v>
      </c>
      <c r="D316" s="22" t="s">
        <v>1332</v>
      </c>
      <c r="E316" s="22" t="s">
        <v>1195</v>
      </c>
      <c r="F316" s="88" t="s">
        <v>1541</v>
      </c>
      <c r="G316" s="67">
        <v>1210</v>
      </c>
      <c r="H316" t="str">
        <f t="shared" si="11"/>
        <v>CHEM1210</v>
      </c>
      <c r="I316">
        <f t="shared" si="12"/>
        <v>0</v>
      </c>
      <c r="J316" s="158"/>
      <c r="L316" s="158"/>
    </row>
    <row r="317" spans="2:12" ht="16.5">
      <c r="B317" s="21"/>
      <c r="C317" s="21" t="s">
        <v>1521</v>
      </c>
      <c r="D317" s="22"/>
      <c r="E317" s="22" t="s">
        <v>463</v>
      </c>
      <c r="F317" s="22" t="s">
        <v>1541</v>
      </c>
      <c r="G317" s="68">
        <v>1210</v>
      </c>
      <c r="H317" t="str">
        <f t="shared" si="11"/>
        <v>CHEM1210</v>
      </c>
      <c r="I317">
        <f t="shared" si="12"/>
        <v>0</v>
      </c>
      <c r="J317" s="158"/>
      <c r="L317" s="158"/>
    </row>
    <row r="318" spans="2:12" ht="16.5">
      <c r="B318" s="45"/>
      <c r="C318" s="21" t="s">
        <v>1521</v>
      </c>
      <c r="D318" s="22" t="s">
        <v>1332</v>
      </c>
      <c r="E318" s="22" t="s">
        <v>1262</v>
      </c>
      <c r="F318" s="22" t="s">
        <v>1541</v>
      </c>
      <c r="G318" s="23" t="s">
        <v>1081</v>
      </c>
      <c r="H318" t="str">
        <f t="shared" si="11"/>
        <v>CHEM1210</v>
      </c>
      <c r="I318">
        <f t="shared" si="12"/>
        <v>0</v>
      </c>
      <c r="J318" s="158"/>
      <c r="L318" s="158"/>
    </row>
    <row r="319" spans="2:12" ht="16.5">
      <c r="B319" s="21"/>
      <c r="C319" s="21" t="s">
        <v>1521</v>
      </c>
      <c r="D319" s="22"/>
      <c r="E319" s="22" t="s">
        <v>551</v>
      </c>
      <c r="F319" s="22" t="s">
        <v>1541</v>
      </c>
      <c r="G319" s="67">
        <v>1210</v>
      </c>
      <c r="H319" t="str">
        <f t="shared" si="11"/>
        <v>CHEM1210</v>
      </c>
      <c r="I319">
        <f t="shared" si="12"/>
        <v>0</v>
      </c>
      <c r="J319" s="158"/>
      <c r="L319" s="158"/>
    </row>
    <row r="320" spans="2:12" ht="16.5">
      <c r="B320" s="21"/>
      <c r="C320" s="21" t="s">
        <v>1521</v>
      </c>
      <c r="D320" s="22" t="s">
        <v>1332</v>
      </c>
      <c r="E320" s="22" t="s">
        <v>797</v>
      </c>
      <c r="F320" s="22" t="s">
        <v>1541</v>
      </c>
      <c r="G320" s="67">
        <v>1210</v>
      </c>
      <c r="H320" t="str">
        <f t="shared" si="11"/>
        <v>CHEM1210</v>
      </c>
      <c r="I320">
        <f t="shared" si="12"/>
        <v>0</v>
      </c>
      <c r="J320" s="158"/>
      <c r="L320" s="158"/>
    </row>
    <row r="321" spans="2:12" ht="16.5">
      <c r="B321" s="21"/>
      <c r="C321" s="21" t="s">
        <v>1522</v>
      </c>
      <c r="D321" s="22" t="s">
        <v>1332</v>
      </c>
      <c r="E321" s="22" t="s">
        <v>797</v>
      </c>
      <c r="F321" s="22" t="s">
        <v>1541</v>
      </c>
      <c r="G321" s="67">
        <v>1210</v>
      </c>
      <c r="H321" t="str">
        <f t="shared" si="11"/>
        <v>CHEM1210</v>
      </c>
      <c r="I321">
        <f t="shared" si="12"/>
        <v>1</v>
      </c>
      <c r="J321" s="158"/>
      <c r="L321" s="158"/>
    </row>
    <row r="322" spans="2:12" ht="16.5">
      <c r="B322" s="21"/>
      <c r="C322" s="21" t="s">
        <v>1521</v>
      </c>
      <c r="D322" s="22"/>
      <c r="E322" s="22" t="s">
        <v>1195</v>
      </c>
      <c r="F322" s="22" t="s">
        <v>1541</v>
      </c>
      <c r="G322" s="67">
        <v>1215</v>
      </c>
      <c r="H322" t="str">
        <f t="shared" si="11"/>
        <v>CHEM1215</v>
      </c>
      <c r="I322">
        <f t="shared" si="12"/>
        <v>0</v>
      </c>
      <c r="J322" s="158"/>
      <c r="L322" s="158"/>
    </row>
    <row r="323" spans="2:12" ht="16.5">
      <c r="B323" s="21"/>
      <c r="C323" s="21" t="s">
        <v>1521</v>
      </c>
      <c r="D323" s="22"/>
      <c r="E323" s="22" t="s">
        <v>463</v>
      </c>
      <c r="F323" s="22" t="s">
        <v>1541</v>
      </c>
      <c r="G323" s="68">
        <v>1215</v>
      </c>
      <c r="H323" t="str">
        <f t="shared" si="11"/>
        <v>CHEM1215</v>
      </c>
      <c r="I323">
        <f t="shared" si="12"/>
        <v>0</v>
      </c>
      <c r="J323" s="158"/>
      <c r="L323" s="158"/>
    </row>
    <row r="324" spans="2:12" ht="16.5">
      <c r="B324" s="45"/>
      <c r="C324" s="21" t="s">
        <v>1521</v>
      </c>
      <c r="D324" s="22"/>
      <c r="E324" s="22" t="s">
        <v>1262</v>
      </c>
      <c r="F324" s="22" t="s">
        <v>1541</v>
      </c>
      <c r="G324" s="22" t="s">
        <v>241</v>
      </c>
      <c r="H324" t="str">
        <f t="shared" si="11"/>
        <v>CHEM1215</v>
      </c>
      <c r="I324">
        <f t="shared" si="12"/>
        <v>0</v>
      </c>
      <c r="J324" s="158"/>
      <c r="L324" s="158"/>
    </row>
    <row r="325" spans="2:12" ht="16.5">
      <c r="B325" s="21"/>
      <c r="C325" s="21" t="s">
        <v>1521</v>
      </c>
      <c r="D325" s="22"/>
      <c r="E325" s="22" t="s">
        <v>551</v>
      </c>
      <c r="F325" s="22" t="s">
        <v>1541</v>
      </c>
      <c r="G325" s="67">
        <v>1215</v>
      </c>
      <c r="H325" t="str">
        <f t="shared" si="11"/>
        <v>CHEM1215</v>
      </c>
      <c r="I325">
        <f t="shared" si="12"/>
        <v>0</v>
      </c>
      <c r="J325" s="158"/>
      <c r="L325" s="158"/>
    </row>
    <row r="326" spans="2:12" ht="16.5">
      <c r="B326" s="21"/>
      <c r="C326" s="21" t="s">
        <v>1521</v>
      </c>
      <c r="D326" s="22"/>
      <c r="E326" s="22" t="s">
        <v>797</v>
      </c>
      <c r="F326" s="22" t="s">
        <v>1541</v>
      </c>
      <c r="G326" s="67">
        <v>1215</v>
      </c>
      <c r="H326" t="str">
        <f t="shared" si="11"/>
        <v>CHEM1215</v>
      </c>
      <c r="I326">
        <f t="shared" si="12"/>
        <v>1</v>
      </c>
      <c r="J326" s="159" t="s">
        <v>1897</v>
      </c>
      <c r="L326" s="159" t="s">
        <v>1897</v>
      </c>
    </row>
    <row r="327" spans="2:12" ht="16.5">
      <c r="B327" s="21"/>
      <c r="C327" s="21" t="s">
        <v>1521</v>
      </c>
      <c r="D327" s="22"/>
      <c r="E327" s="22" t="s">
        <v>463</v>
      </c>
      <c r="F327" s="22" t="s">
        <v>1541</v>
      </c>
      <c r="G327" s="68">
        <v>1220</v>
      </c>
      <c r="H327" t="str">
        <f t="shared" si="11"/>
        <v>CHEM1220</v>
      </c>
      <c r="I327">
        <f t="shared" si="12"/>
        <v>0</v>
      </c>
      <c r="J327" s="158"/>
      <c r="L327" s="158"/>
    </row>
    <row r="328" spans="2:12" ht="16.5">
      <c r="B328" s="45"/>
      <c r="C328" s="21" t="s">
        <v>1521</v>
      </c>
      <c r="D328" s="22"/>
      <c r="E328" s="22" t="s">
        <v>1262</v>
      </c>
      <c r="F328" s="22" t="s">
        <v>1541</v>
      </c>
      <c r="G328" s="23" t="s">
        <v>1104</v>
      </c>
      <c r="H328" t="str">
        <f t="shared" si="11"/>
        <v>CHEM1220</v>
      </c>
      <c r="I328">
        <f t="shared" si="12"/>
        <v>0</v>
      </c>
      <c r="J328" s="158"/>
      <c r="L328" s="158"/>
    </row>
    <row r="329" spans="2:12" ht="16.5">
      <c r="B329" s="21"/>
      <c r="C329" s="21" t="s">
        <v>1521</v>
      </c>
      <c r="D329" s="22" t="s">
        <v>1332</v>
      </c>
      <c r="E329" s="22" t="s">
        <v>551</v>
      </c>
      <c r="F329" s="22" t="s">
        <v>1541</v>
      </c>
      <c r="G329" s="67">
        <v>1220</v>
      </c>
      <c r="H329" t="str">
        <f t="shared" si="11"/>
        <v>CHEM1220</v>
      </c>
      <c r="I329">
        <f t="shared" si="12"/>
        <v>0</v>
      </c>
      <c r="J329" s="158"/>
      <c r="L329" s="158"/>
    </row>
    <row r="330" spans="2:12" ht="16.5">
      <c r="B330" s="21"/>
      <c r="C330" s="21" t="s">
        <v>1522</v>
      </c>
      <c r="D330" s="22" t="s">
        <v>1332</v>
      </c>
      <c r="E330" s="22" t="s">
        <v>797</v>
      </c>
      <c r="F330" s="22" t="s">
        <v>1541</v>
      </c>
      <c r="G330" s="67">
        <v>1220</v>
      </c>
      <c r="H330" t="str">
        <f t="shared" si="11"/>
        <v>CHEM1220</v>
      </c>
      <c r="I330">
        <f t="shared" si="12"/>
        <v>0</v>
      </c>
      <c r="J330" s="158"/>
      <c r="L330" s="158"/>
    </row>
    <row r="331" spans="2:12" ht="16.5">
      <c r="B331" s="21"/>
      <c r="C331" s="21" t="s">
        <v>1521</v>
      </c>
      <c r="D331" s="22" t="s">
        <v>1332</v>
      </c>
      <c r="E331" s="22" t="s">
        <v>797</v>
      </c>
      <c r="F331" s="22" t="s">
        <v>1541</v>
      </c>
      <c r="G331" s="67">
        <v>1220</v>
      </c>
      <c r="H331" t="str">
        <f t="shared" si="11"/>
        <v>CHEM1220</v>
      </c>
      <c r="I331">
        <f t="shared" si="12"/>
        <v>1</v>
      </c>
      <c r="J331" s="158"/>
      <c r="L331" s="158"/>
    </row>
    <row r="332" spans="2:12" ht="16.5">
      <c r="B332" s="21"/>
      <c r="C332" s="21" t="s">
        <v>1521</v>
      </c>
      <c r="D332" s="22"/>
      <c r="E332" s="22" t="s">
        <v>463</v>
      </c>
      <c r="F332" s="22" t="s">
        <v>1541</v>
      </c>
      <c r="G332" s="68">
        <v>1225</v>
      </c>
      <c r="H332" t="str">
        <f t="shared" si="11"/>
        <v>CHEM1225</v>
      </c>
      <c r="I332">
        <f t="shared" si="12"/>
        <v>0</v>
      </c>
      <c r="J332" s="158"/>
      <c r="L332" s="158"/>
    </row>
    <row r="333" spans="2:12" ht="16.5">
      <c r="B333" s="45"/>
      <c r="C333" s="21" t="s">
        <v>1521</v>
      </c>
      <c r="D333" s="22"/>
      <c r="E333" s="22" t="s">
        <v>1262</v>
      </c>
      <c r="F333" s="22" t="s">
        <v>1541</v>
      </c>
      <c r="G333" s="22" t="s">
        <v>242</v>
      </c>
      <c r="H333" t="str">
        <f t="shared" si="11"/>
        <v>CHEM1225</v>
      </c>
      <c r="I333">
        <f t="shared" si="12"/>
        <v>0</v>
      </c>
      <c r="J333" s="158"/>
      <c r="L333" s="158"/>
    </row>
    <row r="334" spans="2:12" ht="16.5">
      <c r="B334" s="21"/>
      <c r="C334" s="21" t="s">
        <v>1521</v>
      </c>
      <c r="D334" s="22"/>
      <c r="E334" s="22" t="s">
        <v>551</v>
      </c>
      <c r="F334" s="22" t="s">
        <v>1541</v>
      </c>
      <c r="G334" s="67">
        <v>1225</v>
      </c>
      <c r="H334" t="str">
        <f t="shared" si="11"/>
        <v>CHEM1225</v>
      </c>
      <c r="I334">
        <f t="shared" si="12"/>
        <v>0</v>
      </c>
      <c r="J334" s="158"/>
      <c r="L334" s="158"/>
    </row>
    <row r="335" spans="2:12" ht="16.5">
      <c r="B335" s="21"/>
      <c r="C335" s="21" t="s">
        <v>1521</v>
      </c>
      <c r="D335" s="22"/>
      <c r="E335" s="22" t="s">
        <v>797</v>
      </c>
      <c r="F335" s="22" t="s">
        <v>1541</v>
      </c>
      <c r="G335" s="67">
        <v>1225</v>
      </c>
      <c r="H335" t="str">
        <f t="shared" si="11"/>
        <v>CHEM1225</v>
      </c>
      <c r="I335">
        <f t="shared" si="12"/>
        <v>1</v>
      </c>
      <c r="J335" s="159" t="s">
        <v>1897</v>
      </c>
      <c r="L335" s="159" t="s">
        <v>1897</v>
      </c>
    </row>
    <row r="336" spans="2:12" ht="16.5">
      <c r="B336" s="21"/>
      <c r="C336" s="21" t="s">
        <v>1522</v>
      </c>
      <c r="D336" s="22"/>
      <c r="E336" s="22" t="s">
        <v>1262</v>
      </c>
      <c r="F336" s="96" t="s">
        <v>1541</v>
      </c>
      <c r="G336" s="67">
        <v>2310</v>
      </c>
      <c r="H336" t="str">
        <f t="shared" si="11"/>
        <v>CHEM2310</v>
      </c>
      <c r="I336">
        <f t="shared" si="12"/>
        <v>1</v>
      </c>
      <c r="J336" s="158"/>
      <c r="L336" s="158"/>
    </row>
    <row r="337" spans="2:12" ht="16.5">
      <c r="B337" s="21"/>
      <c r="C337" s="21" t="s">
        <v>1522</v>
      </c>
      <c r="D337" s="22"/>
      <c r="E337" s="22" t="s">
        <v>1262</v>
      </c>
      <c r="F337" s="96" t="s">
        <v>1541</v>
      </c>
      <c r="G337" s="67">
        <v>2320</v>
      </c>
      <c r="H337" t="str">
        <f t="shared" si="11"/>
        <v>CHEM2320</v>
      </c>
      <c r="I337">
        <f t="shared" si="12"/>
        <v>1</v>
      </c>
      <c r="J337" s="158"/>
      <c r="L337" s="158"/>
    </row>
    <row r="338" spans="2:12" ht="16.5">
      <c r="B338" s="21"/>
      <c r="C338" s="21" t="s">
        <v>1522</v>
      </c>
      <c r="D338" s="22" t="s">
        <v>1329</v>
      </c>
      <c r="E338" s="22" t="s">
        <v>739</v>
      </c>
      <c r="F338" s="22" t="s">
        <v>497</v>
      </c>
      <c r="G338" s="68">
        <v>1500</v>
      </c>
      <c r="H338" t="str">
        <f t="shared" si="11"/>
        <v>CHF1500</v>
      </c>
      <c r="I338">
        <f t="shared" si="12"/>
        <v>0</v>
      </c>
      <c r="J338" s="158"/>
      <c r="L338" s="158"/>
    </row>
    <row r="339" spans="2:12" ht="16.5">
      <c r="B339" s="21" t="s">
        <v>111</v>
      </c>
      <c r="C339" s="21" t="s">
        <v>1522</v>
      </c>
      <c r="D339" s="22" t="s">
        <v>1329</v>
      </c>
      <c r="E339" s="22" t="s">
        <v>739</v>
      </c>
      <c r="F339" s="22" t="s">
        <v>497</v>
      </c>
      <c r="G339" s="68">
        <v>1500</v>
      </c>
      <c r="H339" t="str">
        <f t="shared" si="11"/>
        <v>CHF1500</v>
      </c>
      <c r="I339">
        <f t="shared" si="12"/>
        <v>1</v>
      </c>
      <c r="J339" s="158"/>
      <c r="L339" s="158"/>
    </row>
    <row r="340" spans="2:12" ht="16.5">
      <c r="B340" s="120"/>
      <c r="C340" s="58" t="s">
        <v>1522</v>
      </c>
      <c r="D340" s="22"/>
      <c r="E340" s="22" t="s">
        <v>797</v>
      </c>
      <c r="F340" s="22" t="s">
        <v>1611</v>
      </c>
      <c r="G340" s="67">
        <v>1010</v>
      </c>
      <c r="H340" t="str">
        <f t="shared" si="11"/>
        <v>CHIN1010</v>
      </c>
      <c r="I340">
        <f t="shared" si="12"/>
        <v>1</v>
      </c>
      <c r="J340" s="158"/>
      <c r="L340" s="158"/>
    </row>
    <row r="341" spans="2:12" ht="16.5">
      <c r="B341" s="21" t="s">
        <v>101</v>
      </c>
      <c r="C341" s="21" t="s">
        <v>1521</v>
      </c>
      <c r="D341" s="22" t="s">
        <v>1331</v>
      </c>
      <c r="E341" s="22" t="s">
        <v>463</v>
      </c>
      <c r="F341" s="22" t="s">
        <v>447</v>
      </c>
      <c r="G341" s="68" t="s">
        <v>428</v>
      </c>
      <c r="H341" t="str">
        <f t="shared" si="11"/>
        <v>CIS1020</v>
      </c>
      <c r="I341">
        <f t="shared" si="12"/>
        <v>1</v>
      </c>
      <c r="J341" s="158"/>
      <c r="L341" s="158"/>
    </row>
    <row r="342" spans="2:12" ht="16.5">
      <c r="B342" s="21" t="s">
        <v>119</v>
      </c>
      <c r="C342" s="21" t="s">
        <v>1522</v>
      </c>
      <c r="D342" s="22"/>
      <c r="E342" s="22" t="s">
        <v>1261</v>
      </c>
      <c r="F342" s="22" t="s">
        <v>447</v>
      </c>
      <c r="G342" s="67">
        <v>1050</v>
      </c>
      <c r="H342" t="str">
        <f t="shared" si="11"/>
        <v>CIS1050</v>
      </c>
      <c r="I342">
        <f t="shared" si="12"/>
        <v>1</v>
      </c>
      <c r="J342" s="158"/>
      <c r="L342" s="158"/>
    </row>
    <row r="343" spans="2:12" ht="16.5">
      <c r="B343" s="21" t="s">
        <v>116</v>
      </c>
      <c r="C343" s="21" t="s">
        <v>1522</v>
      </c>
      <c r="D343" s="22"/>
      <c r="E343" s="22" t="s">
        <v>1261</v>
      </c>
      <c r="F343" s="22" t="s">
        <v>447</v>
      </c>
      <c r="G343" s="67">
        <v>1121</v>
      </c>
      <c r="H343" t="str">
        <f t="shared" si="11"/>
        <v>CIS1121</v>
      </c>
      <c r="I343">
        <f t="shared" si="12"/>
        <v>1</v>
      </c>
      <c r="J343" s="158"/>
      <c r="L343" s="158"/>
    </row>
    <row r="344" spans="2:12" ht="16.5">
      <c r="B344" s="21" t="s">
        <v>116</v>
      </c>
      <c r="C344" s="21" t="s">
        <v>1522</v>
      </c>
      <c r="D344" s="22"/>
      <c r="E344" s="22" t="s">
        <v>1261</v>
      </c>
      <c r="F344" s="22" t="s">
        <v>447</v>
      </c>
      <c r="G344" s="67">
        <v>1122</v>
      </c>
      <c r="H344" t="str">
        <f t="shared" si="11"/>
        <v>CIS1122</v>
      </c>
      <c r="I344">
        <f t="shared" si="12"/>
        <v>1</v>
      </c>
      <c r="J344" s="158"/>
      <c r="L344" s="158"/>
    </row>
    <row r="345" spans="2:12" ht="16.5">
      <c r="B345" s="21" t="s">
        <v>1592</v>
      </c>
      <c r="C345" s="21" t="s">
        <v>1522</v>
      </c>
      <c r="D345" s="22"/>
      <c r="E345" s="22" t="s">
        <v>1261</v>
      </c>
      <c r="F345" s="22" t="s">
        <v>447</v>
      </c>
      <c r="G345" s="67">
        <v>1140</v>
      </c>
      <c r="H345" t="str">
        <f t="shared" si="11"/>
        <v>CIS1140</v>
      </c>
      <c r="I345">
        <f t="shared" si="12"/>
        <v>1</v>
      </c>
      <c r="J345" s="158"/>
      <c r="L345" s="158"/>
    </row>
    <row r="346" spans="2:12" ht="16.5">
      <c r="B346" s="21" t="s">
        <v>101</v>
      </c>
      <c r="C346" s="21" t="s">
        <v>1521</v>
      </c>
      <c r="D346" s="22" t="s">
        <v>1331</v>
      </c>
      <c r="E346" s="22" t="s">
        <v>1195</v>
      </c>
      <c r="F346" s="96" t="s">
        <v>447</v>
      </c>
      <c r="G346" s="67">
        <v>1200</v>
      </c>
      <c r="H346" t="str">
        <f t="shared" si="11"/>
        <v>CIS1200</v>
      </c>
      <c r="I346">
        <f t="shared" si="12"/>
        <v>1</v>
      </c>
      <c r="J346" s="158"/>
      <c r="L346" s="158"/>
    </row>
    <row r="347" spans="2:12" ht="16.5">
      <c r="B347" s="21" t="s">
        <v>114</v>
      </c>
      <c r="C347" s="21" t="s">
        <v>1522</v>
      </c>
      <c r="D347" s="22"/>
      <c r="E347" s="22" t="s">
        <v>1261</v>
      </c>
      <c r="F347" s="22" t="s">
        <v>447</v>
      </c>
      <c r="G347" s="67">
        <v>1401</v>
      </c>
      <c r="H347" t="str">
        <f t="shared" si="11"/>
        <v>CIS1401</v>
      </c>
      <c r="I347">
        <f>IF(H347=H349,0,1)</f>
        <v>1</v>
      </c>
      <c r="J347" s="158"/>
      <c r="L347" s="158"/>
    </row>
    <row r="348" spans="2:12" ht="16.5">
      <c r="B348" s="21" t="s">
        <v>121</v>
      </c>
      <c r="C348" s="21" t="s">
        <v>1522</v>
      </c>
      <c r="D348" s="22"/>
      <c r="E348" s="22" t="s">
        <v>1261</v>
      </c>
      <c r="F348" s="22" t="s">
        <v>447</v>
      </c>
      <c r="G348" s="67">
        <v>1801</v>
      </c>
      <c r="H348" t="str">
        <f t="shared" si="11"/>
        <v>CIS1801</v>
      </c>
      <c r="I348">
        <f>IF(H348=H350,0,1)</f>
        <v>1</v>
      </c>
      <c r="J348" s="158"/>
      <c r="L348" s="158"/>
    </row>
    <row r="349" spans="2:12" ht="16.5">
      <c r="B349" s="21" t="s">
        <v>105</v>
      </c>
      <c r="C349" s="21" t="s">
        <v>1522</v>
      </c>
      <c r="D349" s="22"/>
      <c r="E349" s="22" t="s">
        <v>1195</v>
      </c>
      <c r="F349" s="22" t="s">
        <v>447</v>
      </c>
      <c r="G349" s="67" t="s">
        <v>448</v>
      </c>
      <c r="H349" t="str">
        <f t="shared" si="11"/>
        <v>CIS2400</v>
      </c>
      <c r="I349">
        <f t="shared" si="12"/>
        <v>1</v>
      </c>
      <c r="J349" s="158"/>
      <c r="L349" s="158"/>
    </row>
    <row r="350" spans="2:12" ht="16.5">
      <c r="B350" s="21" t="s">
        <v>562</v>
      </c>
      <c r="C350" s="21" t="s">
        <v>1522</v>
      </c>
      <c r="D350" s="24" t="s">
        <v>1329</v>
      </c>
      <c r="E350" s="96" t="s">
        <v>1526</v>
      </c>
      <c r="F350" s="22" t="s">
        <v>449</v>
      </c>
      <c r="G350" s="67" t="s">
        <v>1528</v>
      </c>
      <c r="H350" t="str">
        <f t="shared" si="11"/>
        <v>CJ1010</v>
      </c>
      <c r="I350">
        <f t="shared" si="12"/>
        <v>0</v>
      </c>
      <c r="J350" s="158"/>
      <c r="L350" s="158"/>
    </row>
    <row r="351" spans="2:12" ht="16.5">
      <c r="B351" s="21" t="s">
        <v>562</v>
      </c>
      <c r="C351" s="21" t="s">
        <v>1522</v>
      </c>
      <c r="D351" s="131" t="s">
        <v>1329</v>
      </c>
      <c r="E351" s="22" t="s">
        <v>463</v>
      </c>
      <c r="F351" s="22" t="s">
        <v>449</v>
      </c>
      <c r="G351" s="68" t="s">
        <v>1528</v>
      </c>
      <c r="H351" t="str">
        <f t="shared" si="11"/>
        <v>CJ1010</v>
      </c>
      <c r="I351">
        <f t="shared" si="12"/>
        <v>0</v>
      </c>
      <c r="J351" s="158"/>
      <c r="L351" s="158"/>
    </row>
    <row r="352" spans="2:12" ht="16.5">
      <c r="B352" s="21" t="s">
        <v>562</v>
      </c>
      <c r="C352" s="21" t="s">
        <v>1522</v>
      </c>
      <c r="D352" s="22" t="s">
        <v>1329</v>
      </c>
      <c r="E352" s="22" t="s">
        <v>1262</v>
      </c>
      <c r="F352" s="22" t="s">
        <v>449</v>
      </c>
      <c r="G352" s="23" t="s">
        <v>1528</v>
      </c>
      <c r="H352" t="str">
        <f t="shared" si="11"/>
        <v>CJ1010</v>
      </c>
      <c r="I352">
        <f t="shared" si="12"/>
        <v>0</v>
      </c>
      <c r="J352" s="158"/>
      <c r="L352" s="158"/>
    </row>
    <row r="353" spans="2:12" ht="16.5">
      <c r="B353" s="21" t="s">
        <v>562</v>
      </c>
      <c r="C353" s="21" t="s">
        <v>1522</v>
      </c>
      <c r="D353" s="24" t="s">
        <v>1329</v>
      </c>
      <c r="E353" s="22" t="s">
        <v>739</v>
      </c>
      <c r="F353" s="22" t="s">
        <v>449</v>
      </c>
      <c r="G353" s="68">
        <v>1010</v>
      </c>
      <c r="H353" t="str">
        <f t="shared" si="11"/>
        <v>CJ1010</v>
      </c>
      <c r="I353">
        <f t="shared" si="12"/>
        <v>1</v>
      </c>
      <c r="J353" s="158"/>
      <c r="L353" s="158"/>
    </row>
    <row r="354" spans="2:12" ht="16.5">
      <c r="B354" s="21" t="s">
        <v>562</v>
      </c>
      <c r="C354" s="21" t="s">
        <v>1522</v>
      </c>
      <c r="D354" s="24"/>
      <c r="E354" s="22" t="s">
        <v>463</v>
      </c>
      <c r="F354" s="22" t="s">
        <v>449</v>
      </c>
      <c r="G354" s="68">
        <v>1300</v>
      </c>
      <c r="H354" t="str">
        <f t="shared" si="11"/>
        <v>CJ1300</v>
      </c>
      <c r="I354">
        <f t="shared" si="12"/>
        <v>1</v>
      </c>
      <c r="J354" s="158"/>
      <c r="L354" s="158"/>
    </row>
    <row r="355" spans="2:12" ht="16.5">
      <c r="B355" s="21" t="s">
        <v>562</v>
      </c>
      <c r="C355" s="21" t="s">
        <v>1522</v>
      </c>
      <c r="D355" s="24"/>
      <c r="E355" s="96" t="s">
        <v>1526</v>
      </c>
      <c r="F355" s="22" t="s">
        <v>449</v>
      </c>
      <c r="G355" s="67" t="s">
        <v>1542</v>
      </c>
      <c r="H355" t="str">
        <f t="shared" si="11"/>
        <v>CJ1330</v>
      </c>
      <c r="I355">
        <f t="shared" si="12"/>
        <v>0</v>
      </c>
      <c r="J355" s="158"/>
      <c r="L355" s="158"/>
    </row>
    <row r="356" spans="2:12" ht="16.5">
      <c r="B356" s="21" t="s">
        <v>562</v>
      </c>
      <c r="C356" s="21" t="s">
        <v>1522</v>
      </c>
      <c r="D356" s="24"/>
      <c r="E356" s="22" t="s">
        <v>463</v>
      </c>
      <c r="F356" s="22" t="s">
        <v>449</v>
      </c>
      <c r="G356" s="68">
        <v>1330</v>
      </c>
      <c r="H356" t="str">
        <f t="shared" si="11"/>
        <v>CJ1330</v>
      </c>
      <c r="I356">
        <f t="shared" si="12"/>
        <v>1</v>
      </c>
      <c r="J356" s="158"/>
      <c r="L356" s="158"/>
    </row>
    <row r="357" spans="2:12" ht="16.5">
      <c r="B357" s="21" t="s">
        <v>562</v>
      </c>
      <c r="C357" s="21" t="s">
        <v>1522</v>
      </c>
      <c r="D357" s="24"/>
      <c r="E357" s="96" t="s">
        <v>1526</v>
      </c>
      <c r="F357" s="22" t="s">
        <v>449</v>
      </c>
      <c r="G357" s="67" t="s">
        <v>1543</v>
      </c>
      <c r="H357" t="str">
        <f t="shared" si="11"/>
        <v>CJ1340</v>
      </c>
      <c r="I357">
        <f t="shared" si="12"/>
        <v>0</v>
      </c>
      <c r="J357" s="158"/>
      <c r="L357" s="158"/>
    </row>
    <row r="358" spans="2:12" ht="16.5">
      <c r="B358" s="21" t="s">
        <v>562</v>
      </c>
      <c r="C358" s="21" t="s">
        <v>1522</v>
      </c>
      <c r="D358" s="24"/>
      <c r="E358" s="22" t="s">
        <v>463</v>
      </c>
      <c r="F358" s="22" t="s">
        <v>449</v>
      </c>
      <c r="G358" s="68">
        <v>1340</v>
      </c>
      <c r="H358" t="str">
        <f t="shared" si="11"/>
        <v>CJ1340</v>
      </c>
      <c r="I358">
        <f t="shared" si="12"/>
        <v>1</v>
      </c>
      <c r="J358" s="158"/>
      <c r="L358" s="158"/>
    </row>
    <row r="359" spans="2:12" ht="16.5">
      <c r="B359" s="21" t="s">
        <v>562</v>
      </c>
      <c r="C359" s="21" t="s">
        <v>1522</v>
      </c>
      <c r="D359" s="24"/>
      <c r="E359" s="96" t="s">
        <v>1526</v>
      </c>
      <c r="F359" s="22" t="s">
        <v>449</v>
      </c>
      <c r="G359" s="67">
        <v>1350</v>
      </c>
      <c r="H359" t="str">
        <f t="shared" si="11"/>
        <v>CJ1350</v>
      </c>
      <c r="I359">
        <f t="shared" si="12"/>
        <v>0</v>
      </c>
      <c r="J359" s="158"/>
      <c r="L359" s="158"/>
    </row>
    <row r="360" spans="2:12" ht="16.5">
      <c r="B360" s="21" t="s">
        <v>562</v>
      </c>
      <c r="C360" s="21" t="s">
        <v>1522</v>
      </c>
      <c r="D360" s="24"/>
      <c r="E360" s="22" t="s">
        <v>463</v>
      </c>
      <c r="F360" s="22" t="s">
        <v>449</v>
      </c>
      <c r="G360" s="68">
        <v>1350</v>
      </c>
      <c r="H360" t="str">
        <f t="shared" si="11"/>
        <v>CJ1350</v>
      </c>
      <c r="I360">
        <f t="shared" si="12"/>
        <v>1</v>
      </c>
      <c r="J360" s="158"/>
      <c r="L360" s="158"/>
    </row>
    <row r="361" spans="2:12" ht="16.5">
      <c r="B361" s="21" t="s">
        <v>562</v>
      </c>
      <c r="C361" s="21" t="s">
        <v>1522</v>
      </c>
      <c r="D361" s="24"/>
      <c r="E361" s="96" t="s">
        <v>1526</v>
      </c>
      <c r="F361" s="22" t="s">
        <v>449</v>
      </c>
      <c r="G361" s="67">
        <v>2110</v>
      </c>
      <c r="H361" t="str">
        <f t="shared" si="11"/>
        <v>CJ2110</v>
      </c>
      <c r="I361">
        <f t="shared" si="12"/>
        <v>1</v>
      </c>
      <c r="J361" s="158"/>
      <c r="L361" s="158"/>
    </row>
    <row r="362" spans="2:12" ht="16.5">
      <c r="B362" s="21" t="s">
        <v>562</v>
      </c>
      <c r="C362" s="21" t="s">
        <v>1522</v>
      </c>
      <c r="D362" s="24"/>
      <c r="E362" s="96" t="s">
        <v>1526</v>
      </c>
      <c r="F362" s="22" t="s">
        <v>449</v>
      </c>
      <c r="G362" s="67" t="s">
        <v>1544</v>
      </c>
      <c r="H362" t="str">
        <f t="shared" si="11"/>
        <v>CJ2330</v>
      </c>
      <c r="I362">
        <f t="shared" si="12"/>
        <v>0</v>
      </c>
      <c r="J362" s="158"/>
      <c r="L362" s="158"/>
    </row>
    <row r="363" spans="2:12" ht="16.5">
      <c r="B363" s="21" t="s">
        <v>562</v>
      </c>
      <c r="C363" s="21" t="s">
        <v>1522</v>
      </c>
      <c r="D363" s="22"/>
      <c r="E363" s="22" t="s">
        <v>1262</v>
      </c>
      <c r="F363" s="22" t="s">
        <v>449</v>
      </c>
      <c r="G363" s="22" t="s">
        <v>1544</v>
      </c>
      <c r="H363" t="str">
        <f t="shared" si="11"/>
        <v>CJ2330</v>
      </c>
      <c r="I363">
        <f t="shared" si="12"/>
        <v>1</v>
      </c>
      <c r="J363" s="158"/>
      <c r="L363" s="158"/>
    </row>
    <row r="364" spans="2:12" ht="16.5">
      <c r="B364" s="21" t="s">
        <v>562</v>
      </c>
      <c r="C364" s="21" t="s">
        <v>1522</v>
      </c>
      <c r="D364" s="24"/>
      <c r="E364" s="96" t="s">
        <v>1526</v>
      </c>
      <c r="F364" s="22" t="s">
        <v>449</v>
      </c>
      <c r="G364" s="67" t="s">
        <v>1545</v>
      </c>
      <c r="H364" t="str">
        <f t="shared" si="11"/>
        <v>CJ2340</v>
      </c>
      <c r="I364">
        <f t="shared" si="12"/>
        <v>1</v>
      </c>
      <c r="J364" s="158"/>
      <c r="L364" s="158"/>
    </row>
    <row r="365" spans="2:12" ht="16.5">
      <c r="B365" s="21" t="s">
        <v>562</v>
      </c>
      <c r="C365" s="21" t="s">
        <v>1522</v>
      </c>
      <c r="D365" s="24"/>
      <c r="E365" s="96" t="s">
        <v>1526</v>
      </c>
      <c r="F365" s="22" t="s">
        <v>449</v>
      </c>
      <c r="G365" s="67" t="s">
        <v>1546</v>
      </c>
      <c r="H365" t="str">
        <f t="shared" si="11"/>
        <v>CJ2350</v>
      </c>
      <c r="I365">
        <f t="shared" si="12"/>
        <v>1</v>
      </c>
      <c r="J365" s="158"/>
      <c r="L365" s="158"/>
    </row>
    <row r="366" spans="2:12" ht="16.5">
      <c r="B366" s="21" t="s">
        <v>562</v>
      </c>
      <c r="C366" s="21" t="s">
        <v>1522</v>
      </c>
      <c r="D366" s="24"/>
      <c r="E366" s="22" t="s">
        <v>463</v>
      </c>
      <c r="F366" s="22" t="s">
        <v>449</v>
      </c>
      <c r="G366" s="68">
        <v>2540</v>
      </c>
      <c r="H366" t="str">
        <f t="shared" si="11"/>
        <v>CJ2540</v>
      </c>
      <c r="I366">
        <f t="shared" si="12"/>
        <v>1</v>
      </c>
      <c r="J366" s="158"/>
      <c r="L366" s="158"/>
    </row>
    <row r="367" spans="2:12" ht="16.5">
      <c r="B367" s="125" t="s">
        <v>564</v>
      </c>
      <c r="C367" s="125" t="s">
        <v>1522</v>
      </c>
      <c r="D367" s="131"/>
      <c r="E367" s="132" t="s">
        <v>739</v>
      </c>
      <c r="F367" s="131" t="s">
        <v>1658</v>
      </c>
      <c r="G367" s="133">
        <v>1150</v>
      </c>
      <c r="H367" t="str">
        <f t="shared" ref="H367:H430" si="13">CONCATENATE(F367,G367)</f>
        <v>CMT1150</v>
      </c>
      <c r="I367">
        <f t="shared" si="12"/>
        <v>1</v>
      </c>
      <c r="J367" s="158"/>
      <c r="L367" s="158"/>
    </row>
    <row r="368" spans="2:12" ht="16.5">
      <c r="B368" s="21" t="s">
        <v>564</v>
      </c>
      <c r="C368" s="21" t="s">
        <v>1522</v>
      </c>
      <c r="D368" s="22"/>
      <c r="E368" s="22" t="s">
        <v>739</v>
      </c>
      <c r="F368" s="96" t="s">
        <v>1658</v>
      </c>
      <c r="G368" s="67">
        <v>1210</v>
      </c>
      <c r="H368" t="str">
        <f t="shared" si="13"/>
        <v>CMT1210</v>
      </c>
      <c r="I368">
        <f t="shared" ref="I368:I431" si="14">IF(H368=H369,0,1)</f>
        <v>1</v>
      </c>
      <c r="J368" s="158"/>
      <c r="L368" s="158"/>
    </row>
    <row r="369" spans="2:12" ht="16.5">
      <c r="B369" s="58"/>
      <c r="C369" s="58" t="s">
        <v>1522</v>
      </c>
      <c r="D369" s="61"/>
      <c r="E369" s="22" t="s">
        <v>797</v>
      </c>
      <c r="F369" s="61" t="s">
        <v>284</v>
      </c>
      <c r="G369" s="69">
        <v>1000</v>
      </c>
      <c r="H369" t="str">
        <f t="shared" si="13"/>
        <v>COMM 1000</v>
      </c>
      <c r="I369">
        <f t="shared" si="14"/>
        <v>1</v>
      </c>
      <c r="J369" s="158"/>
      <c r="L369" s="158"/>
    </row>
    <row r="370" spans="2:12" ht="16.5">
      <c r="B370" s="21"/>
      <c r="C370" s="21" t="s">
        <v>1522</v>
      </c>
      <c r="D370" s="22" t="s">
        <v>1331</v>
      </c>
      <c r="E370" s="22" t="s">
        <v>463</v>
      </c>
      <c r="F370" s="22" t="s">
        <v>1547</v>
      </c>
      <c r="G370" s="68">
        <v>1010</v>
      </c>
      <c r="H370" t="str">
        <f t="shared" si="13"/>
        <v>COMM1010</v>
      </c>
      <c r="I370">
        <f t="shared" si="14"/>
        <v>0</v>
      </c>
      <c r="J370" s="158"/>
      <c r="L370" s="158"/>
    </row>
    <row r="371" spans="2:12" ht="16.5">
      <c r="B371" s="45" t="s">
        <v>92</v>
      </c>
      <c r="C371" s="21" t="s">
        <v>1522</v>
      </c>
      <c r="D371" s="22" t="s">
        <v>534</v>
      </c>
      <c r="E371" s="22" t="s">
        <v>1262</v>
      </c>
      <c r="F371" s="22" t="s">
        <v>1547</v>
      </c>
      <c r="G371" s="23" t="s">
        <v>1528</v>
      </c>
      <c r="H371" t="str">
        <f t="shared" si="13"/>
        <v>COMM1010</v>
      </c>
      <c r="I371">
        <f t="shared" si="14"/>
        <v>1</v>
      </c>
      <c r="J371" s="158"/>
      <c r="L371" s="158"/>
    </row>
    <row r="372" spans="2:12" ht="16.5">
      <c r="B372" s="21"/>
      <c r="C372" s="21" t="s">
        <v>1522</v>
      </c>
      <c r="D372" s="22" t="s">
        <v>1331</v>
      </c>
      <c r="E372" s="96" t="s">
        <v>1526</v>
      </c>
      <c r="F372" s="22" t="s">
        <v>1547</v>
      </c>
      <c r="G372" s="67">
        <v>1020</v>
      </c>
      <c r="H372" t="str">
        <f t="shared" si="13"/>
        <v>COMM1020</v>
      </c>
      <c r="I372">
        <f t="shared" si="14"/>
        <v>0</v>
      </c>
      <c r="J372" s="158"/>
      <c r="L372" s="158"/>
    </row>
    <row r="373" spans="2:12" ht="16.5">
      <c r="B373" s="21"/>
      <c r="C373" s="21" t="s">
        <v>1522</v>
      </c>
      <c r="D373" s="22" t="s">
        <v>1331</v>
      </c>
      <c r="E373" s="22" t="s">
        <v>463</v>
      </c>
      <c r="F373" s="22" t="s">
        <v>1547</v>
      </c>
      <c r="G373" s="68">
        <v>1020</v>
      </c>
      <c r="H373" t="str">
        <f t="shared" si="13"/>
        <v>COMM1020</v>
      </c>
      <c r="I373">
        <f t="shared" si="14"/>
        <v>0</v>
      </c>
      <c r="J373" s="158"/>
      <c r="L373" s="158"/>
    </row>
    <row r="374" spans="2:12" ht="16.5">
      <c r="B374" s="21"/>
      <c r="C374" s="21" t="s">
        <v>1522</v>
      </c>
      <c r="D374" s="22" t="s">
        <v>534</v>
      </c>
      <c r="E374" s="22" t="s">
        <v>1586</v>
      </c>
      <c r="F374" s="22" t="s">
        <v>1547</v>
      </c>
      <c r="G374" s="67">
        <v>1020</v>
      </c>
      <c r="H374" t="str">
        <f t="shared" si="13"/>
        <v>COMM1020</v>
      </c>
      <c r="I374">
        <f t="shared" si="14"/>
        <v>1</v>
      </c>
      <c r="J374" s="158"/>
      <c r="L374" s="158"/>
    </row>
    <row r="375" spans="2:12" ht="16.5">
      <c r="B375" s="125"/>
      <c r="C375" s="125" t="s">
        <v>1522</v>
      </c>
      <c r="D375" s="131" t="s">
        <v>446</v>
      </c>
      <c r="E375" s="132" t="s">
        <v>1586</v>
      </c>
      <c r="F375" s="131" t="s">
        <v>1547</v>
      </c>
      <c r="G375" s="133">
        <v>1050</v>
      </c>
      <c r="H375" t="str">
        <f t="shared" si="13"/>
        <v>COMM1050</v>
      </c>
      <c r="I375">
        <f t="shared" si="14"/>
        <v>1</v>
      </c>
      <c r="J375" s="158"/>
      <c r="L375" s="158"/>
    </row>
    <row r="376" spans="2:12" ht="16.5">
      <c r="B376" s="21"/>
      <c r="C376" s="21" t="s">
        <v>1522</v>
      </c>
      <c r="D376" s="24"/>
      <c r="E376" s="96" t="s">
        <v>1526</v>
      </c>
      <c r="F376" s="22" t="s">
        <v>1547</v>
      </c>
      <c r="G376" s="67">
        <v>1500</v>
      </c>
      <c r="H376" t="str">
        <f t="shared" si="13"/>
        <v>COMM1500</v>
      </c>
      <c r="I376">
        <f t="shared" si="14"/>
        <v>1</v>
      </c>
      <c r="J376" s="158"/>
      <c r="L376" s="158"/>
    </row>
    <row r="377" spans="2:12" ht="23.25">
      <c r="B377" s="57"/>
      <c r="C377" s="21" t="s">
        <v>1522</v>
      </c>
      <c r="D377" s="24"/>
      <c r="E377" s="96" t="s">
        <v>1526</v>
      </c>
      <c r="F377" s="22" t="s">
        <v>1547</v>
      </c>
      <c r="G377" s="67">
        <v>2110</v>
      </c>
      <c r="H377" t="str">
        <f t="shared" si="13"/>
        <v>COMM2110</v>
      </c>
      <c r="I377">
        <f t="shared" si="14"/>
        <v>0</v>
      </c>
      <c r="J377" s="158"/>
      <c r="L377" s="158"/>
    </row>
    <row r="378" spans="2:12" ht="16.5">
      <c r="B378" s="21"/>
      <c r="C378" s="21" t="s">
        <v>1522</v>
      </c>
      <c r="D378" s="22" t="s">
        <v>534</v>
      </c>
      <c r="E378" s="22" t="s">
        <v>1586</v>
      </c>
      <c r="F378" s="22" t="s">
        <v>1547</v>
      </c>
      <c r="G378" s="67">
        <v>2110</v>
      </c>
      <c r="H378" t="str">
        <f t="shared" si="13"/>
        <v>COMM2110</v>
      </c>
      <c r="I378">
        <f t="shared" si="14"/>
        <v>0</v>
      </c>
      <c r="J378" s="158"/>
      <c r="L378" s="158"/>
    </row>
    <row r="379" spans="2:12" ht="16.5">
      <c r="B379" s="21"/>
      <c r="C379" s="21" t="s">
        <v>1522</v>
      </c>
      <c r="D379" s="22" t="s">
        <v>534</v>
      </c>
      <c r="E379" s="22" t="s">
        <v>739</v>
      </c>
      <c r="F379" s="22" t="s">
        <v>1547</v>
      </c>
      <c r="G379" s="68">
        <v>2110</v>
      </c>
      <c r="H379" t="str">
        <f t="shared" si="13"/>
        <v>COMM2110</v>
      </c>
      <c r="I379">
        <f t="shared" si="14"/>
        <v>1</v>
      </c>
      <c r="J379" s="158"/>
      <c r="L379" s="158"/>
    </row>
    <row r="380" spans="2:12" ht="16.5">
      <c r="B380" s="21" t="s">
        <v>559</v>
      </c>
      <c r="C380" s="21" t="s">
        <v>1522</v>
      </c>
      <c r="D380" s="22"/>
      <c r="E380" s="22" t="s">
        <v>463</v>
      </c>
      <c r="F380" s="22" t="s">
        <v>1547</v>
      </c>
      <c r="G380" s="68">
        <v>2200</v>
      </c>
      <c r="H380" t="str">
        <f t="shared" si="13"/>
        <v>COMM2200</v>
      </c>
      <c r="I380">
        <f t="shared" si="14"/>
        <v>1</v>
      </c>
      <c r="J380" s="158"/>
      <c r="L380" s="158"/>
    </row>
    <row r="381" spans="2:12" ht="16.5">
      <c r="B381" s="21" t="s">
        <v>559</v>
      </c>
      <c r="C381" s="21" t="s">
        <v>1522</v>
      </c>
      <c r="D381" s="22"/>
      <c r="E381" s="22" t="s">
        <v>463</v>
      </c>
      <c r="F381" s="22" t="s">
        <v>1547</v>
      </c>
      <c r="G381" s="68">
        <v>2205</v>
      </c>
      <c r="H381" t="str">
        <f t="shared" si="13"/>
        <v>COMM2205</v>
      </c>
      <c r="I381">
        <f t="shared" si="14"/>
        <v>1</v>
      </c>
      <c r="J381" s="158"/>
      <c r="L381" s="158"/>
    </row>
    <row r="382" spans="2:12" ht="16.5">
      <c r="B382" s="21" t="s">
        <v>559</v>
      </c>
      <c r="C382" s="21" t="s">
        <v>1522</v>
      </c>
      <c r="D382" s="22"/>
      <c r="E382" s="22" t="s">
        <v>739</v>
      </c>
      <c r="F382" s="22" t="s">
        <v>1547</v>
      </c>
      <c r="G382" s="68">
        <v>2751</v>
      </c>
      <c r="H382" t="str">
        <f t="shared" si="13"/>
        <v>COMM2751</v>
      </c>
      <c r="I382">
        <f t="shared" si="14"/>
        <v>1</v>
      </c>
      <c r="J382" s="158"/>
      <c r="L382" s="158"/>
    </row>
    <row r="383" spans="2:12" ht="16.5">
      <c r="B383" s="21" t="s">
        <v>560</v>
      </c>
      <c r="C383" s="21" t="s">
        <v>1522</v>
      </c>
      <c r="D383" s="22"/>
      <c r="E383" s="96" t="s">
        <v>1526</v>
      </c>
      <c r="F383" s="22" t="s">
        <v>1550</v>
      </c>
      <c r="G383" s="67" t="s">
        <v>1078</v>
      </c>
      <c r="H383" t="str">
        <f t="shared" si="13"/>
        <v>COST1100</v>
      </c>
      <c r="I383">
        <f t="shared" si="14"/>
        <v>1</v>
      </c>
      <c r="J383" s="158"/>
      <c r="L383" s="158"/>
    </row>
    <row r="384" spans="2:12" ht="16.5">
      <c r="B384" s="125" t="s">
        <v>560</v>
      </c>
      <c r="C384" s="125" t="s">
        <v>1522</v>
      </c>
      <c r="D384" s="131"/>
      <c r="E384" s="132" t="s">
        <v>1526</v>
      </c>
      <c r="F384" s="131" t="s">
        <v>1550</v>
      </c>
      <c r="G384" s="133">
        <v>1110</v>
      </c>
      <c r="H384" t="str">
        <f t="shared" si="13"/>
        <v>COST1110</v>
      </c>
      <c r="I384">
        <f t="shared" si="14"/>
        <v>1</v>
      </c>
      <c r="J384" s="158"/>
      <c r="L384" s="158"/>
    </row>
    <row r="385" spans="2:12" ht="16.5">
      <c r="B385" s="21" t="s">
        <v>560</v>
      </c>
      <c r="C385" s="21" t="s">
        <v>1522</v>
      </c>
      <c r="D385" s="22"/>
      <c r="E385" s="96" t="s">
        <v>1526</v>
      </c>
      <c r="F385" s="22" t="s">
        <v>1550</v>
      </c>
      <c r="G385" s="67" t="s">
        <v>1080</v>
      </c>
      <c r="H385" t="str">
        <f t="shared" si="13"/>
        <v>COST1200</v>
      </c>
      <c r="I385">
        <f t="shared" si="14"/>
        <v>1</v>
      </c>
      <c r="J385" s="158"/>
      <c r="L385" s="158"/>
    </row>
    <row r="386" spans="2:12" ht="16.5">
      <c r="B386" s="21" t="s">
        <v>560</v>
      </c>
      <c r="C386" s="21" t="s">
        <v>1522</v>
      </c>
      <c r="D386" s="22"/>
      <c r="E386" s="96" t="s">
        <v>1526</v>
      </c>
      <c r="F386" s="22" t="s">
        <v>1550</v>
      </c>
      <c r="G386" s="67" t="s">
        <v>1081</v>
      </c>
      <c r="H386" t="str">
        <f t="shared" si="13"/>
        <v>COST1210</v>
      </c>
      <c r="I386">
        <f t="shared" si="14"/>
        <v>1</v>
      </c>
      <c r="J386" s="158"/>
      <c r="L386" s="158"/>
    </row>
    <row r="387" spans="2:12" ht="16.5">
      <c r="B387" s="21" t="s">
        <v>567</v>
      </c>
      <c r="C387" s="21" t="s">
        <v>1522</v>
      </c>
      <c r="D387" s="22"/>
      <c r="E387" s="22" t="s">
        <v>1586</v>
      </c>
      <c r="F387" s="22" t="s">
        <v>158</v>
      </c>
      <c r="G387" s="68" t="s">
        <v>436</v>
      </c>
      <c r="H387" t="str">
        <f t="shared" si="13"/>
        <v>CRT1110</v>
      </c>
      <c r="I387">
        <f t="shared" si="14"/>
        <v>1</v>
      </c>
      <c r="J387" s="158"/>
      <c r="L387" s="158"/>
    </row>
    <row r="388" spans="2:12" ht="16.5">
      <c r="B388" s="21" t="s">
        <v>567</v>
      </c>
      <c r="C388" s="21" t="s">
        <v>1522</v>
      </c>
      <c r="D388" s="22"/>
      <c r="E388" s="22" t="s">
        <v>1586</v>
      </c>
      <c r="F388" s="22" t="s">
        <v>158</v>
      </c>
      <c r="G388" s="68" t="s">
        <v>433</v>
      </c>
      <c r="H388" t="str">
        <f t="shared" si="13"/>
        <v>CRT1120</v>
      </c>
      <c r="I388">
        <f t="shared" si="14"/>
        <v>1</v>
      </c>
      <c r="J388" s="158"/>
      <c r="L388" s="158"/>
    </row>
    <row r="389" spans="2:12" ht="16.5">
      <c r="B389" s="21" t="s">
        <v>567</v>
      </c>
      <c r="C389" s="21" t="s">
        <v>1522</v>
      </c>
      <c r="D389" s="22"/>
      <c r="E389" s="22" t="s">
        <v>1586</v>
      </c>
      <c r="F389" s="22" t="s">
        <v>158</v>
      </c>
      <c r="G389" s="68" t="s">
        <v>434</v>
      </c>
      <c r="H389" t="str">
        <f t="shared" si="13"/>
        <v>CRT1130</v>
      </c>
      <c r="I389">
        <f t="shared" si="14"/>
        <v>1</v>
      </c>
      <c r="J389" s="158"/>
      <c r="L389" s="158"/>
    </row>
    <row r="390" spans="2:12" ht="16.5">
      <c r="B390" s="21" t="s">
        <v>567</v>
      </c>
      <c r="C390" s="21" t="s">
        <v>1522</v>
      </c>
      <c r="D390" s="22"/>
      <c r="E390" s="22" t="s">
        <v>1586</v>
      </c>
      <c r="F390" s="22" t="s">
        <v>158</v>
      </c>
      <c r="G390" s="68" t="s">
        <v>1081</v>
      </c>
      <c r="H390" t="str">
        <f t="shared" si="13"/>
        <v>CRT1210</v>
      </c>
      <c r="I390">
        <f t="shared" si="14"/>
        <v>1</v>
      </c>
      <c r="J390" s="158"/>
      <c r="L390" s="158"/>
    </row>
    <row r="391" spans="2:12" ht="16.5">
      <c r="B391" s="21" t="s">
        <v>567</v>
      </c>
      <c r="C391" s="21" t="s">
        <v>1522</v>
      </c>
      <c r="D391" s="22"/>
      <c r="E391" s="22" t="s">
        <v>1586</v>
      </c>
      <c r="F391" s="22" t="s">
        <v>158</v>
      </c>
      <c r="G391" s="68" t="s">
        <v>1104</v>
      </c>
      <c r="H391" t="str">
        <f t="shared" si="13"/>
        <v>CRT1220</v>
      </c>
      <c r="I391">
        <f t="shared" si="14"/>
        <v>1</v>
      </c>
      <c r="J391" s="158"/>
      <c r="L391" s="158"/>
    </row>
    <row r="392" spans="2:12" ht="16.5">
      <c r="B392" s="21" t="s">
        <v>567</v>
      </c>
      <c r="C392" s="21" t="s">
        <v>1522</v>
      </c>
      <c r="D392" s="22"/>
      <c r="E392" s="22" t="s">
        <v>1586</v>
      </c>
      <c r="F392" s="22" t="s">
        <v>158</v>
      </c>
      <c r="G392" s="68" t="s">
        <v>1263</v>
      </c>
      <c r="H392" t="str">
        <f t="shared" si="13"/>
        <v>CRT1230</v>
      </c>
      <c r="I392">
        <f t="shared" si="14"/>
        <v>1</v>
      </c>
      <c r="J392" s="158"/>
      <c r="L392" s="158"/>
    </row>
    <row r="393" spans="2:12" ht="16.5">
      <c r="B393" s="125" t="s">
        <v>119</v>
      </c>
      <c r="C393" s="125" t="s">
        <v>1522</v>
      </c>
      <c r="D393" s="131"/>
      <c r="E393" s="132" t="s">
        <v>1195</v>
      </c>
      <c r="F393" s="131" t="s">
        <v>300</v>
      </c>
      <c r="G393" s="133" t="s">
        <v>1528</v>
      </c>
      <c r="H393" t="str">
        <f t="shared" si="13"/>
        <v>CS1010</v>
      </c>
      <c r="I393">
        <f t="shared" si="14"/>
        <v>1</v>
      </c>
      <c r="J393" s="158"/>
      <c r="L393" s="158"/>
    </row>
    <row r="394" spans="2:12" ht="16.5">
      <c r="B394" s="125" t="s">
        <v>1830</v>
      </c>
      <c r="C394" s="21" t="s">
        <v>1522</v>
      </c>
      <c r="D394" s="22"/>
      <c r="E394" s="22" t="s">
        <v>739</v>
      </c>
      <c r="F394" s="22" t="s">
        <v>300</v>
      </c>
      <c r="G394" s="68">
        <v>1030</v>
      </c>
      <c r="H394" t="str">
        <f t="shared" si="13"/>
        <v>CS1030</v>
      </c>
      <c r="I394">
        <f t="shared" si="14"/>
        <v>0</v>
      </c>
      <c r="J394" s="158"/>
      <c r="L394" s="158"/>
    </row>
    <row r="395" spans="2:12" ht="16.5">
      <c r="B395" s="21" t="s">
        <v>119</v>
      </c>
      <c r="C395" s="21" t="s">
        <v>1522</v>
      </c>
      <c r="D395" s="22"/>
      <c r="E395" s="22" t="s">
        <v>739</v>
      </c>
      <c r="F395" s="22" t="s">
        <v>300</v>
      </c>
      <c r="G395" s="68">
        <v>1030</v>
      </c>
      <c r="H395" t="str">
        <f t="shared" si="13"/>
        <v>CS1030</v>
      </c>
      <c r="I395">
        <f t="shared" si="14"/>
        <v>1</v>
      </c>
      <c r="J395" s="158"/>
      <c r="L395" s="158"/>
    </row>
    <row r="396" spans="2:12" ht="16.5">
      <c r="B396" s="146" t="s">
        <v>116</v>
      </c>
      <c r="C396" s="146" t="s">
        <v>1522</v>
      </c>
      <c r="D396" s="147"/>
      <c r="E396" s="148" t="s">
        <v>463</v>
      </c>
      <c r="F396" s="148" t="s">
        <v>300</v>
      </c>
      <c r="G396" s="149">
        <v>1121</v>
      </c>
      <c r="H396" t="str">
        <f t="shared" si="13"/>
        <v>CS1121</v>
      </c>
      <c r="I396">
        <f t="shared" si="14"/>
        <v>1</v>
      </c>
      <c r="J396" s="158"/>
      <c r="L396" s="158"/>
    </row>
    <row r="397" spans="2:12" ht="16.5">
      <c r="B397" s="21" t="s">
        <v>119</v>
      </c>
      <c r="C397" s="21" t="s">
        <v>1522</v>
      </c>
      <c r="D397" s="24"/>
      <c r="E397" s="22" t="s">
        <v>1195</v>
      </c>
      <c r="F397" s="22" t="s">
        <v>300</v>
      </c>
      <c r="G397" s="67">
        <v>1400</v>
      </c>
      <c r="H397" t="str">
        <f t="shared" si="13"/>
        <v>CS1400</v>
      </c>
      <c r="I397">
        <f t="shared" si="14"/>
        <v>0</v>
      </c>
      <c r="J397" s="158"/>
      <c r="L397" s="158"/>
    </row>
    <row r="398" spans="2:12" ht="16.5">
      <c r="B398" s="21" t="s">
        <v>119</v>
      </c>
      <c r="C398" s="21" t="s">
        <v>1522</v>
      </c>
      <c r="D398" s="22"/>
      <c r="E398" s="22" t="s">
        <v>463</v>
      </c>
      <c r="F398" s="22" t="s">
        <v>300</v>
      </c>
      <c r="G398" s="67">
        <v>1400</v>
      </c>
      <c r="H398" t="str">
        <f t="shared" si="13"/>
        <v>CS1400</v>
      </c>
      <c r="I398">
        <f t="shared" si="14"/>
        <v>0</v>
      </c>
      <c r="J398" s="158"/>
      <c r="L398" s="158"/>
    </row>
    <row r="399" spans="2:12" ht="16.5">
      <c r="B399" s="21" t="s">
        <v>119</v>
      </c>
      <c r="C399" s="21" t="s">
        <v>1522</v>
      </c>
      <c r="D399" s="22"/>
      <c r="E399" s="22" t="s">
        <v>1586</v>
      </c>
      <c r="F399" s="22" t="s">
        <v>300</v>
      </c>
      <c r="G399" s="67">
        <v>1400</v>
      </c>
      <c r="H399" t="str">
        <f t="shared" si="13"/>
        <v>CS1400</v>
      </c>
      <c r="I399">
        <f t="shared" si="14"/>
        <v>0</v>
      </c>
      <c r="J399" s="158"/>
      <c r="L399" s="158"/>
    </row>
    <row r="400" spans="2:12" ht="16.5">
      <c r="B400" s="125" t="s">
        <v>119</v>
      </c>
      <c r="C400" s="21" t="s">
        <v>1522</v>
      </c>
      <c r="D400" s="22"/>
      <c r="E400" s="22" t="s">
        <v>739</v>
      </c>
      <c r="F400" s="22" t="s">
        <v>300</v>
      </c>
      <c r="G400" s="68">
        <v>1400</v>
      </c>
      <c r="H400" t="str">
        <f t="shared" si="13"/>
        <v>CS1400</v>
      </c>
      <c r="I400">
        <f t="shared" si="14"/>
        <v>1</v>
      </c>
      <c r="J400" s="158"/>
      <c r="L400" s="158"/>
    </row>
    <row r="401" spans="2:12" ht="16.5">
      <c r="B401" s="21" t="s">
        <v>120</v>
      </c>
      <c r="C401" s="21" t="s">
        <v>1522</v>
      </c>
      <c r="D401" s="22"/>
      <c r="E401" s="22" t="s">
        <v>1195</v>
      </c>
      <c r="F401" s="22" t="s">
        <v>300</v>
      </c>
      <c r="G401" s="67">
        <v>1410</v>
      </c>
      <c r="H401" t="str">
        <f t="shared" si="13"/>
        <v>CS1410</v>
      </c>
      <c r="I401">
        <f t="shared" si="14"/>
        <v>0</v>
      </c>
      <c r="J401" s="158"/>
      <c r="L401" s="158"/>
    </row>
    <row r="402" spans="2:12" ht="16.5">
      <c r="B402" s="21" t="s">
        <v>120</v>
      </c>
      <c r="C402" s="21" t="s">
        <v>1522</v>
      </c>
      <c r="D402" s="24"/>
      <c r="E402" s="22" t="s">
        <v>1586</v>
      </c>
      <c r="F402" s="22" t="s">
        <v>300</v>
      </c>
      <c r="G402" s="67">
        <v>1410</v>
      </c>
      <c r="H402" t="str">
        <f t="shared" si="13"/>
        <v>CS1410</v>
      </c>
      <c r="I402">
        <f t="shared" si="14"/>
        <v>0</v>
      </c>
      <c r="J402" s="158"/>
      <c r="L402" s="158"/>
    </row>
    <row r="403" spans="2:12" ht="16.5">
      <c r="B403" s="21" t="s">
        <v>120</v>
      </c>
      <c r="C403" s="21" t="s">
        <v>1522</v>
      </c>
      <c r="D403" s="22"/>
      <c r="E403" s="22" t="s">
        <v>739</v>
      </c>
      <c r="F403" s="22" t="s">
        <v>300</v>
      </c>
      <c r="G403" s="68">
        <v>1410</v>
      </c>
      <c r="H403" t="str">
        <f t="shared" si="13"/>
        <v>CS1410</v>
      </c>
      <c r="I403">
        <f t="shared" si="14"/>
        <v>1</v>
      </c>
      <c r="J403" s="158"/>
      <c r="L403" s="158"/>
    </row>
    <row r="404" spans="2:12" ht="16.5">
      <c r="B404" s="21" t="s">
        <v>101</v>
      </c>
      <c r="C404" s="21" t="s">
        <v>1521</v>
      </c>
      <c r="D404" s="22" t="s">
        <v>1331</v>
      </c>
      <c r="E404" s="22" t="s">
        <v>1262</v>
      </c>
      <c r="F404" s="22" t="s">
        <v>1204</v>
      </c>
      <c r="G404" s="22" t="s">
        <v>1531</v>
      </c>
      <c r="H404" t="str">
        <f t="shared" si="13"/>
        <v>CSIS1000</v>
      </c>
      <c r="I404">
        <f t="shared" si="14"/>
        <v>1</v>
      </c>
      <c r="J404" s="158"/>
      <c r="L404" s="158"/>
    </row>
    <row r="405" spans="2:12" ht="16.5">
      <c r="B405" s="45" t="s">
        <v>1240</v>
      </c>
      <c r="C405" s="21" t="s">
        <v>1522</v>
      </c>
      <c r="D405" s="22" t="s">
        <v>1331</v>
      </c>
      <c r="E405" s="22" t="s">
        <v>1262</v>
      </c>
      <c r="F405" s="22" t="s">
        <v>1204</v>
      </c>
      <c r="G405" s="22" t="s">
        <v>1528</v>
      </c>
      <c r="H405" t="str">
        <f t="shared" si="13"/>
        <v>CSIS1010</v>
      </c>
      <c r="I405">
        <f t="shared" si="14"/>
        <v>1</v>
      </c>
      <c r="J405" s="158"/>
      <c r="L405" s="158"/>
    </row>
    <row r="406" spans="2:12" ht="16.5">
      <c r="B406" s="21"/>
      <c r="C406" s="21" t="s">
        <v>1521</v>
      </c>
      <c r="D406" s="22" t="s">
        <v>1330</v>
      </c>
      <c r="E406" s="96" t="s">
        <v>1526</v>
      </c>
      <c r="F406" s="22" t="s">
        <v>318</v>
      </c>
      <c r="G406" s="67" t="s">
        <v>1528</v>
      </c>
      <c r="H406" t="str">
        <f t="shared" si="13"/>
        <v>DANC1010</v>
      </c>
      <c r="I406">
        <f>IF(H406=H407,0,1)</f>
        <v>1</v>
      </c>
      <c r="J406" s="158"/>
      <c r="L406" s="158"/>
    </row>
    <row r="407" spans="2:12">
      <c r="B407" s="89"/>
      <c r="C407" s="89" t="s">
        <v>1521</v>
      </c>
      <c r="D407" s="89"/>
      <c r="E407" s="96" t="s">
        <v>1526</v>
      </c>
      <c r="F407" s="91" t="s">
        <v>318</v>
      </c>
      <c r="G407" s="93">
        <v>1170</v>
      </c>
      <c r="H407" t="str">
        <f t="shared" si="13"/>
        <v>DANC1170</v>
      </c>
      <c r="I407">
        <f>IF(H407=H408,0,1)</f>
        <v>1</v>
      </c>
      <c r="J407" s="158"/>
      <c r="L407" s="158"/>
    </row>
    <row r="408" spans="2:12" ht="16.5">
      <c r="B408" s="21"/>
      <c r="C408" s="21" t="s">
        <v>1522</v>
      </c>
      <c r="D408" s="22"/>
      <c r="E408" s="22" t="s">
        <v>1586</v>
      </c>
      <c r="F408" s="22" t="s">
        <v>318</v>
      </c>
      <c r="G408" s="108">
        <v>1200</v>
      </c>
      <c r="H408" t="str">
        <f t="shared" si="13"/>
        <v>DANC1200</v>
      </c>
      <c r="I408">
        <f>IF(H408=H409,0,1)</f>
        <v>1</v>
      </c>
      <c r="J408" s="158"/>
      <c r="L408" s="158"/>
    </row>
    <row r="409" spans="2:12" ht="16.5">
      <c r="B409" s="21"/>
      <c r="C409" s="21" t="s">
        <v>1522</v>
      </c>
      <c r="D409" s="22"/>
      <c r="E409" s="22" t="s">
        <v>1586</v>
      </c>
      <c r="F409" s="107" t="s">
        <v>318</v>
      </c>
      <c r="G409" s="94" t="s">
        <v>1594</v>
      </c>
      <c r="H409" t="str">
        <f t="shared" si="13"/>
        <v>DANC141R</v>
      </c>
      <c r="I409">
        <f>IF(H409=H410,0,1)</f>
        <v>1</v>
      </c>
      <c r="J409" s="158"/>
      <c r="L409" s="158"/>
    </row>
    <row r="410" spans="2:12" ht="16.5">
      <c r="B410" s="21"/>
      <c r="C410" s="21" t="s">
        <v>1522</v>
      </c>
      <c r="D410" s="22"/>
      <c r="E410" s="96" t="s">
        <v>1526</v>
      </c>
      <c r="F410" s="22" t="s">
        <v>318</v>
      </c>
      <c r="G410" s="67" t="s">
        <v>1082</v>
      </c>
      <c r="H410" t="str">
        <f t="shared" si="13"/>
        <v>DANC2200</v>
      </c>
      <c r="I410">
        <f t="shared" si="14"/>
        <v>1</v>
      </c>
      <c r="J410" s="158"/>
      <c r="L410" s="158"/>
    </row>
    <row r="411" spans="2:12" ht="16.5">
      <c r="B411" s="21"/>
      <c r="C411" s="21" t="s">
        <v>1521</v>
      </c>
      <c r="D411" s="22"/>
      <c r="E411" s="96" t="s">
        <v>1526</v>
      </c>
      <c r="F411" s="22" t="s">
        <v>318</v>
      </c>
      <c r="G411" s="67" t="s">
        <v>1083</v>
      </c>
      <c r="H411" t="str">
        <f t="shared" si="13"/>
        <v>DANC2240</v>
      </c>
      <c r="I411">
        <f t="shared" si="14"/>
        <v>1</v>
      </c>
      <c r="J411" s="158"/>
      <c r="L411" s="158"/>
    </row>
    <row r="412" spans="2:12" ht="16.5">
      <c r="B412" s="21"/>
      <c r="C412" s="21" t="s">
        <v>1521</v>
      </c>
      <c r="D412" s="22"/>
      <c r="E412" s="96" t="s">
        <v>1526</v>
      </c>
      <c r="F412" s="22" t="s">
        <v>318</v>
      </c>
      <c r="G412" s="67" t="s">
        <v>1084</v>
      </c>
      <c r="H412" t="str">
        <f t="shared" si="13"/>
        <v>DANC2310</v>
      </c>
      <c r="I412">
        <f t="shared" si="14"/>
        <v>1</v>
      </c>
      <c r="J412" s="158"/>
      <c r="L412" s="158"/>
    </row>
    <row r="413" spans="2:12" ht="16.5">
      <c r="B413" s="21" t="s">
        <v>574</v>
      </c>
      <c r="C413" s="21" t="s">
        <v>1522</v>
      </c>
      <c r="D413" s="22"/>
      <c r="E413" s="22" t="s">
        <v>739</v>
      </c>
      <c r="F413" s="162" t="s">
        <v>30</v>
      </c>
      <c r="G413" s="163">
        <v>1050</v>
      </c>
      <c r="H413" t="str">
        <f t="shared" si="13"/>
        <v>DGET1050</v>
      </c>
      <c r="I413">
        <f t="shared" si="14"/>
        <v>0</v>
      </c>
      <c r="J413" s="158"/>
      <c r="L413" s="158"/>
    </row>
    <row r="414" spans="2:12" ht="16.5">
      <c r="B414" s="21" t="s">
        <v>575</v>
      </c>
      <c r="C414" s="21" t="s">
        <v>1522</v>
      </c>
      <c r="D414" s="22"/>
      <c r="E414" s="22" t="s">
        <v>739</v>
      </c>
      <c r="F414" s="162" t="s">
        <v>30</v>
      </c>
      <c r="G414" s="163">
        <v>1050</v>
      </c>
      <c r="H414" t="str">
        <f t="shared" si="13"/>
        <v>DGET1050</v>
      </c>
      <c r="I414">
        <f t="shared" si="14"/>
        <v>1</v>
      </c>
      <c r="J414" s="158"/>
      <c r="L414" s="158"/>
    </row>
    <row r="415" spans="2:12" ht="16.5">
      <c r="B415" s="21" t="s">
        <v>571</v>
      </c>
      <c r="C415" s="21" t="s">
        <v>1522</v>
      </c>
      <c r="D415" s="22"/>
      <c r="E415" s="22" t="s">
        <v>739</v>
      </c>
      <c r="F415" s="22" t="s">
        <v>30</v>
      </c>
      <c r="G415" s="68">
        <v>1150</v>
      </c>
      <c r="H415" t="str">
        <f t="shared" si="13"/>
        <v>DGET1150</v>
      </c>
      <c r="I415">
        <f t="shared" si="14"/>
        <v>1</v>
      </c>
      <c r="J415" s="158"/>
      <c r="L415" s="158"/>
    </row>
    <row r="416" spans="2:12" ht="16.5">
      <c r="B416" s="21" t="s">
        <v>574</v>
      </c>
      <c r="C416" s="21" t="s">
        <v>1522</v>
      </c>
      <c r="D416" s="22"/>
      <c r="E416" s="22" t="s">
        <v>739</v>
      </c>
      <c r="F416" s="22" t="s">
        <v>30</v>
      </c>
      <c r="G416" s="68">
        <v>1250</v>
      </c>
      <c r="H416" t="str">
        <f t="shared" si="13"/>
        <v>DGET1250</v>
      </c>
      <c r="I416">
        <f t="shared" si="14"/>
        <v>1</v>
      </c>
      <c r="J416" s="158"/>
      <c r="L416" s="158"/>
    </row>
    <row r="417" spans="2:12" ht="16.5">
      <c r="B417" s="21" t="s">
        <v>134</v>
      </c>
      <c r="C417" s="21" t="s">
        <v>1522</v>
      </c>
      <c r="D417" s="22"/>
      <c r="E417" s="22" t="s">
        <v>739</v>
      </c>
      <c r="F417" s="22" t="s">
        <v>30</v>
      </c>
      <c r="G417" s="68">
        <v>1260</v>
      </c>
      <c r="H417" t="str">
        <f t="shared" si="13"/>
        <v>DGET1260</v>
      </c>
      <c r="I417">
        <f t="shared" si="14"/>
        <v>0</v>
      </c>
      <c r="J417" s="158"/>
      <c r="L417" s="158"/>
    </row>
    <row r="418" spans="2:12" ht="16.5">
      <c r="B418" s="21" t="s">
        <v>575</v>
      </c>
      <c r="C418" s="21" t="s">
        <v>1522</v>
      </c>
      <c r="D418" s="22"/>
      <c r="E418" s="22" t="s">
        <v>739</v>
      </c>
      <c r="F418" s="22" t="s">
        <v>30</v>
      </c>
      <c r="G418" s="68">
        <v>1260</v>
      </c>
      <c r="H418" t="str">
        <f t="shared" si="13"/>
        <v>DGET1260</v>
      </c>
      <c r="I418">
        <f t="shared" si="14"/>
        <v>1</v>
      </c>
      <c r="J418" s="158"/>
      <c r="L418" s="158"/>
    </row>
    <row r="419" spans="2:12" ht="16.5">
      <c r="B419" s="21" t="s">
        <v>571</v>
      </c>
      <c r="C419" s="21" t="s">
        <v>1522</v>
      </c>
      <c r="D419" s="22"/>
      <c r="E419" s="22" t="s">
        <v>739</v>
      </c>
      <c r="F419" s="22" t="s">
        <v>30</v>
      </c>
      <c r="G419" s="68">
        <v>1350</v>
      </c>
      <c r="H419" t="str">
        <f t="shared" si="13"/>
        <v>DGET1350</v>
      </c>
      <c r="I419">
        <f t="shared" si="14"/>
        <v>1</v>
      </c>
      <c r="J419" s="158"/>
      <c r="L419" s="158"/>
    </row>
    <row r="420" spans="2:12" ht="16.5">
      <c r="B420" s="21" t="s">
        <v>581</v>
      </c>
      <c r="C420" s="21" t="s">
        <v>1522</v>
      </c>
      <c r="D420" s="22"/>
      <c r="E420" s="22" t="s">
        <v>739</v>
      </c>
      <c r="F420" s="22" t="s">
        <v>30</v>
      </c>
      <c r="G420" s="68">
        <v>2650</v>
      </c>
      <c r="H420" t="str">
        <f t="shared" si="13"/>
        <v>DGET2650</v>
      </c>
      <c r="I420">
        <f t="shared" si="14"/>
        <v>1</v>
      </c>
      <c r="J420" s="158"/>
      <c r="L420" s="158"/>
    </row>
    <row r="421" spans="2:12" ht="16.5">
      <c r="B421" s="21" t="s">
        <v>101</v>
      </c>
      <c r="C421" s="21" t="s">
        <v>1521</v>
      </c>
      <c r="D421" s="22"/>
      <c r="E421" s="22" t="s">
        <v>1586</v>
      </c>
      <c r="F421" s="22" t="s">
        <v>286</v>
      </c>
      <c r="G421" s="67">
        <v>1010</v>
      </c>
      <c r="H421" t="str">
        <f t="shared" si="13"/>
        <v>DGM1010</v>
      </c>
      <c r="I421">
        <f t="shared" si="14"/>
        <v>1</v>
      </c>
      <c r="J421" s="158"/>
      <c r="L421" s="158"/>
    </row>
    <row r="422" spans="2:12" ht="16.5">
      <c r="B422" s="21" t="s">
        <v>117</v>
      </c>
      <c r="C422" s="21" t="s">
        <v>1522</v>
      </c>
      <c r="D422" s="22"/>
      <c r="E422" s="22" t="s">
        <v>1586</v>
      </c>
      <c r="F422" s="22" t="s">
        <v>286</v>
      </c>
      <c r="G422" s="67">
        <v>1110</v>
      </c>
      <c r="H422" t="str">
        <f t="shared" si="13"/>
        <v>DGM1110</v>
      </c>
      <c r="I422">
        <f t="shared" si="14"/>
        <v>1</v>
      </c>
      <c r="J422" s="158"/>
      <c r="L422" s="158"/>
    </row>
    <row r="423" spans="2:12" ht="16.5">
      <c r="B423" s="58" t="s">
        <v>1556</v>
      </c>
      <c r="C423" s="58" t="s">
        <v>1522</v>
      </c>
      <c r="D423" s="61"/>
      <c r="E423" s="22" t="s">
        <v>1261</v>
      </c>
      <c r="F423" s="61" t="s">
        <v>951</v>
      </c>
      <c r="G423" s="69">
        <v>1007</v>
      </c>
      <c r="H423" t="str">
        <f t="shared" si="13"/>
        <v>DRFT1007</v>
      </c>
      <c r="I423">
        <f t="shared" si="14"/>
        <v>1</v>
      </c>
      <c r="J423" s="158"/>
      <c r="L423" s="158"/>
    </row>
    <row r="424" spans="2:12" ht="16.5">
      <c r="B424" s="58" t="s">
        <v>1557</v>
      </c>
      <c r="C424" s="58" t="s">
        <v>1522</v>
      </c>
      <c r="D424" s="61"/>
      <c r="E424" s="22" t="s">
        <v>1261</v>
      </c>
      <c r="F424" s="61" t="s">
        <v>951</v>
      </c>
      <c r="G424" s="69">
        <v>1008</v>
      </c>
      <c r="H424" t="str">
        <f t="shared" si="13"/>
        <v>DRFT1008</v>
      </c>
      <c r="I424">
        <f t="shared" si="14"/>
        <v>1</v>
      </c>
      <c r="J424" s="158"/>
      <c r="L424" s="158"/>
    </row>
    <row r="425" spans="2:12" ht="16.5">
      <c r="B425" s="21" t="s">
        <v>575</v>
      </c>
      <c r="C425" s="21" t="s">
        <v>1522</v>
      </c>
      <c r="D425" s="22"/>
      <c r="E425" s="22" t="s">
        <v>1261</v>
      </c>
      <c r="F425" s="22" t="s">
        <v>951</v>
      </c>
      <c r="G425" s="67">
        <v>1010</v>
      </c>
      <c r="H425" t="str">
        <f t="shared" si="13"/>
        <v>DRFT1010</v>
      </c>
      <c r="I425">
        <f t="shared" si="14"/>
        <v>1</v>
      </c>
      <c r="J425" s="158"/>
      <c r="L425" s="158"/>
    </row>
    <row r="426" spans="2:12" ht="16.5">
      <c r="B426" s="21" t="s">
        <v>571</v>
      </c>
      <c r="C426" s="21" t="s">
        <v>1522</v>
      </c>
      <c r="D426" s="22"/>
      <c r="E426" s="22" t="s">
        <v>1261</v>
      </c>
      <c r="F426" s="22" t="s">
        <v>951</v>
      </c>
      <c r="G426" s="67">
        <v>1100</v>
      </c>
      <c r="H426" t="str">
        <f t="shared" si="13"/>
        <v>DRFT1100</v>
      </c>
      <c r="I426">
        <f t="shared" si="14"/>
        <v>1</v>
      </c>
      <c r="J426" s="158"/>
      <c r="L426" s="158"/>
    </row>
    <row r="427" spans="2:12" ht="16.5">
      <c r="B427" s="21" t="s">
        <v>574</v>
      </c>
      <c r="C427" s="21" t="s">
        <v>1522</v>
      </c>
      <c r="D427" s="22"/>
      <c r="E427" s="22" t="s">
        <v>1261</v>
      </c>
      <c r="F427" s="96" t="s">
        <v>951</v>
      </c>
      <c r="G427" s="67">
        <v>1302</v>
      </c>
      <c r="H427" t="str">
        <f t="shared" si="13"/>
        <v>DRFT1302</v>
      </c>
      <c r="I427">
        <f t="shared" si="14"/>
        <v>1</v>
      </c>
      <c r="J427" s="158"/>
      <c r="L427" s="158"/>
    </row>
    <row r="428" spans="2:12" ht="16.5">
      <c r="B428" s="58" t="s">
        <v>571</v>
      </c>
      <c r="C428" s="58" t="s">
        <v>1522</v>
      </c>
      <c r="D428" s="61"/>
      <c r="E428" s="22" t="s">
        <v>1261</v>
      </c>
      <c r="F428" s="61" t="s">
        <v>951</v>
      </c>
      <c r="G428" s="69">
        <v>1310</v>
      </c>
      <c r="H428" t="str">
        <f t="shared" si="13"/>
        <v>DRFT1310</v>
      </c>
      <c r="I428">
        <f t="shared" si="14"/>
        <v>1</v>
      </c>
      <c r="J428" s="158"/>
      <c r="L428" s="158"/>
    </row>
    <row r="429" spans="2:12" ht="16.5">
      <c r="B429" s="21" t="s">
        <v>574</v>
      </c>
      <c r="C429" s="21" t="s">
        <v>1522</v>
      </c>
      <c r="D429" s="22"/>
      <c r="E429" s="22" t="s">
        <v>1261</v>
      </c>
      <c r="F429" s="96" t="s">
        <v>951</v>
      </c>
      <c r="G429" s="67">
        <v>1312</v>
      </c>
      <c r="H429" t="str">
        <f t="shared" si="13"/>
        <v>DRFT1312</v>
      </c>
      <c r="I429">
        <f t="shared" si="14"/>
        <v>1</v>
      </c>
      <c r="J429" s="158"/>
      <c r="L429" s="158"/>
    </row>
    <row r="430" spans="2:12" ht="16.5">
      <c r="B430" s="21" t="s">
        <v>571</v>
      </c>
      <c r="C430" s="21" t="s">
        <v>1522</v>
      </c>
      <c r="D430" s="22"/>
      <c r="E430" s="22" t="s">
        <v>1261</v>
      </c>
      <c r="F430" s="96" t="s">
        <v>951</v>
      </c>
      <c r="G430" s="67">
        <v>2100</v>
      </c>
      <c r="H430" t="str">
        <f t="shared" si="13"/>
        <v>DRFT2100</v>
      </c>
      <c r="I430">
        <f t="shared" si="14"/>
        <v>1</v>
      </c>
      <c r="J430" s="158"/>
      <c r="L430" s="158"/>
    </row>
    <row r="431" spans="2:12" ht="16.5">
      <c r="B431" s="21" t="s">
        <v>574</v>
      </c>
      <c r="C431" s="21" t="s">
        <v>1522</v>
      </c>
      <c r="D431" s="22"/>
      <c r="E431" s="22" t="s">
        <v>1261</v>
      </c>
      <c r="F431" s="96" t="s">
        <v>951</v>
      </c>
      <c r="G431" s="67">
        <v>2332</v>
      </c>
      <c r="H431" t="str">
        <f t="shared" ref="H431:H494" si="15">CONCATENATE(F431,G431)</f>
        <v>DRFT2332</v>
      </c>
      <c r="I431">
        <f t="shared" si="14"/>
        <v>1</v>
      </c>
      <c r="J431" s="158"/>
      <c r="L431" s="158"/>
    </row>
    <row r="432" spans="2:12" ht="16.5">
      <c r="B432" s="21" t="s">
        <v>570</v>
      </c>
      <c r="C432" s="21" t="s">
        <v>1522</v>
      </c>
      <c r="D432" s="22"/>
      <c r="E432" s="96" t="s">
        <v>1526</v>
      </c>
      <c r="F432" s="22" t="s">
        <v>1085</v>
      </c>
      <c r="G432" s="67" t="s">
        <v>1531</v>
      </c>
      <c r="H432" t="str">
        <f t="shared" si="15"/>
        <v>DSME1000</v>
      </c>
      <c r="I432">
        <f t="shared" ref="I432:I495" si="16">IF(H432=H433,0,1)</f>
        <v>1</v>
      </c>
      <c r="J432" s="158"/>
      <c r="L432" s="158"/>
    </row>
    <row r="433" spans="2:12" ht="16.5">
      <c r="B433" s="21" t="s">
        <v>570</v>
      </c>
      <c r="C433" s="21" t="s">
        <v>1522</v>
      </c>
      <c r="D433" s="22"/>
      <c r="E433" s="96" t="s">
        <v>1526</v>
      </c>
      <c r="F433" s="22" t="s">
        <v>1085</v>
      </c>
      <c r="G433" s="67" t="s">
        <v>1086</v>
      </c>
      <c r="H433" t="str">
        <f t="shared" si="15"/>
        <v>DSME2410</v>
      </c>
      <c r="I433">
        <f t="shared" si="16"/>
        <v>1</v>
      </c>
      <c r="J433" s="158"/>
      <c r="L433" s="158"/>
    </row>
    <row r="434" spans="2:12" ht="16.5">
      <c r="B434" s="21" t="s">
        <v>570</v>
      </c>
      <c r="C434" s="21" t="s">
        <v>1522</v>
      </c>
      <c r="D434" s="22"/>
      <c r="E434" s="96" t="s">
        <v>1526</v>
      </c>
      <c r="F434" s="22" t="s">
        <v>1085</v>
      </c>
      <c r="G434" s="67" t="s">
        <v>1087</v>
      </c>
      <c r="H434" t="str">
        <f t="shared" si="15"/>
        <v>DSME2430</v>
      </c>
      <c r="I434">
        <f t="shared" si="16"/>
        <v>1</v>
      </c>
      <c r="J434" s="158"/>
      <c r="L434" s="158"/>
    </row>
    <row r="435" spans="2:12" ht="16.5">
      <c r="B435" s="21" t="s">
        <v>570</v>
      </c>
      <c r="C435" s="21" t="s">
        <v>1522</v>
      </c>
      <c r="D435" s="22"/>
      <c r="E435" s="22" t="s">
        <v>463</v>
      </c>
      <c r="F435" s="22" t="s">
        <v>1525</v>
      </c>
      <c r="G435" s="67">
        <v>1040</v>
      </c>
      <c r="H435" t="str">
        <f t="shared" si="15"/>
        <v>DST1040</v>
      </c>
      <c r="I435">
        <f t="shared" si="16"/>
        <v>1</v>
      </c>
      <c r="J435" s="158"/>
      <c r="L435" s="158"/>
    </row>
    <row r="436" spans="2:12" ht="16.5">
      <c r="B436" s="21" t="s">
        <v>570</v>
      </c>
      <c r="C436" s="21" t="s">
        <v>1522</v>
      </c>
      <c r="D436" s="22"/>
      <c r="E436" s="22" t="s">
        <v>463</v>
      </c>
      <c r="F436" s="22" t="s">
        <v>1525</v>
      </c>
      <c r="G436" s="67">
        <v>1050</v>
      </c>
      <c r="H436" t="str">
        <f t="shared" si="15"/>
        <v>DST1050</v>
      </c>
      <c r="I436">
        <f t="shared" si="16"/>
        <v>1</v>
      </c>
      <c r="J436" s="158"/>
      <c r="L436" s="158"/>
    </row>
    <row r="437" spans="2:12" ht="16.5">
      <c r="B437" s="21" t="s">
        <v>570</v>
      </c>
      <c r="C437" s="21" t="s">
        <v>1522</v>
      </c>
      <c r="D437" s="22"/>
      <c r="E437" s="22" t="s">
        <v>463</v>
      </c>
      <c r="F437" s="22" t="s">
        <v>1525</v>
      </c>
      <c r="G437" s="67">
        <v>1060</v>
      </c>
      <c r="H437" t="str">
        <f t="shared" si="15"/>
        <v>DST1060</v>
      </c>
      <c r="I437">
        <f t="shared" si="16"/>
        <v>1</v>
      </c>
      <c r="J437" s="158"/>
      <c r="L437" s="158"/>
    </row>
    <row r="438" spans="2:12" ht="16.5">
      <c r="B438" s="21" t="s">
        <v>570</v>
      </c>
      <c r="C438" s="21" t="s">
        <v>1522</v>
      </c>
      <c r="D438" s="22"/>
      <c r="E438" s="22" t="s">
        <v>463</v>
      </c>
      <c r="F438" s="22" t="s">
        <v>1525</v>
      </c>
      <c r="G438" s="67">
        <v>1070</v>
      </c>
      <c r="H438" t="str">
        <f t="shared" si="15"/>
        <v>DST1070</v>
      </c>
      <c r="I438">
        <f t="shared" si="16"/>
        <v>1</v>
      </c>
      <c r="J438" s="158"/>
      <c r="L438" s="158"/>
    </row>
    <row r="439" spans="2:12" ht="16.5">
      <c r="B439" s="21"/>
      <c r="C439" s="21" t="s">
        <v>1522</v>
      </c>
      <c r="D439" s="22" t="s">
        <v>1329</v>
      </c>
      <c r="E439" s="22" t="s">
        <v>463</v>
      </c>
      <c r="F439" s="162" t="s">
        <v>302</v>
      </c>
      <c r="G439" s="163">
        <v>1010</v>
      </c>
      <c r="H439" t="str">
        <f t="shared" si="15"/>
        <v>ECON  1010</v>
      </c>
      <c r="I439">
        <f t="shared" si="16"/>
        <v>0</v>
      </c>
      <c r="J439" s="158"/>
      <c r="L439" s="158"/>
    </row>
    <row r="440" spans="2:12" ht="16.5">
      <c r="B440" s="21" t="s">
        <v>98</v>
      </c>
      <c r="C440" s="21" t="s">
        <v>1522</v>
      </c>
      <c r="D440" s="22" t="s">
        <v>1329</v>
      </c>
      <c r="E440" s="22" t="s">
        <v>463</v>
      </c>
      <c r="F440" s="162" t="s">
        <v>302</v>
      </c>
      <c r="G440" s="163" t="s">
        <v>1528</v>
      </c>
      <c r="H440" t="str">
        <f t="shared" si="15"/>
        <v>ECON  1010</v>
      </c>
      <c r="I440">
        <f t="shared" si="16"/>
        <v>1</v>
      </c>
      <c r="J440" s="158"/>
      <c r="L440" s="158"/>
    </row>
    <row r="441" spans="2:12" ht="16.5">
      <c r="B441" s="21"/>
      <c r="C441" s="21" t="s">
        <v>1522</v>
      </c>
      <c r="D441" s="22" t="s">
        <v>70</v>
      </c>
      <c r="E441" s="22" t="s">
        <v>463</v>
      </c>
      <c r="F441" s="22" t="s">
        <v>302</v>
      </c>
      <c r="G441" s="68" t="s">
        <v>303</v>
      </c>
      <c r="H441" t="str">
        <f t="shared" si="15"/>
        <v>ECON  1740</v>
      </c>
      <c r="I441">
        <f t="shared" si="16"/>
        <v>1</v>
      </c>
      <c r="J441" s="158"/>
      <c r="L441" s="158"/>
    </row>
    <row r="442" spans="2:12" ht="16.5">
      <c r="B442" s="21"/>
      <c r="C442" s="21" t="s">
        <v>1522</v>
      </c>
      <c r="D442" s="22" t="s">
        <v>1329</v>
      </c>
      <c r="E442" s="22" t="s">
        <v>1261</v>
      </c>
      <c r="F442" s="22" t="s">
        <v>1088</v>
      </c>
      <c r="G442" s="67">
        <v>1010</v>
      </c>
      <c r="H442" t="str">
        <f t="shared" si="15"/>
        <v>ECON1010</v>
      </c>
      <c r="I442">
        <f t="shared" si="16"/>
        <v>0</v>
      </c>
      <c r="J442" s="158"/>
      <c r="L442" s="158"/>
    </row>
    <row r="443" spans="2:12" ht="16.5">
      <c r="B443" s="45"/>
      <c r="C443" s="21" t="s">
        <v>1522</v>
      </c>
      <c r="D443" s="22" t="s">
        <v>1329</v>
      </c>
      <c r="E443" s="22" t="s">
        <v>1262</v>
      </c>
      <c r="F443" s="22" t="s">
        <v>1088</v>
      </c>
      <c r="G443" s="23" t="s">
        <v>1528</v>
      </c>
      <c r="H443" t="str">
        <f t="shared" si="15"/>
        <v>ECON1010</v>
      </c>
      <c r="I443">
        <f t="shared" si="16"/>
        <v>0</v>
      </c>
      <c r="J443" s="158"/>
      <c r="L443" s="158"/>
    </row>
    <row r="444" spans="2:12" ht="16.5">
      <c r="B444" s="21" t="s">
        <v>98</v>
      </c>
      <c r="C444" s="21" t="s">
        <v>1522</v>
      </c>
      <c r="D444" s="22" t="s">
        <v>1329</v>
      </c>
      <c r="E444" s="22" t="s">
        <v>1586</v>
      </c>
      <c r="F444" s="22" t="s">
        <v>1088</v>
      </c>
      <c r="G444" s="68" t="s">
        <v>1528</v>
      </c>
      <c r="H444" t="str">
        <f t="shared" si="15"/>
        <v>ECON1010</v>
      </c>
      <c r="I444">
        <f t="shared" si="16"/>
        <v>1</v>
      </c>
      <c r="J444" s="158"/>
      <c r="L444" s="158"/>
    </row>
    <row r="445" spans="2:12" ht="16.5">
      <c r="B445" s="21"/>
      <c r="C445" s="21" t="s">
        <v>1522</v>
      </c>
      <c r="D445" s="22" t="s">
        <v>70</v>
      </c>
      <c r="E445" s="22" t="s">
        <v>551</v>
      </c>
      <c r="F445" s="22" t="s">
        <v>1088</v>
      </c>
      <c r="G445" s="67">
        <v>1500</v>
      </c>
      <c r="H445" t="str">
        <f t="shared" si="15"/>
        <v>ECON1500</v>
      </c>
      <c r="I445">
        <f t="shared" si="16"/>
        <v>1</v>
      </c>
      <c r="J445" s="158"/>
      <c r="L445" s="158"/>
    </row>
    <row r="446" spans="2:12" ht="16.5">
      <c r="B446" s="21"/>
      <c r="C446" s="21" t="s">
        <v>1522</v>
      </c>
      <c r="D446" s="22" t="s">
        <v>70</v>
      </c>
      <c r="E446" s="96" t="s">
        <v>1526</v>
      </c>
      <c r="F446" s="22" t="s">
        <v>1088</v>
      </c>
      <c r="G446" s="67">
        <v>1740</v>
      </c>
      <c r="H446" t="str">
        <f t="shared" si="15"/>
        <v>ECON1740</v>
      </c>
      <c r="I446">
        <f t="shared" si="16"/>
        <v>1</v>
      </c>
      <c r="J446" s="158"/>
      <c r="L446" s="158"/>
    </row>
    <row r="447" spans="2:12" ht="16.5">
      <c r="B447" s="45"/>
      <c r="C447" s="21" t="s">
        <v>1522</v>
      </c>
      <c r="D447" s="22" t="s">
        <v>1329</v>
      </c>
      <c r="E447" s="22" t="s">
        <v>1262</v>
      </c>
      <c r="F447" s="22" t="s">
        <v>1088</v>
      </c>
      <c r="G447" s="23" t="s">
        <v>1093</v>
      </c>
      <c r="H447" t="str">
        <f t="shared" si="15"/>
        <v>ECON2010</v>
      </c>
      <c r="I447">
        <f t="shared" si="16"/>
        <v>1</v>
      </c>
      <c r="J447" s="158"/>
      <c r="L447" s="158"/>
    </row>
    <row r="448" spans="2:12" ht="16.5">
      <c r="B448" s="21" t="s">
        <v>581</v>
      </c>
      <c r="C448" s="21" t="s">
        <v>1522</v>
      </c>
      <c r="D448" s="22"/>
      <c r="E448" s="22" t="s">
        <v>463</v>
      </c>
      <c r="F448" s="22" t="s">
        <v>1089</v>
      </c>
      <c r="G448" s="68" t="s">
        <v>1528</v>
      </c>
      <c r="H448" t="str">
        <f t="shared" si="15"/>
        <v>EDDT1010</v>
      </c>
      <c r="I448">
        <f t="shared" si="16"/>
        <v>1</v>
      </c>
      <c r="J448" s="158"/>
      <c r="L448" s="158"/>
    </row>
    <row r="449" spans="2:12" ht="16.5">
      <c r="B449" s="21" t="s">
        <v>574</v>
      </c>
      <c r="C449" s="21" t="s">
        <v>1522</v>
      </c>
      <c r="D449" s="22"/>
      <c r="E449" s="96" t="s">
        <v>1526</v>
      </c>
      <c r="F449" s="22" t="s">
        <v>1089</v>
      </c>
      <c r="G449" s="67">
        <v>1040</v>
      </c>
      <c r="H449" t="str">
        <f t="shared" si="15"/>
        <v>EDDT1040</v>
      </c>
      <c r="I449">
        <f t="shared" si="16"/>
        <v>0</v>
      </c>
      <c r="J449" s="158"/>
      <c r="L449" s="158"/>
    </row>
    <row r="450" spans="2:12" ht="16.5">
      <c r="B450" s="21" t="s">
        <v>574</v>
      </c>
      <c r="C450" s="21" t="s">
        <v>1522</v>
      </c>
      <c r="D450" s="22"/>
      <c r="E450" s="22" t="s">
        <v>463</v>
      </c>
      <c r="F450" s="22" t="s">
        <v>1089</v>
      </c>
      <c r="G450" s="68" t="s">
        <v>440</v>
      </c>
      <c r="H450" t="str">
        <f t="shared" si="15"/>
        <v>EDDT1040</v>
      </c>
      <c r="I450">
        <f t="shared" si="16"/>
        <v>1</v>
      </c>
      <c r="J450" s="158"/>
      <c r="L450" s="158"/>
    </row>
    <row r="451" spans="2:12" ht="16.5">
      <c r="B451" s="21"/>
      <c r="C451" s="21" t="s">
        <v>1522</v>
      </c>
      <c r="D451" s="22"/>
      <c r="E451" s="22" t="s">
        <v>1586</v>
      </c>
      <c r="F451" s="107" t="s">
        <v>1601</v>
      </c>
      <c r="G451" s="108">
        <v>1010</v>
      </c>
      <c r="H451" t="str">
        <f t="shared" si="15"/>
        <v>EDEL1010</v>
      </c>
      <c r="I451">
        <f t="shared" si="16"/>
        <v>1</v>
      </c>
      <c r="J451" s="158"/>
      <c r="L451" s="158"/>
    </row>
    <row r="452" spans="2:12" ht="16.5">
      <c r="B452" s="21"/>
      <c r="C452" s="21" t="s">
        <v>1522</v>
      </c>
      <c r="D452" s="22"/>
      <c r="E452" s="22" t="s">
        <v>1586</v>
      </c>
      <c r="F452" s="122" t="s">
        <v>1659</v>
      </c>
      <c r="G452" s="67">
        <v>2010</v>
      </c>
      <c r="H452" t="str">
        <f t="shared" si="15"/>
        <v>EDSC2010</v>
      </c>
      <c r="I452">
        <f t="shared" si="16"/>
        <v>0</v>
      </c>
      <c r="J452" s="158"/>
      <c r="L452" s="158"/>
    </row>
    <row r="453" spans="2:12" ht="16.5">
      <c r="B453" s="21"/>
      <c r="C453" s="21" t="s">
        <v>1522</v>
      </c>
      <c r="D453" s="22"/>
      <c r="E453" s="22" t="s">
        <v>1586</v>
      </c>
      <c r="F453" s="122" t="s">
        <v>1659</v>
      </c>
      <c r="G453" s="67">
        <v>2010</v>
      </c>
      <c r="H453" t="str">
        <f t="shared" si="15"/>
        <v>EDSC2010</v>
      </c>
      <c r="I453">
        <f t="shared" si="16"/>
        <v>1</v>
      </c>
      <c r="J453" s="158"/>
      <c r="L453" s="158"/>
    </row>
    <row r="454" spans="2:12" ht="16.5">
      <c r="B454" s="125"/>
      <c r="C454" s="125" t="s">
        <v>1522</v>
      </c>
      <c r="D454" s="131"/>
      <c r="E454" s="132" t="s">
        <v>463</v>
      </c>
      <c r="F454" s="131" t="s">
        <v>1838</v>
      </c>
      <c r="G454" s="133">
        <v>1010</v>
      </c>
      <c r="H454" t="str">
        <f t="shared" si="15"/>
        <v>EDU1010</v>
      </c>
      <c r="I454">
        <f t="shared" si="16"/>
        <v>1</v>
      </c>
      <c r="J454" s="158"/>
      <c r="L454" s="158"/>
    </row>
    <row r="455" spans="2:12" ht="16.5">
      <c r="B455" s="58"/>
      <c r="C455" s="21" t="s">
        <v>1522</v>
      </c>
      <c r="D455" s="22"/>
      <c r="E455" s="96" t="s">
        <v>1526</v>
      </c>
      <c r="F455" s="22" t="s">
        <v>1483</v>
      </c>
      <c r="G455" s="67">
        <v>1010</v>
      </c>
      <c r="H455" t="str">
        <f t="shared" si="15"/>
        <v>EDUC1010</v>
      </c>
      <c r="I455">
        <f t="shared" si="16"/>
        <v>0</v>
      </c>
      <c r="J455" s="158"/>
      <c r="L455" s="158"/>
    </row>
    <row r="456" spans="2:12" ht="16.5">
      <c r="B456" s="21"/>
      <c r="C456" s="21" t="s">
        <v>1522</v>
      </c>
      <c r="D456" s="22"/>
      <c r="E456" s="22" t="s">
        <v>1195</v>
      </c>
      <c r="F456" s="22" t="s">
        <v>1483</v>
      </c>
      <c r="G456" s="67">
        <v>1010</v>
      </c>
      <c r="H456" t="str">
        <f t="shared" si="15"/>
        <v>EDUC1010</v>
      </c>
      <c r="I456">
        <f t="shared" si="16"/>
        <v>0</v>
      </c>
      <c r="J456" s="158"/>
      <c r="L456" s="158"/>
    </row>
    <row r="457" spans="2:12" ht="16.5">
      <c r="B457" s="58"/>
      <c r="C457" s="21" t="s">
        <v>1522</v>
      </c>
      <c r="D457" s="22"/>
      <c r="E457" s="22" t="s">
        <v>739</v>
      </c>
      <c r="F457" s="22" t="s">
        <v>1483</v>
      </c>
      <c r="G457" s="22" t="s">
        <v>1528</v>
      </c>
      <c r="H457" t="str">
        <f t="shared" si="15"/>
        <v>EDUC1010</v>
      </c>
      <c r="I457">
        <f t="shared" si="16"/>
        <v>1</v>
      </c>
      <c r="J457" s="158"/>
      <c r="L457" s="158"/>
    </row>
    <row r="458" spans="2:12" ht="16.5">
      <c r="B458" s="45" t="s">
        <v>116</v>
      </c>
      <c r="C458" s="21" t="s">
        <v>1522</v>
      </c>
      <c r="D458" s="22"/>
      <c r="E458" s="22" t="s">
        <v>1262</v>
      </c>
      <c r="F458" s="22" t="s">
        <v>316</v>
      </c>
      <c r="G458" s="23" t="s">
        <v>317</v>
      </c>
      <c r="H458" t="str">
        <f t="shared" si="15"/>
        <v>EET2750</v>
      </c>
      <c r="I458">
        <f t="shared" si="16"/>
        <v>1</v>
      </c>
      <c r="J458" s="158"/>
      <c r="L458" s="158"/>
    </row>
    <row r="459" spans="2:12" ht="16.5">
      <c r="B459" s="21" t="s">
        <v>575</v>
      </c>
      <c r="C459" s="21" t="s">
        <v>1522</v>
      </c>
      <c r="D459" s="22"/>
      <c r="E459" s="22" t="s">
        <v>1586</v>
      </c>
      <c r="F459" s="24" t="s">
        <v>421</v>
      </c>
      <c r="G459" s="67" t="s">
        <v>1531</v>
      </c>
      <c r="H459" t="str">
        <f t="shared" si="15"/>
        <v>EGDT1000</v>
      </c>
      <c r="I459">
        <f t="shared" si="16"/>
        <v>1</v>
      </c>
      <c r="J459" s="158"/>
      <c r="L459" s="158"/>
    </row>
    <row r="460" spans="2:12" ht="16.5">
      <c r="B460" s="21" t="s">
        <v>574</v>
      </c>
      <c r="C460" s="21" t="s">
        <v>1522</v>
      </c>
      <c r="D460" s="22"/>
      <c r="E460" s="22" t="s">
        <v>1586</v>
      </c>
      <c r="F460" s="24" t="s">
        <v>421</v>
      </c>
      <c r="G460" s="67" t="s">
        <v>440</v>
      </c>
      <c r="H460" t="str">
        <f t="shared" si="15"/>
        <v>EGDT1040</v>
      </c>
      <c r="I460">
        <f t="shared" si="16"/>
        <v>1</v>
      </c>
      <c r="J460" s="158"/>
      <c r="L460" s="158"/>
    </row>
    <row r="461" spans="2:12" ht="16.5">
      <c r="B461" s="21" t="s">
        <v>122</v>
      </c>
      <c r="C461" s="21" t="s">
        <v>1522</v>
      </c>
      <c r="D461" s="22"/>
      <c r="E461" s="22" t="s">
        <v>1586</v>
      </c>
      <c r="F461" s="24" t="s">
        <v>421</v>
      </c>
      <c r="G461" s="67">
        <v>1070</v>
      </c>
      <c r="H461" t="str">
        <f t="shared" si="15"/>
        <v>EGDT1070</v>
      </c>
      <c r="I461">
        <f t="shared" si="16"/>
        <v>1</v>
      </c>
      <c r="J461" s="158"/>
      <c r="L461" s="158"/>
    </row>
    <row r="462" spans="2:12" ht="16.5">
      <c r="B462" s="21" t="s">
        <v>571</v>
      </c>
      <c r="C462" s="21" t="s">
        <v>1522</v>
      </c>
      <c r="D462" s="22"/>
      <c r="E462" s="22" t="s">
        <v>1586</v>
      </c>
      <c r="F462" s="24" t="s">
        <v>421</v>
      </c>
      <c r="G462" s="67">
        <v>1100</v>
      </c>
      <c r="H462" t="str">
        <f t="shared" si="15"/>
        <v>EGDT1100</v>
      </c>
      <c r="I462">
        <f t="shared" si="16"/>
        <v>1</v>
      </c>
      <c r="J462" s="158"/>
      <c r="L462" s="158"/>
    </row>
    <row r="463" spans="2:12" ht="16.5">
      <c r="B463" s="21"/>
      <c r="C463" s="21" t="s">
        <v>1522</v>
      </c>
      <c r="D463" s="22"/>
      <c r="E463" s="22" t="s">
        <v>1586</v>
      </c>
      <c r="F463" s="24" t="s">
        <v>421</v>
      </c>
      <c r="G463" s="67">
        <v>2020</v>
      </c>
      <c r="H463" t="str">
        <f t="shared" si="15"/>
        <v>EGDT2020</v>
      </c>
      <c r="I463">
        <f t="shared" si="16"/>
        <v>1</v>
      </c>
      <c r="J463" s="158"/>
      <c r="L463" s="158"/>
    </row>
    <row r="464" spans="2:12" ht="16.5">
      <c r="B464" s="21" t="s">
        <v>569</v>
      </c>
      <c r="C464" s="21" t="s">
        <v>1522</v>
      </c>
      <c r="D464" s="22"/>
      <c r="E464" s="22" t="s">
        <v>463</v>
      </c>
      <c r="F464" s="22" t="s">
        <v>1804</v>
      </c>
      <c r="G464" s="67">
        <v>1210</v>
      </c>
      <c r="H464" t="str">
        <f t="shared" si="15"/>
        <v>EIT1210</v>
      </c>
      <c r="I464">
        <f t="shared" si="16"/>
        <v>1</v>
      </c>
      <c r="J464" s="158"/>
      <c r="L464" s="158"/>
    </row>
    <row r="465" spans="2:12" ht="16.5">
      <c r="B465" s="21" t="s">
        <v>569</v>
      </c>
      <c r="C465" s="21" t="s">
        <v>1522</v>
      </c>
      <c r="D465" s="22"/>
      <c r="E465" s="22" t="s">
        <v>463</v>
      </c>
      <c r="F465" s="22" t="s">
        <v>1804</v>
      </c>
      <c r="G465" s="67">
        <v>1220</v>
      </c>
      <c r="H465" t="str">
        <f t="shared" si="15"/>
        <v>EIT1220</v>
      </c>
      <c r="I465">
        <f t="shared" si="16"/>
        <v>1</v>
      </c>
      <c r="J465" s="158"/>
      <c r="L465" s="158"/>
    </row>
    <row r="466" spans="2:12" ht="16.5">
      <c r="B466" s="21" t="s">
        <v>1247</v>
      </c>
      <c r="C466" s="21" t="s">
        <v>1522</v>
      </c>
      <c r="D466" s="22"/>
      <c r="E466" s="22" t="s">
        <v>463</v>
      </c>
      <c r="F466" s="22" t="s">
        <v>1804</v>
      </c>
      <c r="G466" s="67">
        <v>1240</v>
      </c>
      <c r="H466" t="str">
        <f t="shared" si="15"/>
        <v>EIT1240</v>
      </c>
      <c r="I466">
        <f t="shared" si="16"/>
        <v>0</v>
      </c>
      <c r="J466" s="158"/>
      <c r="L466" s="158"/>
    </row>
    <row r="467" spans="2:12" ht="16.5">
      <c r="B467" s="21" t="s">
        <v>569</v>
      </c>
      <c r="C467" s="21" t="s">
        <v>1522</v>
      </c>
      <c r="D467" s="22"/>
      <c r="E467" s="22" t="s">
        <v>463</v>
      </c>
      <c r="F467" s="22" t="s">
        <v>1804</v>
      </c>
      <c r="G467" s="67">
        <v>1240</v>
      </c>
      <c r="H467" t="str">
        <f t="shared" si="15"/>
        <v>EIT1240</v>
      </c>
      <c r="I467">
        <f t="shared" si="16"/>
        <v>1</v>
      </c>
      <c r="J467" s="158"/>
      <c r="L467" s="158"/>
    </row>
    <row r="468" spans="2:12" ht="16.5">
      <c r="B468" s="21" t="s">
        <v>565</v>
      </c>
      <c r="C468" s="21" t="s">
        <v>1522</v>
      </c>
      <c r="D468" s="22"/>
      <c r="E468" s="22" t="s">
        <v>463</v>
      </c>
      <c r="F468" s="22" t="s">
        <v>378</v>
      </c>
      <c r="G468" s="68">
        <v>1110</v>
      </c>
      <c r="H468" t="str">
        <f t="shared" si="15"/>
        <v>ELI1110</v>
      </c>
      <c r="I468">
        <f t="shared" si="16"/>
        <v>1</v>
      </c>
      <c r="J468" s="158"/>
      <c r="L468" s="158"/>
    </row>
    <row r="469" spans="2:12" ht="16.5">
      <c r="B469" s="21"/>
      <c r="C469" s="21" t="s">
        <v>1522</v>
      </c>
      <c r="D469" s="22"/>
      <c r="E469" s="22" t="s">
        <v>463</v>
      </c>
      <c r="F469" s="22" t="s">
        <v>378</v>
      </c>
      <c r="G469" s="68">
        <v>1470</v>
      </c>
      <c r="H469" t="str">
        <f t="shared" si="15"/>
        <v>ELI1470</v>
      </c>
      <c r="I469">
        <f t="shared" si="16"/>
        <v>1</v>
      </c>
      <c r="J469" s="158"/>
      <c r="L469" s="158"/>
    </row>
    <row r="470" spans="2:12" ht="16.5">
      <c r="B470" s="21" t="s">
        <v>123</v>
      </c>
      <c r="C470" s="21" t="s">
        <v>1522</v>
      </c>
      <c r="D470" s="22"/>
      <c r="E470" s="22" t="s">
        <v>1195</v>
      </c>
      <c r="F470" s="22" t="s">
        <v>450</v>
      </c>
      <c r="G470" s="67" t="s">
        <v>1078</v>
      </c>
      <c r="H470" t="str">
        <f t="shared" si="15"/>
        <v>EMS1100</v>
      </c>
      <c r="I470">
        <f t="shared" si="16"/>
        <v>1</v>
      </c>
      <c r="J470" s="158"/>
      <c r="L470" s="158"/>
    </row>
    <row r="471" spans="2:12" ht="16.5">
      <c r="B471" s="21"/>
      <c r="C471" s="21" t="s">
        <v>1522</v>
      </c>
      <c r="D471" s="22" t="s">
        <v>533</v>
      </c>
      <c r="E471" s="22" t="s">
        <v>463</v>
      </c>
      <c r="F471" s="22" t="s">
        <v>305</v>
      </c>
      <c r="G471" s="68" t="s">
        <v>1528</v>
      </c>
      <c r="H471" t="str">
        <f t="shared" si="15"/>
        <v>ENGL 1010</v>
      </c>
      <c r="I471">
        <f t="shared" si="16"/>
        <v>1</v>
      </c>
      <c r="J471" s="158"/>
      <c r="L471" s="158"/>
    </row>
    <row r="472" spans="2:12" ht="16.5">
      <c r="B472" s="21"/>
      <c r="C472" s="21" t="s">
        <v>1522</v>
      </c>
      <c r="D472" s="22" t="s">
        <v>533</v>
      </c>
      <c r="E472" s="96" t="s">
        <v>1526</v>
      </c>
      <c r="F472" s="22" t="s">
        <v>1091</v>
      </c>
      <c r="G472" s="67" t="s">
        <v>1528</v>
      </c>
      <c r="H472" t="str">
        <f t="shared" si="15"/>
        <v>ENGL1010</v>
      </c>
      <c r="I472">
        <f t="shared" si="16"/>
        <v>0</v>
      </c>
      <c r="J472" s="158"/>
      <c r="L472" s="158"/>
    </row>
    <row r="473" spans="2:12" ht="16.5">
      <c r="B473" s="21"/>
      <c r="C473" s="21" t="s">
        <v>1522</v>
      </c>
      <c r="D473" s="22" t="s">
        <v>533</v>
      </c>
      <c r="E473" s="22" t="s">
        <v>1195</v>
      </c>
      <c r="F473" s="22" t="s">
        <v>1091</v>
      </c>
      <c r="G473" s="67">
        <v>1010</v>
      </c>
      <c r="H473" t="str">
        <f t="shared" si="15"/>
        <v>ENGL1010</v>
      </c>
      <c r="I473">
        <f t="shared" si="16"/>
        <v>0</v>
      </c>
      <c r="J473" s="158"/>
      <c r="L473" s="158"/>
    </row>
    <row r="474" spans="2:12" ht="16.5">
      <c r="B474" s="21"/>
      <c r="C474" s="21" t="s">
        <v>1522</v>
      </c>
      <c r="D474" s="22" t="s">
        <v>844</v>
      </c>
      <c r="E474" s="22" t="s">
        <v>1261</v>
      </c>
      <c r="F474" s="22" t="s">
        <v>1091</v>
      </c>
      <c r="G474" s="68">
        <v>1010</v>
      </c>
      <c r="H474" t="str">
        <f t="shared" si="15"/>
        <v>ENGL1010</v>
      </c>
      <c r="I474">
        <f t="shared" si="16"/>
        <v>0</v>
      </c>
      <c r="J474" s="158"/>
      <c r="L474" s="158"/>
    </row>
    <row r="475" spans="2:12" ht="16.5">
      <c r="B475" s="21"/>
      <c r="C475" s="21" t="s">
        <v>1522</v>
      </c>
      <c r="D475" s="22" t="s">
        <v>533</v>
      </c>
      <c r="E475" s="22" t="s">
        <v>1262</v>
      </c>
      <c r="F475" s="22" t="s">
        <v>1091</v>
      </c>
      <c r="G475" s="23" t="s">
        <v>1528</v>
      </c>
      <c r="H475" t="str">
        <f t="shared" si="15"/>
        <v>ENGL1010</v>
      </c>
      <c r="I475">
        <f t="shared" si="16"/>
        <v>0</v>
      </c>
      <c r="J475" s="158"/>
      <c r="L475" s="158"/>
    </row>
    <row r="476" spans="2:12" ht="16.5">
      <c r="B476" s="21"/>
      <c r="C476" s="21" t="s">
        <v>1522</v>
      </c>
      <c r="D476" s="22" t="s">
        <v>533</v>
      </c>
      <c r="E476" s="22" t="s">
        <v>551</v>
      </c>
      <c r="F476" s="22" t="s">
        <v>1091</v>
      </c>
      <c r="G476" s="67">
        <v>1010</v>
      </c>
      <c r="H476" t="str">
        <f t="shared" si="15"/>
        <v>ENGL1010</v>
      </c>
      <c r="I476">
        <f t="shared" si="16"/>
        <v>0</v>
      </c>
      <c r="J476" s="158"/>
      <c r="L476" s="158"/>
    </row>
    <row r="477" spans="2:12" ht="16.5">
      <c r="B477" s="21"/>
      <c r="C477" s="21" t="s">
        <v>1522</v>
      </c>
      <c r="D477" s="22" t="s">
        <v>533</v>
      </c>
      <c r="E477" s="22" t="s">
        <v>1586</v>
      </c>
      <c r="F477" s="22" t="s">
        <v>1091</v>
      </c>
      <c r="G477" s="68" t="s">
        <v>1528</v>
      </c>
      <c r="H477" t="str">
        <f t="shared" si="15"/>
        <v>ENGL1010</v>
      </c>
      <c r="I477">
        <f t="shared" si="16"/>
        <v>0</v>
      </c>
      <c r="J477" s="158"/>
      <c r="L477" s="158"/>
    </row>
    <row r="478" spans="2:12" ht="16.5">
      <c r="B478" s="21"/>
      <c r="C478" s="21" t="s">
        <v>1522</v>
      </c>
      <c r="D478" s="22" t="s">
        <v>533</v>
      </c>
      <c r="E478" s="22" t="s">
        <v>739</v>
      </c>
      <c r="F478" s="22" t="s">
        <v>1091</v>
      </c>
      <c r="G478" s="68" t="s">
        <v>1528</v>
      </c>
      <c r="H478" t="str">
        <f t="shared" si="15"/>
        <v>ENGL1010</v>
      </c>
      <c r="I478">
        <f t="shared" si="16"/>
        <v>1</v>
      </c>
      <c r="J478" s="158"/>
      <c r="L478" s="158"/>
    </row>
    <row r="479" spans="2:12" ht="16.5">
      <c r="B479" s="21"/>
      <c r="C479" s="21" t="s">
        <v>1522</v>
      </c>
      <c r="D479" s="22" t="s">
        <v>533</v>
      </c>
      <c r="E479" s="96" t="s">
        <v>1526</v>
      </c>
      <c r="F479" s="22" t="s">
        <v>1091</v>
      </c>
      <c r="G479" s="67" t="s">
        <v>1093</v>
      </c>
      <c r="H479" t="str">
        <f t="shared" si="15"/>
        <v>ENGL2010</v>
      </c>
      <c r="I479">
        <f t="shared" si="16"/>
        <v>0</v>
      </c>
      <c r="J479" s="158"/>
      <c r="L479" s="158"/>
    </row>
    <row r="480" spans="2:12" ht="16.5">
      <c r="B480" s="21"/>
      <c r="C480" s="21" t="s">
        <v>1522</v>
      </c>
      <c r="D480" s="22" t="s">
        <v>533</v>
      </c>
      <c r="E480" s="22" t="s">
        <v>1195</v>
      </c>
      <c r="F480" s="22" t="s">
        <v>1091</v>
      </c>
      <c r="G480" s="67">
        <v>2010</v>
      </c>
      <c r="H480" t="str">
        <f t="shared" si="15"/>
        <v>ENGL2010</v>
      </c>
      <c r="I480">
        <f t="shared" si="16"/>
        <v>0</v>
      </c>
      <c r="J480" s="158"/>
      <c r="L480" s="158"/>
    </row>
    <row r="481" spans="2:12" ht="16.5">
      <c r="B481" s="45"/>
      <c r="C481" s="21" t="s">
        <v>1522</v>
      </c>
      <c r="D481" s="22" t="s">
        <v>533</v>
      </c>
      <c r="E481" s="22" t="s">
        <v>1262</v>
      </c>
      <c r="F481" s="22" t="s">
        <v>1091</v>
      </c>
      <c r="G481" s="23">
        <v>2010</v>
      </c>
      <c r="H481" t="str">
        <f t="shared" si="15"/>
        <v>ENGL2010</v>
      </c>
      <c r="I481">
        <f t="shared" si="16"/>
        <v>0</v>
      </c>
      <c r="J481" s="158"/>
      <c r="L481" s="158"/>
    </row>
    <row r="482" spans="2:12" ht="16.5">
      <c r="B482" s="105"/>
      <c r="C482" s="21" t="s">
        <v>1522</v>
      </c>
      <c r="D482" s="107" t="s">
        <v>533</v>
      </c>
      <c r="E482" s="22" t="s">
        <v>551</v>
      </c>
      <c r="F482" s="107" t="s">
        <v>1091</v>
      </c>
      <c r="G482" s="108">
        <v>2010</v>
      </c>
      <c r="H482" t="str">
        <f t="shared" si="15"/>
        <v>ENGL2010</v>
      </c>
      <c r="I482">
        <f t="shared" si="16"/>
        <v>0</v>
      </c>
      <c r="J482" s="158"/>
      <c r="L482" s="158"/>
    </row>
    <row r="483" spans="2:12" ht="16.5">
      <c r="B483" s="21"/>
      <c r="C483" s="21" t="s">
        <v>1522</v>
      </c>
      <c r="D483" s="22" t="s">
        <v>533</v>
      </c>
      <c r="E483" s="22" t="s">
        <v>1586</v>
      </c>
      <c r="F483" s="22" t="s">
        <v>1091</v>
      </c>
      <c r="G483" s="68">
        <v>2010</v>
      </c>
      <c r="H483" t="str">
        <f t="shared" si="15"/>
        <v>ENGL2010</v>
      </c>
      <c r="I483">
        <f t="shared" si="16"/>
        <v>1</v>
      </c>
      <c r="J483" s="158"/>
      <c r="L483" s="158"/>
    </row>
    <row r="484" spans="2:12" ht="16.5">
      <c r="B484" s="21"/>
      <c r="C484" s="21" t="s">
        <v>1522</v>
      </c>
      <c r="D484" s="22" t="s">
        <v>534</v>
      </c>
      <c r="E484" s="96" t="s">
        <v>1526</v>
      </c>
      <c r="F484" s="22" t="s">
        <v>1091</v>
      </c>
      <c r="G484" s="67">
        <v>2040</v>
      </c>
      <c r="H484" t="str">
        <f t="shared" si="15"/>
        <v>ENGL2040</v>
      </c>
      <c r="I484">
        <f t="shared" si="16"/>
        <v>1</v>
      </c>
      <c r="J484" s="158"/>
      <c r="L484" s="158"/>
    </row>
    <row r="485" spans="2:12" ht="16.5">
      <c r="B485" s="21"/>
      <c r="C485" s="21" t="s">
        <v>1521</v>
      </c>
      <c r="D485" s="22" t="s">
        <v>534</v>
      </c>
      <c r="E485" s="96" t="s">
        <v>1526</v>
      </c>
      <c r="F485" s="22" t="s">
        <v>1091</v>
      </c>
      <c r="G485" s="67">
        <v>2200</v>
      </c>
      <c r="H485" t="str">
        <f t="shared" si="15"/>
        <v>ENGL2200</v>
      </c>
      <c r="I485">
        <f t="shared" si="16"/>
        <v>0</v>
      </c>
      <c r="J485" s="158"/>
      <c r="L485" s="158"/>
    </row>
    <row r="486" spans="2:12" ht="16.5">
      <c r="B486" s="21"/>
      <c r="C486" s="21" t="s">
        <v>1522</v>
      </c>
      <c r="D486" s="22" t="s">
        <v>446</v>
      </c>
      <c r="E486" s="22" t="s">
        <v>1195</v>
      </c>
      <c r="F486" s="96" t="s">
        <v>1091</v>
      </c>
      <c r="G486" s="67">
        <v>2200</v>
      </c>
      <c r="H486" t="str">
        <f t="shared" si="15"/>
        <v>ENGL2200</v>
      </c>
      <c r="I486">
        <f t="shared" si="16"/>
        <v>0</v>
      </c>
      <c r="J486" s="158"/>
      <c r="L486" s="158"/>
    </row>
    <row r="487" spans="2:12" ht="16.5">
      <c r="B487" s="21"/>
      <c r="C487" s="21" t="s">
        <v>1522</v>
      </c>
      <c r="D487" s="22" t="s">
        <v>534</v>
      </c>
      <c r="E487" s="22" t="s">
        <v>1262</v>
      </c>
      <c r="F487" s="22" t="s">
        <v>1091</v>
      </c>
      <c r="G487" s="22" t="s">
        <v>1082</v>
      </c>
      <c r="H487" t="str">
        <f t="shared" si="15"/>
        <v>ENGL2200</v>
      </c>
      <c r="I487">
        <f t="shared" si="16"/>
        <v>0</v>
      </c>
      <c r="J487" s="158"/>
      <c r="L487" s="158"/>
    </row>
    <row r="488" spans="2:12" ht="16.5">
      <c r="B488" s="21"/>
      <c r="C488" s="21" t="s">
        <v>1522</v>
      </c>
      <c r="D488" s="22" t="s">
        <v>534</v>
      </c>
      <c r="E488" s="22" t="s">
        <v>551</v>
      </c>
      <c r="F488" s="22" t="s">
        <v>1091</v>
      </c>
      <c r="G488" s="67">
        <v>2200</v>
      </c>
      <c r="H488" t="str">
        <f t="shared" si="15"/>
        <v>ENGL2200</v>
      </c>
      <c r="I488">
        <f t="shared" si="16"/>
        <v>0</v>
      </c>
      <c r="J488" s="158"/>
      <c r="L488" s="158"/>
    </row>
    <row r="489" spans="2:12" ht="16.5">
      <c r="B489" s="21"/>
      <c r="C489" s="21" t="s">
        <v>1522</v>
      </c>
      <c r="D489" s="22" t="s">
        <v>534</v>
      </c>
      <c r="E489" s="22" t="s">
        <v>1586</v>
      </c>
      <c r="F489" s="22" t="s">
        <v>1091</v>
      </c>
      <c r="G489" s="68">
        <v>2200</v>
      </c>
      <c r="H489" t="str">
        <f t="shared" si="15"/>
        <v>ENGL2200</v>
      </c>
      <c r="I489">
        <f t="shared" si="16"/>
        <v>1</v>
      </c>
      <c r="J489" s="158"/>
      <c r="L489" s="158"/>
    </row>
    <row r="490" spans="2:12" ht="16.5">
      <c r="B490" s="21"/>
      <c r="C490" s="21" t="s">
        <v>1522</v>
      </c>
      <c r="D490" s="22" t="s">
        <v>534</v>
      </c>
      <c r="E490" s="22" t="s">
        <v>1261</v>
      </c>
      <c r="F490" s="22" t="s">
        <v>1091</v>
      </c>
      <c r="G490" s="67">
        <v>2230</v>
      </c>
      <c r="H490" t="str">
        <f t="shared" si="15"/>
        <v>ENGL2230</v>
      </c>
      <c r="I490">
        <f t="shared" si="16"/>
        <v>1</v>
      </c>
      <c r="J490" s="158"/>
      <c r="L490" s="158"/>
    </row>
    <row r="491" spans="2:12" ht="16.5">
      <c r="B491" s="21"/>
      <c r="C491" s="21" t="s">
        <v>1522</v>
      </c>
      <c r="D491" s="22" t="s">
        <v>534</v>
      </c>
      <c r="E491" s="96" t="s">
        <v>1526</v>
      </c>
      <c r="F491" s="22" t="s">
        <v>1091</v>
      </c>
      <c r="G491" s="67">
        <v>2240</v>
      </c>
      <c r="H491" t="str">
        <f t="shared" si="15"/>
        <v>ENGL2240</v>
      </c>
      <c r="I491">
        <f t="shared" si="16"/>
        <v>0</v>
      </c>
      <c r="J491" s="158"/>
      <c r="L491" s="158"/>
    </row>
    <row r="492" spans="2:12" ht="16.5">
      <c r="B492" s="45"/>
      <c r="C492" s="21" t="s">
        <v>1522</v>
      </c>
      <c r="D492" s="22" t="s">
        <v>534</v>
      </c>
      <c r="E492" s="22" t="s">
        <v>1262</v>
      </c>
      <c r="F492" s="22" t="s">
        <v>1091</v>
      </c>
      <c r="G492" s="22" t="s">
        <v>1083</v>
      </c>
      <c r="H492" t="str">
        <f t="shared" si="15"/>
        <v>ENGL2240</v>
      </c>
      <c r="I492">
        <f t="shared" si="16"/>
        <v>1</v>
      </c>
      <c r="J492" s="158"/>
      <c r="L492" s="158"/>
    </row>
    <row r="493" spans="2:12" ht="16.5">
      <c r="B493" s="21"/>
      <c r="C493" s="21" t="s">
        <v>1522</v>
      </c>
      <c r="D493" s="22" t="s">
        <v>534</v>
      </c>
      <c r="E493" s="96" t="s">
        <v>1526</v>
      </c>
      <c r="F493" s="22" t="s">
        <v>1091</v>
      </c>
      <c r="G493" s="67">
        <v>2300</v>
      </c>
      <c r="H493" t="str">
        <f t="shared" si="15"/>
        <v>ENGL2300</v>
      </c>
      <c r="I493">
        <f t="shared" si="16"/>
        <v>0</v>
      </c>
      <c r="J493" s="158"/>
      <c r="L493" s="158"/>
    </row>
    <row r="494" spans="2:12" ht="16.5">
      <c r="B494" s="21"/>
      <c r="C494" s="21" t="s">
        <v>1522</v>
      </c>
      <c r="D494" s="22" t="s">
        <v>446</v>
      </c>
      <c r="E494" s="22" t="s">
        <v>1586</v>
      </c>
      <c r="F494" s="22" t="s">
        <v>1091</v>
      </c>
      <c r="G494" s="68" t="s">
        <v>813</v>
      </c>
      <c r="H494" t="str">
        <f t="shared" si="15"/>
        <v>ENGL2300</v>
      </c>
      <c r="I494">
        <f t="shared" si="16"/>
        <v>1</v>
      </c>
      <c r="J494" s="158"/>
      <c r="L494" s="158"/>
    </row>
    <row r="495" spans="2:12" ht="16.5">
      <c r="B495" s="21"/>
      <c r="C495" s="21" t="s">
        <v>1522</v>
      </c>
      <c r="D495" s="22" t="s">
        <v>534</v>
      </c>
      <c r="E495" s="96" t="s">
        <v>1526</v>
      </c>
      <c r="F495" s="22" t="s">
        <v>1091</v>
      </c>
      <c r="G495" s="67" t="s">
        <v>1545</v>
      </c>
      <c r="H495" t="str">
        <f t="shared" ref="H495:H559" si="17">CONCATENATE(F495,G495)</f>
        <v>ENGL2340</v>
      </c>
      <c r="I495">
        <f t="shared" si="16"/>
        <v>1</v>
      </c>
      <c r="J495" s="158"/>
      <c r="L495" s="158"/>
    </row>
    <row r="496" spans="2:12" ht="16.5">
      <c r="B496" s="21"/>
      <c r="C496" s="21" t="s">
        <v>1522</v>
      </c>
      <c r="D496" s="22"/>
      <c r="E496" s="96" t="s">
        <v>1526</v>
      </c>
      <c r="F496" s="22" t="s">
        <v>1091</v>
      </c>
      <c r="G496" s="67" t="s">
        <v>1096</v>
      </c>
      <c r="H496" t="str">
        <f t="shared" si="17"/>
        <v>ENGL2610</v>
      </c>
      <c r="I496">
        <f t="shared" ref="I496:I560" si="18">IF(H496=H497,0,1)</f>
        <v>1</v>
      </c>
      <c r="J496" s="158"/>
      <c r="L496" s="158"/>
    </row>
    <row r="497" spans="2:12" ht="16.5">
      <c r="B497" s="21" t="s">
        <v>135</v>
      </c>
      <c r="C497" s="21" t="s">
        <v>1522</v>
      </c>
      <c r="D497" s="22"/>
      <c r="E497" s="96" t="s">
        <v>1526</v>
      </c>
      <c r="F497" s="22" t="s">
        <v>1718</v>
      </c>
      <c r="G497" s="67">
        <v>1000</v>
      </c>
      <c r="H497" t="str">
        <f t="shared" si="17"/>
        <v>ENGN1000</v>
      </c>
      <c r="I497">
        <f t="shared" si="18"/>
        <v>1</v>
      </c>
      <c r="J497" s="158"/>
      <c r="L497" s="158"/>
    </row>
    <row r="498" spans="2:12" ht="16.5">
      <c r="B498" s="21" t="s">
        <v>135</v>
      </c>
      <c r="C498" s="21" t="s">
        <v>1522</v>
      </c>
      <c r="D498" s="22"/>
      <c r="E498" s="22" t="s">
        <v>1586</v>
      </c>
      <c r="F498" s="24" t="s">
        <v>814</v>
      </c>
      <c r="G498" s="68">
        <v>1000</v>
      </c>
      <c r="H498" t="str">
        <f t="shared" si="17"/>
        <v>ENGR 1000</v>
      </c>
      <c r="I498">
        <f t="shared" si="18"/>
        <v>1</v>
      </c>
      <c r="J498" s="158"/>
      <c r="L498" s="158"/>
    </row>
    <row r="499" spans="2:12" ht="16.5">
      <c r="B499" s="21" t="s">
        <v>135</v>
      </c>
      <c r="C499" s="21" t="s">
        <v>1522</v>
      </c>
      <c r="D499" s="22"/>
      <c r="E499" s="22" t="s">
        <v>1195</v>
      </c>
      <c r="F499" s="22" t="s">
        <v>1302</v>
      </c>
      <c r="G499" s="67">
        <v>1000</v>
      </c>
      <c r="H499" t="str">
        <f t="shared" si="17"/>
        <v>ENGR1000</v>
      </c>
      <c r="I499">
        <f t="shared" si="18"/>
        <v>0</v>
      </c>
      <c r="J499" s="158"/>
      <c r="L499" s="158"/>
    </row>
    <row r="500" spans="2:12" ht="16.5">
      <c r="B500" s="21" t="s">
        <v>135</v>
      </c>
      <c r="C500" s="21" t="s">
        <v>1522</v>
      </c>
      <c r="D500" s="22"/>
      <c r="E500" s="22" t="s">
        <v>551</v>
      </c>
      <c r="F500" s="24" t="s">
        <v>1302</v>
      </c>
      <c r="G500" s="67">
        <v>1000</v>
      </c>
      <c r="H500" t="str">
        <f t="shared" si="17"/>
        <v>ENGR1000</v>
      </c>
      <c r="I500">
        <f t="shared" si="18"/>
        <v>1</v>
      </c>
      <c r="J500" s="158"/>
      <c r="L500" s="158"/>
    </row>
    <row r="501" spans="2:12" ht="16.5">
      <c r="B501" s="45" t="s">
        <v>135</v>
      </c>
      <c r="C501" s="21" t="s">
        <v>1522</v>
      </c>
      <c r="D501" s="22"/>
      <c r="E501" s="22" t="s">
        <v>1262</v>
      </c>
      <c r="F501" s="22" t="s">
        <v>1302</v>
      </c>
      <c r="G501" s="22" t="s">
        <v>1528</v>
      </c>
      <c r="H501" t="str">
        <f t="shared" si="17"/>
        <v>ENGR1010</v>
      </c>
      <c r="I501">
        <f t="shared" si="18"/>
        <v>1</v>
      </c>
      <c r="J501" s="158"/>
      <c r="L501" s="158"/>
    </row>
    <row r="502" spans="2:12" ht="16.5">
      <c r="B502" s="21"/>
      <c r="C502" s="21" t="s">
        <v>1522</v>
      </c>
      <c r="D502" s="22" t="s">
        <v>1332</v>
      </c>
      <c r="E502" s="22" t="s">
        <v>463</v>
      </c>
      <c r="F502" s="22" t="s">
        <v>917</v>
      </c>
      <c r="G502" s="68" t="s">
        <v>1528</v>
      </c>
      <c r="H502" t="str">
        <f t="shared" si="17"/>
        <v>ENVT1010</v>
      </c>
      <c r="I502">
        <f t="shared" si="18"/>
        <v>1</v>
      </c>
      <c r="J502" s="158"/>
      <c r="L502" s="158"/>
    </row>
    <row r="503" spans="2:12" ht="16.5">
      <c r="B503" s="21" t="s">
        <v>561</v>
      </c>
      <c r="C503" s="21" t="s">
        <v>1522</v>
      </c>
      <c r="D503" s="22"/>
      <c r="E503" s="22" t="s">
        <v>1586</v>
      </c>
      <c r="F503" s="22" t="s">
        <v>917</v>
      </c>
      <c r="G503" s="67">
        <v>1110</v>
      </c>
      <c r="H503" t="str">
        <f t="shared" si="17"/>
        <v>ENVT1110</v>
      </c>
      <c r="I503">
        <f t="shared" si="18"/>
        <v>1</v>
      </c>
      <c r="J503" s="158"/>
      <c r="L503" s="158"/>
    </row>
    <row r="504" spans="2:12" ht="16.5">
      <c r="B504" s="21"/>
      <c r="C504" s="21" t="s">
        <v>1522</v>
      </c>
      <c r="D504" s="22"/>
      <c r="E504" s="96" t="s">
        <v>1526</v>
      </c>
      <c r="F504" s="22" t="s">
        <v>1364</v>
      </c>
      <c r="G504" s="67">
        <v>1050</v>
      </c>
      <c r="H504" t="str">
        <f t="shared" si="17"/>
        <v>ESOL1050</v>
      </c>
      <c r="I504">
        <f t="shared" si="18"/>
        <v>1</v>
      </c>
      <c r="J504" s="158"/>
      <c r="L504" s="158"/>
    </row>
    <row r="505" spans="2:12" ht="16.5">
      <c r="B505" s="21"/>
      <c r="C505" s="21" t="s">
        <v>1522</v>
      </c>
      <c r="D505" s="22"/>
      <c r="E505" s="96" t="s">
        <v>1526</v>
      </c>
      <c r="F505" s="22" t="s">
        <v>1364</v>
      </c>
      <c r="G505" s="67">
        <v>1060</v>
      </c>
      <c r="H505" t="str">
        <f t="shared" si="17"/>
        <v>ESOL1060</v>
      </c>
      <c r="I505">
        <f t="shared" si="18"/>
        <v>1</v>
      </c>
      <c r="J505" s="158"/>
      <c r="L505" s="158"/>
    </row>
    <row r="506" spans="2:12" ht="16.5">
      <c r="B506" s="21"/>
      <c r="C506" s="21" t="s">
        <v>1522</v>
      </c>
      <c r="D506" s="22"/>
      <c r="E506" s="96" t="s">
        <v>1526</v>
      </c>
      <c r="F506" s="22" t="s">
        <v>1364</v>
      </c>
      <c r="G506" s="67">
        <v>1065</v>
      </c>
      <c r="H506" t="str">
        <f t="shared" si="17"/>
        <v>ESOL1065</v>
      </c>
      <c r="I506">
        <f t="shared" si="18"/>
        <v>1</v>
      </c>
      <c r="J506" s="158"/>
      <c r="L506" s="158"/>
    </row>
    <row r="507" spans="2:12" ht="16.5">
      <c r="B507" s="21"/>
      <c r="C507" s="21" t="s">
        <v>1522</v>
      </c>
      <c r="D507" s="22"/>
      <c r="E507" s="96" t="s">
        <v>1526</v>
      </c>
      <c r="F507" s="22" t="s">
        <v>1364</v>
      </c>
      <c r="G507" s="67">
        <v>1160</v>
      </c>
      <c r="H507" t="str">
        <f t="shared" si="17"/>
        <v>ESOL1160</v>
      </c>
      <c r="I507">
        <f t="shared" si="18"/>
        <v>1</v>
      </c>
      <c r="J507" s="158"/>
      <c r="L507" s="158"/>
    </row>
    <row r="508" spans="2:12" ht="16.5">
      <c r="B508" s="21" t="s">
        <v>575</v>
      </c>
      <c r="C508" s="21" t="s">
        <v>1522</v>
      </c>
      <c r="D508" s="22"/>
      <c r="E508" s="22" t="s">
        <v>551</v>
      </c>
      <c r="F508" s="22" t="s">
        <v>1210</v>
      </c>
      <c r="G508" s="67">
        <v>1200</v>
      </c>
      <c r="H508" t="str">
        <f t="shared" si="17"/>
        <v>ETE1200</v>
      </c>
      <c r="I508">
        <f t="shared" si="18"/>
        <v>1</v>
      </c>
      <c r="J508" s="158"/>
      <c r="L508" s="158"/>
    </row>
    <row r="509" spans="2:12" ht="16.5">
      <c r="B509" s="21" t="s">
        <v>110</v>
      </c>
      <c r="C509" s="21" t="s">
        <v>1522</v>
      </c>
      <c r="D509" s="22" t="s">
        <v>540</v>
      </c>
      <c r="E509" s="96" t="s">
        <v>1526</v>
      </c>
      <c r="F509" s="22" t="s">
        <v>1377</v>
      </c>
      <c r="G509" s="67">
        <v>1020</v>
      </c>
      <c r="H509" t="str">
        <f t="shared" si="17"/>
        <v>FAML1020</v>
      </c>
      <c r="I509">
        <f t="shared" si="18"/>
        <v>1</v>
      </c>
      <c r="J509" s="158"/>
      <c r="L509" s="158"/>
    </row>
    <row r="510" spans="2:12" ht="16.5">
      <c r="B510" s="21" t="s">
        <v>108</v>
      </c>
      <c r="C510" s="21" t="s">
        <v>1522</v>
      </c>
      <c r="D510" s="22"/>
      <c r="E510" s="96" t="s">
        <v>1526</v>
      </c>
      <c r="F510" s="22" t="s">
        <v>1377</v>
      </c>
      <c r="G510" s="67">
        <v>2610</v>
      </c>
      <c r="H510" t="str">
        <f t="shared" si="17"/>
        <v>FAML2610</v>
      </c>
      <c r="I510">
        <f t="shared" si="18"/>
        <v>1</v>
      </c>
      <c r="J510" s="158"/>
      <c r="L510" s="158"/>
    </row>
    <row r="511" spans="2:12" ht="16.5">
      <c r="B511" s="21" t="s">
        <v>107</v>
      </c>
      <c r="C511" s="21" t="s">
        <v>1522</v>
      </c>
      <c r="D511" s="22" t="s">
        <v>1329</v>
      </c>
      <c r="E511" s="22" t="s">
        <v>463</v>
      </c>
      <c r="F511" s="22" t="s">
        <v>918</v>
      </c>
      <c r="G511" s="68" t="s">
        <v>448</v>
      </c>
      <c r="H511" t="str">
        <f t="shared" si="17"/>
        <v>FHS2400</v>
      </c>
      <c r="I511">
        <f t="shared" si="18"/>
        <v>1</v>
      </c>
      <c r="J511" s="158"/>
      <c r="L511" s="158"/>
    </row>
    <row r="512" spans="2:12" ht="16.5">
      <c r="B512" s="21" t="s">
        <v>108</v>
      </c>
      <c r="C512" s="21" t="s">
        <v>1522</v>
      </c>
      <c r="D512" s="22"/>
      <c r="E512" s="22" t="s">
        <v>463</v>
      </c>
      <c r="F512" s="22" t="s">
        <v>918</v>
      </c>
      <c r="G512" s="68" t="s">
        <v>451</v>
      </c>
      <c r="H512" t="str">
        <f t="shared" si="17"/>
        <v>FHS2600</v>
      </c>
      <c r="I512">
        <f t="shared" si="18"/>
        <v>1</v>
      </c>
      <c r="J512" s="158"/>
      <c r="L512" s="158"/>
    </row>
    <row r="513" spans="2:12" ht="16.5">
      <c r="B513" s="21"/>
      <c r="C513" s="21" t="s">
        <v>1521</v>
      </c>
      <c r="D513" s="22"/>
      <c r="E513" s="22" t="s">
        <v>739</v>
      </c>
      <c r="F513" s="22" t="s">
        <v>452</v>
      </c>
      <c r="G513" s="68">
        <v>1010</v>
      </c>
      <c r="H513" t="str">
        <f t="shared" si="17"/>
        <v>FIN1010</v>
      </c>
      <c r="I513">
        <f t="shared" si="18"/>
        <v>1</v>
      </c>
      <c r="J513" s="158"/>
      <c r="L513" s="158"/>
    </row>
    <row r="514" spans="2:12" ht="16.5">
      <c r="B514" s="21"/>
      <c r="C514" s="21" t="s">
        <v>1521</v>
      </c>
      <c r="D514" s="22" t="s">
        <v>1329</v>
      </c>
      <c r="E514" s="22" t="s">
        <v>463</v>
      </c>
      <c r="F514" s="22" t="s">
        <v>452</v>
      </c>
      <c r="G514" s="68">
        <v>1050</v>
      </c>
      <c r="H514" t="str">
        <f t="shared" si="17"/>
        <v>FIN1050</v>
      </c>
      <c r="I514">
        <f t="shared" si="18"/>
        <v>1</v>
      </c>
      <c r="J514" s="158"/>
      <c r="L514" s="158"/>
    </row>
    <row r="515" spans="2:12" ht="16.5">
      <c r="B515" s="21" t="s">
        <v>91</v>
      </c>
      <c r="C515" s="21" t="s">
        <v>1522</v>
      </c>
      <c r="D515" s="22"/>
      <c r="E515" s="22" t="s">
        <v>463</v>
      </c>
      <c r="F515" s="22" t="s">
        <v>452</v>
      </c>
      <c r="G515" s="68">
        <v>1210</v>
      </c>
      <c r="H515" t="str">
        <f t="shared" si="17"/>
        <v>FIN1210</v>
      </c>
      <c r="I515">
        <f>IF(H515=H517,0,1)</f>
        <v>1</v>
      </c>
      <c r="J515" s="158"/>
      <c r="L515" s="158"/>
    </row>
    <row r="516" spans="2:12" ht="16.5">
      <c r="B516" s="21" t="s">
        <v>1897</v>
      </c>
      <c r="C516" s="21" t="s">
        <v>1522</v>
      </c>
      <c r="D516" s="22"/>
      <c r="E516" s="22" t="s">
        <v>1195</v>
      </c>
      <c r="F516" s="22" t="s">
        <v>452</v>
      </c>
      <c r="G516" s="68">
        <v>1750</v>
      </c>
      <c r="H516" t="str">
        <f t="shared" si="17"/>
        <v>FIN1750</v>
      </c>
      <c r="I516">
        <f>IF(H516=H518,0,1)</f>
        <v>1</v>
      </c>
      <c r="J516" s="158"/>
      <c r="L516" s="158"/>
    </row>
    <row r="517" spans="2:12" ht="16.5">
      <c r="B517" s="21" t="s">
        <v>1015</v>
      </c>
      <c r="C517" s="21" t="s">
        <v>1522</v>
      </c>
      <c r="D517" s="22"/>
      <c r="E517" s="22" t="s">
        <v>463</v>
      </c>
      <c r="F517" s="22" t="s">
        <v>452</v>
      </c>
      <c r="G517" s="68">
        <v>2000</v>
      </c>
      <c r="H517" t="str">
        <f t="shared" si="17"/>
        <v>FIN2000</v>
      </c>
      <c r="I517">
        <f t="shared" si="18"/>
        <v>1</v>
      </c>
      <c r="J517" s="158"/>
      <c r="L517" s="158"/>
    </row>
    <row r="518" spans="2:12" ht="16.5">
      <c r="B518" s="45"/>
      <c r="C518" s="21" t="s">
        <v>1521</v>
      </c>
      <c r="D518" s="22" t="s">
        <v>1329</v>
      </c>
      <c r="E518" s="22" t="s">
        <v>1262</v>
      </c>
      <c r="F518" s="22" t="s">
        <v>452</v>
      </c>
      <c r="G518" s="22" t="s">
        <v>1172</v>
      </c>
      <c r="H518" t="str">
        <f t="shared" si="17"/>
        <v>FIN2870</v>
      </c>
      <c r="I518">
        <f t="shared" si="18"/>
        <v>1</v>
      </c>
      <c r="J518" s="158"/>
      <c r="L518" s="158"/>
    </row>
    <row r="519" spans="2:12" ht="16.5">
      <c r="B519" s="21"/>
      <c r="C519" s="21" t="s">
        <v>1522</v>
      </c>
      <c r="D519" s="22"/>
      <c r="E519" s="22" t="s">
        <v>463</v>
      </c>
      <c r="F519" s="22" t="s">
        <v>1603</v>
      </c>
      <c r="G519" s="67">
        <v>1030</v>
      </c>
      <c r="H519" t="str">
        <f t="shared" si="17"/>
        <v>FLM1030</v>
      </c>
      <c r="I519">
        <f t="shared" si="18"/>
        <v>1</v>
      </c>
      <c r="J519" s="158"/>
      <c r="L519" s="158"/>
    </row>
    <row r="520" spans="2:12" ht="16.5">
      <c r="B520" s="21"/>
      <c r="C520" s="21" t="s">
        <v>1522</v>
      </c>
      <c r="D520" s="22"/>
      <c r="E520" s="22" t="s">
        <v>463</v>
      </c>
      <c r="F520" s="22" t="s">
        <v>1603</v>
      </c>
      <c r="G520" s="67">
        <v>1040</v>
      </c>
      <c r="H520" t="str">
        <f t="shared" si="17"/>
        <v>FLM1040</v>
      </c>
      <c r="I520">
        <f t="shared" si="18"/>
        <v>1</v>
      </c>
      <c r="J520" s="158"/>
      <c r="L520" s="158"/>
    </row>
    <row r="521" spans="2:12" ht="16.5">
      <c r="B521" s="21"/>
      <c r="C521" s="21" t="s">
        <v>1522</v>
      </c>
      <c r="D521" s="22"/>
      <c r="E521" s="22" t="s">
        <v>463</v>
      </c>
      <c r="F521" s="22" t="s">
        <v>1603</v>
      </c>
      <c r="G521" s="67">
        <v>1041</v>
      </c>
      <c r="H521" t="str">
        <f t="shared" si="17"/>
        <v>FLM1041</v>
      </c>
      <c r="I521">
        <f t="shared" si="18"/>
        <v>1</v>
      </c>
      <c r="J521" s="158"/>
      <c r="L521" s="158"/>
    </row>
    <row r="522" spans="2:12" ht="16.5">
      <c r="B522" s="21"/>
      <c r="C522" s="21" t="s">
        <v>1522</v>
      </c>
      <c r="D522" s="22"/>
      <c r="E522" s="22" t="s">
        <v>739</v>
      </c>
      <c r="F522" s="22" t="s">
        <v>631</v>
      </c>
      <c r="G522" s="68">
        <v>1010</v>
      </c>
      <c r="H522" t="str">
        <f t="shared" si="17"/>
        <v>FRCH1010</v>
      </c>
      <c r="I522">
        <f t="shared" si="18"/>
        <v>1</v>
      </c>
      <c r="J522" s="158"/>
      <c r="L522" s="158"/>
    </row>
    <row r="523" spans="2:12" ht="16.5">
      <c r="B523" s="21"/>
      <c r="C523" s="21" t="s">
        <v>1522</v>
      </c>
      <c r="D523" s="22"/>
      <c r="E523" s="22" t="s">
        <v>739</v>
      </c>
      <c r="F523" s="22" t="s">
        <v>631</v>
      </c>
      <c r="G523" s="68">
        <v>1020</v>
      </c>
      <c r="H523" t="str">
        <f t="shared" si="17"/>
        <v>FRCH1020</v>
      </c>
      <c r="I523">
        <f t="shared" si="18"/>
        <v>1</v>
      </c>
      <c r="J523" s="158"/>
      <c r="L523" s="158"/>
    </row>
    <row r="524" spans="2:12" ht="16.5">
      <c r="B524" s="21"/>
      <c r="C524" s="21" t="s">
        <v>1522</v>
      </c>
      <c r="D524" s="22" t="s">
        <v>534</v>
      </c>
      <c r="E524" s="22" t="s">
        <v>739</v>
      </c>
      <c r="F524" s="22" t="s">
        <v>631</v>
      </c>
      <c r="G524" s="68">
        <v>2010</v>
      </c>
      <c r="H524" t="str">
        <f t="shared" si="17"/>
        <v>FRCH2010</v>
      </c>
      <c r="I524">
        <f t="shared" si="18"/>
        <v>1</v>
      </c>
      <c r="J524" s="158"/>
      <c r="L524" s="158"/>
    </row>
    <row r="525" spans="2:12" ht="16.5">
      <c r="B525" s="21" t="s">
        <v>123</v>
      </c>
      <c r="C525" s="21" t="s">
        <v>1522</v>
      </c>
      <c r="D525" s="22"/>
      <c r="E525" s="22" t="s">
        <v>1586</v>
      </c>
      <c r="F525" s="22" t="s">
        <v>422</v>
      </c>
      <c r="G525" s="68" t="s">
        <v>1110</v>
      </c>
      <c r="H525" t="str">
        <f t="shared" si="17"/>
        <v>FSE1140</v>
      </c>
      <c r="I525">
        <f t="shared" si="18"/>
        <v>0</v>
      </c>
      <c r="J525" s="158"/>
      <c r="L525" s="158"/>
    </row>
    <row r="526" spans="2:12" ht="16.5">
      <c r="B526" s="21" t="s">
        <v>563</v>
      </c>
      <c r="C526" s="21" t="s">
        <v>1522</v>
      </c>
      <c r="D526" s="22"/>
      <c r="E526" s="22" t="s">
        <v>1586</v>
      </c>
      <c r="F526" s="22" t="s">
        <v>422</v>
      </c>
      <c r="G526" s="68" t="s">
        <v>1110</v>
      </c>
      <c r="H526" t="str">
        <f t="shared" si="17"/>
        <v>FSE1140</v>
      </c>
      <c r="I526">
        <f t="shared" si="18"/>
        <v>1</v>
      </c>
      <c r="J526" s="158"/>
      <c r="L526" s="158"/>
    </row>
    <row r="527" spans="2:12" ht="16.5">
      <c r="B527" s="21" t="s">
        <v>563</v>
      </c>
      <c r="C527" s="21" t="s">
        <v>1522</v>
      </c>
      <c r="D527" s="22"/>
      <c r="E527" s="22" t="s">
        <v>1586</v>
      </c>
      <c r="F527" s="22" t="s">
        <v>1383</v>
      </c>
      <c r="G527" s="68">
        <v>1000</v>
      </c>
      <c r="H527" t="str">
        <f t="shared" si="17"/>
        <v>FSF1000</v>
      </c>
      <c r="I527">
        <f t="shared" si="18"/>
        <v>1</v>
      </c>
      <c r="J527" s="158"/>
      <c r="L527" s="158"/>
    </row>
    <row r="528" spans="2:12" ht="16.5">
      <c r="B528" s="21" t="s">
        <v>563</v>
      </c>
      <c r="C528" s="21" t="s">
        <v>1522</v>
      </c>
      <c r="D528" s="22"/>
      <c r="E528" s="22" t="s">
        <v>1586</v>
      </c>
      <c r="F528" s="22" t="s">
        <v>423</v>
      </c>
      <c r="G528" s="68">
        <v>1400</v>
      </c>
      <c r="H528" t="str">
        <f t="shared" si="17"/>
        <v>FSW1400</v>
      </c>
      <c r="I528">
        <f t="shared" si="18"/>
        <v>1</v>
      </c>
      <c r="J528" s="158"/>
      <c r="L528" s="158"/>
    </row>
    <row r="529" spans="2:12" ht="16.5">
      <c r="B529" s="21" t="s">
        <v>572</v>
      </c>
      <c r="C529" s="21" t="s">
        <v>1522</v>
      </c>
      <c r="D529" s="22"/>
      <c r="E529" s="22" t="s">
        <v>1195</v>
      </c>
      <c r="F529" s="22" t="s">
        <v>453</v>
      </c>
      <c r="G529" s="67">
        <v>1010</v>
      </c>
      <c r="H529" t="str">
        <f t="shared" si="17"/>
        <v>GCOM1010</v>
      </c>
      <c r="I529">
        <f t="shared" si="18"/>
        <v>1</v>
      </c>
      <c r="J529" s="158"/>
      <c r="L529" s="158"/>
    </row>
    <row r="530" spans="2:12" ht="16.5">
      <c r="B530" s="21" t="s">
        <v>576</v>
      </c>
      <c r="C530" s="21" t="s">
        <v>1522</v>
      </c>
      <c r="D530" s="22"/>
      <c r="E530" s="22" t="s">
        <v>1195</v>
      </c>
      <c r="F530" s="22" t="s">
        <v>453</v>
      </c>
      <c r="G530" s="67" t="s">
        <v>436</v>
      </c>
      <c r="H530" t="str">
        <f t="shared" si="17"/>
        <v>GCOM1110</v>
      </c>
      <c r="I530">
        <f t="shared" si="18"/>
        <v>1</v>
      </c>
      <c r="J530" s="158"/>
      <c r="L530" s="158"/>
    </row>
    <row r="531" spans="2:12" ht="16.5">
      <c r="B531" s="21" t="s">
        <v>577</v>
      </c>
      <c r="C531" s="21" t="s">
        <v>1522</v>
      </c>
      <c r="D531" s="22"/>
      <c r="E531" s="22" t="s">
        <v>1195</v>
      </c>
      <c r="F531" s="22" t="s">
        <v>453</v>
      </c>
      <c r="G531" s="67" t="s">
        <v>433</v>
      </c>
      <c r="H531" t="str">
        <f t="shared" si="17"/>
        <v>GCOM1120</v>
      </c>
      <c r="I531">
        <f t="shared" si="18"/>
        <v>1</v>
      </c>
      <c r="J531" s="158"/>
      <c r="L531" s="158"/>
    </row>
    <row r="532" spans="2:12" ht="16.5">
      <c r="B532" s="21" t="s">
        <v>572</v>
      </c>
      <c r="C532" s="21" t="s">
        <v>1522</v>
      </c>
      <c r="D532" s="22"/>
      <c r="E532" s="22" t="s">
        <v>1195</v>
      </c>
      <c r="F532" s="22" t="s">
        <v>453</v>
      </c>
      <c r="G532" s="67">
        <v>1410</v>
      </c>
      <c r="H532" t="str">
        <f t="shared" si="17"/>
        <v>GCOM1410</v>
      </c>
      <c r="I532">
        <f t="shared" si="18"/>
        <v>1</v>
      </c>
      <c r="J532" s="158"/>
      <c r="L532" s="158"/>
    </row>
    <row r="533" spans="2:12" ht="16.5">
      <c r="B533" s="21" t="s">
        <v>578</v>
      </c>
      <c r="C533" s="21" t="s">
        <v>1522</v>
      </c>
      <c r="D533" s="22"/>
      <c r="E533" s="22" t="s">
        <v>1195</v>
      </c>
      <c r="F533" s="22" t="s">
        <v>453</v>
      </c>
      <c r="G533" s="67">
        <v>1610</v>
      </c>
      <c r="H533" t="str">
        <f t="shared" si="17"/>
        <v>GCOM1610</v>
      </c>
      <c r="I533">
        <f t="shared" si="18"/>
        <v>1</v>
      </c>
      <c r="J533" s="158"/>
      <c r="L533" s="158"/>
    </row>
    <row r="534" spans="2:12" ht="16.5">
      <c r="B534" s="21"/>
      <c r="C534" s="21" t="s">
        <v>1522</v>
      </c>
      <c r="D534" s="22" t="s">
        <v>1332</v>
      </c>
      <c r="E534" s="22" t="s">
        <v>463</v>
      </c>
      <c r="F534" s="22" t="s">
        <v>1041</v>
      </c>
      <c r="G534" s="68">
        <v>1010</v>
      </c>
      <c r="H534" t="str">
        <f t="shared" si="17"/>
        <v>GEO 1010</v>
      </c>
      <c r="I534">
        <f t="shared" si="18"/>
        <v>1</v>
      </c>
      <c r="J534" s="158"/>
      <c r="L534" s="158"/>
    </row>
    <row r="535" spans="2:12" ht="16.5">
      <c r="B535" s="21"/>
      <c r="C535" s="21" t="s">
        <v>1522</v>
      </c>
      <c r="D535" s="22" t="s">
        <v>1332</v>
      </c>
      <c r="E535" s="96" t="s">
        <v>1526</v>
      </c>
      <c r="F535" s="22" t="s">
        <v>1386</v>
      </c>
      <c r="G535" s="67" t="s">
        <v>1528</v>
      </c>
      <c r="H535" t="str">
        <f t="shared" si="17"/>
        <v>GEO1010</v>
      </c>
      <c r="I535">
        <f t="shared" si="18"/>
        <v>0</v>
      </c>
      <c r="J535" s="158"/>
      <c r="L535" s="158"/>
    </row>
    <row r="536" spans="2:12" ht="16.5">
      <c r="B536" s="45"/>
      <c r="C536" s="21" t="s">
        <v>1522</v>
      </c>
      <c r="D536" s="22" t="s">
        <v>1332</v>
      </c>
      <c r="E536" s="22" t="s">
        <v>1262</v>
      </c>
      <c r="F536" s="22" t="s">
        <v>1386</v>
      </c>
      <c r="G536" s="22" t="s">
        <v>1528</v>
      </c>
      <c r="H536" t="str">
        <f t="shared" si="17"/>
        <v>GEO1010</v>
      </c>
      <c r="I536">
        <f t="shared" si="18"/>
        <v>0</v>
      </c>
      <c r="J536" s="158"/>
      <c r="L536" s="158"/>
    </row>
    <row r="537" spans="2:12" ht="16.5">
      <c r="B537" s="21"/>
      <c r="C537" s="21" t="s">
        <v>1522</v>
      </c>
      <c r="D537" s="22" t="s">
        <v>1332</v>
      </c>
      <c r="E537" s="22" t="s">
        <v>1586</v>
      </c>
      <c r="F537" s="22" t="s">
        <v>1386</v>
      </c>
      <c r="G537" s="67">
        <v>1010</v>
      </c>
      <c r="H537" t="str">
        <f t="shared" si="17"/>
        <v>GEO1010</v>
      </c>
      <c r="I537">
        <f t="shared" si="18"/>
        <v>1</v>
      </c>
      <c r="J537" s="158"/>
      <c r="L537" s="158"/>
    </row>
    <row r="538" spans="2:12" ht="16.5">
      <c r="B538" s="45"/>
      <c r="C538" s="21" t="s">
        <v>1522</v>
      </c>
      <c r="D538" s="22"/>
      <c r="E538" s="22" t="s">
        <v>1262</v>
      </c>
      <c r="F538" s="22" t="s">
        <v>1386</v>
      </c>
      <c r="G538" s="22" t="s">
        <v>713</v>
      </c>
      <c r="H538" t="str">
        <f t="shared" si="17"/>
        <v>GEO1015</v>
      </c>
      <c r="I538">
        <f t="shared" si="18"/>
        <v>0</v>
      </c>
      <c r="J538" s="158"/>
      <c r="L538" s="158"/>
    </row>
    <row r="539" spans="2:12" ht="16.5">
      <c r="B539" s="21"/>
      <c r="C539" s="21" t="s">
        <v>1522</v>
      </c>
      <c r="D539" s="22"/>
      <c r="E539" s="22" t="s">
        <v>1586</v>
      </c>
      <c r="F539" s="22" t="s">
        <v>1386</v>
      </c>
      <c r="G539" s="67">
        <v>1015</v>
      </c>
      <c r="H539" t="str">
        <f t="shared" si="17"/>
        <v>GEO1015</v>
      </c>
      <c r="I539">
        <f t="shared" si="18"/>
        <v>1</v>
      </c>
      <c r="J539" s="159" t="s">
        <v>1897</v>
      </c>
      <c r="L539" s="159" t="s">
        <v>1897</v>
      </c>
    </row>
    <row r="540" spans="2:12" ht="16.5">
      <c r="B540" s="21"/>
      <c r="C540" s="21" t="s">
        <v>1522</v>
      </c>
      <c r="D540" s="22" t="s">
        <v>1332</v>
      </c>
      <c r="E540" s="22" t="s">
        <v>1262</v>
      </c>
      <c r="F540" s="96" t="s">
        <v>1386</v>
      </c>
      <c r="G540" s="67">
        <v>1030</v>
      </c>
      <c r="H540" t="str">
        <f t="shared" si="17"/>
        <v>GEO1030</v>
      </c>
      <c r="I540">
        <f t="shared" si="18"/>
        <v>1</v>
      </c>
      <c r="J540" s="158"/>
      <c r="L540" s="158"/>
    </row>
    <row r="541" spans="2:12" ht="16.5">
      <c r="B541" s="45"/>
      <c r="C541" s="21" t="s">
        <v>1522</v>
      </c>
      <c r="D541" s="22" t="s">
        <v>1332</v>
      </c>
      <c r="E541" s="22" t="s">
        <v>1262</v>
      </c>
      <c r="F541" s="22" t="s">
        <v>1386</v>
      </c>
      <c r="G541" s="22" t="s">
        <v>1119</v>
      </c>
      <c r="H541" t="str">
        <f t="shared" si="17"/>
        <v>GEO1050</v>
      </c>
      <c r="I541">
        <f t="shared" si="18"/>
        <v>1</v>
      </c>
      <c r="J541" s="158"/>
      <c r="L541" s="158"/>
    </row>
    <row r="542" spans="2:12" ht="16.5">
      <c r="B542" s="45"/>
      <c r="C542" s="21" t="s">
        <v>1522</v>
      </c>
      <c r="D542" s="22"/>
      <c r="E542" s="22" t="s">
        <v>1262</v>
      </c>
      <c r="F542" s="22" t="s">
        <v>1386</v>
      </c>
      <c r="G542" s="22" t="s">
        <v>1482</v>
      </c>
      <c r="H542" t="str">
        <f t="shared" si="17"/>
        <v>GEO1055</v>
      </c>
      <c r="I542">
        <f t="shared" si="18"/>
        <v>1</v>
      </c>
      <c r="J542" s="56" t="s">
        <v>1897</v>
      </c>
      <c r="L542" s="56" t="s">
        <v>1897</v>
      </c>
    </row>
    <row r="543" spans="2:12" ht="16.5">
      <c r="B543" s="45"/>
      <c r="C543" s="21" t="s">
        <v>1522</v>
      </c>
      <c r="D543" s="22" t="s">
        <v>1332</v>
      </c>
      <c r="E543" s="22" t="s">
        <v>1262</v>
      </c>
      <c r="F543" s="22" t="s">
        <v>1386</v>
      </c>
      <c r="G543" s="22" t="s">
        <v>1033</v>
      </c>
      <c r="H543" t="str">
        <f t="shared" si="17"/>
        <v>GEO1090</v>
      </c>
      <c r="I543">
        <f t="shared" si="18"/>
        <v>1</v>
      </c>
      <c r="J543" s="158"/>
      <c r="L543" s="158"/>
    </row>
    <row r="544" spans="2:12" ht="16.5">
      <c r="B544" s="21"/>
      <c r="C544" s="21" t="s">
        <v>1522</v>
      </c>
      <c r="D544" s="22"/>
      <c r="E544" s="22" t="s">
        <v>1262</v>
      </c>
      <c r="F544" s="96" t="s">
        <v>1386</v>
      </c>
      <c r="G544" s="67">
        <v>1095</v>
      </c>
      <c r="H544" t="str">
        <f t="shared" si="17"/>
        <v>GEO1095</v>
      </c>
      <c r="I544">
        <f t="shared" si="18"/>
        <v>1</v>
      </c>
      <c r="J544" s="159" t="s">
        <v>1897</v>
      </c>
      <c r="L544" s="159" t="s">
        <v>1897</v>
      </c>
    </row>
    <row r="545" spans="2:12" ht="16.5">
      <c r="B545" s="21"/>
      <c r="C545" s="21" t="s">
        <v>1522</v>
      </c>
      <c r="D545" s="22" t="s">
        <v>1332</v>
      </c>
      <c r="E545" s="96" t="s">
        <v>1526</v>
      </c>
      <c r="F545" s="22" t="s">
        <v>1386</v>
      </c>
      <c r="G545" s="67">
        <v>1800</v>
      </c>
      <c r="H545" t="str">
        <f t="shared" si="17"/>
        <v>GEO1800</v>
      </c>
      <c r="I545">
        <f t="shared" si="18"/>
        <v>1</v>
      </c>
      <c r="J545" s="158"/>
      <c r="L545" s="158"/>
    </row>
    <row r="546" spans="2:12" ht="16.5">
      <c r="B546" s="21"/>
      <c r="C546" s="21" t="s">
        <v>1521</v>
      </c>
      <c r="D546" s="22" t="s">
        <v>1332</v>
      </c>
      <c r="E546" s="96" t="s">
        <v>1526</v>
      </c>
      <c r="F546" s="22" t="s">
        <v>1098</v>
      </c>
      <c r="G546" s="67">
        <v>1000</v>
      </c>
      <c r="H546" t="str">
        <f t="shared" si="17"/>
        <v>GEOG1000</v>
      </c>
      <c r="I546">
        <f t="shared" si="18"/>
        <v>1</v>
      </c>
      <c r="J546" s="158"/>
      <c r="L546" s="158"/>
    </row>
    <row r="547" spans="2:12" ht="16.5">
      <c r="B547" s="21"/>
      <c r="C547" s="21" t="s">
        <v>1521</v>
      </c>
      <c r="D547" s="22" t="s">
        <v>1332</v>
      </c>
      <c r="E547" s="22" t="s">
        <v>463</v>
      </c>
      <c r="F547" s="22" t="s">
        <v>1098</v>
      </c>
      <c r="G547" s="68">
        <v>1300</v>
      </c>
      <c r="H547" t="str">
        <f t="shared" si="17"/>
        <v>GEOG1300</v>
      </c>
      <c r="I547">
        <f t="shared" si="18"/>
        <v>0</v>
      </c>
      <c r="J547" s="158"/>
      <c r="L547" s="158"/>
    </row>
    <row r="548" spans="2:12" ht="16.5">
      <c r="B548" s="21" t="s">
        <v>62</v>
      </c>
      <c r="C548" s="21" t="s">
        <v>1522</v>
      </c>
      <c r="D548" s="22" t="s">
        <v>1332</v>
      </c>
      <c r="E548" s="22" t="s">
        <v>463</v>
      </c>
      <c r="F548" s="22" t="s">
        <v>1098</v>
      </c>
      <c r="G548" s="68">
        <v>1300</v>
      </c>
      <c r="H548" t="str">
        <f t="shared" si="17"/>
        <v>GEOG1300</v>
      </c>
      <c r="I548">
        <f t="shared" si="18"/>
        <v>0</v>
      </c>
      <c r="J548" s="158"/>
      <c r="L548" s="158"/>
    </row>
    <row r="549" spans="2:12" ht="16.5">
      <c r="B549" s="21"/>
      <c r="C549" s="21" t="s">
        <v>1521</v>
      </c>
      <c r="D549" s="22" t="s">
        <v>1329</v>
      </c>
      <c r="E549" s="22" t="s">
        <v>1261</v>
      </c>
      <c r="F549" s="22" t="s">
        <v>1098</v>
      </c>
      <c r="G549" s="67">
        <v>1300</v>
      </c>
      <c r="H549" t="str">
        <f t="shared" si="17"/>
        <v>GEOG1300</v>
      </c>
      <c r="I549">
        <f t="shared" si="18"/>
        <v>0</v>
      </c>
      <c r="J549" s="158"/>
      <c r="L549" s="158"/>
    </row>
    <row r="550" spans="2:12" ht="16.5">
      <c r="B550" s="21"/>
      <c r="C550" s="21" t="s">
        <v>1521</v>
      </c>
      <c r="D550" s="22" t="s">
        <v>1329</v>
      </c>
      <c r="E550" s="22" t="s">
        <v>1586</v>
      </c>
      <c r="F550" s="22" t="s">
        <v>1098</v>
      </c>
      <c r="G550" s="67">
        <v>1300</v>
      </c>
      <c r="H550" t="str">
        <f t="shared" si="17"/>
        <v>GEOG1300</v>
      </c>
      <c r="I550">
        <f t="shared" si="18"/>
        <v>0</v>
      </c>
      <c r="J550" s="158"/>
      <c r="L550" s="158"/>
    </row>
    <row r="551" spans="2:12" ht="16.5">
      <c r="B551" s="21" t="s">
        <v>62</v>
      </c>
      <c r="C551" s="21" t="s">
        <v>1522</v>
      </c>
      <c r="D551" s="22" t="s">
        <v>1329</v>
      </c>
      <c r="E551" s="22" t="s">
        <v>1586</v>
      </c>
      <c r="F551" s="22" t="s">
        <v>1098</v>
      </c>
      <c r="G551" s="68">
        <v>1300</v>
      </c>
      <c r="H551" t="str">
        <f t="shared" si="17"/>
        <v>GEOG1300</v>
      </c>
      <c r="I551">
        <f t="shared" si="18"/>
        <v>1</v>
      </c>
      <c r="J551" s="158"/>
      <c r="L551" s="158"/>
    </row>
    <row r="552" spans="2:12" ht="16.5">
      <c r="B552" s="21"/>
      <c r="C552" s="21" t="s">
        <v>1522</v>
      </c>
      <c r="D552" s="22"/>
      <c r="E552" s="22" t="s">
        <v>463</v>
      </c>
      <c r="F552" s="22" t="s">
        <v>470</v>
      </c>
      <c r="G552" s="68">
        <v>1010</v>
      </c>
      <c r="H552" t="str">
        <f t="shared" si="17"/>
        <v>GER1010</v>
      </c>
      <c r="I552">
        <f t="shared" si="18"/>
        <v>0</v>
      </c>
      <c r="J552" s="158"/>
      <c r="L552" s="158"/>
    </row>
    <row r="553" spans="2:12" ht="16.5">
      <c r="B553" s="21"/>
      <c r="C553" s="21" t="s">
        <v>1522</v>
      </c>
      <c r="D553" s="22"/>
      <c r="E553" s="22" t="s">
        <v>1586</v>
      </c>
      <c r="F553" s="22" t="s">
        <v>470</v>
      </c>
      <c r="G553" s="68" t="s">
        <v>1528</v>
      </c>
      <c r="H553" t="str">
        <f t="shared" si="17"/>
        <v>GER1010</v>
      </c>
      <c r="I553">
        <f t="shared" si="18"/>
        <v>1</v>
      </c>
      <c r="J553" s="158"/>
      <c r="L553" s="158"/>
    </row>
    <row r="554" spans="2:12" ht="16.5">
      <c r="B554" s="21"/>
      <c r="C554" s="21" t="s">
        <v>1522</v>
      </c>
      <c r="D554" s="22"/>
      <c r="E554" s="22" t="s">
        <v>463</v>
      </c>
      <c r="F554" s="22" t="s">
        <v>470</v>
      </c>
      <c r="G554" s="68">
        <v>1020</v>
      </c>
      <c r="H554" t="str">
        <f t="shared" si="17"/>
        <v>GER1020</v>
      </c>
      <c r="I554">
        <f t="shared" si="18"/>
        <v>0</v>
      </c>
      <c r="J554" s="158"/>
      <c r="L554" s="158"/>
    </row>
    <row r="555" spans="2:12" ht="16.5">
      <c r="B555" s="21"/>
      <c r="C555" s="21" t="s">
        <v>1522</v>
      </c>
      <c r="D555" s="22"/>
      <c r="E555" s="22" t="s">
        <v>1586</v>
      </c>
      <c r="F555" s="22" t="s">
        <v>470</v>
      </c>
      <c r="G555" s="68" t="s">
        <v>428</v>
      </c>
      <c r="H555" t="str">
        <f t="shared" si="17"/>
        <v>GER1020</v>
      </c>
      <c r="I555">
        <f t="shared" si="18"/>
        <v>1</v>
      </c>
      <c r="J555" s="158"/>
      <c r="L555" s="158"/>
    </row>
    <row r="556" spans="2:12" ht="16.5">
      <c r="B556" s="21"/>
      <c r="C556" s="21" t="s">
        <v>1522</v>
      </c>
      <c r="D556" s="22"/>
      <c r="E556" s="22" t="s">
        <v>1586</v>
      </c>
      <c r="F556" s="22" t="s">
        <v>470</v>
      </c>
      <c r="G556" s="68">
        <v>2010</v>
      </c>
      <c r="H556" t="str">
        <f t="shared" si="17"/>
        <v>GER2010</v>
      </c>
      <c r="I556">
        <f t="shared" si="18"/>
        <v>1</v>
      </c>
      <c r="J556" s="158"/>
      <c r="L556" s="158"/>
    </row>
    <row r="557" spans="2:12" ht="16.5">
      <c r="B557" s="21"/>
      <c r="C557" s="21" t="s">
        <v>1522</v>
      </c>
      <c r="D557" s="22" t="s">
        <v>1329</v>
      </c>
      <c r="E557" s="22" t="s">
        <v>1261</v>
      </c>
      <c r="F557" s="22" t="s">
        <v>357</v>
      </c>
      <c r="G557" s="67">
        <v>1500</v>
      </c>
      <c r="H557" t="str">
        <f t="shared" si="17"/>
        <v>HFST1500</v>
      </c>
      <c r="I557">
        <f t="shared" si="18"/>
        <v>0</v>
      </c>
      <c r="J557" s="158"/>
      <c r="L557" s="158"/>
    </row>
    <row r="558" spans="2:12" ht="16.5">
      <c r="B558" s="21" t="s">
        <v>111</v>
      </c>
      <c r="C558" s="21" t="s">
        <v>1522</v>
      </c>
      <c r="D558" s="22" t="s">
        <v>1329</v>
      </c>
      <c r="E558" s="22" t="s">
        <v>1261</v>
      </c>
      <c r="F558" s="22" t="s">
        <v>357</v>
      </c>
      <c r="G558" s="67">
        <v>1500</v>
      </c>
      <c r="H558" t="str">
        <f t="shared" si="17"/>
        <v>HFST1500</v>
      </c>
      <c r="I558">
        <f t="shared" si="18"/>
        <v>1</v>
      </c>
      <c r="J558" s="158"/>
      <c r="L558" s="158"/>
    </row>
    <row r="559" spans="2:12" ht="16.5">
      <c r="B559" s="21"/>
      <c r="C559" s="21" t="s">
        <v>1521</v>
      </c>
      <c r="D559" s="22" t="s">
        <v>1329</v>
      </c>
      <c r="E559" s="22" t="s">
        <v>1586</v>
      </c>
      <c r="F559" s="22" t="s">
        <v>285</v>
      </c>
      <c r="G559" s="67">
        <v>2710</v>
      </c>
      <c r="H559" t="str">
        <f t="shared" si="17"/>
        <v>HIST 2710</v>
      </c>
      <c r="I559">
        <f t="shared" si="18"/>
        <v>1</v>
      </c>
      <c r="J559" s="158"/>
      <c r="L559" s="158"/>
    </row>
    <row r="560" spans="2:12" ht="16.5">
      <c r="B560" s="21"/>
      <c r="C560" s="21" t="s">
        <v>1522</v>
      </c>
      <c r="D560" s="22" t="s">
        <v>1329</v>
      </c>
      <c r="E560" s="22" t="s">
        <v>1195</v>
      </c>
      <c r="F560" s="22" t="s">
        <v>1101</v>
      </c>
      <c r="G560" s="68">
        <v>1100</v>
      </c>
      <c r="H560" t="str">
        <f t="shared" ref="H560:H623" si="19">CONCATENATE(F560,G560)</f>
        <v>HIST1100</v>
      </c>
      <c r="I560">
        <f t="shared" si="18"/>
        <v>0</v>
      </c>
      <c r="J560" s="158"/>
      <c r="L560" s="158"/>
    </row>
    <row r="561" spans="2:12" ht="16.5">
      <c r="B561" s="21"/>
      <c r="C561" s="21" t="s">
        <v>1522</v>
      </c>
      <c r="D561" s="22" t="s">
        <v>534</v>
      </c>
      <c r="E561" s="22" t="s">
        <v>1262</v>
      </c>
      <c r="F561" s="22" t="s">
        <v>1101</v>
      </c>
      <c r="G561" s="22" t="s">
        <v>1078</v>
      </c>
      <c r="H561" t="str">
        <f t="shared" si="19"/>
        <v>HIST1100</v>
      </c>
      <c r="I561">
        <f t="shared" ref="I561:I624" si="20">IF(H561=H562,0,1)</f>
        <v>0</v>
      </c>
      <c r="J561" s="158"/>
      <c r="L561" s="158"/>
    </row>
    <row r="562" spans="2:12" ht="16.5">
      <c r="B562" s="21"/>
      <c r="C562" s="21" t="s">
        <v>1521</v>
      </c>
      <c r="D562" s="22" t="s">
        <v>534</v>
      </c>
      <c r="E562" s="22" t="s">
        <v>1262</v>
      </c>
      <c r="F562" s="22" t="s">
        <v>1101</v>
      </c>
      <c r="G562" s="22" t="s">
        <v>1078</v>
      </c>
      <c r="H562" t="str">
        <f t="shared" si="19"/>
        <v>HIST1100</v>
      </c>
      <c r="I562">
        <f t="shared" si="20"/>
        <v>0</v>
      </c>
      <c r="J562" s="158"/>
      <c r="L562" s="158"/>
    </row>
    <row r="563" spans="2:12" ht="16.5">
      <c r="B563" s="21"/>
      <c r="C563" s="21" t="s">
        <v>1522</v>
      </c>
      <c r="D563" s="22" t="s">
        <v>534</v>
      </c>
      <c r="E563" s="22" t="s">
        <v>551</v>
      </c>
      <c r="F563" s="22" t="s">
        <v>1101</v>
      </c>
      <c r="G563" s="67">
        <v>1100</v>
      </c>
      <c r="H563" t="str">
        <f t="shared" si="19"/>
        <v>HIST1100</v>
      </c>
      <c r="I563">
        <f t="shared" si="20"/>
        <v>0</v>
      </c>
      <c r="J563" s="158"/>
      <c r="L563" s="158"/>
    </row>
    <row r="564" spans="2:12" ht="16.5">
      <c r="B564" s="21"/>
      <c r="C564" s="21" t="s">
        <v>1521</v>
      </c>
      <c r="D564" s="22" t="s">
        <v>534</v>
      </c>
      <c r="E564" s="22" t="s">
        <v>551</v>
      </c>
      <c r="F564" s="22" t="s">
        <v>1101</v>
      </c>
      <c r="G564" s="67">
        <v>1100</v>
      </c>
      <c r="H564" t="str">
        <f t="shared" si="19"/>
        <v>HIST1100</v>
      </c>
      <c r="I564">
        <f t="shared" si="20"/>
        <v>0</v>
      </c>
      <c r="J564" s="158"/>
      <c r="L564" s="158"/>
    </row>
    <row r="565" spans="2:12" ht="16.5">
      <c r="B565" s="21"/>
      <c r="C565" s="21" t="s">
        <v>1522</v>
      </c>
      <c r="D565" s="22" t="s">
        <v>1329</v>
      </c>
      <c r="E565" s="22" t="s">
        <v>1586</v>
      </c>
      <c r="F565" s="22" t="s">
        <v>1101</v>
      </c>
      <c r="G565" s="68">
        <v>1100</v>
      </c>
      <c r="H565" t="str">
        <f t="shared" si="19"/>
        <v>HIST1100</v>
      </c>
      <c r="I565">
        <f t="shared" si="20"/>
        <v>0</v>
      </c>
      <c r="J565" s="158"/>
      <c r="L565" s="158"/>
    </row>
    <row r="566" spans="2:12" ht="16.5">
      <c r="B566" s="21"/>
      <c r="C566" s="21" t="s">
        <v>1521</v>
      </c>
      <c r="D566" s="22" t="s">
        <v>1329</v>
      </c>
      <c r="E566" s="22" t="s">
        <v>1586</v>
      </c>
      <c r="F566" s="22" t="s">
        <v>1101</v>
      </c>
      <c r="G566" s="68">
        <v>1100</v>
      </c>
      <c r="H566" t="str">
        <f t="shared" si="19"/>
        <v>HIST1100</v>
      </c>
      <c r="I566">
        <f t="shared" si="20"/>
        <v>1</v>
      </c>
      <c r="J566" s="158"/>
      <c r="L566" s="158"/>
    </row>
    <row r="567" spans="2:12" ht="16.5">
      <c r="B567" s="21"/>
      <c r="C567" s="21" t="s">
        <v>1521</v>
      </c>
      <c r="D567" s="22" t="s">
        <v>534</v>
      </c>
      <c r="E567" s="22" t="s">
        <v>1262</v>
      </c>
      <c r="F567" s="22" t="s">
        <v>1101</v>
      </c>
      <c r="G567" s="22" t="s">
        <v>436</v>
      </c>
      <c r="H567" t="str">
        <f t="shared" si="19"/>
        <v>HIST1110</v>
      </c>
      <c r="I567">
        <f t="shared" si="20"/>
        <v>0</v>
      </c>
      <c r="J567" s="158"/>
      <c r="L567" s="158"/>
    </row>
    <row r="568" spans="2:12" ht="16.5">
      <c r="B568" s="21"/>
      <c r="C568" s="21" t="s">
        <v>1522</v>
      </c>
      <c r="D568" s="22" t="s">
        <v>534</v>
      </c>
      <c r="E568" s="22" t="s">
        <v>1262</v>
      </c>
      <c r="F568" s="22" t="s">
        <v>1101</v>
      </c>
      <c r="G568" s="22" t="s">
        <v>436</v>
      </c>
      <c r="H568" t="str">
        <f t="shared" si="19"/>
        <v>HIST1110</v>
      </c>
      <c r="I568">
        <f t="shared" si="20"/>
        <v>0</v>
      </c>
      <c r="J568" s="158"/>
      <c r="L568" s="158"/>
    </row>
    <row r="569" spans="2:12" ht="16.5">
      <c r="B569" s="21"/>
      <c r="C569" s="21" t="s">
        <v>1521</v>
      </c>
      <c r="D569" s="22" t="s">
        <v>534</v>
      </c>
      <c r="E569" s="22" t="s">
        <v>551</v>
      </c>
      <c r="F569" s="22" t="s">
        <v>1101</v>
      </c>
      <c r="G569" s="67">
        <v>1110</v>
      </c>
      <c r="H569" t="str">
        <f t="shared" si="19"/>
        <v>HIST1110</v>
      </c>
      <c r="I569">
        <f t="shared" si="20"/>
        <v>0</v>
      </c>
      <c r="J569" s="158"/>
      <c r="L569" s="158"/>
    </row>
    <row r="570" spans="2:12" ht="16.5">
      <c r="B570" s="21"/>
      <c r="C570" s="21" t="s">
        <v>1522</v>
      </c>
      <c r="D570" s="22" t="s">
        <v>534</v>
      </c>
      <c r="E570" s="22" t="s">
        <v>551</v>
      </c>
      <c r="F570" s="22" t="s">
        <v>1101</v>
      </c>
      <c r="G570" s="67">
        <v>1110</v>
      </c>
      <c r="H570" t="str">
        <f t="shared" si="19"/>
        <v>HIST1110</v>
      </c>
      <c r="I570">
        <f t="shared" si="20"/>
        <v>0</v>
      </c>
      <c r="J570" s="158"/>
      <c r="L570" s="158"/>
    </row>
    <row r="571" spans="2:12" ht="16.5">
      <c r="B571" s="21"/>
      <c r="C571" s="21" t="s">
        <v>1521</v>
      </c>
      <c r="D571" s="22" t="s">
        <v>1329</v>
      </c>
      <c r="E571" s="22" t="s">
        <v>1586</v>
      </c>
      <c r="F571" s="22" t="s">
        <v>1101</v>
      </c>
      <c r="G571" s="68">
        <v>1110</v>
      </c>
      <c r="H571" t="str">
        <f t="shared" si="19"/>
        <v>HIST1110</v>
      </c>
      <c r="I571">
        <f t="shared" si="20"/>
        <v>0</v>
      </c>
      <c r="J571" s="158"/>
      <c r="L571" s="158"/>
    </row>
    <row r="572" spans="2:12" ht="16.5">
      <c r="B572" s="21"/>
      <c r="C572" s="21" t="s">
        <v>1522</v>
      </c>
      <c r="D572" s="22" t="s">
        <v>1329</v>
      </c>
      <c r="E572" s="22" t="s">
        <v>1586</v>
      </c>
      <c r="F572" s="22" t="s">
        <v>1101</v>
      </c>
      <c r="G572" s="68">
        <v>1110</v>
      </c>
      <c r="H572" t="str">
        <f t="shared" si="19"/>
        <v>HIST1110</v>
      </c>
      <c r="I572">
        <f t="shared" si="20"/>
        <v>1</v>
      </c>
      <c r="J572" s="158"/>
      <c r="L572" s="158"/>
    </row>
    <row r="573" spans="2:12" ht="16.5">
      <c r="B573" s="21"/>
      <c r="C573" s="21" t="s">
        <v>1522</v>
      </c>
      <c r="D573" s="22"/>
      <c r="E573" s="96" t="s">
        <v>1526</v>
      </c>
      <c r="F573" s="22" t="s">
        <v>1101</v>
      </c>
      <c r="G573" s="67">
        <v>1300</v>
      </c>
      <c r="H573" t="str">
        <f t="shared" si="19"/>
        <v>HIST1300</v>
      </c>
      <c r="I573">
        <f t="shared" si="20"/>
        <v>1</v>
      </c>
      <c r="J573" s="158"/>
      <c r="L573" s="158"/>
    </row>
    <row r="574" spans="2:12" ht="16.5">
      <c r="B574" s="125"/>
      <c r="C574" s="125" t="s">
        <v>1521</v>
      </c>
      <c r="D574" s="131" t="s">
        <v>534</v>
      </c>
      <c r="E574" s="132" t="s">
        <v>1526</v>
      </c>
      <c r="F574" s="131" t="s">
        <v>1101</v>
      </c>
      <c r="G574" s="133">
        <v>1500</v>
      </c>
      <c r="H574" t="str">
        <f t="shared" si="19"/>
        <v>HIST1500</v>
      </c>
      <c r="I574">
        <f t="shared" si="20"/>
        <v>1</v>
      </c>
      <c r="J574" s="158"/>
      <c r="L574" s="158"/>
    </row>
    <row r="575" spans="2:12" ht="16.5">
      <c r="B575" s="125"/>
      <c r="C575" s="125" t="s">
        <v>1521</v>
      </c>
      <c r="D575" s="131" t="s">
        <v>534</v>
      </c>
      <c r="E575" s="132" t="s">
        <v>1526</v>
      </c>
      <c r="F575" s="131" t="s">
        <v>1101</v>
      </c>
      <c r="G575" s="133">
        <v>1510</v>
      </c>
      <c r="H575" t="str">
        <f t="shared" si="19"/>
        <v>HIST1510</v>
      </c>
      <c r="I575">
        <f t="shared" si="20"/>
        <v>1</v>
      </c>
      <c r="J575" s="158"/>
      <c r="L575" s="158"/>
    </row>
    <row r="576" spans="2:12" ht="16.5">
      <c r="B576" s="21"/>
      <c r="C576" s="21" t="s">
        <v>1522</v>
      </c>
      <c r="D576" s="22" t="s">
        <v>70</v>
      </c>
      <c r="E576" s="96" t="s">
        <v>1526</v>
      </c>
      <c r="F576" s="22" t="s">
        <v>1101</v>
      </c>
      <c r="G576" s="67">
        <v>1700</v>
      </c>
      <c r="H576" t="str">
        <f t="shared" si="19"/>
        <v>HIST1700</v>
      </c>
      <c r="I576">
        <f t="shared" si="20"/>
        <v>0</v>
      </c>
      <c r="J576" s="158"/>
      <c r="L576" s="158"/>
    </row>
    <row r="577" spans="2:12" ht="16.5">
      <c r="B577" s="21"/>
      <c r="C577" s="21" t="s">
        <v>1522</v>
      </c>
      <c r="D577" s="22" t="s">
        <v>70</v>
      </c>
      <c r="E577" s="22" t="s">
        <v>1195</v>
      </c>
      <c r="F577" s="22" t="s">
        <v>1101</v>
      </c>
      <c r="G577" s="67">
        <v>1700</v>
      </c>
      <c r="H577" t="str">
        <f t="shared" si="19"/>
        <v>HIST1700</v>
      </c>
      <c r="I577">
        <f t="shared" si="20"/>
        <v>0</v>
      </c>
      <c r="J577" s="158"/>
      <c r="L577" s="158"/>
    </row>
    <row r="578" spans="2:12" ht="16.5">
      <c r="B578" s="21"/>
      <c r="C578" s="21" t="s">
        <v>1522</v>
      </c>
      <c r="D578" s="22" t="s">
        <v>70</v>
      </c>
      <c r="E578" s="22" t="s">
        <v>463</v>
      </c>
      <c r="F578" s="22" t="s">
        <v>1101</v>
      </c>
      <c r="G578" s="68" t="s">
        <v>430</v>
      </c>
      <c r="H578" t="str">
        <f t="shared" si="19"/>
        <v>HIST1700</v>
      </c>
      <c r="I578">
        <f t="shared" si="20"/>
        <v>0</v>
      </c>
      <c r="J578" s="158"/>
      <c r="L578" s="158"/>
    </row>
    <row r="579" spans="2:12" ht="16.5">
      <c r="B579" s="45"/>
      <c r="C579" s="21" t="s">
        <v>1521</v>
      </c>
      <c r="D579" s="22" t="s">
        <v>70</v>
      </c>
      <c r="E579" s="22" t="s">
        <v>1261</v>
      </c>
      <c r="F579" s="22" t="s">
        <v>1101</v>
      </c>
      <c r="G579" s="67">
        <v>1700</v>
      </c>
      <c r="H579" t="str">
        <f t="shared" si="19"/>
        <v>HIST1700</v>
      </c>
      <c r="I579">
        <f t="shared" si="20"/>
        <v>0</v>
      </c>
      <c r="J579" s="158"/>
      <c r="L579" s="158"/>
    </row>
    <row r="580" spans="2:12" ht="16.5">
      <c r="B580" s="45"/>
      <c r="C580" s="21" t="s">
        <v>1521</v>
      </c>
      <c r="D580" s="22" t="s">
        <v>70</v>
      </c>
      <c r="E580" s="22" t="s">
        <v>1262</v>
      </c>
      <c r="F580" s="22" t="s">
        <v>1101</v>
      </c>
      <c r="G580" s="23" t="s">
        <v>430</v>
      </c>
      <c r="H580" t="str">
        <f t="shared" si="19"/>
        <v>HIST1700</v>
      </c>
      <c r="I580">
        <f t="shared" si="20"/>
        <v>0</v>
      </c>
      <c r="J580" s="158"/>
      <c r="L580" s="158"/>
    </row>
    <row r="581" spans="2:12" ht="16.5">
      <c r="B581" s="21"/>
      <c r="C581" s="21" t="s">
        <v>1522</v>
      </c>
      <c r="D581" s="22" t="s">
        <v>70</v>
      </c>
      <c r="E581" s="22" t="s">
        <v>1262</v>
      </c>
      <c r="F581" s="22" t="s">
        <v>1101</v>
      </c>
      <c r="G581" s="23" t="s">
        <v>430</v>
      </c>
      <c r="H581" t="str">
        <f t="shared" si="19"/>
        <v>HIST1700</v>
      </c>
      <c r="I581">
        <f t="shared" si="20"/>
        <v>0</v>
      </c>
      <c r="J581" s="158"/>
      <c r="L581" s="158"/>
    </row>
    <row r="582" spans="2:12" ht="16.5">
      <c r="B582" s="21"/>
      <c r="C582" s="21" t="s">
        <v>1522</v>
      </c>
      <c r="D582" s="22" t="s">
        <v>70</v>
      </c>
      <c r="E582" s="22" t="s">
        <v>551</v>
      </c>
      <c r="F582" s="22" t="s">
        <v>1101</v>
      </c>
      <c r="G582" s="23" t="s">
        <v>430</v>
      </c>
      <c r="H582" t="str">
        <f t="shared" si="19"/>
        <v>HIST1700</v>
      </c>
      <c r="I582">
        <f t="shared" si="20"/>
        <v>0</v>
      </c>
      <c r="J582" s="158"/>
      <c r="L582" s="158"/>
    </row>
    <row r="583" spans="2:12" ht="16.5">
      <c r="B583" s="45"/>
      <c r="C583" s="21" t="s">
        <v>1521</v>
      </c>
      <c r="D583" s="22" t="s">
        <v>70</v>
      </c>
      <c r="E583" s="22" t="s">
        <v>1586</v>
      </c>
      <c r="F583" s="22" t="s">
        <v>1101</v>
      </c>
      <c r="G583" s="67">
        <v>1700</v>
      </c>
      <c r="H583" t="str">
        <f t="shared" si="19"/>
        <v>HIST1700</v>
      </c>
      <c r="I583">
        <f t="shared" si="20"/>
        <v>0</v>
      </c>
      <c r="J583" s="158"/>
      <c r="L583" s="158"/>
    </row>
    <row r="584" spans="2:12" ht="16.5">
      <c r="B584" s="21"/>
      <c r="C584" s="21" t="s">
        <v>1522</v>
      </c>
      <c r="D584" s="22" t="s">
        <v>70</v>
      </c>
      <c r="E584" s="22" t="s">
        <v>1586</v>
      </c>
      <c r="F584" s="22" t="s">
        <v>1101</v>
      </c>
      <c r="G584" s="67">
        <v>1700</v>
      </c>
      <c r="H584" t="str">
        <f t="shared" si="19"/>
        <v>HIST1700</v>
      </c>
      <c r="I584">
        <f t="shared" si="20"/>
        <v>0</v>
      </c>
      <c r="J584" s="158"/>
      <c r="L584" s="158"/>
    </row>
    <row r="585" spans="2:12" ht="16.5">
      <c r="B585" s="45"/>
      <c r="C585" s="21" t="s">
        <v>1521</v>
      </c>
      <c r="D585" s="22" t="s">
        <v>70</v>
      </c>
      <c r="E585" s="22" t="s">
        <v>739</v>
      </c>
      <c r="F585" s="22" t="s">
        <v>1101</v>
      </c>
      <c r="G585" s="23" t="s">
        <v>430</v>
      </c>
      <c r="H585" t="str">
        <f t="shared" si="19"/>
        <v>HIST1700</v>
      </c>
      <c r="I585">
        <f t="shared" si="20"/>
        <v>1</v>
      </c>
      <c r="J585" s="158"/>
      <c r="L585" s="158"/>
    </row>
    <row r="586" spans="2:12" ht="16.5">
      <c r="B586" s="21"/>
      <c r="C586" s="21" t="s">
        <v>1522</v>
      </c>
      <c r="D586" s="22" t="s">
        <v>1329</v>
      </c>
      <c r="E586" s="22" t="s">
        <v>1586</v>
      </c>
      <c r="F586" s="22" t="s">
        <v>1101</v>
      </c>
      <c r="G586" s="67">
        <v>2700</v>
      </c>
      <c r="H586" t="str">
        <f t="shared" si="19"/>
        <v>HIST2700</v>
      </c>
      <c r="I586">
        <f t="shared" si="20"/>
        <v>1</v>
      </c>
      <c r="J586" s="158"/>
      <c r="L586" s="158"/>
    </row>
    <row r="587" spans="2:12" ht="16.5">
      <c r="B587" s="21" t="s">
        <v>848</v>
      </c>
      <c r="C587" s="21" t="s">
        <v>1522</v>
      </c>
      <c r="D587" s="22"/>
      <c r="E587" s="22" t="s">
        <v>1195</v>
      </c>
      <c r="F587" s="22" t="s">
        <v>454</v>
      </c>
      <c r="G587" s="67" t="s">
        <v>1531</v>
      </c>
      <c r="H587" t="str">
        <f t="shared" si="19"/>
        <v>HLOC1000</v>
      </c>
      <c r="I587">
        <f t="shared" si="20"/>
        <v>1</v>
      </c>
      <c r="J587" s="158"/>
      <c r="L587" s="158"/>
    </row>
    <row r="588" spans="2:12" ht="16.5">
      <c r="B588" s="105" t="s">
        <v>880</v>
      </c>
      <c r="C588" s="105" t="s">
        <v>1522</v>
      </c>
      <c r="D588" s="87"/>
      <c r="E588" s="22" t="s">
        <v>1195</v>
      </c>
      <c r="F588" s="107" t="s">
        <v>454</v>
      </c>
      <c r="G588" s="108" t="s">
        <v>1528</v>
      </c>
      <c r="H588" t="str">
        <f t="shared" si="19"/>
        <v>HLOC1010</v>
      </c>
      <c r="I588">
        <f t="shared" si="20"/>
        <v>1</v>
      </c>
      <c r="J588" s="158"/>
      <c r="L588" s="158"/>
    </row>
    <row r="589" spans="2:12" ht="16.5">
      <c r="B589" s="21" t="s">
        <v>883</v>
      </c>
      <c r="C589" s="21" t="s">
        <v>1522</v>
      </c>
      <c r="D589" s="22"/>
      <c r="E589" s="22" t="s">
        <v>1195</v>
      </c>
      <c r="F589" s="22" t="s">
        <v>454</v>
      </c>
      <c r="G589" s="67" t="s">
        <v>428</v>
      </c>
      <c r="H589" t="str">
        <f t="shared" si="19"/>
        <v>HLOC1020</v>
      </c>
      <c r="I589">
        <f t="shared" si="20"/>
        <v>1</v>
      </c>
      <c r="J589" s="158"/>
      <c r="L589" s="158"/>
    </row>
    <row r="590" spans="2:12" ht="16.5">
      <c r="B590" s="21" t="s">
        <v>110</v>
      </c>
      <c r="C590" s="21" t="s">
        <v>1522</v>
      </c>
      <c r="D590" s="22"/>
      <c r="E590" s="22" t="s">
        <v>463</v>
      </c>
      <c r="F590" s="162" t="s">
        <v>928</v>
      </c>
      <c r="G590" s="164">
        <v>1020</v>
      </c>
      <c r="H590" t="str">
        <f t="shared" si="19"/>
        <v>HLTH1020</v>
      </c>
      <c r="I590">
        <f t="shared" si="20"/>
        <v>0</v>
      </c>
      <c r="J590" s="158"/>
      <c r="L590" s="158"/>
    </row>
    <row r="591" spans="2:12" ht="16.5">
      <c r="B591" s="21" t="s">
        <v>880</v>
      </c>
      <c r="C591" s="21" t="s">
        <v>1522</v>
      </c>
      <c r="D591" s="22"/>
      <c r="E591" s="22" t="s">
        <v>463</v>
      </c>
      <c r="F591" s="162" t="s">
        <v>928</v>
      </c>
      <c r="G591" s="164">
        <v>1020</v>
      </c>
      <c r="H591" t="str">
        <f t="shared" si="19"/>
        <v>HLTH1020</v>
      </c>
      <c r="I591">
        <f t="shared" si="20"/>
        <v>1</v>
      </c>
      <c r="J591" s="158"/>
      <c r="L591" s="158"/>
    </row>
    <row r="592" spans="2:12" ht="16.5">
      <c r="B592" s="21" t="s">
        <v>882</v>
      </c>
      <c r="C592" s="21" t="s">
        <v>1522</v>
      </c>
      <c r="D592" s="22"/>
      <c r="E592" s="22" t="s">
        <v>463</v>
      </c>
      <c r="F592" s="22" t="s">
        <v>928</v>
      </c>
      <c r="G592" s="68" t="s">
        <v>1080</v>
      </c>
      <c r="H592" t="str">
        <f t="shared" si="19"/>
        <v>HLTH1200</v>
      </c>
      <c r="I592">
        <f t="shared" si="20"/>
        <v>0</v>
      </c>
      <c r="J592" s="158"/>
      <c r="L592" s="158"/>
    </row>
    <row r="593" spans="2:12" ht="16.5">
      <c r="B593" s="21" t="s">
        <v>882</v>
      </c>
      <c r="C593" s="21" t="s">
        <v>1522</v>
      </c>
      <c r="D593" s="22"/>
      <c r="E593" s="22" t="s">
        <v>1586</v>
      </c>
      <c r="F593" s="22" t="s">
        <v>928</v>
      </c>
      <c r="G593" s="68" t="s">
        <v>1080</v>
      </c>
      <c r="H593" t="str">
        <f t="shared" si="19"/>
        <v>HLTH1200</v>
      </c>
      <c r="I593">
        <f t="shared" si="20"/>
        <v>1</v>
      </c>
      <c r="J593" s="158"/>
      <c r="L593" s="158"/>
    </row>
    <row r="594" spans="2:12" ht="16.5">
      <c r="B594" s="21" t="s">
        <v>880</v>
      </c>
      <c r="C594" s="21" t="s">
        <v>1522</v>
      </c>
      <c r="D594" s="22"/>
      <c r="E594" s="22" t="s">
        <v>463</v>
      </c>
      <c r="F594" s="22" t="s">
        <v>928</v>
      </c>
      <c r="G594" s="68">
        <v>1250</v>
      </c>
      <c r="H594" t="str">
        <f t="shared" si="19"/>
        <v>HLTH1250</v>
      </c>
      <c r="I594">
        <f t="shared" si="20"/>
        <v>1</v>
      </c>
      <c r="J594" s="158"/>
      <c r="L594" s="158"/>
    </row>
    <row r="595" spans="2:12" ht="16.5">
      <c r="B595" s="21" t="s">
        <v>880</v>
      </c>
      <c r="C595" s="21" t="s">
        <v>1522</v>
      </c>
      <c r="D595" s="22" t="s">
        <v>1331</v>
      </c>
      <c r="E595" s="22" t="s">
        <v>463</v>
      </c>
      <c r="F595" s="22" t="s">
        <v>928</v>
      </c>
      <c r="G595" s="67">
        <v>1500</v>
      </c>
      <c r="H595" t="str">
        <f t="shared" si="19"/>
        <v>HLTH1500</v>
      </c>
      <c r="I595">
        <f t="shared" si="20"/>
        <v>1</v>
      </c>
      <c r="J595" s="158"/>
      <c r="L595" s="158"/>
    </row>
    <row r="596" spans="2:12" ht="16.5">
      <c r="B596" s="21" t="s">
        <v>882</v>
      </c>
      <c r="C596" s="21" t="s">
        <v>1522</v>
      </c>
      <c r="D596" s="22"/>
      <c r="E596" s="22" t="s">
        <v>739</v>
      </c>
      <c r="F596" s="22" t="s">
        <v>928</v>
      </c>
      <c r="G596" s="68">
        <v>2300</v>
      </c>
      <c r="H596" t="str">
        <f t="shared" si="19"/>
        <v>HLTH2300</v>
      </c>
      <c r="I596">
        <f t="shared" si="20"/>
        <v>1</v>
      </c>
      <c r="J596" s="158"/>
      <c r="L596" s="158"/>
    </row>
    <row r="597" spans="2:12" ht="16.5">
      <c r="B597" s="21" t="s">
        <v>880</v>
      </c>
      <c r="C597" s="21" t="s">
        <v>1522</v>
      </c>
      <c r="D597" s="22" t="s">
        <v>1329</v>
      </c>
      <c r="E597" s="22" t="s">
        <v>1586</v>
      </c>
      <c r="F597" s="22" t="s">
        <v>928</v>
      </c>
      <c r="G597" s="68">
        <v>2600</v>
      </c>
      <c r="H597" t="str">
        <f t="shared" si="19"/>
        <v>HLTH2600</v>
      </c>
      <c r="I597">
        <f t="shared" si="20"/>
        <v>1</v>
      </c>
      <c r="J597" s="158"/>
      <c r="L597" s="158"/>
    </row>
    <row r="598" spans="2:12" ht="16.5">
      <c r="B598" s="21" t="s">
        <v>109</v>
      </c>
      <c r="C598" s="21" t="s">
        <v>1522</v>
      </c>
      <c r="D598" s="22"/>
      <c r="E598" s="22" t="s">
        <v>1586</v>
      </c>
      <c r="F598" s="22" t="s">
        <v>1392</v>
      </c>
      <c r="G598" s="68">
        <v>1110</v>
      </c>
      <c r="H598" t="str">
        <f t="shared" si="19"/>
        <v>HM1110</v>
      </c>
      <c r="I598">
        <f t="shared" si="20"/>
        <v>1</v>
      </c>
      <c r="J598" s="158"/>
      <c r="L598" s="158"/>
    </row>
    <row r="599" spans="2:12" ht="16.5">
      <c r="B599" s="21" t="s">
        <v>109</v>
      </c>
      <c r="C599" s="21" t="s">
        <v>1522</v>
      </c>
      <c r="D599" s="22"/>
      <c r="E599" s="22" t="s">
        <v>1586</v>
      </c>
      <c r="F599" s="22" t="s">
        <v>1392</v>
      </c>
      <c r="G599" s="68">
        <v>1180</v>
      </c>
      <c r="H599" t="str">
        <f t="shared" si="19"/>
        <v>HM1180</v>
      </c>
      <c r="I599">
        <f t="shared" si="20"/>
        <v>1</v>
      </c>
      <c r="J599" s="158"/>
      <c r="L599" s="158"/>
    </row>
    <row r="600" spans="2:12" ht="16.5">
      <c r="B600" s="125"/>
      <c r="C600" s="125" t="s">
        <v>1521</v>
      </c>
      <c r="D600" s="131"/>
      <c r="E600" s="132" t="s">
        <v>797</v>
      </c>
      <c r="F600" s="131" t="s">
        <v>1889</v>
      </c>
      <c r="G600" s="133">
        <v>2210</v>
      </c>
      <c r="H600" t="str">
        <f t="shared" si="19"/>
        <v>HNRS  2210</v>
      </c>
      <c r="I600">
        <f t="shared" si="20"/>
        <v>1</v>
      </c>
      <c r="J600" s="158"/>
      <c r="L600" s="158"/>
    </row>
    <row r="601" spans="2:12" ht="16.5">
      <c r="B601" s="125"/>
      <c r="C601" s="125" t="s">
        <v>1521</v>
      </c>
      <c r="D601" s="131"/>
      <c r="E601" s="132" t="s">
        <v>797</v>
      </c>
      <c r="F601" s="131" t="s">
        <v>1889</v>
      </c>
      <c r="G601" s="133">
        <v>2213</v>
      </c>
      <c r="H601" t="str">
        <f t="shared" si="19"/>
        <v>HNRS  2213</v>
      </c>
      <c r="I601">
        <f t="shared" si="20"/>
        <v>1</v>
      </c>
      <c r="J601" s="158"/>
      <c r="L601" s="158"/>
    </row>
    <row r="602" spans="2:12" ht="16.5">
      <c r="B602" s="21" t="s">
        <v>848</v>
      </c>
      <c r="C602" s="21" t="s">
        <v>1522</v>
      </c>
      <c r="D602" s="22"/>
      <c r="E602" s="22" t="s">
        <v>739</v>
      </c>
      <c r="F602" s="22" t="s">
        <v>677</v>
      </c>
      <c r="G602" s="68" t="s">
        <v>754</v>
      </c>
      <c r="H602" t="str">
        <f t="shared" si="19"/>
        <v>HTHS1101</v>
      </c>
      <c r="I602">
        <f t="shared" si="20"/>
        <v>1</v>
      </c>
      <c r="J602" s="158"/>
      <c r="L602" s="158"/>
    </row>
    <row r="603" spans="2:12" ht="16.5">
      <c r="B603" s="21" t="s">
        <v>880</v>
      </c>
      <c r="C603" s="21" t="s">
        <v>1522</v>
      </c>
      <c r="D603" s="22"/>
      <c r="E603" s="22" t="s">
        <v>739</v>
      </c>
      <c r="F603" s="22" t="s">
        <v>677</v>
      </c>
      <c r="G603" s="68" t="s">
        <v>742</v>
      </c>
      <c r="H603" t="str">
        <f t="shared" si="19"/>
        <v>HTHS1105</v>
      </c>
      <c r="I603">
        <f t="shared" si="20"/>
        <v>1</v>
      </c>
      <c r="J603" s="158"/>
      <c r="L603" s="158"/>
    </row>
    <row r="604" spans="2:12" ht="16.5">
      <c r="B604" s="21" t="s">
        <v>880</v>
      </c>
      <c r="C604" s="21" t="s">
        <v>1522</v>
      </c>
      <c r="D604" s="22"/>
      <c r="E604" s="22" t="s">
        <v>739</v>
      </c>
      <c r="F604" s="22" t="s">
        <v>677</v>
      </c>
      <c r="G604" s="68">
        <v>1106</v>
      </c>
      <c r="H604" t="str">
        <f t="shared" si="19"/>
        <v>HTHS1106</v>
      </c>
      <c r="I604">
        <f t="shared" si="20"/>
        <v>1</v>
      </c>
      <c r="J604" s="158"/>
      <c r="L604" s="158"/>
    </row>
    <row r="605" spans="2:12" ht="16.5">
      <c r="B605" s="21" t="s">
        <v>880</v>
      </c>
      <c r="C605" s="21" t="s">
        <v>1522</v>
      </c>
      <c r="D605" s="22"/>
      <c r="E605" s="22" t="s">
        <v>739</v>
      </c>
      <c r="F605" s="22" t="s">
        <v>677</v>
      </c>
      <c r="G605" s="68">
        <v>1120</v>
      </c>
      <c r="H605" t="str">
        <f t="shared" si="19"/>
        <v>HTHS1120</v>
      </c>
      <c r="I605">
        <f t="shared" si="20"/>
        <v>1</v>
      </c>
      <c r="J605" s="158"/>
      <c r="L605" s="158"/>
    </row>
    <row r="606" spans="2:12" ht="16.5">
      <c r="B606" s="45"/>
      <c r="C606" s="21" t="s">
        <v>1522</v>
      </c>
      <c r="D606" s="22" t="s">
        <v>534</v>
      </c>
      <c r="E606" s="22" t="s">
        <v>1262</v>
      </c>
      <c r="F606" s="22" t="s">
        <v>911</v>
      </c>
      <c r="G606" s="22" t="s">
        <v>1528</v>
      </c>
      <c r="H606" t="str">
        <f t="shared" si="19"/>
        <v>HU1010</v>
      </c>
      <c r="I606">
        <f t="shared" si="20"/>
        <v>1</v>
      </c>
      <c r="J606" s="158"/>
      <c r="L606" s="158"/>
    </row>
    <row r="607" spans="2:12" ht="16.5">
      <c r="B607" s="21"/>
      <c r="C607" s="21" t="s">
        <v>1522</v>
      </c>
      <c r="D607" s="22" t="s">
        <v>534</v>
      </c>
      <c r="E607" s="22" t="s">
        <v>1195</v>
      </c>
      <c r="F607" s="22" t="s">
        <v>469</v>
      </c>
      <c r="G607" s="67">
        <v>1010</v>
      </c>
      <c r="H607" t="str">
        <f t="shared" si="19"/>
        <v>HUM1010</v>
      </c>
      <c r="I607">
        <f t="shared" si="20"/>
        <v>0</v>
      </c>
      <c r="J607" s="158"/>
      <c r="L607" s="158"/>
    </row>
    <row r="608" spans="2:12" ht="16.5">
      <c r="B608" s="21"/>
      <c r="C608" s="21" t="s">
        <v>1522</v>
      </c>
      <c r="D608" s="22" t="s">
        <v>534</v>
      </c>
      <c r="E608" s="22" t="s">
        <v>1261</v>
      </c>
      <c r="F608" s="22" t="s">
        <v>469</v>
      </c>
      <c r="G608" s="67">
        <v>1010</v>
      </c>
      <c r="H608" t="str">
        <f t="shared" si="19"/>
        <v>HUM1010</v>
      </c>
      <c r="I608">
        <f t="shared" si="20"/>
        <v>0</v>
      </c>
      <c r="J608" s="158"/>
      <c r="L608" s="158"/>
    </row>
    <row r="609" spans="2:12" ht="16.5">
      <c r="B609" s="21"/>
      <c r="C609" s="21" t="s">
        <v>1522</v>
      </c>
      <c r="D609" s="22" t="s">
        <v>534</v>
      </c>
      <c r="E609" s="22" t="s">
        <v>1586</v>
      </c>
      <c r="F609" s="22" t="s">
        <v>469</v>
      </c>
      <c r="G609" s="68" t="s">
        <v>1528</v>
      </c>
      <c r="H609" t="str">
        <f t="shared" si="19"/>
        <v>HUM1010</v>
      </c>
      <c r="I609">
        <f t="shared" si="20"/>
        <v>1</v>
      </c>
      <c r="J609" s="158"/>
      <c r="L609" s="158"/>
    </row>
    <row r="610" spans="2:12" ht="16.5">
      <c r="B610" s="21"/>
      <c r="C610" s="21" t="s">
        <v>1522</v>
      </c>
      <c r="D610" s="22" t="s">
        <v>534</v>
      </c>
      <c r="E610" s="22" t="s">
        <v>463</v>
      </c>
      <c r="F610" s="22" t="s">
        <v>929</v>
      </c>
      <c r="G610" s="68" t="s">
        <v>1078</v>
      </c>
      <c r="H610" t="str">
        <f t="shared" si="19"/>
        <v>HUMA 1100</v>
      </c>
      <c r="I610">
        <f t="shared" si="20"/>
        <v>1</v>
      </c>
      <c r="J610" s="158"/>
      <c r="L610" s="158"/>
    </row>
    <row r="611" spans="2:12" ht="16.5">
      <c r="B611" s="21" t="s">
        <v>112</v>
      </c>
      <c r="C611" s="21" t="s">
        <v>1522</v>
      </c>
      <c r="D611" s="22"/>
      <c r="E611" s="22" t="s">
        <v>739</v>
      </c>
      <c r="F611" s="22" t="s">
        <v>755</v>
      </c>
      <c r="G611" s="68">
        <v>1010</v>
      </c>
      <c r="H611" t="str">
        <f t="shared" si="19"/>
        <v>IDT1010</v>
      </c>
      <c r="I611">
        <f t="shared" si="20"/>
        <v>1</v>
      </c>
      <c r="J611" s="158"/>
      <c r="L611" s="158"/>
    </row>
    <row r="612" spans="2:12" ht="16.5">
      <c r="B612" s="21" t="s">
        <v>1345</v>
      </c>
      <c r="C612" s="21" t="s">
        <v>1522</v>
      </c>
      <c r="D612" s="22"/>
      <c r="E612" s="22" t="s">
        <v>1586</v>
      </c>
      <c r="F612" s="22" t="s">
        <v>1029</v>
      </c>
      <c r="G612" s="67">
        <v>1420</v>
      </c>
      <c r="H612" t="str">
        <f t="shared" si="19"/>
        <v>INFO1420</v>
      </c>
      <c r="I612">
        <f t="shared" si="20"/>
        <v>1</v>
      </c>
      <c r="J612" s="158"/>
      <c r="L612" s="158"/>
    </row>
    <row r="613" spans="2:12" ht="16.5">
      <c r="B613" s="21" t="s">
        <v>121</v>
      </c>
      <c r="C613" s="21" t="s">
        <v>1522</v>
      </c>
      <c r="D613" s="22"/>
      <c r="E613" s="22" t="s">
        <v>1586</v>
      </c>
      <c r="F613" s="22" t="s">
        <v>1029</v>
      </c>
      <c r="G613" s="68">
        <v>2450</v>
      </c>
      <c r="H613" t="str">
        <f t="shared" si="19"/>
        <v>INFO2450</v>
      </c>
      <c r="I613">
        <f t="shared" si="20"/>
        <v>1</v>
      </c>
      <c r="J613" s="158"/>
      <c r="L613" s="158"/>
    </row>
    <row r="614" spans="2:12" ht="16.5">
      <c r="B614" s="125" t="s">
        <v>112</v>
      </c>
      <c r="C614" s="125" t="s">
        <v>1522</v>
      </c>
      <c r="D614" s="131"/>
      <c r="E614" s="132" t="s">
        <v>463</v>
      </c>
      <c r="F614" s="131" t="s">
        <v>1865</v>
      </c>
      <c r="G614" s="133">
        <v>1010</v>
      </c>
      <c r="H614" t="str">
        <f t="shared" si="19"/>
        <v>INTD1010</v>
      </c>
      <c r="I614">
        <f t="shared" si="20"/>
        <v>1</v>
      </c>
      <c r="J614" s="158"/>
      <c r="L614" s="158"/>
    </row>
    <row r="615" spans="2:12" ht="16.5">
      <c r="B615" s="21"/>
      <c r="C615" s="21" t="s">
        <v>1522</v>
      </c>
      <c r="D615" s="22"/>
      <c r="E615" s="96" t="s">
        <v>1526</v>
      </c>
      <c r="F615" s="22" t="s">
        <v>359</v>
      </c>
      <c r="G615" s="67" t="s">
        <v>1528</v>
      </c>
      <c r="H615" t="str">
        <f t="shared" si="19"/>
        <v>ITAL1010</v>
      </c>
      <c r="I615">
        <f t="shared" si="20"/>
        <v>1</v>
      </c>
      <c r="J615" s="158"/>
      <c r="L615" s="158"/>
    </row>
    <row r="616" spans="2:12" ht="16.5">
      <c r="B616" s="21"/>
      <c r="C616" s="21" t="s">
        <v>1522</v>
      </c>
      <c r="D616" s="22"/>
      <c r="E616" s="96" t="s">
        <v>1526</v>
      </c>
      <c r="F616" s="22" t="s">
        <v>359</v>
      </c>
      <c r="G616" s="67">
        <v>1020</v>
      </c>
      <c r="H616" t="str">
        <f t="shared" si="19"/>
        <v>ITAL1020</v>
      </c>
      <c r="I616">
        <f t="shared" si="20"/>
        <v>1</v>
      </c>
      <c r="J616" s="158"/>
      <c r="L616" s="158"/>
    </row>
    <row r="617" spans="2:12" ht="16.5">
      <c r="B617" s="21"/>
      <c r="C617" s="21" t="s">
        <v>1522</v>
      </c>
      <c r="D617" s="22" t="s">
        <v>1331</v>
      </c>
      <c r="E617" s="22" t="s">
        <v>1195</v>
      </c>
      <c r="F617" s="22" t="s">
        <v>1154</v>
      </c>
      <c r="G617" s="67">
        <v>1010</v>
      </c>
      <c r="H617" t="str">
        <f t="shared" si="19"/>
        <v>LIB 1010</v>
      </c>
      <c r="I617">
        <f t="shared" si="20"/>
        <v>1</v>
      </c>
      <c r="J617" s="158"/>
      <c r="L617" s="158"/>
    </row>
    <row r="618" spans="2:12" ht="16.5">
      <c r="B618" s="45"/>
      <c r="C618" s="21" t="s">
        <v>1521</v>
      </c>
      <c r="D618" s="22" t="s">
        <v>1331</v>
      </c>
      <c r="E618" s="22" t="s">
        <v>1262</v>
      </c>
      <c r="F618" s="22" t="s">
        <v>501</v>
      </c>
      <c r="G618" s="23" t="s">
        <v>1528</v>
      </c>
      <c r="H618" t="str">
        <f t="shared" si="19"/>
        <v>LM1010</v>
      </c>
      <c r="I618">
        <f t="shared" si="20"/>
        <v>1</v>
      </c>
      <c r="J618" s="158"/>
      <c r="L618" s="158"/>
    </row>
    <row r="619" spans="2:12" ht="16.5">
      <c r="B619" s="21" t="s">
        <v>848</v>
      </c>
      <c r="C619" s="21" t="s">
        <v>1522</v>
      </c>
      <c r="D619" s="22"/>
      <c r="E619" s="22" t="s">
        <v>463</v>
      </c>
      <c r="F619" s="22" t="s">
        <v>931</v>
      </c>
      <c r="G619" s="68" t="s">
        <v>1078</v>
      </c>
      <c r="H619" t="str">
        <f t="shared" si="19"/>
        <v>MA1100</v>
      </c>
      <c r="I619">
        <f t="shared" si="20"/>
        <v>1</v>
      </c>
      <c r="J619" s="158"/>
      <c r="L619" s="158"/>
    </row>
    <row r="620" spans="2:12" ht="16.5">
      <c r="B620" s="21" t="s">
        <v>580</v>
      </c>
      <c r="C620" s="21" t="s">
        <v>1522</v>
      </c>
      <c r="D620" s="22"/>
      <c r="E620" s="96" t="s">
        <v>1526</v>
      </c>
      <c r="F620" s="22" t="s">
        <v>1109</v>
      </c>
      <c r="G620" s="67" t="s">
        <v>1110</v>
      </c>
      <c r="H620" t="str">
        <f t="shared" si="19"/>
        <v>MACH 1140</v>
      </c>
      <c r="I620">
        <f t="shared" si="20"/>
        <v>1</v>
      </c>
      <c r="J620" s="158"/>
      <c r="L620" s="158"/>
    </row>
    <row r="621" spans="2:12" ht="16.5">
      <c r="B621" s="21" t="s">
        <v>580</v>
      </c>
      <c r="C621" s="21" t="s">
        <v>1522</v>
      </c>
      <c r="D621" s="22"/>
      <c r="E621" s="96" t="s">
        <v>1526</v>
      </c>
      <c r="F621" s="22" t="s">
        <v>1109</v>
      </c>
      <c r="G621" s="67" t="s">
        <v>1111</v>
      </c>
      <c r="H621" t="str">
        <f t="shared" si="19"/>
        <v>MACH 1160</v>
      </c>
      <c r="I621">
        <f t="shared" si="20"/>
        <v>1</v>
      </c>
      <c r="J621" s="158"/>
      <c r="L621" s="158"/>
    </row>
    <row r="622" spans="2:12" ht="16.5">
      <c r="B622" s="21" t="s">
        <v>580</v>
      </c>
      <c r="C622" s="21" t="s">
        <v>1522</v>
      </c>
      <c r="D622" s="22"/>
      <c r="E622" s="22" t="s">
        <v>463</v>
      </c>
      <c r="F622" s="22" t="s">
        <v>933</v>
      </c>
      <c r="G622" s="68" t="s">
        <v>1548</v>
      </c>
      <c r="H622" t="str">
        <f t="shared" si="19"/>
        <v>MAT  1500</v>
      </c>
      <c r="I622">
        <f t="shared" si="20"/>
        <v>1</v>
      </c>
      <c r="J622" s="158"/>
      <c r="L622" s="158"/>
    </row>
    <row r="623" spans="2:12" ht="16.5">
      <c r="B623" s="21" t="s">
        <v>580</v>
      </c>
      <c r="C623" s="21" t="s">
        <v>1522</v>
      </c>
      <c r="D623" s="22"/>
      <c r="E623" s="22" t="s">
        <v>463</v>
      </c>
      <c r="F623" s="22" t="s">
        <v>933</v>
      </c>
      <c r="G623" s="68">
        <v>1510</v>
      </c>
      <c r="H623" t="str">
        <f t="shared" si="19"/>
        <v>MAT  1510</v>
      </c>
      <c r="I623">
        <f t="shared" si="20"/>
        <v>1</v>
      </c>
      <c r="J623" s="158"/>
      <c r="L623" s="158"/>
    </row>
    <row r="624" spans="2:12" ht="16.5">
      <c r="B624" s="21"/>
      <c r="C624" s="21" t="s">
        <v>1522</v>
      </c>
      <c r="D624" s="22"/>
      <c r="E624" s="22" t="s">
        <v>1586</v>
      </c>
      <c r="F624" s="22" t="s">
        <v>1290</v>
      </c>
      <c r="G624" s="67">
        <v>1010</v>
      </c>
      <c r="H624" t="str">
        <f t="shared" ref="H624:H687" si="21">CONCATENATE(F624,G624)</f>
        <v>MAT 1010</v>
      </c>
      <c r="I624">
        <f t="shared" si="20"/>
        <v>1</v>
      </c>
      <c r="J624" s="158"/>
      <c r="L624" s="158"/>
    </row>
    <row r="625" spans="2:12" ht="16.5">
      <c r="B625" s="21"/>
      <c r="C625" s="21" t="s">
        <v>1522</v>
      </c>
      <c r="D625" s="22"/>
      <c r="E625" s="96" t="s">
        <v>1526</v>
      </c>
      <c r="F625" s="22" t="s">
        <v>1113</v>
      </c>
      <c r="G625" s="67" t="s">
        <v>1528</v>
      </c>
      <c r="H625" t="str">
        <f t="shared" si="21"/>
        <v>MATH 1010</v>
      </c>
      <c r="I625">
        <f t="shared" ref="I625:I688" si="22">IF(H625=H626,0,1)</f>
        <v>0</v>
      </c>
      <c r="J625" s="158"/>
      <c r="L625" s="158"/>
    </row>
    <row r="626" spans="2:12" ht="16.5">
      <c r="B626" s="45"/>
      <c r="C626" s="21" t="s">
        <v>1522</v>
      </c>
      <c r="D626" s="22"/>
      <c r="E626" s="22" t="s">
        <v>1195</v>
      </c>
      <c r="F626" s="22" t="s">
        <v>1113</v>
      </c>
      <c r="G626" s="67">
        <v>1010</v>
      </c>
      <c r="H626" t="str">
        <f t="shared" si="21"/>
        <v>MATH 1010</v>
      </c>
      <c r="I626">
        <f t="shared" si="22"/>
        <v>1</v>
      </c>
      <c r="J626" s="158"/>
      <c r="L626" s="158"/>
    </row>
    <row r="627" spans="2:12" ht="16.5">
      <c r="B627" s="21"/>
      <c r="C627" s="21" t="s">
        <v>1522</v>
      </c>
      <c r="D627" s="22" t="s">
        <v>845</v>
      </c>
      <c r="E627" s="96" t="s">
        <v>1526</v>
      </c>
      <c r="F627" s="22" t="s">
        <v>1113</v>
      </c>
      <c r="G627" s="67" t="s">
        <v>1117</v>
      </c>
      <c r="H627" t="str">
        <f t="shared" si="21"/>
        <v>MATH 1030</v>
      </c>
      <c r="I627">
        <f t="shared" si="22"/>
        <v>1</v>
      </c>
      <c r="J627" s="158"/>
      <c r="L627" s="158"/>
    </row>
    <row r="628" spans="2:12" ht="16.5">
      <c r="B628" s="21"/>
      <c r="C628" s="21" t="s">
        <v>1522</v>
      </c>
      <c r="D628" s="22" t="s">
        <v>845</v>
      </c>
      <c r="E628" s="96" t="s">
        <v>1526</v>
      </c>
      <c r="F628" s="22" t="s">
        <v>1113</v>
      </c>
      <c r="G628" s="67" t="s">
        <v>1119</v>
      </c>
      <c r="H628" t="str">
        <f t="shared" si="21"/>
        <v>MATH 1050</v>
      </c>
      <c r="I628">
        <f t="shared" si="22"/>
        <v>0</v>
      </c>
      <c r="J628" s="158"/>
      <c r="L628" s="158"/>
    </row>
    <row r="629" spans="2:12" ht="16.5">
      <c r="B629" s="21"/>
      <c r="C629" s="21" t="s">
        <v>1522</v>
      </c>
      <c r="D629" s="22" t="s">
        <v>845</v>
      </c>
      <c r="E629" s="22" t="s">
        <v>1195</v>
      </c>
      <c r="F629" s="22" t="s">
        <v>1113</v>
      </c>
      <c r="G629" s="67">
        <v>1050</v>
      </c>
      <c r="H629" t="str">
        <f t="shared" si="21"/>
        <v>MATH 1050</v>
      </c>
      <c r="I629">
        <f t="shared" si="22"/>
        <v>0</v>
      </c>
      <c r="J629" s="158"/>
      <c r="L629" s="158"/>
    </row>
    <row r="630" spans="2:12" ht="16.5">
      <c r="B630" s="21"/>
      <c r="C630" s="21" t="s">
        <v>1522</v>
      </c>
      <c r="D630" s="22" t="s">
        <v>845</v>
      </c>
      <c r="E630" s="22" t="s">
        <v>1261</v>
      </c>
      <c r="F630" s="22" t="s">
        <v>1113</v>
      </c>
      <c r="G630" s="67">
        <v>1050</v>
      </c>
      <c r="H630" t="str">
        <f t="shared" si="21"/>
        <v>MATH 1050</v>
      </c>
      <c r="I630">
        <f t="shared" si="22"/>
        <v>1</v>
      </c>
      <c r="J630" s="158"/>
      <c r="L630" s="158"/>
    </row>
    <row r="631" spans="2:12" ht="16.5">
      <c r="B631" s="21"/>
      <c r="C631" s="21" t="s">
        <v>1522</v>
      </c>
      <c r="D631" s="22"/>
      <c r="E631" s="96" t="s">
        <v>1526</v>
      </c>
      <c r="F631" s="22" t="s">
        <v>1113</v>
      </c>
      <c r="G631" s="67" t="s">
        <v>1121</v>
      </c>
      <c r="H631" t="str">
        <f t="shared" si="21"/>
        <v>MATH 1060</v>
      </c>
      <c r="I631">
        <f t="shared" si="22"/>
        <v>0</v>
      </c>
      <c r="J631" s="158"/>
      <c r="L631" s="158"/>
    </row>
    <row r="632" spans="2:12" ht="16.5">
      <c r="B632" s="21"/>
      <c r="C632" s="21" t="s">
        <v>1522</v>
      </c>
      <c r="D632" s="22"/>
      <c r="E632" s="22" t="s">
        <v>1195</v>
      </c>
      <c r="F632" s="22" t="s">
        <v>1113</v>
      </c>
      <c r="G632" s="67">
        <v>1060</v>
      </c>
      <c r="H632" t="str">
        <f t="shared" si="21"/>
        <v>MATH 1060</v>
      </c>
      <c r="I632">
        <f t="shared" si="22"/>
        <v>0</v>
      </c>
      <c r="J632" s="158"/>
      <c r="L632" s="158"/>
    </row>
    <row r="633" spans="2:12" ht="16.5">
      <c r="B633" s="21"/>
      <c r="C633" s="21" t="s">
        <v>1522</v>
      </c>
      <c r="D633" s="22"/>
      <c r="E633" s="22" t="s">
        <v>1261</v>
      </c>
      <c r="F633" s="22" t="s">
        <v>1113</v>
      </c>
      <c r="G633" s="67">
        <v>1060</v>
      </c>
      <c r="H633" t="str">
        <f t="shared" si="21"/>
        <v>MATH 1060</v>
      </c>
      <c r="I633">
        <f t="shared" si="22"/>
        <v>1</v>
      </c>
      <c r="J633" s="158"/>
      <c r="L633" s="158"/>
    </row>
    <row r="634" spans="2:12" ht="16.5">
      <c r="B634" s="21"/>
      <c r="C634" s="21" t="s">
        <v>1522</v>
      </c>
      <c r="D634" s="22"/>
      <c r="E634" s="22" t="s">
        <v>1195</v>
      </c>
      <c r="F634" s="22" t="s">
        <v>1113</v>
      </c>
      <c r="G634" s="67">
        <v>1065</v>
      </c>
      <c r="H634" t="str">
        <f t="shared" si="21"/>
        <v>MATH 1065</v>
      </c>
      <c r="I634">
        <f t="shared" si="22"/>
        <v>1</v>
      </c>
      <c r="J634" s="158"/>
      <c r="L634" s="158"/>
    </row>
    <row r="635" spans="2:12" ht="16.5">
      <c r="B635" s="21"/>
      <c r="C635" s="21" t="s">
        <v>1522</v>
      </c>
      <c r="D635" s="22"/>
      <c r="E635" s="96" t="s">
        <v>1526</v>
      </c>
      <c r="F635" s="22" t="s">
        <v>1113</v>
      </c>
      <c r="G635" s="67">
        <v>1100</v>
      </c>
      <c r="H635" t="str">
        <f t="shared" si="21"/>
        <v>MATH 1100</v>
      </c>
      <c r="I635">
        <f t="shared" si="22"/>
        <v>1</v>
      </c>
      <c r="J635" s="158"/>
      <c r="L635" s="158"/>
    </row>
    <row r="636" spans="2:12" ht="16.5">
      <c r="B636" s="21"/>
      <c r="C636" s="21" t="s">
        <v>1522</v>
      </c>
      <c r="D636" s="22"/>
      <c r="E636" s="96" t="s">
        <v>1526</v>
      </c>
      <c r="F636" s="22" t="s">
        <v>1113</v>
      </c>
      <c r="G636" s="67" t="s">
        <v>1081</v>
      </c>
      <c r="H636" t="str">
        <f t="shared" si="21"/>
        <v>MATH 1210</v>
      </c>
      <c r="I636">
        <f t="shared" si="22"/>
        <v>0</v>
      </c>
      <c r="J636" s="158"/>
      <c r="L636" s="158"/>
    </row>
    <row r="637" spans="2:12" ht="16.5">
      <c r="B637" s="21"/>
      <c r="C637" s="21" t="s">
        <v>1522</v>
      </c>
      <c r="D637" s="22"/>
      <c r="E637" s="22" t="s">
        <v>1195</v>
      </c>
      <c r="F637" s="22" t="s">
        <v>1113</v>
      </c>
      <c r="G637" s="67">
        <v>1210</v>
      </c>
      <c r="H637" t="str">
        <f t="shared" si="21"/>
        <v>MATH 1210</v>
      </c>
      <c r="I637">
        <f t="shared" si="22"/>
        <v>0</v>
      </c>
      <c r="J637" s="158"/>
      <c r="L637" s="158"/>
    </row>
    <row r="638" spans="2:12" ht="16.5">
      <c r="B638" s="21"/>
      <c r="C638" s="21" t="s">
        <v>1522</v>
      </c>
      <c r="D638" s="22"/>
      <c r="E638" s="22" t="s">
        <v>1261</v>
      </c>
      <c r="F638" s="22" t="s">
        <v>1113</v>
      </c>
      <c r="G638" s="67">
        <v>1210</v>
      </c>
      <c r="H638" t="str">
        <f t="shared" si="21"/>
        <v>MATH 1210</v>
      </c>
      <c r="I638">
        <f t="shared" si="22"/>
        <v>0</v>
      </c>
      <c r="J638" s="158"/>
      <c r="L638" s="158"/>
    </row>
    <row r="639" spans="2:12" ht="16.5">
      <c r="B639" s="21"/>
      <c r="C639" s="21" t="s">
        <v>1522</v>
      </c>
      <c r="D639" s="22"/>
      <c r="E639" s="22" t="s">
        <v>1262</v>
      </c>
      <c r="F639" s="22" t="s">
        <v>1113</v>
      </c>
      <c r="G639" s="67">
        <v>1210</v>
      </c>
      <c r="H639" t="str">
        <f t="shared" si="21"/>
        <v>MATH 1210</v>
      </c>
      <c r="I639">
        <f t="shared" si="22"/>
        <v>1</v>
      </c>
      <c r="J639" s="158"/>
      <c r="L639" s="158"/>
    </row>
    <row r="640" spans="2:12" ht="16.5">
      <c r="B640" s="21"/>
      <c r="C640" s="21" t="s">
        <v>1522</v>
      </c>
      <c r="D640" s="22"/>
      <c r="E640" s="96" t="s">
        <v>1526</v>
      </c>
      <c r="F640" s="22" t="s">
        <v>1113</v>
      </c>
      <c r="G640" s="67" t="s">
        <v>1104</v>
      </c>
      <c r="H640" t="str">
        <f t="shared" si="21"/>
        <v>MATH 1220</v>
      </c>
      <c r="I640">
        <f t="shared" si="22"/>
        <v>0</v>
      </c>
      <c r="J640" s="158"/>
      <c r="L640" s="158"/>
    </row>
    <row r="641" spans="2:12" ht="16.5">
      <c r="B641" s="21"/>
      <c r="C641" s="21" t="s">
        <v>1522</v>
      </c>
      <c r="D641" s="22"/>
      <c r="E641" s="22" t="s">
        <v>1195</v>
      </c>
      <c r="F641" s="22" t="s">
        <v>1113</v>
      </c>
      <c r="G641" s="67">
        <v>1220</v>
      </c>
      <c r="H641" t="str">
        <f t="shared" si="21"/>
        <v>MATH 1220</v>
      </c>
      <c r="I641">
        <f t="shared" si="22"/>
        <v>0</v>
      </c>
      <c r="J641" s="158"/>
      <c r="L641" s="158"/>
    </row>
    <row r="642" spans="2:12" ht="16.5">
      <c r="B642" s="21"/>
      <c r="C642" s="21" t="s">
        <v>1522</v>
      </c>
      <c r="D642" s="22"/>
      <c r="E642" s="22" t="s">
        <v>1262</v>
      </c>
      <c r="F642" s="22" t="s">
        <v>1113</v>
      </c>
      <c r="G642" s="67">
        <v>1220</v>
      </c>
      <c r="H642" t="str">
        <f t="shared" si="21"/>
        <v>MATH 1220</v>
      </c>
      <c r="I642">
        <f t="shared" si="22"/>
        <v>1</v>
      </c>
      <c r="J642" s="158"/>
      <c r="L642" s="158"/>
    </row>
    <row r="643" spans="2:12" ht="16.5">
      <c r="B643" s="21"/>
      <c r="C643" s="21" t="s">
        <v>1522</v>
      </c>
      <c r="D643" s="22"/>
      <c r="E643" s="96" t="s">
        <v>1526</v>
      </c>
      <c r="F643" s="22" t="s">
        <v>1113</v>
      </c>
      <c r="G643" s="67">
        <v>2020</v>
      </c>
      <c r="H643" t="str">
        <f t="shared" si="21"/>
        <v>MATH 2020</v>
      </c>
      <c r="I643">
        <f t="shared" si="22"/>
        <v>1</v>
      </c>
      <c r="J643" s="158"/>
      <c r="L643" s="158"/>
    </row>
    <row r="644" spans="2:12" ht="16.5">
      <c r="B644" s="21"/>
      <c r="C644" s="21" t="s">
        <v>1522</v>
      </c>
      <c r="D644" s="22"/>
      <c r="E644" s="96" t="s">
        <v>1526</v>
      </c>
      <c r="F644" s="22" t="s">
        <v>1113</v>
      </c>
      <c r="G644" s="67">
        <v>2040</v>
      </c>
      <c r="H644" t="str">
        <f t="shared" si="21"/>
        <v>MATH 2040</v>
      </c>
      <c r="I644">
        <f t="shared" si="22"/>
        <v>1</v>
      </c>
      <c r="J644" s="158"/>
      <c r="L644" s="158"/>
    </row>
    <row r="645" spans="2:12" ht="16.5">
      <c r="B645" s="21"/>
      <c r="C645" s="21" t="s">
        <v>1522</v>
      </c>
      <c r="D645" s="22"/>
      <c r="E645" s="22" t="s">
        <v>1195</v>
      </c>
      <c r="F645" s="22" t="s">
        <v>1113</v>
      </c>
      <c r="G645" s="67">
        <v>2210</v>
      </c>
      <c r="H645" t="str">
        <f t="shared" si="21"/>
        <v>MATH 2210</v>
      </c>
      <c r="I645">
        <f t="shared" si="22"/>
        <v>0</v>
      </c>
      <c r="J645" s="158"/>
      <c r="L645" s="158"/>
    </row>
    <row r="646" spans="2:12" ht="16.5">
      <c r="B646" s="21"/>
      <c r="C646" s="21" t="s">
        <v>1522</v>
      </c>
      <c r="D646" s="22"/>
      <c r="E646" s="22" t="s">
        <v>1262</v>
      </c>
      <c r="F646" s="22" t="s">
        <v>1113</v>
      </c>
      <c r="G646" s="67">
        <v>2210</v>
      </c>
      <c r="H646" t="str">
        <f t="shared" si="21"/>
        <v>MATH 2210</v>
      </c>
      <c r="I646">
        <f t="shared" si="22"/>
        <v>1</v>
      </c>
      <c r="J646" s="158"/>
      <c r="L646" s="158"/>
    </row>
    <row r="647" spans="2:12" ht="16.5">
      <c r="B647" s="45"/>
      <c r="C647" s="21" t="s">
        <v>1522</v>
      </c>
      <c r="D647" s="22"/>
      <c r="E647" s="22" t="s">
        <v>463</v>
      </c>
      <c r="F647" s="22" t="s">
        <v>455</v>
      </c>
      <c r="G647" s="68" t="s">
        <v>1528</v>
      </c>
      <c r="H647" t="str">
        <f t="shared" si="21"/>
        <v>MATH1010</v>
      </c>
      <c r="I647">
        <f t="shared" si="22"/>
        <v>0</v>
      </c>
      <c r="J647" s="158"/>
      <c r="L647" s="158"/>
    </row>
    <row r="648" spans="2:12" ht="16.5">
      <c r="B648" s="45"/>
      <c r="C648" s="21" t="s">
        <v>1522</v>
      </c>
      <c r="D648" s="22"/>
      <c r="E648" s="22" t="s">
        <v>1262</v>
      </c>
      <c r="F648" s="22" t="s">
        <v>455</v>
      </c>
      <c r="G648" s="23" t="s">
        <v>1528</v>
      </c>
      <c r="H648" t="str">
        <f t="shared" si="21"/>
        <v>MATH1010</v>
      </c>
      <c r="I648">
        <f t="shared" si="22"/>
        <v>0</v>
      </c>
      <c r="J648" s="158"/>
      <c r="L648" s="158"/>
    </row>
    <row r="649" spans="2:12" ht="16.5">
      <c r="B649" s="105"/>
      <c r="C649" s="105" t="s">
        <v>1522</v>
      </c>
      <c r="D649" s="107"/>
      <c r="E649" s="22" t="s">
        <v>551</v>
      </c>
      <c r="F649" s="107" t="s">
        <v>455</v>
      </c>
      <c r="G649" s="108">
        <v>1010</v>
      </c>
      <c r="H649" t="str">
        <f t="shared" si="21"/>
        <v>MATH1010</v>
      </c>
      <c r="I649">
        <f t="shared" si="22"/>
        <v>1</v>
      </c>
      <c r="J649" s="158"/>
      <c r="L649" s="158"/>
    </row>
    <row r="650" spans="2:12" ht="16.5">
      <c r="B650" s="45"/>
      <c r="C650" s="21" t="s">
        <v>1522</v>
      </c>
      <c r="D650" s="22" t="s">
        <v>845</v>
      </c>
      <c r="E650" s="22" t="s">
        <v>1262</v>
      </c>
      <c r="F650" s="22" t="s">
        <v>455</v>
      </c>
      <c r="G650" s="22" t="s">
        <v>1117</v>
      </c>
      <c r="H650" t="str">
        <f t="shared" si="21"/>
        <v>MATH1030</v>
      </c>
      <c r="I650">
        <f t="shared" si="22"/>
        <v>0</v>
      </c>
      <c r="J650" s="158"/>
      <c r="L650" s="158"/>
    </row>
    <row r="651" spans="2:12" ht="16.5">
      <c r="B651" s="58"/>
      <c r="C651" s="58" t="s">
        <v>1522</v>
      </c>
      <c r="D651" s="61" t="s">
        <v>845</v>
      </c>
      <c r="E651" s="22" t="s">
        <v>797</v>
      </c>
      <c r="F651" s="61" t="s">
        <v>455</v>
      </c>
      <c r="G651" s="69">
        <v>1030</v>
      </c>
      <c r="H651" t="str">
        <f t="shared" si="21"/>
        <v>MATH1030</v>
      </c>
      <c r="I651">
        <f t="shared" si="22"/>
        <v>1</v>
      </c>
      <c r="J651" s="158"/>
      <c r="L651" s="158"/>
    </row>
    <row r="652" spans="2:12" ht="16.5">
      <c r="B652" s="21"/>
      <c r="C652" s="21" t="s">
        <v>1522</v>
      </c>
      <c r="D652" s="22" t="s">
        <v>845</v>
      </c>
      <c r="E652" s="22" t="s">
        <v>463</v>
      </c>
      <c r="F652" s="22" t="s">
        <v>455</v>
      </c>
      <c r="G652" s="68" t="s">
        <v>440</v>
      </c>
      <c r="H652" t="str">
        <f t="shared" si="21"/>
        <v>MATH1040</v>
      </c>
      <c r="I652">
        <f t="shared" si="22"/>
        <v>0</v>
      </c>
      <c r="J652" s="158"/>
      <c r="L652" s="158"/>
    </row>
    <row r="653" spans="2:12" ht="16.5">
      <c r="B653" s="45"/>
      <c r="C653" s="21" t="s">
        <v>1522</v>
      </c>
      <c r="D653" s="22" t="s">
        <v>845</v>
      </c>
      <c r="E653" s="22" t="s">
        <v>1262</v>
      </c>
      <c r="F653" s="22" t="s">
        <v>455</v>
      </c>
      <c r="G653" s="22" t="s">
        <v>440</v>
      </c>
      <c r="H653" t="str">
        <f t="shared" si="21"/>
        <v>MATH1040</v>
      </c>
      <c r="I653">
        <f t="shared" si="22"/>
        <v>1</v>
      </c>
      <c r="J653" s="158"/>
      <c r="L653" s="158"/>
    </row>
    <row r="654" spans="2:12" ht="16.5">
      <c r="B654" s="21"/>
      <c r="C654" s="21" t="s">
        <v>1522</v>
      </c>
      <c r="D654" s="22" t="s">
        <v>845</v>
      </c>
      <c r="E654" s="22" t="s">
        <v>463</v>
      </c>
      <c r="F654" s="22" t="s">
        <v>455</v>
      </c>
      <c r="G654" s="68" t="s">
        <v>1119</v>
      </c>
      <c r="H654" t="str">
        <f t="shared" si="21"/>
        <v>MATH1050</v>
      </c>
      <c r="I654">
        <f t="shared" si="22"/>
        <v>0</v>
      </c>
      <c r="J654" s="158"/>
      <c r="L654" s="158"/>
    </row>
    <row r="655" spans="2:12" ht="16.5">
      <c r="B655" s="45"/>
      <c r="C655" s="21" t="s">
        <v>1522</v>
      </c>
      <c r="D655" s="22" t="s">
        <v>845</v>
      </c>
      <c r="E655" s="22" t="s">
        <v>1262</v>
      </c>
      <c r="F655" s="22" t="s">
        <v>455</v>
      </c>
      <c r="G655" s="23" t="s">
        <v>1119</v>
      </c>
      <c r="H655" t="str">
        <f t="shared" si="21"/>
        <v>MATH1050</v>
      </c>
      <c r="I655">
        <f t="shared" si="22"/>
        <v>0</v>
      </c>
      <c r="J655" s="158"/>
      <c r="L655" s="158"/>
    </row>
    <row r="656" spans="2:12" ht="16.5">
      <c r="B656" s="21"/>
      <c r="C656" s="21" t="s">
        <v>1522</v>
      </c>
      <c r="D656" s="22" t="s">
        <v>845</v>
      </c>
      <c r="E656" s="22" t="s">
        <v>551</v>
      </c>
      <c r="F656" s="22" t="s">
        <v>455</v>
      </c>
      <c r="G656" s="67">
        <v>1050</v>
      </c>
      <c r="H656" t="str">
        <f t="shared" si="21"/>
        <v>MATH1050</v>
      </c>
      <c r="I656">
        <f t="shared" si="22"/>
        <v>0</v>
      </c>
      <c r="J656" s="158"/>
      <c r="L656" s="158"/>
    </row>
    <row r="657" spans="2:12" ht="16.5">
      <c r="B657" s="21"/>
      <c r="C657" s="21" t="s">
        <v>1522</v>
      </c>
      <c r="D657" s="22" t="s">
        <v>845</v>
      </c>
      <c r="E657" s="22" t="s">
        <v>797</v>
      </c>
      <c r="F657" s="22" t="s">
        <v>455</v>
      </c>
      <c r="G657" s="67">
        <v>1050</v>
      </c>
      <c r="H657" t="str">
        <f t="shared" si="21"/>
        <v>MATH1050</v>
      </c>
      <c r="I657">
        <f t="shared" si="22"/>
        <v>0</v>
      </c>
      <c r="J657" s="158"/>
      <c r="L657" s="158"/>
    </row>
    <row r="658" spans="2:12" ht="16.5">
      <c r="B658" s="21"/>
      <c r="C658" s="21" t="s">
        <v>1522</v>
      </c>
      <c r="D658" s="22" t="s">
        <v>845</v>
      </c>
      <c r="E658" s="22" t="s">
        <v>1586</v>
      </c>
      <c r="F658" s="22" t="s">
        <v>455</v>
      </c>
      <c r="G658" s="67">
        <v>1050</v>
      </c>
      <c r="H658" t="str">
        <f t="shared" si="21"/>
        <v>MATH1050</v>
      </c>
      <c r="I658">
        <f t="shared" si="22"/>
        <v>1</v>
      </c>
      <c r="J658" s="158"/>
      <c r="L658" s="158"/>
    </row>
    <row r="659" spans="2:12" ht="16.5">
      <c r="B659" s="45"/>
      <c r="C659" s="21" t="s">
        <v>1522</v>
      </c>
      <c r="D659" s="22"/>
      <c r="E659" s="22" t="s">
        <v>463</v>
      </c>
      <c r="F659" s="22" t="s">
        <v>455</v>
      </c>
      <c r="G659" s="68" t="s">
        <v>1121</v>
      </c>
      <c r="H659" t="str">
        <f t="shared" si="21"/>
        <v>MATH1060</v>
      </c>
      <c r="I659">
        <f t="shared" si="22"/>
        <v>0</v>
      </c>
      <c r="J659" s="158"/>
      <c r="L659" s="158"/>
    </row>
    <row r="660" spans="2:12" ht="16.5">
      <c r="B660" s="45"/>
      <c r="C660" s="21" t="s">
        <v>1522</v>
      </c>
      <c r="D660" s="22"/>
      <c r="E660" s="22" t="s">
        <v>1262</v>
      </c>
      <c r="F660" s="22" t="s">
        <v>455</v>
      </c>
      <c r="G660" s="22" t="s">
        <v>1121</v>
      </c>
      <c r="H660" t="str">
        <f t="shared" si="21"/>
        <v>MATH1060</v>
      </c>
      <c r="I660">
        <f t="shared" si="22"/>
        <v>0</v>
      </c>
      <c r="J660" s="158"/>
      <c r="L660" s="158"/>
    </row>
    <row r="661" spans="2:12" ht="16.5">
      <c r="B661" s="21"/>
      <c r="C661" s="21" t="s">
        <v>1522</v>
      </c>
      <c r="D661" s="107"/>
      <c r="E661" s="22" t="s">
        <v>551</v>
      </c>
      <c r="F661" s="107" t="s">
        <v>455</v>
      </c>
      <c r="G661" s="108">
        <v>1060</v>
      </c>
      <c r="H661" t="str">
        <f t="shared" si="21"/>
        <v>MATH1060</v>
      </c>
      <c r="I661">
        <f t="shared" si="22"/>
        <v>0</v>
      </c>
      <c r="J661" s="158"/>
      <c r="L661" s="158"/>
    </row>
    <row r="662" spans="2:12" ht="16.5">
      <c r="B662" s="21"/>
      <c r="C662" s="21" t="s">
        <v>1522</v>
      </c>
      <c r="D662" s="79"/>
      <c r="E662" s="22" t="s">
        <v>797</v>
      </c>
      <c r="F662" s="22" t="s">
        <v>455</v>
      </c>
      <c r="G662" s="67">
        <v>1060</v>
      </c>
      <c r="H662" t="str">
        <f t="shared" si="21"/>
        <v>MATH1060</v>
      </c>
      <c r="I662">
        <f t="shared" si="22"/>
        <v>0</v>
      </c>
      <c r="J662" s="158"/>
      <c r="L662" s="158"/>
    </row>
    <row r="663" spans="2:12" ht="16.5">
      <c r="B663" s="21"/>
      <c r="C663" s="21" t="s">
        <v>1522</v>
      </c>
      <c r="D663" s="22"/>
      <c r="E663" s="22" t="s">
        <v>1586</v>
      </c>
      <c r="F663" s="22" t="s">
        <v>455</v>
      </c>
      <c r="G663" s="67">
        <v>1060</v>
      </c>
      <c r="H663" t="str">
        <f t="shared" si="21"/>
        <v>MATH1060</v>
      </c>
      <c r="I663">
        <f t="shared" si="22"/>
        <v>1</v>
      </c>
      <c r="J663" s="158"/>
      <c r="L663" s="158"/>
    </row>
    <row r="664" spans="2:12" ht="16.5">
      <c r="B664" s="21"/>
      <c r="C664" s="21" t="s">
        <v>1522</v>
      </c>
      <c r="D664" s="22"/>
      <c r="E664" s="22" t="s">
        <v>797</v>
      </c>
      <c r="F664" s="22" t="s">
        <v>455</v>
      </c>
      <c r="G664" s="67">
        <v>1070</v>
      </c>
      <c r="H664" t="str">
        <f t="shared" si="21"/>
        <v>MATH1070</v>
      </c>
      <c r="I664">
        <f t="shared" si="22"/>
        <v>1</v>
      </c>
      <c r="J664" s="158"/>
      <c r="L664" s="158"/>
    </row>
    <row r="665" spans="2:12" ht="16.5">
      <c r="B665" s="21"/>
      <c r="C665" s="21" t="s">
        <v>1522</v>
      </c>
      <c r="D665" s="22"/>
      <c r="E665" s="22" t="s">
        <v>463</v>
      </c>
      <c r="F665" s="22" t="s">
        <v>455</v>
      </c>
      <c r="G665" s="68">
        <v>1210</v>
      </c>
      <c r="H665" t="str">
        <f t="shared" si="21"/>
        <v>MATH1210</v>
      </c>
      <c r="I665">
        <f t="shared" si="22"/>
        <v>0</v>
      </c>
      <c r="J665" s="158"/>
      <c r="L665" s="158"/>
    </row>
    <row r="666" spans="2:12" ht="16.5">
      <c r="B666" s="105"/>
      <c r="C666" s="105" t="s">
        <v>1522</v>
      </c>
      <c r="D666" s="107"/>
      <c r="E666" s="22" t="s">
        <v>551</v>
      </c>
      <c r="F666" s="107" t="s">
        <v>455</v>
      </c>
      <c r="G666" s="108">
        <v>1210</v>
      </c>
      <c r="H666" t="str">
        <f t="shared" si="21"/>
        <v>MATH1210</v>
      </c>
      <c r="I666">
        <f t="shared" si="22"/>
        <v>0</v>
      </c>
      <c r="J666" s="158"/>
      <c r="L666" s="158"/>
    </row>
    <row r="667" spans="2:12" ht="16.5">
      <c r="B667" s="21"/>
      <c r="C667" s="21" t="s">
        <v>1522</v>
      </c>
      <c r="D667" s="22"/>
      <c r="E667" s="22" t="s">
        <v>797</v>
      </c>
      <c r="F667" s="22" t="s">
        <v>455</v>
      </c>
      <c r="G667" s="67">
        <v>1210</v>
      </c>
      <c r="H667" t="str">
        <f t="shared" si="21"/>
        <v>MATH1210</v>
      </c>
      <c r="I667">
        <f t="shared" si="22"/>
        <v>1</v>
      </c>
      <c r="J667" s="158"/>
      <c r="L667" s="158"/>
    </row>
    <row r="668" spans="2:12" ht="16.5">
      <c r="B668" s="105"/>
      <c r="C668" s="105" t="s">
        <v>1522</v>
      </c>
      <c r="D668" s="107"/>
      <c r="E668" s="22" t="s">
        <v>551</v>
      </c>
      <c r="F668" s="107" t="s">
        <v>455</v>
      </c>
      <c r="G668" s="108">
        <v>1220</v>
      </c>
      <c r="H668" t="str">
        <f t="shared" si="21"/>
        <v>MATH1220</v>
      </c>
      <c r="I668">
        <f t="shared" si="22"/>
        <v>0</v>
      </c>
      <c r="J668" s="158"/>
      <c r="L668" s="158"/>
    </row>
    <row r="669" spans="2:12" ht="16.5">
      <c r="B669" s="21"/>
      <c r="C669" s="21" t="s">
        <v>1522</v>
      </c>
      <c r="D669" s="22"/>
      <c r="E669" s="22" t="s">
        <v>797</v>
      </c>
      <c r="F669" s="22" t="s">
        <v>455</v>
      </c>
      <c r="G669" s="67">
        <v>1220</v>
      </c>
      <c r="H669" t="str">
        <f t="shared" si="21"/>
        <v>MATH1220</v>
      </c>
      <c r="I669">
        <f t="shared" si="22"/>
        <v>1</v>
      </c>
      <c r="J669" s="158"/>
      <c r="L669" s="158"/>
    </row>
    <row r="670" spans="2:12" ht="16.5">
      <c r="B670" s="21"/>
      <c r="C670" s="21" t="s">
        <v>1522</v>
      </c>
      <c r="D670" s="22" t="s">
        <v>1332</v>
      </c>
      <c r="E670" s="22" t="s">
        <v>463</v>
      </c>
      <c r="F670" s="22" t="s">
        <v>360</v>
      </c>
      <c r="G670" s="67">
        <v>1010</v>
      </c>
      <c r="H670" t="str">
        <f t="shared" si="21"/>
        <v>MET 1010</v>
      </c>
      <c r="I670">
        <f t="shared" si="22"/>
        <v>1</v>
      </c>
      <c r="J670" s="158"/>
      <c r="L670" s="158"/>
    </row>
    <row r="671" spans="2:12" ht="16.5">
      <c r="B671" s="21" t="s">
        <v>136</v>
      </c>
      <c r="C671" s="21" t="s">
        <v>1522</v>
      </c>
      <c r="D671" s="27"/>
      <c r="E671" s="22" t="s">
        <v>739</v>
      </c>
      <c r="F671" s="22" t="s">
        <v>760</v>
      </c>
      <c r="G671" s="68" t="s">
        <v>1531</v>
      </c>
      <c r="H671" t="str">
        <f t="shared" si="21"/>
        <v>MET1000</v>
      </c>
      <c r="I671">
        <f t="shared" si="22"/>
        <v>1</v>
      </c>
      <c r="J671" s="158"/>
      <c r="L671" s="158"/>
    </row>
    <row r="672" spans="2:12" ht="16.5">
      <c r="B672" s="21"/>
      <c r="C672" s="21" t="s">
        <v>1522</v>
      </c>
      <c r="D672" s="22" t="s">
        <v>1332</v>
      </c>
      <c r="E672" s="22" t="s">
        <v>1586</v>
      </c>
      <c r="F672" s="22" t="s">
        <v>1018</v>
      </c>
      <c r="G672" s="67">
        <v>1010</v>
      </c>
      <c r="H672" t="str">
        <f t="shared" si="21"/>
        <v>METO1010</v>
      </c>
      <c r="I672">
        <f t="shared" si="22"/>
        <v>1</v>
      </c>
      <c r="J672" s="158"/>
      <c r="L672" s="158"/>
    </row>
    <row r="673" spans="2:12" ht="16.5">
      <c r="B673" s="21" t="s">
        <v>136</v>
      </c>
      <c r="C673" s="21" t="s">
        <v>1522</v>
      </c>
      <c r="D673" s="27"/>
      <c r="E673" s="22" t="s">
        <v>739</v>
      </c>
      <c r="F673" s="22" t="s">
        <v>756</v>
      </c>
      <c r="G673" s="68" t="s">
        <v>1125</v>
      </c>
      <c r="H673" t="str">
        <f t="shared" si="21"/>
        <v>MFET1150</v>
      </c>
      <c r="I673">
        <f t="shared" si="22"/>
        <v>1</v>
      </c>
      <c r="J673" s="158"/>
      <c r="L673" s="158"/>
    </row>
    <row r="674" spans="2:12" ht="16.5">
      <c r="B674" s="21" t="s">
        <v>580</v>
      </c>
      <c r="C674" s="21" t="s">
        <v>1522</v>
      </c>
      <c r="D674" s="27"/>
      <c r="E674" s="22" t="s">
        <v>739</v>
      </c>
      <c r="F674" s="22" t="s">
        <v>756</v>
      </c>
      <c r="G674" s="68">
        <v>1210</v>
      </c>
      <c r="H674" t="str">
        <f t="shared" si="21"/>
        <v>MFET1210</v>
      </c>
      <c r="I674">
        <f t="shared" si="22"/>
        <v>1</v>
      </c>
      <c r="J674" s="158"/>
      <c r="L674" s="158"/>
    </row>
    <row r="675" spans="2:12" ht="16.5">
      <c r="B675" s="21" t="s">
        <v>582</v>
      </c>
      <c r="C675" s="21" t="s">
        <v>1522</v>
      </c>
      <c r="D675" s="27"/>
      <c r="E675" s="22" t="s">
        <v>739</v>
      </c>
      <c r="F675" s="22" t="s">
        <v>756</v>
      </c>
      <c r="G675" s="68">
        <v>2150</v>
      </c>
      <c r="H675" t="str">
        <f t="shared" si="21"/>
        <v>MFET2150</v>
      </c>
      <c r="I675">
        <f t="shared" si="22"/>
        <v>1</v>
      </c>
      <c r="J675" s="158"/>
      <c r="L675" s="158"/>
    </row>
    <row r="676" spans="2:12" ht="16.5">
      <c r="B676" s="21" t="s">
        <v>582</v>
      </c>
      <c r="C676" s="21" t="s">
        <v>1522</v>
      </c>
      <c r="D676" s="27"/>
      <c r="E676" s="22" t="s">
        <v>739</v>
      </c>
      <c r="F676" s="22" t="s">
        <v>756</v>
      </c>
      <c r="G676" s="68" t="s">
        <v>905</v>
      </c>
      <c r="H676" t="str">
        <f t="shared" si="21"/>
        <v>MFET2150L</v>
      </c>
      <c r="I676">
        <f t="shared" si="22"/>
        <v>1</v>
      </c>
      <c r="J676" s="159" t="s">
        <v>1897</v>
      </c>
      <c r="L676" s="159" t="s">
        <v>1897</v>
      </c>
    </row>
    <row r="677" spans="2:12" ht="16.5">
      <c r="B677" s="21" t="s">
        <v>582</v>
      </c>
      <c r="C677" s="21" t="s">
        <v>1522</v>
      </c>
      <c r="D677" s="27"/>
      <c r="E677" s="22" t="s">
        <v>739</v>
      </c>
      <c r="F677" s="22" t="s">
        <v>756</v>
      </c>
      <c r="G677" s="68">
        <v>2670</v>
      </c>
      <c r="H677" t="str">
        <f t="shared" si="21"/>
        <v>MFET2670</v>
      </c>
      <c r="I677">
        <f t="shared" si="22"/>
        <v>1</v>
      </c>
      <c r="J677" s="158"/>
      <c r="L677" s="158"/>
    </row>
    <row r="678" spans="2:12" ht="16.5">
      <c r="B678" s="21" t="s">
        <v>582</v>
      </c>
      <c r="C678" s="21" t="s">
        <v>1522</v>
      </c>
      <c r="D678" s="27"/>
      <c r="E678" s="22" t="s">
        <v>739</v>
      </c>
      <c r="F678" s="22" t="s">
        <v>756</v>
      </c>
      <c r="G678" s="68" t="s">
        <v>906</v>
      </c>
      <c r="H678" t="str">
        <f t="shared" si="21"/>
        <v>MFET2670L</v>
      </c>
      <c r="I678">
        <f t="shared" si="22"/>
        <v>1</v>
      </c>
      <c r="J678" s="159" t="s">
        <v>1897</v>
      </c>
      <c r="L678" s="159" t="s">
        <v>1897</v>
      </c>
    </row>
    <row r="679" spans="2:12" ht="16.5">
      <c r="B679" s="21" t="s">
        <v>91</v>
      </c>
      <c r="C679" s="21" t="s">
        <v>1522</v>
      </c>
      <c r="D679" s="22"/>
      <c r="E679" s="22" t="s">
        <v>1586</v>
      </c>
      <c r="F679" s="22" t="s">
        <v>457</v>
      </c>
      <c r="G679" s="68" t="s">
        <v>1121</v>
      </c>
      <c r="H679" t="str">
        <f t="shared" si="21"/>
        <v>MGMT1060</v>
      </c>
      <c r="I679">
        <f t="shared" si="22"/>
        <v>1</v>
      </c>
      <c r="J679" s="158"/>
      <c r="L679" s="158"/>
    </row>
    <row r="680" spans="2:12" ht="16.5">
      <c r="B680" s="21" t="s">
        <v>94</v>
      </c>
      <c r="C680" s="21" t="s">
        <v>1522</v>
      </c>
      <c r="D680" s="22"/>
      <c r="E680" s="22" t="s">
        <v>1195</v>
      </c>
      <c r="F680" s="22" t="s">
        <v>457</v>
      </c>
      <c r="G680" s="67">
        <v>1650</v>
      </c>
      <c r="H680" t="str">
        <f t="shared" si="21"/>
        <v>MGMT1650</v>
      </c>
      <c r="I680">
        <f t="shared" si="22"/>
        <v>1</v>
      </c>
      <c r="J680" s="158"/>
      <c r="L680" s="158"/>
    </row>
    <row r="681" spans="2:12" ht="16.5">
      <c r="B681" s="21" t="s">
        <v>93</v>
      </c>
      <c r="C681" s="21" t="s">
        <v>1522</v>
      </c>
      <c r="D681" s="22"/>
      <c r="E681" s="22" t="s">
        <v>1195</v>
      </c>
      <c r="F681" s="22" t="s">
        <v>457</v>
      </c>
      <c r="G681" s="67">
        <v>2050</v>
      </c>
      <c r="H681" t="str">
        <f t="shared" si="21"/>
        <v>MGMT2050</v>
      </c>
      <c r="I681">
        <f t="shared" si="22"/>
        <v>1</v>
      </c>
      <c r="J681" s="158"/>
      <c r="L681" s="158"/>
    </row>
    <row r="682" spans="2:12" ht="16.5">
      <c r="B682" s="21" t="s">
        <v>100</v>
      </c>
      <c r="C682" s="21" t="s">
        <v>1522</v>
      </c>
      <c r="D682" s="22"/>
      <c r="E682" s="22" t="s">
        <v>1195</v>
      </c>
      <c r="F682" s="22" t="s">
        <v>457</v>
      </c>
      <c r="G682" s="67">
        <v>2600</v>
      </c>
      <c r="H682" t="str">
        <f t="shared" si="21"/>
        <v>MGMT2600</v>
      </c>
      <c r="I682">
        <f t="shared" si="22"/>
        <v>1</v>
      </c>
      <c r="J682" s="158"/>
      <c r="L682" s="158"/>
    </row>
    <row r="683" spans="2:12" ht="16.5">
      <c r="B683" s="21" t="s">
        <v>94</v>
      </c>
      <c r="C683" s="21" t="s">
        <v>1522</v>
      </c>
      <c r="D683" s="22"/>
      <c r="E683" s="22" t="s">
        <v>1195</v>
      </c>
      <c r="F683" s="22" t="s">
        <v>457</v>
      </c>
      <c r="G683" s="67">
        <v>2620</v>
      </c>
      <c r="H683" t="str">
        <f t="shared" si="21"/>
        <v>MGMT2620</v>
      </c>
      <c r="I683">
        <f t="shared" si="22"/>
        <v>1</v>
      </c>
      <c r="J683" s="158"/>
      <c r="L683" s="158"/>
    </row>
    <row r="684" spans="2:12" ht="16.5">
      <c r="B684" s="21" t="s">
        <v>100</v>
      </c>
      <c r="C684" s="21" t="s">
        <v>1522</v>
      </c>
      <c r="D684" s="22"/>
      <c r="E684" s="22" t="s">
        <v>463</v>
      </c>
      <c r="F684" s="162" t="s">
        <v>864</v>
      </c>
      <c r="G684" s="163">
        <v>1100</v>
      </c>
      <c r="H684" t="str">
        <f t="shared" si="21"/>
        <v>MGT1100</v>
      </c>
      <c r="I684">
        <f t="shared" si="22"/>
        <v>0</v>
      </c>
      <c r="J684" s="158"/>
      <c r="L684" s="158"/>
    </row>
    <row r="685" spans="2:12" ht="16.5">
      <c r="B685" s="21" t="s">
        <v>870</v>
      </c>
      <c r="C685" s="21" t="s">
        <v>1522</v>
      </c>
      <c r="D685" s="22"/>
      <c r="E685" s="22" t="s">
        <v>463</v>
      </c>
      <c r="F685" s="162" t="s">
        <v>864</v>
      </c>
      <c r="G685" s="163">
        <v>1100</v>
      </c>
      <c r="H685" t="str">
        <f t="shared" si="21"/>
        <v>MGT1100</v>
      </c>
      <c r="I685">
        <f t="shared" si="22"/>
        <v>1</v>
      </c>
      <c r="J685" s="158"/>
      <c r="L685" s="158"/>
    </row>
    <row r="686" spans="2:12" ht="16.5">
      <c r="B686" s="45" t="s">
        <v>92</v>
      </c>
      <c r="C686" s="21" t="s">
        <v>1522</v>
      </c>
      <c r="D686" s="22"/>
      <c r="E686" s="22" t="s">
        <v>463</v>
      </c>
      <c r="F686" s="22" t="s">
        <v>864</v>
      </c>
      <c r="G686" s="68">
        <v>1600</v>
      </c>
      <c r="H686" t="str">
        <f t="shared" si="21"/>
        <v>MGT1600</v>
      </c>
      <c r="I686">
        <f t="shared" si="22"/>
        <v>1</v>
      </c>
      <c r="J686" s="158"/>
      <c r="L686" s="158"/>
    </row>
    <row r="687" spans="2:12" ht="16.5">
      <c r="B687" s="21" t="s">
        <v>123</v>
      </c>
      <c r="C687" s="21" t="s">
        <v>1522</v>
      </c>
      <c r="D687" s="22"/>
      <c r="E687" s="96" t="s">
        <v>1526</v>
      </c>
      <c r="F687" s="22" t="s">
        <v>1122</v>
      </c>
      <c r="G687" s="67" t="s">
        <v>1123</v>
      </c>
      <c r="H687" t="str">
        <f t="shared" si="21"/>
        <v>MINT2450</v>
      </c>
      <c r="I687">
        <f t="shared" si="22"/>
        <v>1</v>
      </c>
      <c r="J687" s="158"/>
      <c r="L687" s="158"/>
    </row>
    <row r="688" spans="2:12" ht="16.5">
      <c r="B688" s="21" t="s">
        <v>133</v>
      </c>
      <c r="C688" s="21" t="s">
        <v>1522</v>
      </c>
      <c r="D688" s="22"/>
      <c r="E688" s="22" t="s">
        <v>463</v>
      </c>
      <c r="F688" s="22" t="s">
        <v>459</v>
      </c>
      <c r="G688" s="68" t="s">
        <v>1528</v>
      </c>
      <c r="H688" t="str">
        <f t="shared" ref="H688:H751" si="23">CONCATENATE(F688,G688)</f>
        <v>MKTG1010</v>
      </c>
      <c r="I688">
        <f t="shared" si="22"/>
        <v>1</v>
      </c>
      <c r="J688" s="158"/>
      <c r="L688" s="158"/>
    </row>
    <row r="689" spans="2:12" ht="16.5">
      <c r="B689" s="21" t="s">
        <v>132</v>
      </c>
      <c r="C689" s="21" t="s">
        <v>1522</v>
      </c>
      <c r="D689" s="22"/>
      <c r="E689" s="22" t="s">
        <v>463</v>
      </c>
      <c r="F689" s="22" t="s">
        <v>459</v>
      </c>
      <c r="G689" s="68">
        <v>1030</v>
      </c>
      <c r="H689" t="str">
        <f t="shared" si="23"/>
        <v>MKTG1030</v>
      </c>
      <c r="I689">
        <f t="shared" ref="I689:I752" si="24">IF(H689=H690,0,1)</f>
        <v>1</v>
      </c>
      <c r="J689" s="158"/>
      <c r="L689" s="158"/>
    </row>
    <row r="690" spans="2:12" ht="16.5">
      <c r="B690" s="21" t="s">
        <v>129</v>
      </c>
      <c r="C690" s="21" t="s">
        <v>1522</v>
      </c>
      <c r="D690" s="22"/>
      <c r="E690" s="22" t="s">
        <v>463</v>
      </c>
      <c r="F690" s="22" t="s">
        <v>459</v>
      </c>
      <c r="G690" s="68">
        <v>1070</v>
      </c>
      <c r="H690" t="str">
        <f t="shared" si="23"/>
        <v>MKTG1070</v>
      </c>
      <c r="I690">
        <f t="shared" si="24"/>
        <v>1</v>
      </c>
      <c r="J690" s="158"/>
      <c r="L690" s="158"/>
    </row>
    <row r="691" spans="2:12" ht="16.5">
      <c r="B691" s="21" t="s">
        <v>100</v>
      </c>
      <c r="C691" s="21" t="s">
        <v>1522</v>
      </c>
      <c r="D691" s="22"/>
      <c r="E691" s="22" t="s">
        <v>463</v>
      </c>
      <c r="F691" s="22" t="s">
        <v>459</v>
      </c>
      <c r="G691" s="68">
        <v>1480</v>
      </c>
      <c r="H691" t="str">
        <f t="shared" si="23"/>
        <v>MKTG1480</v>
      </c>
      <c r="I691">
        <f t="shared" si="24"/>
        <v>1</v>
      </c>
      <c r="J691" s="158"/>
      <c r="L691" s="158"/>
    </row>
    <row r="692" spans="2:12" ht="16.5">
      <c r="B692" s="21" t="s">
        <v>1360</v>
      </c>
      <c r="C692" s="21" t="s">
        <v>1522</v>
      </c>
      <c r="D692" s="22"/>
      <c r="E692" s="22" t="s">
        <v>1195</v>
      </c>
      <c r="F692" s="22" t="s">
        <v>459</v>
      </c>
      <c r="G692" s="67">
        <v>1510</v>
      </c>
      <c r="H692" t="str">
        <f t="shared" si="23"/>
        <v>MKTG1510</v>
      </c>
      <c r="I692">
        <f t="shared" si="24"/>
        <v>1</v>
      </c>
      <c r="J692" s="158"/>
      <c r="L692" s="158"/>
    </row>
    <row r="693" spans="2:12" ht="16.5">
      <c r="B693" s="21" t="s">
        <v>94</v>
      </c>
      <c r="C693" s="21" t="s">
        <v>1522</v>
      </c>
      <c r="D693" s="23"/>
      <c r="E693" s="22" t="s">
        <v>463</v>
      </c>
      <c r="F693" s="22" t="s">
        <v>459</v>
      </c>
      <c r="G693" s="22">
        <v>1900</v>
      </c>
      <c r="H693" t="str">
        <f t="shared" si="23"/>
        <v>MKTG1900</v>
      </c>
      <c r="I693">
        <f t="shared" si="24"/>
        <v>1</v>
      </c>
      <c r="J693" s="158"/>
      <c r="L693" s="158"/>
    </row>
    <row r="694" spans="2:12" ht="16.5">
      <c r="B694" s="21" t="s">
        <v>133</v>
      </c>
      <c r="C694" s="21" t="s">
        <v>1522</v>
      </c>
      <c r="D694" s="22"/>
      <c r="E694" s="22" t="s">
        <v>463</v>
      </c>
      <c r="F694" s="22" t="s">
        <v>459</v>
      </c>
      <c r="G694" s="68">
        <v>2000</v>
      </c>
      <c r="H694" t="str">
        <f t="shared" si="23"/>
        <v>MKTG2000</v>
      </c>
      <c r="I694">
        <f t="shared" si="24"/>
        <v>1</v>
      </c>
      <c r="J694" s="158"/>
      <c r="L694" s="158"/>
    </row>
    <row r="695" spans="2:12" ht="16.5">
      <c r="B695" s="21" t="s">
        <v>132</v>
      </c>
      <c r="C695" s="21" t="s">
        <v>1522</v>
      </c>
      <c r="D695" s="22"/>
      <c r="E695" s="22" t="s">
        <v>1195</v>
      </c>
      <c r="F695" s="22" t="s">
        <v>459</v>
      </c>
      <c r="G695" s="67">
        <v>2520</v>
      </c>
      <c r="H695" t="str">
        <f t="shared" si="23"/>
        <v>MKTG2520</v>
      </c>
      <c r="I695">
        <f t="shared" si="24"/>
        <v>1</v>
      </c>
      <c r="J695" s="158"/>
      <c r="L695" s="158"/>
    </row>
    <row r="696" spans="2:12" ht="16.5">
      <c r="B696" s="21" t="s">
        <v>133</v>
      </c>
      <c r="C696" s="21" t="s">
        <v>1522</v>
      </c>
      <c r="D696" s="22"/>
      <c r="E696" s="22" t="s">
        <v>1195</v>
      </c>
      <c r="F696" s="22" t="s">
        <v>459</v>
      </c>
      <c r="G696" s="67">
        <v>2540</v>
      </c>
      <c r="H696" t="str">
        <f t="shared" si="23"/>
        <v>MKTG2540</v>
      </c>
      <c r="I696">
        <f t="shared" si="24"/>
        <v>1</v>
      </c>
      <c r="J696" s="158"/>
      <c r="L696" s="158"/>
    </row>
    <row r="697" spans="2:12" ht="16.5">
      <c r="B697" s="21" t="s">
        <v>131</v>
      </c>
      <c r="C697" s="21" t="s">
        <v>1522</v>
      </c>
      <c r="D697" s="22"/>
      <c r="E697" s="22" t="s">
        <v>1195</v>
      </c>
      <c r="F697" s="22" t="s">
        <v>459</v>
      </c>
      <c r="G697" s="67">
        <v>2550</v>
      </c>
      <c r="H697" t="str">
        <f t="shared" si="23"/>
        <v>MKTG2550</v>
      </c>
      <c r="I697">
        <f t="shared" si="24"/>
        <v>1</v>
      </c>
      <c r="J697" s="158"/>
      <c r="L697" s="158"/>
    </row>
    <row r="698" spans="2:12" ht="16.5">
      <c r="B698" s="21"/>
      <c r="C698" s="21" t="s">
        <v>1522</v>
      </c>
      <c r="D698" s="22"/>
      <c r="E698" s="22" t="s">
        <v>463</v>
      </c>
      <c r="F698" s="22" t="s">
        <v>414</v>
      </c>
      <c r="G698" s="67">
        <v>1010</v>
      </c>
      <c r="H698" t="str">
        <f t="shared" si="23"/>
        <v>MLS1010</v>
      </c>
      <c r="I698">
        <f t="shared" si="24"/>
        <v>1</v>
      </c>
      <c r="J698" s="158"/>
      <c r="L698" s="158"/>
    </row>
    <row r="699" spans="2:12" ht="16.5">
      <c r="B699" s="21"/>
      <c r="C699" s="21" t="s">
        <v>1522</v>
      </c>
      <c r="D699" s="22"/>
      <c r="E699" s="22" t="s">
        <v>463</v>
      </c>
      <c r="F699" s="22" t="s">
        <v>414</v>
      </c>
      <c r="G699" s="67">
        <v>1020</v>
      </c>
      <c r="H699" t="str">
        <f t="shared" si="23"/>
        <v>MLS1020</v>
      </c>
      <c r="I699">
        <f t="shared" si="24"/>
        <v>1</v>
      </c>
      <c r="J699" s="158"/>
      <c r="L699" s="158"/>
    </row>
    <row r="700" spans="2:12" ht="16.5">
      <c r="B700" s="125"/>
      <c r="C700" s="125" t="s">
        <v>1522</v>
      </c>
      <c r="D700" s="131"/>
      <c r="E700" s="132" t="s">
        <v>1840</v>
      </c>
      <c r="F700" s="131" t="s">
        <v>1841</v>
      </c>
      <c r="G700" s="133">
        <v>1000</v>
      </c>
      <c r="H700" t="str">
        <f t="shared" si="23"/>
        <v>MTT1000</v>
      </c>
      <c r="I700">
        <f t="shared" si="24"/>
        <v>1</v>
      </c>
      <c r="J700" s="158"/>
      <c r="L700" s="158"/>
    </row>
    <row r="701" spans="2:12" ht="16.5">
      <c r="B701" s="125"/>
      <c r="C701" s="125" t="s">
        <v>1521</v>
      </c>
      <c r="D701" s="131" t="s">
        <v>1330</v>
      </c>
      <c r="E701" s="132" t="s">
        <v>1195</v>
      </c>
      <c r="F701" s="131" t="s">
        <v>1876</v>
      </c>
      <c r="G701" s="133">
        <v>1010</v>
      </c>
      <c r="H701" t="str">
        <f t="shared" si="23"/>
        <v>MUSC 1010</v>
      </c>
      <c r="I701">
        <f t="shared" si="24"/>
        <v>1</v>
      </c>
      <c r="J701" s="158"/>
      <c r="L701" s="158"/>
    </row>
    <row r="702" spans="2:12" ht="16.5">
      <c r="B702" s="21"/>
      <c r="C702" s="21" t="s">
        <v>1521</v>
      </c>
      <c r="D702" s="22" t="s">
        <v>1330</v>
      </c>
      <c r="E702" s="96" t="s">
        <v>1526</v>
      </c>
      <c r="F702" s="22" t="s">
        <v>1124</v>
      </c>
      <c r="G702" s="67" t="s">
        <v>1528</v>
      </c>
      <c r="H702" t="str">
        <f t="shared" si="23"/>
        <v>MUSC1010</v>
      </c>
      <c r="I702">
        <f t="shared" si="24"/>
        <v>0</v>
      </c>
      <c r="J702" s="158"/>
      <c r="L702" s="158"/>
    </row>
    <row r="703" spans="2:12" ht="16.5">
      <c r="B703" s="21"/>
      <c r="C703" s="21" t="s">
        <v>1521</v>
      </c>
      <c r="D703" s="22" t="s">
        <v>1330</v>
      </c>
      <c r="E703" s="22" t="s">
        <v>463</v>
      </c>
      <c r="F703" s="22" t="s">
        <v>1124</v>
      </c>
      <c r="G703" s="68" t="s">
        <v>1528</v>
      </c>
      <c r="H703" t="str">
        <f t="shared" si="23"/>
        <v>MUSC1010</v>
      </c>
      <c r="I703">
        <f t="shared" si="24"/>
        <v>0</v>
      </c>
      <c r="J703" s="158"/>
      <c r="L703" s="158"/>
    </row>
    <row r="704" spans="2:12" ht="16.5">
      <c r="B704" s="21"/>
      <c r="C704" s="21" t="s">
        <v>1521</v>
      </c>
      <c r="D704" s="22" t="s">
        <v>1330</v>
      </c>
      <c r="E704" s="22" t="s">
        <v>1261</v>
      </c>
      <c r="F704" s="22" t="s">
        <v>1124</v>
      </c>
      <c r="G704" s="67">
        <v>1010</v>
      </c>
      <c r="H704" t="str">
        <f t="shared" si="23"/>
        <v>MUSC1010</v>
      </c>
      <c r="I704">
        <f t="shared" si="24"/>
        <v>0</v>
      </c>
      <c r="J704" s="158"/>
      <c r="L704" s="158"/>
    </row>
    <row r="705" spans="2:12" ht="16.5">
      <c r="B705" s="45"/>
      <c r="C705" s="21" t="s">
        <v>1521</v>
      </c>
      <c r="D705" s="22" t="s">
        <v>1330</v>
      </c>
      <c r="E705" s="22" t="s">
        <v>1262</v>
      </c>
      <c r="F705" s="22" t="s">
        <v>1124</v>
      </c>
      <c r="G705" s="23" t="s">
        <v>1528</v>
      </c>
      <c r="H705" t="str">
        <f t="shared" si="23"/>
        <v>MUSC1010</v>
      </c>
      <c r="I705">
        <f t="shared" si="24"/>
        <v>0</v>
      </c>
      <c r="J705" s="158"/>
      <c r="L705" s="158"/>
    </row>
    <row r="706" spans="2:12" ht="16.5">
      <c r="B706" s="21"/>
      <c r="C706" s="21" t="s">
        <v>1521</v>
      </c>
      <c r="D706" s="107" t="s">
        <v>1330</v>
      </c>
      <c r="E706" s="22" t="s">
        <v>551</v>
      </c>
      <c r="F706" s="107" t="s">
        <v>1124</v>
      </c>
      <c r="G706" s="108">
        <v>1010</v>
      </c>
      <c r="H706" t="str">
        <f t="shared" si="23"/>
        <v>MUSC1010</v>
      </c>
      <c r="I706">
        <f t="shared" si="24"/>
        <v>0</v>
      </c>
      <c r="J706" s="158"/>
      <c r="L706" s="158"/>
    </row>
    <row r="707" spans="2:12" ht="16.5">
      <c r="B707" s="21"/>
      <c r="C707" s="21" t="s">
        <v>1522</v>
      </c>
      <c r="D707" s="22" t="s">
        <v>1330</v>
      </c>
      <c r="E707" s="22" t="s">
        <v>1586</v>
      </c>
      <c r="F707" s="22" t="s">
        <v>1124</v>
      </c>
      <c r="G707" s="68">
        <v>1010</v>
      </c>
      <c r="H707" t="str">
        <f t="shared" si="23"/>
        <v>MUSC1010</v>
      </c>
      <c r="I707">
        <f t="shared" si="24"/>
        <v>0</v>
      </c>
      <c r="J707" s="158"/>
      <c r="L707" s="158"/>
    </row>
    <row r="708" spans="2:12" ht="16.5">
      <c r="B708" s="21"/>
      <c r="C708" s="21" t="s">
        <v>1521</v>
      </c>
      <c r="D708" s="22" t="s">
        <v>1330</v>
      </c>
      <c r="E708" s="22" t="s">
        <v>739</v>
      </c>
      <c r="F708" s="22" t="s">
        <v>1124</v>
      </c>
      <c r="G708" s="68">
        <v>1010</v>
      </c>
      <c r="H708" t="str">
        <f t="shared" si="23"/>
        <v>MUSC1010</v>
      </c>
      <c r="I708">
        <f t="shared" si="24"/>
        <v>1</v>
      </c>
      <c r="J708" s="158"/>
      <c r="L708" s="158"/>
    </row>
    <row r="709" spans="2:12" ht="16.5">
      <c r="B709" s="21"/>
      <c r="C709" s="21" t="s">
        <v>1521</v>
      </c>
      <c r="D709" s="22" t="s">
        <v>1330</v>
      </c>
      <c r="E709" s="22" t="s">
        <v>1261</v>
      </c>
      <c r="F709" s="22" t="s">
        <v>1124</v>
      </c>
      <c r="G709" s="67">
        <v>1030</v>
      </c>
      <c r="H709" t="str">
        <f t="shared" si="23"/>
        <v>MUSC1030</v>
      </c>
      <c r="I709">
        <f t="shared" si="24"/>
        <v>1</v>
      </c>
      <c r="J709" s="158"/>
      <c r="L709" s="158"/>
    </row>
    <row r="710" spans="2:12" ht="16.5">
      <c r="B710" s="21"/>
      <c r="C710" s="21" t="s">
        <v>1521</v>
      </c>
      <c r="D710" s="22" t="s">
        <v>1330</v>
      </c>
      <c r="E710" s="22" t="s">
        <v>551</v>
      </c>
      <c r="F710" s="22" t="s">
        <v>1124</v>
      </c>
      <c r="G710" s="67">
        <v>1100</v>
      </c>
      <c r="H710" t="str">
        <f t="shared" si="23"/>
        <v>MUSC1100</v>
      </c>
      <c r="I710">
        <f t="shared" si="24"/>
        <v>1</v>
      </c>
      <c r="J710" s="158"/>
      <c r="L710" s="158"/>
    </row>
    <row r="711" spans="2:12" ht="16.5">
      <c r="B711" s="21"/>
      <c r="C711" s="21" t="s">
        <v>1522</v>
      </c>
      <c r="D711" s="22"/>
      <c r="E711" s="22" t="s">
        <v>1586</v>
      </c>
      <c r="F711" s="22" t="s">
        <v>1124</v>
      </c>
      <c r="G711" s="68">
        <v>1110</v>
      </c>
      <c r="H711" t="str">
        <f t="shared" si="23"/>
        <v>MUSC1110</v>
      </c>
      <c r="I711">
        <f t="shared" si="24"/>
        <v>1</v>
      </c>
      <c r="J711" s="158"/>
      <c r="L711" s="158"/>
    </row>
    <row r="712" spans="2:12" ht="16.5">
      <c r="B712" s="21"/>
      <c r="C712" s="21" t="s">
        <v>1521</v>
      </c>
      <c r="D712" s="22"/>
      <c r="E712" s="96" t="s">
        <v>1526</v>
      </c>
      <c r="F712" s="22" t="s">
        <v>1124</v>
      </c>
      <c r="G712" s="67" t="s">
        <v>1125</v>
      </c>
      <c r="H712" t="str">
        <f t="shared" si="23"/>
        <v>MUSC1150</v>
      </c>
      <c r="I712">
        <f t="shared" si="24"/>
        <v>1</v>
      </c>
      <c r="J712" s="158"/>
      <c r="L712" s="158"/>
    </row>
    <row r="713" spans="2:12" ht="16.5">
      <c r="B713" s="21"/>
      <c r="C713" s="21" t="s">
        <v>1521</v>
      </c>
      <c r="D713" s="22"/>
      <c r="E713" s="96" t="s">
        <v>1526</v>
      </c>
      <c r="F713" s="22" t="s">
        <v>1124</v>
      </c>
      <c r="G713" s="67" t="s">
        <v>1081</v>
      </c>
      <c r="H713" t="str">
        <f t="shared" si="23"/>
        <v>MUSC1210</v>
      </c>
      <c r="I713">
        <f t="shared" si="24"/>
        <v>1</v>
      </c>
      <c r="J713" s="158"/>
      <c r="L713" s="158"/>
    </row>
    <row r="714" spans="2:12" ht="16.5">
      <c r="B714" s="45"/>
      <c r="C714" s="21" t="s">
        <v>1521</v>
      </c>
      <c r="D714" s="22"/>
      <c r="E714" s="22" t="s">
        <v>1262</v>
      </c>
      <c r="F714" s="22" t="s">
        <v>1124</v>
      </c>
      <c r="G714" s="23" t="s">
        <v>502</v>
      </c>
      <c r="H714" t="str">
        <f t="shared" si="23"/>
        <v>MUSC1410</v>
      </c>
      <c r="I714">
        <f t="shared" si="24"/>
        <v>1</v>
      </c>
      <c r="J714" s="158"/>
      <c r="L714" s="158"/>
    </row>
    <row r="715" spans="2:12" ht="16.5">
      <c r="B715" s="45"/>
      <c r="C715" s="21" t="s">
        <v>1521</v>
      </c>
      <c r="D715" s="22"/>
      <c r="E715" s="22" t="s">
        <v>1262</v>
      </c>
      <c r="F715" s="22" t="s">
        <v>1124</v>
      </c>
      <c r="G715" s="23" t="s">
        <v>503</v>
      </c>
      <c r="H715" t="str">
        <f t="shared" si="23"/>
        <v>MUSC3380</v>
      </c>
      <c r="I715">
        <f t="shared" si="24"/>
        <v>1</v>
      </c>
      <c r="J715" s="158"/>
      <c r="L715" s="158"/>
    </row>
    <row r="716" spans="2:12" ht="16.5">
      <c r="B716" s="125" t="s">
        <v>110</v>
      </c>
      <c r="C716" s="125" t="s">
        <v>1522</v>
      </c>
      <c r="D716" s="131" t="s">
        <v>540</v>
      </c>
      <c r="E716" s="132" t="s">
        <v>1195</v>
      </c>
      <c r="F716" s="131" t="s">
        <v>1264</v>
      </c>
      <c r="G716" s="133">
        <v>1020</v>
      </c>
      <c r="H716" t="str">
        <f t="shared" si="23"/>
        <v>NFS1020</v>
      </c>
      <c r="I716">
        <f t="shared" si="24"/>
        <v>0</v>
      </c>
      <c r="J716" s="158"/>
      <c r="L716" s="158"/>
    </row>
    <row r="717" spans="2:12" ht="16.5">
      <c r="B717" s="45" t="s">
        <v>110</v>
      </c>
      <c r="C717" s="21" t="s">
        <v>1522</v>
      </c>
      <c r="D717" s="22" t="s">
        <v>540</v>
      </c>
      <c r="E717" s="22" t="s">
        <v>1262</v>
      </c>
      <c r="F717" s="22" t="s">
        <v>1264</v>
      </c>
      <c r="G717" s="23">
        <v>1020</v>
      </c>
      <c r="H717" t="str">
        <f t="shared" si="23"/>
        <v>NFS1020</v>
      </c>
      <c r="I717">
        <f t="shared" si="24"/>
        <v>0</v>
      </c>
      <c r="J717" s="158"/>
      <c r="L717" s="158"/>
    </row>
    <row r="718" spans="2:12" ht="16.5">
      <c r="B718" s="21" t="s">
        <v>110</v>
      </c>
      <c r="C718" s="21" t="s">
        <v>1522</v>
      </c>
      <c r="D718" s="22" t="s">
        <v>540</v>
      </c>
      <c r="E718" s="22" t="s">
        <v>551</v>
      </c>
      <c r="F718" s="22" t="s">
        <v>1264</v>
      </c>
      <c r="G718" s="67">
        <v>1020</v>
      </c>
      <c r="H718" t="str">
        <f t="shared" si="23"/>
        <v>NFS1020</v>
      </c>
      <c r="I718">
        <f t="shared" si="24"/>
        <v>1</v>
      </c>
      <c r="J718" s="158"/>
      <c r="L718" s="158"/>
    </row>
    <row r="719" spans="2:12" ht="16.5">
      <c r="B719" s="58" t="s">
        <v>848</v>
      </c>
      <c r="C719" s="58" t="s">
        <v>1522</v>
      </c>
      <c r="D719" s="61"/>
      <c r="E719" s="22" t="s">
        <v>551</v>
      </c>
      <c r="F719" s="61" t="s">
        <v>1264</v>
      </c>
      <c r="G719" s="69">
        <v>3600</v>
      </c>
      <c r="H719" t="str">
        <f t="shared" si="23"/>
        <v>NFS3600</v>
      </c>
      <c r="I719">
        <f t="shared" si="24"/>
        <v>1</v>
      </c>
      <c r="J719" s="158"/>
      <c r="L719" s="158"/>
    </row>
    <row r="720" spans="2:12" ht="16.5">
      <c r="B720" s="21" t="s">
        <v>127</v>
      </c>
      <c r="C720" s="21" t="s">
        <v>1522</v>
      </c>
      <c r="D720" s="22"/>
      <c r="E720" s="96" t="s">
        <v>1526</v>
      </c>
      <c r="F720" s="22" t="s">
        <v>460</v>
      </c>
      <c r="G720" s="67">
        <v>1000</v>
      </c>
      <c r="H720" t="str">
        <f t="shared" si="23"/>
        <v>NURS 1000</v>
      </c>
      <c r="I720">
        <f t="shared" si="24"/>
        <v>1</v>
      </c>
      <c r="J720" s="158"/>
      <c r="L720" s="158"/>
    </row>
    <row r="721" spans="2:12" ht="16.5">
      <c r="B721" s="21" t="s">
        <v>127</v>
      </c>
      <c r="C721" s="21" t="s">
        <v>1522</v>
      </c>
      <c r="D721" s="22"/>
      <c r="E721" s="22" t="s">
        <v>1195</v>
      </c>
      <c r="F721" s="22" t="s">
        <v>460</v>
      </c>
      <c r="G721" s="67">
        <v>1005</v>
      </c>
      <c r="H721" t="str">
        <f t="shared" si="23"/>
        <v>NURS 1005</v>
      </c>
      <c r="I721">
        <f t="shared" si="24"/>
        <v>1</v>
      </c>
      <c r="J721" s="158"/>
      <c r="L721" s="158"/>
    </row>
    <row r="722" spans="2:12" ht="16.5">
      <c r="B722" s="21" t="s">
        <v>127</v>
      </c>
      <c r="C722" s="21" t="s">
        <v>1522</v>
      </c>
      <c r="D722" s="22"/>
      <c r="E722" s="22" t="s">
        <v>1195</v>
      </c>
      <c r="F722" s="22" t="s">
        <v>460</v>
      </c>
      <c r="G722" s="67">
        <v>1006</v>
      </c>
      <c r="H722" t="str">
        <f t="shared" si="23"/>
        <v>NURS 1006</v>
      </c>
      <c r="I722">
        <f t="shared" si="24"/>
        <v>1</v>
      </c>
      <c r="J722" s="158"/>
      <c r="L722" s="158"/>
    </row>
    <row r="723" spans="2:12" ht="16.5">
      <c r="B723" s="21" t="s">
        <v>127</v>
      </c>
      <c r="C723" s="21" t="s">
        <v>1522</v>
      </c>
      <c r="D723" s="22"/>
      <c r="E723" s="22" t="s">
        <v>1195</v>
      </c>
      <c r="F723" s="22" t="s">
        <v>460</v>
      </c>
      <c r="G723" s="67">
        <v>1007</v>
      </c>
      <c r="H723" t="str">
        <f t="shared" si="23"/>
        <v>NURS 1007</v>
      </c>
      <c r="I723">
        <f t="shared" si="24"/>
        <v>1</v>
      </c>
      <c r="J723" s="158"/>
      <c r="L723" s="158"/>
    </row>
    <row r="724" spans="2:12" ht="16.5">
      <c r="B724" s="21" t="s">
        <v>848</v>
      </c>
      <c r="C724" s="21" t="s">
        <v>1522</v>
      </c>
      <c r="D724" s="22"/>
      <c r="E724" s="96" t="s">
        <v>1526</v>
      </c>
      <c r="F724" s="22" t="s">
        <v>460</v>
      </c>
      <c r="G724" s="67">
        <v>1008</v>
      </c>
      <c r="H724" t="str">
        <f t="shared" si="23"/>
        <v>NURS 1008</v>
      </c>
      <c r="I724">
        <f t="shared" si="24"/>
        <v>1</v>
      </c>
      <c r="J724" s="158"/>
      <c r="L724" s="158"/>
    </row>
    <row r="725" spans="2:12" ht="16.5">
      <c r="B725" s="21" t="s">
        <v>101</v>
      </c>
      <c r="C725" s="21" t="s">
        <v>1521</v>
      </c>
      <c r="D725" s="22"/>
      <c r="E725" s="22" t="s">
        <v>551</v>
      </c>
      <c r="F725" s="22" t="s">
        <v>256</v>
      </c>
      <c r="G725" s="67">
        <v>1400</v>
      </c>
      <c r="H725" t="str">
        <f t="shared" si="23"/>
        <v>OSS1400</v>
      </c>
      <c r="I725">
        <f t="shared" si="24"/>
        <v>1</v>
      </c>
      <c r="J725" s="158"/>
      <c r="L725" s="158"/>
    </row>
    <row r="726" spans="2:12" ht="16.5">
      <c r="B726" s="21" t="s">
        <v>105</v>
      </c>
      <c r="C726" s="21" t="s">
        <v>1522</v>
      </c>
      <c r="D726" s="22"/>
      <c r="E726" s="22" t="s">
        <v>551</v>
      </c>
      <c r="F726" s="22" t="s">
        <v>256</v>
      </c>
      <c r="G726" s="67">
        <v>1420</v>
      </c>
      <c r="H726" t="str">
        <f t="shared" si="23"/>
        <v>OSS1420</v>
      </c>
      <c r="I726">
        <f t="shared" si="24"/>
        <v>1</v>
      </c>
      <c r="J726" s="158"/>
      <c r="L726" s="158"/>
    </row>
    <row r="727" spans="2:12" ht="16.5">
      <c r="B727" s="45" t="s">
        <v>92</v>
      </c>
      <c r="C727" s="21" t="s">
        <v>1522</v>
      </c>
      <c r="D727" s="22"/>
      <c r="E727" s="22" t="s">
        <v>551</v>
      </c>
      <c r="F727" s="22" t="s">
        <v>256</v>
      </c>
      <c r="G727" s="67">
        <v>1550</v>
      </c>
      <c r="H727" t="str">
        <f t="shared" si="23"/>
        <v>OSS1550</v>
      </c>
      <c r="I727">
        <f t="shared" si="24"/>
        <v>1</v>
      </c>
      <c r="J727" s="158"/>
      <c r="L727" s="158"/>
    </row>
    <row r="728" spans="2:12" ht="16.5">
      <c r="B728" s="21" t="s">
        <v>99</v>
      </c>
      <c r="C728" s="21" t="s">
        <v>1522</v>
      </c>
      <c r="D728" s="22"/>
      <c r="E728" s="22" t="s">
        <v>551</v>
      </c>
      <c r="F728" s="22" t="s">
        <v>256</v>
      </c>
      <c r="G728" s="67">
        <v>2450</v>
      </c>
      <c r="H728" t="str">
        <f t="shared" si="23"/>
        <v>OSS2450</v>
      </c>
      <c r="I728">
        <f t="shared" si="24"/>
        <v>1</v>
      </c>
      <c r="J728" s="158"/>
      <c r="L728" s="158"/>
    </row>
    <row r="729" spans="2:12" ht="16.5">
      <c r="B729" s="21" t="s">
        <v>106</v>
      </c>
      <c r="C729" s="58" t="s">
        <v>1522</v>
      </c>
      <c r="D729" s="61"/>
      <c r="E729" s="22" t="s">
        <v>551</v>
      </c>
      <c r="F729" s="61" t="s">
        <v>256</v>
      </c>
      <c r="G729" s="69">
        <v>2520</v>
      </c>
      <c r="H729" t="str">
        <f t="shared" si="23"/>
        <v>OSS2520</v>
      </c>
      <c r="I729">
        <f t="shared" si="24"/>
        <v>1</v>
      </c>
      <c r="J729" s="158"/>
      <c r="L729" s="158"/>
    </row>
    <row r="730" spans="2:12" ht="16.5">
      <c r="B730" s="21" t="s">
        <v>883</v>
      </c>
      <c r="C730" s="21" t="s">
        <v>1522</v>
      </c>
      <c r="D730" s="22"/>
      <c r="E730" s="22" t="s">
        <v>463</v>
      </c>
      <c r="F730" s="22" t="s">
        <v>764</v>
      </c>
      <c r="G730" s="68">
        <v>1020</v>
      </c>
      <c r="H730" t="str">
        <f t="shared" si="23"/>
        <v>OTA1020</v>
      </c>
      <c r="I730">
        <f t="shared" si="24"/>
        <v>1</v>
      </c>
      <c r="J730" s="158"/>
      <c r="L730" s="158"/>
    </row>
    <row r="731" spans="2:12" ht="16.5">
      <c r="B731" s="21" t="s">
        <v>123</v>
      </c>
      <c r="C731" s="21" t="s">
        <v>1522</v>
      </c>
      <c r="D731" s="22"/>
      <c r="E731" s="22" t="s">
        <v>739</v>
      </c>
      <c r="F731" s="22" t="s">
        <v>499</v>
      </c>
      <c r="G731" s="68">
        <v>1000</v>
      </c>
      <c r="H731" t="str">
        <f t="shared" si="23"/>
        <v>PAR 1000</v>
      </c>
      <c r="I731">
        <f t="shared" si="24"/>
        <v>1</v>
      </c>
      <c r="J731" s="158"/>
      <c r="L731" s="158"/>
    </row>
    <row r="732" spans="2:12" ht="16.5">
      <c r="B732" s="21" t="s">
        <v>123</v>
      </c>
      <c r="C732" s="21" t="s">
        <v>1522</v>
      </c>
      <c r="D732" s="22"/>
      <c r="E732" s="22" t="s">
        <v>739</v>
      </c>
      <c r="F732" s="22" t="s">
        <v>499</v>
      </c>
      <c r="G732" s="68" t="s">
        <v>596</v>
      </c>
      <c r="H732" t="str">
        <f t="shared" si="23"/>
        <v>PAR 1001</v>
      </c>
      <c r="I732">
        <f t="shared" si="24"/>
        <v>1</v>
      </c>
      <c r="J732" s="158"/>
      <c r="L732" s="158"/>
    </row>
    <row r="733" spans="2:12" ht="16.5">
      <c r="B733" s="21"/>
      <c r="C733" s="21" t="s">
        <v>1521</v>
      </c>
      <c r="D733" s="22"/>
      <c r="E733" s="96" t="s">
        <v>1526</v>
      </c>
      <c r="F733" s="22" t="s">
        <v>1194</v>
      </c>
      <c r="G733" s="67">
        <v>1097</v>
      </c>
      <c r="H733" t="str">
        <f t="shared" si="23"/>
        <v>PE1097</v>
      </c>
      <c r="I733">
        <f t="shared" si="24"/>
        <v>1</v>
      </c>
      <c r="J733" s="158"/>
      <c r="L733" s="158"/>
    </row>
    <row r="734" spans="2:12" ht="16.5">
      <c r="B734" s="21" t="s">
        <v>883</v>
      </c>
      <c r="C734" s="21" t="s">
        <v>1522</v>
      </c>
      <c r="D734" s="22"/>
      <c r="E734" s="96" t="s">
        <v>1526</v>
      </c>
      <c r="F734" s="22" t="s">
        <v>1194</v>
      </c>
      <c r="G734" s="67">
        <v>2710</v>
      </c>
      <c r="H734" t="str">
        <f t="shared" si="23"/>
        <v>PE2710</v>
      </c>
      <c r="I734">
        <f t="shared" si="24"/>
        <v>1</v>
      </c>
      <c r="J734" s="158"/>
      <c r="L734" s="158"/>
    </row>
    <row r="735" spans="2:12" ht="16.5">
      <c r="B735" s="58"/>
      <c r="C735" s="58" t="s">
        <v>1522</v>
      </c>
      <c r="D735" s="61"/>
      <c r="E735" s="22" t="s">
        <v>463</v>
      </c>
      <c r="F735" s="61" t="s">
        <v>282</v>
      </c>
      <c r="G735" s="69">
        <v>1010</v>
      </c>
      <c r="H735" t="str">
        <f t="shared" si="23"/>
        <v>PED1010</v>
      </c>
      <c r="I735">
        <f t="shared" si="24"/>
        <v>1</v>
      </c>
      <c r="J735" s="158"/>
      <c r="L735" s="158"/>
    </row>
    <row r="736" spans="2:12" ht="16.5">
      <c r="B736" s="58"/>
      <c r="C736" s="58" t="s">
        <v>1522</v>
      </c>
      <c r="D736" s="61"/>
      <c r="E736" s="22" t="s">
        <v>463</v>
      </c>
      <c r="F736" s="61" t="s">
        <v>282</v>
      </c>
      <c r="G736" s="69">
        <v>2150</v>
      </c>
      <c r="H736" t="str">
        <f t="shared" si="23"/>
        <v>PED2150</v>
      </c>
      <c r="I736">
        <f t="shared" si="24"/>
        <v>1</v>
      </c>
      <c r="J736" s="158"/>
      <c r="L736" s="158"/>
    </row>
    <row r="737" spans="2:12" ht="16.5">
      <c r="B737" s="58"/>
      <c r="C737" s="58" t="s">
        <v>1522</v>
      </c>
      <c r="D737" s="61"/>
      <c r="E737" s="22" t="s">
        <v>463</v>
      </c>
      <c r="F737" s="61" t="s">
        <v>282</v>
      </c>
      <c r="G737" s="69">
        <v>2160</v>
      </c>
      <c r="H737" t="str">
        <f t="shared" si="23"/>
        <v>PED2160</v>
      </c>
      <c r="I737">
        <f t="shared" si="24"/>
        <v>1</v>
      </c>
      <c r="J737" s="158"/>
      <c r="L737" s="158"/>
    </row>
    <row r="738" spans="2:12" ht="16.5">
      <c r="B738" s="21" t="s">
        <v>883</v>
      </c>
      <c r="C738" s="21" t="s">
        <v>1522</v>
      </c>
      <c r="D738" s="22"/>
      <c r="E738" s="22" t="s">
        <v>1586</v>
      </c>
      <c r="F738" s="22" t="s">
        <v>679</v>
      </c>
      <c r="G738" s="67">
        <v>2400</v>
      </c>
      <c r="H738" t="str">
        <f t="shared" si="23"/>
        <v>PES2400</v>
      </c>
      <c r="I738">
        <f t="shared" si="24"/>
        <v>1</v>
      </c>
      <c r="J738" s="158"/>
      <c r="L738" s="158"/>
    </row>
    <row r="739" spans="2:12" ht="16.5">
      <c r="B739" s="21"/>
      <c r="C739" s="21" t="s">
        <v>1521</v>
      </c>
      <c r="D739" s="22"/>
      <c r="E739" s="22" t="s">
        <v>551</v>
      </c>
      <c r="F739" s="22" t="s">
        <v>554</v>
      </c>
      <c r="G739" s="67">
        <v>1050</v>
      </c>
      <c r="H739" t="str">
        <f t="shared" si="23"/>
        <v>PFP1050</v>
      </c>
      <c r="I739">
        <f t="shared" si="24"/>
        <v>1</v>
      </c>
      <c r="J739" s="158"/>
      <c r="L739" s="158"/>
    </row>
    <row r="740" spans="2:12" ht="16.5">
      <c r="B740" s="21"/>
      <c r="C740" s="21" t="s">
        <v>1522</v>
      </c>
      <c r="D740" s="22" t="s">
        <v>534</v>
      </c>
      <c r="E740" s="96" t="s">
        <v>1526</v>
      </c>
      <c r="F740" s="22" t="s">
        <v>426</v>
      </c>
      <c r="G740" s="67">
        <v>1000</v>
      </c>
      <c r="H740" t="str">
        <f t="shared" si="23"/>
        <v>PHIL1000</v>
      </c>
      <c r="I740">
        <f t="shared" si="24"/>
        <v>0</v>
      </c>
      <c r="J740" s="158"/>
      <c r="L740" s="158"/>
    </row>
    <row r="741" spans="2:12" ht="16.5">
      <c r="B741" s="21"/>
      <c r="C741" s="21" t="s">
        <v>1522</v>
      </c>
      <c r="D741" s="22" t="s">
        <v>534</v>
      </c>
      <c r="E741" s="22" t="s">
        <v>1586</v>
      </c>
      <c r="F741" s="22" t="s">
        <v>426</v>
      </c>
      <c r="G741" s="67">
        <v>1000</v>
      </c>
      <c r="H741" t="str">
        <f t="shared" si="23"/>
        <v>PHIL1000</v>
      </c>
      <c r="I741">
        <f t="shared" si="24"/>
        <v>1</v>
      </c>
      <c r="J741" s="158"/>
      <c r="L741" s="158"/>
    </row>
    <row r="742" spans="2:12" ht="16.5">
      <c r="B742" s="21"/>
      <c r="C742" s="21" t="s">
        <v>1522</v>
      </c>
      <c r="D742" s="22" t="s">
        <v>1331</v>
      </c>
      <c r="E742" s="22" t="s">
        <v>1586</v>
      </c>
      <c r="F742" s="22" t="s">
        <v>426</v>
      </c>
      <c r="G742" s="67" t="s">
        <v>439</v>
      </c>
      <c r="H742" t="str">
        <f t="shared" si="23"/>
        <v>PHIL2050</v>
      </c>
      <c r="I742">
        <f t="shared" si="24"/>
        <v>1</v>
      </c>
      <c r="J742" s="158"/>
      <c r="L742" s="158"/>
    </row>
    <row r="743" spans="2:12" ht="16.5">
      <c r="B743" s="21"/>
      <c r="C743" s="21" t="s">
        <v>1522</v>
      </c>
      <c r="D743" s="22" t="s">
        <v>1332</v>
      </c>
      <c r="E743" s="22" t="s">
        <v>1261</v>
      </c>
      <c r="F743" s="22" t="s">
        <v>733</v>
      </c>
      <c r="G743" s="67">
        <v>1000</v>
      </c>
      <c r="H743" t="str">
        <f t="shared" si="23"/>
        <v>PHSC1000</v>
      </c>
      <c r="I743">
        <f t="shared" si="24"/>
        <v>0</v>
      </c>
      <c r="J743" s="158"/>
      <c r="L743" s="158"/>
    </row>
    <row r="744" spans="2:12" ht="16.5">
      <c r="B744" s="21"/>
      <c r="C744" s="21" t="s">
        <v>1522</v>
      </c>
      <c r="D744" s="22" t="s">
        <v>1332</v>
      </c>
      <c r="E744" s="22" t="s">
        <v>1586</v>
      </c>
      <c r="F744" s="22" t="s">
        <v>733</v>
      </c>
      <c r="G744" s="67">
        <v>1000</v>
      </c>
      <c r="H744" t="str">
        <f t="shared" si="23"/>
        <v>PHSC1000</v>
      </c>
      <c r="I744">
        <f t="shared" si="24"/>
        <v>1</v>
      </c>
      <c r="J744" s="158"/>
      <c r="L744" s="158"/>
    </row>
    <row r="745" spans="2:12" ht="16.5">
      <c r="B745" s="21"/>
      <c r="C745" s="21" t="s">
        <v>1521</v>
      </c>
      <c r="D745" s="22" t="s">
        <v>1332</v>
      </c>
      <c r="E745" s="96" t="s">
        <v>1526</v>
      </c>
      <c r="F745" s="22" t="s">
        <v>427</v>
      </c>
      <c r="G745" s="67" t="s">
        <v>1528</v>
      </c>
      <c r="H745" t="str">
        <f t="shared" si="23"/>
        <v>PHYS1010</v>
      </c>
      <c r="I745">
        <f t="shared" si="24"/>
        <v>0</v>
      </c>
      <c r="J745" s="158"/>
      <c r="L745" s="158"/>
    </row>
    <row r="746" spans="2:12" ht="16.5">
      <c r="B746" s="21"/>
      <c r="C746" s="21" t="s">
        <v>1522</v>
      </c>
      <c r="D746" s="22" t="s">
        <v>1332</v>
      </c>
      <c r="E746" s="22" t="s">
        <v>1195</v>
      </c>
      <c r="F746" s="22" t="s">
        <v>427</v>
      </c>
      <c r="G746" s="67">
        <v>1010</v>
      </c>
      <c r="H746" t="str">
        <f t="shared" si="23"/>
        <v>PHYS1010</v>
      </c>
      <c r="I746">
        <f t="shared" si="24"/>
        <v>0</v>
      </c>
      <c r="J746" s="158"/>
      <c r="L746" s="158"/>
    </row>
    <row r="747" spans="2:12" ht="16.5">
      <c r="B747" s="21"/>
      <c r="C747" s="21" t="s">
        <v>1522</v>
      </c>
      <c r="D747" s="22" t="s">
        <v>1332</v>
      </c>
      <c r="E747" s="22" t="s">
        <v>463</v>
      </c>
      <c r="F747" s="22" t="s">
        <v>427</v>
      </c>
      <c r="G747" s="68">
        <v>1010</v>
      </c>
      <c r="H747" t="str">
        <f t="shared" si="23"/>
        <v>PHYS1010</v>
      </c>
      <c r="I747">
        <f t="shared" si="24"/>
        <v>0</v>
      </c>
      <c r="J747" s="158"/>
      <c r="L747" s="158"/>
    </row>
    <row r="748" spans="2:12" ht="16.5">
      <c r="B748" s="21"/>
      <c r="C748" s="21" t="s">
        <v>1521</v>
      </c>
      <c r="D748" s="22" t="s">
        <v>1332</v>
      </c>
      <c r="E748" s="22" t="s">
        <v>1261</v>
      </c>
      <c r="F748" s="22" t="s">
        <v>427</v>
      </c>
      <c r="G748" s="67">
        <v>1010</v>
      </c>
      <c r="H748" t="str">
        <f t="shared" si="23"/>
        <v>PHYS1010</v>
      </c>
      <c r="I748">
        <f t="shared" si="24"/>
        <v>0</v>
      </c>
      <c r="J748" s="158"/>
      <c r="L748" s="158"/>
    </row>
    <row r="749" spans="2:12" ht="16.5">
      <c r="B749" s="58"/>
      <c r="C749" s="58" t="s">
        <v>1522</v>
      </c>
      <c r="D749" s="61" t="s">
        <v>1332</v>
      </c>
      <c r="E749" s="22" t="s">
        <v>1262</v>
      </c>
      <c r="F749" s="61" t="s">
        <v>427</v>
      </c>
      <c r="G749" s="69">
        <v>1010</v>
      </c>
      <c r="H749" t="str">
        <f t="shared" si="23"/>
        <v>PHYS1010</v>
      </c>
      <c r="I749">
        <f t="shared" si="24"/>
        <v>0</v>
      </c>
      <c r="J749" s="158"/>
      <c r="L749" s="158"/>
    </row>
    <row r="750" spans="2:12" ht="16.5">
      <c r="B750" s="21"/>
      <c r="C750" s="21" t="s">
        <v>1522</v>
      </c>
      <c r="D750" s="22" t="s">
        <v>1332</v>
      </c>
      <c r="E750" s="22" t="s">
        <v>1586</v>
      </c>
      <c r="F750" s="22" t="s">
        <v>427</v>
      </c>
      <c r="G750" s="68">
        <v>1010</v>
      </c>
      <c r="H750" t="str">
        <f t="shared" si="23"/>
        <v>PHYS1010</v>
      </c>
      <c r="I750">
        <f t="shared" si="24"/>
        <v>1</v>
      </c>
      <c r="J750" s="158"/>
      <c r="L750" s="158"/>
    </row>
    <row r="751" spans="2:12" ht="16.5">
      <c r="B751" s="21"/>
      <c r="C751" s="21" t="s">
        <v>1521</v>
      </c>
      <c r="D751" s="22" t="s">
        <v>1332</v>
      </c>
      <c r="E751" s="96" t="s">
        <v>1526</v>
      </c>
      <c r="F751" s="22" t="s">
        <v>427</v>
      </c>
      <c r="G751" s="67">
        <v>1015</v>
      </c>
      <c r="H751" t="str">
        <f t="shared" si="23"/>
        <v>PHYS1015</v>
      </c>
      <c r="I751">
        <f t="shared" si="24"/>
        <v>0</v>
      </c>
      <c r="J751" s="158"/>
      <c r="L751" s="158"/>
    </row>
    <row r="752" spans="2:12" ht="16.5">
      <c r="B752" s="21"/>
      <c r="C752" s="21" t="s">
        <v>1521</v>
      </c>
      <c r="D752" s="22"/>
      <c r="E752" s="22" t="s">
        <v>1261</v>
      </c>
      <c r="F752" s="22" t="s">
        <v>427</v>
      </c>
      <c r="G752" s="68">
        <v>1015</v>
      </c>
      <c r="H752" t="str">
        <f t="shared" ref="H752:H815" si="25">CONCATENATE(F752,G752)</f>
        <v>PHYS1015</v>
      </c>
      <c r="I752">
        <f t="shared" si="24"/>
        <v>1</v>
      </c>
      <c r="J752" s="159" t="s">
        <v>1897</v>
      </c>
      <c r="L752" s="159" t="s">
        <v>1897</v>
      </c>
    </row>
    <row r="753" spans="2:12" ht="16.5">
      <c r="B753" s="125"/>
      <c r="C753" s="125" t="s">
        <v>1522</v>
      </c>
      <c r="D753" s="131" t="s">
        <v>1332</v>
      </c>
      <c r="E753" s="132" t="s">
        <v>1526</v>
      </c>
      <c r="F753" s="131" t="s">
        <v>427</v>
      </c>
      <c r="G753" s="133">
        <v>1040</v>
      </c>
      <c r="H753" t="str">
        <f t="shared" si="25"/>
        <v>PHYS1040</v>
      </c>
      <c r="I753">
        <f t="shared" ref="I753:I816" si="26">IF(H753=H754,0,1)</f>
        <v>0</v>
      </c>
      <c r="J753" s="158"/>
      <c r="L753" s="158"/>
    </row>
    <row r="754" spans="2:12" ht="16.5">
      <c r="B754" s="21"/>
      <c r="C754" s="21" t="s">
        <v>1522</v>
      </c>
      <c r="D754" s="22" t="s">
        <v>1332</v>
      </c>
      <c r="E754" s="22" t="s">
        <v>1195</v>
      </c>
      <c r="F754" s="22" t="s">
        <v>427</v>
      </c>
      <c r="G754" s="67">
        <v>1040</v>
      </c>
      <c r="H754" t="str">
        <f t="shared" si="25"/>
        <v>PHYS1040</v>
      </c>
      <c r="I754">
        <f t="shared" si="26"/>
        <v>0</v>
      </c>
      <c r="J754" s="158"/>
      <c r="L754" s="158"/>
    </row>
    <row r="755" spans="2:12" ht="16.5">
      <c r="B755" s="21"/>
      <c r="C755" s="21" t="s">
        <v>1522</v>
      </c>
      <c r="D755" s="24" t="s">
        <v>1332</v>
      </c>
      <c r="E755" s="22" t="s">
        <v>463</v>
      </c>
      <c r="F755" s="22" t="s">
        <v>427</v>
      </c>
      <c r="G755" s="68">
        <v>1040</v>
      </c>
      <c r="H755" t="str">
        <f t="shared" si="25"/>
        <v>PHYS1040</v>
      </c>
      <c r="I755">
        <f t="shared" si="26"/>
        <v>0</v>
      </c>
      <c r="J755" s="158"/>
      <c r="L755" s="158"/>
    </row>
    <row r="756" spans="2:12" ht="16.5">
      <c r="B756" s="21"/>
      <c r="C756" s="21" t="s">
        <v>1522</v>
      </c>
      <c r="D756" s="22"/>
      <c r="E756" s="22" t="s">
        <v>1262</v>
      </c>
      <c r="F756" s="96" t="s">
        <v>427</v>
      </c>
      <c r="G756" s="67">
        <v>1040</v>
      </c>
      <c r="H756" t="str">
        <f t="shared" si="25"/>
        <v>PHYS1040</v>
      </c>
      <c r="I756">
        <f t="shared" si="26"/>
        <v>0</v>
      </c>
      <c r="J756" s="158"/>
      <c r="L756" s="158"/>
    </row>
    <row r="757" spans="2:12" ht="16.5">
      <c r="B757" s="21"/>
      <c r="C757" s="21" t="s">
        <v>1522</v>
      </c>
      <c r="D757" s="22"/>
      <c r="E757" s="22" t="s">
        <v>1586</v>
      </c>
      <c r="F757" s="22" t="s">
        <v>427</v>
      </c>
      <c r="G757" s="67">
        <v>1040</v>
      </c>
      <c r="H757" t="str">
        <f t="shared" si="25"/>
        <v>PHYS1040</v>
      </c>
      <c r="I757">
        <f t="shared" si="26"/>
        <v>1</v>
      </c>
      <c r="J757" s="158"/>
      <c r="L757" s="158"/>
    </row>
    <row r="758" spans="2:12" ht="16.5">
      <c r="B758" s="21"/>
      <c r="C758" s="21" t="s">
        <v>1521</v>
      </c>
      <c r="D758" s="22"/>
      <c r="E758" s="22" t="s">
        <v>1195</v>
      </c>
      <c r="F758" s="22" t="s">
        <v>427</v>
      </c>
      <c r="G758" s="67">
        <v>1045</v>
      </c>
      <c r="H758" t="str">
        <f t="shared" si="25"/>
        <v>PHYS1045</v>
      </c>
      <c r="I758">
        <f t="shared" si="26"/>
        <v>1</v>
      </c>
      <c r="J758" s="159" t="s">
        <v>1897</v>
      </c>
      <c r="L758" s="159" t="s">
        <v>1897</v>
      </c>
    </row>
    <row r="759" spans="2:12" ht="16.5">
      <c r="B759" s="21"/>
      <c r="C759" s="21" t="s">
        <v>1521</v>
      </c>
      <c r="D759" s="22" t="s">
        <v>1332</v>
      </c>
      <c r="E759" s="22" t="s">
        <v>551</v>
      </c>
      <c r="F759" s="22" t="s">
        <v>427</v>
      </c>
      <c r="G759" s="67">
        <v>1200</v>
      </c>
      <c r="H759" t="str">
        <f t="shared" si="25"/>
        <v>PHYS1200</v>
      </c>
      <c r="I759">
        <f t="shared" si="26"/>
        <v>1</v>
      </c>
      <c r="J759" s="158"/>
      <c r="L759" s="158"/>
    </row>
    <row r="760" spans="2:12" ht="16.5">
      <c r="B760" s="21"/>
      <c r="C760" s="21" t="s">
        <v>1522</v>
      </c>
      <c r="D760" s="22" t="s">
        <v>1332</v>
      </c>
      <c r="E760" s="22" t="s">
        <v>1195</v>
      </c>
      <c r="F760" s="96" t="s">
        <v>427</v>
      </c>
      <c r="G760" s="67">
        <v>2010</v>
      </c>
      <c r="H760" t="str">
        <f t="shared" si="25"/>
        <v>PHYS2010</v>
      </c>
      <c r="I760">
        <f t="shared" si="26"/>
        <v>1</v>
      </c>
      <c r="J760" s="158"/>
      <c r="L760" s="158"/>
    </row>
    <row r="761" spans="2:12" ht="16.5">
      <c r="B761" s="21"/>
      <c r="C761" s="21" t="s">
        <v>1522</v>
      </c>
      <c r="D761" s="22"/>
      <c r="E761" s="22" t="s">
        <v>1195</v>
      </c>
      <c r="F761" s="96" t="s">
        <v>427</v>
      </c>
      <c r="G761" s="67">
        <v>2015</v>
      </c>
      <c r="H761" t="str">
        <f t="shared" si="25"/>
        <v>PHYS2015</v>
      </c>
      <c r="I761">
        <f t="shared" si="26"/>
        <v>1</v>
      </c>
      <c r="J761" s="159" t="s">
        <v>1897</v>
      </c>
      <c r="L761" s="159" t="s">
        <v>1897</v>
      </c>
    </row>
    <row r="762" spans="2:12" ht="16.5">
      <c r="B762" s="125"/>
      <c r="C762" s="125" t="s">
        <v>1522</v>
      </c>
      <c r="D762" s="131" t="s">
        <v>1332</v>
      </c>
      <c r="E762" s="132" t="s">
        <v>1195</v>
      </c>
      <c r="F762" s="131" t="s">
        <v>427</v>
      </c>
      <c r="G762" s="133">
        <v>2020</v>
      </c>
      <c r="H762" t="str">
        <f t="shared" si="25"/>
        <v>PHYS2020</v>
      </c>
      <c r="I762">
        <f t="shared" si="26"/>
        <v>1</v>
      </c>
      <c r="J762" s="158"/>
      <c r="L762" s="158"/>
    </row>
    <row r="763" spans="2:12" ht="16.5">
      <c r="B763" s="125"/>
      <c r="C763" s="125" t="s">
        <v>1522</v>
      </c>
      <c r="D763" s="131"/>
      <c r="E763" s="132" t="s">
        <v>1195</v>
      </c>
      <c r="F763" s="131" t="s">
        <v>427</v>
      </c>
      <c r="G763" s="133">
        <v>2025</v>
      </c>
      <c r="H763" t="str">
        <f t="shared" si="25"/>
        <v>PHYS2025</v>
      </c>
      <c r="I763">
        <f t="shared" si="26"/>
        <v>1</v>
      </c>
      <c r="J763" s="159" t="s">
        <v>1897</v>
      </c>
      <c r="L763" s="159" t="s">
        <v>1897</v>
      </c>
    </row>
    <row r="764" spans="2:12" ht="16.5">
      <c r="B764" s="125"/>
      <c r="C764" s="125" t="s">
        <v>1522</v>
      </c>
      <c r="D764" s="131" t="s">
        <v>1332</v>
      </c>
      <c r="E764" s="132" t="s">
        <v>1195</v>
      </c>
      <c r="F764" s="131" t="s">
        <v>427</v>
      </c>
      <c r="G764" s="133">
        <v>2210</v>
      </c>
      <c r="H764" t="str">
        <f t="shared" si="25"/>
        <v>PHYS2210</v>
      </c>
      <c r="I764">
        <f t="shared" si="26"/>
        <v>0</v>
      </c>
      <c r="J764" s="158"/>
      <c r="L764" s="158"/>
    </row>
    <row r="765" spans="2:12" ht="16.5">
      <c r="B765" s="21"/>
      <c r="C765" s="21" t="s">
        <v>1522</v>
      </c>
      <c r="D765" s="22"/>
      <c r="E765" s="22" t="s">
        <v>797</v>
      </c>
      <c r="F765" s="22" t="s">
        <v>427</v>
      </c>
      <c r="G765" s="67">
        <v>2210</v>
      </c>
      <c r="H765" t="str">
        <f t="shared" si="25"/>
        <v>PHYS2210</v>
      </c>
      <c r="I765">
        <f t="shared" si="26"/>
        <v>1</v>
      </c>
      <c r="J765" s="158"/>
      <c r="L765" s="158"/>
    </row>
    <row r="766" spans="2:12" ht="16.5">
      <c r="B766" s="125"/>
      <c r="C766" s="125" t="s">
        <v>1522</v>
      </c>
      <c r="D766" s="131"/>
      <c r="E766" s="132" t="s">
        <v>1195</v>
      </c>
      <c r="F766" s="131" t="s">
        <v>427</v>
      </c>
      <c r="G766" s="133">
        <v>2215</v>
      </c>
      <c r="H766" t="str">
        <f t="shared" si="25"/>
        <v>PHYS2215</v>
      </c>
      <c r="I766">
        <f t="shared" si="26"/>
        <v>1</v>
      </c>
      <c r="J766" s="159" t="s">
        <v>1897</v>
      </c>
      <c r="L766" s="159" t="s">
        <v>1897</v>
      </c>
    </row>
    <row r="767" spans="2:12" ht="16.5">
      <c r="B767" s="21"/>
      <c r="C767" s="21" t="s">
        <v>1522</v>
      </c>
      <c r="D767" s="22"/>
      <c r="E767" s="22" t="s">
        <v>797</v>
      </c>
      <c r="F767" s="22" t="s">
        <v>427</v>
      </c>
      <c r="G767" s="67">
        <v>2220</v>
      </c>
      <c r="H767" t="str">
        <f t="shared" si="25"/>
        <v>PHYS2220</v>
      </c>
      <c r="I767">
        <f t="shared" si="26"/>
        <v>1</v>
      </c>
      <c r="J767" s="158"/>
      <c r="L767" s="158"/>
    </row>
    <row r="768" spans="2:12" ht="16.5">
      <c r="B768" s="21" t="s">
        <v>1450</v>
      </c>
      <c r="C768" s="21" t="s">
        <v>1522</v>
      </c>
      <c r="D768" s="22"/>
      <c r="E768" s="22" t="s">
        <v>463</v>
      </c>
      <c r="F768" s="22" t="s">
        <v>702</v>
      </c>
      <c r="G768" s="68">
        <v>1020</v>
      </c>
      <c r="H768" t="str">
        <f t="shared" si="25"/>
        <v>PILT1020</v>
      </c>
      <c r="I768">
        <f t="shared" si="26"/>
        <v>1</v>
      </c>
      <c r="J768" s="158"/>
      <c r="L768" s="158"/>
    </row>
    <row r="769" spans="2:12" ht="16.5">
      <c r="B769" s="21" t="s">
        <v>1450</v>
      </c>
      <c r="C769" s="21" t="s">
        <v>1522</v>
      </c>
      <c r="D769" s="22"/>
      <c r="E769" s="22" t="s">
        <v>463</v>
      </c>
      <c r="F769" s="22" t="s">
        <v>702</v>
      </c>
      <c r="G769" s="68">
        <v>1040</v>
      </c>
      <c r="H769" t="str">
        <f t="shared" si="25"/>
        <v>PILT1040</v>
      </c>
      <c r="I769">
        <f t="shared" si="26"/>
        <v>1</v>
      </c>
      <c r="J769" s="158"/>
      <c r="L769" s="158"/>
    </row>
    <row r="770" spans="2:12" ht="16.5">
      <c r="B770" s="21" t="s">
        <v>1450</v>
      </c>
      <c r="C770" s="21" t="s">
        <v>1522</v>
      </c>
      <c r="D770" s="22"/>
      <c r="E770" s="22" t="s">
        <v>463</v>
      </c>
      <c r="F770" s="22" t="s">
        <v>702</v>
      </c>
      <c r="G770" s="68" t="s">
        <v>1119</v>
      </c>
      <c r="H770" t="str">
        <f t="shared" si="25"/>
        <v>PILT1050</v>
      </c>
      <c r="I770">
        <f t="shared" si="26"/>
        <v>1</v>
      </c>
      <c r="J770" s="158"/>
      <c r="L770" s="158"/>
    </row>
    <row r="771" spans="2:12" ht="16.5">
      <c r="B771" s="21" t="s">
        <v>1450</v>
      </c>
      <c r="C771" s="21" t="s">
        <v>1522</v>
      </c>
      <c r="D771" s="22"/>
      <c r="E771" s="22" t="s">
        <v>463</v>
      </c>
      <c r="F771" s="22" t="s">
        <v>702</v>
      </c>
      <c r="G771" s="68" t="s">
        <v>1078</v>
      </c>
      <c r="H771" t="str">
        <f t="shared" si="25"/>
        <v>PILT1100</v>
      </c>
      <c r="I771">
        <f t="shared" si="26"/>
        <v>1</v>
      </c>
      <c r="J771" s="158"/>
      <c r="L771" s="158"/>
    </row>
    <row r="772" spans="2:12" ht="16.5">
      <c r="B772" s="21" t="s">
        <v>1450</v>
      </c>
      <c r="C772" s="21" t="s">
        <v>1522</v>
      </c>
      <c r="D772" s="22"/>
      <c r="E772" s="22" t="s">
        <v>463</v>
      </c>
      <c r="F772" s="22" t="s">
        <v>702</v>
      </c>
      <c r="G772" s="68">
        <v>1140</v>
      </c>
      <c r="H772" t="str">
        <f t="shared" si="25"/>
        <v>PILT1140</v>
      </c>
      <c r="I772">
        <f t="shared" si="26"/>
        <v>1</v>
      </c>
      <c r="J772" s="158"/>
      <c r="L772" s="158"/>
    </row>
    <row r="773" spans="2:12" ht="16.5">
      <c r="B773" s="125" t="s">
        <v>1450</v>
      </c>
      <c r="C773" s="125" t="s">
        <v>1522</v>
      </c>
      <c r="D773" s="131"/>
      <c r="E773" s="132" t="s">
        <v>463</v>
      </c>
      <c r="F773" s="131" t="s">
        <v>702</v>
      </c>
      <c r="G773" s="133">
        <v>1420</v>
      </c>
      <c r="H773" t="str">
        <f t="shared" si="25"/>
        <v>PILT1420</v>
      </c>
      <c r="I773">
        <f t="shared" si="26"/>
        <v>1</v>
      </c>
      <c r="J773" s="158"/>
      <c r="L773" s="158"/>
    </row>
    <row r="774" spans="2:12" ht="16.5">
      <c r="B774" s="21" t="s">
        <v>566</v>
      </c>
      <c r="C774" s="21" t="s">
        <v>1522</v>
      </c>
      <c r="D774" s="22"/>
      <c r="E774" s="22" t="s">
        <v>463</v>
      </c>
      <c r="F774" s="22" t="s">
        <v>381</v>
      </c>
      <c r="G774" s="68">
        <v>1110</v>
      </c>
      <c r="H774" t="str">
        <f t="shared" si="25"/>
        <v>PLI1110</v>
      </c>
      <c r="I774">
        <f t="shared" si="26"/>
        <v>1</v>
      </c>
      <c r="J774" s="158"/>
      <c r="L774" s="158"/>
    </row>
    <row r="775" spans="2:12" ht="16.5">
      <c r="B775" s="21"/>
      <c r="C775" s="21" t="s">
        <v>1522</v>
      </c>
      <c r="D775" s="22"/>
      <c r="E775" s="22" t="s">
        <v>463</v>
      </c>
      <c r="F775" s="22" t="s">
        <v>381</v>
      </c>
      <c r="G775" s="68">
        <v>1470</v>
      </c>
      <c r="H775" t="str">
        <f t="shared" si="25"/>
        <v>PLI1470</v>
      </c>
      <c r="I775">
        <f t="shared" si="26"/>
        <v>1</v>
      </c>
      <c r="J775" s="158"/>
      <c r="L775" s="158"/>
    </row>
    <row r="776" spans="2:12" ht="16.5">
      <c r="B776" s="21" t="s">
        <v>562</v>
      </c>
      <c r="C776" s="21" t="s">
        <v>1522</v>
      </c>
      <c r="D776" s="22"/>
      <c r="E776" s="22" t="s">
        <v>463</v>
      </c>
      <c r="F776" s="22" t="s">
        <v>868</v>
      </c>
      <c r="G776" s="68" t="s">
        <v>1528</v>
      </c>
      <c r="H776" t="str">
        <f t="shared" si="25"/>
        <v>PLS1010</v>
      </c>
      <c r="I776">
        <f t="shared" si="26"/>
        <v>1</v>
      </c>
      <c r="J776" s="158"/>
      <c r="L776" s="158"/>
    </row>
    <row r="777" spans="2:12" ht="16.5">
      <c r="B777" s="21" t="s">
        <v>408</v>
      </c>
      <c r="C777" s="21" t="s">
        <v>1522</v>
      </c>
      <c r="D777" s="22" t="s">
        <v>540</v>
      </c>
      <c r="E777" s="22" t="s">
        <v>551</v>
      </c>
      <c r="F777" s="22" t="s">
        <v>738</v>
      </c>
      <c r="G777" s="67">
        <v>2100</v>
      </c>
      <c r="H777" t="str">
        <f t="shared" si="25"/>
        <v>PLSC2100</v>
      </c>
      <c r="I777">
        <f t="shared" si="26"/>
        <v>1</v>
      </c>
      <c r="J777" s="158"/>
      <c r="L777" s="158"/>
    </row>
    <row r="778" spans="2:12" ht="16.5">
      <c r="B778" s="21" t="s">
        <v>85</v>
      </c>
      <c r="C778" s="21" t="s">
        <v>1522</v>
      </c>
      <c r="D778" s="22"/>
      <c r="E778" s="22" t="s">
        <v>551</v>
      </c>
      <c r="F778" s="22" t="s">
        <v>738</v>
      </c>
      <c r="G778" s="67">
        <v>2900</v>
      </c>
      <c r="H778" t="str">
        <f t="shared" si="25"/>
        <v>PLSC2900</v>
      </c>
      <c r="I778">
        <f t="shared" si="26"/>
        <v>0</v>
      </c>
      <c r="J778" s="158"/>
      <c r="L778" s="158"/>
    </row>
    <row r="779" spans="2:12" ht="16.5">
      <c r="B779" s="21" t="s">
        <v>86</v>
      </c>
      <c r="C779" s="21" t="s">
        <v>1522</v>
      </c>
      <c r="D779" s="22"/>
      <c r="E779" s="22" t="s">
        <v>551</v>
      </c>
      <c r="F779" s="22" t="s">
        <v>738</v>
      </c>
      <c r="G779" s="67">
        <v>2900</v>
      </c>
      <c r="H779" t="str">
        <f t="shared" si="25"/>
        <v>PLSC2900</v>
      </c>
      <c r="I779">
        <f t="shared" si="26"/>
        <v>1</v>
      </c>
      <c r="J779" s="158"/>
      <c r="L779" s="158"/>
    </row>
    <row r="780" spans="2:12" ht="16.5">
      <c r="B780" s="21"/>
      <c r="C780" s="21" t="s">
        <v>1522</v>
      </c>
      <c r="D780" s="22"/>
      <c r="E780" s="22" t="s">
        <v>739</v>
      </c>
      <c r="F780" s="22" t="s">
        <v>494</v>
      </c>
      <c r="G780" s="68" t="s">
        <v>458</v>
      </c>
      <c r="H780" t="str">
        <f t="shared" si="25"/>
        <v>POLS 2060</v>
      </c>
      <c r="I780">
        <f t="shared" si="26"/>
        <v>1</v>
      </c>
      <c r="J780" s="158"/>
      <c r="L780" s="158"/>
    </row>
    <row r="781" spans="2:12" ht="16.5">
      <c r="B781" s="21"/>
      <c r="C781" s="21" t="s">
        <v>1521</v>
      </c>
      <c r="D781" s="22" t="s">
        <v>70</v>
      </c>
      <c r="E781" s="96" t="s">
        <v>1526</v>
      </c>
      <c r="F781" s="22" t="s">
        <v>196</v>
      </c>
      <c r="G781" s="67">
        <v>1100</v>
      </c>
      <c r="H781" t="str">
        <f t="shared" si="25"/>
        <v>POLS1100</v>
      </c>
      <c r="I781">
        <f t="shared" si="26"/>
        <v>0</v>
      </c>
      <c r="J781" s="158"/>
      <c r="L781" s="158"/>
    </row>
    <row r="782" spans="2:12" ht="16.5">
      <c r="B782" s="21"/>
      <c r="C782" s="21" t="s">
        <v>1521</v>
      </c>
      <c r="D782" s="22" t="s">
        <v>70</v>
      </c>
      <c r="E782" s="22" t="s">
        <v>1195</v>
      </c>
      <c r="F782" s="96" t="s">
        <v>196</v>
      </c>
      <c r="G782" s="67">
        <v>1100</v>
      </c>
      <c r="H782" t="str">
        <f t="shared" si="25"/>
        <v>POLS1100</v>
      </c>
      <c r="I782">
        <f t="shared" si="26"/>
        <v>0</v>
      </c>
      <c r="J782" s="158"/>
      <c r="L782" s="158"/>
    </row>
    <row r="783" spans="2:12" ht="16.5">
      <c r="B783" s="21"/>
      <c r="C783" s="21" t="s">
        <v>1521</v>
      </c>
      <c r="D783" s="22" t="s">
        <v>70</v>
      </c>
      <c r="E783" s="22" t="s">
        <v>1261</v>
      </c>
      <c r="F783" s="22" t="s">
        <v>196</v>
      </c>
      <c r="G783" s="67">
        <v>1100</v>
      </c>
      <c r="H783" t="str">
        <f t="shared" si="25"/>
        <v>POLS1100</v>
      </c>
      <c r="I783">
        <f t="shared" si="26"/>
        <v>0</v>
      </c>
      <c r="J783" s="158"/>
      <c r="L783" s="158"/>
    </row>
    <row r="784" spans="2:12" ht="16.5">
      <c r="B784" s="21"/>
      <c r="C784" s="21" t="s">
        <v>1521</v>
      </c>
      <c r="D784" s="22" t="s">
        <v>70</v>
      </c>
      <c r="E784" s="22" t="s">
        <v>1262</v>
      </c>
      <c r="F784" s="22" t="s">
        <v>196</v>
      </c>
      <c r="G784" s="22" t="s">
        <v>1078</v>
      </c>
      <c r="H784" t="str">
        <f t="shared" si="25"/>
        <v>POLS1100</v>
      </c>
      <c r="I784">
        <f t="shared" si="26"/>
        <v>0</v>
      </c>
      <c r="J784" s="158"/>
      <c r="L784" s="158"/>
    </row>
    <row r="785" spans="2:12" ht="16.5">
      <c r="B785" s="21"/>
      <c r="C785" s="21" t="s">
        <v>1521</v>
      </c>
      <c r="D785" s="22" t="s">
        <v>70</v>
      </c>
      <c r="E785" s="22" t="s">
        <v>551</v>
      </c>
      <c r="F785" s="22" t="s">
        <v>196</v>
      </c>
      <c r="G785" s="67">
        <v>1100</v>
      </c>
      <c r="H785" t="str">
        <f t="shared" si="25"/>
        <v>POLS1100</v>
      </c>
      <c r="I785">
        <f t="shared" si="26"/>
        <v>0</v>
      </c>
      <c r="J785" s="158"/>
      <c r="L785" s="158"/>
    </row>
    <row r="786" spans="2:12" ht="16.5">
      <c r="B786" s="21"/>
      <c r="C786" s="21" t="s">
        <v>1521</v>
      </c>
      <c r="D786" s="22" t="s">
        <v>70</v>
      </c>
      <c r="E786" s="22" t="s">
        <v>1586</v>
      </c>
      <c r="F786" s="22" t="s">
        <v>196</v>
      </c>
      <c r="G786" s="67">
        <v>1100</v>
      </c>
      <c r="H786" t="str">
        <f t="shared" si="25"/>
        <v>POLS1100</v>
      </c>
      <c r="I786">
        <f t="shared" si="26"/>
        <v>1</v>
      </c>
      <c r="J786" s="158"/>
      <c r="L786" s="158"/>
    </row>
    <row r="787" spans="2:12" ht="16.5">
      <c r="B787" s="21"/>
      <c r="C787" s="21" t="s">
        <v>1522</v>
      </c>
      <c r="D787" s="22"/>
      <c r="E787" s="22" t="s">
        <v>551</v>
      </c>
      <c r="F787" s="22" t="s">
        <v>196</v>
      </c>
      <c r="G787" s="67">
        <v>2100</v>
      </c>
      <c r="H787" t="str">
        <f t="shared" si="25"/>
        <v>POLS2100</v>
      </c>
      <c r="I787">
        <f t="shared" si="26"/>
        <v>1</v>
      </c>
      <c r="J787" s="158"/>
      <c r="L787" s="158"/>
    </row>
    <row r="788" spans="2:12" ht="16.5">
      <c r="B788" s="21"/>
      <c r="C788" s="21" t="s">
        <v>1522</v>
      </c>
      <c r="D788" s="22" t="s">
        <v>1329</v>
      </c>
      <c r="E788" s="22" t="s">
        <v>1586</v>
      </c>
      <c r="F788" s="22" t="s">
        <v>196</v>
      </c>
      <c r="G788" s="67">
        <v>2200</v>
      </c>
      <c r="H788" t="str">
        <f t="shared" si="25"/>
        <v>POLS2200</v>
      </c>
      <c r="I788">
        <f t="shared" si="26"/>
        <v>1</v>
      </c>
      <c r="J788" s="158"/>
      <c r="L788" s="158"/>
    </row>
    <row r="789" spans="2:12" ht="16.5">
      <c r="B789" s="21"/>
      <c r="C789" s="21" t="s">
        <v>1522</v>
      </c>
      <c r="D789" s="22" t="s">
        <v>1329</v>
      </c>
      <c r="E789" s="96" t="s">
        <v>1526</v>
      </c>
      <c r="F789" s="22" t="s">
        <v>343</v>
      </c>
      <c r="G789" s="67" t="s">
        <v>1528</v>
      </c>
      <c r="H789" t="str">
        <f t="shared" si="25"/>
        <v>PSY1010</v>
      </c>
      <c r="I789">
        <f t="shared" si="26"/>
        <v>0</v>
      </c>
      <c r="J789" s="158"/>
      <c r="L789" s="158"/>
    </row>
    <row r="790" spans="2:12" ht="16.5">
      <c r="B790" s="21"/>
      <c r="C790" s="21" t="s">
        <v>1522</v>
      </c>
      <c r="D790" s="22" t="s">
        <v>1329</v>
      </c>
      <c r="E790" s="22" t="s">
        <v>1195</v>
      </c>
      <c r="F790" s="22" t="s">
        <v>343</v>
      </c>
      <c r="G790" s="67" t="s">
        <v>1528</v>
      </c>
      <c r="H790" t="str">
        <f t="shared" si="25"/>
        <v>PSY1010</v>
      </c>
      <c r="I790">
        <f t="shared" si="26"/>
        <v>0</v>
      </c>
      <c r="J790" s="158"/>
      <c r="L790" s="158"/>
    </row>
    <row r="791" spans="2:12" ht="16.5">
      <c r="B791" s="21"/>
      <c r="C791" s="21" t="s">
        <v>1522</v>
      </c>
      <c r="D791" s="22" t="s">
        <v>1329</v>
      </c>
      <c r="E791" s="22" t="s">
        <v>463</v>
      </c>
      <c r="F791" s="22" t="s">
        <v>343</v>
      </c>
      <c r="G791" s="68">
        <v>1010</v>
      </c>
      <c r="H791" t="str">
        <f t="shared" si="25"/>
        <v>PSY1010</v>
      </c>
      <c r="I791">
        <f t="shared" si="26"/>
        <v>0</v>
      </c>
      <c r="J791" s="158"/>
      <c r="L791" s="158"/>
    </row>
    <row r="792" spans="2:12" ht="16.5">
      <c r="B792" s="21"/>
      <c r="C792" s="21" t="s">
        <v>1522</v>
      </c>
      <c r="D792" s="22" t="s">
        <v>1329</v>
      </c>
      <c r="E792" s="22" t="s">
        <v>1261</v>
      </c>
      <c r="F792" s="22" t="s">
        <v>343</v>
      </c>
      <c r="G792" s="67">
        <v>1010</v>
      </c>
      <c r="H792" t="str">
        <f t="shared" si="25"/>
        <v>PSY1010</v>
      </c>
      <c r="I792">
        <f t="shared" si="26"/>
        <v>0</v>
      </c>
      <c r="J792" s="158"/>
      <c r="L792" s="158"/>
    </row>
    <row r="793" spans="2:12" ht="16.5">
      <c r="B793" s="45"/>
      <c r="C793" s="21" t="s">
        <v>1522</v>
      </c>
      <c r="D793" s="22" t="s">
        <v>1329</v>
      </c>
      <c r="E793" s="22" t="s">
        <v>1262</v>
      </c>
      <c r="F793" s="22" t="s">
        <v>343</v>
      </c>
      <c r="G793" s="23" t="s">
        <v>1528</v>
      </c>
      <c r="H793" t="str">
        <f t="shared" si="25"/>
        <v>PSY1010</v>
      </c>
      <c r="I793">
        <f t="shared" si="26"/>
        <v>0</v>
      </c>
      <c r="J793" s="158"/>
      <c r="L793" s="158"/>
    </row>
    <row r="794" spans="2:12" ht="16.5">
      <c r="B794" s="21"/>
      <c r="C794" s="21" t="s">
        <v>1522</v>
      </c>
      <c r="D794" s="22" t="s">
        <v>1329</v>
      </c>
      <c r="E794" s="22" t="s">
        <v>551</v>
      </c>
      <c r="F794" s="22" t="s">
        <v>343</v>
      </c>
      <c r="G794" s="67">
        <v>1010</v>
      </c>
      <c r="H794" t="str">
        <f t="shared" si="25"/>
        <v>PSY1010</v>
      </c>
      <c r="I794">
        <f t="shared" si="26"/>
        <v>0</v>
      </c>
      <c r="J794" s="158"/>
      <c r="L794" s="158"/>
    </row>
    <row r="795" spans="2:12" ht="16.5">
      <c r="B795" s="21"/>
      <c r="C795" s="21" t="s">
        <v>1522</v>
      </c>
      <c r="D795" s="22" t="s">
        <v>1329</v>
      </c>
      <c r="E795" s="22" t="s">
        <v>1586</v>
      </c>
      <c r="F795" s="22" t="s">
        <v>343</v>
      </c>
      <c r="G795" s="68">
        <v>1010</v>
      </c>
      <c r="H795" t="str">
        <f t="shared" si="25"/>
        <v>PSY1010</v>
      </c>
      <c r="I795">
        <f t="shared" si="26"/>
        <v>0</v>
      </c>
      <c r="J795" s="158"/>
      <c r="L795" s="158"/>
    </row>
    <row r="796" spans="2:12" ht="16.5">
      <c r="B796" s="21"/>
      <c r="C796" s="21" t="s">
        <v>1522</v>
      </c>
      <c r="D796" s="22" t="s">
        <v>1329</v>
      </c>
      <c r="E796" s="22" t="s">
        <v>739</v>
      </c>
      <c r="F796" s="22" t="s">
        <v>343</v>
      </c>
      <c r="G796" s="68">
        <v>1010</v>
      </c>
      <c r="H796" t="str">
        <f t="shared" si="25"/>
        <v>PSY1010</v>
      </c>
      <c r="I796">
        <f t="shared" si="26"/>
        <v>1</v>
      </c>
      <c r="J796" s="158"/>
      <c r="L796" s="158"/>
    </row>
    <row r="797" spans="2:12" ht="16.5">
      <c r="B797" s="21"/>
      <c r="C797" s="21" t="s">
        <v>1522</v>
      </c>
      <c r="D797" s="22" t="s">
        <v>1329</v>
      </c>
      <c r="E797" s="96" t="s">
        <v>1526</v>
      </c>
      <c r="F797" s="22" t="s">
        <v>343</v>
      </c>
      <c r="G797" s="67">
        <v>1100</v>
      </c>
      <c r="H797" t="str">
        <f t="shared" si="25"/>
        <v>PSY1100</v>
      </c>
      <c r="I797">
        <f t="shared" si="26"/>
        <v>0</v>
      </c>
      <c r="J797" s="158"/>
      <c r="L797" s="158"/>
    </row>
    <row r="798" spans="2:12" ht="16.5">
      <c r="B798" s="21" t="s">
        <v>111</v>
      </c>
      <c r="C798" s="21" t="s">
        <v>1522</v>
      </c>
      <c r="D798" s="22" t="s">
        <v>1329</v>
      </c>
      <c r="E798" s="96" t="s">
        <v>1526</v>
      </c>
      <c r="F798" s="22" t="s">
        <v>343</v>
      </c>
      <c r="G798" s="67">
        <v>1100</v>
      </c>
      <c r="H798" t="str">
        <f t="shared" si="25"/>
        <v>PSY1100</v>
      </c>
      <c r="I798">
        <f t="shared" si="26"/>
        <v>1</v>
      </c>
      <c r="J798" s="158"/>
      <c r="L798" s="158"/>
    </row>
    <row r="799" spans="2:12" ht="16.5">
      <c r="B799" s="21"/>
      <c r="C799" s="21" t="s">
        <v>1522</v>
      </c>
      <c r="D799" s="22" t="s">
        <v>1329</v>
      </c>
      <c r="E799" s="96" t="s">
        <v>1526</v>
      </c>
      <c r="F799" s="22" t="s">
        <v>343</v>
      </c>
      <c r="G799" s="67">
        <v>2500</v>
      </c>
      <c r="H799" t="str">
        <f t="shared" si="25"/>
        <v>PSY2500</v>
      </c>
      <c r="I799">
        <f t="shared" si="26"/>
        <v>1</v>
      </c>
      <c r="J799" s="158"/>
      <c r="L799" s="158"/>
    </row>
    <row r="800" spans="2:12" ht="16.5">
      <c r="B800" s="21"/>
      <c r="C800" s="21" t="s">
        <v>1522</v>
      </c>
      <c r="D800" s="22"/>
      <c r="E800" s="22" t="s">
        <v>551</v>
      </c>
      <c r="F800" s="22" t="s">
        <v>1409</v>
      </c>
      <c r="G800" s="67">
        <v>1010</v>
      </c>
      <c r="H800" t="str">
        <f t="shared" si="25"/>
        <v>RUSS1010</v>
      </c>
      <c r="I800">
        <f t="shared" si="26"/>
        <v>1</v>
      </c>
      <c r="J800" s="158"/>
      <c r="L800" s="158"/>
    </row>
    <row r="801" spans="2:12" ht="16.5">
      <c r="B801" s="21"/>
      <c r="C801" s="21" t="s">
        <v>1522</v>
      </c>
      <c r="D801" s="22"/>
      <c r="E801" s="22" t="s">
        <v>551</v>
      </c>
      <c r="F801" s="22" t="s">
        <v>1409</v>
      </c>
      <c r="G801" s="67">
        <v>1020</v>
      </c>
      <c r="H801" t="str">
        <f t="shared" si="25"/>
        <v>RUSS1020</v>
      </c>
      <c r="I801">
        <f t="shared" si="26"/>
        <v>1</v>
      </c>
      <c r="J801" s="158"/>
      <c r="L801" s="158"/>
    </row>
    <row r="802" spans="2:12" ht="16.5">
      <c r="B802" s="21" t="s">
        <v>123</v>
      </c>
      <c r="C802" s="21" t="s">
        <v>1522</v>
      </c>
      <c r="D802" s="22"/>
      <c r="E802" s="22" t="s">
        <v>1262</v>
      </c>
      <c r="F802" s="22" t="s">
        <v>403</v>
      </c>
      <c r="G802" s="22" t="s">
        <v>813</v>
      </c>
      <c r="H802" t="str">
        <f t="shared" si="25"/>
        <v>SCI2300</v>
      </c>
      <c r="I802">
        <f t="shared" si="26"/>
        <v>1</v>
      </c>
      <c r="J802" s="158"/>
      <c r="L802" s="158"/>
    </row>
    <row r="803" spans="2:12" ht="16.5">
      <c r="B803" s="21"/>
      <c r="C803" s="21" t="s">
        <v>1522</v>
      </c>
      <c r="D803" s="22" t="s">
        <v>1329</v>
      </c>
      <c r="E803" s="22" t="s">
        <v>463</v>
      </c>
      <c r="F803" s="22" t="s">
        <v>344</v>
      </c>
      <c r="G803" s="68" t="s">
        <v>1528</v>
      </c>
      <c r="H803" t="str">
        <f t="shared" si="25"/>
        <v>SOC 1010</v>
      </c>
      <c r="I803">
        <f t="shared" si="26"/>
        <v>1</v>
      </c>
      <c r="J803" s="158"/>
      <c r="L803" s="158"/>
    </row>
    <row r="804" spans="2:12" ht="16.5">
      <c r="B804" s="21"/>
      <c r="C804" s="21" t="s">
        <v>1522</v>
      </c>
      <c r="D804" s="22" t="s">
        <v>1329</v>
      </c>
      <c r="E804" s="96" t="s">
        <v>1526</v>
      </c>
      <c r="F804" s="22" t="s">
        <v>461</v>
      </c>
      <c r="G804" s="67" t="s">
        <v>1528</v>
      </c>
      <c r="H804" t="str">
        <f t="shared" si="25"/>
        <v>SOC1010</v>
      </c>
      <c r="I804">
        <f t="shared" si="26"/>
        <v>0</v>
      </c>
      <c r="J804" s="158"/>
      <c r="L804" s="158"/>
    </row>
    <row r="805" spans="2:12" ht="16.5">
      <c r="B805" s="45"/>
      <c r="C805" s="21" t="s">
        <v>1522</v>
      </c>
      <c r="D805" s="22" t="s">
        <v>1329</v>
      </c>
      <c r="E805" s="22" t="s">
        <v>1262</v>
      </c>
      <c r="F805" s="22" t="s">
        <v>461</v>
      </c>
      <c r="G805" s="23" t="s">
        <v>1528</v>
      </c>
      <c r="H805" t="str">
        <f t="shared" si="25"/>
        <v>SOC1010</v>
      </c>
      <c r="I805">
        <f t="shared" si="26"/>
        <v>0</v>
      </c>
      <c r="J805" s="158"/>
      <c r="L805" s="158"/>
    </row>
    <row r="806" spans="2:12" ht="16.5">
      <c r="B806" s="21"/>
      <c r="C806" s="21" t="s">
        <v>1522</v>
      </c>
      <c r="D806" s="22" t="s">
        <v>1329</v>
      </c>
      <c r="E806" s="22" t="s">
        <v>551</v>
      </c>
      <c r="F806" s="22" t="s">
        <v>461</v>
      </c>
      <c r="G806" s="67">
        <v>1010</v>
      </c>
      <c r="H806" t="str">
        <f t="shared" si="25"/>
        <v>SOC1010</v>
      </c>
      <c r="I806">
        <f t="shared" si="26"/>
        <v>0</v>
      </c>
      <c r="J806" s="158"/>
      <c r="L806" s="158"/>
    </row>
    <row r="807" spans="2:12" ht="16.5">
      <c r="B807" s="21"/>
      <c r="C807" s="21" t="s">
        <v>1522</v>
      </c>
      <c r="D807" s="22" t="s">
        <v>1329</v>
      </c>
      <c r="E807" s="22" t="s">
        <v>1586</v>
      </c>
      <c r="F807" s="22" t="s">
        <v>461</v>
      </c>
      <c r="G807" s="68">
        <v>1010</v>
      </c>
      <c r="H807" t="str">
        <f t="shared" si="25"/>
        <v>SOC1010</v>
      </c>
      <c r="I807">
        <f t="shared" si="26"/>
        <v>1</v>
      </c>
      <c r="J807" s="158"/>
      <c r="L807" s="158"/>
    </row>
    <row r="808" spans="2:12" ht="16.5">
      <c r="B808" s="21"/>
      <c r="C808" s="21" t="s">
        <v>1522</v>
      </c>
      <c r="D808" s="22" t="s">
        <v>1329</v>
      </c>
      <c r="E808" s="22" t="s">
        <v>1586</v>
      </c>
      <c r="F808" s="22" t="s">
        <v>461</v>
      </c>
      <c r="G808" s="68">
        <v>1200</v>
      </c>
      <c r="H808" t="str">
        <f t="shared" si="25"/>
        <v>SOC1200</v>
      </c>
      <c r="I808">
        <f t="shared" si="26"/>
        <v>1</v>
      </c>
      <c r="J808" s="158"/>
      <c r="L808" s="158"/>
    </row>
    <row r="809" spans="2:12" ht="16.5">
      <c r="B809" s="21"/>
      <c r="C809" s="21" t="s">
        <v>1522</v>
      </c>
      <c r="D809" s="22"/>
      <c r="E809" s="96" t="s">
        <v>1526</v>
      </c>
      <c r="F809" s="22" t="s">
        <v>431</v>
      </c>
      <c r="G809" s="67" t="s">
        <v>1528</v>
      </c>
      <c r="H809" t="str">
        <f t="shared" si="25"/>
        <v>SPAN1010</v>
      </c>
      <c r="I809">
        <f t="shared" si="26"/>
        <v>0</v>
      </c>
      <c r="J809" s="158"/>
      <c r="L809" s="158"/>
    </row>
    <row r="810" spans="2:12" ht="16.5">
      <c r="B810" s="21"/>
      <c r="C810" s="21" t="s">
        <v>1522</v>
      </c>
      <c r="D810" s="22"/>
      <c r="E810" s="22" t="s">
        <v>1261</v>
      </c>
      <c r="F810" s="22" t="s">
        <v>431</v>
      </c>
      <c r="G810" s="67">
        <v>1010</v>
      </c>
      <c r="H810" t="str">
        <f t="shared" si="25"/>
        <v>SPAN1010</v>
      </c>
      <c r="I810">
        <f t="shared" si="26"/>
        <v>0</v>
      </c>
      <c r="J810" s="158"/>
      <c r="L810" s="158"/>
    </row>
    <row r="811" spans="2:12" ht="16.5">
      <c r="B811" s="21"/>
      <c r="C811" s="21" t="s">
        <v>1522</v>
      </c>
      <c r="D811" s="22"/>
      <c r="E811" s="22" t="s">
        <v>1262</v>
      </c>
      <c r="F811" s="22" t="s">
        <v>431</v>
      </c>
      <c r="G811" s="23" t="s">
        <v>1528</v>
      </c>
      <c r="H811" t="str">
        <f t="shared" si="25"/>
        <v>SPAN1010</v>
      </c>
      <c r="I811">
        <f t="shared" si="26"/>
        <v>0</v>
      </c>
      <c r="J811" s="158"/>
      <c r="L811" s="158"/>
    </row>
    <row r="812" spans="2:12" ht="16.5">
      <c r="B812" s="21"/>
      <c r="C812" s="21" t="s">
        <v>1522</v>
      </c>
      <c r="D812" s="22"/>
      <c r="E812" s="22" t="s">
        <v>551</v>
      </c>
      <c r="F812" s="22" t="s">
        <v>431</v>
      </c>
      <c r="G812" s="67">
        <v>1010</v>
      </c>
      <c r="H812" t="str">
        <f t="shared" si="25"/>
        <v>SPAN1010</v>
      </c>
      <c r="I812">
        <f t="shared" si="26"/>
        <v>0</v>
      </c>
      <c r="J812" s="158"/>
      <c r="L812" s="158"/>
    </row>
    <row r="813" spans="2:12" ht="16.5">
      <c r="B813" s="21"/>
      <c r="C813" s="21" t="s">
        <v>1522</v>
      </c>
      <c r="D813" s="22"/>
      <c r="E813" s="22" t="s">
        <v>1586</v>
      </c>
      <c r="F813" s="22" t="s">
        <v>431</v>
      </c>
      <c r="G813" s="68">
        <v>1010</v>
      </c>
      <c r="H813" t="str">
        <f t="shared" si="25"/>
        <v>SPAN1010</v>
      </c>
      <c r="I813">
        <f t="shared" si="26"/>
        <v>0</v>
      </c>
      <c r="J813" s="158"/>
      <c r="L813" s="158"/>
    </row>
    <row r="814" spans="2:12" ht="16.5">
      <c r="B814" s="21"/>
      <c r="C814" s="21" t="s">
        <v>1522</v>
      </c>
      <c r="D814" s="22"/>
      <c r="E814" s="22" t="s">
        <v>739</v>
      </c>
      <c r="F814" s="22" t="s">
        <v>431</v>
      </c>
      <c r="G814" s="68">
        <v>1010</v>
      </c>
      <c r="H814" t="str">
        <f t="shared" si="25"/>
        <v>SPAN1010</v>
      </c>
      <c r="I814">
        <f t="shared" si="26"/>
        <v>1</v>
      </c>
      <c r="J814" s="158"/>
      <c r="L814" s="158"/>
    </row>
    <row r="815" spans="2:12" ht="16.5">
      <c r="B815" s="21"/>
      <c r="C815" s="21" t="s">
        <v>1522</v>
      </c>
      <c r="D815" s="22"/>
      <c r="E815" s="96" t="s">
        <v>1526</v>
      </c>
      <c r="F815" s="22" t="s">
        <v>431</v>
      </c>
      <c r="G815" s="67">
        <v>1020</v>
      </c>
      <c r="H815" t="str">
        <f t="shared" si="25"/>
        <v>SPAN1020</v>
      </c>
      <c r="I815">
        <f t="shared" si="26"/>
        <v>0</v>
      </c>
      <c r="J815" s="158"/>
      <c r="L815" s="158"/>
    </row>
    <row r="816" spans="2:12" ht="16.5">
      <c r="B816" s="21"/>
      <c r="C816" s="21" t="s">
        <v>1522</v>
      </c>
      <c r="D816" s="22"/>
      <c r="E816" s="22" t="s">
        <v>1261</v>
      </c>
      <c r="F816" s="22" t="s">
        <v>431</v>
      </c>
      <c r="G816" s="67">
        <v>1020</v>
      </c>
      <c r="H816" t="str">
        <f t="shared" ref="H816:H879" si="27">CONCATENATE(F816,G816)</f>
        <v>SPAN1020</v>
      </c>
      <c r="I816">
        <f t="shared" si="26"/>
        <v>0</v>
      </c>
      <c r="J816" s="158"/>
      <c r="L816" s="158"/>
    </row>
    <row r="817" spans="2:12" ht="16.5">
      <c r="B817" s="21"/>
      <c r="C817" s="21" t="s">
        <v>1522</v>
      </c>
      <c r="D817" s="22"/>
      <c r="E817" s="22" t="s">
        <v>1262</v>
      </c>
      <c r="F817" s="22" t="s">
        <v>431</v>
      </c>
      <c r="G817" s="23">
        <v>1020</v>
      </c>
      <c r="H817" t="str">
        <f t="shared" si="27"/>
        <v>SPAN1020</v>
      </c>
      <c r="I817">
        <f t="shared" ref="I817:I878" si="28">IF(H817=H818,0,1)</f>
        <v>0</v>
      </c>
      <c r="J817" s="158"/>
      <c r="L817" s="158"/>
    </row>
    <row r="818" spans="2:12" ht="16.5">
      <c r="B818" s="21"/>
      <c r="C818" s="21" t="s">
        <v>1522</v>
      </c>
      <c r="D818" s="22"/>
      <c r="E818" s="22" t="s">
        <v>551</v>
      </c>
      <c r="F818" s="22" t="s">
        <v>431</v>
      </c>
      <c r="G818" s="67">
        <v>1020</v>
      </c>
      <c r="H818" t="str">
        <f t="shared" si="27"/>
        <v>SPAN1020</v>
      </c>
      <c r="I818">
        <f t="shared" si="28"/>
        <v>0</v>
      </c>
      <c r="J818" s="158"/>
      <c r="L818" s="158"/>
    </row>
    <row r="819" spans="2:12" ht="16.5">
      <c r="B819" s="21"/>
      <c r="C819" s="21" t="s">
        <v>1522</v>
      </c>
      <c r="D819" s="22"/>
      <c r="E819" s="22" t="s">
        <v>1586</v>
      </c>
      <c r="F819" s="22" t="s">
        <v>431</v>
      </c>
      <c r="G819" s="68">
        <v>1020</v>
      </c>
      <c r="H819" t="str">
        <f t="shared" si="27"/>
        <v>SPAN1020</v>
      </c>
      <c r="I819">
        <f t="shared" si="28"/>
        <v>0</v>
      </c>
      <c r="J819" s="158"/>
      <c r="L819" s="158"/>
    </row>
    <row r="820" spans="2:12" ht="16.5">
      <c r="B820" s="21"/>
      <c r="C820" s="21" t="s">
        <v>1522</v>
      </c>
      <c r="D820" s="22"/>
      <c r="E820" s="22" t="s">
        <v>739</v>
      </c>
      <c r="F820" s="22" t="s">
        <v>431</v>
      </c>
      <c r="G820" s="68">
        <v>1020</v>
      </c>
      <c r="H820" t="str">
        <f t="shared" si="27"/>
        <v>SPAN1020</v>
      </c>
      <c r="I820">
        <f t="shared" si="28"/>
        <v>1</v>
      </c>
      <c r="J820" s="158"/>
      <c r="L820" s="158"/>
    </row>
    <row r="821" spans="2:12" ht="16.5">
      <c r="B821" s="21"/>
      <c r="C821" s="21" t="s">
        <v>1522</v>
      </c>
      <c r="D821" s="22"/>
      <c r="E821" s="22" t="s">
        <v>1586</v>
      </c>
      <c r="F821" s="22" t="s">
        <v>431</v>
      </c>
      <c r="G821" s="68">
        <v>2010</v>
      </c>
      <c r="H821" t="str">
        <f t="shared" si="27"/>
        <v>SPAN2010</v>
      </c>
      <c r="I821">
        <f t="shared" si="28"/>
        <v>0</v>
      </c>
      <c r="J821" s="158"/>
      <c r="L821" s="158"/>
    </row>
    <row r="822" spans="2:12" ht="16.5">
      <c r="B822" s="21"/>
      <c r="C822" s="21" t="s">
        <v>1522</v>
      </c>
      <c r="D822" s="22" t="s">
        <v>534</v>
      </c>
      <c r="E822" s="22" t="s">
        <v>739</v>
      </c>
      <c r="F822" s="22" t="s">
        <v>431</v>
      </c>
      <c r="G822" s="68">
        <v>2010</v>
      </c>
      <c r="H822" t="str">
        <f t="shared" si="27"/>
        <v>SPAN2010</v>
      </c>
      <c r="I822">
        <f t="shared" si="28"/>
        <v>1</v>
      </c>
      <c r="J822" s="158"/>
      <c r="L822" s="158"/>
    </row>
    <row r="823" spans="2:12" ht="16.5">
      <c r="B823" s="21"/>
      <c r="C823" s="21" t="s">
        <v>1522</v>
      </c>
      <c r="D823" s="22"/>
      <c r="E823" s="22" t="s">
        <v>551</v>
      </c>
      <c r="F823" s="22" t="s">
        <v>712</v>
      </c>
      <c r="G823" s="67">
        <v>1020</v>
      </c>
      <c r="H823" t="str">
        <f t="shared" si="27"/>
        <v>SPCH1020</v>
      </c>
      <c r="I823">
        <f t="shared" si="28"/>
        <v>1</v>
      </c>
      <c r="J823" s="158"/>
      <c r="L823" s="158"/>
    </row>
    <row r="824" spans="2:12" ht="16.5">
      <c r="B824" s="125"/>
      <c r="C824" s="21" t="s">
        <v>1522</v>
      </c>
      <c r="D824" s="22"/>
      <c r="E824" s="22" t="s">
        <v>551</v>
      </c>
      <c r="F824" s="22" t="s">
        <v>715</v>
      </c>
      <c r="G824" s="68">
        <v>1000</v>
      </c>
      <c r="H824" t="str">
        <f t="shared" si="27"/>
        <v>SPED1000</v>
      </c>
      <c r="I824">
        <f t="shared" si="28"/>
        <v>1</v>
      </c>
      <c r="J824" s="158"/>
      <c r="L824" s="158"/>
    </row>
    <row r="825" spans="2:12" ht="16.5">
      <c r="B825" s="21" t="s">
        <v>132</v>
      </c>
      <c r="C825" s="21" t="s">
        <v>1522</v>
      </c>
      <c r="D825" s="22"/>
      <c r="E825" s="22" t="s">
        <v>739</v>
      </c>
      <c r="F825" s="22" t="s">
        <v>758</v>
      </c>
      <c r="G825" s="68">
        <v>1143</v>
      </c>
      <c r="H825" t="str">
        <f t="shared" si="27"/>
        <v>SST1143</v>
      </c>
      <c r="I825">
        <f t="shared" si="28"/>
        <v>1</v>
      </c>
      <c r="J825" s="158"/>
      <c r="L825" s="158"/>
    </row>
    <row r="826" spans="2:12" ht="16.5">
      <c r="B826" s="21" t="s">
        <v>129</v>
      </c>
      <c r="C826" s="21" t="s">
        <v>1522</v>
      </c>
      <c r="D826" s="22"/>
      <c r="E826" s="22" t="s">
        <v>739</v>
      </c>
      <c r="F826" s="162" t="s">
        <v>758</v>
      </c>
      <c r="G826" s="163">
        <v>1303</v>
      </c>
      <c r="H826" t="str">
        <f t="shared" si="27"/>
        <v>SST1303</v>
      </c>
      <c r="I826">
        <f t="shared" si="28"/>
        <v>0</v>
      </c>
      <c r="J826" s="158"/>
      <c r="L826" s="158"/>
    </row>
    <row r="827" spans="2:12" ht="16.5">
      <c r="B827" s="21" t="s">
        <v>132</v>
      </c>
      <c r="C827" s="21" t="s">
        <v>1522</v>
      </c>
      <c r="D827" s="22"/>
      <c r="E827" s="22" t="s">
        <v>739</v>
      </c>
      <c r="F827" s="162" t="s">
        <v>758</v>
      </c>
      <c r="G827" s="163">
        <v>1303</v>
      </c>
      <c r="H827" t="str">
        <f t="shared" si="27"/>
        <v>SST1303</v>
      </c>
      <c r="I827">
        <f t="shared" si="28"/>
        <v>0</v>
      </c>
      <c r="J827" s="158"/>
      <c r="L827" s="158"/>
    </row>
    <row r="828" spans="2:12" ht="16.5">
      <c r="B828" s="21" t="s">
        <v>342</v>
      </c>
      <c r="C828" s="21" t="s">
        <v>1522</v>
      </c>
      <c r="D828" s="22"/>
      <c r="E828" s="22" t="s">
        <v>739</v>
      </c>
      <c r="F828" s="162" t="s">
        <v>758</v>
      </c>
      <c r="G828" s="163">
        <v>1303</v>
      </c>
      <c r="H828" t="str">
        <f t="shared" si="27"/>
        <v>SST1303</v>
      </c>
      <c r="I828">
        <f t="shared" si="28"/>
        <v>1</v>
      </c>
      <c r="J828" s="158"/>
      <c r="L828" s="158"/>
    </row>
    <row r="829" spans="2:12" ht="16.5">
      <c r="B829" s="21" t="s">
        <v>130</v>
      </c>
      <c r="C829" s="21" t="s">
        <v>1522</v>
      </c>
      <c r="D829" s="22"/>
      <c r="E829" s="22" t="s">
        <v>739</v>
      </c>
      <c r="F829" s="22" t="s">
        <v>758</v>
      </c>
      <c r="G829" s="68">
        <v>1503</v>
      </c>
      <c r="H829" t="str">
        <f t="shared" si="27"/>
        <v>SST1503</v>
      </c>
      <c r="I829">
        <f t="shared" si="28"/>
        <v>1</v>
      </c>
      <c r="J829" s="158"/>
      <c r="L829" s="158"/>
    </row>
    <row r="830" spans="2:12" ht="16.5">
      <c r="B830" s="21" t="s">
        <v>133</v>
      </c>
      <c r="C830" s="21" t="s">
        <v>1522</v>
      </c>
      <c r="D830" s="22"/>
      <c r="E830" s="22" t="s">
        <v>739</v>
      </c>
      <c r="F830" s="22" t="s">
        <v>758</v>
      </c>
      <c r="G830" s="68">
        <v>1890</v>
      </c>
      <c r="H830" t="str">
        <f t="shared" si="27"/>
        <v>SST1890</v>
      </c>
      <c r="I830">
        <f t="shared" si="28"/>
        <v>1</v>
      </c>
      <c r="J830" s="158"/>
      <c r="L830" s="158"/>
    </row>
    <row r="831" spans="2:12" ht="16.5">
      <c r="B831" s="21" t="s">
        <v>133</v>
      </c>
      <c r="C831" s="21" t="s">
        <v>1522</v>
      </c>
      <c r="D831" s="22"/>
      <c r="E831" s="22" t="s">
        <v>739</v>
      </c>
      <c r="F831" s="22" t="s">
        <v>758</v>
      </c>
      <c r="G831" s="68">
        <v>2383</v>
      </c>
      <c r="H831" t="str">
        <f t="shared" si="27"/>
        <v>SST2383</v>
      </c>
      <c r="I831">
        <f t="shared" si="28"/>
        <v>1</v>
      </c>
      <c r="J831" s="158"/>
      <c r="L831" s="158"/>
    </row>
    <row r="832" spans="2:12" ht="16.5">
      <c r="B832" s="21" t="s">
        <v>129</v>
      </c>
      <c r="C832" s="21" t="s">
        <v>1522</v>
      </c>
      <c r="D832" s="22"/>
      <c r="E832" s="22" t="s">
        <v>739</v>
      </c>
      <c r="F832" s="22" t="s">
        <v>758</v>
      </c>
      <c r="G832" s="68" t="s">
        <v>759</v>
      </c>
      <c r="H832" t="str">
        <f t="shared" si="27"/>
        <v>SST2443</v>
      </c>
      <c r="I832">
        <f t="shared" si="28"/>
        <v>1</v>
      </c>
      <c r="J832" s="158"/>
      <c r="L832" s="158"/>
    </row>
    <row r="833" spans="2:12" ht="16.5">
      <c r="B833" s="21" t="s">
        <v>575</v>
      </c>
      <c r="C833" s="21" t="s">
        <v>1522</v>
      </c>
      <c r="D833" s="22"/>
      <c r="E833" s="22" t="s">
        <v>739</v>
      </c>
      <c r="F833" s="22" t="s">
        <v>758</v>
      </c>
      <c r="G833" s="68">
        <v>2703</v>
      </c>
      <c r="H833" t="str">
        <f t="shared" si="27"/>
        <v>SST2703</v>
      </c>
      <c r="I833">
        <f t="shared" si="28"/>
        <v>1</v>
      </c>
      <c r="J833" s="158"/>
      <c r="L833" s="158"/>
    </row>
    <row r="834" spans="2:12" ht="16.5">
      <c r="B834" s="45" t="s">
        <v>92</v>
      </c>
      <c r="C834" s="21" t="s">
        <v>1522</v>
      </c>
      <c r="D834" s="22"/>
      <c r="E834" s="22" t="s">
        <v>739</v>
      </c>
      <c r="F834" s="162" t="s">
        <v>758</v>
      </c>
      <c r="G834" s="163">
        <v>2991</v>
      </c>
      <c r="H834" t="str">
        <f t="shared" si="27"/>
        <v>SST2991</v>
      </c>
      <c r="I834">
        <f t="shared" si="28"/>
        <v>0</v>
      </c>
      <c r="J834" s="158"/>
      <c r="L834" s="158"/>
    </row>
    <row r="835" spans="2:12" ht="16.5">
      <c r="B835" s="21" t="s">
        <v>870</v>
      </c>
      <c r="C835" s="21" t="s">
        <v>1522</v>
      </c>
      <c r="D835" s="22"/>
      <c r="E835" s="22" t="s">
        <v>739</v>
      </c>
      <c r="F835" s="162" t="s">
        <v>758</v>
      </c>
      <c r="G835" s="163">
        <v>2991</v>
      </c>
      <c r="H835" t="str">
        <f t="shared" si="27"/>
        <v>SST2991</v>
      </c>
      <c r="I835">
        <f t="shared" si="28"/>
        <v>0</v>
      </c>
      <c r="J835" s="158"/>
      <c r="L835" s="158"/>
    </row>
    <row r="836" spans="2:12" ht="16.5">
      <c r="B836" s="21" t="s">
        <v>130</v>
      </c>
      <c r="C836" s="21" t="s">
        <v>1522</v>
      </c>
      <c r="D836" s="22"/>
      <c r="E836" s="22" t="s">
        <v>739</v>
      </c>
      <c r="F836" s="162" t="s">
        <v>758</v>
      </c>
      <c r="G836" s="163">
        <v>2991</v>
      </c>
      <c r="H836" t="str">
        <f t="shared" si="27"/>
        <v>SST2991</v>
      </c>
      <c r="I836">
        <f t="shared" si="28"/>
        <v>0</v>
      </c>
      <c r="J836" s="158"/>
      <c r="L836" s="158"/>
    </row>
    <row r="837" spans="2:12" ht="16.5">
      <c r="B837" s="21" t="s">
        <v>62</v>
      </c>
      <c r="C837" s="21" t="s">
        <v>1522</v>
      </c>
      <c r="D837" s="22"/>
      <c r="E837" s="22" t="s">
        <v>739</v>
      </c>
      <c r="F837" s="162" t="s">
        <v>758</v>
      </c>
      <c r="G837" s="163">
        <v>2991</v>
      </c>
      <c r="H837" t="str">
        <f t="shared" si="27"/>
        <v>SST2991</v>
      </c>
      <c r="I837">
        <f t="shared" si="28"/>
        <v>0</v>
      </c>
      <c r="J837" s="158"/>
      <c r="L837" s="158"/>
    </row>
    <row r="838" spans="2:12" ht="16.5">
      <c r="B838" s="21" t="s">
        <v>342</v>
      </c>
      <c r="C838" s="21" t="s">
        <v>1522</v>
      </c>
      <c r="D838" s="22"/>
      <c r="E838" s="22" t="s">
        <v>739</v>
      </c>
      <c r="F838" s="162" t="s">
        <v>758</v>
      </c>
      <c r="G838" s="163">
        <v>2991</v>
      </c>
      <c r="H838" t="str">
        <f t="shared" si="27"/>
        <v>SST2991</v>
      </c>
      <c r="I838">
        <f t="shared" si="28"/>
        <v>1</v>
      </c>
      <c r="J838" s="158"/>
      <c r="L838" s="158"/>
    </row>
    <row r="839" spans="2:12" ht="16.5">
      <c r="B839" s="125"/>
      <c r="C839" s="125" t="s">
        <v>1522</v>
      </c>
      <c r="D839" s="131"/>
      <c r="E839" s="132" t="s">
        <v>1195</v>
      </c>
      <c r="F839" s="131" t="s">
        <v>171</v>
      </c>
      <c r="G839" s="133">
        <v>1040</v>
      </c>
      <c r="H839" t="str">
        <f t="shared" si="27"/>
        <v>STAT1040</v>
      </c>
      <c r="I839">
        <f t="shared" si="28"/>
        <v>1</v>
      </c>
      <c r="J839" s="158"/>
      <c r="L839" s="158"/>
    </row>
    <row r="840" spans="2:12" ht="16.5">
      <c r="B840" s="21" t="s">
        <v>128</v>
      </c>
      <c r="C840" s="21" t="s">
        <v>1522</v>
      </c>
      <c r="D840" s="22"/>
      <c r="E840" s="22" t="s">
        <v>463</v>
      </c>
      <c r="F840" s="22" t="s">
        <v>1404</v>
      </c>
      <c r="G840" s="68">
        <v>1200</v>
      </c>
      <c r="H840" t="str">
        <f t="shared" si="27"/>
        <v>SURG1200</v>
      </c>
      <c r="I840">
        <f t="shared" si="28"/>
        <v>1</v>
      </c>
      <c r="J840" s="158"/>
      <c r="L840" s="158"/>
    </row>
    <row r="841" spans="2:12" ht="16.5">
      <c r="B841" s="21" t="s">
        <v>128</v>
      </c>
      <c r="C841" s="21" t="s">
        <v>1522</v>
      </c>
      <c r="D841" s="22"/>
      <c r="E841" s="22" t="s">
        <v>463</v>
      </c>
      <c r="F841" s="22" t="s">
        <v>1404</v>
      </c>
      <c r="G841" s="68">
        <v>1250</v>
      </c>
      <c r="H841" t="str">
        <f t="shared" si="27"/>
        <v>SURG1250</v>
      </c>
      <c r="I841">
        <f t="shared" si="28"/>
        <v>1</v>
      </c>
      <c r="J841" s="158"/>
      <c r="L841" s="158"/>
    </row>
    <row r="842" spans="2:12" ht="16.5">
      <c r="B842" s="21" t="s">
        <v>103</v>
      </c>
      <c r="C842" s="21" t="s">
        <v>1522</v>
      </c>
      <c r="D842" s="22"/>
      <c r="E842" s="22" t="s">
        <v>739</v>
      </c>
      <c r="F842" s="22" t="s">
        <v>1516</v>
      </c>
      <c r="G842" s="68" t="s">
        <v>440</v>
      </c>
      <c r="H842" t="str">
        <f t="shared" si="27"/>
        <v>TBE1040</v>
      </c>
      <c r="I842">
        <f t="shared" si="28"/>
        <v>1</v>
      </c>
      <c r="J842" s="158"/>
      <c r="L842" s="158"/>
    </row>
    <row r="843" spans="2:12" ht="16.5">
      <c r="B843" s="125" t="s">
        <v>99</v>
      </c>
      <c r="C843" s="21" t="s">
        <v>1522</v>
      </c>
      <c r="D843" s="22"/>
      <c r="E843" s="22" t="s">
        <v>739</v>
      </c>
      <c r="F843" s="22" t="s">
        <v>1516</v>
      </c>
      <c r="G843" s="68" t="s">
        <v>430</v>
      </c>
      <c r="H843" t="str">
        <f t="shared" si="27"/>
        <v>TBE1700</v>
      </c>
      <c r="I843">
        <f t="shared" si="28"/>
        <v>1</v>
      </c>
      <c r="J843" s="158"/>
      <c r="L843" s="158"/>
    </row>
    <row r="844" spans="2:12" ht="16.5">
      <c r="B844" s="21" t="s">
        <v>106</v>
      </c>
      <c r="C844" s="21" t="s">
        <v>1522</v>
      </c>
      <c r="D844" s="22"/>
      <c r="E844" s="22" t="s">
        <v>739</v>
      </c>
      <c r="F844" s="22" t="s">
        <v>1516</v>
      </c>
      <c r="G844" s="68" t="s">
        <v>1517</v>
      </c>
      <c r="H844" t="str">
        <f t="shared" si="27"/>
        <v>TBE1701</v>
      </c>
      <c r="I844">
        <f t="shared" si="28"/>
        <v>1</v>
      </c>
      <c r="J844" s="158"/>
      <c r="L844" s="158"/>
    </row>
    <row r="845" spans="2:12" ht="16.5">
      <c r="B845" s="21" t="s">
        <v>101</v>
      </c>
      <c r="C845" s="21" t="s">
        <v>1521</v>
      </c>
      <c r="D845" s="22"/>
      <c r="E845" s="22" t="s">
        <v>739</v>
      </c>
      <c r="F845" s="22" t="s">
        <v>1516</v>
      </c>
      <c r="G845" s="68" t="s">
        <v>1518</v>
      </c>
      <c r="H845" t="str">
        <f t="shared" si="27"/>
        <v>TBE1702</v>
      </c>
      <c r="I845">
        <f t="shared" si="28"/>
        <v>1</v>
      </c>
      <c r="J845" s="158"/>
      <c r="L845" s="158"/>
    </row>
    <row r="846" spans="2:12" ht="16.5">
      <c r="B846" s="21" t="s">
        <v>99</v>
      </c>
      <c r="C846" s="21" t="s">
        <v>1522</v>
      </c>
      <c r="D846" s="22"/>
      <c r="E846" s="22" t="s">
        <v>739</v>
      </c>
      <c r="F846" s="22" t="s">
        <v>1516</v>
      </c>
      <c r="G846" s="68" t="s">
        <v>1519</v>
      </c>
      <c r="H846" t="str">
        <f t="shared" si="27"/>
        <v>TBE1703</v>
      </c>
      <c r="I846">
        <f t="shared" si="28"/>
        <v>1</v>
      </c>
      <c r="J846" s="158"/>
      <c r="L846" s="158"/>
    </row>
    <row r="847" spans="2:12" ht="16.5">
      <c r="B847" s="21" t="s">
        <v>116</v>
      </c>
      <c r="C847" s="21" t="s">
        <v>1522</v>
      </c>
      <c r="D847" s="22"/>
      <c r="E847" s="22" t="s">
        <v>739</v>
      </c>
      <c r="F847" s="22" t="s">
        <v>1516</v>
      </c>
      <c r="G847" s="68">
        <v>2200</v>
      </c>
      <c r="H847" t="str">
        <f t="shared" si="27"/>
        <v>TBE2200</v>
      </c>
      <c r="I847">
        <f t="shared" si="28"/>
        <v>1</v>
      </c>
      <c r="J847" s="158"/>
      <c r="L847" s="158"/>
    </row>
    <row r="848" spans="2:12" ht="16.5">
      <c r="B848" s="21" t="s">
        <v>115</v>
      </c>
      <c r="C848" s="21" t="s">
        <v>1522</v>
      </c>
      <c r="D848" s="24"/>
      <c r="E848" s="22" t="s">
        <v>739</v>
      </c>
      <c r="F848" s="22" t="s">
        <v>1516</v>
      </c>
      <c r="G848" s="68">
        <v>2300</v>
      </c>
      <c r="H848" t="str">
        <f t="shared" si="27"/>
        <v>TBE2300</v>
      </c>
      <c r="I848">
        <f t="shared" si="28"/>
        <v>1</v>
      </c>
      <c r="J848" s="158"/>
      <c r="L848" s="158"/>
    </row>
    <row r="849" spans="2:12" ht="16.5">
      <c r="B849" s="21" t="s">
        <v>113</v>
      </c>
      <c r="C849" s="21" t="s">
        <v>1522</v>
      </c>
      <c r="D849" s="22"/>
      <c r="E849" s="22" t="s">
        <v>739</v>
      </c>
      <c r="F849" s="22" t="s">
        <v>1516</v>
      </c>
      <c r="G849" s="68">
        <v>2415</v>
      </c>
      <c r="H849" t="str">
        <f t="shared" si="27"/>
        <v>TBE2415</v>
      </c>
      <c r="I849">
        <f t="shared" si="28"/>
        <v>1</v>
      </c>
      <c r="J849" s="158"/>
      <c r="L849" s="158"/>
    </row>
    <row r="850" spans="2:12" ht="16.5">
      <c r="B850" s="21" t="s">
        <v>113</v>
      </c>
      <c r="C850" s="21" t="s">
        <v>1522</v>
      </c>
      <c r="D850" s="22"/>
      <c r="E850" s="22" t="s">
        <v>739</v>
      </c>
      <c r="F850" s="22" t="s">
        <v>1516</v>
      </c>
      <c r="G850" s="68">
        <v>2435</v>
      </c>
      <c r="H850" t="str">
        <f t="shared" si="27"/>
        <v>TBE2435</v>
      </c>
      <c r="I850">
        <f t="shared" si="28"/>
        <v>1</v>
      </c>
      <c r="J850" s="158"/>
      <c r="L850" s="158"/>
    </row>
    <row r="851" spans="2:12" ht="16.5">
      <c r="B851" s="21" t="s">
        <v>812</v>
      </c>
      <c r="C851" s="21" t="s">
        <v>1522</v>
      </c>
      <c r="D851" s="22"/>
      <c r="E851" s="22" t="s">
        <v>739</v>
      </c>
      <c r="F851" s="162" t="s">
        <v>1516</v>
      </c>
      <c r="G851" s="163">
        <v>2532</v>
      </c>
      <c r="H851" t="str">
        <f t="shared" si="27"/>
        <v>TBE2532</v>
      </c>
      <c r="I851">
        <f t="shared" si="28"/>
        <v>0</v>
      </c>
      <c r="J851" s="158"/>
      <c r="L851" s="158"/>
    </row>
    <row r="852" spans="2:12" ht="16.5">
      <c r="B852" s="21" t="s">
        <v>121</v>
      </c>
      <c r="C852" s="21" t="s">
        <v>1522</v>
      </c>
      <c r="D852" s="22"/>
      <c r="E852" s="22" t="s">
        <v>739</v>
      </c>
      <c r="F852" s="162" t="s">
        <v>1516</v>
      </c>
      <c r="G852" s="163" t="s">
        <v>1520</v>
      </c>
      <c r="H852" t="str">
        <f t="shared" si="27"/>
        <v>TBE2532</v>
      </c>
      <c r="I852">
        <f t="shared" si="28"/>
        <v>1</v>
      </c>
      <c r="J852" s="158"/>
      <c r="L852" s="158"/>
    </row>
    <row r="853" spans="2:12" ht="16.5">
      <c r="B853" s="125"/>
      <c r="C853" s="125" t="s">
        <v>1522</v>
      </c>
      <c r="D853" s="131"/>
      <c r="E853" s="132" t="s">
        <v>551</v>
      </c>
      <c r="F853" s="131" t="s">
        <v>1844</v>
      </c>
      <c r="G853" s="133" t="s">
        <v>1528</v>
      </c>
      <c r="H853" t="str">
        <f t="shared" si="27"/>
        <v>TEAL1010</v>
      </c>
      <c r="I853">
        <f t="shared" si="28"/>
        <v>1</v>
      </c>
      <c r="J853" s="158"/>
      <c r="L853" s="158"/>
    </row>
    <row r="854" spans="2:12" ht="16.5">
      <c r="B854" s="125"/>
      <c r="C854" s="125" t="s">
        <v>1521</v>
      </c>
      <c r="D854" s="131" t="s">
        <v>1330</v>
      </c>
      <c r="E854" s="132" t="s">
        <v>1526</v>
      </c>
      <c r="F854" s="131" t="s">
        <v>391</v>
      </c>
      <c r="G854" s="133">
        <v>1013</v>
      </c>
      <c r="H854" t="str">
        <f t="shared" si="27"/>
        <v>THEA1013</v>
      </c>
      <c r="I854">
        <f t="shared" si="28"/>
        <v>0</v>
      </c>
      <c r="J854" s="158"/>
      <c r="L854" s="158"/>
    </row>
    <row r="855" spans="2:12" ht="16.5">
      <c r="B855" s="125"/>
      <c r="C855" s="125" t="s">
        <v>1521</v>
      </c>
      <c r="D855" s="131" t="s">
        <v>1330</v>
      </c>
      <c r="E855" s="132" t="s">
        <v>1195</v>
      </c>
      <c r="F855" s="131" t="s">
        <v>391</v>
      </c>
      <c r="G855" s="133">
        <v>1013</v>
      </c>
      <c r="H855" t="str">
        <f t="shared" si="27"/>
        <v>THEA1013</v>
      </c>
      <c r="I855">
        <f t="shared" si="28"/>
        <v>0</v>
      </c>
      <c r="J855" s="158"/>
      <c r="L855" s="158"/>
    </row>
    <row r="856" spans="2:12" ht="16.5">
      <c r="B856" s="21"/>
      <c r="C856" s="21" t="s">
        <v>1521</v>
      </c>
      <c r="D856" s="22" t="s">
        <v>1330</v>
      </c>
      <c r="E856" s="22" t="s">
        <v>1261</v>
      </c>
      <c r="F856" s="22" t="s">
        <v>391</v>
      </c>
      <c r="G856" s="67">
        <v>1013</v>
      </c>
      <c r="H856" t="str">
        <f t="shared" si="27"/>
        <v>THEA1013</v>
      </c>
      <c r="I856">
        <f t="shared" si="28"/>
        <v>0</v>
      </c>
      <c r="J856" s="158"/>
      <c r="L856" s="158"/>
    </row>
    <row r="857" spans="2:12" ht="16.5">
      <c r="B857" s="21"/>
      <c r="C857" s="21" t="s">
        <v>1521</v>
      </c>
      <c r="D857" s="22" t="s">
        <v>1330</v>
      </c>
      <c r="E857" s="22" t="s">
        <v>1262</v>
      </c>
      <c r="F857" s="22" t="s">
        <v>391</v>
      </c>
      <c r="G857" s="23">
        <v>1013</v>
      </c>
      <c r="H857" t="str">
        <f t="shared" si="27"/>
        <v>THEA1013</v>
      </c>
      <c r="I857">
        <f t="shared" si="28"/>
        <v>0</v>
      </c>
      <c r="J857" s="158"/>
      <c r="L857" s="158"/>
    </row>
    <row r="858" spans="2:12" ht="16.5">
      <c r="B858" s="21"/>
      <c r="C858" s="21" t="s">
        <v>1521</v>
      </c>
      <c r="D858" s="22" t="s">
        <v>1330</v>
      </c>
      <c r="E858" s="22" t="s">
        <v>551</v>
      </c>
      <c r="F858" s="22" t="s">
        <v>391</v>
      </c>
      <c r="G858" s="67">
        <v>1013</v>
      </c>
      <c r="H858" t="str">
        <f t="shared" si="27"/>
        <v>THEA1013</v>
      </c>
      <c r="I858">
        <f t="shared" si="28"/>
        <v>0</v>
      </c>
      <c r="J858" s="158"/>
      <c r="L858" s="158"/>
    </row>
    <row r="859" spans="2:12" ht="16.5">
      <c r="B859" s="21"/>
      <c r="C859" s="21" t="s">
        <v>1521</v>
      </c>
      <c r="D859" s="22" t="s">
        <v>1330</v>
      </c>
      <c r="E859" s="22" t="s">
        <v>1586</v>
      </c>
      <c r="F859" s="22" t="s">
        <v>391</v>
      </c>
      <c r="G859" s="67">
        <v>1013</v>
      </c>
      <c r="H859" t="str">
        <f t="shared" si="27"/>
        <v>THEA1013</v>
      </c>
      <c r="I859">
        <f t="shared" si="28"/>
        <v>0</v>
      </c>
      <c r="J859" s="158"/>
      <c r="L859" s="158"/>
    </row>
    <row r="860" spans="2:12" ht="16.5">
      <c r="B860" s="125"/>
      <c r="C860" s="125" t="s">
        <v>1521</v>
      </c>
      <c r="D860" s="131" t="s">
        <v>1330</v>
      </c>
      <c r="E860" s="132" t="s">
        <v>739</v>
      </c>
      <c r="F860" s="131" t="s">
        <v>391</v>
      </c>
      <c r="G860" s="133">
        <v>1013</v>
      </c>
      <c r="H860" t="str">
        <f t="shared" si="27"/>
        <v>THEA1013</v>
      </c>
      <c r="I860">
        <f t="shared" si="28"/>
        <v>1</v>
      </c>
      <c r="J860" s="158"/>
      <c r="L860" s="158"/>
    </row>
    <row r="861" spans="2:12" ht="16.5">
      <c r="B861" s="21"/>
      <c r="C861" s="21" t="s">
        <v>1521</v>
      </c>
      <c r="D861" s="22" t="s">
        <v>1330</v>
      </c>
      <c r="E861" s="22" t="s">
        <v>1586</v>
      </c>
      <c r="F861" s="22" t="s">
        <v>391</v>
      </c>
      <c r="G861" s="67">
        <v>1023</v>
      </c>
      <c r="H861" t="str">
        <f t="shared" si="27"/>
        <v>THEA1023</v>
      </c>
      <c r="I861">
        <f t="shared" si="28"/>
        <v>1</v>
      </c>
      <c r="J861" s="158"/>
      <c r="L861" s="158"/>
    </row>
    <row r="862" spans="2:12" ht="16.5">
      <c r="B862" s="45"/>
      <c r="C862" s="21" t="s">
        <v>1521</v>
      </c>
      <c r="D862" s="22" t="s">
        <v>1330</v>
      </c>
      <c r="E862" s="22" t="s">
        <v>1262</v>
      </c>
      <c r="F862" s="22" t="s">
        <v>391</v>
      </c>
      <c r="G862" s="22" t="s">
        <v>246</v>
      </c>
      <c r="H862" t="str">
        <f t="shared" si="27"/>
        <v>THEA1033</v>
      </c>
      <c r="I862">
        <f t="shared" si="28"/>
        <v>1</v>
      </c>
      <c r="J862" s="158"/>
      <c r="L862" s="158"/>
    </row>
    <row r="863" spans="2:12" ht="16.5">
      <c r="B863" s="21"/>
      <c r="C863" s="21" t="s">
        <v>1522</v>
      </c>
      <c r="D863" s="22"/>
      <c r="E863" s="22" t="s">
        <v>1261</v>
      </c>
      <c r="F863" s="22" t="s">
        <v>391</v>
      </c>
      <c r="G863" s="68">
        <v>2726</v>
      </c>
      <c r="H863" t="str">
        <f t="shared" si="27"/>
        <v>THEA2726</v>
      </c>
      <c r="I863">
        <f t="shared" si="28"/>
        <v>1</v>
      </c>
      <c r="J863" s="158"/>
      <c r="L863" s="158"/>
    </row>
    <row r="864" spans="2:12" ht="16.5">
      <c r="B864" s="21"/>
      <c r="C864" s="21" t="s">
        <v>1522</v>
      </c>
      <c r="D864" s="22"/>
      <c r="E864" s="22" t="s">
        <v>1261</v>
      </c>
      <c r="F864" s="22" t="s">
        <v>391</v>
      </c>
      <c r="G864" s="67">
        <v>2746</v>
      </c>
      <c r="H864" t="str">
        <f t="shared" si="27"/>
        <v>THEA2746</v>
      </c>
      <c r="I864">
        <f t="shared" si="28"/>
        <v>1</v>
      </c>
      <c r="J864" s="158"/>
      <c r="L864" s="158"/>
    </row>
    <row r="865" spans="2:12" ht="16.5">
      <c r="B865" s="21" t="s">
        <v>101</v>
      </c>
      <c r="C865" s="21" t="s">
        <v>1521</v>
      </c>
      <c r="D865" s="22" t="s">
        <v>1331</v>
      </c>
      <c r="E865" s="22" t="s">
        <v>551</v>
      </c>
      <c r="F865" s="22" t="s">
        <v>551</v>
      </c>
      <c r="G865" s="67">
        <v>1000</v>
      </c>
      <c r="H865" t="str">
        <f t="shared" si="27"/>
        <v>USU1000</v>
      </c>
      <c r="I865">
        <f t="shared" si="28"/>
        <v>1</v>
      </c>
      <c r="J865" s="158"/>
      <c r="L865" s="158"/>
    </row>
    <row r="866" spans="2:12" ht="16.5">
      <c r="B866" s="21"/>
      <c r="C866" s="21" t="s">
        <v>1522</v>
      </c>
      <c r="D866" s="22" t="s">
        <v>70</v>
      </c>
      <c r="E866" s="22" t="s">
        <v>551</v>
      </c>
      <c r="F866" s="22" t="s">
        <v>551</v>
      </c>
      <c r="G866" s="67">
        <v>1300</v>
      </c>
      <c r="H866" t="str">
        <f t="shared" si="27"/>
        <v>USU1300</v>
      </c>
      <c r="I866">
        <f t="shared" si="28"/>
        <v>1</v>
      </c>
      <c r="J866" s="158"/>
      <c r="L866" s="158"/>
    </row>
    <row r="867" spans="2:12" ht="16.5">
      <c r="B867" s="21"/>
      <c r="C867" s="21" t="s">
        <v>1521</v>
      </c>
      <c r="D867" s="22" t="s">
        <v>534</v>
      </c>
      <c r="E867" s="22" t="s">
        <v>551</v>
      </c>
      <c r="F867" s="22" t="s">
        <v>551</v>
      </c>
      <c r="G867" s="67">
        <v>1320</v>
      </c>
      <c r="H867" t="str">
        <f t="shared" si="27"/>
        <v>USU1320</v>
      </c>
      <c r="I867">
        <f t="shared" si="28"/>
        <v>1</v>
      </c>
      <c r="J867" s="158"/>
      <c r="L867" s="158"/>
    </row>
    <row r="868" spans="2:12" ht="16.5">
      <c r="B868" s="21"/>
      <c r="C868" s="21" t="s">
        <v>1521</v>
      </c>
      <c r="D868" s="22" t="s">
        <v>1330</v>
      </c>
      <c r="E868" s="22" t="s">
        <v>551</v>
      </c>
      <c r="F868" s="22" t="s">
        <v>551</v>
      </c>
      <c r="G868" s="67">
        <v>1330</v>
      </c>
      <c r="H868" t="str">
        <f t="shared" si="27"/>
        <v>USU1330</v>
      </c>
      <c r="I868">
        <f t="shared" si="28"/>
        <v>1</v>
      </c>
      <c r="J868" s="158"/>
      <c r="L868" s="158"/>
    </row>
    <row r="869" spans="2:12" ht="16.5">
      <c r="B869" s="21"/>
      <c r="C869" s="21" t="s">
        <v>1522</v>
      </c>
      <c r="D869" s="22" t="s">
        <v>540</v>
      </c>
      <c r="E869" s="22" t="s">
        <v>551</v>
      </c>
      <c r="F869" s="22" t="s">
        <v>551</v>
      </c>
      <c r="G869" s="67">
        <v>1350</v>
      </c>
      <c r="H869" t="str">
        <f t="shared" si="27"/>
        <v>USU1350</v>
      </c>
      <c r="I869">
        <f t="shared" si="28"/>
        <v>1</v>
      </c>
      <c r="J869" s="158"/>
      <c r="L869" s="158"/>
    </row>
    <row r="870" spans="2:12" ht="16.5">
      <c r="B870" s="21"/>
      <c r="C870" s="21" t="s">
        <v>1522</v>
      </c>
      <c r="D870" s="22" t="s">
        <v>1332</v>
      </c>
      <c r="E870" s="22" t="s">
        <v>551</v>
      </c>
      <c r="F870" s="22" t="s">
        <v>551</v>
      </c>
      <c r="G870" s="67">
        <v>1360</v>
      </c>
      <c r="H870" t="str">
        <f t="shared" si="27"/>
        <v>USU1360</v>
      </c>
      <c r="I870">
        <f t="shared" si="28"/>
        <v>1</v>
      </c>
      <c r="J870" s="158"/>
      <c r="L870" s="158"/>
    </row>
    <row r="871" spans="2:12" ht="16.5">
      <c r="B871" s="21" t="s">
        <v>118</v>
      </c>
      <c r="C871" s="21" t="s">
        <v>1522</v>
      </c>
      <c r="D871" s="22"/>
      <c r="E871" s="22" t="s">
        <v>1195</v>
      </c>
      <c r="F871" s="22" t="s">
        <v>462</v>
      </c>
      <c r="G871" s="67" t="s">
        <v>1532</v>
      </c>
      <c r="H871" t="str">
        <f t="shared" si="27"/>
        <v>VT1300</v>
      </c>
      <c r="I871">
        <f t="shared" si="28"/>
        <v>1</v>
      </c>
      <c r="J871" s="158"/>
      <c r="L871" s="158"/>
    </row>
    <row r="872" spans="2:12" ht="16.5">
      <c r="B872" s="21" t="s">
        <v>121</v>
      </c>
      <c r="C872" s="21" t="s">
        <v>1522</v>
      </c>
      <c r="D872" s="22"/>
      <c r="E872" s="22" t="s">
        <v>1195</v>
      </c>
      <c r="F872" s="22" t="s">
        <v>462</v>
      </c>
      <c r="G872" s="67" t="s">
        <v>1534</v>
      </c>
      <c r="H872" t="str">
        <f t="shared" si="27"/>
        <v>VT1400</v>
      </c>
      <c r="I872">
        <f t="shared" si="28"/>
        <v>1</v>
      </c>
      <c r="J872" s="158"/>
      <c r="L872" s="158"/>
    </row>
    <row r="873" spans="2:12" ht="16.5">
      <c r="B873" s="21" t="s">
        <v>1451</v>
      </c>
      <c r="C873" s="21" t="s">
        <v>1522</v>
      </c>
      <c r="D873" s="22"/>
      <c r="E873" s="22" t="s">
        <v>1195</v>
      </c>
      <c r="F873" s="22" t="s">
        <v>462</v>
      </c>
      <c r="G873" s="67" t="s">
        <v>451</v>
      </c>
      <c r="H873" t="str">
        <f t="shared" si="27"/>
        <v>VT2600</v>
      </c>
      <c r="I873">
        <f t="shared" si="28"/>
        <v>1</v>
      </c>
      <c r="J873" s="158"/>
      <c r="L873" s="158"/>
    </row>
    <row r="874" spans="2:12" ht="16.5">
      <c r="B874" s="21" t="s">
        <v>872</v>
      </c>
      <c r="C874" s="21" t="s">
        <v>1522</v>
      </c>
      <c r="D874" s="22"/>
      <c r="E874" s="22" t="s">
        <v>1261</v>
      </c>
      <c r="F874" s="162" t="s">
        <v>432</v>
      </c>
      <c r="G874" s="164">
        <v>1010</v>
      </c>
      <c r="H874" t="str">
        <f t="shared" si="27"/>
        <v>WELD1010</v>
      </c>
      <c r="I874">
        <f t="shared" si="28"/>
        <v>0</v>
      </c>
      <c r="J874" s="158"/>
      <c r="L874" s="158"/>
    </row>
    <row r="875" spans="2:12" ht="16.5">
      <c r="B875" s="21" t="s">
        <v>582</v>
      </c>
      <c r="C875" s="21" t="s">
        <v>1522</v>
      </c>
      <c r="D875" s="22"/>
      <c r="E875" s="22" t="s">
        <v>1261</v>
      </c>
      <c r="F875" s="162" t="s">
        <v>432</v>
      </c>
      <c r="G875" s="164">
        <v>1010</v>
      </c>
      <c r="H875" t="str">
        <f t="shared" si="27"/>
        <v>WELD1010</v>
      </c>
      <c r="I875">
        <f t="shared" si="28"/>
        <v>1</v>
      </c>
      <c r="J875" s="158"/>
      <c r="L875" s="158"/>
    </row>
    <row r="876" spans="2:12" ht="16.5">
      <c r="B876" s="21" t="s">
        <v>872</v>
      </c>
      <c r="C876" s="21" t="s">
        <v>1522</v>
      </c>
      <c r="D876" s="22"/>
      <c r="E876" s="22" t="s">
        <v>1261</v>
      </c>
      <c r="F876" s="162" t="s">
        <v>432</v>
      </c>
      <c r="G876" s="164">
        <v>1020</v>
      </c>
      <c r="H876" t="str">
        <f t="shared" si="27"/>
        <v>WELD1020</v>
      </c>
      <c r="I876">
        <f t="shared" si="28"/>
        <v>0</v>
      </c>
      <c r="J876" s="158"/>
      <c r="L876" s="158"/>
    </row>
    <row r="877" spans="2:12" ht="16.5">
      <c r="B877" s="21" t="s">
        <v>582</v>
      </c>
      <c r="C877" s="21" t="s">
        <v>1522</v>
      </c>
      <c r="D877" s="22"/>
      <c r="E877" s="22" t="s">
        <v>1261</v>
      </c>
      <c r="F877" s="162" t="s">
        <v>432</v>
      </c>
      <c r="G877" s="164">
        <v>1020</v>
      </c>
      <c r="H877" t="str">
        <f t="shared" si="27"/>
        <v>WELD1020</v>
      </c>
      <c r="I877">
        <f t="shared" si="28"/>
        <v>1</v>
      </c>
      <c r="J877" s="158"/>
      <c r="L877" s="158"/>
    </row>
    <row r="878" spans="2:12" ht="16.5">
      <c r="B878" s="21" t="s">
        <v>582</v>
      </c>
      <c r="C878" s="21" t="s">
        <v>1522</v>
      </c>
      <c r="D878" s="22"/>
      <c r="E878" s="96" t="s">
        <v>1526</v>
      </c>
      <c r="F878" s="22" t="s">
        <v>432</v>
      </c>
      <c r="G878" s="67" t="s">
        <v>1078</v>
      </c>
      <c r="H878" t="str">
        <f t="shared" si="27"/>
        <v>WELD1100</v>
      </c>
      <c r="I878">
        <f t="shared" si="28"/>
        <v>1</v>
      </c>
      <c r="J878" s="158"/>
      <c r="L878" s="158"/>
    </row>
    <row r="879" spans="2:12" ht="16.5">
      <c r="B879" s="21" t="s">
        <v>582</v>
      </c>
      <c r="C879" s="21" t="s">
        <v>1522</v>
      </c>
      <c r="D879" s="22"/>
      <c r="E879" s="96" t="s">
        <v>1526</v>
      </c>
      <c r="F879" s="22" t="s">
        <v>432</v>
      </c>
      <c r="G879" s="67" t="s">
        <v>433</v>
      </c>
      <c r="H879" t="str">
        <f t="shared" si="27"/>
        <v>WELD1120</v>
      </c>
      <c r="I879">
        <f t="shared" ref="I879:I888" si="29">IF(H879=H880,0,1)</f>
        <v>1</v>
      </c>
      <c r="J879" s="158"/>
      <c r="L879" s="158"/>
    </row>
    <row r="880" spans="2:12" ht="16.5">
      <c r="B880" s="21" t="s">
        <v>582</v>
      </c>
      <c r="C880" s="21" t="s">
        <v>1522</v>
      </c>
      <c r="D880" s="22"/>
      <c r="E880" s="96" t="s">
        <v>1526</v>
      </c>
      <c r="F880" s="22" t="s">
        <v>432</v>
      </c>
      <c r="G880" s="67" t="s">
        <v>434</v>
      </c>
      <c r="H880" t="str">
        <f t="shared" ref="H880:H888" si="30">CONCATENATE(F880,G880)</f>
        <v>WELD1130</v>
      </c>
      <c r="I880">
        <f>IF(H880=H884,0,1)</f>
        <v>1</v>
      </c>
      <c r="J880" s="158"/>
      <c r="L880" s="158"/>
    </row>
    <row r="881" spans="2:14" ht="16.5">
      <c r="B881" s="105" t="s">
        <v>848</v>
      </c>
      <c r="C881" s="105" t="s">
        <v>1522</v>
      </c>
      <c r="D881" s="87"/>
      <c r="E881" s="107" t="s">
        <v>1586</v>
      </c>
      <c r="F881" s="107" t="s">
        <v>928</v>
      </c>
      <c r="G881" s="94" t="s">
        <v>1532</v>
      </c>
      <c r="H881" t="str">
        <f t="shared" ref="H881" si="31">CONCATENATE(F881,G881)</f>
        <v>HLTH1300</v>
      </c>
      <c r="I881">
        <f>IF(H881=H885,0,1)</f>
        <v>1</v>
      </c>
      <c r="J881" s="95"/>
      <c r="L881" s="158"/>
    </row>
    <row r="882" spans="2:14" ht="16.5">
      <c r="B882" s="21" t="s">
        <v>2499</v>
      </c>
      <c r="C882" s="146" t="s">
        <v>1522</v>
      </c>
      <c r="D882" s="148"/>
      <c r="E882" s="148" t="s">
        <v>1586</v>
      </c>
      <c r="F882" s="148" t="s">
        <v>366</v>
      </c>
      <c r="G882" s="177">
        <v>2010</v>
      </c>
      <c r="H882" t="str">
        <f t="shared" ref="H882" si="32">CONCATENATE(F882,G882)</f>
        <v>ACC2010</v>
      </c>
      <c r="I882">
        <f>IF(H882=H886,0,1)</f>
        <v>1</v>
      </c>
      <c r="J882" s="158"/>
      <c r="L882" s="158"/>
    </row>
    <row r="883" spans="2:14" ht="16.5">
      <c r="B883" s="21" t="s">
        <v>2500</v>
      </c>
      <c r="C883" s="105" t="s">
        <v>1522</v>
      </c>
      <c r="D883" s="87"/>
      <c r="E883" s="22" t="s">
        <v>1586</v>
      </c>
      <c r="F883" s="107" t="s">
        <v>1529</v>
      </c>
      <c r="G883" s="94">
        <v>2430</v>
      </c>
      <c r="H883" t="str">
        <f t="shared" ref="H883" si="33">CONCATENATE(F883,G883)</f>
        <v>ART2430</v>
      </c>
      <c r="I883">
        <f>IF(H883=H887,0,1)</f>
        <v>1</v>
      </c>
      <c r="J883" s="158"/>
      <c r="L883" s="158"/>
    </row>
    <row r="884" spans="2:14" ht="16.5">
      <c r="B884" s="58" t="s">
        <v>582</v>
      </c>
      <c r="C884" s="58" t="s">
        <v>1522</v>
      </c>
      <c r="D884" s="61"/>
      <c r="E884" s="22" t="s">
        <v>1261</v>
      </c>
      <c r="F884" s="61" t="s">
        <v>432</v>
      </c>
      <c r="G884" s="69">
        <v>1303</v>
      </c>
      <c r="H884" t="str">
        <f t="shared" si="30"/>
        <v>WELD1303</v>
      </c>
      <c r="I884">
        <f t="shared" si="29"/>
        <v>1</v>
      </c>
      <c r="J884" s="158"/>
      <c r="L884" s="158"/>
    </row>
    <row r="885" spans="2:14" ht="16.5">
      <c r="B885" s="58" t="s">
        <v>582</v>
      </c>
      <c r="C885" s="58" t="s">
        <v>1522</v>
      </c>
      <c r="D885" s="61"/>
      <c r="E885" s="22" t="s">
        <v>1261</v>
      </c>
      <c r="F885" s="61" t="s">
        <v>432</v>
      </c>
      <c r="G885" s="69">
        <v>1305</v>
      </c>
      <c r="H885" t="str">
        <f t="shared" si="30"/>
        <v>WELD1305</v>
      </c>
      <c r="I885">
        <f t="shared" si="29"/>
        <v>1</v>
      </c>
      <c r="J885" s="158"/>
      <c r="L885" s="158"/>
    </row>
    <row r="886" spans="2:14" ht="16.5">
      <c r="B886" s="21" t="s">
        <v>582</v>
      </c>
      <c r="C886" s="21" t="s">
        <v>1522</v>
      </c>
      <c r="D886" s="22"/>
      <c r="E886" s="22" t="s">
        <v>463</v>
      </c>
      <c r="F886" s="22" t="s">
        <v>347</v>
      </c>
      <c r="G886" s="68" t="s">
        <v>1127</v>
      </c>
      <c r="H886" t="str">
        <f t="shared" si="30"/>
        <v>WLD1005</v>
      </c>
      <c r="I886">
        <f t="shared" si="29"/>
        <v>1</v>
      </c>
      <c r="J886" s="158"/>
      <c r="L886" s="158"/>
    </row>
    <row r="887" spans="2:14" ht="16.5">
      <c r="B887" s="21" t="s">
        <v>582</v>
      </c>
      <c r="C887" s="21" t="s">
        <v>1522</v>
      </c>
      <c r="D887" s="22"/>
      <c r="E887" s="22" t="s">
        <v>463</v>
      </c>
      <c r="F887" s="22" t="s">
        <v>347</v>
      </c>
      <c r="G887" s="68" t="s">
        <v>436</v>
      </c>
      <c r="H887" t="str">
        <f t="shared" si="30"/>
        <v>WLD1110</v>
      </c>
      <c r="I887">
        <f t="shared" si="29"/>
        <v>1</v>
      </c>
      <c r="J887" s="158"/>
      <c r="L887" s="158"/>
    </row>
    <row r="888" spans="2:14" ht="16.5">
      <c r="B888" s="21" t="s">
        <v>582</v>
      </c>
      <c r="C888" s="21" t="s">
        <v>1522</v>
      </c>
      <c r="D888" s="22"/>
      <c r="E888" s="22" t="s">
        <v>463</v>
      </c>
      <c r="F888" s="22" t="s">
        <v>347</v>
      </c>
      <c r="G888" s="68" t="s">
        <v>1537</v>
      </c>
      <c r="H888" t="str">
        <f t="shared" si="30"/>
        <v>WLD1111</v>
      </c>
      <c r="I888">
        <f t="shared" si="29"/>
        <v>1</v>
      </c>
      <c r="J888" s="158"/>
      <c r="L888" s="158"/>
      <c r="M888" s="151" t="s">
        <v>1904</v>
      </c>
      <c r="N888">
        <f>COUNTA(L46:L888)</f>
        <v>33</v>
      </c>
    </row>
    <row r="889" spans="2:14">
      <c r="E889" s="158"/>
      <c r="G889"/>
      <c r="J889" s="158"/>
    </row>
    <row r="890" spans="2:14">
      <c r="H890">
        <f>COUNTA(G46:G888)</f>
        <v>843</v>
      </c>
      <c r="I890">
        <f>SUM(I46:I888)</f>
        <v>584</v>
      </c>
    </row>
    <row r="892" spans="2:14" hidden="1">
      <c r="C892" t="s">
        <v>1522</v>
      </c>
      <c r="D892" t="s">
        <v>1329</v>
      </c>
      <c r="E892" t="s">
        <v>1526</v>
      </c>
      <c r="F892" t="s">
        <v>1527</v>
      </c>
      <c r="G892" s="158" t="s">
        <v>1528</v>
      </c>
      <c r="H892" t="s">
        <v>1921</v>
      </c>
      <c r="I892">
        <v>0</v>
      </c>
    </row>
    <row r="893" spans="2:14" hidden="1">
      <c r="C893" t="s">
        <v>1521</v>
      </c>
      <c r="D893" t="s">
        <v>1330</v>
      </c>
      <c r="E893" t="s">
        <v>1526</v>
      </c>
      <c r="F893" t="s">
        <v>1529</v>
      </c>
      <c r="G893" s="158" t="s">
        <v>1528</v>
      </c>
      <c r="H893" t="s">
        <v>1929</v>
      </c>
      <c r="I893">
        <v>0</v>
      </c>
    </row>
    <row r="894" spans="2:14" hidden="1">
      <c r="C894" t="s">
        <v>1521</v>
      </c>
      <c r="D894" t="s">
        <v>1330</v>
      </c>
      <c r="E894" t="s">
        <v>1195</v>
      </c>
      <c r="F894" t="s">
        <v>1529</v>
      </c>
      <c r="G894" s="158">
        <v>1010</v>
      </c>
      <c r="H894" t="s">
        <v>1929</v>
      </c>
      <c r="I894">
        <v>0</v>
      </c>
    </row>
    <row r="895" spans="2:14" hidden="1">
      <c r="C895" t="s">
        <v>1521</v>
      </c>
      <c r="D895" t="s">
        <v>1330</v>
      </c>
      <c r="E895" t="s">
        <v>463</v>
      </c>
      <c r="F895" t="s">
        <v>1529</v>
      </c>
      <c r="G895" s="158">
        <v>1010</v>
      </c>
      <c r="H895" t="s">
        <v>1929</v>
      </c>
      <c r="I895">
        <v>0</v>
      </c>
    </row>
    <row r="896" spans="2:14" hidden="1">
      <c r="C896" t="s">
        <v>1521</v>
      </c>
      <c r="D896" t="s">
        <v>1330</v>
      </c>
      <c r="E896" t="s">
        <v>1261</v>
      </c>
      <c r="F896" t="s">
        <v>1529</v>
      </c>
      <c r="G896" s="158">
        <v>1010</v>
      </c>
      <c r="H896" t="s">
        <v>1929</v>
      </c>
      <c r="I896">
        <v>0</v>
      </c>
    </row>
    <row r="897" spans="2:9" hidden="1">
      <c r="C897" t="s">
        <v>1521</v>
      </c>
      <c r="D897" t="s">
        <v>1330</v>
      </c>
      <c r="E897" t="s">
        <v>1262</v>
      </c>
      <c r="F897" t="s">
        <v>1529</v>
      </c>
      <c r="G897" s="158" t="s">
        <v>1528</v>
      </c>
      <c r="H897" t="s">
        <v>1929</v>
      </c>
      <c r="I897">
        <v>0</v>
      </c>
    </row>
    <row r="898" spans="2:9" hidden="1">
      <c r="C898" t="s">
        <v>1521</v>
      </c>
      <c r="D898" t="s">
        <v>1330</v>
      </c>
      <c r="E898" t="s">
        <v>551</v>
      </c>
      <c r="F898" t="s">
        <v>1529</v>
      </c>
      <c r="G898" s="158" t="s">
        <v>1528</v>
      </c>
      <c r="H898" t="s">
        <v>1929</v>
      </c>
      <c r="I898">
        <v>0</v>
      </c>
    </row>
    <row r="899" spans="2:9" hidden="1">
      <c r="C899" t="s">
        <v>1521</v>
      </c>
      <c r="D899" t="s">
        <v>1330</v>
      </c>
      <c r="E899" t="s">
        <v>463</v>
      </c>
      <c r="F899" t="s">
        <v>1529</v>
      </c>
      <c r="G899" s="158">
        <v>1020</v>
      </c>
      <c r="H899" t="s">
        <v>1930</v>
      </c>
      <c r="I899">
        <v>0</v>
      </c>
    </row>
    <row r="900" spans="2:9" hidden="1">
      <c r="B900" t="s">
        <v>1452</v>
      </c>
      <c r="C900" t="s">
        <v>1522</v>
      </c>
      <c r="D900" t="s">
        <v>1330</v>
      </c>
      <c r="E900" t="s">
        <v>463</v>
      </c>
      <c r="F900" t="s">
        <v>1529</v>
      </c>
      <c r="G900" s="158">
        <v>1020</v>
      </c>
      <c r="H900" t="s">
        <v>1930</v>
      </c>
      <c r="I900">
        <v>0</v>
      </c>
    </row>
    <row r="901" spans="2:9" hidden="1">
      <c r="C901" t="s">
        <v>1521</v>
      </c>
      <c r="E901" t="s">
        <v>1526</v>
      </c>
      <c r="F901" t="s">
        <v>1529</v>
      </c>
      <c r="G901" s="158" t="s">
        <v>436</v>
      </c>
      <c r="H901" t="s">
        <v>1933</v>
      </c>
      <c r="I901">
        <v>0</v>
      </c>
    </row>
    <row r="902" spans="2:9" hidden="1">
      <c r="C902" t="s">
        <v>1521</v>
      </c>
      <c r="D902" t="s">
        <v>1330</v>
      </c>
      <c r="E902" t="s">
        <v>1262</v>
      </c>
      <c r="F902" t="s">
        <v>1529</v>
      </c>
      <c r="G902" s="158" t="s">
        <v>436</v>
      </c>
      <c r="H902" t="s">
        <v>1933</v>
      </c>
      <c r="I902">
        <v>0</v>
      </c>
    </row>
    <row r="903" spans="2:9" hidden="1">
      <c r="C903" t="s">
        <v>1521</v>
      </c>
      <c r="E903" t="s">
        <v>463</v>
      </c>
      <c r="F903" t="s">
        <v>1529</v>
      </c>
      <c r="G903" s="158">
        <v>1120</v>
      </c>
      <c r="H903" t="s">
        <v>1934</v>
      </c>
      <c r="I903">
        <v>0</v>
      </c>
    </row>
    <row r="904" spans="2:9" hidden="1">
      <c r="C904" t="s">
        <v>1522</v>
      </c>
      <c r="E904" t="s">
        <v>1195</v>
      </c>
      <c r="F904" t="s">
        <v>437</v>
      </c>
      <c r="G904" s="158">
        <v>1010</v>
      </c>
      <c r="H904" t="s">
        <v>1956</v>
      </c>
      <c r="I904">
        <v>0</v>
      </c>
    </row>
    <row r="905" spans="2:9" hidden="1">
      <c r="C905" t="s">
        <v>1522</v>
      </c>
      <c r="E905" t="s">
        <v>1586</v>
      </c>
      <c r="F905" t="s">
        <v>437</v>
      </c>
      <c r="G905" s="158">
        <v>1010</v>
      </c>
      <c r="H905" t="s">
        <v>1956</v>
      </c>
      <c r="I905">
        <v>0</v>
      </c>
    </row>
    <row r="906" spans="2:9" hidden="1">
      <c r="C906" t="s">
        <v>1522</v>
      </c>
      <c r="E906" t="s">
        <v>1586</v>
      </c>
      <c r="F906" t="s">
        <v>437</v>
      </c>
      <c r="G906" s="158">
        <v>1020</v>
      </c>
      <c r="H906" t="s">
        <v>1957</v>
      </c>
      <c r="I906">
        <v>0</v>
      </c>
    </row>
    <row r="907" spans="2:9" hidden="1">
      <c r="B907" t="s">
        <v>568</v>
      </c>
      <c r="C907" t="s">
        <v>1522</v>
      </c>
      <c r="E907" t="s">
        <v>1262</v>
      </c>
      <c r="F907" t="s">
        <v>1530</v>
      </c>
      <c r="G907" s="158" t="s">
        <v>1548</v>
      </c>
      <c r="H907" t="s">
        <v>1998</v>
      </c>
      <c r="I907">
        <v>0</v>
      </c>
    </row>
    <row r="908" spans="2:9" hidden="1">
      <c r="B908" t="s">
        <v>564</v>
      </c>
      <c r="C908" t="s">
        <v>1522</v>
      </c>
      <c r="E908" t="s">
        <v>1526</v>
      </c>
      <c r="F908" t="s">
        <v>1533</v>
      </c>
      <c r="G908" s="158">
        <v>1010</v>
      </c>
      <c r="H908" t="s">
        <v>2013</v>
      </c>
      <c r="I908">
        <v>0</v>
      </c>
    </row>
    <row r="909" spans="2:9" hidden="1">
      <c r="C909" t="s">
        <v>1522</v>
      </c>
      <c r="D909" t="s">
        <v>540</v>
      </c>
      <c r="E909" t="s">
        <v>1526</v>
      </c>
      <c r="F909" t="s">
        <v>283</v>
      </c>
      <c r="G909" s="158">
        <v>1010</v>
      </c>
      <c r="H909" t="s">
        <v>2037</v>
      </c>
      <c r="I909">
        <v>0</v>
      </c>
    </row>
    <row r="910" spans="2:9" hidden="1">
      <c r="C910" t="s">
        <v>1522</v>
      </c>
      <c r="D910" t="s">
        <v>540</v>
      </c>
      <c r="E910" t="s">
        <v>1195</v>
      </c>
      <c r="F910" t="s">
        <v>283</v>
      </c>
      <c r="G910" s="158">
        <v>1010</v>
      </c>
      <c r="H910" t="s">
        <v>2037</v>
      </c>
      <c r="I910">
        <v>0</v>
      </c>
    </row>
    <row r="911" spans="2:9" hidden="1">
      <c r="C911" t="s">
        <v>1521</v>
      </c>
      <c r="D911" t="s">
        <v>540</v>
      </c>
      <c r="E911" t="s">
        <v>463</v>
      </c>
      <c r="F911" t="s">
        <v>283</v>
      </c>
      <c r="G911" s="158">
        <v>1010</v>
      </c>
      <c r="H911" t="s">
        <v>2037</v>
      </c>
      <c r="I911">
        <v>0</v>
      </c>
    </row>
    <row r="912" spans="2:9" hidden="1">
      <c r="C912" t="s">
        <v>1521</v>
      </c>
      <c r="D912" t="s">
        <v>540</v>
      </c>
      <c r="E912" t="s">
        <v>1261</v>
      </c>
      <c r="F912" t="s">
        <v>283</v>
      </c>
      <c r="G912" s="158">
        <v>1010</v>
      </c>
      <c r="H912" t="s">
        <v>2037</v>
      </c>
      <c r="I912">
        <v>0</v>
      </c>
    </row>
    <row r="913" spans="2:9" hidden="1">
      <c r="C913" t="s">
        <v>1521</v>
      </c>
      <c r="D913" t="s">
        <v>540</v>
      </c>
      <c r="E913" t="s">
        <v>1262</v>
      </c>
      <c r="F913" t="s">
        <v>283</v>
      </c>
      <c r="G913" s="158">
        <v>1010</v>
      </c>
      <c r="H913" t="s">
        <v>2037</v>
      </c>
      <c r="I913">
        <v>0</v>
      </c>
    </row>
    <row r="914" spans="2:9" hidden="1">
      <c r="C914" t="s">
        <v>1522</v>
      </c>
      <c r="D914" t="s">
        <v>540</v>
      </c>
      <c r="E914" t="s">
        <v>551</v>
      </c>
      <c r="F914" t="s">
        <v>283</v>
      </c>
      <c r="G914" s="158">
        <v>1010</v>
      </c>
      <c r="H914" t="s">
        <v>2037</v>
      </c>
      <c r="I914">
        <v>0</v>
      </c>
    </row>
    <row r="915" spans="2:9" hidden="1">
      <c r="C915" t="s">
        <v>1522</v>
      </c>
      <c r="E915" t="s">
        <v>1526</v>
      </c>
      <c r="F915" t="s">
        <v>283</v>
      </c>
      <c r="G915" s="158">
        <v>1015</v>
      </c>
      <c r="H915" t="s">
        <v>2038</v>
      </c>
      <c r="I915">
        <v>0</v>
      </c>
    </row>
    <row r="916" spans="2:9" hidden="1">
      <c r="C916" t="s">
        <v>1521</v>
      </c>
      <c r="E916" t="s">
        <v>463</v>
      </c>
      <c r="F916" t="s">
        <v>283</v>
      </c>
      <c r="G916" s="158">
        <v>1015</v>
      </c>
      <c r="H916" t="s">
        <v>2038</v>
      </c>
      <c r="I916">
        <v>0</v>
      </c>
    </row>
    <row r="917" spans="2:9" hidden="1">
      <c r="C917" t="s">
        <v>1521</v>
      </c>
      <c r="E917" t="s">
        <v>1262</v>
      </c>
      <c r="F917" t="s">
        <v>283</v>
      </c>
      <c r="G917" s="158" t="s">
        <v>713</v>
      </c>
      <c r="H917" t="s">
        <v>2038</v>
      </c>
      <c r="I917">
        <v>0</v>
      </c>
    </row>
    <row r="918" spans="2:9" hidden="1">
      <c r="C918" t="s">
        <v>1522</v>
      </c>
      <c r="D918" t="s">
        <v>540</v>
      </c>
      <c r="E918" t="s">
        <v>463</v>
      </c>
      <c r="F918" t="s">
        <v>283</v>
      </c>
      <c r="G918" s="158">
        <v>1070</v>
      </c>
      <c r="H918" t="s">
        <v>2041</v>
      </c>
      <c r="I918">
        <v>0</v>
      </c>
    </row>
    <row r="919" spans="2:9" hidden="1">
      <c r="C919" t="s">
        <v>1522</v>
      </c>
      <c r="D919" t="s">
        <v>540</v>
      </c>
      <c r="E919" t="s">
        <v>463</v>
      </c>
      <c r="F919" t="s">
        <v>283</v>
      </c>
      <c r="G919" s="158">
        <v>1110</v>
      </c>
      <c r="H919" t="s">
        <v>2043</v>
      </c>
      <c r="I919">
        <v>0</v>
      </c>
    </row>
    <row r="920" spans="2:9" hidden="1">
      <c r="B920" t="s">
        <v>885</v>
      </c>
      <c r="C920" t="s">
        <v>1522</v>
      </c>
      <c r="D920" t="s">
        <v>540</v>
      </c>
      <c r="E920" t="s">
        <v>1195</v>
      </c>
      <c r="F920" t="s">
        <v>283</v>
      </c>
      <c r="G920" s="158">
        <v>1500</v>
      </c>
      <c r="H920" t="s">
        <v>2045</v>
      </c>
      <c r="I920">
        <v>0</v>
      </c>
    </row>
    <row r="921" spans="2:9" hidden="1">
      <c r="C921" t="s">
        <v>1522</v>
      </c>
      <c r="E921" t="s">
        <v>1526</v>
      </c>
      <c r="F921" t="s">
        <v>283</v>
      </c>
      <c r="G921" s="158">
        <v>1500</v>
      </c>
      <c r="H921" t="s">
        <v>2045</v>
      </c>
      <c r="I921">
        <v>0</v>
      </c>
    </row>
    <row r="922" spans="2:9" hidden="1">
      <c r="C922" t="s">
        <v>1521</v>
      </c>
      <c r="D922" t="s">
        <v>540</v>
      </c>
      <c r="E922" t="s">
        <v>1195</v>
      </c>
      <c r="F922" t="s">
        <v>283</v>
      </c>
      <c r="G922" s="158">
        <v>1610</v>
      </c>
      <c r="H922" t="s">
        <v>2047</v>
      </c>
      <c r="I922">
        <v>0</v>
      </c>
    </row>
    <row r="923" spans="2:9" hidden="1">
      <c r="C923" t="s">
        <v>1522</v>
      </c>
      <c r="D923" t="s">
        <v>540</v>
      </c>
      <c r="E923" t="s">
        <v>1526</v>
      </c>
      <c r="F923" t="s">
        <v>283</v>
      </c>
      <c r="G923" s="158">
        <v>1610</v>
      </c>
      <c r="H923" t="s">
        <v>2047</v>
      </c>
      <c r="I923">
        <v>0</v>
      </c>
    </row>
    <row r="924" spans="2:9" hidden="1">
      <c r="C924" t="s">
        <v>1521</v>
      </c>
      <c r="D924" t="s">
        <v>540</v>
      </c>
      <c r="E924" t="s">
        <v>463</v>
      </c>
      <c r="F924" t="s">
        <v>283</v>
      </c>
      <c r="G924" s="158">
        <v>1610</v>
      </c>
      <c r="H924" t="s">
        <v>2047</v>
      </c>
      <c r="I924">
        <v>0</v>
      </c>
    </row>
    <row r="925" spans="2:9" hidden="1">
      <c r="C925" t="s">
        <v>1521</v>
      </c>
      <c r="E925" t="s">
        <v>1195</v>
      </c>
      <c r="F925" t="s">
        <v>283</v>
      </c>
      <c r="G925" s="158">
        <v>1615</v>
      </c>
      <c r="H925" t="s">
        <v>2048</v>
      </c>
      <c r="I925">
        <v>0</v>
      </c>
    </row>
    <row r="926" spans="2:9" hidden="1">
      <c r="C926" t="s">
        <v>1522</v>
      </c>
      <c r="E926" t="s">
        <v>1526</v>
      </c>
      <c r="F926" t="s">
        <v>283</v>
      </c>
      <c r="G926" s="158">
        <v>1615</v>
      </c>
      <c r="H926" t="s">
        <v>2048</v>
      </c>
      <c r="I926">
        <v>0</v>
      </c>
    </row>
    <row r="927" spans="2:9" hidden="1">
      <c r="C927" t="s">
        <v>1521</v>
      </c>
      <c r="E927" t="s">
        <v>463</v>
      </c>
      <c r="F927" t="s">
        <v>283</v>
      </c>
      <c r="G927" s="158">
        <v>1615</v>
      </c>
      <c r="H927" t="s">
        <v>2048</v>
      </c>
      <c r="I927">
        <v>0</v>
      </c>
    </row>
    <row r="928" spans="2:9" hidden="1">
      <c r="C928" t="s">
        <v>1522</v>
      </c>
      <c r="D928" t="s">
        <v>540</v>
      </c>
      <c r="E928" t="s">
        <v>1262</v>
      </c>
      <c r="F928" t="s">
        <v>283</v>
      </c>
      <c r="G928" s="158">
        <v>1620</v>
      </c>
      <c r="H928" t="s">
        <v>2049</v>
      </c>
      <c r="I928">
        <v>0</v>
      </c>
    </row>
    <row r="929" spans="2:9" hidden="1">
      <c r="C929" t="s">
        <v>1522</v>
      </c>
      <c r="E929" t="s">
        <v>1526</v>
      </c>
      <c r="F929" t="s">
        <v>283</v>
      </c>
      <c r="G929" s="158">
        <v>1620</v>
      </c>
      <c r="H929" t="s">
        <v>2049</v>
      </c>
      <c r="I929">
        <v>0</v>
      </c>
    </row>
    <row r="930" spans="2:9" hidden="1">
      <c r="C930" t="s">
        <v>1521</v>
      </c>
      <c r="E930" t="s">
        <v>1262</v>
      </c>
      <c r="F930" t="s">
        <v>283</v>
      </c>
      <c r="G930" s="158">
        <v>1625</v>
      </c>
      <c r="H930" t="s">
        <v>2050</v>
      </c>
      <c r="I930">
        <v>0</v>
      </c>
    </row>
    <row r="931" spans="2:9" hidden="1">
      <c r="C931" t="s">
        <v>1522</v>
      </c>
      <c r="E931" t="s">
        <v>1526</v>
      </c>
      <c r="F931" t="s">
        <v>283</v>
      </c>
      <c r="G931" s="158">
        <v>2030</v>
      </c>
      <c r="H931" t="s">
        <v>2055</v>
      </c>
      <c r="I931">
        <v>0</v>
      </c>
    </row>
    <row r="932" spans="2:9" hidden="1">
      <c r="C932" t="s">
        <v>1522</v>
      </c>
      <c r="E932" t="s">
        <v>1526</v>
      </c>
      <c r="F932" t="s">
        <v>283</v>
      </c>
      <c r="G932" s="158">
        <v>2035</v>
      </c>
      <c r="H932" t="s">
        <v>2056</v>
      </c>
      <c r="I932">
        <v>0</v>
      </c>
    </row>
    <row r="933" spans="2:9" hidden="1">
      <c r="C933" t="s">
        <v>1522</v>
      </c>
      <c r="E933" t="s">
        <v>463</v>
      </c>
      <c r="F933" t="s">
        <v>283</v>
      </c>
      <c r="G933" s="158">
        <v>2060</v>
      </c>
      <c r="H933" t="s">
        <v>2057</v>
      </c>
      <c r="I933">
        <v>0</v>
      </c>
    </row>
    <row r="934" spans="2:9" hidden="1">
      <c r="C934" t="s">
        <v>1522</v>
      </c>
      <c r="E934" t="s">
        <v>463</v>
      </c>
      <c r="F934" t="s">
        <v>283</v>
      </c>
      <c r="G934" s="158">
        <v>2065</v>
      </c>
      <c r="H934" t="s">
        <v>2058</v>
      </c>
      <c r="I934">
        <v>0</v>
      </c>
    </row>
    <row r="935" spans="2:9" hidden="1">
      <c r="C935" t="s">
        <v>1522</v>
      </c>
      <c r="E935" t="s">
        <v>1526</v>
      </c>
      <c r="F935" t="s">
        <v>283</v>
      </c>
      <c r="G935" s="158">
        <v>2320</v>
      </c>
      <c r="H935" t="s">
        <v>2059</v>
      </c>
      <c r="I935">
        <v>0</v>
      </c>
    </row>
    <row r="936" spans="2:9" hidden="1">
      <c r="B936" t="s">
        <v>881</v>
      </c>
      <c r="C936" t="s">
        <v>1522</v>
      </c>
      <c r="E936" t="s">
        <v>1526</v>
      </c>
      <c r="F936" t="s">
        <v>283</v>
      </c>
      <c r="G936" s="158">
        <v>2320</v>
      </c>
      <c r="H936" t="s">
        <v>2059</v>
      </c>
      <c r="I936">
        <v>0</v>
      </c>
    </row>
    <row r="937" spans="2:9" hidden="1">
      <c r="C937" t="s">
        <v>1522</v>
      </c>
      <c r="E937" t="s">
        <v>463</v>
      </c>
      <c r="F937" t="s">
        <v>283</v>
      </c>
      <c r="G937" s="158">
        <v>2320</v>
      </c>
      <c r="H937" t="s">
        <v>2059</v>
      </c>
      <c r="I937">
        <v>0</v>
      </c>
    </row>
    <row r="938" spans="2:9" hidden="1">
      <c r="C938" t="s">
        <v>1522</v>
      </c>
      <c r="E938" t="s">
        <v>1526</v>
      </c>
      <c r="F938" t="s">
        <v>283</v>
      </c>
      <c r="G938" s="158">
        <v>2325</v>
      </c>
      <c r="H938" t="s">
        <v>2060</v>
      </c>
      <c r="I938">
        <v>0</v>
      </c>
    </row>
    <row r="939" spans="2:9" hidden="1">
      <c r="C939" t="s">
        <v>1521</v>
      </c>
      <c r="E939" t="s">
        <v>1526</v>
      </c>
      <c r="F939" t="s">
        <v>283</v>
      </c>
      <c r="G939" s="158">
        <v>2420</v>
      </c>
      <c r="H939" t="s">
        <v>2061</v>
      </c>
      <c r="I939">
        <v>0</v>
      </c>
    </row>
    <row r="940" spans="2:9" hidden="1">
      <c r="C940" t="s">
        <v>1521</v>
      </c>
      <c r="E940" t="s">
        <v>1526</v>
      </c>
      <c r="F940" t="s">
        <v>283</v>
      </c>
      <c r="G940" s="158">
        <v>2425</v>
      </c>
      <c r="H940" t="s">
        <v>2062</v>
      </c>
      <c r="I940">
        <v>0</v>
      </c>
    </row>
    <row r="941" spans="2:9" hidden="1">
      <c r="B941" t="s">
        <v>885</v>
      </c>
      <c r="C941" t="s">
        <v>1522</v>
      </c>
      <c r="E941" t="s">
        <v>463</v>
      </c>
      <c r="F941" t="s">
        <v>915</v>
      </c>
      <c r="G941" s="158">
        <v>1010</v>
      </c>
      <c r="H941" t="s">
        <v>2077</v>
      </c>
      <c r="I941">
        <v>0</v>
      </c>
    </row>
    <row r="942" spans="2:9" hidden="1">
      <c r="C942" t="s">
        <v>1522</v>
      </c>
      <c r="E942" t="s">
        <v>463</v>
      </c>
      <c r="F942" t="s">
        <v>915</v>
      </c>
      <c r="G942" s="158">
        <v>1020</v>
      </c>
      <c r="H942" t="s">
        <v>2078</v>
      </c>
      <c r="I942">
        <v>0</v>
      </c>
    </row>
    <row r="943" spans="2:9" hidden="1">
      <c r="B943" t="s">
        <v>1247</v>
      </c>
      <c r="C943" t="s">
        <v>1522</v>
      </c>
      <c r="E943" t="s">
        <v>739</v>
      </c>
      <c r="F943" t="s">
        <v>735</v>
      </c>
      <c r="G943" s="158">
        <v>1130</v>
      </c>
      <c r="H943" t="s">
        <v>2097</v>
      </c>
      <c r="I943">
        <v>0</v>
      </c>
    </row>
    <row r="944" spans="2:9" hidden="1">
      <c r="C944" t="s">
        <v>1521</v>
      </c>
      <c r="D944" t="s">
        <v>1332</v>
      </c>
      <c r="E944" t="s">
        <v>1526</v>
      </c>
      <c r="F944" t="s">
        <v>1541</v>
      </c>
      <c r="G944" s="158">
        <v>1010</v>
      </c>
      <c r="H944" t="s">
        <v>2102</v>
      </c>
      <c r="I944">
        <v>0</v>
      </c>
    </row>
    <row r="945" spans="3:9" hidden="1">
      <c r="C945" t="s">
        <v>1522</v>
      </c>
      <c r="D945" t="s">
        <v>1332</v>
      </c>
      <c r="E945" t="s">
        <v>1526</v>
      </c>
      <c r="F945" t="s">
        <v>1541</v>
      </c>
      <c r="G945" s="158" t="s">
        <v>1528</v>
      </c>
      <c r="H945" t="s">
        <v>2102</v>
      </c>
      <c r="I945">
        <v>0</v>
      </c>
    </row>
    <row r="946" spans="3:9" hidden="1">
      <c r="C946" t="s">
        <v>1522</v>
      </c>
      <c r="D946" t="s">
        <v>1332</v>
      </c>
      <c r="E946" t="s">
        <v>1195</v>
      </c>
      <c r="F946" t="s">
        <v>1541</v>
      </c>
      <c r="G946" s="158">
        <v>1010</v>
      </c>
      <c r="H946" t="s">
        <v>2102</v>
      </c>
      <c r="I946">
        <v>0</v>
      </c>
    </row>
    <row r="947" spans="3:9" hidden="1">
      <c r="C947" t="s">
        <v>1522</v>
      </c>
      <c r="D947" t="s">
        <v>1332</v>
      </c>
      <c r="E947" t="s">
        <v>463</v>
      </c>
      <c r="F947" t="s">
        <v>1541</v>
      </c>
      <c r="G947" s="158">
        <v>1010</v>
      </c>
      <c r="H947" t="s">
        <v>2102</v>
      </c>
      <c r="I947">
        <v>0</v>
      </c>
    </row>
    <row r="948" spans="3:9" hidden="1">
      <c r="C948" t="s">
        <v>1522</v>
      </c>
      <c r="D948" t="s">
        <v>1332</v>
      </c>
      <c r="E948" t="s">
        <v>1261</v>
      </c>
      <c r="F948" t="s">
        <v>1541</v>
      </c>
      <c r="G948" s="158">
        <v>1010</v>
      </c>
      <c r="H948" t="s">
        <v>2102</v>
      </c>
      <c r="I948">
        <v>0</v>
      </c>
    </row>
    <row r="949" spans="3:9" hidden="1">
      <c r="C949" t="s">
        <v>1521</v>
      </c>
      <c r="D949" t="s">
        <v>1332</v>
      </c>
      <c r="E949" t="s">
        <v>1262</v>
      </c>
      <c r="F949" t="s">
        <v>1541</v>
      </c>
      <c r="G949" s="158" t="s">
        <v>1528</v>
      </c>
      <c r="H949" t="s">
        <v>2102</v>
      </c>
      <c r="I949">
        <v>0</v>
      </c>
    </row>
    <row r="950" spans="3:9" hidden="1">
      <c r="C950" t="s">
        <v>1522</v>
      </c>
      <c r="D950" t="s">
        <v>1332</v>
      </c>
      <c r="E950" t="s">
        <v>551</v>
      </c>
      <c r="F950" t="s">
        <v>1541</v>
      </c>
      <c r="G950" s="158">
        <v>1010</v>
      </c>
      <c r="H950" t="s">
        <v>2102</v>
      </c>
      <c r="I950">
        <v>0</v>
      </c>
    </row>
    <row r="951" spans="3:9" hidden="1">
      <c r="C951" t="s">
        <v>1521</v>
      </c>
      <c r="E951" t="s">
        <v>1526</v>
      </c>
      <c r="F951" t="s">
        <v>1541</v>
      </c>
      <c r="G951" s="158">
        <v>1015</v>
      </c>
      <c r="H951" t="s">
        <v>2103</v>
      </c>
      <c r="I951">
        <v>0</v>
      </c>
    </row>
    <row r="952" spans="3:9" hidden="1">
      <c r="C952" t="s">
        <v>1522</v>
      </c>
      <c r="E952" t="s">
        <v>1261</v>
      </c>
      <c r="F952" t="s">
        <v>1541</v>
      </c>
      <c r="G952" s="158">
        <v>1015</v>
      </c>
      <c r="H952" t="s">
        <v>2103</v>
      </c>
      <c r="I952">
        <v>0</v>
      </c>
    </row>
    <row r="953" spans="3:9" hidden="1">
      <c r="C953" t="s">
        <v>1521</v>
      </c>
      <c r="D953" t="s">
        <v>1332</v>
      </c>
      <c r="E953" t="s">
        <v>1195</v>
      </c>
      <c r="F953" t="s">
        <v>1541</v>
      </c>
      <c r="G953" s="158">
        <v>1110</v>
      </c>
      <c r="H953" t="s">
        <v>2104</v>
      </c>
      <c r="I953">
        <v>0</v>
      </c>
    </row>
    <row r="954" spans="3:9" hidden="1">
      <c r="C954" t="s">
        <v>1521</v>
      </c>
      <c r="E954" t="s">
        <v>463</v>
      </c>
      <c r="F954" t="s">
        <v>1541</v>
      </c>
      <c r="G954" s="158">
        <v>1110</v>
      </c>
      <c r="H954" t="s">
        <v>2104</v>
      </c>
      <c r="I954">
        <v>0</v>
      </c>
    </row>
    <row r="955" spans="3:9" hidden="1">
      <c r="C955" t="s">
        <v>1522</v>
      </c>
      <c r="D955" t="s">
        <v>1332</v>
      </c>
      <c r="E955" t="s">
        <v>1262</v>
      </c>
      <c r="F955" t="s">
        <v>1541</v>
      </c>
      <c r="G955" s="158" t="s">
        <v>436</v>
      </c>
      <c r="H955" t="s">
        <v>2104</v>
      </c>
      <c r="I955">
        <v>0</v>
      </c>
    </row>
    <row r="956" spans="3:9" hidden="1">
      <c r="C956" t="s">
        <v>1521</v>
      </c>
      <c r="E956" t="s">
        <v>1195</v>
      </c>
      <c r="F956" t="s">
        <v>1541</v>
      </c>
      <c r="G956" s="158">
        <v>1115</v>
      </c>
      <c r="H956" t="s">
        <v>2105</v>
      </c>
      <c r="I956">
        <v>0</v>
      </c>
    </row>
    <row r="957" spans="3:9" hidden="1">
      <c r="C957" t="s">
        <v>1521</v>
      </c>
      <c r="E957" t="s">
        <v>463</v>
      </c>
      <c r="F957" t="s">
        <v>1541</v>
      </c>
      <c r="G957" s="158">
        <v>1115</v>
      </c>
      <c r="H957" t="s">
        <v>2105</v>
      </c>
      <c r="I957">
        <v>0</v>
      </c>
    </row>
    <row r="958" spans="3:9" hidden="1">
      <c r="C958" t="s">
        <v>1522</v>
      </c>
      <c r="E958" t="s">
        <v>1262</v>
      </c>
      <c r="F958" t="s">
        <v>1541</v>
      </c>
      <c r="G958" s="158" t="s">
        <v>579</v>
      </c>
      <c r="H958" t="s">
        <v>2105</v>
      </c>
      <c r="I958">
        <v>0</v>
      </c>
    </row>
    <row r="959" spans="3:9" hidden="1">
      <c r="C959" t="s">
        <v>1521</v>
      </c>
      <c r="E959" t="s">
        <v>463</v>
      </c>
      <c r="F959" t="s">
        <v>1541</v>
      </c>
      <c r="G959" s="158">
        <v>1120</v>
      </c>
      <c r="H959" t="s">
        <v>2106</v>
      </c>
      <c r="I959">
        <v>0</v>
      </c>
    </row>
    <row r="960" spans="3:9" hidden="1">
      <c r="C960" t="s">
        <v>1522</v>
      </c>
      <c r="E960" t="s">
        <v>1262</v>
      </c>
      <c r="F960" t="s">
        <v>1541</v>
      </c>
      <c r="G960" s="158" t="s">
        <v>433</v>
      </c>
      <c r="H960" t="s">
        <v>2106</v>
      </c>
      <c r="I960">
        <v>0</v>
      </c>
    </row>
    <row r="961" spans="3:9" hidden="1">
      <c r="C961" t="s">
        <v>1521</v>
      </c>
      <c r="E961" t="s">
        <v>1262</v>
      </c>
      <c r="F961" t="s">
        <v>1541</v>
      </c>
      <c r="G961" s="158" t="s">
        <v>433</v>
      </c>
      <c r="H961" t="s">
        <v>2106</v>
      </c>
      <c r="I961">
        <v>0</v>
      </c>
    </row>
    <row r="962" spans="3:9" hidden="1">
      <c r="C962" t="s">
        <v>1521</v>
      </c>
      <c r="E962" t="s">
        <v>463</v>
      </c>
      <c r="F962" t="s">
        <v>1541</v>
      </c>
      <c r="G962" s="158">
        <v>1125</v>
      </c>
      <c r="H962" t="s">
        <v>2107</v>
      </c>
      <c r="I962">
        <v>0</v>
      </c>
    </row>
    <row r="963" spans="3:9" hidden="1">
      <c r="C963" t="s">
        <v>1521</v>
      </c>
      <c r="D963" t="s">
        <v>1332</v>
      </c>
      <c r="E963" t="s">
        <v>1195</v>
      </c>
      <c r="F963" t="s">
        <v>1541</v>
      </c>
      <c r="G963" s="158">
        <v>1210</v>
      </c>
      <c r="H963" t="s">
        <v>2108</v>
      </c>
      <c r="I963">
        <v>0</v>
      </c>
    </row>
    <row r="964" spans="3:9" hidden="1">
      <c r="C964" t="s">
        <v>1521</v>
      </c>
      <c r="E964" t="s">
        <v>463</v>
      </c>
      <c r="F964" t="s">
        <v>1541</v>
      </c>
      <c r="G964" s="158">
        <v>1210</v>
      </c>
      <c r="H964" t="s">
        <v>2108</v>
      </c>
      <c r="I964">
        <v>0</v>
      </c>
    </row>
    <row r="965" spans="3:9" hidden="1">
      <c r="C965" t="s">
        <v>1521</v>
      </c>
      <c r="D965" t="s">
        <v>1332</v>
      </c>
      <c r="E965" t="s">
        <v>1262</v>
      </c>
      <c r="F965" t="s">
        <v>1541</v>
      </c>
      <c r="G965" s="158" t="s">
        <v>1081</v>
      </c>
      <c r="H965" t="s">
        <v>2108</v>
      </c>
      <c r="I965">
        <v>0</v>
      </c>
    </row>
    <row r="966" spans="3:9" hidden="1">
      <c r="C966" t="s">
        <v>1521</v>
      </c>
      <c r="E966" t="s">
        <v>551</v>
      </c>
      <c r="F966" t="s">
        <v>1541</v>
      </c>
      <c r="G966" s="158">
        <v>1210</v>
      </c>
      <c r="H966" t="s">
        <v>2108</v>
      </c>
      <c r="I966">
        <v>0</v>
      </c>
    </row>
    <row r="967" spans="3:9" hidden="1">
      <c r="C967" t="s">
        <v>1521</v>
      </c>
      <c r="D967" t="s">
        <v>1332</v>
      </c>
      <c r="E967" t="s">
        <v>797</v>
      </c>
      <c r="F967" t="s">
        <v>1541</v>
      </c>
      <c r="G967" s="158">
        <v>1210</v>
      </c>
      <c r="H967" t="s">
        <v>2108</v>
      </c>
      <c r="I967">
        <v>0</v>
      </c>
    </row>
    <row r="968" spans="3:9" hidden="1">
      <c r="C968" t="s">
        <v>1521</v>
      </c>
      <c r="E968" t="s">
        <v>1195</v>
      </c>
      <c r="F968" t="s">
        <v>1541</v>
      </c>
      <c r="G968" s="158">
        <v>1215</v>
      </c>
      <c r="H968" t="s">
        <v>2109</v>
      </c>
      <c r="I968">
        <v>0</v>
      </c>
    </row>
    <row r="969" spans="3:9" hidden="1">
      <c r="C969" t="s">
        <v>1521</v>
      </c>
      <c r="E969" t="s">
        <v>463</v>
      </c>
      <c r="F969" t="s">
        <v>1541</v>
      </c>
      <c r="G969" s="158">
        <v>1215</v>
      </c>
      <c r="H969" t="s">
        <v>2109</v>
      </c>
      <c r="I969">
        <v>0</v>
      </c>
    </row>
    <row r="970" spans="3:9" hidden="1">
      <c r="C970" t="s">
        <v>1521</v>
      </c>
      <c r="E970" t="s">
        <v>1262</v>
      </c>
      <c r="F970" t="s">
        <v>1541</v>
      </c>
      <c r="G970" s="158" t="s">
        <v>241</v>
      </c>
      <c r="H970" t="s">
        <v>2109</v>
      </c>
      <c r="I970">
        <v>0</v>
      </c>
    </row>
    <row r="971" spans="3:9" hidden="1">
      <c r="C971" t="s">
        <v>1521</v>
      </c>
      <c r="E971" t="s">
        <v>551</v>
      </c>
      <c r="F971" t="s">
        <v>1541</v>
      </c>
      <c r="G971" s="158">
        <v>1215</v>
      </c>
      <c r="H971" t="s">
        <v>2109</v>
      </c>
      <c r="I971">
        <v>0</v>
      </c>
    </row>
    <row r="972" spans="3:9" hidden="1">
      <c r="C972" t="s">
        <v>1521</v>
      </c>
      <c r="E972" t="s">
        <v>463</v>
      </c>
      <c r="F972" t="s">
        <v>1541</v>
      </c>
      <c r="G972" s="158">
        <v>1220</v>
      </c>
      <c r="H972" t="s">
        <v>2110</v>
      </c>
      <c r="I972">
        <v>0</v>
      </c>
    </row>
    <row r="973" spans="3:9" hidden="1">
      <c r="C973" t="s">
        <v>1521</v>
      </c>
      <c r="E973" t="s">
        <v>1262</v>
      </c>
      <c r="F973" t="s">
        <v>1541</v>
      </c>
      <c r="G973" s="158" t="s">
        <v>1104</v>
      </c>
      <c r="H973" t="s">
        <v>2110</v>
      </c>
      <c r="I973">
        <v>0</v>
      </c>
    </row>
    <row r="974" spans="3:9" hidden="1">
      <c r="C974" t="s">
        <v>1521</v>
      </c>
      <c r="D974" t="s">
        <v>1332</v>
      </c>
      <c r="E974" t="s">
        <v>551</v>
      </c>
      <c r="F974" t="s">
        <v>1541</v>
      </c>
      <c r="G974" s="158">
        <v>1220</v>
      </c>
      <c r="H974" t="s">
        <v>2110</v>
      </c>
      <c r="I974">
        <v>0</v>
      </c>
    </row>
    <row r="975" spans="3:9" hidden="1">
      <c r="C975" t="s">
        <v>1522</v>
      </c>
      <c r="D975" t="s">
        <v>1332</v>
      </c>
      <c r="E975" t="s">
        <v>797</v>
      </c>
      <c r="F975" t="s">
        <v>1541</v>
      </c>
      <c r="G975" s="158">
        <v>1220</v>
      </c>
      <c r="H975" t="s">
        <v>2110</v>
      </c>
      <c r="I975">
        <v>0</v>
      </c>
    </row>
    <row r="976" spans="3:9" hidden="1">
      <c r="C976" t="s">
        <v>1521</v>
      </c>
      <c r="E976" t="s">
        <v>463</v>
      </c>
      <c r="F976" t="s">
        <v>1541</v>
      </c>
      <c r="G976" s="158">
        <v>1225</v>
      </c>
      <c r="H976" t="s">
        <v>2111</v>
      </c>
      <c r="I976">
        <v>0</v>
      </c>
    </row>
    <row r="977" spans="2:9" hidden="1">
      <c r="C977" t="s">
        <v>1521</v>
      </c>
      <c r="E977" t="s">
        <v>1262</v>
      </c>
      <c r="F977" t="s">
        <v>1541</v>
      </c>
      <c r="G977" s="158" t="s">
        <v>242</v>
      </c>
      <c r="H977" t="s">
        <v>2111</v>
      </c>
      <c r="I977">
        <v>0</v>
      </c>
    </row>
    <row r="978" spans="2:9" hidden="1">
      <c r="C978" t="s">
        <v>1521</v>
      </c>
      <c r="E978" t="s">
        <v>551</v>
      </c>
      <c r="F978" t="s">
        <v>1541</v>
      </c>
      <c r="G978" s="158">
        <v>1225</v>
      </c>
      <c r="H978" t="s">
        <v>2111</v>
      </c>
      <c r="I978">
        <v>0</v>
      </c>
    </row>
    <row r="979" spans="2:9" hidden="1">
      <c r="C979" t="s">
        <v>1522</v>
      </c>
      <c r="D979" t="s">
        <v>1329</v>
      </c>
      <c r="E979" t="s">
        <v>739</v>
      </c>
      <c r="F979" t="s">
        <v>497</v>
      </c>
      <c r="G979" s="158">
        <v>1500</v>
      </c>
      <c r="H979" t="s">
        <v>2114</v>
      </c>
      <c r="I979">
        <v>0</v>
      </c>
    </row>
    <row r="980" spans="2:9" hidden="1">
      <c r="B980" t="s">
        <v>562</v>
      </c>
      <c r="C980" t="s">
        <v>1522</v>
      </c>
      <c r="D980" t="s">
        <v>1329</v>
      </c>
      <c r="E980" t="s">
        <v>1526</v>
      </c>
      <c r="F980" t="s">
        <v>449</v>
      </c>
      <c r="G980" s="158" t="s">
        <v>1528</v>
      </c>
      <c r="H980" t="s">
        <v>2124</v>
      </c>
      <c r="I980">
        <v>0</v>
      </c>
    </row>
    <row r="981" spans="2:9" hidden="1">
      <c r="B981" t="s">
        <v>562</v>
      </c>
      <c r="C981" t="s">
        <v>1522</v>
      </c>
      <c r="D981" t="s">
        <v>1329</v>
      </c>
      <c r="E981" t="s">
        <v>463</v>
      </c>
      <c r="F981" t="s">
        <v>449</v>
      </c>
      <c r="G981" s="158" t="s">
        <v>1528</v>
      </c>
      <c r="H981" t="s">
        <v>2124</v>
      </c>
      <c r="I981">
        <v>0</v>
      </c>
    </row>
    <row r="982" spans="2:9" hidden="1">
      <c r="B982" t="s">
        <v>562</v>
      </c>
      <c r="C982" t="s">
        <v>1522</v>
      </c>
      <c r="D982" t="s">
        <v>1329</v>
      </c>
      <c r="E982" t="s">
        <v>1262</v>
      </c>
      <c r="F982" t="s">
        <v>449</v>
      </c>
      <c r="G982" s="158" t="s">
        <v>1528</v>
      </c>
      <c r="H982" t="s">
        <v>2124</v>
      </c>
      <c r="I982">
        <v>0</v>
      </c>
    </row>
    <row r="983" spans="2:9" hidden="1">
      <c r="B983" t="s">
        <v>562</v>
      </c>
      <c r="C983" t="s">
        <v>1522</v>
      </c>
      <c r="E983" t="s">
        <v>1526</v>
      </c>
      <c r="F983" t="s">
        <v>449</v>
      </c>
      <c r="G983" s="158" t="s">
        <v>1542</v>
      </c>
      <c r="H983" t="s">
        <v>2126</v>
      </c>
      <c r="I983">
        <v>0</v>
      </c>
    </row>
    <row r="984" spans="2:9" hidden="1">
      <c r="B984" t="s">
        <v>562</v>
      </c>
      <c r="C984" t="s">
        <v>1522</v>
      </c>
      <c r="E984" t="s">
        <v>1526</v>
      </c>
      <c r="F984" t="s">
        <v>449</v>
      </c>
      <c r="G984" s="158" t="s">
        <v>1543</v>
      </c>
      <c r="H984" t="s">
        <v>2127</v>
      </c>
      <c r="I984">
        <v>0</v>
      </c>
    </row>
    <row r="985" spans="2:9" hidden="1">
      <c r="B985" t="s">
        <v>562</v>
      </c>
      <c r="C985" t="s">
        <v>1522</v>
      </c>
      <c r="E985" t="s">
        <v>1526</v>
      </c>
      <c r="F985" t="s">
        <v>449</v>
      </c>
      <c r="G985" s="158">
        <v>1350</v>
      </c>
      <c r="H985" t="s">
        <v>2128</v>
      </c>
      <c r="I985">
        <v>0</v>
      </c>
    </row>
    <row r="986" spans="2:9" hidden="1">
      <c r="B986" t="s">
        <v>562</v>
      </c>
      <c r="C986" t="s">
        <v>1522</v>
      </c>
      <c r="E986" t="s">
        <v>1526</v>
      </c>
      <c r="F986" t="s">
        <v>449</v>
      </c>
      <c r="G986" s="158" t="s">
        <v>1544</v>
      </c>
      <c r="H986" t="s">
        <v>2130</v>
      </c>
      <c r="I986">
        <v>0</v>
      </c>
    </row>
    <row r="987" spans="2:9" hidden="1">
      <c r="C987" t="s">
        <v>1522</v>
      </c>
      <c r="D987" t="s">
        <v>1331</v>
      </c>
      <c r="E987" t="s">
        <v>463</v>
      </c>
      <c r="F987" t="s">
        <v>1547</v>
      </c>
      <c r="G987" s="158">
        <v>1010</v>
      </c>
      <c r="H987" t="s">
        <v>2137</v>
      </c>
      <c r="I987">
        <v>0</v>
      </c>
    </row>
    <row r="988" spans="2:9" hidden="1">
      <c r="C988" t="s">
        <v>1522</v>
      </c>
      <c r="D988" t="s">
        <v>1331</v>
      </c>
      <c r="E988" t="s">
        <v>1526</v>
      </c>
      <c r="F988" t="s">
        <v>1547</v>
      </c>
      <c r="G988" s="158">
        <v>1020</v>
      </c>
      <c r="H988" t="s">
        <v>2138</v>
      </c>
      <c r="I988">
        <v>0</v>
      </c>
    </row>
    <row r="989" spans="2:9" hidden="1">
      <c r="C989" t="s">
        <v>1522</v>
      </c>
      <c r="D989" t="s">
        <v>1331</v>
      </c>
      <c r="E989" t="s">
        <v>463</v>
      </c>
      <c r="F989" t="s">
        <v>1547</v>
      </c>
      <c r="G989" s="158">
        <v>1020</v>
      </c>
      <c r="H989" t="s">
        <v>2138</v>
      </c>
      <c r="I989">
        <v>0</v>
      </c>
    </row>
    <row r="990" spans="2:9" hidden="1">
      <c r="C990" t="s">
        <v>1522</v>
      </c>
      <c r="E990" t="s">
        <v>1526</v>
      </c>
      <c r="F990" t="s">
        <v>1547</v>
      </c>
      <c r="G990" s="158">
        <v>2110</v>
      </c>
      <c r="H990" t="s">
        <v>2141</v>
      </c>
      <c r="I990">
        <v>0</v>
      </c>
    </row>
    <row r="991" spans="2:9" hidden="1">
      <c r="C991" t="s">
        <v>1522</v>
      </c>
      <c r="D991" t="s">
        <v>534</v>
      </c>
      <c r="E991" t="s">
        <v>1586</v>
      </c>
      <c r="F991" t="s">
        <v>1547</v>
      </c>
      <c r="G991" s="158">
        <v>2110</v>
      </c>
      <c r="H991" t="s">
        <v>2141</v>
      </c>
      <c r="I991">
        <v>0</v>
      </c>
    </row>
    <row r="992" spans="2:9" hidden="1">
      <c r="B992" t="s">
        <v>1830</v>
      </c>
      <c r="C992" t="s">
        <v>1522</v>
      </c>
      <c r="E992" t="s">
        <v>739</v>
      </c>
      <c r="F992" t="s">
        <v>300</v>
      </c>
      <c r="G992" s="158">
        <v>1030</v>
      </c>
      <c r="H992" t="s">
        <v>2156</v>
      </c>
      <c r="I992">
        <v>0</v>
      </c>
    </row>
    <row r="993" spans="2:9" hidden="1">
      <c r="B993" t="s">
        <v>119</v>
      </c>
      <c r="C993" t="s">
        <v>1522</v>
      </c>
      <c r="E993" t="s">
        <v>1195</v>
      </c>
      <c r="F993" t="s">
        <v>300</v>
      </c>
      <c r="G993" s="158">
        <v>1400</v>
      </c>
      <c r="H993" t="s">
        <v>2158</v>
      </c>
      <c r="I993">
        <v>0</v>
      </c>
    </row>
    <row r="994" spans="2:9" hidden="1">
      <c r="B994" t="s">
        <v>119</v>
      </c>
      <c r="C994" t="s">
        <v>1522</v>
      </c>
      <c r="E994" t="s">
        <v>463</v>
      </c>
      <c r="F994" t="s">
        <v>300</v>
      </c>
      <c r="G994" s="158">
        <v>1400</v>
      </c>
      <c r="H994" t="s">
        <v>2158</v>
      </c>
      <c r="I994">
        <v>0</v>
      </c>
    </row>
    <row r="995" spans="2:9" hidden="1">
      <c r="B995" t="s">
        <v>119</v>
      </c>
      <c r="C995" t="s">
        <v>1522</v>
      </c>
      <c r="E995" t="s">
        <v>1586</v>
      </c>
      <c r="F995" t="s">
        <v>300</v>
      </c>
      <c r="G995" s="158">
        <v>1400</v>
      </c>
      <c r="H995" t="s">
        <v>2158</v>
      </c>
      <c r="I995">
        <v>0</v>
      </c>
    </row>
    <row r="996" spans="2:9" hidden="1">
      <c r="B996" t="s">
        <v>120</v>
      </c>
      <c r="C996" t="s">
        <v>1522</v>
      </c>
      <c r="E996" t="s">
        <v>1195</v>
      </c>
      <c r="F996" t="s">
        <v>300</v>
      </c>
      <c r="G996" s="158">
        <v>1410</v>
      </c>
      <c r="H996" t="s">
        <v>2159</v>
      </c>
      <c r="I996">
        <v>0</v>
      </c>
    </row>
    <row r="997" spans="2:9" hidden="1">
      <c r="B997" t="s">
        <v>120</v>
      </c>
      <c r="C997" t="s">
        <v>1522</v>
      </c>
      <c r="E997" t="s">
        <v>1586</v>
      </c>
      <c r="F997" t="s">
        <v>300</v>
      </c>
      <c r="G997" s="158">
        <v>1410</v>
      </c>
      <c r="H997" t="s">
        <v>2159</v>
      </c>
      <c r="I997">
        <v>0</v>
      </c>
    </row>
    <row r="998" spans="2:9" hidden="1">
      <c r="B998" t="s">
        <v>574</v>
      </c>
      <c r="C998" t="s">
        <v>1522</v>
      </c>
      <c r="E998" t="s">
        <v>739</v>
      </c>
      <c r="F998" t="s">
        <v>30</v>
      </c>
      <c r="G998" s="158">
        <v>1050</v>
      </c>
      <c r="H998" t="s">
        <v>2169</v>
      </c>
      <c r="I998">
        <v>0</v>
      </c>
    </row>
    <row r="999" spans="2:9" hidden="1">
      <c r="B999" t="s">
        <v>134</v>
      </c>
      <c r="C999" t="s">
        <v>1522</v>
      </c>
      <c r="E999" t="s">
        <v>739</v>
      </c>
      <c r="F999" t="s">
        <v>30</v>
      </c>
      <c r="G999" s="158">
        <v>1260</v>
      </c>
      <c r="H999" t="s">
        <v>2172</v>
      </c>
      <c r="I999">
        <v>0</v>
      </c>
    </row>
    <row r="1000" spans="2:9" hidden="1">
      <c r="C1000" t="s">
        <v>1522</v>
      </c>
      <c r="D1000" t="s">
        <v>1329</v>
      </c>
      <c r="E1000" t="s">
        <v>463</v>
      </c>
      <c r="F1000" t="s">
        <v>302</v>
      </c>
      <c r="G1000" s="158">
        <v>1010</v>
      </c>
      <c r="H1000" t="s">
        <v>2193</v>
      </c>
      <c r="I1000">
        <v>0</v>
      </c>
    </row>
    <row r="1001" spans="2:9" hidden="1">
      <c r="C1001" t="s">
        <v>1522</v>
      </c>
      <c r="D1001" t="s">
        <v>1329</v>
      </c>
      <c r="E1001" t="s">
        <v>1261</v>
      </c>
      <c r="F1001" t="s">
        <v>1088</v>
      </c>
      <c r="G1001" s="158">
        <v>1010</v>
      </c>
      <c r="H1001" t="s">
        <v>2195</v>
      </c>
      <c r="I1001">
        <v>0</v>
      </c>
    </row>
    <row r="1002" spans="2:9" hidden="1">
      <c r="C1002" t="s">
        <v>1522</v>
      </c>
      <c r="D1002" t="s">
        <v>1329</v>
      </c>
      <c r="E1002" t="s">
        <v>1262</v>
      </c>
      <c r="F1002" t="s">
        <v>1088</v>
      </c>
      <c r="G1002" s="158" t="s">
        <v>1528</v>
      </c>
      <c r="H1002" t="s">
        <v>2195</v>
      </c>
      <c r="I1002">
        <v>0</v>
      </c>
    </row>
    <row r="1003" spans="2:9" hidden="1">
      <c r="B1003" t="s">
        <v>574</v>
      </c>
      <c r="C1003" t="s">
        <v>1522</v>
      </c>
      <c r="E1003" t="s">
        <v>1526</v>
      </c>
      <c r="F1003" t="s">
        <v>1089</v>
      </c>
      <c r="G1003" s="158">
        <v>1040</v>
      </c>
      <c r="H1003" t="s">
        <v>2200</v>
      </c>
      <c r="I1003">
        <v>0</v>
      </c>
    </row>
    <row r="1004" spans="2:9" hidden="1">
      <c r="C1004" t="s">
        <v>1522</v>
      </c>
      <c r="E1004" t="s">
        <v>1586</v>
      </c>
      <c r="F1004" t="s">
        <v>1659</v>
      </c>
      <c r="G1004" s="158">
        <v>2010</v>
      </c>
      <c r="H1004" t="s">
        <v>2202</v>
      </c>
      <c r="I1004">
        <v>0</v>
      </c>
    </row>
    <row r="1005" spans="2:9" hidden="1">
      <c r="C1005" t="s">
        <v>1522</v>
      </c>
      <c r="E1005" t="s">
        <v>1526</v>
      </c>
      <c r="F1005" t="s">
        <v>1483</v>
      </c>
      <c r="G1005" s="158">
        <v>1010</v>
      </c>
      <c r="H1005" t="s">
        <v>2204</v>
      </c>
      <c r="I1005">
        <v>0</v>
      </c>
    </row>
    <row r="1006" spans="2:9" hidden="1">
      <c r="C1006" t="s">
        <v>1522</v>
      </c>
      <c r="E1006" t="s">
        <v>1195</v>
      </c>
      <c r="F1006" t="s">
        <v>1483</v>
      </c>
      <c r="G1006" s="158">
        <v>1010</v>
      </c>
      <c r="H1006" t="s">
        <v>2204</v>
      </c>
      <c r="I1006">
        <v>0</v>
      </c>
    </row>
    <row r="1007" spans="2:9" hidden="1">
      <c r="B1007" t="s">
        <v>1247</v>
      </c>
      <c r="C1007" t="s">
        <v>1522</v>
      </c>
      <c r="E1007" t="s">
        <v>463</v>
      </c>
      <c r="F1007" t="s">
        <v>1804</v>
      </c>
      <c r="G1007" s="158">
        <v>1240</v>
      </c>
      <c r="H1007" t="s">
        <v>2213</v>
      </c>
      <c r="I1007">
        <v>0</v>
      </c>
    </row>
    <row r="1008" spans="2:9" hidden="1">
      <c r="C1008" t="s">
        <v>1522</v>
      </c>
      <c r="D1008" t="s">
        <v>533</v>
      </c>
      <c r="E1008" t="s">
        <v>1526</v>
      </c>
      <c r="F1008" t="s">
        <v>1091</v>
      </c>
      <c r="G1008" s="158" t="s">
        <v>1528</v>
      </c>
      <c r="H1008" t="s">
        <v>2218</v>
      </c>
      <c r="I1008">
        <v>0</v>
      </c>
    </row>
    <row r="1009" spans="2:9" hidden="1">
      <c r="C1009" t="s">
        <v>1522</v>
      </c>
      <c r="D1009" t="s">
        <v>533</v>
      </c>
      <c r="E1009" t="s">
        <v>1195</v>
      </c>
      <c r="F1009" t="s">
        <v>1091</v>
      </c>
      <c r="G1009" s="158">
        <v>1010</v>
      </c>
      <c r="H1009" t="s">
        <v>2218</v>
      </c>
      <c r="I1009">
        <v>0</v>
      </c>
    </row>
    <row r="1010" spans="2:9" hidden="1">
      <c r="C1010" t="s">
        <v>1522</v>
      </c>
      <c r="D1010" t="s">
        <v>844</v>
      </c>
      <c r="E1010" t="s">
        <v>1261</v>
      </c>
      <c r="F1010" t="s">
        <v>1091</v>
      </c>
      <c r="G1010" s="158">
        <v>1010</v>
      </c>
      <c r="H1010" t="s">
        <v>2218</v>
      </c>
      <c r="I1010">
        <v>0</v>
      </c>
    </row>
    <row r="1011" spans="2:9" hidden="1">
      <c r="C1011" t="s">
        <v>1522</v>
      </c>
      <c r="D1011" t="s">
        <v>533</v>
      </c>
      <c r="E1011" t="s">
        <v>1262</v>
      </c>
      <c r="F1011" t="s">
        <v>1091</v>
      </c>
      <c r="G1011" s="158" t="s">
        <v>1528</v>
      </c>
      <c r="H1011" t="s">
        <v>2218</v>
      </c>
      <c r="I1011">
        <v>0</v>
      </c>
    </row>
    <row r="1012" spans="2:9" hidden="1">
      <c r="C1012" t="s">
        <v>1522</v>
      </c>
      <c r="D1012" t="s">
        <v>533</v>
      </c>
      <c r="E1012" t="s">
        <v>551</v>
      </c>
      <c r="F1012" t="s">
        <v>1091</v>
      </c>
      <c r="G1012" s="158">
        <v>1010</v>
      </c>
      <c r="H1012" t="s">
        <v>2218</v>
      </c>
      <c r="I1012">
        <v>0</v>
      </c>
    </row>
    <row r="1013" spans="2:9" hidden="1">
      <c r="C1013" t="s">
        <v>1522</v>
      </c>
      <c r="D1013" t="s">
        <v>533</v>
      </c>
      <c r="E1013" t="s">
        <v>1586</v>
      </c>
      <c r="F1013" t="s">
        <v>1091</v>
      </c>
      <c r="G1013" s="158" t="s">
        <v>1528</v>
      </c>
      <c r="H1013" t="s">
        <v>2218</v>
      </c>
      <c r="I1013">
        <v>0</v>
      </c>
    </row>
    <row r="1014" spans="2:9" hidden="1">
      <c r="C1014" t="s">
        <v>1522</v>
      </c>
      <c r="D1014" t="s">
        <v>533</v>
      </c>
      <c r="E1014" t="s">
        <v>1526</v>
      </c>
      <c r="F1014" t="s">
        <v>1091</v>
      </c>
      <c r="G1014" s="158" t="s">
        <v>1093</v>
      </c>
      <c r="H1014" t="s">
        <v>2219</v>
      </c>
      <c r="I1014">
        <v>0</v>
      </c>
    </row>
    <row r="1015" spans="2:9" hidden="1">
      <c r="C1015" t="s">
        <v>1522</v>
      </c>
      <c r="D1015" t="s">
        <v>533</v>
      </c>
      <c r="E1015" t="s">
        <v>1195</v>
      </c>
      <c r="F1015" t="s">
        <v>1091</v>
      </c>
      <c r="G1015" s="158">
        <v>2010</v>
      </c>
      <c r="H1015" t="s">
        <v>2219</v>
      </c>
      <c r="I1015">
        <v>0</v>
      </c>
    </row>
    <row r="1016" spans="2:9" hidden="1">
      <c r="C1016" t="s">
        <v>1522</v>
      </c>
      <c r="D1016" t="s">
        <v>533</v>
      </c>
      <c r="E1016" t="s">
        <v>1262</v>
      </c>
      <c r="F1016" t="s">
        <v>1091</v>
      </c>
      <c r="G1016" s="158">
        <v>2010</v>
      </c>
      <c r="H1016" t="s">
        <v>2219</v>
      </c>
      <c r="I1016">
        <v>0</v>
      </c>
    </row>
    <row r="1017" spans="2:9" hidden="1">
      <c r="C1017" t="s">
        <v>1522</v>
      </c>
      <c r="D1017" t="s">
        <v>533</v>
      </c>
      <c r="E1017" t="s">
        <v>551</v>
      </c>
      <c r="F1017" t="s">
        <v>1091</v>
      </c>
      <c r="G1017" s="158">
        <v>2010</v>
      </c>
      <c r="H1017" t="s">
        <v>2219</v>
      </c>
      <c r="I1017">
        <v>0</v>
      </c>
    </row>
    <row r="1018" spans="2:9" hidden="1">
      <c r="C1018" t="s">
        <v>1521</v>
      </c>
      <c r="D1018" t="s">
        <v>534</v>
      </c>
      <c r="E1018" t="s">
        <v>1526</v>
      </c>
      <c r="F1018" t="s">
        <v>1091</v>
      </c>
      <c r="G1018" s="158">
        <v>2200</v>
      </c>
      <c r="H1018" t="s">
        <v>2221</v>
      </c>
      <c r="I1018">
        <v>0</v>
      </c>
    </row>
    <row r="1019" spans="2:9" hidden="1">
      <c r="C1019" t="s">
        <v>1522</v>
      </c>
      <c r="D1019" t="s">
        <v>446</v>
      </c>
      <c r="E1019" t="s">
        <v>1195</v>
      </c>
      <c r="F1019" t="s">
        <v>1091</v>
      </c>
      <c r="G1019" s="158">
        <v>2200</v>
      </c>
      <c r="H1019" t="s">
        <v>2221</v>
      </c>
      <c r="I1019">
        <v>0</v>
      </c>
    </row>
    <row r="1020" spans="2:9" hidden="1">
      <c r="C1020" t="s">
        <v>1522</v>
      </c>
      <c r="D1020" t="s">
        <v>534</v>
      </c>
      <c r="E1020" t="s">
        <v>1262</v>
      </c>
      <c r="F1020" t="s">
        <v>1091</v>
      </c>
      <c r="G1020" s="158" t="s">
        <v>1082</v>
      </c>
      <c r="H1020" t="s">
        <v>2221</v>
      </c>
      <c r="I1020">
        <v>0</v>
      </c>
    </row>
    <row r="1021" spans="2:9" hidden="1">
      <c r="C1021" t="s">
        <v>1522</v>
      </c>
      <c r="D1021" t="s">
        <v>534</v>
      </c>
      <c r="E1021" t="s">
        <v>551</v>
      </c>
      <c r="F1021" t="s">
        <v>1091</v>
      </c>
      <c r="G1021" s="158">
        <v>2200</v>
      </c>
      <c r="H1021" t="s">
        <v>2221</v>
      </c>
      <c r="I1021">
        <v>0</v>
      </c>
    </row>
    <row r="1022" spans="2:9" hidden="1">
      <c r="C1022" t="s">
        <v>1522</v>
      </c>
      <c r="D1022" t="s">
        <v>534</v>
      </c>
      <c r="E1022" t="s">
        <v>1526</v>
      </c>
      <c r="F1022" t="s">
        <v>1091</v>
      </c>
      <c r="G1022" s="158">
        <v>2240</v>
      </c>
      <c r="H1022" t="s">
        <v>2223</v>
      </c>
      <c r="I1022">
        <v>0</v>
      </c>
    </row>
    <row r="1023" spans="2:9" hidden="1">
      <c r="C1023" t="s">
        <v>1522</v>
      </c>
      <c r="D1023" t="s">
        <v>534</v>
      </c>
      <c r="E1023" t="s">
        <v>1526</v>
      </c>
      <c r="F1023" t="s">
        <v>1091</v>
      </c>
      <c r="G1023" s="158">
        <v>2300</v>
      </c>
      <c r="H1023" t="s">
        <v>2224</v>
      </c>
      <c r="I1023">
        <v>0</v>
      </c>
    </row>
    <row r="1024" spans="2:9" hidden="1">
      <c r="B1024" t="s">
        <v>135</v>
      </c>
      <c r="C1024" t="s">
        <v>1522</v>
      </c>
      <c r="E1024" t="s">
        <v>1195</v>
      </c>
      <c r="F1024" t="s">
        <v>1302</v>
      </c>
      <c r="G1024" s="158">
        <v>1000</v>
      </c>
      <c r="H1024" t="s">
        <v>2229</v>
      </c>
      <c r="I1024">
        <v>0</v>
      </c>
    </row>
    <row r="1025" spans="2:9" hidden="1">
      <c r="B1025" t="s">
        <v>123</v>
      </c>
      <c r="C1025" t="s">
        <v>1522</v>
      </c>
      <c r="E1025" t="s">
        <v>1586</v>
      </c>
      <c r="F1025" t="s">
        <v>422</v>
      </c>
      <c r="G1025" s="158" t="s">
        <v>1110</v>
      </c>
      <c r="H1025" t="s">
        <v>2253</v>
      </c>
      <c r="I1025">
        <v>0</v>
      </c>
    </row>
    <row r="1026" spans="2:9" hidden="1">
      <c r="C1026" t="s">
        <v>1522</v>
      </c>
      <c r="D1026" t="s">
        <v>1332</v>
      </c>
      <c r="E1026" t="s">
        <v>1526</v>
      </c>
      <c r="F1026" t="s">
        <v>1386</v>
      </c>
      <c r="G1026" s="158" t="s">
        <v>1528</v>
      </c>
      <c r="H1026" t="s">
        <v>2262</v>
      </c>
      <c r="I1026">
        <v>0</v>
      </c>
    </row>
    <row r="1027" spans="2:9" hidden="1">
      <c r="C1027" t="s">
        <v>1522</v>
      </c>
      <c r="D1027" t="s">
        <v>1332</v>
      </c>
      <c r="E1027" t="s">
        <v>1262</v>
      </c>
      <c r="F1027" t="s">
        <v>1386</v>
      </c>
      <c r="G1027" s="158" t="s">
        <v>1528</v>
      </c>
      <c r="H1027" t="s">
        <v>2262</v>
      </c>
      <c r="I1027">
        <v>0</v>
      </c>
    </row>
    <row r="1028" spans="2:9" hidden="1">
      <c r="C1028" t="s">
        <v>1522</v>
      </c>
      <c r="E1028" t="s">
        <v>1262</v>
      </c>
      <c r="F1028" t="s">
        <v>1386</v>
      </c>
      <c r="G1028" s="158" t="s">
        <v>713</v>
      </c>
      <c r="H1028" t="s">
        <v>2263</v>
      </c>
      <c r="I1028">
        <v>0</v>
      </c>
    </row>
    <row r="1029" spans="2:9" hidden="1">
      <c r="C1029" t="s">
        <v>1521</v>
      </c>
      <c r="D1029" t="s">
        <v>1332</v>
      </c>
      <c r="E1029" t="s">
        <v>463</v>
      </c>
      <c r="F1029" t="s">
        <v>1098</v>
      </c>
      <c r="G1029" s="158">
        <v>1300</v>
      </c>
      <c r="H1029" t="s">
        <v>2271</v>
      </c>
      <c r="I1029">
        <v>0</v>
      </c>
    </row>
    <row r="1030" spans="2:9" hidden="1">
      <c r="B1030" t="s">
        <v>62</v>
      </c>
      <c r="C1030" t="s">
        <v>1522</v>
      </c>
      <c r="D1030" t="s">
        <v>1332</v>
      </c>
      <c r="E1030" t="s">
        <v>463</v>
      </c>
      <c r="F1030" t="s">
        <v>1098</v>
      </c>
      <c r="G1030" s="158">
        <v>1300</v>
      </c>
      <c r="H1030" t="s">
        <v>2271</v>
      </c>
      <c r="I1030">
        <v>0</v>
      </c>
    </row>
    <row r="1031" spans="2:9" hidden="1">
      <c r="C1031" t="s">
        <v>1521</v>
      </c>
      <c r="D1031" t="s">
        <v>1329</v>
      </c>
      <c r="E1031" t="s">
        <v>1261</v>
      </c>
      <c r="F1031" t="s">
        <v>1098</v>
      </c>
      <c r="G1031" s="158">
        <v>1300</v>
      </c>
      <c r="H1031" t="s">
        <v>2271</v>
      </c>
      <c r="I1031">
        <v>0</v>
      </c>
    </row>
    <row r="1032" spans="2:9" hidden="1">
      <c r="C1032" t="s">
        <v>1521</v>
      </c>
      <c r="D1032" t="s">
        <v>1329</v>
      </c>
      <c r="E1032" t="s">
        <v>1586</v>
      </c>
      <c r="F1032" t="s">
        <v>1098</v>
      </c>
      <c r="G1032" s="158">
        <v>1300</v>
      </c>
      <c r="H1032" t="s">
        <v>2271</v>
      </c>
      <c r="I1032">
        <v>0</v>
      </c>
    </row>
    <row r="1033" spans="2:9" hidden="1">
      <c r="C1033" t="s">
        <v>1522</v>
      </c>
      <c r="E1033" t="s">
        <v>463</v>
      </c>
      <c r="F1033" t="s">
        <v>470</v>
      </c>
      <c r="G1033" s="158">
        <v>1010</v>
      </c>
      <c r="H1033" t="s">
        <v>2272</v>
      </c>
      <c r="I1033">
        <v>0</v>
      </c>
    </row>
    <row r="1034" spans="2:9" hidden="1">
      <c r="C1034" t="s">
        <v>1522</v>
      </c>
      <c r="E1034" t="s">
        <v>463</v>
      </c>
      <c r="F1034" t="s">
        <v>470</v>
      </c>
      <c r="G1034" s="158">
        <v>1020</v>
      </c>
      <c r="H1034" t="s">
        <v>2273</v>
      </c>
      <c r="I1034">
        <v>0</v>
      </c>
    </row>
    <row r="1035" spans="2:9" hidden="1">
      <c r="C1035" t="s">
        <v>1522</v>
      </c>
      <c r="D1035" t="s">
        <v>1329</v>
      </c>
      <c r="E1035" t="s">
        <v>1261</v>
      </c>
      <c r="F1035" t="s">
        <v>357</v>
      </c>
      <c r="G1035" s="158">
        <v>1500</v>
      </c>
      <c r="H1035" t="s">
        <v>2275</v>
      </c>
      <c r="I1035">
        <v>0</v>
      </c>
    </row>
    <row r="1036" spans="2:9" hidden="1">
      <c r="C1036" t="s">
        <v>1522</v>
      </c>
      <c r="D1036" t="s">
        <v>1329</v>
      </c>
      <c r="E1036" t="s">
        <v>1195</v>
      </c>
      <c r="F1036" t="s">
        <v>1101</v>
      </c>
      <c r="G1036" s="158">
        <v>1100</v>
      </c>
      <c r="H1036" t="s">
        <v>2277</v>
      </c>
      <c r="I1036">
        <v>0</v>
      </c>
    </row>
    <row r="1037" spans="2:9" hidden="1">
      <c r="C1037" t="s">
        <v>1522</v>
      </c>
      <c r="D1037" t="s">
        <v>534</v>
      </c>
      <c r="E1037" t="s">
        <v>1262</v>
      </c>
      <c r="F1037" t="s">
        <v>1101</v>
      </c>
      <c r="G1037" s="158" t="s">
        <v>1078</v>
      </c>
      <c r="H1037" t="s">
        <v>2277</v>
      </c>
      <c r="I1037">
        <v>0</v>
      </c>
    </row>
    <row r="1038" spans="2:9" hidden="1">
      <c r="C1038" t="s">
        <v>1521</v>
      </c>
      <c r="D1038" t="s">
        <v>534</v>
      </c>
      <c r="E1038" t="s">
        <v>1262</v>
      </c>
      <c r="F1038" t="s">
        <v>1101</v>
      </c>
      <c r="G1038" s="158" t="s">
        <v>1078</v>
      </c>
      <c r="H1038" t="s">
        <v>2277</v>
      </c>
      <c r="I1038">
        <v>0</v>
      </c>
    </row>
    <row r="1039" spans="2:9" hidden="1">
      <c r="C1039" t="s">
        <v>1522</v>
      </c>
      <c r="D1039" t="s">
        <v>534</v>
      </c>
      <c r="E1039" t="s">
        <v>551</v>
      </c>
      <c r="F1039" t="s">
        <v>1101</v>
      </c>
      <c r="G1039" s="158">
        <v>1100</v>
      </c>
      <c r="H1039" t="s">
        <v>2277</v>
      </c>
      <c r="I1039">
        <v>0</v>
      </c>
    </row>
    <row r="1040" spans="2:9" hidden="1">
      <c r="C1040" t="s">
        <v>1521</v>
      </c>
      <c r="D1040" t="s">
        <v>534</v>
      </c>
      <c r="E1040" t="s">
        <v>551</v>
      </c>
      <c r="F1040" t="s">
        <v>1101</v>
      </c>
      <c r="G1040" s="158">
        <v>1100</v>
      </c>
      <c r="H1040" t="s">
        <v>2277</v>
      </c>
      <c r="I1040">
        <v>0</v>
      </c>
    </row>
    <row r="1041" spans="2:9" hidden="1">
      <c r="C1041" t="s">
        <v>1522</v>
      </c>
      <c r="D1041" t="s">
        <v>1329</v>
      </c>
      <c r="E1041" t="s">
        <v>1586</v>
      </c>
      <c r="F1041" t="s">
        <v>1101</v>
      </c>
      <c r="G1041" s="158">
        <v>1100</v>
      </c>
      <c r="H1041" t="s">
        <v>2277</v>
      </c>
      <c r="I1041">
        <v>0</v>
      </c>
    </row>
    <row r="1042" spans="2:9" hidden="1">
      <c r="C1042" t="s">
        <v>1521</v>
      </c>
      <c r="D1042" t="s">
        <v>534</v>
      </c>
      <c r="E1042" t="s">
        <v>1262</v>
      </c>
      <c r="F1042" t="s">
        <v>1101</v>
      </c>
      <c r="G1042" s="158" t="s">
        <v>436</v>
      </c>
      <c r="H1042" t="s">
        <v>2278</v>
      </c>
      <c r="I1042">
        <v>0</v>
      </c>
    </row>
    <row r="1043" spans="2:9" hidden="1">
      <c r="C1043" t="s">
        <v>1522</v>
      </c>
      <c r="D1043" t="s">
        <v>534</v>
      </c>
      <c r="E1043" t="s">
        <v>1262</v>
      </c>
      <c r="F1043" t="s">
        <v>1101</v>
      </c>
      <c r="G1043" s="158" t="s">
        <v>436</v>
      </c>
      <c r="H1043" t="s">
        <v>2278</v>
      </c>
      <c r="I1043">
        <v>0</v>
      </c>
    </row>
    <row r="1044" spans="2:9" hidden="1">
      <c r="C1044" t="s">
        <v>1521</v>
      </c>
      <c r="D1044" t="s">
        <v>534</v>
      </c>
      <c r="E1044" t="s">
        <v>551</v>
      </c>
      <c r="F1044" t="s">
        <v>1101</v>
      </c>
      <c r="G1044" s="158">
        <v>1110</v>
      </c>
      <c r="H1044" t="s">
        <v>2278</v>
      </c>
      <c r="I1044">
        <v>0</v>
      </c>
    </row>
    <row r="1045" spans="2:9" hidden="1">
      <c r="C1045" t="s">
        <v>1522</v>
      </c>
      <c r="D1045" t="s">
        <v>534</v>
      </c>
      <c r="E1045" t="s">
        <v>551</v>
      </c>
      <c r="F1045" t="s">
        <v>1101</v>
      </c>
      <c r="G1045" s="158">
        <v>1110</v>
      </c>
      <c r="H1045" t="s">
        <v>2278</v>
      </c>
      <c r="I1045">
        <v>0</v>
      </c>
    </row>
    <row r="1046" spans="2:9" hidden="1">
      <c r="C1046" t="s">
        <v>1521</v>
      </c>
      <c r="D1046" t="s">
        <v>1329</v>
      </c>
      <c r="E1046" t="s">
        <v>1586</v>
      </c>
      <c r="F1046" t="s">
        <v>1101</v>
      </c>
      <c r="G1046" s="158">
        <v>1110</v>
      </c>
      <c r="H1046" t="s">
        <v>2278</v>
      </c>
      <c r="I1046">
        <v>0</v>
      </c>
    </row>
    <row r="1047" spans="2:9" hidden="1">
      <c r="C1047" t="s">
        <v>1522</v>
      </c>
      <c r="D1047" t="s">
        <v>70</v>
      </c>
      <c r="E1047" t="s">
        <v>1526</v>
      </c>
      <c r="F1047" t="s">
        <v>1101</v>
      </c>
      <c r="G1047" s="158">
        <v>1700</v>
      </c>
      <c r="H1047" t="s">
        <v>2282</v>
      </c>
      <c r="I1047">
        <v>0</v>
      </c>
    </row>
    <row r="1048" spans="2:9" hidden="1">
      <c r="C1048" t="s">
        <v>1522</v>
      </c>
      <c r="D1048" t="s">
        <v>70</v>
      </c>
      <c r="E1048" t="s">
        <v>1195</v>
      </c>
      <c r="F1048" t="s">
        <v>1101</v>
      </c>
      <c r="G1048" s="158">
        <v>1700</v>
      </c>
      <c r="H1048" t="s">
        <v>2282</v>
      </c>
      <c r="I1048">
        <v>0</v>
      </c>
    </row>
    <row r="1049" spans="2:9" hidden="1">
      <c r="C1049" t="s">
        <v>1522</v>
      </c>
      <c r="D1049" t="s">
        <v>70</v>
      </c>
      <c r="E1049" t="s">
        <v>463</v>
      </c>
      <c r="F1049" t="s">
        <v>1101</v>
      </c>
      <c r="G1049" s="158" t="s">
        <v>430</v>
      </c>
      <c r="H1049" t="s">
        <v>2282</v>
      </c>
      <c r="I1049">
        <v>0</v>
      </c>
    </row>
    <row r="1050" spans="2:9" hidden="1">
      <c r="C1050" t="s">
        <v>1521</v>
      </c>
      <c r="D1050" t="s">
        <v>70</v>
      </c>
      <c r="E1050" t="s">
        <v>1261</v>
      </c>
      <c r="F1050" t="s">
        <v>1101</v>
      </c>
      <c r="G1050" s="158">
        <v>1700</v>
      </c>
      <c r="H1050" t="s">
        <v>2282</v>
      </c>
      <c r="I1050">
        <v>0</v>
      </c>
    </row>
    <row r="1051" spans="2:9" hidden="1">
      <c r="C1051" t="s">
        <v>1521</v>
      </c>
      <c r="D1051" t="s">
        <v>70</v>
      </c>
      <c r="E1051" t="s">
        <v>1262</v>
      </c>
      <c r="F1051" t="s">
        <v>1101</v>
      </c>
      <c r="G1051" s="158" t="s">
        <v>430</v>
      </c>
      <c r="H1051" t="s">
        <v>2282</v>
      </c>
      <c r="I1051">
        <v>0</v>
      </c>
    </row>
    <row r="1052" spans="2:9" hidden="1">
      <c r="C1052" t="s">
        <v>1522</v>
      </c>
      <c r="D1052" t="s">
        <v>70</v>
      </c>
      <c r="E1052" t="s">
        <v>1262</v>
      </c>
      <c r="F1052" t="s">
        <v>1101</v>
      </c>
      <c r="G1052" s="158" t="s">
        <v>430</v>
      </c>
      <c r="H1052" t="s">
        <v>2282</v>
      </c>
      <c r="I1052">
        <v>0</v>
      </c>
    </row>
    <row r="1053" spans="2:9" hidden="1">
      <c r="C1053" t="s">
        <v>1522</v>
      </c>
      <c r="D1053" t="s">
        <v>70</v>
      </c>
      <c r="E1053" t="s">
        <v>551</v>
      </c>
      <c r="F1053" t="s">
        <v>1101</v>
      </c>
      <c r="G1053" s="158" t="s">
        <v>430</v>
      </c>
      <c r="H1053" t="s">
        <v>2282</v>
      </c>
      <c r="I1053">
        <v>0</v>
      </c>
    </row>
    <row r="1054" spans="2:9" hidden="1">
      <c r="C1054" t="s">
        <v>1521</v>
      </c>
      <c r="D1054" t="s">
        <v>70</v>
      </c>
      <c r="E1054" t="s">
        <v>1586</v>
      </c>
      <c r="F1054" t="s">
        <v>1101</v>
      </c>
      <c r="G1054" s="158">
        <v>1700</v>
      </c>
      <c r="H1054" t="s">
        <v>2282</v>
      </c>
      <c r="I1054">
        <v>0</v>
      </c>
    </row>
    <row r="1055" spans="2:9" hidden="1">
      <c r="C1055" t="s">
        <v>1522</v>
      </c>
      <c r="D1055" t="s">
        <v>70</v>
      </c>
      <c r="E1055" t="s">
        <v>1586</v>
      </c>
      <c r="F1055" t="s">
        <v>1101</v>
      </c>
      <c r="G1055" s="158">
        <v>1700</v>
      </c>
      <c r="H1055" t="s">
        <v>2282</v>
      </c>
      <c r="I1055">
        <v>0</v>
      </c>
    </row>
    <row r="1056" spans="2:9" hidden="1">
      <c r="B1056" t="s">
        <v>110</v>
      </c>
      <c r="C1056" t="s">
        <v>1522</v>
      </c>
      <c r="E1056" t="s">
        <v>463</v>
      </c>
      <c r="F1056" t="s">
        <v>928</v>
      </c>
      <c r="G1056" s="158">
        <v>1020</v>
      </c>
      <c r="H1056" t="s">
        <v>2287</v>
      </c>
      <c r="I1056">
        <v>0</v>
      </c>
    </row>
    <row r="1057" spans="2:9" hidden="1">
      <c r="B1057" t="s">
        <v>882</v>
      </c>
      <c r="C1057" t="s">
        <v>1522</v>
      </c>
      <c r="E1057" t="s">
        <v>463</v>
      </c>
      <c r="F1057" t="s">
        <v>928</v>
      </c>
      <c r="G1057" s="158" t="s">
        <v>1080</v>
      </c>
      <c r="H1057" t="s">
        <v>2288</v>
      </c>
      <c r="I1057">
        <v>0</v>
      </c>
    </row>
    <row r="1058" spans="2:9" hidden="1">
      <c r="C1058" t="s">
        <v>1522</v>
      </c>
      <c r="D1058" t="s">
        <v>534</v>
      </c>
      <c r="E1058" t="s">
        <v>1195</v>
      </c>
      <c r="F1058" t="s">
        <v>469</v>
      </c>
      <c r="G1058" s="158">
        <v>1010</v>
      </c>
      <c r="H1058" t="s">
        <v>2302</v>
      </c>
      <c r="I1058">
        <v>0</v>
      </c>
    </row>
    <row r="1059" spans="2:9" hidden="1">
      <c r="C1059" t="s">
        <v>1522</v>
      </c>
      <c r="D1059" t="s">
        <v>534</v>
      </c>
      <c r="E1059" t="s">
        <v>1261</v>
      </c>
      <c r="F1059" t="s">
        <v>469</v>
      </c>
      <c r="G1059" s="158">
        <v>1010</v>
      </c>
      <c r="H1059" t="s">
        <v>2302</v>
      </c>
      <c r="I1059">
        <v>0</v>
      </c>
    </row>
    <row r="1060" spans="2:9" hidden="1">
      <c r="C1060" t="s">
        <v>1522</v>
      </c>
      <c r="E1060" t="s">
        <v>1526</v>
      </c>
      <c r="F1060" t="s">
        <v>1113</v>
      </c>
      <c r="G1060" s="158" t="s">
        <v>1528</v>
      </c>
      <c r="H1060" t="s">
        <v>2318</v>
      </c>
      <c r="I1060">
        <v>0</v>
      </c>
    </row>
    <row r="1061" spans="2:9" hidden="1">
      <c r="C1061" t="s">
        <v>1522</v>
      </c>
      <c r="D1061" t="s">
        <v>845</v>
      </c>
      <c r="E1061" t="s">
        <v>1526</v>
      </c>
      <c r="F1061" t="s">
        <v>1113</v>
      </c>
      <c r="G1061" s="158" t="s">
        <v>1119</v>
      </c>
      <c r="H1061" t="s">
        <v>2320</v>
      </c>
      <c r="I1061">
        <v>0</v>
      </c>
    </row>
    <row r="1062" spans="2:9" hidden="1">
      <c r="C1062" t="s">
        <v>1522</v>
      </c>
      <c r="D1062" t="s">
        <v>845</v>
      </c>
      <c r="E1062" t="s">
        <v>1195</v>
      </c>
      <c r="F1062" t="s">
        <v>1113</v>
      </c>
      <c r="G1062" s="158">
        <v>1050</v>
      </c>
      <c r="H1062" t="s">
        <v>2320</v>
      </c>
      <c r="I1062">
        <v>0</v>
      </c>
    </row>
    <row r="1063" spans="2:9" hidden="1">
      <c r="C1063" t="s">
        <v>1522</v>
      </c>
      <c r="E1063" t="s">
        <v>1526</v>
      </c>
      <c r="F1063" t="s">
        <v>1113</v>
      </c>
      <c r="G1063" s="158" t="s">
        <v>1121</v>
      </c>
      <c r="H1063" t="s">
        <v>2321</v>
      </c>
      <c r="I1063">
        <v>0</v>
      </c>
    </row>
    <row r="1064" spans="2:9" hidden="1">
      <c r="C1064" t="s">
        <v>1522</v>
      </c>
      <c r="E1064" t="s">
        <v>1195</v>
      </c>
      <c r="F1064" t="s">
        <v>1113</v>
      </c>
      <c r="G1064" s="158">
        <v>1060</v>
      </c>
      <c r="H1064" t="s">
        <v>2321</v>
      </c>
      <c r="I1064">
        <v>0</v>
      </c>
    </row>
    <row r="1065" spans="2:9" hidden="1">
      <c r="C1065" t="s">
        <v>1522</v>
      </c>
      <c r="E1065" t="s">
        <v>1526</v>
      </c>
      <c r="F1065" t="s">
        <v>1113</v>
      </c>
      <c r="G1065" s="158" t="s">
        <v>1081</v>
      </c>
      <c r="H1065" t="s">
        <v>2324</v>
      </c>
      <c r="I1065">
        <v>0</v>
      </c>
    </row>
    <row r="1066" spans="2:9" hidden="1">
      <c r="C1066" t="s">
        <v>1522</v>
      </c>
      <c r="E1066" t="s">
        <v>1195</v>
      </c>
      <c r="F1066" t="s">
        <v>1113</v>
      </c>
      <c r="G1066" s="158">
        <v>1210</v>
      </c>
      <c r="H1066" t="s">
        <v>2324</v>
      </c>
      <c r="I1066">
        <v>0</v>
      </c>
    </row>
    <row r="1067" spans="2:9" hidden="1">
      <c r="C1067" t="s">
        <v>1522</v>
      </c>
      <c r="E1067" t="s">
        <v>1261</v>
      </c>
      <c r="F1067" t="s">
        <v>1113</v>
      </c>
      <c r="G1067" s="158">
        <v>1210</v>
      </c>
      <c r="H1067" t="s">
        <v>2324</v>
      </c>
      <c r="I1067">
        <v>0</v>
      </c>
    </row>
    <row r="1068" spans="2:9" hidden="1">
      <c r="C1068" t="s">
        <v>1522</v>
      </c>
      <c r="E1068" t="s">
        <v>1526</v>
      </c>
      <c r="F1068" t="s">
        <v>1113</v>
      </c>
      <c r="G1068" s="158" t="s">
        <v>1104</v>
      </c>
      <c r="H1068" t="s">
        <v>2325</v>
      </c>
      <c r="I1068">
        <v>0</v>
      </c>
    </row>
    <row r="1069" spans="2:9" hidden="1">
      <c r="C1069" t="s">
        <v>1522</v>
      </c>
      <c r="E1069" t="s">
        <v>1195</v>
      </c>
      <c r="F1069" t="s">
        <v>1113</v>
      </c>
      <c r="G1069" s="158">
        <v>1220</v>
      </c>
      <c r="H1069" t="s">
        <v>2325</v>
      </c>
      <c r="I1069">
        <v>0</v>
      </c>
    </row>
    <row r="1070" spans="2:9" hidden="1">
      <c r="C1070" t="s">
        <v>1522</v>
      </c>
      <c r="E1070" t="s">
        <v>1195</v>
      </c>
      <c r="F1070" t="s">
        <v>1113</v>
      </c>
      <c r="G1070" s="158">
        <v>2210</v>
      </c>
      <c r="H1070" t="s">
        <v>2328</v>
      </c>
      <c r="I1070">
        <v>0</v>
      </c>
    </row>
    <row r="1071" spans="2:9" hidden="1">
      <c r="C1071" t="s">
        <v>1522</v>
      </c>
      <c r="E1071" t="s">
        <v>463</v>
      </c>
      <c r="F1071" t="s">
        <v>455</v>
      </c>
      <c r="G1071" s="158" t="s">
        <v>1528</v>
      </c>
      <c r="H1071" t="s">
        <v>2329</v>
      </c>
      <c r="I1071">
        <v>0</v>
      </c>
    </row>
    <row r="1072" spans="2:9" hidden="1">
      <c r="C1072" t="s">
        <v>1522</v>
      </c>
      <c r="E1072" t="s">
        <v>1262</v>
      </c>
      <c r="F1072" t="s">
        <v>455</v>
      </c>
      <c r="G1072" s="158" t="s">
        <v>1528</v>
      </c>
      <c r="H1072" t="s">
        <v>2329</v>
      </c>
      <c r="I1072">
        <v>0</v>
      </c>
    </row>
    <row r="1073" spans="2:9" hidden="1">
      <c r="C1073" t="s">
        <v>1522</v>
      </c>
      <c r="D1073" t="s">
        <v>845</v>
      </c>
      <c r="E1073" t="s">
        <v>1262</v>
      </c>
      <c r="F1073" t="s">
        <v>455</v>
      </c>
      <c r="G1073" s="158" t="s">
        <v>1117</v>
      </c>
      <c r="H1073" t="s">
        <v>2330</v>
      </c>
      <c r="I1073">
        <v>0</v>
      </c>
    </row>
    <row r="1074" spans="2:9" hidden="1">
      <c r="C1074" t="s">
        <v>1522</v>
      </c>
      <c r="D1074" t="s">
        <v>845</v>
      </c>
      <c r="E1074" t="s">
        <v>463</v>
      </c>
      <c r="F1074" t="s">
        <v>455</v>
      </c>
      <c r="G1074" s="158" t="s">
        <v>440</v>
      </c>
      <c r="H1074" t="s">
        <v>2331</v>
      </c>
      <c r="I1074">
        <v>0</v>
      </c>
    </row>
    <row r="1075" spans="2:9" hidden="1">
      <c r="C1075" t="s">
        <v>1522</v>
      </c>
      <c r="D1075" t="s">
        <v>845</v>
      </c>
      <c r="E1075" t="s">
        <v>463</v>
      </c>
      <c r="F1075" t="s">
        <v>455</v>
      </c>
      <c r="G1075" s="158" t="s">
        <v>1119</v>
      </c>
      <c r="H1075" t="s">
        <v>2332</v>
      </c>
      <c r="I1075">
        <v>0</v>
      </c>
    </row>
    <row r="1076" spans="2:9" hidden="1">
      <c r="C1076" t="s">
        <v>1522</v>
      </c>
      <c r="D1076" t="s">
        <v>845</v>
      </c>
      <c r="E1076" t="s">
        <v>1262</v>
      </c>
      <c r="F1076" t="s">
        <v>455</v>
      </c>
      <c r="G1076" s="158" t="s">
        <v>1119</v>
      </c>
      <c r="H1076" t="s">
        <v>2332</v>
      </c>
      <c r="I1076">
        <v>0</v>
      </c>
    </row>
    <row r="1077" spans="2:9" hidden="1">
      <c r="C1077" t="s">
        <v>1522</v>
      </c>
      <c r="D1077" t="s">
        <v>845</v>
      </c>
      <c r="E1077" t="s">
        <v>551</v>
      </c>
      <c r="F1077" t="s">
        <v>455</v>
      </c>
      <c r="G1077" s="158">
        <v>1050</v>
      </c>
      <c r="H1077" t="s">
        <v>2332</v>
      </c>
      <c r="I1077">
        <v>0</v>
      </c>
    </row>
    <row r="1078" spans="2:9" hidden="1">
      <c r="C1078" t="s">
        <v>1522</v>
      </c>
      <c r="D1078" t="s">
        <v>845</v>
      </c>
      <c r="E1078" t="s">
        <v>797</v>
      </c>
      <c r="F1078" t="s">
        <v>455</v>
      </c>
      <c r="G1078" s="158">
        <v>1050</v>
      </c>
      <c r="H1078" t="s">
        <v>2332</v>
      </c>
      <c r="I1078">
        <v>0</v>
      </c>
    </row>
    <row r="1079" spans="2:9" hidden="1">
      <c r="C1079" t="s">
        <v>1522</v>
      </c>
      <c r="E1079" t="s">
        <v>463</v>
      </c>
      <c r="F1079" t="s">
        <v>455</v>
      </c>
      <c r="G1079" s="158" t="s">
        <v>1121</v>
      </c>
      <c r="H1079" t="s">
        <v>2333</v>
      </c>
      <c r="I1079">
        <v>0</v>
      </c>
    </row>
    <row r="1080" spans="2:9" hidden="1">
      <c r="C1080" t="s">
        <v>1522</v>
      </c>
      <c r="E1080" t="s">
        <v>1262</v>
      </c>
      <c r="F1080" t="s">
        <v>455</v>
      </c>
      <c r="G1080" s="158" t="s">
        <v>1121</v>
      </c>
      <c r="H1080" t="s">
        <v>2333</v>
      </c>
      <c r="I1080">
        <v>0</v>
      </c>
    </row>
    <row r="1081" spans="2:9" hidden="1">
      <c r="C1081" t="s">
        <v>1522</v>
      </c>
      <c r="E1081" t="s">
        <v>551</v>
      </c>
      <c r="F1081" t="s">
        <v>455</v>
      </c>
      <c r="G1081" s="158">
        <v>1060</v>
      </c>
      <c r="H1081" t="s">
        <v>2333</v>
      </c>
      <c r="I1081">
        <v>0</v>
      </c>
    </row>
    <row r="1082" spans="2:9" hidden="1">
      <c r="C1082" t="s">
        <v>1522</v>
      </c>
      <c r="E1082" t="s">
        <v>797</v>
      </c>
      <c r="F1082" t="s">
        <v>455</v>
      </c>
      <c r="G1082" s="158">
        <v>1060</v>
      </c>
      <c r="H1082" t="s">
        <v>2333</v>
      </c>
      <c r="I1082">
        <v>0</v>
      </c>
    </row>
    <row r="1083" spans="2:9" hidden="1">
      <c r="C1083" t="s">
        <v>1522</v>
      </c>
      <c r="E1083" t="s">
        <v>463</v>
      </c>
      <c r="F1083" t="s">
        <v>455</v>
      </c>
      <c r="G1083" s="158">
        <v>1210</v>
      </c>
      <c r="H1083" t="s">
        <v>2335</v>
      </c>
      <c r="I1083">
        <v>0</v>
      </c>
    </row>
    <row r="1084" spans="2:9" hidden="1">
      <c r="C1084" t="s">
        <v>1522</v>
      </c>
      <c r="E1084" t="s">
        <v>551</v>
      </c>
      <c r="F1084" t="s">
        <v>455</v>
      </c>
      <c r="G1084" s="158">
        <v>1210</v>
      </c>
      <c r="H1084" t="s">
        <v>2335</v>
      </c>
      <c r="I1084">
        <v>0</v>
      </c>
    </row>
    <row r="1085" spans="2:9" hidden="1">
      <c r="C1085" t="s">
        <v>1522</v>
      </c>
      <c r="E1085" t="s">
        <v>551</v>
      </c>
      <c r="F1085" t="s">
        <v>455</v>
      </c>
      <c r="G1085" s="158">
        <v>1220</v>
      </c>
      <c r="H1085" t="s">
        <v>2336</v>
      </c>
      <c r="I1085">
        <v>0</v>
      </c>
    </row>
    <row r="1086" spans="2:9" hidden="1">
      <c r="B1086" t="s">
        <v>100</v>
      </c>
      <c r="C1086" t="s">
        <v>1522</v>
      </c>
      <c r="E1086" t="s">
        <v>463</v>
      </c>
      <c r="F1086" t="s">
        <v>864</v>
      </c>
      <c r="G1086" s="158">
        <v>1100</v>
      </c>
      <c r="H1086" t="s">
        <v>2351</v>
      </c>
      <c r="I1086">
        <v>0</v>
      </c>
    </row>
    <row r="1087" spans="2:9" hidden="1">
      <c r="C1087" t="s">
        <v>1521</v>
      </c>
      <c r="D1087" t="s">
        <v>1330</v>
      </c>
      <c r="E1087" t="s">
        <v>1526</v>
      </c>
      <c r="F1087" t="s">
        <v>1124</v>
      </c>
      <c r="G1087" s="158" t="s">
        <v>1528</v>
      </c>
      <c r="H1087" t="s">
        <v>2368</v>
      </c>
      <c r="I1087">
        <v>0</v>
      </c>
    </row>
    <row r="1088" spans="2:9" hidden="1">
      <c r="C1088" t="s">
        <v>1521</v>
      </c>
      <c r="D1088" t="s">
        <v>1330</v>
      </c>
      <c r="E1088" t="s">
        <v>463</v>
      </c>
      <c r="F1088" t="s">
        <v>1124</v>
      </c>
      <c r="G1088" s="158" t="s">
        <v>1528</v>
      </c>
      <c r="H1088" t="s">
        <v>2368</v>
      </c>
      <c r="I1088">
        <v>0</v>
      </c>
    </row>
    <row r="1089" spans="2:9" hidden="1">
      <c r="C1089" t="s">
        <v>1521</v>
      </c>
      <c r="D1089" t="s">
        <v>1330</v>
      </c>
      <c r="E1089" t="s">
        <v>1261</v>
      </c>
      <c r="F1089" t="s">
        <v>1124</v>
      </c>
      <c r="G1089" s="158">
        <v>1010</v>
      </c>
      <c r="H1089" t="s">
        <v>2368</v>
      </c>
      <c r="I1089">
        <v>0</v>
      </c>
    </row>
    <row r="1090" spans="2:9" hidden="1">
      <c r="C1090" t="s">
        <v>1521</v>
      </c>
      <c r="D1090" t="s">
        <v>1330</v>
      </c>
      <c r="E1090" t="s">
        <v>1262</v>
      </c>
      <c r="F1090" t="s">
        <v>1124</v>
      </c>
      <c r="G1090" s="158" t="s">
        <v>1528</v>
      </c>
      <c r="H1090" t="s">
        <v>2368</v>
      </c>
      <c r="I1090">
        <v>0</v>
      </c>
    </row>
    <row r="1091" spans="2:9" hidden="1">
      <c r="C1091" t="s">
        <v>1521</v>
      </c>
      <c r="D1091" t="s">
        <v>1330</v>
      </c>
      <c r="E1091" t="s">
        <v>551</v>
      </c>
      <c r="F1091" t="s">
        <v>1124</v>
      </c>
      <c r="G1091" s="158">
        <v>1010</v>
      </c>
      <c r="H1091" t="s">
        <v>2368</v>
      </c>
      <c r="I1091">
        <v>0</v>
      </c>
    </row>
    <row r="1092" spans="2:9" hidden="1">
      <c r="C1092" t="s">
        <v>1522</v>
      </c>
      <c r="D1092" t="s">
        <v>1330</v>
      </c>
      <c r="E1092" t="s">
        <v>1586</v>
      </c>
      <c r="F1092" t="s">
        <v>1124</v>
      </c>
      <c r="G1092" s="158">
        <v>1010</v>
      </c>
      <c r="H1092" t="s">
        <v>2368</v>
      </c>
      <c r="I1092">
        <v>0</v>
      </c>
    </row>
    <row r="1093" spans="2:9" hidden="1">
      <c r="B1093" t="s">
        <v>110</v>
      </c>
      <c r="C1093" t="s">
        <v>1522</v>
      </c>
      <c r="D1093" t="s">
        <v>540</v>
      </c>
      <c r="E1093" t="s">
        <v>1195</v>
      </c>
      <c r="F1093" t="s">
        <v>1264</v>
      </c>
      <c r="G1093" s="158">
        <v>1020</v>
      </c>
      <c r="H1093" t="s">
        <v>2376</v>
      </c>
      <c r="I1093">
        <v>0</v>
      </c>
    </row>
    <row r="1094" spans="2:9" hidden="1">
      <c r="B1094" t="s">
        <v>110</v>
      </c>
      <c r="C1094" t="s">
        <v>1522</v>
      </c>
      <c r="D1094" t="s">
        <v>540</v>
      </c>
      <c r="E1094" t="s">
        <v>1262</v>
      </c>
      <c r="F1094" t="s">
        <v>1264</v>
      </c>
      <c r="G1094" s="158">
        <v>1020</v>
      </c>
      <c r="H1094" t="s">
        <v>2376</v>
      </c>
      <c r="I1094">
        <v>0</v>
      </c>
    </row>
    <row r="1095" spans="2:9" hidden="1">
      <c r="C1095" t="s">
        <v>1522</v>
      </c>
      <c r="D1095" t="s">
        <v>534</v>
      </c>
      <c r="E1095" t="s">
        <v>1526</v>
      </c>
      <c r="F1095" t="s">
        <v>426</v>
      </c>
      <c r="G1095" s="158">
        <v>1000</v>
      </c>
      <c r="H1095" t="s">
        <v>2398</v>
      </c>
      <c r="I1095">
        <v>0</v>
      </c>
    </row>
    <row r="1096" spans="2:9" hidden="1">
      <c r="C1096" t="s">
        <v>1522</v>
      </c>
      <c r="D1096" t="s">
        <v>1332</v>
      </c>
      <c r="E1096" t="s">
        <v>1261</v>
      </c>
      <c r="F1096" t="s">
        <v>733</v>
      </c>
      <c r="G1096" s="158">
        <v>1000</v>
      </c>
      <c r="H1096" t="s">
        <v>2400</v>
      </c>
      <c r="I1096">
        <v>0</v>
      </c>
    </row>
    <row r="1097" spans="2:9" hidden="1">
      <c r="C1097" t="s">
        <v>1521</v>
      </c>
      <c r="D1097" t="s">
        <v>1332</v>
      </c>
      <c r="E1097" t="s">
        <v>1526</v>
      </c>
      <c r="F1097" t="s">
        <v>427</v>
      </c>
      <c r="G1097" s="158" t="s">
        <v>1528</v>
      </c>
      <c r="H1097" t="s">
        <v>2401</v>
      </c>
      <c r="I1097">
        <v>0</v>
      </c>
    </row>
    <row r="1098" spans="2:9" hidden="1">
      <c r="C1098" t="s">
        <v>1522</v>
      </c>
      <c r="D1098" t="s">
        <v>1332</v>
      </c>
      <c r="E1098" t="s">
        <v>1195</v>
      </c>
      <c r="F1098" t="s">
        <v>427</v>
      </c>
      <c r="G1098" s="158">
        <v>1010</v>
      </c>
      <c r="H1098" t="s">
        <v>2401</v>
      </c>
      <c r="I1098">
        <v>0</v>
      </c>
    </row>
    <row r="1099" spans="2:9" hidden="1">
      <c r="C1099" t="s">
        <v>1522</v>
      </c>
      <c r="D1099" t="s">
        <v>1332</v>
      </c>
      <c r="E1099" t="s">
        <v>463</v>
      </c>
      <c r="F1099" t="s">
        <v>427</v>
      </c>
      <c r="G1099" s="158">
        <v>1010</v>
      </c>
      <c r="H1099" t="s">
        <v>2401</v>
      </c>
      <c r="I1099">
        <v>0</v>
      </c>
    </row>
    <row r="1100" spans="2:9" hidden="1">
      <c r="C1100" t="s">
        <v>1521</v>
      </c>
      <c r="D1100" t="s">
        <v>1332</v>
      </c>
      <c r="E1100" t="s">
        <v>1261</v>
      </c>
      <c r="F1100" t="s">
        <v>427</v>
      </c>
      <c r="G1100" s="158">
        <v>1010</v>
      </c>
      <c r="H1100" t="s">
        <v>2401</v>
      </c>
      <c r="I1100">
        <v>0</v>
      </c>
    </row>
    <row r="1101" spans="2:9" hidden="1">
      <c r="C1101" t="s">
        <v>1522</v>
      </c>
      <c r="D1101" t="s">
        <v>1332</v>
      </c>
      <c r="E1101" t="s">
        <v>1262</v>
      </c>
      <c r="F1101" t="s">
        <v>427</v>
      </c>
      <c r="G1101" s="158">
        <v>1010</v>
      </c>
      <c r="H1101" t="s">
        <v>2401</v>
      </c>
      <c r="I1101">
        <v>0</v>
      </c>
    </row>
    <row r="1102" spans="2:9" hidden="1">
      <c r="C1102" t="s">
        <v>1521</v>
      </c>
      <c r="D1102" t="s">
        <v>1332</v>
      </c>
      <c r="E1102" t="s">
        <v>1526</v>
      </c>
      <c r="F1102" t="s">
        <v>427</v>
      </c>
      <c r="G1102" s="158">
        <v>1015</v>
      </c>
      <c r="H1102" t="s">
        <v>2402</v>
      </c>
      <c r="I1102">
        <v>0</v>
      </c>
    </row>
    <row r="1103" spans="2:9" hidden="1">
      <c r="C1103" t="s">
        <v>1522</v>
      </c>
      <c r="D1103" t="s">
        <v>1332</v>
      </c>
      <c r="E1103" t="s">
        <v>1526</v>
      </c>
      <c r="F1103" t="s">
        <v>427</v>
      </c>
      <c r="G1103" s="158">
        <v>1040</v>
      </c>
      <c r="H1103" t="s">
        <v>2403</v>
      </c>
      <c r="I1103">
        <v>0</v>
      </c>
    </row>
    <row r="1104" spans="2:9" hidden="1">
      <c r="C1104" t="s">
        <v>1522</v>
      </c>
      <c r="D1104" t="s">
        <v>1332</v>
      </c>
      <c r="E1104" t="s">
        <v>1195</v>
      </c>
      <c r="F1104" t="s">
        <v>427</v>
      </c>
      <c r="G1104" s="158">
        <v>1040</v>
      </c>
      <c r="H1104" t="s">
        <v>2403</v>
      </c>
      <c r="I1104">
        <v>0</v>
      </c>
    </row>
    <row r="1105" spans="2:9" hidden="1">
      <c r="C1105" t="s">
        <v>1522</v>
      </c>
      <c r="D1105" t="s">
        <v>1332</v>
      </c>
      <c r="E1105" t="s">
        <v>463</v>
      </c>
      <c r="F1105" t="s">
        <v>427</v>
      </c>
      <c r="G1105" s="158">
        <v>1040</v>
      </c>
      <c r="H1105" t="s">
        <v>2403</v>
      </c>
      <c r="I1105">
        <v>0</v>
      </c>
    </row>
    <row r="1106" spans="2:9" hidden="1">
      <c r="C1106" t="s">
        <v>1522</v>
      </c>
      <c r="E1106" t="s">
        <v>1262</v>
      </c>
      <c r="F1106" t="s">
        <v>427</v>
      </c>
      <c r="G1106" s="158">
        <v>1040</v>
      </c>
      <c r="H1106" t="s">
        <v>2403</v>
      </c>
      <c r="I1106">
        <v>0</v>
      </c>
    </row>
    <row r="1107" spans="2:9" hidden="1">
      <c r="C1107" t="s">
        <v>1522</v>
      </c>
      <c r="D1107" t="s">
        <v>1332</v>
      </c>
      <c r="E1107" t="s">
        <v>1195</v>
      </c>
      <c r="F1107" t="s">
        <v>427</v>
      </c>
      <c r="G1107" s="158">
        <v>2210</v>
      </c>
      <c r="H1107" t="s">
        <v>2410</v>
      </c>
      <c r="I1107">
        <v>0</v>
      </c>
    </row>
    <row r="1108" spans="2:9" hidden="1">
      <c r="B1108" t="s">
        <v>85</v>
      </c>
      <c r="C1108" t="s">
        <v>1522</v>
      </c>
      <c r="E1108" t="s">
        <v>551</v>
      </c>
      <c r="F1108" t="s">
        <v>738</v>
      </c>
      <c r="G1108" s="158">
        <v>2900</v>
      </c>
      <c r="H1108" t="s">
        <v>2423</v>
      </c>
      <c r="I1108">
        <v>0</v>
      </c>
    </row>
    <row r="1109" spans="2:9" hidden="1">
      <c r="C1109" t="s">
        <v>1521</v>
      </c>
      <c r="D1109" t="s">
        <v>70</v>
      </c>
      <c r="E1109" t="s">
        <v>1526</v>
      </c>
      <c r="F1109" t="s">
        <v>196</v>
      </c>
      <c r="G1109" s="158">
        <v>1100</v>
      </c>
      <c r="H1109" t="s">
        <v>2425</v>
      </c>
      <c r="I1109">
        <v>0</v>
      </c>
    </row>
    <row r="1110" spans="2:9" hidden="1">
      <c r="C1110" t="s">
        <v>1521</v>
      </c>
      <c r="D1110" t="s">
        <v>70</v>
      </c>
      <c r="E1110" t="s">
        <v>1195</v>
      </c>
      <c r="F1110" t="s">
        <v>196</v>
      </c>
      <c r="G1110" s="158">
        <v>1100</v>
      </c>
      <c r="H1110" t="s">
        <v>2425</v>
      </c>
      <c r="I1110">
        <v>0</v>
      </c>
    </row>
    <row r="1111" spans="2:9" hidden="1">
      <c r="C1111" t="s">
        <v>1521</v>
      </c>
      <c r="D1111" t="s">
        <v>70</v>
      </c>
      <c r="E1111" t="s">
        <v>1261</v>
      </c>
      <c r="F1111" t="s">
        <v>196</v>
      </c>
      <c r="G1111" s="158">
        <v>1100</v>
      </c>
      <c r="H1111" t="s">
        <v>2425</v>
      </c>
      <c r="I1111">
        <v>0</v>
      </c>
    </row>
    <row r="1112" spans="2:9" hidden="1">
      <c r="C1112" t="s">
        <v>1521</v>
      </c>
      <c r="D1112" t="s">
        <v>70</v>
      </c>
      <c r="E1112" t="s">
        <v>1262</v>
      </c>
      <c r="F1112" t="s">
        <v>196</v>
      </c>
      <c r="G1112" s="158" t="s">
        <v>1078</v>
      </c>
      <c r="H1112" t="s">
        <v>2425</v>
      </c>
      <c r="I1112">
        <v>0</v>
      </c>
    </row>
    <row r="1113" spans="2:9" hidden="1">
      <c r="C1113" t="s">
        <v>1521</v>
      </c>
      <c r="D1113" t="s">
        <v>70</v>
      </c>
      <c r="E1113" t="s">
        <v>551</v>
      </c>
      <c r="F1113" t="s">
        <v>196</v>
      </c>
      <c r="G1113" s="158">
        <v>1100</v>
      </c>
      <c r="H1113" t="s">
        <v>2425</v>
      </c>
      <c r="I1113">
        <v>0</v>
      </c>
    </row>
    <row r="1114" spans="2:9" hidden="1">
      <c r="C1114" t="s">
        <v>1522</v>
      </c>
      <c r="D1114" t="s">
        <v>1329</v>
      </c>
      <c r="E1114" t="s">
        <v>1526</v>
      </c>
      <c r="F1114" t="s">
        <v>343</v>
      </c>
      <c r="G1114" s="158" t="s">
        <v>1528</v>
      </c>
      <c r="H1114" t="s">
        <v>2428</v>
      </c>
      <c r="I1114">
        <v>0</v>
      </c>
    </row>
    <row r="1115" spans="2:9" hidden="1">
      <c r="C1115" t="s">
        <v>1522</v>
      </c>
      <c r="D1115" t="s">
        <v>1329</v>
      </c>
      <c r="E1115" t="s">
        <v>1195</v>
      </c>
      <c r="F1115" t="s">
        <v>343</v>
      </c>
      <c r="G1115" s="158" t="s">
        <v>1528</v>
      </c>
      <c r="H1115" t="s">
        <v>2428</v>
      </c>
      <c r="I1115">
        <v>0</v>
      </c>
    </row>
    <row r="1116" spans="2:9" hidden="1">
      <c r="C1116" t="s">
        <v>1522</v>
      </c>
      <c r="D1116" t="s">
        <v>1329</v>
      </c>
      <c r="E1116" t="s">
        <v>463</v>
      </c>
      <c r="F1116" t="s">
        <v>343</v>
      </c>
      <c r="G1116" s="158">
        <v>1010</v>
      </c>
      <c r="H1116" t="s">
        <v>2428</v>
      </c>
      <c r="I1116">
        <v>0</v>
      </c>
    </row>
    <row r="1117" spans="2:9" hidden="1">
      <c r="C1117" t="s">
        <v>1522</v>
      </c>
      <c r="D1117" t="s">
        <v>1329</v>
      </c>
      <c r="E1117" t="s">
        <v>1261</v>
      </c>
      <c r="F1117" t="s">
        <v>343</v>
      </c>
      <c r="G1117" s="158">
        <v>1010</v>
      </c>
      <c r="H1117" t="s">
        <v>2428</v>
      </c>
      <c r="I1117">
        <v>0</v>
      </c>
    </row>
    <row r="1118" spans="2:9" hidden="1">
      <c r="C1118" t="s">
        <v>1522</v>
      </c>
      <c r="D1118" t="s">
        <v>1329</v>
      </c>
      <c r="E1118" t="s">
        <v>1262</v>
      </c>
      <c r="F1118" t="s">
        <v>343</v>
      </c>
      <c r="G1118" s="158" t="s">
        <v>1528</v>
      </c>
      <c r="H1118" t="s">
        <v>2428</v>
      </c>
      <c r="I1118">
        <v>0</v>
      </c>
    </row>
    <row r="1119" spans="2:9" hidden="1">
      <c r="C1119" t="s">
        <v>1522</v>
      </c>
      <c r="D1119" t="s">
        <v>1329</v>
      </c>
      <c r="E1119" t="s">
        <v>551</v>
      </c>
      <c r="F1119" t="s">
        <v>343</v>
      </c>
      <c r="G1119" s="158">
        <v>1010</v>
      </c>
      <c r="H1119" t="s">
        <v>2428</v>
      </c>
      <c r="I1119">
        <v>0</v>
      </c>
    </row>
    <row r="1120" spans="2:9" hidden="1">
      <c r="C1120" t="s">
        <v>1522</v>
      </c>
      <c r="D1120" t="s">
        <v>1329</v>
      </c>
      <c r="E1120" t="s">
        <v>1586</v>
      </c>
      <c r="F1120" t="s">
        <v>343</v>
      </c>
      <c r="G1120" s="158">
        <v>1010</v>
      </c>
      <c r="H1120" t="s">
        <v>2428</v>
      </c>
      <c r="I1120">
        <v>0</v>
      </c>
    </row>
    <row r="1121" spans="2:9" hidden="1">
      <c r="C1121" t="s">
        <v>1522</v>
      </c>
      <c r="D1121" t="s">
        <v>1329</v>
      </c>
      <c r="E1121" t="s">
        <v>1526</v>
      </c>
      <c r="F1121" t="s">
        <v>343</v>
      </c>
      <c r="G1121" s="158">
        <v>1100</v>
      </c>
      <c r="H1121" t="s">
        <v>2429</v>
      </c>
      <c r="I1121">
        <v>0</v>
      </c>
    </row>
    <row r="1122" spans="2:9" hidden="1">
      <c r="C1122" t="s">
        <v>1522</v>
      </c>
      <c r="D1122" t="s">
        <v>1329</v>
      </c>
      <c r="E1122" t="s">
        <v>1526</v>
      </c>
      <c r="F1122" t="s">
        <v>461</v>
      </c>
      <c r="G1122" s="158" t="s">
        <v>1528</v>
      </c>
      <c r="H1122" t="s">
        <v>2435</v>
      </c>
      <c r="I1122">
        <v>0</v>
      </c>
    </row>
    <row r="1123" spans="2:9" hidden="1">
      <c r="C1123" t="s">
        <v>1522</v>
      </c>
      <c r="D1123" t="s">
        <v>1329</v>
      </c>
      <c r="E1123" t="s">
        <v>1262</v>
      </c>
      <c r="F1123" t="s">
        <v>461</v>
      </c>
      <c r="G1123" s="158" t="s">
        <v>1528</v>
      </c>
      <c r="H1123" t="s">
        <v>2435</v>
      </c>
      <c r="I1123">
        <v>0</v>
      </c>
    </row>
    <row r="1124" spans="2:9" hidden="1">
      <c r="C1124" t="s">
        <v>1522</v>
      </c>
      <c r="D1124" t="s">
        <v>1329</v>
      </c>
      <c r="E1124" t="s">
        <v>551</v>
      </c>
      <c r="F1124" t="s">
        <v>461</v>
      </c>
      <c r="G1124" s="158">
        <v>1010</v>
      </c>
      <c r="H1124" t="s">
        <v>2435</v>
      </c>
      <c r="I1124">
        <v>0</v>
      </c>
    </row>
    <row r="1125" spans="2:9" hidden="1">
      <c r="C1125" t="s">
        <v>1522</v>
      </c>
      <c r="E1125" t="s">
        <v>1526</v>
      </c>
      <c r="F1125" t="s">
        <v>431</v>
      </c>
      <c r="G1125" s="158" t="s">
        <v>1528</v>
      </c>
      <c r="H1125" t="s">
        <v>2437</v>
      </c>
      <c r="I1125">
        <v>0</v>
      </c>
    </row>
    <row r="1126" spans="2:9" hidden="1">
      <c r="C1126" t="s">
        <v>1522</v>
      </c>
      <c r="E1126" t="s">
        <v>1261</v>
      </c>
      <c r="F1126" t="s">
        <v>431</v>
      </c>
      <c r="G1126" s="158">
        <v>1010</v>
      </c>
      <c r="H1126" t="s">
        <v>2437</v>
      </c>
      <c r="I1126">
        <v>0</v>
      </c>
    </row>
    <row r="1127" spans="2:9" hidden="1">
      <c r="C1127" t="s">
        <v>1522</v>
      </c>
      <c r="E1127" t="s">
        <v>1262</v>
      </c>
      <c r="F1127" t="s">
        <v>431</v>
      </c>
      <c r="G1127" s="158" t="s">
        <v>1528</v>
      </c>
      <c r="H1127" t="s">
        <v>2437</v>
      </c>
      <c r="I1127">
        <v>0</v>
      </c>
    </row>
    <row r="1128" spans="2:9" hidden="1">
      <c r="C1128" t="s">
        <v>1522</v>
      </c>
      <c r="E1128" t="s">
        <v>551</v>
      </c>
      <c r="F1128" t="s">
        <v>431</v>
      </c>
      <c r="G1128" s="158">
        <v>1010</v>
      </c>
      <c r="H1128" t="s">
        <v>2437</v>
      </c>
      <c r="I1128">
        <v>0</v>
      </c>
    </row>
    <row r="1129" spans="2:9" hidden="1">
      <c r="C1129" t="s">
        <v>1522</v>
      </c>
      <c r="E1129" t="s">
        <v>1586</v>
      </c>
      <c r="F1129" t="s">
        <v>431</v>
      </c>
      <c r="G1129" s="158">
        <v>1010</v>
      </c>
      <c r="H1129" t="s">
        <v>2437</v>
      </c>
      <c r="I1129">
        <v>0</v>
      </c>
    </row>
    <row r="1130" spans="2:9" hidden="1">
      <c r="C1130" t="s">
        <v>1522</v>
      </c>
      <c r="E1130" t="s">
        <v>1526</v>
      </c>
      <c r="F1130" t="s">
        <v>431</v>
      </c>
      <c r="G1130" s="158">
        <v>1020</v>
      </c>
      <c r="H1130" t="s">
        <v>2438</v>
      </c>
      <c r="I1130">
        <v>0</v>
      </c>
    </row>
    <row r="1131" spans="2:9" hidden="1">
      <c r="C1131" t="s">
        <v>1522</v>
      </c>
      <c r="E1131" t="s">
        <v>1261</v>
      </c>
      <c r="F1131" t="s">
        <v>431</v>
      </c>
      <c r="G1131" s="158">
        <v>1020</v>
      </c>
      <c r="H1131" t="s">
        <v>2438</v>
      </c>
      <c r="I1131">
        <v>0</v>
      </c>
    </row>
    <row r="1132" spans="2:9" hidden="1">
      <c r="C1132" t="s">
        <v>1522</v>
      </c>
      <c r="E1132" t="s">
        <v>1262</v>
      </c>
      <c r="F1132" t="s">
        <v>431</v>
      </c>
      <c r="G1132" s="158">
        <v>1020</v>
      </c>
      <c r="H1132" t="s">
        <v>2438</v>
      </c>
      <c r="I1132">
        <v>0</v>
      </c>
    </row>
    <row r="1133" spans="2:9" hidden="1">
      <c r="C1133" t="s">
        <v>1522</v>
      </c>
      <c r="E1133" t="s">
        <v>551</v>
      </c>
      <c r="F1133" t="s">
        <v>431</v>
      </c>
      <c r="G1133" s="158">
        <v>1020</v>
      </c>
      <c r="H1133" t="s">
        <v>2438</v>
      </c>
      <c r="I1133">
        <v>0</v>
      </c>
    </row>
    <row r="1134" spans="2:9" hidden="1">
      <c r="C1134" t="s">
        <v>1522</v>
      </c>
      <c r="E1134" t="s">
        <v>1586</v>
      </c>
      <c r="F1134" t="s">
        <v>431</v>
      </c>
      <c r="G1134" s="158">
        <v>1020</v>
      </c>
      <c r="H1134" t="s">
        <v>2438</v>
      </c>
      <c r="I1134">
        <v>0</v>
      </c>
    </row>
    <row r="1135" spans="2:9" hidden="1">
      <c r="C1135" t="s">
        <v>1522</v>
      </c>
      <c r="E1135" t="s">
        <v>1586</v>
      </c>
      <c r="F1135" t="s">
        <v>431</v>
      </c>
      <c r="G1135" s="158">
        <v>2010</v>
      </c>
      <c r="H1135" t="s">
        <v>2439</v>
      </c>
      <c r="I1135">
        <v>0</v>
      </c>
    </row>
    <row r="1136" spans="2:9" hidden="1">
      <c r="B1136" t="s">
        <v>129</v>
      </c>
      <c r="C1136" t="s">
        <v>1522</v>
      </c>
      <c r="E1136" t="s">
        <v>739</v>
      </c>
      <c r="F1136" t="s">
        <v>758</v>
      </c>
      <c r="G1136" s="158">
        <v>1303</v>
      </c>
      <c r="H1136" t="s">
        <v>2443</v>
      </c>
      <c r="I1136">
        <v>0</v>
      </c>
    </row>
    <row r="1137" spans="2:9" hidden="1">
      <c r="B1137" t="s">
        <v>132</v>
      </c>
      <c r="C1137" t="s">
        <v>1522</v>
      </c>
      <c r="E1137" t="s">
        <v>739</v>
      </c>
      <c r="F1137" t="s">
        <v>758</v>
      </c>
      <c r="G1137" s="158">
        <v>1303</v>
      </c>
      <c r="H1137" t="s">
        <v>2443</v>
      </c>
      <c r="I1137">
        <v>0</v>
      </c>
    </row>
    <row r="1138" spans="2:9" hidden="1">
      <c r="B1138" t="s">
        <v>92</v>
      </c>
      <c r="C1138" t="s">
        <v>1522</v>
      </c>
      <c r="E1138" t="s">
        <v>739</v>
      </c>
      <c r="F1138" t="s">
        <v>758</v>
      </c>
      <c r="G1138" s="158">
        <v>2991</v>
      </c>
      <c r="H1138" t="s">
        <v>2449</v>
      </c>
      <c r="I1138">
        <v>0</v>
      </c>
    </row>
    <row r="1139" spans="2:9" hidden="1">
      <c r="B1139" t="s">
        <v>870</v>
      </c>
      <c r="C1139" t="s">
        <v>1522</v>
      </c>
      <c r="E1139" t="s">
        <v>739</v>
      </c>
      <c r="F1139" t="s">
        <v>758</v>
      </c>
      <c r="G1139" s="158">
        <v>2991</v>
      </c>
      <c r="H1139" t="s">
        <v>2449</v>
      </c>
      <c r="I1139">
        <v>0</v>
      </c>
    </row>
    <row r="1140" spans="2:9" hidden="1">
      <c r="B1140" t="s">
        <v>130</v>
      </c>
      <c r="C1140" t="s">
        <v>1522</v>
      </c>
      <c r="E1140" t="s">
        <v>739</v>
      </c>
      <c r="F1140" t="s">
        <v>758</v>
      </c>
      <c r="G1140" s="158">
        <v>2991</v>
      </c>
      <c r="H1140" t="s">
        <v>2449</v>
      </c>
      <c r="I1140">
        <v>0</v>
      </c>
    </row>
    <row r="1141" spans="2:9" hidden="1">
      <c r="B1141" t="s">
        <v>62</v>
      </c>
      <c r="C1141" t="s">
        <v>1522</v>
      </c>
      <c r="E1141" t="s">
        <v>739</v>
      </c>
      <c r="F1141" t="s">
        <v>758</v>
      </c>
      <c r="G1141" s="158">
        <v>2991</v>
      </c>
      <c r="H1141" t="s">
        <v>2449</v>
      </c>
      <c r="I1141">
        <v>0</v>
      </c>
    </row>
    <row r="1142" spans="2:9" hidden="1">
      <c r="B1142" t="s">
        <v>812</v>
      </c>
      <c r="C1142" t="s">
        <v>1522</v>
      </c>
      <c r="E1142" t="s">
        <v>739</v>
      </c>
      <c r="F1142" t="s">
        <v>1516</v>
      </c>
      <c r="G1142" s="158">
        <v>2532</v>
      </c>
      <c r="H1142" t="s">
        <v>2462</v>
      </c>
      <c r="I1142">
        <v>0</v>
      </c>
    </row>
    <row r="1143" spans="2:9" hidden="1">
      <c r="C1143" t="s">
        <v>1521</v>
      </c>
      <c r="D1143" t="s">
        <v>1330</v>
      </c>
      <c r="E1143" t="s">
        <v>1526</v>
      </c>
      <c r="F1143" t="s">
        <v>391</v>
      </c>
      <c r="G1143" s="158">
        <v>1013</v>
      </c>
      <c r="H1143" t="s">
        <v>2464</v>
      </c>
      <c r="I1143">
        <v>0</v>
      </c>
    </row>
    <row r="1144" spans="2:9" hidden="1">
      <c r="C1144" t="s">
        <v>1521</v>
      </c>
      <c r="D1144" t="s">
        <v>1330</v>
      </c>
      <c r="E1144" t="s">
        <v>1195</v>
      </c>
      <c r="F1144" t="s">
        <v>391</v>
      </c>
      <c r="G1144" s="158">
        <v>1013</v>
      </c>
      <c r="H1144" t="s">
        <v>2464</v>
      </c>
      <c r="I1144">
        <v>0</v>
      </c>
    </row>
    <row r="1145" spans="2:9" hidden="1">
      <c r="C1145" t="s">
        <v>1521</v>
      </c>
      <c r="D1145" t="s">
        <v>1330</v>
      </c>
      <c r="E1145" t="s">
        <v>1261</v>
      </c>
      <c r="F1145" t="s">
        <v>391</v>
      </c>
      <c r="G1145" s="158">
        <v>1013</v>
      </c>
      <c r="H1145" t="s">
        <v>2464</v>
      </c>
      <c r="I1145">
        <v>0</v>
      </c>
    </row>
    <row r="1146" spans="2:9" hidden="1">
      <c r="C1146" t="s">
        <v>1521</v>
      </c>
      <c r="D1146" t="s">
        <v>1330</v>
      </c>
      <c r="E1146" t="s">
        <v>1262</v>
      </c>
      <c r="F1146" t="s">
        <v>391</v>
      </c>
      <c r="G1146" s="158">
        <v>1013</v>
      </c>
      <c r="H1146" t="s">
        <v>2464</v>
      </c>
      <c r="I1146">
        <v>0</v>
      </c>
    </row>
    <row r="1147" spans="2:9" hidden="1">
      <c r="C1147" t="s">
        <v>1521</v>
      </c>
      <c r="D1147" t="s">
        <v>1330</v>
      </c>
      <c r="E1147" t="s">
        <v>551</v>
      </c>
      <c r="F1147" t="s">
        <v>391</v>
      </c>
      <c r="G1147" s="158">
        <v>1013</v>
      </c>
      <c r="H1147" t="s">
        <v>2464</v>
      </c>
      <c r="I1147">
        <v>0</v>
      </c>
    </row>
    <row r="1148" spans="2:9" hidden="1">
      <c r="C1148" t="s">
        <v>1521</v>
      </c>
      <c r="D1148" t="s">
        <v>1330</v>
      </c>
      <c r="E1148" t="s">
        <v>1586</v>
      </c>
      <c r="F1148" t="s">
        <v>391</v>
      </c>
      <c r="G1148" s="158">
        <v>1013</v>
      </c>
      <c r="H1148" t="s">
        <v>2464</v>
      </c>
      <c r="I1148">
        <v>0</v>
      </c>
    </row>
    <row r="1149" spans="2:9" hidden="1">
      <c r="B1149" t="s">
        <v>872</v>
      </c>
      <c r="C1149" t="s">
        <v>1522</v>
      </c>
      <c r="E1149" t="s">
        <v>1261</v>
      </c>
      <c r="F1149" t="s">
        <v>432</v>
      </c>
      <c r="G1149" s="158">
        <v>1010</v>
      </c>
      <c r="H1149" t="s">
        <v>2478</v>
      </c>
      <c r="I1149">
        <v>0</v>
      </c>
    </row>
    <row r="1150" spans="2:9" hidden="1">
      <c r="B1150" t="s">
        <v>872</v>
      </c>
      <c r="C1150" t="s">
        <v>1522</v>
      </c>
      <c r="E1150" t="s">
        <v>1261</v>
      </c>
      <c r="F1150" t="s">
        <v>432</v>
      </c>
      <c r="G1150" s="158">
        <v>1020</v>
      </c>
      <c r="H1150" t="s">
        <v>2479</v>
      </c>
      <c r="I1150">
        <v>0</v>
      </c>
    </row>
    <row r="1151" spans="2:9">
      <c r="B1151" t="s">
        <v>87</v>
      </c>
      <c r="C1151" t="s">
        <v>1522</v>
      </c>
      <c r="E1151" t="s">
        <v>1586</v>
      </c>
      <c r="F1151" t="s">
        <v>366</v>
      </c>
      <c r="G1151" s="158">
        <v>1150</v>
      </c>
      <c r="H1151" t="s">
        <v>1909</v>
      </c>
      <c r="I1151">
        <v>1</v>
      </c>
    </row>
    <row r="1152" spans="2:9">
      <c r="B1152" t="s">
        <v>88</v>
      </c>
      <c r="C1152" t="s">
        <v>1522</v>
      </c>
      <c r="E1152" t="s">
        <v>1195</v>
      </c>
      <c r="F1152" t="s">
        <v>435</v>
      </c>
      <c r="G1152" s="158" t="s">
        <v>1528</v>
      </c>
      <c r="H1152" t="s">
        <v>1910</v>
      </c>
      <c r="I1152">
        <v>1</v>
      </c>
    </row>
    <row r="1153" spans="2:9">
      <c r="B1153" t="s">
        <v>88</v>
      </c>
      <c r="C1153" t="s">
        <v>1522</v>
      </c>
      <c r="E1153" t="s">
        <v>551</v>
      </c>
      <c r="F1153" t="s">
        <v>435</v>
      </c>
      <c r="G1153" s="158" t="s">
        <v>1119</v>
      </c>
      <c r="H1153" t="s">
        <v>1911</v>
      </c>
      <c r="I1153">
        <v>1</v>
      </c>
    </row>
    <row r="1154" spans="2:9">
      <c r="B1154" t="s">
        <v>88</v>
      </c>
      <c r="C1154" t="s">
        <v>1522</v>
      </c>
      <c r="E1154" t="s">
        <v>463</v>
      </c>
      <c r="F1154" t="s">
        <v>435</v>
      </c>
      <c r="G1154" s="158">
        <v>1110</v>
      </c>
      <c r="H1154" t="s">
        <v>1912</v>
      </c>
      <c r="I1154">
        <v>1</v>
      </c>
    </row>
    <row r="1155" spans="2:9">
      <c r="B1155" t="s">
        <v>89</v>
      </c>
      <c r="C1155" t="s">
        <v>1522</v>
      </c>
      <c r="E1155" t="s">
        <v>1526</v>
      </c>
      <c r="F1155" t="s">
        <v>435</v>
      </c>
      <c r="G1155" s="158">
        <v>1111</v>
      </c>
      <c r="H1155" t="s">
        <v>1913</v>
      </c>
      <c r="I1155">
        <v>1</v>
      </c>
    </row>
    <row r="1156" spans="2:9">
      <c r="B1156" t="s">
        <v>89</v>
      </c>
      <c r="C1156" t="s">
        <v>1522</v>
      </c>
      <c r="E1156" t="s">
        <v>463</v>
      </c>
      <c r="F1156" t="s">
        <v>435</v>
      </c>
      <c r="G1156" s="158">
        <v>1120</v>
      </c>
      <c r="H1156" t="s">
        <v>1914</v>
      </c>
      <c r="I1156">
        <v>1</v>
      </c>
    </row>
    <row r="1157" spans="2:9">
      <c r="B1157" t="s">
        <v>89</v>
      </c>
      <c r="C1157" t="s">
        <v>1522</v>
      </c>
      <c r="E1157" t="s">
        <v>551</v>
      </c>
      <c r="F1157" t="s">
        <v>435</v>
      </c>
      <c r="G1157" s="158" t="s">
        <v>1205</v>
      </c>
      <c r="H1157" t="s">
        <v>1915</v>
      </c>
      <c r="I1157">
        <v>1</v>
      </c>
    </row>
    <row r="1158" spans="2:9">
      <c r="B1158" t="s">
        <v>89</v>
      </c>
      <c r="C1158" t="s">
        <v>1522</v>
      </c>
      <c r="E1158" t="s">
        <v>1195</v>
      </c>
      <c r="F1158" t="s">
        <v>435</v>
      </c>
      <c r="G1158" s="158" t="s">
        <v>1093</v>
      </c>
      <c r="H1158" t="s">
        <v>1916</v>
      </c>
      <c r="I1158">
        <v>1</v>
      </c>
    </row>
    <row r="1159" spans="2:9">
      <c r="B1159" t="s">
        <v>404</v>
      </c>
      <c r="C1159" t="s">
        <v>1522</v>
      </c>
      <c r="E1159" t="s">
        <v>1261</v>
      </c>
      <c r="F1159" t="s">
        <v>543</v>
      </c>
      <c r="G1159" s="158">
        <v>1010</v>
      </c>
      <c r="H1159" t="s">
        <v>1917</v>
      </c>
      <c r="I1159">
        <v>1</v>
      </c>
    </row>
    <row r="1160" spans="2:9">
      <c r="B1160" t="s">
        <v>1696</v>
      </c>
      <c r="C1160" t="s">
        <v>1522</v>
      </c>
      <c r="E1160" t="s">
        <v>551</v>
      </c>
      <c r="F1160" t="s">
        <v>1693</v>
      </c>
      <c r="G1160" s="158">
        <v>1110</v>
      </c>
      <c r="H1160" t="s">
        <v>1918</v>
      </c>
      <c r="I1160">
        <v>1</v>
      </c>
    </row>
    <row r="1161" spans="2:9">
      <c r="C1161" t="s">
        <v>1522</v>
      </c>
      <c r="D1161" t="s">
        <v>540</v>
      </c>
      <c r="E1161" t="s">
        <v>1262</v>
      </c>
      <c r="F1161" t="s">
        <v>795</v>
      </c>
      <c r="G1161" s="158" t="s">
        <v>1078</v>
      </c>
      <c r="H1161" t="s">
        <v>1919</v>
      </c>
      <c r="I1161">
        <v>1</v>
      </c>
    </row>
    <row r="1162" spans="2:9">
      <c r="B1162" t="s">
        <v>127</v>
      </c>
      <c r="C1162" t="s">
        <v>1522</v>
      </c>
      <c r="E1162" t="s">
        <v>1261</v>
      </c>
      <c r="F1162" t="s">
        <v>544</v>
      </c>
      <c r="G1162" s="158">
        <v>1000</v>
      </c>
      <c r="H1162" t="s">
        <v>1920</v>
      </c>
      <c r="I1162">
        <v>1</v>
      </c>
    </row>
    <row r="1163" spans="2:9">
      <c r="C1163" t="s">
        <v>1522</v>
      </c>
      <c r="D1163" t="s">
        <v>1329</v>
      </c>
      <c r="E1163" t="s">
        <v>1586</v>
      </c>
      <c r="F1163" t="s">
        <v>1527</v>
      </c>
      <c r="G1163" s="158">
        <v>1010</v>
      </c>
      <c r="H1163" t="s">
        <v>1921</v>
      </c>
      <c r="I1163">
        <v>1</v>
      </c>
    </row>
    <row r="1164" spans="2:9">
      <c r="C1164" t="s">
        <v>1522</v>
      </c>
      <c r="E1164" t="s">
        <v>463</v>
      </c>
      <c r="F1164" t="s">
        <v>376</v>
      </c>
      <c r="G1164" s="158">
        <v>1470</v>
      </c>
      <c r="H1164" t="s">
        <v>1922</v>
      </c>
      <c r="I1164">
        <v>1</v>
      </c>
    </row>
    <row r="1165" spans="2:9">
      <c r="B1165" t="s">
        <v>567</v>
      </c>
      <c r="C1165" t="s">
        <v>1522</v>
      </c>
      <c r="E1165" t="s">
        <v>463</v>
      </c>
      <c r="F1165" t="s">
        <v>900</v>
      </c>
      <c r="G1165" s="158">
        <v>1100</v>
      </c>
      <c r="H1165" t="s">
        <v>1923</v>
      </c>
      <c r="I1165">
        <v>1</v>
      </c>
    </row>
    <row r="1166" spans="2:9">
      <c r="B1166" t="s">
        <v>567</v>
      </c>
      <c r="C1166" t="s">
        <v>1522</v>
      </c>
      <c r="E1166" t="s">
        <v>463</v>
      </c>
      <c r="F1166" t="s">
        <v>900</v>
      </c>
      <c r="G1166" s="158">
        <v>1111</v>
      </c>
      <c r="H1166" t="s">
        <v>1924</v>
      </c>
      <c r="I1166">
        <v>1</v>
      </c>
    </row>
    <row r="1167" spans="2:9">
      <c r="B1167" t="s">
        <v>571</v>
      </c>
      <c r="C1167" t="s">
        <v>1522</v>
      </c>
      <c r="E1167" t="s">
        <v>463</v>
      </c>
      <c r="F1167" t="s">
        <v>464</v>
      </c>
      <c r="G1167" s="158">
        <v>1100</v>
      </c>
      <c r="H1167" t="s">
        <v>1925</v>
      </c>
      <c r="I1167">
        <v>1</v>
      </c>
    </row>
    <row r="1168" spans="2:9">
      <c r="B1168" t="s">
        <v>575</v>
      </c>
      <c r="C1168" t="s">
        <v>1522</v>
      </c>
      <c r="E1168" t="s">
        <v>463</v>
      </c>
      <c r="F1168" t="s">
        <v>464</v>
      </c>
      <c r="G1168" s="158">
        <v>1130</v>
      </c>
      <c r="H1168" t="s">
        <v>1926</v>
      </c>
      <c r="I1168">
        <v>1</v>
      </c>
    </row>
    <row r="1169" spans="2:9">
      <c r="B1169" t="s">
        <v>574</v>
      </c>
      <c r="C1169" t="s">
        <v>1522</v>
      </c>
      <c r="E1169" t="s">
        <v>463</v>
      </c>
      <c r="F1169" t="s">
        <v>464</v>
      </c>
      <c r="G1169" s="158">
        <v>1310</v>
      </c>
      <c r="H1169" t="s">
        <v>1927</v>
      </c>
      <c r="I1169">
        <v>1</v>
      </c>
    </row>
    <row r="1170" spans="2:9">
      <c r="B1170" t="s">
        <v>575</v>
      </c>
      <c r="C1170" t="s">
        <v>1522</v>
      </c>
      <c r="E1170" t="s">
        <v>463</v>
      </c>
      <c r="F1170" t="s">
        <v>464</v>
      </c>
      <c r="G1170" s="158">
        <v>1350</v>
      </c>
      <c r="H1170" t="s">
        <v>1928</v>
      </c>
      <c r="I1170">
        <v>1</v>
      </c>
    </row>
    <row r="1171" spans="2:9">
      <c r="C1171" t="s">
        <v>1521</v>
      </c>
      <c r="D1171" t="s">
        <v>1330</v>
      </c>
      <c r="E1171" t="s">
        <v>1586</v>
      </c>
      <c r="F1171" t="s">
        <v>1529</v>
      </c>
      <c r="G1171" s="158">
        <v>1010</v>
      </c>
      <c r="H1171" t="s">
        <v>1929</v>
      </c>
      <c r="I1171">
        <v>1</v>
      </c>
    </row>
    <row r="1172" spans="2:9">
      <c r="C1172" t="s">
        <v>1521</v>
      </c>
      <c r="E1172" t="s">
        <v>551</v>
      </c>
      <c r="F1172" t="s">
        <v>1529</v>
      </c>
      <c r="G1172" s="158" t="s">
        <v>428</v>
      </c>
      <c r="H1172" t="s">
        <v>1930</v>
      </c>
      <c r="I1172">
        <v>1</v>
      </c>
    </row>
    <row r="1173" spans="2:9">
      <c r="B1173" t="s">
        <v>1451</v>
      </c>
      <c r="C1173" t="s">
        <v>1522</v>
      </c>
      <c r="D1173" t="s">
        <v>1330</v>
      </c>
      <c r="E1173" t="s">
        <v>1586</v>
      </c>
      <c r="F1173" t="s">
        <v>1529</v>
      </c>
      <c r="G1173" s="158">
        <v>1050</v>
      </c>
      <c r="H1173" t="s">
        <v>1931</v>
      </c>
      <c r="I1173">
        <v>1</v>
      </c>
    </row>
    <row r="1174" spans="2:9">
      <c r="C1174" t="s">
        <v>1522</v>
      </c>
      <c r="D1174" t="s">
        <v>1330</v>
      </c>
      <c r="E1174" t="s">
        <v>463</v>
      </c>
      <c r="F1174" t="s">
        <v>1529</v>
      </c>
      <c r="G1174" s="158">
        <v>1060</v>
      </c>
      <c r="H1174" t="s">
        <v>1932</v>
      </c>
      <c r="I1174">
        <v>1</v>
      </c>
    </row>
    <row r="1175" spans="2:9">
      <c r="C1175" t="s">
        <v>1521</v>
      </c>
      <c r="D1175" t="s">
        <v>1330</v>
      </c>
      <c r="E1175" t="s">
        <v>1586</v>
      </c>
      <c r="F1175" t="s">
        <v>1529</v>
      </c>
      <c r="G1175" s="158">
        <v>1110</v>
      </c>
      <c r="H1175" t="s">
        <v>1933</v>
      </c>
      <c r="I1175">
        <v>1</v>
      </c>
    </row>
    <row r="1176" spans="2:9">
      <c r="B1176" t="s">
        <v>1452</v>
      </c>
      <c r="C1176" t="s">
        <v>1522</v>
      </c>
      <c r="E1176" t="s">
        <v>1586</v>
      </c>
      <c r="F1176" t="s">
        <v>1529</v>
      </c>
      <c r="G1176" s="158">
        <v>1120</v>
      </c>
      <c r="H1176" t="s">
        <v>1934</v>
      </c>
      <c r="I1176">
        <v>1</v>
      </c>
    </row>
    <row r="1177" spans="2:9">
      <c r="B1177" t="s">
        <v>572</v>
      </c>
      <c r="C1177" t="s">
        <v>1522</v>
      </c>
      <c r="E1177" t="s">
        <v>463</v>
      </c>
      <c r="F1177" t="s">
        <v>1529</v>
      </c>
      <c r="G1177" s="158">
        <v>1135</v>
      </c>
      <c r="H1177" t="s">
        <v>1935</v>
      </c>
      <c r="I1177">
        <v>1</v>
      </c>
    </row>
    <row r="1178" spans="2:9">
      <c r="B1178" t="s">
        <v>572</v>
      </c>
      <c r="C1178" t="s">
        <v>1522</v>
      </c>
      <c r="E1178" t="s">
        <v>463</v>
      </c>
      <c r="F1178" t="s">
        <v>1529</v>
      </c>
      <c r="G1178" s="158">
        <v>1240</v>
      </c>
      <c r="H1178" t="s">
        <v>1936</v>
      </c>
      <c r="I1178">
        <v>1</v>
      </c>
    </row>
    <row r="1179" spans="2:9">
      <c r="B1179" t="s">
        <v>1451</v>
      </c>
      <c r="C1179" t="s">
        <v>1522</v>
      </c>
      <c r="E1179" t="s">
        <v>463</v>
      </c>
      <c r="F1179" t="s">
        <v>1529</v>
      </c>
      <c r="G1179" s="158">
        <v>1310</v>
      </c>
      <c r="H1179" t="s">
        <v>1937</v>
      </c>
      <c r="I1179">
        <v>1</v>
      </c>
    </row>
    <row r="1180" spans="2:9">
      <c r="C1180" t="s">
        <v>1521</v>
      </c>
      <c r="E1180" t="s">
        <v>1586</v>
      </c>
      <c r="F1180" t="s">
        <v>1529</v>
      </c>
      <c r="G1180" s="158">
        <v>1340</v>
      </c>
      <c r="H1180" t="s">
        <v>1938</v>
      </c>
      <c r="I1180">
        <v>1</v>
      </c>
    </row>
    <row r="1181" spans="2:9">
      <c r="C1181" t="s">
        <v>1521</v>
      </c>
      <c r="E1181" t="s">
        <v>1586</v>
      </c>
      <c r="F1181" t="s">
        <v>1529</v>
      </c>
      <c r="G1181" s="158">
        <v>1350</v>
      </c>
      <c r="H1181" t="s">
        <v>1939</v>
      </c>
      <c r="I1181">
        <v>1</v>
      </c>
    </row>
    <row r="1182" spans="2:9">
      <c r="B1182" t="s">
        <v>1452</v>
      </c>
      <c r="C1182" t="s">
        <v>1522</v>
      </c>
      <c r="E1182" t="s">
        <v>1586</v>
      </c>
      <c r="F1182" t="s">
        <v>1529</v>
      </c>
      <c r="G1182" s="158">
        <v>1400</v>
      </c>
      <c r="H1182" t="s">
        <v>1940</v>
      </c>
      <c r="I1182">
        <v>1</v>
      </c>
    </row>
    <row r="1183" spans="2:9">
      <c r="C1183" t="s">
        <v>1521</v>
      </c>
      <c r="E1183" t="s">
        <v>1526</v>
      </c>
      <c r="F1183" t="s">
        <v>1529</v>
      </c>
      <c r="G1183" s="158">
        <v>1410</v>
      </c>
      <c r="H1183" t="s">
        <v>1941</v>
      </c>
      <c r="I1183">
        <v>1</v>
      </c>
    </row>
    <row r="1184" spans="2:9">
      <c r="C1184" t="s">
        <v>1521</v>
      </c>
      <c r="E1184" t="s">
        <v>1526</v>
      </c>
      <c r="F1184" t="s">
        <v>1529</v>
      </c>
      <c r="G1184" s="158">
        <v>1420</v>
      </c>
      <c r="H1184" t="s">
        <v>1942</v>
      </c>
      <c r="I1184">
        <v>1</v>
      </c>
    </row>
    <row r="1185" spans="2:9">
      <c r="B1185" t="s">
        <v>117</v>
      </c>
      <c r="C1185" t="s">
        <v>1522</v>
      </c>
      <c r="E1185" t="s">
        <v>1586</v>
      </c>
      <c r="F1185" t="s">
        <v>1529</v>
      </c>
      <c r="G1185" s="158">
        <v>1430</v>
      </c>
      <c r="H1185" t="s">
        <v>1943</v>
      </c>
      <c r="I1185">
        <v>1</v>
      </c>
    </row>
    <row r="1186" spans="2:9">
      <c r="C1186" t="s">
        <v>1521</v>
      </c>
      <c r="E1186" t="s">
        <v>463</v>
      </c>
      <c r="F1186" t="s">
        <v>1529</v>
      </c>
      <c r="G1186" s="158">
        <v>1530</v>
      </c>
      <c r="H1186" t="s">
        <v>1944</v>
      </c>
      <c r="I1186">
        <v>1</v>
      </c>
    </row>
    <row r="1187" spans="2:9">
      <c r="C1187" t="s">
        <v>1521</v>
      </c>
      <c r="E1187" t="s">
        <v>463</v>
      </c>
      <c r="F1187" t="s">
        <v>1529</v>
      </c>
      <c r="G1187" s="158">
        <v>1540</v>
      </c>
      <c r="H1187" t="s">
        <v>1945</v>
      </c>
      <c r="I1187">
        <v>1</v>
      </c>
    </row>
    <row r="1188" spans="2:9">
      <c r="C1188" t="s">
        <v>1521</v>
      </c>
      <c r="E1188" t="s">
        <v>463</v>
      </c>
      <c r="F1188" t="s">
        <v>1529</v>
      </c>
      <c r="G1188" s="158">
        <v>1600</v>
      </c>
      <c r="H1188" t="s">
        <v>1946</v>
      </c>
      <c r="I1188">
        <v>1</v>
      </c>
    </row>
    <row r="1189" spans="2:9">
      <c r="C1189" t="s">
        <v>1521</v>
      </c>
      <c r="E1189" t="s">
        <v>1262</v>
      </c>
      <c r="F1189" t="s">
        <v>1529</v>
      </c>
      <c r="G1189" s="158">
        <v>1610</v>
      </c>
      <c r="H1189" t="s">
        <v>1947</v>
      </c>
      <c r="I1189">
        <v>1</v>
      </c>
    </row>
    <row r="1190" spans="2:9">
      <c r="C1190" t="s">
        <v>1521</v>
      </c>
      <c r="E1190" t="s">
        <v>1586</v>
      </c>
      <c r="F1190" t="s">
        <v>1529</v>
      </c>
      <c r="G1190" s="158">
        <v>1650</v>
      </c>
      <c r="H1190" t="s">
        <v>1948</v>
      </c>
      <c r="I1190">
        <v>1</v>
      </c>
    </row>
    <row r="1191" spans="2:9">
      <c r="B1191" t="s">
        <v>117</v>
      </c>
      <c r="C1191" t="s">
        <v>1522</v>
      </c>
      <c r="E1191" t="s">
        <v>463</v>
      </c>
      <c r="F1191" t="s">
        <v>1529</v>
      </c>
      <c r="G1191" s="158">
        <v>1800</v>
      </c>
      <c r="H1191" t="s">
        <v>1949</v>
      </c>
      <c r="I1191">
        <v>1</v>
      </c>
    </row>
    <row r="1192" spans="2:9">
      <c r="C1192" t="s">
        <v>1521</v>
      </c>
      <c r="E1192" t="s">
        <v>1526</v>
      </c>
      <c r="F1192" t="s">
        <v>1529</v>
      </c>
      <c r="G1192" s="158">
        <v>2110</v>
      </c>
      <c r="H1192" t="s">
        <v>1950</v>
      </c>
      <c r="I1192">
        <v>1</v>
      </c>
    </row>
    <row r="1193" spans="2:9">
      <c r="B1193" t="s">
        <v>1452</v>
      </c>
      <c r="C1193" t="s">
        <v>1522</v>
      </c>
      <c r="E1193" t="s">
        <v>1586</v>
      </c>
      <c r="F1193" t="s">
        <v>1529</v>
      </c>
      <c r="G1193" s="158">
        <v>2430</v>
      </c>
      <c r="H1193" t="s">
        <v>1951</v>
      </c>
      <c r="I1193">
        <v>1</v>
      </c>
    </row>
    <row r="1194" spans="2:9">
      <c r="B1194" t="s">
        <v>121</v>
      </c>
      <c r="C1194" t="s">
        <v>1522</v>
      </c>
      <c r="E1194" t="s">
        <v>463</v>
      </c>
      <c r="F1194" t="s">
        <v>1529</v>
      </c>
      <c r="G1194" s="158">
        <v>2440</v>
      </c>
      <c r="H1194" t="s">
        <v>1952</v>
      </c>
      <c r="I1194">
        <v>1</v>
      </c>
    </row>
    <row r="1195" spans="2:9">
      <c r="C1195" t="s">
        <v>1521</v>
      </c>
      <c r="E1195" t="s">
        <v>551</v>
      </c>
      <c r="F1195" t="s">
        <v>1529</v>
      </c>
      <c r="G1195" s="158" t="s">
        <v>1824</v>
      </c>
      <c r="H1195" t="s">
        <v>1953</v>
      </c>
      <c r="I1195">
        <v>1</v>
      </c>
    </row>
    <row r="1196" spans="2:9">
      <c r="B1196" t="s">
        <v>118</v>
      </c>
      <c r="C1196" t="s">
        <v>1522</v>
      </c>
      <c r="E1196" t="s">
        <v>463</v>
      </c>
      <c r="F1196" t="s">
        <v>1529</v>
      </c>
      <c r="G1196" s="158">
        <v>2980</v>
      </c>
      <c r="H1196" t="s">
        <v>1954</v>
      </c>
      <c r="I1196">
        <v>1</v>
      </c>
    </row>
    <row r="1197" spans="2:9">
      <c r="C1197" t="s">
        <v>1521</v>
      </c>
      <c r="E1197" t="s">
        <v>1586</v>
      </c>
      <c r="F1197" t="s">
        <v>1327</v>
      </c>
      <c r="G1197" s="158">
        <v>2720</v>
      </c>
      <c r="H1197" t="s">
        <v>1955</v>
      </c>
      <c r="I1197">
        <v>1</v>
      </c>
    </row>
    <row r="1198" spans="2:9">
      <c r="C1198" t="s">
        <v>1522</v>
      </c>
      <c r="E1198" t="s">
        <v>739</v>
      </c>
      <c r="F1198" t="s">
        <v>437</v>
      </c>
      <c r="G1198" s="158">
        <v>1010</v>
      </c>
      <c r="H1198" t="s">
        <v>1956</v>
      </c>
      <c r="I1198">
        <v>1</v>
      </c>
    </row>
    <row r="1199" spans="2:9">
      <c r="C1199" t="s">
        <v>1522</v>
      </c>
      <c r="E1199" t="s">
        <v>739</v>
      </c>
      <c r="F1199" t="s">
        <v>437</v>
      </c>
      <c r="G1199" s="158">
        <v>1020</v>
      </c>
      <c r="H1199" t="s">
        <v>1957</v>
      </c>
      <c r="I1199">
        <v>1</v>
      </c>
    </row>
    <row r="1200" spans="2:9">
      <c r="C1200" t="s">
        <v>1522</v>
      </c>
      <c r="E1200" t="s">
        <v>1262</v>
      </c>
      <c r="F1200" t="s">
        <v>437</v>
      </c>
      <c r="G1200" s="158" t="s">
        <v>1119</v>
      </c>
      <c r="H1200" t="s">
        <v>1958</v>
      </c>
      <c r="I1200">
        <v>1</v>
      </c>
    </row>
    <row r="1201" spans="2:9">
      <c r="C1201" t="s">
        <v>1522</v>
      </c>
      <c r="E1201" t="s">
        <v>1262</v>
      </c>
      <c r="F1201" t="s">
        <v>437</v>
      </c>
      <c r="G1201" s="158" t="s">
        <v>1121</v>
      </c>
      <c r="H1201" t="s">
        <v>1959</v>
      </c>
      <c r="I1201">
        <v>1</v>
      </c>
    </row>
    <row r="1202" spans="2:9">
      <c r="C1202" t="s">
        <v>1522</v>
      </c>
      <c r="E1202" t="s">
        <v>1586</v>
      </c>
      <c r="F1202" t="s">
        <v>437</v>
      </c>
      <c r="G1202" s="158">
        <v>2010</v>
      </c>
      <c r="H1202" t="s">
        <v>1960</v>
      </c>
      <c r="I1202">
        <v>1</v>
      </c>
    </row>
    <row r="1203" spans="2:9">
      <c r="B1203" t="s">
        <v>35</v>
      </c>
      <c r="C1203" t="s">
        <v>1522</v>
      </c>
      <c r="D1203" t="s">
        <v>1329</v>
      </c>
      <c r="E1203" t="s">
        <v>551</v>
      </c>
      <c r="F1203" t="s">
        <v>605</v>
      </c>
      <c r="G1203" s="158" t="s">
        <v>606</v>
      </c>
      <c r="H1203" t="s">
        <v>1961</v>
      </c>
      <c r="I1203">
        <v>1</v>
      </c>
    </row>
    <row r="1204" spans="2:9">
      <c r="B1204" t="s">
        <v>37</v>
      </c>
      <c r="C1204" t="s">
        <v>1522</v>
      </c>
      <c r="E1204" t="s">
        <v>551</v>
      </c>
      <c r="F1204" t="s">
        <v>605</v>
      </c>
      <c r="G1204" s="158" t="s">
        <v>1053</v>
      </c>
      <c r="H1204" t="s">
        <v>1962</v>
      </c>
      <c r="I1204">
        <v>1</v>
      </c>
    </row>
    <row r="1205" spans="2:9">
      <c r="B1205" t="s">
        <v>883</v>
      </c>
      <c r="C1205" t="s">
        <v>1522</v>
      </c>
      <c r="E1205" t="s">
        <v>739</v>
      </c>
      <c r="F1205" t="s">
        <v>1491</v>
      </c>
      <c r="G1205" s="158">
        <v>2175</v>
      </c>
      <c r="H1205" t="s">
        <v>1963</v>
      </c>
      <c r="I1205">
        <v>1</v>
      </c>
    </row>
    <row r="1206" spans="2:9">
      <c r="B1206" t="s">
        <v>568</v>
      </c>
      <c r="C1206" t="s">
        <v>1522</v>
      </c>
      <c r="E1206" t="s">
        <v>739</v>
      </c>
      <c r="F1206" t="s">
        <v>495</v>
      </c>
      <c r="G1206" s="158">
        <v>1021</v>
      </c>
      <c r="H1206" t="s">
        <v>1964</v>
      </c>
      <c r="I1206">
        <v>1</v>
      </c>
    </row>
    <row r="1207" spans="2:9">
      <c r="B1207" t="s">
        <v>568</v>
      </c>
      <c r="C1207" t="s">
        <v>1522</v>
      </c>
      <c r="E1207" t="s">
        <v>739</v>
      </c>
      <c r="F1207" t="s">
        <v>495</v>
      </c>
      <c r="G1207" s="158">
        <v>1022</v>
      </c>
      <c r="H1207" t="s">
        <v>1965</v>
      </c>
      <c r="I1207">
        <v>1</v>
      </c>
    </row>
    <row r="1208" spans="2:9">
      <c r="B1208" t="s">
        <v>570</v>
      </c>
      <c r="C1208" t="s">
        <v>1522</v>
      </c>
      <c r="E1208" t="s">
        <v>739</v>
      </c>
      <c r="F1208" t="s">
        <v>495</v>
      </c>
      <c r="G1208" s="158">
        <v>1071</v>
      </c>
      <c r="H1208" t="s">
        <v>1966</v>
      </c>
      <c r="I1208">
        <v>1</v>
      </c>
    </row>
    <row r="1209" spans="2:9">
      <c r="B1209" t="s">
        <v>570</v>
      </c>
      <c r="C1209" t="s">
        <v>1522</v>
      </c>
      <c r="E1209" t="s">
        <v>739</v>
      </c>
      <c r="F1209" t="s">
        <v>495</v>
      </c>
      <c r="G1209" s="158">
        <v>1072</v>
      </c>
      <c r="H1209" t="s">
        <v>1967</v>
      </c>
      <c r="I1209">
        <v>1</v>
      </c>
    </row>
    <row r="1210" spans="2:9">
      <c r="B1210" t="s">
        <v>567</v>
      </c>
      <c r="C1210" t="s">
        <v>1522</v>
      </c>
      <c r="E1210" t="s">
        <v>739</v>
      </c>
      <c r="F1210" t="s">
        <v>495</v>
      </c>
      <c r="G1210" s="158">
        <v>1080</v>
      </c>
      <c r="H1210" t="s">
        <v>1968</v>
      </c>
      <c r="I1210">
        <v>1</v>
      </c>
    </row>
    <row r="1211" spans="2:9">
      <c r="B1211" t="s">
        <v>137</v>
      </c>
      <c r="C1211" t="s">
        <v>1522</v>
      </c>
      <c r="E1211" t="s">
        <v>739</v>
      </c>
      <c r="F1211" t="s">
        <v>495</v>
      </c>
      <c r="G1211" s="158">
        <v>1100</v>
      </c>
      <c r="H1211" t="s">
        <v>1969</v>
      </c>
      <c r="I1211">
        <v>1</v>
      </c>
    </row>
    <row r="1212" spans="2:9">
      <c r="B1212" t="s">
        <v>568</v>
      </c>
      <c r="C1212" t="s">
        <v>1522</v>
      </c>
      <c r="E1212" t="s">
        <v>739</v>
      </c>
      <c r="F1212" t="s">
        <v>495</v>
      </c>
      <c r="G1212" s="158">
        <v>1120</v>
      </c>
      <c r="H1212" t="s">
        <v>1970</v>
      </c>
      <c r="I1212">
        <v>1</v>
      </c>
    </row>
    <row r="1213" spans="2:9">
      <c r="B1213" t="s">
        <v>570</v>
      </c>
      <c r="C1213" t="s">
        <v>1522</v>
      </c>
      <c r="E1213" t="s">
        <v>739</v>
      </c>
      <c r="F1213" t="s">
        <v>495</v>
      </c>
      <c r="G1213" s="158">
        <v>1170</v>
      </c>
      <c r="H1213" t="s">
        <v>1971</v>
      </c>
      <c r="I1213">
        <v>1</v>
      </c>
    </row>
    <row r="1214" spans="2:9">
      <c r="B1214" t="s">
        <v>570</v>
      </c>
      <c r="C1214" t="s">
        <v>1522</v>
      </c>
      <c r="E1214" t="s">
        <v>739</v>
      </c>
      <c r="F1214" t="s">
        <v>495</v>
      </c>
      <c r="G1214" s="158">
        <v>1270</v>
      </c>
      <c r="H1214" t="s">
        <v>1972</v>
      </c>
      <c r="I1214">
        <v>1</v>
      </c>
    </row>
    <row r="1215" spans="2:9">
      <c r="B1215" t="s">
        <v>570</v>
      </c>
      <c r="C1215" t="s">
        <v>1522</v>
      </c>
      <c r="E1215" t="s">
        <v>739</v>
      </c>
      <c r="F1215" t="s">
        <v>495</v>
      </c>
      <c r="G1215" s="158">
        <v>2170</v>
      </c>
      <c r="H1215" t="s">
        <v>1973</v>
      </c>
      <c r="I1215">
        <v>1</v>
      </c>
    </row>
    <row r="1216" spans="2:9">
      <c r="B1216" t="s">
        <v>570</v>
      </c>
      <c r="C1216" t="s">
        <v>1522</v>
      </c>
      <c r="E1216" t="s">
        <v>739</v>
      </c>
      <c r="F1216" t="s">
        <v>495</v>
      </c>
      <c r="G1216" s="158">
        <v>2270</v>
      </c>
      <c r="H1216" t="s">
        <v>1974</v>
      </c>
      <c r="I1216">
        <v>1</v>
      </c>
    </row>
    <row r="1217" spans="2:9">
      <c r="B1217" t="s">
        <v>570</v>
      </c>
      <c r="C1217" t="s">
        <v>1522</v>
      </c>
      <c r="E1217" t="s">
        <v>739</v>
      </c>
      <c r="F1217" t="s">
        <v>495</v>
      </c>
      <c r="G1217" s="158">
        <v>2370</v>
      </c>
      <c r="H1217" t="s">
        <v>1975</v>
      </c>
      <c r="I1217">
        <v>1</v>
      </c>
    </row>
    <row r="1218" spans="2:9">
      <c r="B1218" t="s">
        <v>568</v>
      </c>
      <c r="C1218" t="s">
        <v>1522</v>
      </c>
      <c r="E1218" t="s">
        <v>1586</v>
      </c>
      <c r="F1218" t="s">
        <v>644</v>
      </c>
      <c r="G1218" s="158">
        <v>1110</v>
      </c>
      <c r="H1218" t="s">
        <v>1976</v>
      </c>
      <c r="I1218">
        <v>1</v>
      </c>
    </row>
    <row r="1219" spans="2:9">
      <c r="B1219" t="s">
        <v>568</v>
      </c>
      <c r="C1219" t="s">
        <v>1522</v>
      </c>
      <c r="E1219" t="s">
        <v>1586</v>
      </c>
      <c r="F1219" t="s">
        <v>644</v>
      </c>
      <c r="G1219" s="158" t="s">
        <v>1300</v>
      </c>
      <c r="H1219" t="s">
        <v>1977</v>
      </c>
      <c r="I1219">
        <v>1</v>
      </c>
    </row>
    <row r="1220" spans="2:9">
      <c r="B1220" t="s">
        <v>568</v>
      </c>
      <c r="C1220" t="s">
        <v>1522</v>
      </c>
      <c r="E1220" t="s">
        <v>1586</v>
      </c>
      <c r="F1220" t="s">
        <v>644</v>
      </c>
      <c r="G1220" s="158">
        <v>1130</v>
      </c>
      <c r="H1220" t="s">
        <v>1978</v>
      </c>
      <c r="I1220">
        <v>1</v>
      </c>
    </row>
    <row r="1221" spans="2:9">
      <c r="B1221" t="s">
        <v>568</v>
      </c>
      <c r="C1221" t="s">
        <v>1522</v>
      </c>
      <c r="E1221" t="s">
        <v>1586</v>
      </c>
      <c r="F1221" t="s">
        <v>644</v>
      </c>
      <c r="G1221" s="158" t="s">
        <v>823</v>
      </c>
      <c r="H1221" t="s">
        <v>1979</v>
      </c>
      <c r="I1221">
        <v>1</v>
      </c>
    </row>
    <row r="1222" spans="2:9">
      <c r="B1222" t="s">
        <v>568</v>
      </c>
      <c r="C1222" t="s">
        <v>1522</v>
      </c>
      <c r="E1222" t="s">
        <v>1586</v>
      </c>
      <c r="F1222" t="s">
        <v>644</v>
      </c>
      <c r="G1222" s="158">
        <v>1210</v>
      </c>
      <c r="H1222" t="s">
        <v>1980</v>
      </c>
      <c r="I1222">
        <v>1</v>
      </c>
    </row>
    <row r="1223" spans="2:9">
      <c r="B1223" t="s">
        <v>568</v>
      </c>
      <c r="C1223" t="s">
        <v>1522</v>
      </c>
      <c r="E1223" t="s">
        <v>1586</v>
      </c>
      <c r="F1223" t="s">
        <v>644</v>
      </c>
      <c r="G1223" s="158" t="s">
        <v>824</v>
      </c>
      <c r="H1223" t="s">
        <v>1981</v>
      </c>
      <c r="I1223">
        <v>1</v>
      </c>
    </row>
    <row r="1224" spans="2:9">
      <c r="B1224" t="s">
        <v>568</v>
      </c>
      <c r="C1224" t="s">
        <v>1522</v>
      </c>
      <c r="E1224" t="s">
        <v>1586</v>
      </c>
      <c r="F1224" t="s">
        <v>644</v>
      </c>
      <c r="G1224" s="158">
        <v>1230</v>
      </c>
      <c r="H1224" t="s">
        <v>1982</v>
      </c>
      <c r="I1224">
        <v>1</v>
      </c>
    </row>
    <row r="1225" spans="2:9">
      <c r="B1225" t="s">
        <v>568</v>
      </c>
      <c r="C1225" t="s">
        <v>1522</v>
      </c>
      <c r="E1225" t="s">
        <v>1586</v>
      </c>
      <c r="F1225" t="s">
        <v>644</v>
      </c>
      <c r="G1225" s="158" t="s">
        <v>862</v>
      </c>
      <c r="H1225" t="s">
        <v>1983</v>
      </c>
      <c r="I1225">
        <v>1</v>
      </c>
    </row>
    <row r="1226" spans="2:9">
      <c r="B1226" t="s">
        <v>568</v>
      </c>
      <c r="C1226" t="s">
        <v>1522</v>
      </c>
      <c r="E1226" t="s">
        <v>1526</v>
      </c>
      <c r="F1226" t="s">
        <v>1530</v>
      </c>
      <c r="G1226" s="158">
        <v>1000</v>
      </c>
      <c r="H1226" t="s">
        <v>1984</v>
      </c>
      <c r="I1226">
        <v>1</v>
      </c>
    </row>
    <row r="1227" spans="2:9">
      <c r="B1227" t="s">
        <v>568</v>
      </c>
      <c r="C1227" t="s">
        <v>1522</v>
      </c>
      <c r="E1227" t="s">
        <v>1195</v>
      </c>
      <c r="F1227" t="s">
        <v>1530</v>
      </c>
      <c r="G1227" s="158">
        <v>1100</v>
      </c>
      <c r="H1227" t="s">
        <v>1985</v>
      </c>
      <c r="I1227">
        <v>1</v>
      </c>
    </row>
    <row r="1228" spans="2:9">
      <c r="B1228" t="s">
        <v>568</v>
      </c>
      <c r="C1228" t="s">
        <v>1522</v>
      </c>
      <c r="E1228" t="s">
        <v>463</v>
      </c>
      <c r="F1228" t="s">
        <v>1530</v>
      </c>
      <c r="G1228" s="158">
        <v>1110</v>
      </c>
      <c r="H1228" t="s">
        <v>1986</v>
      </c>
      <c r="I1228">
        <v>1</v>
      </c>
    </row>
    <row r="1229" spans="2:9">
      <c r="B1229" t="s">
        <v>568</v>
      </c>
      <c r="C1229" t="s">
        <v>1522</v>
      </c>
      <c r="E1229" t="s">
        <v>463</v>
      </c>
      <c r="F1229" t="s">
        <v>1530</v>
      </c>
      <c r="G1229" s="158">
        <v>1111</v>
      </c>
      <c r="H1229" t="s">
        <v>1987</v>
      </c>
      <c r="I1229">
        <v>1</v>
      </c>
    </row>
    <row r="1230" spans="2:9">
      <c r="B1230" t="s">
        <v>568</v>
      </c>
      <c r="C1230" t="s">
        <v>1522</v>
      </c>
      <c r="E1230" t="s">
        <v>1195</v>
      </c>
      <c r="F1230" t="s">
        <v>1530</v>
      </c>
      <c r="G1230" s="158">
        <v>1120</v>
      </c>
      <c r="H1230" t="s">
        <v>1988</v>
      </c>
      <c r="I1230">
        <v>1</v>
      </c>
    </row>
    <row r="1231" spans="2:9">
      <c r="B1231" t="s">
        <v>568</v>
      </c>
      <c r="C1231" t="s">
        <v>1522</v>
      </c>
      <c r="E1231" t="s">
        <v>1195</v>
      </c>
      <c r="F1231" t="s">
        <v>1530</v>
      </c>
      <c r="G1231" s="158" t="s">
        <v>434</v>
      </c>
      <c r="H1231" t="s">
        <v>1989</v>
      </c>
      <c r="I1231">
        <v>1</v>
      </c>
    </row>
    <row r="1232" spans="2:9">
      <c r="B1232" t="s">
        <v>1855</v>
      </c>
      <c r="C1232" t="s">
        <v>1522</v>
      </c>
      <c r="E1232" t="s">
        <v>1586</v>
      </c>
      <c r="F1232" t="s">
        <v>1530</v>
      </c>
      <c r="G1232" s="158">
        <v>1160</v>
      </c>
      <c r="H1232" t="s">
        <v>1990</v>
      </c>
      <c r="I1232">
        <v>1</v>
      </c>
    </row>
    <row r="1233" spans="2:9">
      <c r="B1233" t="s">
        <v>1855</v>
      </c>
      <c r="C1233" t="s">
        <v>1522</v>
      </c>
      <c r="E1233" t="s">
        <v>1586</v>
      </c>
      <c r="F1233" t="s">
        <v>1530</v>
      </c>
      <c r="G1233" s="158" t="s">
        <v>1853</v>
      </c>
      <c r="H1233" t="s">
        <v>1991</v>
      </c>
      <c r="I1233">
        <v>1</v>
      </c>
    </row>
    <row r="1234" spans="2:9">
      <c r="B1234" t="s">
        <v>1855</v>
      </c>
      <c r="C1234" t="s">
        <v>1522</v>
      </c>
      <c r="E1234" t="s">
        <v>1586</v>
      </c>
      <c r="F1234" t="s">
        <v>1530</v>
      </c>
      <c r="G1234" s="158">
        <v>1170</v>
      </c>
      <c r="H1234" t="s">
        <v>1992</v>
      </c>
      <c r="I1234">
        <v>1</v>
      </c>
    </row>
    <row r="1235" spans="2:9">
      <c r="B1235" t="s">
        <v>1855</v>
      </c>
      <c r="C1235" t="s">
        <v>1522</v>
      </c>
      <c r="E1235" t="s">
        <v>1586</v>
      </c>
      <c r="F1235" t="s">
        <v>1530</v>
      </c>
      <c r="G1235" s="158" t="s">
        <v>1854</v>
      </c>
      <c r="H1235" t="s">
        <v>1993</v>
      </c>
      <c r="I1235">
        <v>1</v>
      </c>
    </row>
    <row r="1236" spans="2:9">
      <c r="B1236" t="s">
        <v>568</v>
      </c>
      <c r="C1236" t="s">
        <v>1522</v>
      </c>
      <c r="E1236" t="s">
        <v>1195</v>
      </c>
      <c r="F1236" t="s">
        <v>1530</v>
      </c>
      <c r="G1236" s="158">
        <v>1320</v>
      </c>
      <c r="H1236" t="s">
        <v>1994</v>
      </c>
      <c r="I1236">
        <v>1</v>
      </c>
    </row>
    <row r="1237" spans="2:9">
      <c r="B1237" t="s">
        <v>568</v>
      </c>
      <c r="C1237" t="s">
        <v>1522</v>
      </c>
      <c r="E1237" t="s">
        <v>1526</v>
      </c>
      <c r="F1237" t="s">
        <v>1530</v>
      </c>
      <c r="G1237" s="158">
        <v>1400</v>
      </c>
      <c r="H1237" t="s">
        <v>1995</v>
      </c>
      <c r="I1237">
        <v>1</v>
      </c>
    </row>
    <row r="1238" spans="2:9">
      <c r="B1238" t="s">
        <v>568</v>
      </c>
      <c r="C1238" t="s">
        <v>1522</v>
      </c>
      <c r="E1238" t="s">
        <v>1526</v>
      </c>
      <c r="F1238" t="s">
        <v>1530</v>
      </c>
      <c r="G1238" s="158">
        <v>1405</v>
      </c>
      <c r="H1238" t="s">
        <v>1996</v>
      </c>
      <c r="I1238">
        <v>1</v>
      </c>
    </row>
    <row r="1239" spans="2:9">
      <c r="B1239" t="s">
        <v>568</v>
      </c>
      <c r="C1239" t="s">
        <v>1522</v>
      </c>
      <c r="E1239" t="s">
        <v>1195</v>
      </c>
      <c r="F1239" t="s">
        <v>1530</v>
      </c>
      <c r="G1239" s="158" t="s">
        <v>425</v>
      </c>
      <c r="H1239" t="s">
        <v>1997</v>
      </c>
      <c r="I1239">
        <v>1</v>
      </c>
    </row>
    <row r="1240" spans="2:9">
      <c r="B1240" t="s">
        <v>568</v>
      </c>
      <c r="C1240" t="s">
        <v>1522</v>
      </c>
      <c r="E1240" t="s">
        <v>1526</v>
      </c>
      <c r="F1240" t="s">
        <v>1530</v>
      </c>
      <c r="G1240" s="158">
        <v>1500</v>
      </c>
      <c r="H1240" t="s">
        <v>1998</v>
      </c>
      <c r="I1240">
        <v>1</v>
      </c>
    </row>
    <row r="1241" spans="2:9">
      <c r="B1241" t="s">
        <v>568</v>
      </c>
      <c r="C1241" t="s">
        <v>1522</v>
      </c>
      <c r="E1241" t="s">
        <v>1262</v>
      </c>
      <c r="F1241" t="s">
        <v>1530</v>
      </c>
      <c r="G1241" s="158" t="s">
        <v>655</v>
      </c>
      <c r="H1241" t="s">
        <v>1999</v>
      </c>
      <c r="I1241">
        <v>1</v>
      </c>
    </row>
    <row r="1242" spans="2:9">
      <c r="B1242" t="s">
        <v>568</v>
      </c>
      <c r="C1242" t="s">
        <v>1522</v>
      </c>
      <c r="E1242" t="s">
        <v>1526</v>
      </c>
      <c r="F1242" t="s">
        <v>1530</v>
      </c>
      <c r="G1242" s="158">
        <v>1505</v>
      </c>
      <c r="H1242" t="s">
        <v>2000</v>
      </c>
      <c r="I1242">
        <v>1</v>
      </c>
    </row>
    <row r="1243" spans="2:9">
      <c r="B1243" t="s">
        <v>568</v>
      </c>
      <c r="C1243" t="s">
        <v>1522</v>
      </c>
      <c r="E1243" t="s">
        <v>1262</v>
      </c>
      <c r="F1243" t="s">
        <v>1530</v>
      </c>
      <c r="G1243" s="158" t="s">
        <v>1396</v>
      </c>
      <c r="H1243" t="s">
        <v>2001</v>
      </c>
      <c r="I1243">
        <v>1</v>
      </c>
    </row>
    <row r="1244" spans="2:9">
      <c r="B1244" t="s">
        <v>568</v>
      </c>
      <c r="C1244" t="s">
        <v>1522</v>
      </c>
      <c r="E1244" t="s">
        <v>1262</v>
      </c>
      <c r="F1244" t="s">
        <v>1530</v>
      </c>
      <c r="G1244" s="158" t="s">
        <v>1397</v>
      </c>
      <c r="H1244" t="s">
        <v>2002</v>
      </c>
      <c r="I1244">
        <v>1</v>
      </c>
    </row>
    <row r="1245" spans="2:9">
      <c r="B1245" t="s">
        <v>568</v>
      </c>
      <c r="C1245" t="s">
        <v>1522</v>
      </c>
      <c r="E1245" t="s">
        <v>1262</v>
      </c>
      <c r="F1245" t="s">
        <v>1530</v>
      </c>
      <c r="G1245" s="158" t="s">
        <v>1399</v>
      </c>
      <c r="H1245" t="s">
        <v>2003</v>
      </c>
      <c r="I1245">
        <v>1</v>
      </c>
    </row>
    <row r="1246" spans="2:9">
      <c r="B1246" t="s">
        <v>568</v>
      </c>
      <c r="C1246" t="s">
        <v>1522</v>
      </c>
      <c r="E1246" t="s">
        <v>1262</v>
      </c>
      <c r="F1246" t="s">
        <v>1530</v>
      </c>
      <c r="G1246" s="158" t="s">
        <v>1398</v>
      </c>
      <c r="H1246" t="s">
        <v>2004</v>
      </c>
      <c r="I1246">
        <v>1</v>
      </c>
    </row>
    <row r="1247" spans="2:9">
      <c r="B1247" t="s">
        <v>568</v>
      </c>
      <c r="C1247" t="s">
        <v>1522</v>
      </c>
      <c r="E1247" t="s">
        <v>1262</v>
      </c>
      <c r="F1247" t="s">
        <v>1530</v>
      </c>
      <c r="G1247" s="158" t="s">
        <v>1401</v>
      </c>
      <c r="H1247" t="s">
        <v>2005</v>
      </c>
      <c r="I1247">
        <v>1</v>
      </c>
    </row>
    <row r="1248" spans="2:9">
      <c r="B1248" t="s">
        <v>568</v>
      </c>
      <c r="C1248" t="s">
        <v>1522</v>
      </c>
      <c r="E1248" t="s">
        <v>1262</v>
      </c>
      <c r="F1248" t="s">
        <v>1530</v>
      </c>
      <c r="G1248" s="158" t="s">
        <v>1400</v>
      </c>
      <c r="H1248" t="s">
        <v>2006</v>
      </c>
      <c r="I1248">
        <v>1</v>
      </c>
    </row>
    <row r="1249" spans="2:9">
      <c r="B1249" t="s">
        <v>567</v>
      </c>
      <c r="C1249" t="s">
        <v>1522</v>
      </c>
      <c r="E1249" t="s">
        <v>1195</v>
      </c>
      <c r="F1249" t="s">
        <v>1530</v>
      </c>
      <c r="G1249" s="158">
        <v>2100</v>
      </c>
      <c r="H1249" t="s">
        <v>2007</v>
      </c>
      <c r="I1249">
        <v>1</v>
      </c>
    </row>
    <row r="1250" spans="2:9">
      <c r="B1250" t="s">
        <v>1450</v>
      </c>
      <c r="C1250" t="s">
        <v>1522</v>
      </c>
      <c r="E1250" t="s">
        <v>551</v>
      </c>
      <c r="F1250" t="s">
        <v>1704</v>
      </c>
      <c r="G1250" s="158">
        <v>1130</v>
      </c>
      <c r="H1250" t="s">
        <v>2008</v>
      </c>
      <c r="I1250">
        <v>1</v>
      </c>
    </row>
    <row r="1251" spans="2:9">
      <c r="B1251" t="s">
        <v>1450</v>
      </c>
      <c r="C1251" t="s">
        <v>1522</v>
      </c>
      <c r="E1251" t="s">
        <v>1586</v>
      </c>
      <c r="F1251" t="s">
        <v>722</v>
      </c>
      <c r="G1251" s="158">
        <v>1010</v>
      </c>
      <c r="H1251" t="s">
        <v>2009</v>
      </c>
      <c r="I1251">
        <v>1</v>
      </c>
    </row>
    <row r="1252" spans="2:9">
      <c r="B1252" t="s">
        <v>1450</v>
      </c>
      <c r="C1252" t="s">
        <v>1522</v>
      </c>
      <c r="E1252" t="s">
        <v>1586</v>
      </c>
      <c r="F1252" t="s">
        <v>722</v>
      </c>
      <c r="G1252" s="158">
        <v>1100</v>
      </c>
      <c r="H1252" t="s">
        <v>2010</v>
      </c>
      <c r="I1252">
        <v>1</v>
      </c>
    </row>
    <row r="1253" spans="2:9">
      <c r="B1253" t="s">
        <v>92</v>
      </c>
      <c r="C1253" t="s">
        <v>1522</v>
      </c>
      <c r="D1253" t="s">
        <v>1329</v>
      </c>
      <c r="E1253" t="s">
        <v>1262</v>
      </c>
      <c r="F1253" t="s">
        <v>796</v>
      </c>
      <c r="G1253" s="158" t="s">
        <v>1528</v>
      </c>
      <c r="H1253" t="s">
        <v>2011</v>
      </c>
      <c r="I1253">
        <v>1</v>
      </c>
    </row>
    <row r="1254" spans="2:9">
      <c r="B1254" t="s">
        <v>94</v>
      </c>
      <c r="C1254" t="s">
        <v>1522</v>
      </c>
      <c r="E1254" t="s">
        <v>551</v>
      </c>
      <c r="F1254" t="s">
        <v>796</v>
      </c>
      <c r="G1254" s="158" t="s">
        <v>930</v>
      </c>
      <c r="H1254" t="s">
        <v>2012</v>
      </c>
      <c r="I1254">
        <v>1</v>
      </c>
    </row>
    <row r="1255" spans="2:9">
      <c r="B1255" t="s">
        <v>564</v>
      </c>
      <c r="C1255" t="s">
        <v>1522</v>
      </c>
      <c r="E1255" t="s">
        <v>463</v>
      </c>
      <c r="F1255" t="s">
        <v>1533</v>
      </c>
      <c r="G1255" s="158">
        <v>1010</v>
      </c>
      <c r="H1255" t="s">
        <v>2013</v>
      </c>
      <c r="I1255">
        <v>1</v>
      </c>
    </row>
    <row r="1256" spans="2:9">
      <c r="B1256" t="s">
        <v>564</v>
      </c>
      <c r="C1256" t="s">
        <v>1522</v>
      </c>
      <c r="E1256" t="s">
        <v>463</v>
      </c>
      <c r="F1256" t="s">
        <v>1533</v>
      </c>
      <c r="G1256" s="158">
        <v>1040</v>
      </c>
      <c r="H1256" t="s">
        <v>2014</v>
      </c>
      <c r="I1256">
        <v>1</v>
      </c>
    </row>
    <row r="1257" spans="2:9">
      <c r="B1257" t="s">
        <v>564</v>
      </c>
      <c r="C1257" t="s">
        <v>1522</v>
      </c>
      <c r="E1257" t="s">
        <v>463</v>
      </c>
      <c r="F1257" t="s">
        <v>1533</v>
      </c>
      <c r="G1257" s="158">
        <v>1060</v>
      </c>
      <c r="H1257" t="s">
        <v>2015</v>
      </c>
      <c r="I1257">
        <v>1</v>
      </c>
    </row>
    <row r="1258" spans="2:9">
      <c r="B1258" t="s">
        <v>1338</v>
      </c>
      <c r="C1258" t="s">
        <v>1522</v>
      </c>
      <c r="E1258" t="s">
        <v>463</v>
      </c>
      <c r="F1258" t="s">
        <v>1533</v>
      </c>
      <c r="G1258" s="158">
        <v>1100</v>
      </c>
      <c r="H1258" t="s">
        <v>2016</v>
      </c>
      <c r="I1258">
        <v>1</v>
      </c>
    </row>
    <row r="1259" spans="2:9">
      <c r="B1259" t="s">
        <v>564</v>
      </c>
      <c r="C1259" t="s">
        <v>1522</v>
      </c>
      <c r="E1259" t="s">
        <v>463</v>
      </c>
      <c r="F1259" t="s">
        <v>1533</v>
      </c>
      <c r="G1259" s="158">
        <v>1140</v>
      </c>
      <c r="H1259" t="s">
        <v>2017</v>
      </c>
      <c r="I1259">
        <v>1</v>
      </c>
    </row>
    <row r="1260" spans="2:9">
      <c r="B1260" t="s">
        <v>564</v>
      </c>
      <c r="C1260" t="s">
        <v>1522</v>
      </c>
      <c r="E1260" t="s">
        <v>463</v>
      </c>
      <c r="F1260" t="s">
        <v>1533</v>
      </c>
      <c r="G1260" s="158">
        <v>1160</v>
      </c>
      <c r="H1260" t="s">
        <v>2018</v>
      </c>
      <c r="I1260">
        <v>1</v>
      </c>
    </row>
    <row r="1261" spans="2:9">
      <c r="B1261" t="s">
        <v>564</v>
      </c>
      <c r="C1261" t="s">
        <v>1522</v>
      </c>
      <c r="E1261" t="s">
        <v>1586</v>
      </c>
      <c r="F1261" t="s">
        <v>1533</v>
      </c>
      <c r="G1261" s="158">
        <v>1190</v>
      </c>
      <c r="H1261" t="s">
        <v>2019</v>
      </c>
      <c r="I1261">
        <v>1</v>
      </c>
    </row>
    <row r="1262" spans="2:9">
      <c r="B1262" t="s">
        <v>573</v>
      </c>
      <c r="C1262" t="s">
        <v>1522</v>
      </c>
      <c r="E1262" t="s">
        <v>463</v>
      </c>
      <c r="F1262" t="s">
        <v>1533</v>
      </c>
      <c r="G1262" s="158">
        <v>1200</v>
      </c>
      <c r="H1262" t="s">
        <v>2020</v>
      </c>
      <c r="I1262">
        <v>1</v>
      </c>
    </row>
    <row r="1263" spans="2:9">
      <c r="B1263" t="s">
        <v>564</v>
      </c>
      <c r="C1263" t="s">
        <v>1522</v>
      </c>
      <c r="E1263" t="s">
        <v>1586</v>
      </c>
      <c r="F1263" t="s">
        <v>1533</v>
      </c>
      <c r="G1263" s="158" t="s">
        <v>1104</v>
      </c>
      <c r="H1263" t="s">
        <v>2021</v>
      </c>
      <c r="I1263">
        <v>1</v>
      </c>
    </row>
    <row r="1264" spans="2:9">
      <c r="B1264" t="s">
        <v>573</v>
      </c>
      <c r="C1264" t="s">
        <v>1522</v>
      </c>
      <c r="E1264" t="s">
        <v>463</v>
      </c>
      <c r="F1264" t="s">
        <v>1533</v>
      </c>
      <c r="G1264" s="158">
        <v>1240</v>
      </c>
      <c r="H1264" t="s">
        <v>2022</v>
      </c>
      <c r="I1264">
        <v>1</v>
      </c>
    </row>
    <row r="1265" spans="2:9">
      <c r="B1265" t="s">
        <v>573</v>
      </c>
      <c r="C1265" t="s">
        <v>1522</v>
      </c>
      <c r="E1265" t="s">
        <v>463</v>
      </c>
      <c r="F1265" t="s">
        <v>1533</v>
      </c>
      <c r="G1265" s="158">
        <v>1260</v>
      </c>
      <c r="H1265" t="s">
        <v>2023</v>
      </c>
      <c r="I1265">
        <v>1</v>
      </c>
    </row>
    <row r="1266" spans="2:9">
      <c r="B1266" t="s">
        <v>564</v>
      </c>
      <c r="C1266" t="s">
        <v>1522</v>
      </c>
      <c r="E1266" t="s">
        <v>1526</v>
      </c>
      <c r="F1266" t="s">
        <v>1533</v>
      </c>
      <c r="G1266" s="158">
        <v>2030</v>
      </c>
      <c r="H1266" t="s">
        <v>2024</v>
      </c>
      <c r="I1266">
        <v>1</v>
      </c>
    </row>
    <row r="1267" spans="2:9">
      <c r="B1267" t="s">
        <v>564</v>
      </c>
      <c r="C1267" t="s">
        <v>1522</v>
      </c>
      <c r="E1267" t="s">
        <v>1526</v>
      </c>
      <c r="F1267" t="s">
        <v>1533</v>
      </c>
      <c r="G1267" s="158">
        <v>2080</v>
      </c>
      <c r="H1267" t="s">
        <v>2025</v>
      </c>
      <c r="I1267">
        <v>1</v>
      </c>
    </row>
    <row r="1268" spans="2:9">
      <c r="B1268" t="s">
        <v>573</v>
      </c>
      <c r="C1268" t="s">
        <v>1522</v>
      </c>
      <c r="E1268" t="s">
        <v>1526</v>
      </c>
      <c r="F1268" t="s">
        <v>1533</v>
      </c>
      <c r="G1268" s="158">
        <v>2125</v>
      </c>
      <c r="H1268" t="s">
        <v>2026</v>
      </c>
      <c r="I1268">
        <v>1</v>
      </c>
    </row>
    <row r="1269" spans="2:9">
      <c r="B1269" t="s">
        <v>564</v>
      </c>
      <c r="C1269" t="s">
        <v>1522</v>
      </c>
      <c r="E1269" t="s">
        <v>1526</v>
      </c>
      <c r="F1269" t="s">
        <v>1533</v>
      </c>
      <c r="G1269" s="158">
        <v>2130</v>
      </c>
      <c r="H1269" t="s">
        <v>2027</v>
      </c>
      <c r="I1269">
        <v>1</v>
      </c>
    </row>
    <row r="1270" spans="2:9">
      <c r="B1270" t="s">
        <v>564</v>
      </c>
      <c r="C1270" t="s">
        <v>1522</v>
      </c>
      <c r="E1270" t="s">
        <v>1261</v>
      </c>
      <c r="F1270" t="s">
        <v>1533</v>
      </c>
      <c r="G1270" s="158">
        <v>2150</v>
      </c>
      <c r="H1270" t="s">
        <v>2028</v>
      </c>
      <c r="I1270">
        <v>1</v>
      </c>
    </row>
    <row r="1271" spans="2:9">
      <c r="B1271" t="s">
        <v>564</v>
      </c>
      <c r="C1271" t="s">
        <v>1522</v>
      </c>
      <c r="E1271" t="s">
        <v>1526</v>
      </c>
      <c r="F1271" t="s">
        <v>1533</v>
      </c>
      <c r="G1271" s="158">
        <v>2170</v>
      </c>
      <c r="H1271" t="s">
        <v>2029</v>
      </c>
      <c r="I1271">
        <v>1</v>
      </c>
    </row>
    <row r="1272" spans="2:9">
      <c r="B1272" t="s">
        <v>573</v>
      </c>
      <c r="C1272" t="s">
        <v>1522</v>
      </c>
      <c r="E1272" t="s">
        <v>1261</v>
      </c>
      <c r="F1272" t="s">
        <v>1533</v>
      </c>
      <c r="G1272" s="158">
        <v>2690</v>
      </c>
      <c r="H1272" t="s">
        <v>2030</v>
      </c>
      <c r="I1272">
        <v>1</v>
      </c>
    </row>
    <row r="1273" spans="2:9">
      <c r="B1273" t="s">
        <v>101</v>
      </c>
      <c r="C1273" t="s">
        <v>1521</v>
      </c>
      <c r="D1273" t="s">
        <v>1331</v>
      </c>
      <c r="E1273" t="s">
        <v>1526</v>
      </c>
      <c r="F1273" t="s">
        <v>1362</v>
      </c>
      <c r="G1273" s="158">
        <v>1010</v>
      </c>
      <c r="H1273" t="s">
        <v>2031</v>
      </c>
      <c r="I1273">
        <v>1</v>
      </c>
    </row>
    <row r="1274" spans="2:9">
      <c r="B1274" t="s">
        <v>102</v>
      </c>
      <c r="C1274" t="s">
        <v>1522</v>
      </c>
      <c r="E1274" t="s">
        <v>1526</v>
      </c>
      <c r="F1274" t="s">
        <v>1362</v>
      </c>
      <c r="G1274" s="158">
        <v>1300</v>
      </c>
      <c r="H1274" t="s">
        <v>2032</v>
      </c>
      <c r="I1274">
        <v>1</v>
      </c>
    </row>
    <row r="1275" spans="2:9">
      <c r="B1275" t="s">
        <v>105</v>
      </c>
      <c r="C1275" t="s">
        <v>1522</v>
      </c>
      <c r="E1275" t="s">
        <v>1526</v>
      </c>
      <c r="F1275" t="s">
        <v>1362</v>
      </c>
      <c r="G1275" s="158">
        <v>1405</v>
      </c>
      <c r="H1275" t="s">
        <v>2033</v>
      </c>
      <c r="I1275">
        <v>1</v>
      </c>
    </row>
    <row r="1276" spans="2:9">
      <c r="B1276" t="s">
        <v>106</v>
      </c>
      <c r="C1276" t="s">
        <v>1522</v>
      </c>
      <c r="E1276" t="s">
        <v>1526</v>
      </c>
      <c r="F1276" t="s">
        <v>1362</v>
      </c>
      <c r="G1276" s="158">
        <v>1406</v>
      </c>
      <c r="H1276" t="s">
        <v>2034</v>
      </c>
      <c r="I1276">
        <v>1</v>
      </c>
    </row>
    <row r="1277" spans="2:9">
      <c r="B1277" t="s">
        <v>103</v>
      </c>
      <c r="C1277" t="s">
        <v>1522</v>
      </c>
      <c r="E1277" t="s">
        <v>1526</v>
      </c>
      <c r="F1277" t="s">
        <v>1362</v>
      </c>
      <c r="G1277" s="158">
        <v>1900</v>
      </c>
      <c r="H1277" t="s">
        <v>2035</v>
      </c>
      <c r="I1277">
        <v>1</v>
      </c>
    </row>
    <row r="1278" spans="2:9">
      <c r="B1278" t="s">
        <v>96</v>
      </c>
      <c r="C1278" t="s">
        <v>1522</v>
      </c>
      <c r="E1278" t="s">
        <v>1526</v>
      </c>
      <c r="F1278" t="s">
        <v>1362</v>
      </c>
      <c r="G1278" s="158">
        <v>2430</v>
      </c>
      <c r="H1278" t="s">
        <v>2036</v>
      </c>
      <c r="I1278">
        <v>1</v>
      </c>
    </row>
    <row r="1279" spans="2:9">
      <c r="C1279" t="s">
        <v>1521</v>
      </c>
      <c r="D1279" t="s">
        <v>540</v>
      </c>
      <c r="E1279" t="s">
        <v>1586</v>
      </c>
      <c r="F1279" t="s">
        <v>283</v>
      </c>
      <c r="G1279" s="158">
        <v>1010</v>
      </c>
      <c r="H1279" t="s">
        <v>2037</v>
      </c>
      <c r="I1279">
        <v>1</v>
      </c>
    </row>
    <row r="1280" spans="2:9">
      <c r="C1280" t="s">
        <v>1521</v>
      </c>
      <c r="E1280" t="s">
        <v>1586</v>
      </c>
      <c r="F1280" t="s">
        <v>283</v>
      </c>
      <c r="G1280" s="158">
        <v>1015</v>
      </c>
      <c r="H1280" t="s">
        <v>2038</v>
      </c>
      <c r="I1280">
        <v>1</v>
      </c>
    </row>
    <row r="1281" spans="2:9">
      <c r="C1281" t="s">
        <v>1522</v>
      </c>
      <c r="D1281" t="s">
        <v>540</v>
      </c>
      <c r="E1281" t="s">
        <v>1262</v>
      </c>
      <c r="F1281" t="s">
        <v>283</v>
      </c>
      <c r="G1281" s="158" t="s">
        <v>428</v>
      </c>
      <c r="H1281" t="s">
        <v>2039</v>
      </c>
      <c r="I1281">
        <v>1</v>
      </c>
    </row>
    <row r="1282" spans="2:9">
      <c r="C1282" t="s">
        <v>1522</v>
      </c>
      <c r="E1282" t="s">
        <v>1262</v>
      </c>
      <c r="F1282" t="s">
        <v>283</v>
      </c>
      <c r="G1282" s="158" t="s">
        <v>1479</v>
      </c>
      <c r="H1282" t="s">
        <v>2040</v>
      </c>
      <c r="I1282">
        <v>1</v>
      </c>
    </row>
    <row r="1283" spans="2:9">
      <c r="C1283" t="s">
        <v>1522</v>
      </c>
      <c r="D1283" t="s">
        <v>540</v>
      </c>
      <c r="E1283" t="s">
        <v>1586</v>
      </c>
      <c r="F1283" t="s">
        <v>283</v>
      </c>
      <c r="G1283" s="158">
        <v>1070</v>
      </c>
      <c r="H1283" t="s">
        <v>2041</v>
      </c>
      <c r="I1283">
        <v>1</v>
      </c>
    </row>
    <row r="1284" spans="2:9">
      <c r="C1284" t="s">
        <v>1522</v>
      </c>
      <c r="E1284" t="s">
        <v>463</v>
      </c>
      <c r="F1284" t="s">
        <v>283</v>
      </c>
      <c r="G1284" s="158">
        <v>1075</v>
      </c>
      <c r="H1284" t="s">
        <v>2042</v>
      </c>
      <c r="I1284">
        <v>1</v>
      </c>
    </row>
    <row r="1285" spans="2:9">
      <c r="B1285" t="s">
        <v>881</v>
      </c>
      <c r="C1285" t="s">
        <v>1522</v>
      </c>
      <c r="D1285" t="s">
        <v>540</v>
      </c>
      <c r="E1285" t="s">
        <v>463</v>
      </c>
      <c r="F1285" t="s">
        <v>283</v>
      </c>
      <c r="G1285" s="158">
        <v>1110</v>
      </c>
      <c r="H1285" t="s">
        <v>2043</v>
      </c>
      <c r="I1285">
        <v>1</v>
      </c>
    </row>
    <row r="1286" spans="2:9">
      <c r="C1286" t="s">
        <v>1522</v>
      </c>
      <c r="E1286" t="s">
        <v>1526</v>
      </c>
      <c r="F1286" t="s">
        <v>283</v>
      </c>
      <c r="G1286" s="158" t="s">
        <v>1105</v>
      </c>
      <c r="H1286" t="s">
        <v>2044</v>
      </c>
      <c r="I1286">
        <v>1</v>
      </c>
    </row>
    <row r="1287" spans="2:9">
      <c r="B1287" t="s">
        <v>881</v>
      </c>
      <c r="C1287" t="s">
        <v>1522</v>
      </c>
      <c r="E1287" t="s">
        <v>1526</v>
      </c>
      <c r="F1287" t="s">
        <v>283</v>
      </c>
      <c r="G1287" s="158">
        <v>1500</v>
      </c>
      <c r="H1287" t="s">
        <v>2045</v>
      </c>
      <c r="I1287">
        <v>1</v>
      </c>
    </row>
    <row r="1288" spans="2:9">
      <c r="B1288" t="s">
        <v>885</v>
      </c>
      <c r="C1288" t="s">
        <v>1522</v>
      </c>
      <c r="E1288" t="s">
        <v>1195</v>
      </c>
      <c r="F1288" t="s">
        <v>283</v>
      </c>
      <c r="G1288" s="158">
        <v>1505</v>
      </c>
      <c r="H1288" t="s">
        <v>2046</v>
      </c>
      <c r="I1288">
        <v>1</v>
      </c>
    </row>
    <row r="1289" spans="2:9">
      <c r="C1289" t="s">
        <v>1521</v>
      </c>
      <c r="D1289" t="s">
        <v>540</v>
      </c>
      <c r="E1289" t="s">
        <v>1262</v>
      </c>
      <c r="F1289" t="s">
        <v>283</v>
      </c>
      <c r="G1289" s="158" t="s">
        <v>910</v>
      </c>
      <c r="H1289" t="s">
        <v>2047</v>
      </c>
      <c r="I1289">
        <v>1</v>
      </c>
    </row>
    <row r="1290" spans="2:9">
      <c r="C1290" t="s">
        <v>1521</v>
      </c>
      <c r="E1290" t="s">
        <v>1262</v>
      </c>
      <c r="F1290" t="s">
        <v>283</v>
      </c>
      <c r="G1290" s="158" t="s">
        <v>238</v>
      </c>
      <c r="H1290" t="s">
        <v>2048</v>
      </c>
      <c r="I1290">
        <v>1</v>
      </c>
    </row>
    <row r="1291" spans="2:9">
      <c r="C1291" t="s">
        <v>1521</v>
      </c>
      <c r="D1291" t="s">
        <v>540</v>
      </c>
      <c r="E1291" t="s">
        <v>1262</v>
      </c>
      <c r="F1291" t="s">
        <v>283</v>
      </c>
      <c r="G1291" s="158">
        <v>1620</v>
      </c>
      <c r="H1291" t="s">
        <v>2049</v>
      </c>
      <c r="I1291">
        <v>1</v>
      </c>
    </row>
    <row r="1292" spans="2:9">
      <c r="C1292" t="s">
        <v>1522</v>
      </c>
      <c r="E1292" t="s">
        <v>1526</v>
      </c>
      <c r="F1292" t="s">
        <v>283</v>
      </c>
      <c r="G1292" s="158">
        <v>1625</v>
      </c>
      <c r="H1292" t="s">
        <v>2050</v>
      </c>
      <c r="I1292">
        <v>1</v>
      </c>
    </row>
    <row r="1293" spans="2:9">
      <c r="C1293" t="s">
        <v>1522</v>
      </c>
      <c r="D1293" t="s">
        <v>540</v>
      </c>
      <c r="E1293" t="s">
        <v>1526</v>
      </c>
      <c r="F1293" t="s">
        <v>283</v>
      </c>
      <c r="G1293" s="158">
        <v>1800</v>
      </c>
      <c r="H1293" t="s">
        <v>2051</v>
      </c>
      <c r="I1293">
        <v>1</v>
      </c>
    </row>
    <row r="1294" spans="2:9">
      <c r="C1294" t="s">
        <v>1522</v>
      </c>
      <c r="D1294" t="s">
        <v>540</v>
      </c>
      <c r="E1294" t="s">
        <v>1262</v>
      </c>
      <c r="F1294" t="s">
        <v>283</v>
      </c>
      <c r="G1294" s="158" t="s">
        <v>1107</v>
      </c>
      <c r="H1294" t="s">
        <v>2052</v>
      </c>
      <c r="I1294">
        <v>1</v>
      </c>
    </row>
    <row r="1295" spans="2:9">
      <c r="C1295" t="s">
        <v>1522</v>
      </c>
      <c r="E1295" t="s">
        <v>463</v>
      </c>
      <c r="F1295" t="s">
        <v>283</v>
      </c>
      <c r="G1295" s="158">
        <v>2020</v>
      </c>
      <c r="H1295" t="s">
        <v>2053</v>
      </c>
      <c r="I1295">
        <v>1</v>
      </c>
    </row>
    <row r="1296" spans="2:9">
      <c r="C1296" t="s">
        <v>1522</v>
      </c>
      <c r="E1296" t="s">
        <v>463</v>
      </c>
      <c r="F1296" t="s">
        <v>283</v>
      </c>
      <c r="G1296" s="158">
        <v>2025</v>
      </c>
      <c r="H1296" t="s">
        <v>2054</v>
      </c>
      <c r="I1296">
        <v>1</v>
      </c>
    </row>
    <row r="1297" spans="2:9">
      <c r="C1297" t="s">
        <v>1522</v>
      </c>
      <c r="E1297" t="s">
        <v>463</v>
      </c>
      <c r="F1297" t="s">
        <v>283</v>
      </c>
      <c r="G1297" s="158">
        <v>2030</v>
      </c>
      <c r="H1297" t="s">
        <v>2055</v>
      </c>
      <c r="I1297">
        <v>1</v>
      </c>
    </row>
    <row r="1298" spans="2:9">
      <c r="C1298" t="s">
        <v>1522</v>
      </c>
      <c r="E1298" t="s">
        <v>463</v>
      </c>
      <c r="F1298" t="s">
        <v>283</v>
      </c>
      <c r="G1298" s="158">
        <v>2035</v>
      </c>
      <c r="H1298" t="s">
        <v>2056</v>
      </c>
      <c r="I1298">
        <v>1</v>
      </c>
    </row>
    <row r="1299" spans="2:9">
      <c r="C1299" t="s">
        <v>1522</v>
      </c>
      <c r="D1299" t="s">
        <v>540</v>
      </c>
      <c r="E1299" t="s">
        <v>1262</v>
      </c>
      <c r="F1299" t="s">
        <v>283</v>
      </c>
      <c r="G1299" s="158">
        <v>2060</v>
      </c>
      <c r="H1299" t="s">
        <v>2057</v>
      </c>
      <c r="I1299">
        <v>1</v>
      </c>
    </row>
    <row r="1300" spans="2:9">
      <c r="C1300" t="s">
        <v>1522</v>
      </c>
      <c r="E1300" t="s">
        <v>1262</v>
      </c>
      <c r="F1300" t="s">
        <v>283</v>
      </c>
      <c r="G1300" s="158">
        <v>2065</v>
      </c>
      <c r="H1300" t="s">
        <v>2058</v>
      </c>
      <c r="I1300">
        <v>1</v>
      </c>
    </row>
    <row r="1301" spans="2:9">
      <c r="B1301" t="s">
        <v>881</v>
      </c>
      <c r="C1301" t="s">
        <v>1522</v>
      </c>
      <c r="E1301" t="s">
        <v>463</v>
      </c>
      <c r="F1301" t="s">
        <v>283</v>
      </c>
      <c r="G1301" s="158">
        <v>2320</v>
      </c>
      <c r="H1301" t="s">
        <v>2059</v>
      </c>
      <c r="I1301">
        <v>1</v>
      </c>
    </row>
    <row r="1302" spans="2:9">
      <c r="C1302" t="s">
        <v>1522</v>
      </c>
      <c r="E1302" t="s">
        <v>463</v>
      </c>
      <c r="F1302" t="s">
        <v>283</v>
      </c>
      <c r="G1302" s="158">
        <v>2325</v>
      </c>
      <c r="H1302" t="s">
        <v>2060</v>
      </c>
      <c r="I1302">
        <v>1</v>
      </c>
    </row>
    <row r="1303" spans="2:9">
      <c r="C1303" t="s">
        <v>1522</v>
      </c>
      <c r="D1303" t="s">
        <v>540</v>
      </c>
      <c r="E1303" t="s">
        <v>1262</v>
      </c>
      <c r="F1303" t="s">
        <v>283</v>
      </c>
      <c r="G1303" s="158" t="s">
        <v>239</v>
      </c>
      <c r="H1303" t="s">
        <v>2061</v>
      </c>
      <c r="I1303">
        <v>1</v>
      </c>
    </row>
    <row r="1304" spans="2:9">
      <c r="C1304" t="s">
        <v>1522</v>
      </c>
      <c r="E1304" t="s">
        <v>1262</v>
      </c>
      <c r="F1304" t="s">
        <v>283</v>
      </c>
      <c r="G1304" s="158" t="s">
        <v>240</v>
      </c>
      <c r="H1304" t="s">
        <v>2062</v>
      </c>
      <c r="I1304">
        <v>1</v>
      </c>
    </row>
    <row r="1305" spans="2:9">
      <c r="B1305" t="s">
        <v>1869</v>
      </c>
      <c r="C1305" t="s">
        <v>1522</v>
      </c>
      <c r="E1305" t="s">
        <v>463</v>
      </c>
      <c r="F1305" t="s">
        <v>1866</v>
      </c>
      <c r="G1305" s="158">
        <v>1110</v>
      </c>
      <c r="H1305" t="s">
        <v>2063</v>
      </c>
      <c r="I1305">
        <v>1</v>
      </c>
    </row>
    <row r="1306" spans="2:9">
      <c r="B1306" t="s">
        <v>1869</v>
      </c>
      <c r="C1306" t="s">
        <v>1522</v>
      </c>
      <c r="E1306" t="s">
        <v>463</v>
      </c>
      <c r="F1306" t="s">
        <v>1866</v>
      </c>
      <c r="G1306" s="158">
        <v>1120</v>
      </c>
      <c r="H1306" t="s">
        <v>2064</v>
      </c>
      <c r="I1306">
        <v>1</v>
      </c>
    </row>
    <row r="1307" spans="2:9">
      <c r="B1307" t="s">
        <v>88</v>
      </c>
      <c r="C1307" t="s">
        <v>1522</v>
      </c>
      <c r="E1307" t="s">
        <v>1261</v>
      </c>
      <c r="F1307" t="s">
        <v>945</v>
      </c>
      <c r="G1307" s="158">
        <v>1060</v>
      </c>
      <c r="H1307" t="s">
        <v>2065</v>
      </c>
      <c r="I1307">
        <v>1</v>
      </c>
    </row>
    <row r="1308" spans="2:9">
      <c r="B1308" t="s">
        <v>101</v>
      </c>
      <c r="C1308" t="s">
        <v>1521</v>
      </c>
      <c r="E1308" t="s">
        <v>1261</v>
      </c>
      <c r="F1308" t="s">
        <v>1378</v>
      </c>
      <c r="G1308" s="158">
        <v>1010</v>
      </c>
      <c r="H1308" t="s">
        <v>2066</v>
      </c>
      <c r="I1308">
        <v>1</v>
      </c>
    </row>
    <row r="1309" spans="2:9">
      <c r="B1309" t="s">
        <v>95</v>
      </c>
      <c r="C1309" t="s">
        <v>1522</v>
      </c>
      <c r="E1309" t="s">
        <v>1261</v>
      </c>
      <c r="F1309" t="s">
        <v>1378</v>
      </c>
      <c r="G1309" s="158">
        <v>1080</v>
      </c>
      <c r="H1309" t="s">
        <v>2067</v>
      </c>
      <c r="I1309">
        <v>1</v>
      </c>
    </row>
    <row r="1310" spans="2:9">
      <c r="B1310" t="s">
        <v>103</v>
      </c>
      <c r="C1310" t="s">
        <v>1522</v>
      </c>
      <c r="E1310" t="s">
        <v>1261</v>
      </c>
      <c r="F1310" t="s">
        <v>1378</v>
      </c>
      <c r="G1310" s="158">
        <v>1100</v>
      </c>
      <c r="H1310" t="s">
        <v>2068</v>
      </c>
      <c r="I1310">
        <v>1</v>
      </c>
    </row>
    <row r="1311" spans="2:9">
      <c r="B1311" t="s">
        <v>104</v>
      </c>
      <c r="C1311" t="s">
        <v>1522</v>
      </c>
      <c r="E1311" t="s">
        <v>1261</v>
      </c>
      <c r="F1311" t="s">
        <v>1378</v>
      </c>
      <c r="G1311" s="158">
        <v>1120</v>
      </c>
      <c r="H1311" t="s">
        <v>2069</v>
      </c>
      <c r="I1311">
        <v>1</v>
      </c>
    </row>
    <row r="1312" spans="2:9">
      <c r="B1312" t="s">
        <v>105</v>
      </c>
      <c r="C1312" t="s">
        <v>1522</v>
      </c>
      <c r="E1312" t="s">
        <v>1261</v>
      </c>
      <c r="F1312" t="s">
        <v>1378</v>
      </c>
      <c r="G1312" s="158">
        <v>1420</v>
      </c>
      <c r="H1312" t="s">
        <v>2070</v>
      </c>
      <c r="I1312">
        <v>1</v>
      </c>
    </row>
    <row r="1313" spans="2:9">
      <c r="B1313" t="s">
        <v>106</v>
      </c>
      <c r="C1313" t="s">
        <v>1522</v>
      </c>
      <c r="E1313" t="s">
        <v>1261</v>
      </c>
      <c r="F1313" t="s">
        <v>1378</v>
      </c>
      <c r="G1313" s="158">
        <v>1430</v>
      </c>
      <c r="H1313" t="s">
        <v>2071</v>
      </c>
      <c r="I1313">
        <v>1</v>
      </c>
    </row>
    <row r="1314" spans="2:9">
      <c r="B1314" t="s">
        <v>114</v>
      </c>
      <c r="C1314" t="s">
        <v>1522</v>
      </c>
      <c r="E1314" t="s">
        <v>1261</v>
      </c>
      <c r="F1314" t="s">
        <v>1378</v>
      </c>
      <c r="G1314" s="158">
        <v>1801</v>
      </c>
      <c r="H1314" t="s">
        <v>2072</v>
      </c>
      <c r="I1314">
        <v>1</v>
      </c>
    </row>
    <row r="1315" spans="2:9">
      <c r="B1315" t="s">
        <v>92</v>
      </c>
      <c r="C1315" t="s">
        <v>1522</v>
      </c>
      <c r="E1315" t="s">
        <v>1261</v>
      </c>
      <c r="F1315" t="s">
        <v>1378</v>
      </c>
      <c r="G1315" s="158">
        <v>2200</v>
      </c>
      <c r="H1315" t="s">
        <v>2073</v>
      </c>
      <c r="I1315">
        <v>1</v>
      </c>
    </row>
    <row r="1316" spans="2:9">
      <c r="B1316" t="s">
        <v>95</v>
      </c>
      <c r="C1316" t="s">
        <v>1522</v>
      </c>
      <c r="E1316" t="s">
        <v>1261</v>
      </c>
      <c r="F1316" t="s">
        <v>1378</v>
      </c>
      <c r="G1316" s="158">
        <v>2350</v>
      </c>
      <c r="H1316" t="s">
        <v>2074</v>
      </c>
      <c r="I1316">
        <v>1</v>
      </c>
    </row>
    <row r="1317" spans="2:9">
      <c r="B1317" t="s">
        <v>96</v>
      </c>
      <c r="C1317" t="s">
        <v>1522</v>
      </c>
      <c r="E1317" t="s">
        <v>1261</v>
      </c>
      <c r="F1317" t="s">
        <v>1378</v>
      </c>
      <c r="G1317" s="158">
        <v>2420</v>
      </c>
      <c r="H1317" t="s">
        <v>2075</v>
      </c>
      <c r="I1317">
        <v>1</v>
      </c>
    </row>
    <row r="1318" spans="2:9">
      <c r="B1318" t="s">
        <v>97</v>
      </c>
      <c r="C1318" t="s">
        <v>1522</v>
      </c>
      <c r="E1318" t="s">
        <v>1261</v>
      </c>
      <c r="F1318" t="s">
        <v>1378</v>
      </c>
      <c r="G1318" s="158">
        <v>2450</v>
      </c>
      <c r="H1318" t="s">
        <v>2076</v>
      </c>
      <c r="I1318">
        <v>1</v>
      </c>
    </row>
    <row r="1319" spans="2:9">
      <c r="B1319" t="s">
        <v>885</v>
      </c>
      <c r="C1319" t="s">
        <v>1522</v>
      </c>
      <c r="E1319" t="s">
        <v>1586</v>
      </c>
      <c r="F1319" t="s">
        <v>915</v>
      </c>
      <c r="G1319" s="158">
        <v>1010</v>
      </c>
      <c r="H1319" t="s">
        <v>2077</v>
      </c>
      <c r="I1319">
        <v>1</v>
      </c>
    </row>
    <row r="1320" spans="2:9">
      <c r="B1320" t="s">
        <v>885</v>
      </c>
      <c r="C1320" t="s">
        <v>1522</v>
      </c>
      <c r="E1320" t="s">
        <v>463</v>
      </c>
      <c r="F1320" t="s">
        <v>915</v>
      </c>
      <c r="G1320" s="158">
        <v>1020</v>
      </c>
      <c r="H1320" t="s">
        <v>2078</v>
      </c>
      <c r="I1320">
        <v>1</v>
      </c>
    </row>
    <row r="1321" spans="2:9">
      <c r="B1321" t="s">
        <v>885</v>
      </c>
      <c r="C1321" t="s">
        <v>1522</v>
      </c>
      <c r="E1321" t="s">
        <v>463</v>
      </c>
      <c r="F1321" t="s">
        <v>915</v>
      </c>
      <c r="G1321" s="158">
        <v>1030</v>
      </c>
      <c r="H1321" t="s">
        <v>2079</v>
      </c>
      <c r="I1321">
        <v>1</v>
      </c>
    </row>
    <row r="1322" spans="2:9">
      <c r="B1322" t="s">
        <v>885</v>
      </c>
      <c r="C1322" t="s">
        <v>1522</v>
      </c>
      <c r="E1322" t="s">
        <v>463</v>
      </c>
      <c r="F1322" t="s">
        <v>915</v>
      </c>
      <c r="G1322" s="158">
        <v>1060</v>
      </c>
      <c r="H1322" t="s">
        <v>2080</v>
      </c>
      <c r="I1322">
        <v>1</v>
      </c>
    </row>
    <row r="1323" spans="2:9">
      <c r="B1323" t="s">
        <v>885</v>
      </c>
      <c r="C1323" t="s">
        <v>1522</v>
      </c>
      <c r="E1323" t="s">
        <v>463</v>
      </c>
      <c r="F1323" t="s">
        <v>915</v>
      </c>
      <c r="G1323" s="158">
        <v>2010</v>
      </c>
      <c r="H1323" t="s">
        <v>2081</v>
      </c>
      <c r="I1323">
        <v>1</v>
      </c>
    </row>
    <row r="1324" spans="2:9">
      <c r="B1324" t="s">
        <v>885</v>
      </c>
      <c r="C1324" t="s">
        <v>1522</v>
      </c>
      <c r="E1324" t="s">
        <v>463</v>
      </c>
      <c r="F1324" t="s">
        <v>915</v>
      </c>
      <c r="G1324" s="158">
        <v>2020</v>
      </c>
      <c r="H1324" t="s">
        <v>2082</v>
      </c>
      <c r="I1324">
        <v>1</v>
      </c>
    </row>
    <row r="1325" spans="2:9">
      <c r="B1325" t="s">
        <v>885</v>
      </c>
      <c r="C1325" t="s">
        <v>1522</v>
      </c>
      <c r="E1325" t="s">
        <v>463</v>
      </c>
      <c r="F1325" t="s">
        <v>915</v>
      </c>
      <c r="G1325" s="158">
        <v>2030</v>
      </c>
      <c r="H1325" t="s">
        <v>2083</v>
      </c>
      <c r="I1325">
        <v>1</v>
      </c>
    </row>
    <row r="1326" spans="2:9">
      <c r="B1326" t="s">
        <v>885</v>
      </c>
      <c r="C1326" t="s">
        <v>1522</v>
      </c>
      <c r="E1326" t="s">
        <v>463</v>
      </c>
      <c r="F1326" t="s">
        <v>915</v>
      </c>
      <c r="G1326" s="158">
        <v>2040</v>
      </c>
      <c r="H1326" t="s">
        <v>2084</v>
      </c>
      <c r="I1326">
        <v>1</v>
      </c>
    </row>
    <row r="1327" spans="2:9">
      <c r="C1327" t="s">
        <v>1522</v>
      </c>
      <c r="D1327" t="s">
        <v>540</v>
      </c>
      <c r="E1327" t="s">
        <v>739</v>
      </c>
      <c r="F1327" t="s">
        <v>496</v>
      </c>
      <c r="G1327" s="158" t="s">
        <v>740</v>
      </c>
      <c r="H1327" t="s">
        <v>2085</v>
      </c>
      <c r="I1327">
        <v>1</v>
      </c>
    </row>
    <row r="1328" spans="2:9">
      <c r="B1328" t="s">
        <v>92</v>
      </c>
      <c r="C1328" t="s">
        <v>1522</v>
      </c>
      <c r="E1328" t="s">
        <v>1195</v>
      </c>
      <c r="F1328" t="s">
        <v>441</v>
      </c>
      <c r="G1328" s="158" t="s">
        <v>442</v>
      </c>
      <c r="H1328" t="s">
        <v>2086</v>
      </c>
      <c r="I1328">
        <v>1</v>
      </c>
    </row>
    <row r="1329" spans="2:9">
      <c r="C1329" t="s">
        <v>1522</v>
      </c>
      <c r="E1329" t="s">
        <v>1526</v>
      </c>
      <c r="F1329" t="s">
        <v>1535</v>
      </c>
      <c r="G1329" s="158">
        <v>2200</v>
      </c>
      <c r="H1329" t="s">
        <v>2087</v>
      </c>
      <c r="I1329">
        <v>1</v>
      </c>
    </row>
    <row r="1330" spans="2:9">
      <c r="B1330" t="s">
        <v>573</v>
      </c>
      <c r="C1330" t="s">
        <v>1522</v>
      </c>
      <c r="E1330" t="s">
        <v>1586</v>
      </c>
      <c r="F1330" t="s">
        <v>1179</v>
      </c>
      <c r="G1330" s="158">
        <v>1130</v>
      </c>
      <c r="H1330" t="s">
        <v>2088</v>
      </c>
      <c r="I1330">
        <v>1</v>
      </c>
    </row>
    <row r="1331" spans="2:9">
      <c r="B1331" t="s">
        <v>19</v>
      </c>
      <c r="C1331" t="s">
        <v>1522</v>
      </c>
      <c r="E1331" t="s">
        <v>1586</v>
      </c>
      <c r="F1331" t="s">
        <v>1179</v>
      </c>
      <c r="G1331" s="158">
        <v>1140</v>
      </c>
      <c r="H1331" t="s">
        <v>2089</v>
      </c>
      <c r="I1331">
        <v>1</v>
      </c>
    </row>
    <row r="1332" spans="2:9">
      <c r="B1332" t="s">
        <v>19</v>
      </c>
      <c r="C1332" t="s">
        <v>1522</v>
      </c>
      <c r="E1332" t="s">
        <v>1586</v>
      </c>
      <c r="F1332" t="s">
        <v>1179</v>
      </c>
      <c r="G1332" s="158">
        <v>1240</v>
      </c>
      <c r="H1332" t="s">
        <v>2090</v>
      </c>
      <c r="I1332">
        <v>1</v>
      </c>
    </row>
    <row r="1333" spans="2:9">
      <c r="B1333" t="s">
        <v>575</v>
      </c>
      <c r="C1333" t="s">
        <v>1522</v>
      </c>
      <c r="E1333" t="s">
        <v>1262</v>
      </c>
      <c r="F1333" t="s">
        <v>401</v>
      </c>
      <c r="G1333" s="158" t="s">
        <v>1528</v>
      </c>
      <c r="H1333" t="s">
        <v>2091</v>
      </c>
      <c r="I1333">
        <v>1</v>
      </c>
    </row>
    <row r="1334" spans="2:9">
      <c r="B1334" t="s">
        <v>571</v>
      </c>
      <c r="C1334" t="s">
        <v>1522</v>
      </c>
      <c r="E1334" t="s">
        <v>1262</v>
      </c>
      <c r="F1334" t="s">
        <v>401</v>
      </c>
      <c r="G1334" s="158" t="s">
        <v>440</v>
      </c>
      <c r="H1334" t="s">
        <v>2092</v>
      </c>
      <c r="I1334">
        <v>1</v>
      </c>
    </row>
    <row r="1335" spans="2:9">
      <c r="B1335" t="s">
        <v>574</v>
      </c>
      <c r="C1335" t="s">
        <v>1522</v>
      </c>
      <c r="E1335" t="s">
        <v>1262</v>
      </c>
      <c r="F1335" t="s">
        <v>401</v>
      </c>
      <c r="G1335" s="158">
        <v>1630</v>
      </c>
      <c r="H1335" t="s">
        <v>2093</v>
      </c>
      <c r="I1335">
        <v>1</v>
      </c>
    </row>
    <row r="1336" spans="2:9">
      <c r="B1336" t="s">
        <v>572</v>
      </c>
      <c r="C1336" t="s">
        <v>1522</v>
      </c>
      <c r="E1336" t="s">
        <v>1262</v>
      </c>
      <c r="F1336" t="s">
        <v>401</v>
      </c>
      <c r="G1336" s="158" t="s">
        <v>908</v>
      </c>
      <c r="H1336" t="s">
        <v>2094</v>
      </c>
      <c r="I1336">
        <v>1</v>
      </c>
    </row>
    <row r="1337" spans="2:9">
      <c r="B1337" t="s">
        <v>116</v>
      </c>
      <c r="C1337" t="s">
        <v>1522</v>
      </c>
      <c r="E1337" t="s">
        <v>739</v>
      </c>
      <c r="F1337" t="s">
        <v>735</v>
      </c>
      <c r="G1337" s="158">
        <v>1105</v>
      </c>
      <c r="H1337" t="s">
        <v>2095</v>
      </c>
      <c r="I1337">
        <v>1</v>
      </c>
    </row>
    <row r="1338" spans="2:9">
      <c r="B1338" t="s">
        <v>569</v>
      </c>
      <c r="C1338" t="s">
        <v>1522</v>
      </c>
      <c r="E1338" t="s">
        <v>739</v>
      </c>
      <c r="F1338" t="s">
        <v>735</v>
      </c>
      <c r="G1338" s="158">
        <v>1110</v>
      </c>
      <c r="H1338" t="s">
        <v>2096</v>
      </c>
      <c r="I1338">
        <v>1</v>
      </c>
    </row>
    <row r="1339" spans="2:9">
      <c r="B1339" t="s">
        <v>569</v>
      </c>
      <c r="C1339" t="s">
        <v>1522</v>
      </c>
      <c r="E1339" t="s">
        <v>739</v>
      </c>
      <c r="F1339" t="s">
        <v>735</v>
      </c>
      <c r="G1339" s="158">
        <v>1130</v>
      </c>
      <c r="H1339" t="s">
        <v>2097</v>
      </c>
      <c r="I1339">
        <v>1</v>
      </c>
    </row>
    <row r="1340" spans="2:9">
      <c r="B1340" t="s">
        <v>109</v>
      </c>
      <c r="C1340" t="s">
        <v>1522</v>
      </c>
      <c r="E1340" t="s">
        <v>463</v>
      </c>
      <c r="F1340" t="s">
        <v>475</v>
      </c>
      <c r="G1340" s="158">
        <v>1110</v>
      </c>
      <c r="H1340" t="s">
        <v>2098</v>
      </c>
      <c r="I1340">
        <v>1</v>
      </c>
    </row>
    <row r="1341" spans="2:9">
      <c r="B1341" t="s">
        <v>110</v>
      </c>
      <c r="C1341" t="s">
        <v>1522</v>
      </c>
      <c r="D1341" t="s">
        <v>540</v>
      </c>
      <c r="E1341" t="s">
        <v>463</v>
      </c>
      <c r="F1341" t="s">
        <v>475</v>
      </c>
      <c r="G1341" s="158">
        <v>2520</v>
      </c>
      <c r="H1341" t="s">
        <v>2099</v>
      </c>
      <c r="I1341">
        <v>1</v>
      </c>
    </row>
    <row r="1342" spans="2:9">
      <c r="C1342" t="s">
        <v>1521</v>
      </c>
      <c r="D1342" t="s">
        <v>1332</v>
      </c>
      <c r="E1342" t="s">
        <v>739</v>
      </c>
      <c r="F1342" t="s">
        <v>741</v>
      </c>
      <c r="G1342" s="158">
        <v>1110</v>
      </c>
      <c r="H1342" t="s">
        <v>2100</v>
      </c>
      <c r="I1342">
        <v>1</v>
      </c>
    </row>
    <row r="1343" spans="2:9">
      <c r="C1343" t="s">
        <v>1521</v>
      </c>
      <c r="D1343" t="s">
        <v>1332</v>
      </c>
      <c r="E1343" t="s">
        <v>739</v>
      </c>
      <c r="F1343" t="s">
        <v>741</v>
      </c>
      <c r="G1343" s="158">
        <v>1120</v>
      </c>
      <c r="H1343" t="s">
        <v>2101</v>
      </c>
      <c r="I1343">
        <v>1</v>
      </c>
    </row>
    <row r="1344" spans="2:9">
      <c r="C1344" t="s">
        <v>1522</v>
      </c>
      <c r="D1344" t="s">
        <v>1332</v>
      </c>
      <c r="E1344" t="s">
        <v>1586</v>
      </c>
      <c r="F1344" t="s">
        <v>1541</v>
      </c>
      <c r="G1344" s="158">
        <v>1010</v>
      </c>
      <c r="H1344" t="s">
        <v>2102</v>
      </c>
      <c r="I1344">
        <v>1</v>
      </c>
    </row>
    <row r="1345" spans="2:9">
      <c r="C1345" t="s">
        <v>1521</v>
      </c>
      <c r="E1345" t="s">
        <v>1262</v>
      </c>
      <c r="F1345" t="s">
        <v>1541</v>
      </c>
      <c r="G1345" s="158" t="s">
        <v>713</v>
      </c>
      <c r="H1345" t="s">
        <v>2103</v>
      </c>
      <c r="I1345">
        <v>1</v>
      </c>
    </row>
    <row r="1346" spans="2:9">
      <c r="C1346" t="s">
        <v>1521</v>
      </c>
      <c r="D1346" t="s">
        <v>1332</v>
      </c>
      <c r="E1346" t="s">
        <v>551</v>
      </c>
      <c r="F1346" t="s">
        <v>1541</v>
      </c>
      <c r="G1346" s="158">
        <v>1110</v>
      </c>
      <c r="H1346" t="s">
        <v>2104</v>
      </c>
      <c r="I1346">
        <v>1</v>
      </c>
    </row>
    <row r="1347" spans="2:9">
      <c r="C1347" t="s">
        <v>1521</v>
      </c>
      <c r="E1347" t="s">
        <v>551</v>
      </c>
      <c r="F1347" t="s">
        <v>1541</v>
      </c>
      <c r="G1347" s="158">
        <v>1115</v>
      </c>
      <c r="H1347" t="s">
        <v>2105</v>
      </c>
      <c r="I1347">
        <v>1</v>
      </c>
    </row>
    <row r="1348" spans="2:9">
      <c r="C1348" t="s">
        <v>1521</v>
      </c>
      <c r="D1348" t="s">
        <v>1332</v>
      </c>
      <c r="E1348" t="s">
        <v>551</v>
      </c>
      <c r="F1348" t="s">
        <v>1541</v>
      </c>
      <c r="G1348" s="158">
        <v>1120</v>
      </c>
      <c r="H1348" t="s">
        <v>2106</v>
      </c>
      <c r="I1348">
        <v>1</v>
      </c>
    </row>
    <row r="1349" spans="2:9">
      <c r="C1349" t="s">
        <v>1521</v>
      </c>
      <c r="E1349" t="s">
        <v>1262</v>
      </c>
      <c r="F1349" t="s">
        <v>1541</v>
      </c>
      <c r="G1349" s="158" t="s">
        <v>1433</v>
      </c>
      <c r="H1349" t="s">
        <v>2107</v>
      </c>
      <c r="I1349">
        <v>1</v>
      </c>
    </row>
    <row r="1350" spans="2:9">
      <c r="C1350" t="s">
        <v>1522</v>
      </c>
      <c r="D1350" t="s">
        <v>1332</v>
      </c>
      <c r="E1350" t="s">
        <v>797</v>
      </c>
      <c r="F1350" t="s">
        <v>1541</v>
      </c>
      <c r="G1350" s="158">
        <v>1210</v>
      </c>
      <c r="H1350" t="s">
        <v>2108</v>
      </c>
      <c r="I1350">
        <v>1</v>
      </c>
    </row>
    <row r="1351" spans="2:9">
      <c r="C1351" t="s">
        <v>1521</v>
      </c>
      <c r="E1351" t="s">
        <v>797</v>
      </c>
      <c r="F1351" t="s">
        <v>1541</v>
      </c>
      <c r="G1351" s="158">
        <v>1215</v>
      </c>
      <c r="H1351" t="s">
        <v>2109</v>
      </c>
      <c r="I1351">
        <v>1</v>
      </c>
    </row>
    <row r="1352" spans="2:9">
      <c r="C1352" t="s">
        <v>1521</v>
      </c>
      <c r="D1352" t="s">
        <v>1332</v>
      </c>
      <c r="E1352" t="s">
        <v>797</v>
      </c>
      <c r="F1352" t="s">
        <v>1541</v>
      </c>
      <c r="G1352" s="158">
        <v>1220</v>
      </c>
      <c r="H1352" t="s">
        <v>2110</v>
      </c>
      <c r="I1352">
        <v>1</v>
      </c>
    </row>
    <row r="1353" spans="2:9">
      <c r="C1353" t="s">
        <v>1521</v>
      </c>
      <c r="E1353" t="s">
        <v>797</v>
      </c>
      <c r="F1353" t="s">
        <v>1541</v>
      </c>
      <c r="G1353" s="158">
        <v>1225</v>
      </c>
      <c r="H1353" t="s">
        <v>2111</v>
      </c>
      <c r="I1353">
        <v>1</v>
      </c>
    </row>
    <row r="1354" spans="2:9">
      <c r="C1354" t="s">
        <v>1522</v>
      </c>
      <c r="E1354" t="s">
        <v>1262</v>
      </c>
      <c r="F1354" t="s">
        <v>1541</v>
      </c>
      <c r="G1354" s="158">
        <v>2310</v>
      </c>
      <c r="H1354" t="s">
        <v>2112</v>
      </c>
      <c r="I1354">
        <v>1</v>
      </c>
    </row>
    <row r="1355" spans="2:9">
      <c r="C1355" t="s">
        <v>1522</v>
      </c>
      <c r="E1355" t="s">
        <v>1262</v>
      </c>
      <c r="F1355" t="s">
        <v>1541</v>
      </c>
      <c r="G1355" s="158">
        <v>2320</v>
      </c>
      <c r="H1355" t="s">
        <v>2113</v>
      </c>
      <c r="I1355">
        <v>1</v>
      </c>
    </row>
    <row r="1356" spans="2:9">
      <c r="B1356" t="s">
        <v>111</v>
      </c>
      <c r="C1356" t="s">
        <v>1522</v>
      </c>
      <c r="D1356" t="s">
        <v>1329</v>
      </c>
      <c r="E1356" t="s">
        <v>739</v>
      </c>
      <c r="F1356" t="s">
        <v>497</v>
      </c>
      <c r="G1356" s="158">
        <v>1500</v>
      </c>
      <c r="H1356" t="s">
        <v>2114</v>
      </c>
      <c r="I1356">
        <v>1</v>
      </c>
    </row>
    <row r="1357" spans="2:9">
      <c r="C1357" t="s">
        <v>1522</v>
      </c>
      <c r="E1357" t="s">
        <v>797</v>
      </c>
      <c r="F1357" t="s">
        <v>1611</v>
      </c>
      <c r="G1357" s="158">
        <v>1010</v>
      </c>
      <c r="H1357" t="s">
        <v>2115</v>
      </c>
      <c r="I1357">
        <v>1</v>
      </c>
    </row>
    <row r="1358" spans="2:9">
      <c r="B1358" t="s">
        <v>101</v>
      </c>
      <c r="C1358" t="s">
        <v>1521</v>
      </c>
      <c r="D1358" t="s">
        <v>1331</v>
      </c>
      <c r="E1358" t="s">
        <v>463</v>
      </c>
      <c r="F1358" t="s">
        <v>447</v>
      </c>
      <c r="G1358" s="158" t="s">
        <v>428</v>
      </c>
      <c r="H1358" t="s">
        <v>2116</v>
      </c>
      <c r="I1358">
        <v>1</v>
      </c>
    </row>
    <row r="1359" spans="2:9">
      <c r="B1359" t="s">
        <v>119</v>
      </c>
      <c r="C1359" t="s">
        <v>1522</v>
      </c>
      <c r="E1359" t="s">
        <v>1261</v>
      </c>
      <c r="F1359" t="s">
        <v>447</v>
      </c>
      <c r="G1359" s="158">
        <v>1050</v>
      </c>
      <c r="H1359" t="s">
        <v>2117</v>
      </c>
      <c r="I1359">
        <v>1</v>
      </c>
    </row>
    <row r="1360" spans="2:9">
      <c r="B1360" t="s">
        <v>116</v>
      </c>
      <c r="C1360" t="s">
        <v>1522</v>
      </c>
      <c r="E1360" t="s">
        <v>1261</v>
      </c>
      <c r="F1360" t="s">
        <v>447</v>
      </c>
      <c r="G1360" s="158">
        <v>1121</v>
      </c>
      <c r="H1360" t="s">
        <v>2118</v>
      </c>
      <c r="I1360">
        <v>1</v>
      </c>
    </row>
    <row r="1361" spans="2:9">
      <c r="B1361" t="s">
        <v>116</v>
      </c>
      <c r="C1361" t="s">
        <v>1522</v>
      </c>
      <c r="E1361" t="s">
        <v>1261</v>
      </c>
      <c r="F1361" t="s">
        <v>447</v>
      </c>
      <c r="G1361" s="158">
        <v>1122</v>
      </c>
      <c r="H1361" t="s">
        <v>2119</v>
      </c>
      <c r="I1361">
        <v>1</v>
      </c>
    </row>
    <row r="1362" spans="2:9">
      <c r="B1362" t="s">
        <v>1592</v>
      </c>
      <c r="C1362" t="s">
        <v>1522</v>
      </c>
      <c r="E1362" t="s">
        <v>1261</v>
      </c>
      <c r="F1362" t="s">
        <v>447</v>
      </c>
      <c r="G1362" s="158">
        <v>1140</v>
      </c>
      <c r="H1362" t="s">
        <v>2120</v>
      </c>
      <c r="I1362">
        <v>1</v>
      </c>
    </row>
    <row r="1363" spans="2:9">
      <c r="B1363" t="s">
        <v>101</v>
      </c>
      <c r="C1363" t="s">
        <v>1521</v>
      </c>
      <c r="D1363" t="s">
        <v>1331</v>
      </c>
      <c r="E1363" t="s">
        <v>1195</v>
      </c>
      <c r="F1363" t="s">
        <v>447</v>
      </c>
      <c r="G1363" s="158">
        <v>1200</v>
      </c>
      <c r="H1363" t="s">
        <v>2121</v>
      </c>
      <c r="I1363">
        <v>1</v>
      </c>
    </row>
    <row r="1364" spans="2:9">
      <c r="B1364" t="s">
        <v>114</v>
      </c>
      <c r="C1364" t="s">
        <v>1522</v>
      </c>
      <c r="E1364" t="s">
        <v>1261</v>
      </c>
      <c r="F1364" t="s">
        <v>447</v>
      </c>
      <c r="G1364" s="158">
        <v>1401</v>
      </c>
      <c r="H1364" t="s">
        <v>2122</v>
      </c>
      <c r="I1364">
        <v>1</v>
      </c>
    </row>
    <row r="1365" spans="2:9">
      <c r="B1365">
        <v>11.023</v>
      </c>
      <c r="C1365" s="151" t="s">
        <v>1522</v>
      </c>
      <c r="E1365" t="s">
        <v>1261</v>
      </c>
      <c r="F1365" t="s">
        <v>447</v>
      </c>
      <c r="G1365" s="158">
        <v>1801</v>
      </c>
      <c r="H1365" s="151" t="s">
        <v>2494</v>
      </c>
      <c r="I1365">
        <v>1</v>
      </c>
    </row>
    <row r="1366" spans="2:9">
      <c r="B1366" t="s">
        <v>105</v>
      </c>
      <c r="C1366" t="s">
        <v>1522</v>
      </c>
      <c r="E1366" t="s">
        <v>1195</v>
      </c>
      <c r="F1366" t="s">
        <v>447</v>
      </c>
      <c r="G1366" s="158" t="s">
        <v>448</v>
      </c>
      <c r="H1366" t="s">
        <v>2123</v>
      </c>
      <c r="I1366">
        <v>1</v>
      </c>
    </row>
    <row r="1367" spans="2:9">
      <c r="B1367" t="s">
        <v>562</v>
      </c>
      <c r="C1367" t="s">
        <v>1522</v>
      </c>
      <c r="D1367" t="s">
        <v>1329</v>
      </c>
      <c r="E1367" t="s">
        <v>739</v>
      </c>
      <c r="F1367" t="s">
        <v>449</v>
      </c>
      <c r="G1367" s="158">
        <v>1010</v>
      </c>
      <c r="H1367" t="s">
        <v>2124</v>
      </c>
      <c r="I1367">
        <v>1</v>
      </c>
    </row>
    <row r="1368" spans="2:9">
      <c r="B1368" t="s">
        <v>562</v>
      </c>
      <c r="C1368" t="s">
        <v>1522</v>
      </c>
      <c r="E1368" t="s">
        <v>463</v>
      </c>
      <c r="F1368" t="s">
        <v>449</v>
      </c>
      <c r="G1368" s="158">
        <v>1300</v>
      </c>
      <c r="H1368" t="s">
        <v>2125</v>
      </c>
      <c r="I1368">
        <v>1</v>
      </c>
    </row>
    <row r="1369" spans="2:9">
      <c r="B1369" t="s">
        <v>562</v>
      </c>
      <c r="C1369" t="s">
        <v>1522</v>
      </c>
      <c r="E1369" t="s">
        <v>463</v>
      </c>
      <c r="F1369" t="s">
        <v>449</v>
      </c>
      <c r="G1369" s="158">
        <v>1330</v>
      </c>
      <c r="H1369" t="s">
        <v>2126</v>
      </c>
      <c r="I1369">
        <v>1</v>
      </c>
    </row>
    <row r="1370" spans="2:9">
      <c r="B1370" t="s">
        <v>562</v>
      </c>
      <c r="C1370" t="s">
        <v>1522</v>
      </c>
      <c r="E1370" t="s">
        <v>463</v>
      </c>
      <c r="F1370" t="s">
        <v>449</v>
      </c>
      <c r="G1370" s="158">
        <v>1340</v>
      </c>
      <c r="H1370" t="s">
        <v>2127</v>
      </c>
      <c r="I1370">
        <v>1</v>
      </c>
    </row>
    <row r="1371" spans="2:9">
      <c r="B1371" t="s">
        <v>562</v>
      </c>
      <c r="C1371" t="s">
        <v>1522</v>
      </c>
      <c r="E1371" t="s">
        <v>463</v>
      </c>
      <c r="F1371" t="s">
        <v>449</v>
      </c>
      <c r="G1371" s="158">
        <v>1350</v>
      </c>
      <c r="H1371" t="s">
        <v>2128</v>
      </c>
      <c r="I1371">
        <v>1</v>
      </c>
    </row>
    <row r="1372" spans="2:9">
      <c r="B1372" t="s">
        <v>562</v>
      </c>
      <c r="C1372" t="s">
        <v>1522</v>
      </c>
      <c r="E1372" t="s">
        <v>1526</v>
      </c>
      <c r="F1372" t="s">
        <v>449</v>
      </c>
      <c r="G1372" s="158">
        <v>2110</v>
      </c>
      <c r="H1372" t="s">
        <v>2129</v>
      </c>
      <c r="I1372">
        <v>1</v>
      </c>
    </row>
    <row r="1373" spans="2:9">
      <c r="B1373" t="s">
        <v>562</v>
      </c>
      <c r="C1373" t="s">
        <v>1522</v>
      </c>
      <c r="E1373" t="s">
        <v>1262</v>
      </c>
      <c r="F1373" t="s">
        <v>449</v>
      </c>
      <c r="G1373" s="158" t="s">
        <v>1544</v>
      </c>
      <c r="H1373" t="s">
        <v>2130</v>
      </c>
      <c r="I1373">
        <v>1</v>
      </c>
    </row>
    <row r="1374" spans="2:9">
      <c r="B1374" t="s">
        <v>562</v>
      </c>
      <c r="C1374" t="s">
        <v>1522</v>
      </c>
      <c r="E1374" t="s">
        <v>1526</v>
      </c>
      <c r="F1374" t="s">
        <v>449</v>
      </c>
      <c r="G1374" s="158" t="s">
        <v>1545</v>
      </c>
      <c r="H1374" t="s">
        <v>2131</v>
      </c>
      <c r="I1374">
        <v>1</v>
      </c>
    </row>
    <row r="1375" spans="2:9">
      <c r="B1375" t="s">
        <v>562</v>
      </c>
      <c r="C1375" t="s">
        <v>1522</v>
      </c>
      <c r="E1375" t="s">
        <v>1526</v>
      </c>
      <c r="F1375" t="s">
        <v>449</v>
      </c>
      <c r="G1375" s="158" t="s">
        <v>1546</v>
      </c>
      <c r="H1375" t="s">
        <v>2132</v>
      </c>
      <c r="I1375">
        <v>1</v>
      </c>
    </row>
    <row r="1376" spans="2:9">
      <c r="B1376" t="s">
        <v>562</v>
      </c>
      <c r="C1376" t="s">
        <v>1522</v>
      </c>
      <c r="E1376" t="s">
        <v>463</v>
      </c>
      <c r="F1376" t="s">
        <v>449</v>
      </c>
      <c r="G1376" s="158">
        <v>2540</v>
      </c>
      <c r="H1376" t="s">
        <v>2133</v>
      </c>
      <c r="I1376">
        <v>1</v>
      </c>
    </row>
    <row r="1377" spans="2:9">
      <c r="B1377" t="s">
        <v>564</v>
      </c>
      <c r="C1377" t="s">
        <v>1522</v>
      </c>
      <c r="E1377" t="s">
        <v>739</v>
      </c>
      <c r="F1377" t="s">
        <v>1658</v>
      </c>
      <c r="G1377" s="158">
        <v>1150</v>
      </c>
      <c r="H1377" t="s">
        <v>2134</v>
      </c>
      <c r="I1377">
        <v>1</v>
      </c>
    </row>
    <row r="1378" spans="2:9">
      <c r="B1378" t="s">
        <v>564</v>
      </c>
      <c r="C1378" t="s">
        <v>1522</v>
      </c>
      <c r="E1378" t="s">
        <v>739</v>
      </c>
      <c r="F1378" t="s">
        <v>1658</v>
      </c>
      <c r="G1378" s="158">
        <v>1210</v>
      </c>
      <c r="H1378" t="s">
        <v>2135</v>
      </c>
      <c r="I1378">
        <v>1</v>
      </c>
    </row>
    <row r="1379" spans="2:9">
      <c r="C1379" t="s">
        <v>1522</v>
      </c>
      <c r="E1379" t="s">
        <v>797</v>
      </c>
      <c r="F1379" t="s">
        <v>284</v>
      </c>
      <c r="G1379" s="158">
        <v>1000</v>
      </c>
      <c r="H1379" t="s">
        <v>2136</v>
      </c>
      <c r="I1379">
        <v>1</v>
      </c>
    </row>
    <row r="1380" spans="2:9">
      <c r="B1380" t="s">
        <v>92</v>
      </c>
      <c r="C1380" t="s">
        <v>1522</v>
      </c>
      <c r="D1380" t="s">
        <v>534</v>
      </c>
      <c r="E1380" t="s">
        <v>1262</v>
      </c>
      <c r="F1380" t="s">
        <v>1547</v>
      </c>
      <c r="G1380" s="158" t="s">
        <v>1528</v>
      </c>
      <c r="H1380" t="s">
        <v>2137</v>
      </c>
      <c r="I1380">
        <v>1</v>
      </c>
    </row>
    <row r="1381" spans="2:9">
      <c r="C1381" t="s">
        <v>1522</v>
      </c>
      <c r="D1381" t="s">
        <v>534</v>
      </c>
      <c r="E1381" t="s">
        <v>1586</v>
      </c>
      <c r="F1381" t="s">
        <v>1547</v>
      </c>
      <c r="G1381" s="158">
        <v>1020</v>
      </c>
      <c r="H1381" t="s">
        <v>2138</v>
      </c>
      <c r="I1381">
        <v>1</v>
      </c>
    </row>
    <row r="1382" spans="2:9">
      <c r="C1382" t="s">
        <v>1522</v>
      </c>
      <c r="D1382" t="s">
        <v>446</v>
      </c>
      <c r="E1382" t="s">
        <v>1586</v>
      </c>
      <c r="F1382" t="s">
        <v>1547</v>
      </c>
      <c r="G1382" s="158">
        <v>1050</v>
      </c>
      <c r="H1382" t="s">
        <v>2139</v>
      </c>
      <c r="I1382">
        <v>1</v>
      </c>
    </row>
    <row r="1383" spans="2:9">
      <c r="C1383" t="s">
        <v>1522</v>
      </c>
      <c r="E1383" t="s">
        <v>1526</v>
      </c>
      <c r="F1383" t="s">
        <v>1547</v>
      </c>
      <c r="G1383" s="158">
        <v>1500</v>
      </c>
      <c r="H1383" t="s">
        <v>2140</v>
      </c>
      <c r="I1383">
        <v>1</v>
      </c>
    </row>
    <row r="1384" spans="2:9">
      <c r="C1384" t="s">
        <v>1522</v>
      </c>
      <c r="D1384" t="s">
        <v>534</v>
      </c>
      <c r="E1384" t="s">
        <v>739</v>
      </c>
      <c r="F1384" t="s">
        <v>1547</v>
      </c>
      <c r="G1384" s="158">
        <v>2110</v>
      </c>
      <c r="H1384" t="s">
        <v>2141</v>
      </c>
      <c r="I1384">
        <v>1</v>
      </c>
    </row>
    <row r="1385" spans="2:9">
      <c r="B1385" t="s">
        <v>559</v>
      </c>
      <c r="C1385" t="s">
        <v>1522</v>
      </c>
      <c r="E1385" t="s">
        <v>463</v>
      </c>
      <c r="F1385" t="s">
        <v>1547</v>
      </c>
      <c r="G1385" s="158">
        <v>2200</v>
      </c>
      <c r="H1385" t="s">
        <v>2142</v>
      </c>
      <c r="I1385">
        <v>1</v>
      </c>
    </row>
    <row r="1386" spans="2:9">
      <c r="B1386" t="s">
        <v>559</v>
      </c>
      <c r="C1386" t="s">
        <v>1522</v>
      </c>
      <c r="E1386" t="s">
        <v>463</v>
      </c>
      <c r="F1386" t="s">
        <v>1547</v>
      </c>
      <c r="G1386" s="158">
        <v>2205</v>
      </c>
      <c r="H1386" t="s">
        <v>2143</v>
      </c>
      <c r="I1386">
        <v>1</v>
      </c>
    </row>
    <row r="1387" spans="2:9">
      <c r="B1387" t="s">
        <v>559</v>
      </c>
      <c r="C1387" t="s">
        <v>1522</v>
      </c>
      <c r="E1387" t="s">
        <v>739</v>
      </c>
      <c r="F1387" t="s">
        <v>1547</v>
      </c>
      <c r="G1387" s="158">
        <v>2751</v>
      </c>
      <c r="H1387" t="s">
        <v>2144</v>
      </c>
      <c r="I1387">
        <v>1</v>
      </c>
    </row>
    <row r="1388" spans="2:9">
      <c r="B1388" t="s">
        <v>560</v>
      </c>
      <c r="C1388" t="s">
        <v>1522</v>
      </c>
      <c r="E1388" t="s">
        <v>1526</v>
      </c>
      <c r="F1388" t="s">
        <v>1550</v>
      </c>
      <c r="G1388" s="158" t="s">
        <v>1078</v>
      </c>
      <c r="H1388" t="s">
        <v>2145</v>
      </c>
      <c r="I1388">
        <v>1</v>
      </c>
    </row>
    <row r="1389" spans="2:9">
      <c r="B1389" t="s">
        <v>560</v>
      </c>
      <c r="C1389" t="s">
        <v>1522</v>
      </c>
      <c r="E1389" t="s">
        <v>1526</v>
      </c>
      <c r="F1389" t="s">
        <v>1550</v>
      </c>
      <c r="G1389" s="158">
        <v>1110</v>
      </c>
      <c r="H1389" t="s">
        <v>2146</v>
      </c>
      <c r="I1389">
        <v>1</v>
      </c>
    </row>
    <row r="1390" spans="2:9">
      <c r="B1390" t="s">
        <v>560</v>
      </c>
      <c r="C1390" t="s">
        <v>1522</v>
      </c>
      <c r="E1390" t="s">
        <v>1526</v>
      </c>
      <c r="F1390" t="s">
        <v>1550</v>
      </c>
      <c r="G1390" s="158" t="s">
        <v>1080</v>
      </c>
      <c r="H1390" t="s">
        <v>2147</v>
      </c>
      <c r="I1390">
        <v>1</v>
      </c>
    </row>
    <row r="1391" spans="2:9">
      <c r="B1391" t="s">
        <v>560</v>
      </c>
      <c r="C1391" t="s">
        <v>1522</v>
      </c>
      <c r="E1391" t="s">
        <v>1526</v>
      </c>
      <c r="F1391" t="s">
        <v>1550</v>
      </c>
      <c r="G1391" s="158" t="s">
        <v>1081</v>
      </c>
      <c r="H1391" t="s">
        <v>2148</v>
      </c>
      <c r="I1391">
        <v>1</v>
      </c>
    </row>
    <row r="1392" spans="2:9">
      <c r="B1392" t="s">
        <v>567</v>
      </c>
      <c r="C1392" t="s">
        <v>1522</v>
      </c>
      <c r="E1392" t="s">
        <v>1586</v>
      </c>
      <c r="F1392" t="s">
        <v>158</v>
      </c>
      <c r="G1392" s="158" t="s">
        <v>436</v>
      </c>
      <c r="H1392" t="s">
        <v>2149</v>
      </c>
      <c r="I1392">
        <v>1</v>
      </c>
    </row>
    <row r="1393" spans="2:9">
      <c r="B1393" t="s">
        <v>567</v>
      </c>
      <c r="C1393" t="s">
        <v>1522</v>
      </c>
      <c r="E1393" t="s">
        <v>1586</v>
      </c>
      <c r="F1393" t="s">
        <v>158</v>
      </c>
      <c r="G1393" s="158" t="s">
        <v>433</v>
      </c>
      <c r="H1393" t="s">
        <v>2150</v>
      </c>
      <c r="I1393">
        <v>1</v>
      </c>
    </row>
    <row r="1394" spans="2:9">
      <c r="B1394" t="s">
        <v>567</v>
      </c>
      <c r="C1394" t="s">
        <v>1522</v>
      </c>
      <c r="E1394" t="s">
        <v>1586</v>
      </c>
      <c r="F1394" t="s">
        <v>158</v>
      </c>
      <c r="G1394" s="158" t="s">
        <v>434</v>
      </c>
      <c r="H1394" t="s">
        <v>2151</v>
      </c>
      <c r="I1394">
        <v>1</v>
      </c>
    </row>
    <row r="1395" spans="2:9">
      <c r="B1395" t="s">
        <v>567</v>
      </c>
      <c r="C1395" t="s">
        <v>1522</v>
      </c>
      <c r="E1395" t="s">
        <v>1586</v>
      </c>
      <c r="F1395" t="s">
        <v>158</v>
      </c>
      <c r="G1395" s="158" t="s">
        <v>1081</v>
      </c>
      <c r="H1395" t="s">
        <v>2152</v>
      </c>
      <c r="I1395">
        <v>1</v>
      </c>
    </row>
    <row r="1396" spans="2:9">
      <c r="B1396" t="s">
        <v>567</v>
      </c>
      <c r="C1396" t="s">
        <v>1522</v>
      </c>
      <c r="E1396" t="s">
        <v>1586</v>
      </c>
      <c r="F1396" t="s">
        <v>158</v>
      </c>
      <c r="G1396" s="158" t="s">
        <v>1104</v>
      </c>
      <c r="H1396" t="s">
        <v>2153</v>
      </c>
      <c r="I1396">
        <v>1</v>
      </c>
    </row>
    <row r="1397" spans="2:9">
      <c r="B1397" t="s">
        <v>567</v>
      </c>
      <c r="C1397" t="s">
        <v>1522</v>
      </c>
      <c r="E1397" t="s">
        <v>1586</v>
      </c>
      <c r="F1397" t="s">
        <v>158</v>
      </c>
      <c r="G1397" s="158" t="s">
        <v>1263</v>
      </c>
      <c r="H1397" t="s">
        <v>2154</v>
      </c>
      <c r="I1397">
        <v>1</v>
      </c>
    </row>
    <row r="1398" spans="2:9">
      <c r="B1398" t="s">
        <v>119</v>
      </c>
      <c r="C1398" t="s">
        <v>1522</v>
      </c>
      <c r="E1398" t="s">
        <v>1195</v>
      </c>
      <c r="F1398" t="s">
        <v>300</v>
      </c>
      <c r="G1398" s="158" t="s">
        <v>1528</v>
      </c>
      <c r="H1398" t="s">
        <v>2155</v>
      </c>
      <c r="I1398">
        <v>1</v>
      </c>
    </row>
    <row r="1399" spans="2:9">
      <c r="B1399" t="s">
        <v>119</v>
      </c>
      <c r="C1399" t="s">
        <v>1522</v>
      </c>
      <c r="E1399" t="s">
        <v>739</v>
      </c>
      <c r="F1399" t="s">
        <v>300</v>
      </c>
      <c r="G1399" s="158">
        <v>1030</v>
      </c>
      <c r="H1399" t="s">
        <v>2156</v>
      </c>
      <c r="I1399">
        <v>1</v>
      </c>
    </row>
    <row r="1400" spans="2:9">
      <c r="B1400" t="s">
        <v>116</v>
      </c>
      <c r="C1400" t="s">
        <v>1522</v>
      </c>
      <c r="E1400" t="s">
        <v>463</v>
      </c>
      <c r="F1400" t="s">
        <v>300</v>
      </c>
      <c r="G1400" s="158">
        <v>1121</v>
      </c>
      <c r="H1400" t="s">
        <v>2157</v>
      </c>
      <c r="I1400">
        <v>1</v>
      </c>
    </row>
    <row r="1401" spans="2:9">
      <c r="B1401" t="s">
        <v>119</v>
      </c>
      <c r="C1401" t="s">
        <v>1522</v>
      </c>
      <c r="E1401" t="s">
        <v>739</v>
      </c>
      <c r="F1401" t="s">
        <v>300</v>
      </c>
      <c r="G1401" s="158">
        <v>1400</v>
      </c>
      <c r="H1401" t="s">
        <v>2158</v>
      </c>
      <c r="I1401">
        <v>1</v>
      </c>
    </row>
    <row r="1402" spans="2:9">
      <c r="B1402" t="s">
        <v>120</v>
      </c>
      <c r="C1402" t="s">
        <v>1522</v>
      </c>
      <c r="E1402" t="s">
        <v>739</v>
      </c>
      <c r="F1402" t="s">
        <v>300</v>
      </c>
      <c r="G1402" s="158">
        <v>1410</v>
      </c>
      <c r="H1402" t="s">
        <v>2159</v>
      </c>
      <c r="I1402">
        <v>1</v>
      </c>
    </row>
    <row r="1403" spans="2:9">
      <c r="B1403" t="s">
        <v>101</v>
      </c>
      <c r="C1403" t="s">
        <v>1521</v>
      </c>
      <c r="D1403" t="s">
        <v>1331</v>
      </c>
      <c r="E1403" t="s">
        <v>1262</v>
      </c>
      <c r="F1403" t="s">
        <v>1204</v>
      </c>
      <c r="G1403" s="158" t="s">
        <v>1531</v>
      </c>
      <c r="H1403" t="s">
        <v>2160</v>
      </c>
      <c r="I1403">
        <v>1</v>
      </c>
    </row>
    <row r="1404" spans="2:9">
      <c r="B1404" t="s">
        <v>1240</v>
      </c>
      <c r="C1404" t="s">
        <v>1522</v>
      </c>
      <c r="D1404" t="s">
        <v>1331</v>
      </c>
      <c r="E1404" t="s">
        <v>1262</v>
      </c>
      <c r="F1404" t="s">
        <v>1204</v>
      </c>
      <c r="G1404" s="158" t="s">
        <v>1528</v>
      </c>
      <c r="H1404" t="s">
        <v>2161</v>
      </c>
      <c r="I1404">
        <v>1</v>
      </c>
    </row>
    <row r="1405" spans="2:9">
      <c r="C1405" t="s">
        <v>1521</v>
      </c>
      <c r="D1405" t="s">
        <v>1330</v>
      </c>
      <c r="E1405" t="s">
        <v>1526</v>
      </c>
      <c r="F1405" t="s">
        <v>318</v>
      </c>
      <c r="G1405" s="158" t="s">
        <v>1528</v>
      </c>
      <c r="H1405" t="s">
        <v>2162</v>
      </c>
      <c r="I1405">
        <v>1</v>
      </c>
    </row>
    <row r="1406" spans="2:9">
      <c r="C1406" t="s">
        <v>1521</v>
      </c>
      <c r="E1406" t="s">
        <v>1526</v>
      </c>
      <c r="F1406" t="s">
        <v>318</v>
      </c>
      <c r="G1406" s="158">
        <v>1170</v>
      </c>
      <c r="H1406" t="s">
        <v>2163</v>
      </c>
      <c r="I1406">
        <v>1</v>
      </c>
    </row>
    <row r="1407" spans="2:9">
      <c r="C1407" t="s">
        <v>1522</v>
      </c>
      <c r="E1407" t="s">
        <v>1586</v>
      </c>
      <c r="F1407" t="s">
        <v>318</v>
      </c>
      <c r="G1407" s="158">
        <v>1200</v>
      </c>
      <c r="H1407" t="s">
        <v>2164</v>
      </c>
      <c r="I1407">
        <v>1</v>
      </c>
    </row>
    <row r="1408" spans="2:9">
      <c r="C1408" t="s">
        <v>1522</v>
      </c>
      <c r="E1408" t="s">
        <v>1586</v>
      </c>
      <c r="F1408" t="s">
        <v>318</v>
      </c>
      <c r="G1408" s="158" t="s">
        <v>1594</v>
      </c>
      <c r="H1408" t="s">
        <v>2165</v>
      </c>
      <c r="I1408">
        <v>1</v>
      </c>
    </row>
    <row r="1409" spans="2:9">
      <c r="C1409" t="s">
        <v>1522</v>
      </c>
      <c r="E1409" t="s">
        <v>1526</v>
      </c>
      <c r="F1409" t="s">
        <v>318</v>
      </c>
      <c r="G1409" s="158" t="s">
        <v>1082</v>
      </c>
      <c r="H1409" t="s">
        <v>2166</v>
      </c>
      <c r="I1409">
        <v>1</v>
      </c>
    </row>
    <row r="1410" spans="2:9">
      <c r="C1410" t="s">
        <v>1521</v>
      </c>
      <c r="E1410" t="s">
        <v>1526</v>
      </c>
      <c r="F1410" t="s">
        <v>318</v>
      </c>
      <c r="G1410" s="158" t="s">
        <v>1083</v>
      </c>
      <c r="H1410" t="s">
        <v>2167</v>
      </c>
      <c r="I1410">
        <v>1</v>
      </c>
    </row>
    <row r="1411" spans="2:9">
      <c r="C1411" t="s">
        <v>1521</v>
      </c>
      <c r="E1411" t="s">
        <v>1526</v>
      </c>
      <c r="F1411" t="s">
        <v>318</v>
      </c>
      <c r="G1411" s="158" t="s">
        <v>1084</v>
      </c>
      <c r="H1411" t="s">
        <v>2168</v>
      </c>
      <c r="I1411">
        <v>1</v>
      </c>
    </row>
    <row r="1412" spans="2:9">
      <c r="B1412" t="s">
        <v>575</v>
      </c>
      <c r="C1412" t="s">
        <v>1522</v>
      </c>
      <c r="E1412" t="s">
        <v>739</v>
      </c>
      <c r="F1412" t="s">
        <v>30</v>
      </c>
      <c r="G1412" s="158">
        <v>1050</v>
      </c>
      <c r="H1412" t="s">
        <v>2169</v>
      </c>
      <c r="I1412">
        <v>1</v>
      </c>
    </row>
    <row r="1413" spans="2:9">
      <c r="B1413" t="s">
        <v>571</v>
      </c>
      <c r="C1413" t="s">
        <v>1522</v>
      </c>
      <c r="E1413" t="s">
        <v>739</v>
      </c>
      <c r="F1413" t="s">
        <v>30</v>
      </c>
      <c r="G1413" s="158">
        <v>1150</v>
      </c>
      <c r="H1413" t="s">
        <v>2170</v>
      </c>
      <c r="I1413">
        <v>1</v>
      </c>
    </row>
    <row r="1414" spans="2:9">
      <c r="B1414" t="s">
        <v>574</v>
      </c>
      <c r="C1414" t="s">
        <v>1522</v>
      </c>
      <c r="E1414" t="s">
        <v>739</v>
      </c>
      <c r="F1414" t="s">
        <v>30</v>
      </c>
      <c r="G1414" s="158">
        <v>1250</v>
      </c>
      <c r="H1414" t="s">
        <v>2171</v>
      </c>
      <c r="I1414">
        <v>1</v>
      </c>
    </row>
    <row r="1415" spans="2:9">
      <c r="B1415" t="s">
        <v>575</v>
      </c>
      <c r="C1415" t="s">
        <v>1522</v>
      </c>
      <c r="E1415" t="s">
        <v>739</v>
      </c>
      <c r="F1415" t="s">
        <v>30</v>
      </c>
      <c r="G1415" s="158">
        <v>1260</v>
      </c>
      <c r="H1415" t="s">
        <v>2172</v>
      </c>
      <c r="I1415">
        <v>1</v>
      </c>
    </row>
    <row r="1416" spans="2:9">
      <c r="B1416" t="s">
        <v>571</v>
      </c>
      <c r="C1416" t="s">
        <v>1522</v>
      </c>
      <c r="E1416" t="s">
        <v>739</v>
      </c>
      <c r="F1416" t="s">
        <v>30</v>
      </c>
      <c r="G1416" s="158">
        <v>1350</v>
      </c>
      <c r="H1416" t="s">
        <v>2173</v>
      </c>
      <c r="I1416">
        <v>1</v>
      </c>
    </row>
    <row r="1417" spans="2:9">
      <c r="B1417" t="s">
        <v>581</v>
      </c>
      <c r="C1417" t="s">
        <v>1522</v>
      </c>
      <c r="E1417" t="s">
        <v>739</v>
      </c>
      <c r="F1417" t="s">
        <v>30</v>
      </c>
      <c r="G1417" s="158">
        <v>2650</v>
      </c>
      <c r="H1417" t="s">
        <v>2174</v>
      </c>
      <c r="I1417">
        <v>1</v>
      </c>
    </row>
    <row r="1418" spans="2:9">
      <c r="B1418" t="s">
        <v>101</v>
      </c>
      <c r="C1418" t="s">
        <v>1521</v>
      </c>
      <c r="E1418" t="s">
        <v>1586</v>
      </c>
      <c r="F1418" t="s">
        <v>286</v>
      </c>
      <c r="G1418" s="158">
        <v>1010</v>
      </c>
      <c r="H1418" t="s">
        <v>2175</v>
      </c>
      <c r="I1418">
        <v>1</v>
      </c>
    </row>
    <row r="1419" spans="2:9">
      <c r="B1419" t="s">
        <v>117</v>
      </c>
      <c r="C1419" t="s">
        <v>1522</v>
      </c>
      <c r="E1419" t="s">
        <v>1586</v>
      </c>
      <c r="F1419" t="s">
        <v>286</v>
      </c>
      <c r="G1419" s="158">
        <v>1110</v>
      </c>
      <c r="H1419" t="s">
        <v>2176</v>
      </c>
      <c r="I1419">
        <v>1</v>
      </c>
    </row>
    <row r="1420" spans="2:9">
      <c r="B1420" t="s">
        <v>1556</v>
      </c>
      <c r="C1420" t="s">
        <v>1522</v>
      </c>
      <c r="E1420" t="s">
        <v>1261</v>
      </c>
      <c r="F1420" t="s">
        <v>951</v>
      </c>
      <c r="G1420" s="158">
        <v>1007</v>
      </c>
      <c r="H1420" t="s">
        <v>2177</v>
      </c>
      <c r="I1420">
        <v>1</v>
      </c>
    </row>
    <row r="1421" spans="2:9">
      <c r="B1421" t="s">
        <v>1557</v>
      </c>
      <c r="C1421" t="s">
        <v>1522</v>
      </c>
      <c r="E1421" t="s">
        <v>1261</v>
      </c>
      <c r="F1421" t="s">
        <v>951</v>
      </c>
      <c r="G1421" s="158">
        <v>1008</v>
      </c>
      <c r="H1421" t="s">
        <v>2178</v>
      </c>
      <c r="I1421">
        <v>1</v>
      </c>
    </row>
    <row r="1422" spans="2:9">
      <c r="B1422" t="s">
        <v>575</v>
      </c>
      <c r="C1422" t="s">
        <v>1522</v>
      </c>
      <c r="E1422" t="s">
        <v>1261</v>
      </c>
      <c r="F1422" t="s">
        <v>951</v>
      </c>
      <c r="G1422" s="158">
        <v>1010</v>
      </c>
      <c r="H1422" t="s">
        <v>2179</v>
      </c>
      <c r="I1422">
        <v>1</v>
      </c>
    </row>
    <row r="1423" spans="2:9">
      <c r="B1423" t="s">
        <v>571</v>
      </c>
      <c r="C1423" t="s">
        <v>1522</v>
      </c>
      <c r="E1423" t="s">
        <v>1261</v>
      </c>
      <c r="F1423" t="s">
        <v>951</v>
      </c>
      <c r="G1423" s="158">
        <v>1100</v>
      </c>
      <c r="H1423" t="s">
        <v>2180</v>
      </c>
      <c r="I1423">
        <v>1</v>
      </c>
    </row>
    <row r="1424" spans="2:9">
      <c r="B1424" t="s">
        <v>574</v>
      </c>
      <c r="C1424" t="s">
        <v>1522</v>
      </c>
      <c r="E1424" t="s">
        <v>1261</v>
      </c>
      <c r="F1424" t="s">
        <v>951</v>
      </c>
      <c r="G1424" s="158">
        <v>1302</v>
      </c>
      <c r="H1424" t="s">
        <v>2181</v>
      </c>
      <c r="I1424">
        <v>1</v>
      </c>
    </row>
    <row r="1425" spans="2:9">
      <c r="B1425" t="s">
        <v>571</v>
      </c>
      <c r="C1425" t="s">
        <v>1522</v>
      </c>
      <c r="E1425" t="s">
        <v>1261</v>
      </c>
      <c r="F1425" t="s">
        <v>951</v>
      </c>
      <c r="G1425" s="158">
        <v>1310</v>
      </c>
      <c r="H1425" t="s">
        <v>2182</v>
      </c>
      <c r="I1425">
        <v>1</v>
      </c>
    </row>
    <row r="1426" spans="2:9">
      <c r="B1426" t="s">
        <v>574</v>
      </c>
      <c r="C1426" t="s">
        <v>1522</v>
      </c>
      <c r="E1426" t="s">
        <v>1261</v>
      </c>
      <c r="F1426" t="s">
        <v>951</v>
      </c>
      <c r="G1426" s="158">
        <v>1312</v>
      </c>
      <c r="H1426" t="s">
        <v>2183</v>
      </c>
      <c r="I1426">
        <v>1</v>
      </c>
    </row>
    <row r="1427" spans="2:9">
      <c r="B1427" t="s">
        <v>571</v>
      </c>
      <c r="C1427" t="s">
        <v>1522</v>
      </c>
      <c r="E1427" t="s">
        <v>1261</v>
      </c>
      <c r="F1427" t="s">
        <v>951</v>
      </c>
      <c r="G1427" s="158">
        <v>2100</v>
      </c>
      <c r="H1427" t="s">
        <v>2184</v>
      </c>
      <c r="I1427">
        <v>1</v>
      </c>
    </row>
    <row r="1428" spans="2:9">
      <c r="B1428" t="s">
        <v>574</v>
      </c>
      <c r="C1428" t="s">
        <v>1522</v>
      </c>
      <c r="E1428" t="s">
        <v>1261</v>
      </c>
      <c r="F1428" t="s">
        <v>951</v>
      </c>
      <c r="G1428" s="158">
        <v>2332</v>
      </c>
      <c r="H1428" t="s">
        <v>2185</v>
      </c>
      <c r="I1428">
        <v>1</v>
      </c>
    </row>
    <row r="1429" spans="2:9">
      <c r="B1429" t="s">
        <v>570</v>
      </c>
      <c r="C1429" t="s">
        <v>1522</v>
      </c>
      <c r="E1429" t="s">
        <v>1526</v>
      </c>
      <c r="F1429" t="s">
        <v>1085</v>
      </c>
      <c r="G1429" s="158" t="s">
        <v>1531</v>
      </c>
      <c r="H1429" t="s">
        <v>2186</v>
      </c>
      <c r="I1429">
        <v>1</v>
      </c>
    </row>
    <row r="1430" spans="2:9">
      <c r="B1430" t="s">
        <v>570</v>
      </c>
      <c r="C1430" t="s">
        <v>1522</v>
      </c>
      <c r="E1430" t="s">
        <v>1526</v>
      </c>
      <c r="F1430" t="s">
        <v>1085</v>
      </c>
      <c r="G1430" s="158" t="s">
        <v>1086</v>
      </c>
      <c r="H1430" t="s">
        <v>2187</v>
      </c>
      <c r="I1430">
        <v>1</v>
      </c>
    </row>
    <row r="1431" spans="2:9">
      <c r="B1431" t="s">
        <v>570</v>
      </c>
      <c r="C1431" t="s">
        <v>1522</v>
      </c>
      <c r="E1431" t="s">
        <v>1526</v>
      </c>
      <c r="F1431" t="s">
        <v>1085</v>
      </c>
      <c r="G1431" s="158" t="s">
        <v>1087</v>
      </c>
      <c r="H1431" t="s">
        <v>2188</v>
      </c>
      <c r="I1431">
        <v>1</v>
      </c>
    </row>
    <row r="1432" spans="2:9">
      <c r="B1432" t="s">
        <v>570</v>
      </c>
      <c r="C1432" t="s">
        <v>1522</v>
      </c>
      <c r="E1432" t="s">
        <v>463</v>
      </c>
      <c r="F1432" t="s">
        <v>1525</v>
      </c>
      <c r="G1432" s="158">
        <v>1040</v>
      </c>
      <c r="H1432" t="s">
        <v>2189</v>
      </c>
      <c r="I1432">
        <v>1</v>
      </c>
    </row>
    <row r="1433" spans="2:9">
      <c r="B1433" t="s">
        <v>570</v>
      </c>
      <c r="C1433" t="s">
        <v>1522</v>
      </c>
      <c r="E1433" t="s">
        <v>463</v>
      </c>
      <c r="F1433" t="s">
        <v>1525</v>
      </c>
      <c r="G1433" s="158">
        <v>1050</v>
      </c>
      <c r="H1433" t="s">
        <v>2190</v>
      </c>
      <c r="I1433">
        <v>1</v>
      </c>
    </row>
    <row r="1434" spans="2:9">
      <c r="B1434" t="s">
        <v>570</v>
      </c>
      <c r="C1434" t="s">
        <v>1522</v>
      </c>
      <c r="E1434" t="s">
        <v>463</v>
      </c>
      <c r="F1434" t="s">
        <v>1525</v>
      </c>
      <c r="G1434" s="158">
        <v>1060</v>
      </c>
      <c r="H1434" t="s">
        <v>2191</v>
      </c>
      <c r="I1434">
        <v>1</v>
      </c>
    </row>
    <row r="1435" spans="2:9">
      <c r="B1435" t="s">
        <v>570</v>
      </c>
      <c r="C1435" t="s">
        <v>1522</v>
      </c>
      <c r="E1435" t="s">
        <v>463</v>
      </c>
      <c r="F1435" t="s">
        <v>1525</v>
      </c>
      <c r="G1435" s="158">
        <v>1070</v>
      </c>
      <c r="H1435" t="s">
        <v>2192</v>
      </c>
      <c r="I1435">
        <v>1</v>
      </c>
    </row>
    <row r="1436" spans="2:9">
      <c r="B1436" t="s">
        <v>98</v>
      </c>
      <c r="C1436" t="s">
        <v>1522</v>
      </c>
      <c r="D1436" t="s">
        <v>1329</v>
      </c>
      <c r="E1436" t="s">
        <v>463</v>
      </c>
      <c r="F1436" t="s">
        <v>302</v>
      </c>
      <c r="G1436" s="158" t="s">
        <v>1528</v>
      </c>
      <c r="H1436" t="s">
        <v>2193</v>
      </c>
      <c r="I1436">
        <v>1</v>
      </c>
    </row>
    <row r="1437" spans="2:9">
      <c r="C1437" t="s">
        <v>1522</v>
      </c>
      <c r="D1437" t="s">
        <v>70</v>
      </c>
      <c r="E1437" t="s">
        <v>463</v>
      </c>
      <c r="F1437" t="s">
        <v>302</v>
      </c>
      <c r="G1437" s="158" t="s">
        <v>303</v>
      </c>
      <c r="H1437" t="s">
        <v>2194</v>
      </c>
      <c r="I1437">
        <v>1</v>
      </c>
    </row>
    <row r="1438" spans="2:9">
      <c r="B1438" t="s">
        <v>98</v>
      </c>
      <c r="C1438" t="s">
        <v>1522</v>
      </c>
      <c r="D1438" t="s">
        <v>1329</v>
      </c>
      <c r="E1438" t="s">
        <v>1586</v>
      </c>
      <c r="F1438" t="s">
        <v>1088</v>
      </c>
      <c r="G1438" s="158" t="s">
        <v>1528</v>
      </c>
      <c r="H1438" t="s">
        <v>2195</v>
      </c>
      <c r="I1438">
        <v>1</v>
      </c>
    </row>
    <row r="1439" spans="2:9">
      <c r="C1439" t="s">
        <v>1522</v>
      </c>
      <c r="D1439" t="s">
        <v>70</v>
      </c>
      <c r="E1439" t="s">
        <v>551</v>
      </c>
      <c r="F1439" t="s">
        <v>1088</v>
      </c>
      <c r="G1439" s="158">
        <v>1500</v>
      </c>
      <c r="H1439" t="s">
        <v>2196</v>
      </c>
      <c r="I1439">
        <v>1</v>
      </c>
    </row>
    <row r="1440" spans="2:9">
      <c r="C1440" t="s">
        <v>1522</v>
      </c>
      <c r="D1440" t="s">
        <v>70</v>
      </c>
      <c r="E1440" t="s">
        <v>1526</v>
      </c>
      <c r="F1440" t="s">
        <v>1088</v>
      </c>
      <c r="G1440" s="158">
        <v>1740</v>
      </c>
      <c r="H1440" t="s">
        <v>2197</v>
      </c>
      <c r="I1440">
        <v>1</v>
      </c>
    </row>
    <row r="1441" spans="2:9">
      <c r="C1441" t="s">
        <v>1522</v>
      </c>
      <c r="D1441" t="s">
        <v>1329</v>
      </c>
      <c r="E1441" t="s">
        <v>1262</v>
      </c>
      <c r="F1441" t="s">
        <v>1088</v>
      </c>
      <c r="G1441" s="158" t="s">
        <v>1093</v>
      </c>
      <c r="H1441" t="s">
        <v>2198</v>
      </c>
      <c r="I1441">
        <v>1</v>
      </c>
    </row>
    <row r="1442" spans="2:9">
      <c r="B1442" t="s">
        <v>581</v>
      </c>
      <c r="C1442" t="s">
        <v>1522</v>
      </c>
      <c r="E1442" t="s">
        <v>463</v>
      </c>
      <c r="F1442" t="s">
        <v>1089</v>
      </c>
      <c r="G1442" s="158" t="s">
        <v>1528</v>
      </c>
      <c r="H1442" t="s">
        <v>2199</v>
      </c>
      <c r="I1442">
        <v>1</v>
      </c>
    </row>
    <row r="1443" spans="2:9">
      <c r="B1443" t="s">
        <v>574</v>
      </c>
      <c r="C1443" t="s">
        <v>1522</v>
      </c>
      <c r="E1443" t="s">
        <v>463</v>
      </c>
      <c r="F1443" t="s">
        <v>1089</v>
      </c>
      <c r="G1443" s="158" t="s">
        <v>440</v>
      </c>
      <c r="H1443" t="s">
        <v>2200</v>
      </c>
      <c r="I1443">
        <v>1</v>
      </c>
    </row>
    <row r="1444" spans="2:9">
      <c r="C1444" t="s">
        <v>1522</v>
      </c>
      <c r="E1444" t="s">
        <v>1586</v>
      </c>
      <c r="F1444" t="s">
        <v>1601</v>
      </c>
      <c r="G1444" s="158">
        <v>1010</v>
      </c>
      <c r="H1444" t="s">
        <v>2201</v>
      </c>
      <c r="I1444">
        <v>1</v>
      </c>
    </row>
    <row r="1445" spans="2:9">
      <c r="C1445" t="s">
        <v>1522</v>
      </c>
      <c r="E1445" t="s">
        <v>1586</v>
      </c>
      <c r="F1445" t="s">
        <v>1659</v>
      </c>
      <c r="G1445" s="158">
        <v>2010</v>
      </c>
      <c r="H1445" t="s">
        <v>2202</v>
      </c>
      <c r="I1445">
        <v>1</v>
      </c>
    </row>
    <row r="1446" spans="2:9">
      <c r="C1446" t="s">
        <v>1522</v>
      </c>
      <c r="E1446" t="s">
        <v>463</v>
      </c>
      <c r="F1446" t="s">
        <v>1838</v>
      </c>
      <c r="G1446" s="158">
        <v>1010</v>
      </c>
      <c r="H1446" t="s">
        <v>2203</v>
      </c>
      <c r="I1446">
        <v>1</v>
      </c>
    </row>
    <row r="1447" spans="2:9">
      <c r="C1447" t="s">
        <v>1522</v>
      </c>
      <c r="E1447" t="s">
        <v>739</v>
      </c>
      <c r="F1447" t="s">
        <v>1483</v>
      </c>
      <c r="G1447" s="158" t="s">
        <v>1528</v>
      </c>
      <c r="H1447" t="s">
        <v>2204</v>
      </c>
      <c r="I1447">
        <v>1</v>
      </c>
    </row>
    <row r="1448" spans="2:9">
      <c r="B1448" t="s">
        <v>116</v>
      </c>
      <c r="C1448" t="s">
        <v>1522</v>
      </c>
      <c r="E1448" t="s">
        <v>1262</v>
      </c>
      <c r="F1448" t="s">
        <v>316</v>
      </c>
      <c r="G1448" s="158" t="s">
        <v>317</v>
      </c>
      <c r="H1448" t="s">
        <v>2205</v>
      </c>
      <c r="I1448">
        <v>1</v>
      </c>
    </row>
    <row r="1449" spans="2:9">
      <c r="B1449" t="s">
        <v>575</v>
      </c>
      <c r="C1449" t="s">
        <v>1522</v>
      </c>
      <c r="E1449" t="s">
        <v>1586</v>
      </c>
      <c r="F1449" t="s">
        <v>421</v>
      </c>
      <c r="G1449" s="158" t="s">
        <v>1531</v>
      </c>
      <c r="H1449" t="s">
        <v>2206</v>
      </c>
      <c r="I1449">
        <v>1</v>
      </c>
    </row>
    <row r="1450" spans="2:9">
      <c r="B1450" t="s">
        <v>574</v>
      </c>
      <c r="C1450" t="s">
        <v>1522</v>
      </c>
      <c r="E1450" t="s">
        <v>1586</v>
      </c>
      <c r="F1450" t="s">
        <v>421</v>
      </c>
      <c r="G1450" s="158" t="s">
        <v>440</v>
      </c>
      <c r="H1450" t="s">
        <v>2207</v>
      </c>
      <c r="I1450">
        <v>1</v>
      </c>
    </row>
    <row r="1451" spans="2:9">
      <c r="B1451" t="s">
        <v>122</v>
      </c>
      <c r="C1451" t="s">
        <v>1522</v>
      </c>
      <c r="E1451" t="s">
        <v>1586</v>
      </c>
      <c r="F1451" t="s">
        <v>421</v>
      </c>
      <c r="G1451" s="158">
        <v>1070</v>
      </c>
      <c r="H1451" t="s">
        <v>2208</v>
      </c>
      <c r="I1451">
        <v>1</v>
      </c>
    </row>
    <row r="1452" spans="2:9">
      <c r="B1452" t="s">
        <v>571</v>
      </c>
      <c r="C1452" t="s">
        <v>1522</v>
      </c>
      <c r="E1452" t="s">
        <v>1586</v>
      </c>
      <c r="F1452" t="s">
        <v>421</v>
      </c>
      <c r="G1452" s="158">
        <v>1100</v>
      </c>
      <c r="H1452" t="s">
        <v>2209</v>
      </c>
      <c r="I1452">
        <v>1</v>
      </c>
    </row>
    <row r="1453" spans="2:9">
      <c r="C1453" t="s">
        <v>1522</v>
      </c>
      <c r="E1453" t="s">
        <v>1586</v>
      </c>
      <c r="F1453" t="s">
        <v>421</v>
      </c>
      <c r="G1453" s="158">
        <v>2020</v>
      </c>
      <c r="H1453" t="s">
        <v>2210</v>
      </c>
      <c r="I1453">
        <v>1</v>
      </c>
    </row>
    <row r="1454" spans="2:9">
      <c r="B1454" t="s">
        <v>569</v>
      </c>
      <c r="C1454" t="s">
        <v>1522</v>
      </c>
      <c r="E1454" t="s">
        <v>463</v>
      </c>
      <c r="F1454" t="s">
        <v>1804</v>
      </c>
      <c r="G1454" s="158">
        <v>1210</v>
      </c>
      <c r="H1454" t="s">
        <v>2211</v>
      </c>
      <c r="I1454">
        <v>1</v>
      </c>
    </row>
    <row r="1455" spans="2:9">
      <c r="B1455" t="s">
        <v>569</v>
      </c>
      <c r="C1455" t="s">
        <v>1522</v>
      </c>
      <c r="E1455" t="s">
        <v>463</v>
      </c>
      <c r="F1455" t="s">
        <v>1804</v>
      </c>
      <c r="G1455" s="158">
        <v>1220</v>
      </c>
      <c r="H1455" t="s">
        <v>2212</v>
      </c>
      <c r="I1455">
        <v>1</v>
      </c>
    </row>
    <row r="1456" spans="2:9">
      <c r="B1456" t="s">
        <v>569</v>
      </c>
      <c r="C1456" t="s">
        <v>1522</v>
      </c>
      <c r="E1456" t="s">
        <v>463</v>
      </c>
      <c r="F1456" t="s">
        <v>1804</v>
      </c>
      <c r="G1456" s="158">
        <v>1240</v>
      </c>
      <c r="H1456" t="s">
        <v>2213</v>
      </c>
      <c r="I1456">
        <v>1</v>
      </c>
    </row>
    <row r="1457" spans="2:9">
      <c r="B1457" t="s">
        <v>565</v>
      </c>
      <c r="C1457" t="s">
        <v>1522</v>
      </c>
      <c r="E1457" t="s">
        <v>463</v>
      </c>
      <c r="F1457" t="s">
        <v>378</v>
      </c>
      <c r="G1457" s="158">
        <v>1110</v>
      </c>
      <c r="H1457" t="s">
        <v>2214</v>
      </c>
      <c r="I1457">
        <v>1</v>
      </c>
    </row>
    <row r="1458" spans="2:9">
      <c r="C1458" t="s">
        <v>1522</v>
      </c>
      <c r="E1458" t="s">
        <v>463</v>
      </c>
      <c r="F1458" t="s">
        <v>378</v>
      </c>
      <c r="G1458" s="158">
        <v>1470</v>
      </c>
      <c r="H1458" t="s">
        <v>2215</v>
      </c>
      <c r="I1458">
        <v>1</v>
      </c>
    </row>
    <row r="1459" spans="2:9">
      <c r="B1459" t="s">
        <v>123</v>
      </c>
      <c r="C1459" t="s">
        <v>1522</v>
      </c>
      <c r="E1459" t="s">
        <v>1195</v>
      </c>
      <c r="F1459" t="s">
        <v>450</v>
      </c>
      <c r="G1459" s="158" t="s">
        <v>1078</v>
      </c>
      <c r="H1459" t="s">
        <v>2216</v>
      </c>
      <c r="I1459">
        <v>1</v>
      </c>
    </row>
    <row r="1460" spans="2:9">
      <c r="C1460" t="s">
        <v>1522</v>
      </c>
      <c r="D1460" t="s">
        <v>533</v>
      </c>
      <c r="E1460" t="s">
        <v>463</v>
      </c>
      <c r="F1460" t="s">
        <v>305</v>
      </c>
      <c r="G1460" s="158" t="s">
        <v>1528</v>
      </c>
      <c r="H1460" t="s">
        <v>2217</v>
      </c>
      <c r="I1460">
        <v>1</v>
      </c>
    </row>
    <row r="1461" spans="2:9">
      <c r="C1461" t="s">
        <v>1522</v>
      </c>
      <c r="D1461" t="s">
        <v>533</v>
      </c>
      <c r="E1461" t="s">
        <v>739</v>
      </c>
      <c r="F1461" t="s">
        <v>1091</v>
      </c>
      <c r="G1461" s="158" t="s">
        <v>1528</v>
      </c>
      <c r="H1461" t="s">
        <v>2218</v>
      </c>
      <c r="I1461">
        <v>1</v>
      </c>
    </row>
    <row r="1462" spans="2:9">
      <c r="C1462" t="s">
        <v>1522</v>
      </c>
      <c r="D1462" t="s">
        <v>533</v>
      </c>
      <c r="E1462" t="s">
        <v>1586</v>
      </c>
      <c r="F1462" t="s">
        <v>1091</v>
      </c>
      <c r="G1462" s="158">
        <v>2010</v>
      </c>
      <c r="H1462" t="s">
        <v>2219</v>
      </c>
      <c r="I1462">
        <v>1</v>
      </c>
    </row>
    <row r="1463" spans="2:9">
      <c r="C1463" t="s">
        <v>1522</v>
      </c>
      <c r="D1463" t="s">
        <v>534</v>
      </c>
      <c r="E1463" t="s">
        <v>1526</v>
      </c>
      <c r="F1463" t="s">
        <v>1091</v>
      </c>
      <c r="G1463" s="158">
        <v>2040</v>
      </c>
      <c r="H1463" t="s">
        <v>2220</v>
      </c>
      <c r="I1463">
        <v>1</v>
      </c>
    </row>
    <row r="1464" spans="2:9">
      <c r="C1464" t="s">
        <v>1522</v>
      </c>
      <c r="D1464" t="s">
        <v>534</v>
      </c>
      <c r="E1464" t="s">
        <v>1586</v>
      </c>
      <c r="F1464" t="s">
        <v>1091</v>
      </c>
      <c r="G1464" s="158">
        <v>2200</v>
      </c>
      <c r="H1464" t="s">
        <v>2221</v>
      </c>
      <c r="I1464">
        <v>1</v>
      </c>
    </row>
    <row r="1465" spans="2:9">
      <c r="C1465" t="s">
        <v>1522</v>
      </c>
      <c r="D1465" t="s">
        <v>534</v>
      </c>
      <c r="E1465" t="s">
        <v>1261</v>
      </c>
      <c r="F1465" t="s">
        <v>1091</v>
      </c>
      <c r="G1465" s="158">
        <v>2230</v>
      </c>
      <c r="H1465" t="s">
        <v>2222</v>
      </c>
      <c r="I1465">
        <v>1</v>
      </c>
    </row>
    <row r="1466" spans="2:9">
      <c r="C1466" t="s">
        <v>1522</v>
      </c>
      <c r="D1466" t="s">
        <v>534</v>
      </c>
      <c r="E1466" t="s">
        <v>1262</v>
      </c>
      <c r="F1466" t="s">
        <v>1091</v>
      </c>
      <c r="G1466" s="158" t="s">
        <v>1083</v>
      </c>
      <c r="H1466" t="s">
        <v>2223</v>
      </c>
      <c r="I1466">
        <v>1</v>
      </c>
    </row>
    <row r="1467" spans="2:9">
      <c r="C1467" t="s">
        <v>1522</v>
      </c>
      <c r="D1467" t="s">
        <v>446</v>
      </c>
      <c r="E1467" t="s">
        <v>1586</v>
      </c>
      <c r="F1467" t="s">
        <v>1091</v>
      </c>
      <c r="G1467" s="158" t="s">
        <v>813</v>
      </c>
      <c r="H1467" t="s">
        <v>2224</v>
      </c>
      <c r="I1467">
        <v>1</v>
      </c>
    </row>
    <row r="1468" spans="2:9">
      <c r="C1468" t="s">
        <v>1522</v>
      </c>
      <c r="D1468" t="s">
        <v>534</v>
      </c>
      <c r="E1468" t="s">
        <v>1526</v>
      </c>
      <c r="F1468" t="s">
        <v>1091</v>
      </c>
      <c r="G1468" s="158" t="s">
        <v>1545</v>
      </c>
      <c r="H1468" t="s">
        <v>2225</v>
      </c>
      <c r="I1468">
        <v>1</v>
      </c>
    </row>
    <row r="1469" spans="2:9">
      <c r="C1469" t="s">
        <v>1522</v>
      </c>
      <c r="E1469" t="s">
        <v>1526</v>
      </c>
      <c r="F1469" t="s">
        <v>1091</v>
      </c>
      <c r="G1469" s="158" t="s">
        <v>1096</v>
      </c>
      <c r="H1469" t="s">
        <v>2226</v>
      </c>
      <c r="I1469">
        <v>1</v>
      </c>
    </row>
    <row r="1470" spans="2:9">
      <c r="B1470" t="s">
        <v>135</v>
      </c>
      <c r="C1470" t="s">
        <v>1522</v>
      </c>
      <c r="E1470" t="s">
        <v>1526</v>
      </c>
      <c r="F1470" t="s">
        <v>1718</v>
      </c>
      <c r="G1470" s="158">
        <v>1000</v>
      </c>
      <c r="H1470" t="s">
        <v>2227</v>
      </c>
      <c r="I1470">
        <v>1</v>
      </c>
    </row>
    <row r="1471" spans="2:9">
      <c r="B1471" t="s">
        <v>135</v>
      </c>
      <c r="C1471" t="s">
        <v>1522</v>
      </c>
      <c r="E1471" t="s">
        <v>1586</v>
      </c>
      <c r="F1471" t="s">
        <v>814</v>
      </c>
      <c r="G1471" s="158">
        <v>1000</v>
      </c>
      <c r="H1471" t="s">
        <v>2228</v>
      </c>
      <c r="I1471">
        <v>1</v>
      </c>
    </row>
    <row r="1472" spans="2:9">
      <c r="B1472" t="s">
        <v>135</v>
      </c>
      <c r="C1472" t="s">
        <v>1522</v>
      </c>
      <c r="E1472" t="s">
        <v>551</v>
      </c>
      <c r="F1472" t="s">
        <v>1302</v>
      </c>
      <c r="G1472" s="158">
        <v>1000</v>
      </c>
      <c r="H1472" t="s">
        <v>2229</v>
      </c>
      <c r="I1472">
        <v>1</v>
      </c>
    </row>
    <row r="1473" spans="2:9">
      <c r="B1473" t="s">
        <v>135</v>
      </c>
      <c r="C1473" t="s">
        <v>1522</v>
      </c>
      <c r="E1473" t="s">
        <v>1262</v>
      </c>
      <c r="F1473" t="s">
        <v>1302</v>
      </c>
      <c r="G1473" s="158" t="s">
        <v>1528</v>
      </c>
      <c r="H1473" t="s">
        <v>2230</v>
      </c>
      <c r="I1473">
        <v>1</v>
      </c>
    </row>
    <row r="1474" spans="2:9">
      <c r="C1474" t="s">
        <v>1522</v>
      </c>
      <c r="D1474" t="s">
        <v>1332</v>
      </c>
      <c r="E1474" t="s">
        <v>463</v>
      </c>
      <c r="F1474" t="s">
        <v>917</v>
      </c>
      <c r="G1474" s="158" t="s">
        <v>1528</v>
      </c>
      <c r="H1474" t="s">
        <v>2231</v>
      </c>
      <c r="I1474">
        <v>1</v>
      </c>
    </row>
    <row r="1475" spans="2:9">
      <c r="B1475" t="s">
        <v>561</v>
      </c>
      <c r="C1475" t="s">
        <v>1522</v>
      </c>
      <c r="E1475" t="s">
        <v>1586</v>
      </c>
      <c r="F1475" t="s">
        <v>917</v>
      </c>
      <c r="G1475" s="158">
        <v>1110</v>
      </c>
      <c r="H1475" t="s">
        <v>2232</v>
      </c>
      <c r="I1475">
        <v>1</v>
      </c>
    </row>
    <row r="1476" spans="2:9">
      <c r="C1476" t="s">
        <v>1522</v>
      </c>
      <c r="E1476" t="s">
        <v>1526</v>
      </c>
      <c r="F1476" t="s">
        <v>1364</v>
      </c>
      <c r="G1476" s="158">
        <v>1050</v>
      </c>
      <c r="H1476" t="s">
        <v>2233</v>
      </c>
      <c r="I1476">
        <v>1</v>
      </c>
    </row>
    <row r="1477" spans="2:9">
      <c r="C1477" t="s">
        <v>1522</v>
      </c>
      <c r="E1477" t="s">
        <v>1526</v>
      </c>
      <c r="F1477" t="s">
        <v>1364</v>
      </c>
      <c r="G1477" s="158">
        <v>1060</v>
      </c>
      <c r="H1477" t="s">
        <v>2234</v>
      </c>
      <c r="I1477">
        <v>1</v>
      </c>
    </row>
    <row r="1478" spans="2:9">
      <c r="C1478" t="s">
        <v>1522</v>
      </c>
      <c r="E1478" t="s">
        <v>1526</v>
      </c>
      <c r="F1478" t="s">
        <v>1364</v>
      </c>
      <c r="G1478" s="158">
        <v>1065</v>
      </c>
      <c r="H1478" t="s">
        <v>2235</v>
      </c>
      <c r="I1478">
        <v>1</v>
      </c>
    </row>
    <row r="1479" spans="2:9">
      <c r="C1479" t="s">
        <v>1522</v>
      </c>
      <c r="E1479" t="s">
        <v>1526</v>
      </c>
      <c r="F1479" t="s">
        <v>1364</v>
      </c>
      <c r="G1479" s="158">
        <v>1160</v>
      </c>
      <c r="H1479" t="s">
        <v>2236</v>
      </c>
      <c r="I1479">
        <v>1</v>
      </c>
    </row>
    <row r="1480" spans="2:9">
      <c r="B1480" t="s">
        <v>575</v>
      </c>
      <c r="C1480" t="s">
        <v>1522</v>
      </c>
      <c r="E1480" t="s">
        <v>551</v>
      </c>
      <c r="F1480" t="s">
        <v>1210</v>
      </c>
      <c r="G1480" s="158">
        <v>1200</v>
      </c>
      <c r="H1480" t="s">
        <v>2237</v>
      </c>
      <c r="I1480">
        <v>1</v>
      </c>
    </row>
    <row r="1481" spans="2:9">
      <c r="B1481" t="s">
        <v>110</v>
      </c>
      <c r="C1481" t="s">
        <v>1522</v>
      </c>
      <c r="D1481" t="s">
        <v>540</v>
      </c>
      <c r="E1481" t="s">
        <v>1526</v>
      </c>
      <c r="F1481" t="s">
        <v>1377</v>
      </c>
      <c r="G1481" s="158">
        <v>1020</v>
      </c>
      <c r="H1481" t="s">
        <v>2238</v>
      </c>
      <c r="I1481">
        <v>1</v>
      </c>
    </row>
    <row r="1482" spans="2:9">
      <c r="B1482" t="s">
        <v>108</v>
      </c>
      <c r="C1482" t="s">
        <v>1522</v>
      </c>
      <c r="E1482" t="s">
        <v>1526</v>
      </c>
      <c r="F1482" t="s">
        <v>1377</v>
      </c>
      <c r="G1482" s="158">
        <v>2610</v>
      </c>
      <c r="H1482" t="s">
        <v>2239</v>
      </c>
      <c r="I1482">
        <v>1</v>
      </c>
    </row>
    <row r="1483" spans="2:9">
      <c r="B1483" t="s">
        <v>107</v>
      </c>
      <c r="C1483" t="s">
        <v>1522</v>
      </c>
      <c r="D1483" t="s">
        <v>1329</v>
      </c>
      <c r="E1483" t="s">
        <v>463</v>
      </c>
      <c r="F1483" t="s">
        <v>918</v>
      </c>
      <c r="G1483" s="158" t="s">
        <v>448</v>
      </c>
      <c r="H1483" t="s">
        <v>2240</v>
      </c>
      <c r="I1483">
        <v>1</v>
      </c>
    </row>
    <row r="1484" spans="2:9">
      <c r="B1484" t="s">
        <v>108</v>
      </c>
      <c r="C1484" t="s">
        <v>1522</v>
      </c>
      <c r="E1484" t="s">
        <v>463</v>
      </c>
      <c r="F1484" t="s">
        <v>918</v>
      </c>
      <c r="G1484" s="158" t="s">
        <v>451</v>
      </c>
      <c r="H1484" t="s">
        <v>2241</v>
      </c>
      <c r="I1484">
        <v>1</v>
      </c>
    </row>
    <row r="1485" spans="2:9">
      <c r="C1485" t="s">
        <v>1521</v>
      </c>
      <c r="E1485" t="s">
        <v>739</v>
      </c>
      <c r="F1485" t="s">
        <v>452</v>
      </c>
      <c r="G1485" s="158">
        <v>1010</v>
      </c>
      <c r="H1485" t="s">
        <v>2242</v>
      </c>
      <c r="I1485">
        <v>1</v>
      </c>
    </row>
    <row r="1486" spans="2:9">
      <c r="C1486" t="s">
        <v>1521</v>
      </c>
      <c r="D1486" t="s">
        <v>1329</v>
      </c>
      <c r="E1486" t="s">
        <v>463</v>
      </c>
      <c r="F1486" t="s">
        <v>452</v>
      </c>
      <c r="G1486" s="158">
        <v>1050</v>
      </c>
      <c r="H1486" t="s">
        <v>2243</v>
      </c>
      <c r="I1486">
        <v>1</v>
      </c>
    </row>
    <row r="1487" spans="2:9">
      <c r="B1487" t="s">
        <v>91</v>
      </c>
      <c r="C1487" t="s">
        <v>1522</v>
      </c>
      <c r="E1487" t="s">
        <v>463</v>
      </c>
      <c r="F1487" t="s">
        <v>452</v>
      </c>
      <c r="G1487" s="158">
        <v>1210</v>
      </c>
      <c r="H1487" t="s">
        <v>2244</v>
      </c>
      <c r="I1487">
        <v>1</v>
      </c>
    </row>
    <row r="1488" spans="2:9" ht="16.5">
      <c r="B1488" s="21" t="s">
        <v>1897</v>
      </c>
      <c r="C1488" s="21" t="s">
        <v>1522</v>
      </c>
      <c r="D1488" s="22"/>
      <c r="E1488" s="22" t="s">
        <v>1195</v>
      </c>
      <c r="F1488" s="22" t="s">
        <v>452</v>
      </c>
      <c r="G1488" s="68">
        <v>1750</v>
      </c>
      <c r="H1488" t="str">
        <f t="shared" ref="H1488" si="34">CONCATENATE(F1488,G1488)</f>
        <v>FIN1750</v>
      </c>
      <c r="I1488">
        <v>1</v>
      </c>
    </row>
    <row r="1489" spans="2:9">
      <c r="B1489" t="s">
        <v>1015</v>
      </c>
      <c r="C1489" t="s">
        <v>1522</v>
      </c>
      <c r="E1489" t="s">
        <v>463</v>
      </c>
      <c r="F1489" t="s">
        <v>452</v>
      </c>
      <c r="G1489" s="158">
        <v>2000</v>
      </c>
      <c r="H1489" t="s">
        <v>2245</v>
      </c>
      <c r="I1489">
        <v>1</v>
      </c>
    </row>
    <row r="1490" spans="2:9">
      <c r="C1490" t="s">
        <v>1521</v>
      </c>
      <c r="D1490" t="s">
        <v>1329</v>
      </c>
      <c r="E1490" t="s">
        <v>1262</v>
      </c>
      <c r="F1490" t="s">
        <v>452</v>
      </c>
      <c r="G1490" s="158" t="s">
        <v>1172</v>
      </c>
      <c r="H1490" t="s">
        <v>2246</v>
      </c>
      <c r="I1490">
        <v>1</v>
      </c>
    </row>
    <row r="1491" spans="2:9">
      <c r="C1491" t="s">
        <v>1522</v>
      </c>
      <c r="E1491" t="s">
        <v>463</v>
      </c>
      <c r="F1491" t="s">
        <v>1603</v>
      </c>
      <c r="G1491" s="158">
        <v>1030</v>
      </c>
      <c r="H1491" t="s">
        <v>2247</v>
      </c>
      <c r="I1491">
        <v>1</v>
      </c>
    </row>
    <row r="1492" spans="2:9">
      <c r="C1492" t="s">
        <v>1522</v>
      </c>
      <c r="E1492" t="s">
        <v>463</v>
      </c>
      <c r="F1492" t="s">
        <v>1603</v>
      </c>
      <c r="G1492" s="158">
        <v>1040</v>
      </c>
      <c r="H1492" t="s">
        <v>2248</v>
      </c>
      <c r="I1492">
        <v>1</v>
      </c>
    </row>
    <row r="1493" spans="2:9">
      <c r="C1493" t="s">
        <v>1522</v>
      </c>
      <c r="E1493" t="s">
        <v>463</v>
      </c>
      <c r="F1493" t="s">
        <v>1603</v>
      </c>
      <c r="G1493" s="158">
        <v>1041</v>
      </c>
      <c r="H1493" t="s">
        <v>2249</v>
      </c>
      <c r="I1493">
        <v>1</v>
      </c>
    </row>
    <row r="1494" spans="2:9">
      <c r="C1494" t="s">
        <v>1522</v>
      </c>
      <c r="E1494" t="s">
        <v>739</v>
      </c>
      <c r="F1494" t="s">
        <v>631</v>
      </c>
      <c r="G1494" s="158">
        <v>1010</v>
      </c>
      <c r="H1494" t="s">
        <v>2250</v>
      </c>
      <c r="I1494">
        <v>1</v>
      </c>
    </row>
    <row r="1495" spans="2:9">
      <c r="C1495" t="s">
        <v>1522</v>
      </c>
      <c r="E1495" t="s">
        <v>739</v>
      </c>
      <c r="F1495" t="s">
        <v>631</v>
      </c>
      <c r="G1495" s="158">
        <v>1020</v>
      </c>
      <c r="H1495" t="s">
        <v>2251</v>
      </c>
      <c r="I1495">
        <v>1</v>
      </c>
    </row>
    <row r="1496" spans="2:9">
      <c r="C1496" t="s">
        <v>1522</v>
      </c>
      <c r="D1496" t="s">
        <v>534</v>
      </c>
      <c r="E1496" t="s">
        <v>739</v>
      </c>
      <c r="F1496" t="s">
        <v>631</v>
      </c>
      <c r="G1496" s="158">
        <v>2010</v>
      </c>
      <c r="H1496" t="s">
        <v>2252</v>
      </c>
      <c r="I1496">
        <v>1</v>
      </c>
    </row>
    <row r="1497" spans="2:9">
      <c r="B1497" t="s">
        <v>563</v>
      </c>
      <c r="C1497" t="s">
        <v>1522</v>
      </c>
      <c r="E1497" t="s">
        <v>1586</v>
      </c>
      <c r="F1497" t="s">
        <v>422</v>
      </c>
      <c r="G1497" s="158" t="s">
        <v>1110</v>
      </c>
      <c r="H1497" t="s">
        <v>2253</v>
      </c>
      <c r="I1497">
        <v>1</v>
      </c>
    </row>
    <row r="1498" spans="2:9">
      <c r="B1498" t="s">
        <v>563</v>
      </c>
      <c r="C1498" t="s">
        <v>1522</v>
      </c>
      <c r="E1498" t="s">
        <v>1586</v>
      </c>
      <c r="F1498" t="s">
        <v>1383</v>
      </c>
      <c r="G1498" s="158">
        <v>1000</v>
      </c>
      <c r="H1498" t="s">
        <v>2254</v>
      </c>
      <c r="I1498">
        <v>1</v>
      </c>
    </row>
    <row r="1499" spans="2:9">
      <c r="B1499" t="s">
        <v>563</v>
      </c>
      <c r="C1499" t="s">
        <v>1522</v>
      </c>
      <c r="E1499" t="s">
        <v>1586</v>
      </c>
      <c r="F1499" t="s">
        <v>423</v>
      </c>
      <c r="G1499" s="158">
        <v>1400</v>
      </c>
      <c r="H1499" t="s">
        <v>2255</v>
      </c>
      <c r="I1499">
        <v>1</v>
      </c>
    </row>
    <row r="1500" spans="2:9">
      <c r="B1500" t="s">
        <v>572</v>
      </c>
      <c r="C1500" t="s">
        <v>1522</v>
      </c>
      <c r="E1500" t="s">
        <v>1195</v>
      </c>
      <c r="F1500" t="s">
        <v>453</v>
      </c>
      <c r="G1500" s="158">
        <v>1010</v>
      </c>
      <c r="H1500" t="s">
        <v>2256</v>
      </c>
      <c r="I1500">
        <v>1</v>
      </c>
    </row>
    <row r="1501" spans="2:9">
      <c r="B1501" t="s">
        <v>576</v>
      </c>
      <c r="C1501" t="s">
        <v>1522</v>
      </c>
      <c r="E1501" t="s">
        <v>1195</v>
      </c>
      <c r="F1501" t="s">
        <v>453</v>
      </c>
      <c r="G1501" s="158" t="s">
        <v>436</v>
      </c>
      <c r="H1501" t="s">
        <v>2257</v>
      </c>
      <c r="I1501">
        <v>1</v>
      </c>
    </row>
    <row r="1502" spans="2:9">
      <c r="B1502" t="s">
        <v>577</v>
      </c>
      <c r="C1502" t="s">
        <v>1522</v>
      </c>
      <c r="E1502" t="s">
        <v>1195</v>
      </c>
      <c r="F1502" t="s">
        <v>453</v>
      </c>
      <c r="G1502" s="158" t="s">
        <v>433</v>
      </c>
      <c r="H1502" t="s">
        <v>2258</v>
      </c>
      <c r="I1502">
        <v>1</v>
      </c>
    </row>
    <row r="1503" spans="2:9">
      <c r="B1503" t="s">
        <v>572</v>
      </c>
      <c r="C1503" t="s">
        <v>1522</v>
      </c>
      <c r="E1503" t="s">
        <v>1195</v>
      </c>
      <c r="F1503" t="s">
        <v>453</v>
      </c>
      <c r="G1503" s="158">
        <v>1410</v>
      </c>
      <c r="H1503" t="s">
        <v>2259</v>
      </c>
      <c r="I1503">
        <v>1</v>
      </c>
    </row>
    <row r="1504" spans="2:9">
      <c r="B1504" t="s">
        <v>578</v>
      </c>
      <c r="C1504" t="s">
        <v>1522</v>
      </c>
      <c r="E1504" t="s">
        <v>1195</v>
      </c>
      <c r="F1504" t="s">
        <v>453</v>
      </c>
      <c r="G1504" s="158">
        <v>1610</v>
      </c>
      <c r="H1504" t="s">
        <v>2260</v>
      </c>
      <c r="I1504">
        <v>1</v>
      </c>
    </row>
    <row r="1505" spans="2:9">
      <c r="C1505" t="s">
        <v>1522</v>
      </c>
      <c r="D1505" t="s">
        <v>1332</v>
      </c>
      <c r="E1505" t="s">
        <v>463</v>
      </c>
      <c r="F1505" t="s">
        <v>1041</v>
      </c>
      <c r="G1505" s="158">
        <v>1010</v>
      </c>
      <c r="H1505" t="s">
        <v>2261</v>
      </c>
      <c r="I1505">
        <v>1</v>
      </c>
    </row>
    <row r="1506" spans="2:9">
      <c r="C1506" t="s">
        <v>1522</v>
      </c>
      <c r="D1506" t="s">
        <v>1332</v>
      </c>
      <c r="E1506" t="s">
        <v>1586</v>
      </c>
      <c r="F1506" t="s">
        <v>1386</v>
      </c>
      <c r="G1506" s="158">
        <v>1010</v>
      </c>
      <c r="H1506" t="s">
        <v>2262</v>
      </c>
      <c r="I1506">
        <v>1</v>
      </c>
    </row>
    <row r="1507" spans="2:9">
      <c r="C1507" t="s">
        <v>1522</v>
      </c>
      <c r="E1507" t="s">
        <v>1586</v>
      </c>
      <c r="F1507" t="s">
        <v>1386</v>
      </c>
      <c r="G1507" s="158">
        <v>1015</v>
      </c>
      <c r="H1507" t="s">
        <v>2263</v>
      </c>
      <c r="I1507">
        <v>1</v>
      </c>
    </row>
    <row r="1508" spans="2:9">
      <c r="C1508" t="s">
        <v>1522</v>
      </c>
      <c r="D1508" t="s">
        <v>1332</v>
      </c>
      <c r="E1508" t="s">
        <v>1262</v>
      </c>
      <c r="F1508" t="s">
        <v>1386</v>
      </c>
      <c r="G1508" s="158">
        <v>1030</v>
      </c>
      <c r="H1508" t="s">
        <v>2264</v>
      </c>
      <c r="I1508">
        <v>1</v>
      </c>
    </row>
    <row r="1509" spans="2:9">
      <c r="C1509" t="s">
        <v>1522</v>
      </c>
      <c r="D1509" t="s">
        <v>1332</v>
      </c>
      <c r="E1509" t="s">
        <v>1262</v>
      </c>
      <c r="F1509" t="s">
        <v>1386</v>
      </c>
      <c r="G1509" s="158" t="s">
        <v>1119</v>
      </c>
      <c r="H1509" t="s">
        <v>2265</v>
      </c>
      <c r="I1509">
        <v>1</v>
      </c>
    </row>
    <row r="1510" spans="2:9">
      <c r="C1510" t="s">
        <v>1522</v>
      </c>
      <c r="E1510" t="s">
        <v>1262</v>
      </c>
      <c r="F1510" t="s">
        <v>1386</v>
      </c>
      <c r="G1510" s="158" t="s">
        <v>1482</v>
      </c>
      <c r="H1510" t="s">
        <v>2266</v>
      </c>
      <c r="I1510">
        <v>1</v>
      </c>
    </row>
    <row r="1511" spans="2:9">
      <c r="C1511" t="s">
        <v>1522</v>
      </c>
      <c r="D1511" t="s">
        <v>1332</v>
      </c>
      <c r="E1511" t="s">
        <v>1262</v>
      </c>
      <c r="F1511" t="s">
        <v>1386</v>
      </c>
      <c r="G1511" s="158" t="s">
        <v>1033</v>
      </c>
      <c r="H1511" t="s">
        <v>2267</v>
      </c>
      <c r="I1511">
        <v>1</v>
      </c>
    </row>
    <row r="1512" spans="2:9">
      <c r="C1512" t="s">
        <v>1522</v>
      </c>
      <c r="E1512" t="s">
        <v>1262</v>
      </c>
      <c r="F1512" t="s">
        <v>1386</v>
      </c>
      <c r="G1512" s="158">
        <v>1095</v>
      </c>
      <c r="H1512" t="s">
        <v>2268</v>
      </c>
      <c r="I1512">
        <v>1</v>
      </c>
    </row>
    <row r="1513" spans="2:9">
      <c r="C1513" t="s">
        <v>1522</v>
      </c>
      <c r="D1513" t="s">
        <v>1332</v>
      </c>
      <c r="E1513" t="s">
        <v>1526</v>
      </c>
      <c r="F1513" t="s">
        <v>1386</v>
      </c>
      <c r="G1513" s="158">
        <v>1800</v>
      </c>
      <c r="H1513" t="s">
        <v>2269</v>
      </c>
      <c r="I1513">
        <v>1</v>
      </c>
    </row>
    <row r="1514" spans="2:9">
      <c r="C1514" t="s">
        <v>1521</v>
      </c>
      <c r="D1514" t="s">
        <v>1332</v>
      </c>
      <c r="E1514" t="s">
        <v>1526</v>
      </c>
      <c r="F1514" t="s">
        <v>1098</v>
      </c>
      <c r="G1514" s="158">
        <v>1000</v>
      </c>
      <c r="H1514" t="s">
        <v>2270</v>
      </c>
      <c r="I1514">
        <v>1</v>
      </c>
    </row>
    <row r="1515" spans="2:9">
      <c r="B1515" t="s">
        <v>62</v>
      </c>
      <c r="C1515" t="s">
        <v>1522</v>
      </c>
      <c r="D1515" t="s">
        <v>1329</v>
      </c>
      <c r="E1515" t="s">
        <v>1586</v>
      </c>
      <c r="F1515" t="s">
        <v>1098</v>
      </c>
      <c r="G1515" s="158">
        <v>1300</v>
      </c>
      <c r="H1515" t="s">
        <v>2271</v>
      </c>
      <c r="I1515">
        <v>1</v>
      </c>
    </row>
    <row r="1516" spans="2:9">
      <c r="C1516" t="s">
        <v>1522</v>
      </c>
      <c r="E1516" t="s">
        <v>1586</v>
      </c>
      <c r="F1516" t="s">
        <v>470</v>
      </c>
      <c r="G1516" s="158" t="s">
        <v>1528</v>
      </c>
      <c r="H1516" t="s">
        <v>2272</v>
      </c>
      <c r="I1516">
        <v>1</v>
      </c>
    </row>
    <row r="1517" spans="2:9">
      <c r="C1517" t="s">
        <v>1522</v>
      </c>
      <c r="E1517" t="s">
        <v>1586</v>
      </c>
      <c r="F1517" t="s">
        <v>470</v>
      </c>
      <c r="G1517" s="158" t="s">
        <v>428</v>
      </c>
      <c r="H1517" t="s">
        <v>2273</v>
      </c>
      <c r="I1517">
        <v>1</v>
      </c>
    </row>
    <row r="1518" spans="2:9">
      <c r="C1518" t="s">
        <v>1522</v>
      </c>
      <c r="E1518" t="s">
        <v>1586</v>
      </c>
      <c r="F1518" t="s">
        <v>470</v>
      </c>
      <c r="G1518" s="158">
        <v>2010</v>
      </c>
      <c r="H1518" t="s">
        <v>2274</v>
      </c>
      <c r="I1518">
        <v>1</v>
      </c>
    </row>
    <row r="1519" spans="2:9">
      <c r="B1519" t="s">
        <v>111</v>
      </c>
      <c r="C1519" t="s">
        <v>1522</v>
      </c>
      <c r="D1519" t="s">
        <v>1329</v>
      </c>
      <c r="E1519" t="s">
        <v>1261</v>
      </c>
      <c r="F1519" t="s">
        <v>357</v>
      </c>
      <c r="G1519" s="158">
        <v>1500</v>
      </c>
      <c r="H1519" t="s">
        <v>2275</v>
      </c>
      <c r="I1519">
        <v>1</v>
      </c>
    </row>
    <row r="1520" spans="2:9">
      <c r="C1520" t="s">
        <v>1521</v>
      </c>
      <c r="D1520" t="s">
        <v>1329</v>
      </c>
      <c r="E1520" t="s">
        <v>1586</v>
      </c>
      <c r="F1520" t="s">
        <v>285</v>
      </c>
      <c r="G1520" s="158">
        <v>2710</v>
      </c>
      <c r="H1520" t="s">
        <v>2276</v>
      </c>
      <c r="I1520">
        <v>1</v>
      </c>
    </row>
    <row r="1521" spans="2:9">
      <c r="C1521" t="s">
        <v>1521</v>
      </c>
      <c r="D1521" t="s">
        <v>1329</v>
      </c>
      <c r="E1521" t="s">
        <v>1586</v>
      </c>
      <c r="F1521" t="s">
        <v>1101</v>
      </c>
      <c r="G1521" s="158">
        <v>1100</v>
      </c>
      <c r="H1521" t="s">
        <v>2277</v>
      </c>
      <c r="I1521">
        <v>1</v>
      </c>
    </row>
    <row r="1522" spans="2:9">
      <c r="C1522" t="s">
        <v>1522</v>
      </c>
      <c r="D1522" t="s">
        <v>1329</v>
      </c>
      <c r="E1522" t="s">
        <v>1586</v>
      </c>
      <c r="F1522" t="s">
        <v>1101</v>
      </c>
      <c r="G1522" s="158">
        <v>1110</v>
      </c>
      <c r="H1522" t="s">
        <v>2278</v>
      </c>
      <c r="I1522">
        <v>1</v>
      </c>
    </row>
    <row r="1523" spans="2:9">
      <c r="C1523" t="s">
        <v>1522</v>
      </c>
      <c r="E1523" t="s">
        <v>1526</v>
      </c>
      <c r="F1523" t="s">
        <v>1101</v>
      </c>
      <c r="G1523" s="158">
        <v>1300</v>
      </c>
      <c r="H1523" t="s">
        <v>2279</v>
      </c>
      <c r="I1523">
        <v>1</v>
      </c>
    </row>
    <row r="1524" spans="2:9">
      <c r="C1524" t="s">
        <v>1521</v>
      </c>
      <c r="D1524" t="s">
        <v>534</v>
      </c>
      <c r="E1524" t="s">
        <v>1526</v>
      </c>
      <c r="F1524" t="s">
        <v>1101</v>
      </c>
      <c r="G1524" s="158">
        <v>1500</v>
      </c>
      <c r="H1524" t="s">
        <v>2280</v>
      </c>
      <c r="I1524">
        <v>1</v>
      </c>
    </row>
    <row r="1525" spans="2:9">
      <c r="C1525" t="s">
        <v>1521</v>
      </c>
      <c r="D1525" t="s">
        <v>534</v>
      </c>
      <c r="E1525" t="s">
        <v>1526</v>
      </c>
      <c r="F1525" t="s">
        <v>1101</v>
      </c>
      <c r="G1525" s="158">
        <v>1510</v>
      </c>
      <c r="H1525" t="s">
        <v>2281</v>
      </c>
      <c r="I1525">
        <v>1</v>
      </c>
    </row>
    <row r="1526" spans="2:9">
      <c r="C1526" t="s">
        <v>1521</v>
      </c>
      <c r="D1526" t="s">
        <v>70</v>
      </c>
      <c r="E1526" t="s">
        <v>739</v>
      </c>
      <c r="F1526" t="s">
        <v>1101</v>
      </c>
      <c r="G1526" s="158" t="s">
        <v>430</v>
      </c>
      <c r="H1526" t="s">
        <v>2282</v>
      </c>
      <c r="I1526">
        <v>1</v>
      </c>
    </row>
    <row r="1527" spans="2:9">
      <c r="C1527" t="s">
        <v>1522</v>
      </c>
      <c r="D1527" t="s">
        <v>1329</v>
      </c>
      <c r="E1527" t="s">
        <v>1586</v>
      </c>
      <c r="F1527" t="s">
        <v>1101</v>
      </c>
      <c r="G1527" s="158">
        <v>2700</v>
      </c>
      <c r="H1527" t="s">
        <v>2283</v>
      </c>
      <c r="I1527">
        <v>1</v>
      </c>
    </row>
    <row r="1528" spans="2:9">
      <c r="B1528" t="s">
        <v>848</v>
      </c>
      <c r="C1528" t="s">
        <v>1522</v>
      </c>
      <c r="E1528" t="s">
        <v>1195</v>
      </c>
      <c r="F1528" t="s">
        <v>454</v>
      </c>
      <c r="G1528" s="158" t="s">
        <v>1531</v>
      </c>
      <c r="H1528" t="s">
        <v>2284</v>
      </c>
      <c r="I1528">
        <v>1</v>
      </c>
    </row>
    <row r="1529" spans="2:9">
      <c r="B1529" t="s">
        <v>880</v>
      </c>
      <c r="C1529" t="s">
        <v>1522</v>
      </c>
      <c r="E1529" t="s">
        <v>1195</v>
      </c>
      <c r="F1529" t="s">
        <v>454</v>
      </c>
      <c r="G1529" s="158" t="s">
        <v>1528</v>
      </c>
      <c r="H1529" t="s">
        <v>2285</v>
      </c>
      <c r="I1529">
        <v>1</v>
      </c>
    </row>
    <row r="1530" spans="2:9">
      <c r="B1530" t="s">
        <v>883</v>
      </c>
      <c r="C1530" t="s">
        <v>1522</v>
      </c>
      <c r="E1530" t="s">
        <v>1195</v>
      </c>
      <c r="F1530" t="s">
        <v>454</v>
      </c>
      <c r="G1530" s="158" t="s">
        <v>428</v>
      </c>
      <c r="H1530" t="s">
        <v>2286</v>
      </c>
      <c r="I1530">
        <v>1</v>
      </c>
    </row>
    <row r="1531" spans="2:9">
      <c r="B1531" t="s">
        <v>880</v>
      </c>
      <c r="C1531" t="s">
        <v>1522</v>
      </c>
      <c r="E1531" t="s">
        <v>463</v>
      </c>
      <c r="F1531" t="s">
        <v>928</v>
      </c>
      <c r="G1531" s="158">
        <v>1020</v>
      </c>
      <c r="H1531" t="s">
        <v>2287</v>
      </c>
      <c r="I1531">
        <v>1</v>
      </c>
    </row>
    <row r="1532" spans="2:9">
      <c r="B1532" t="s">
        <v>882</v>
      </c>
      <c r="C1532" t="s">
        <v>1522</v>
      </c>
      <c r="E1532" t="s">
        <v>1586</v>
      </c>
      <c r="F1532" t="s">
        <v>928</v>
      </c>
      <c r="G1532" s="158" t="s">
        <v>1080</v>
      </c>
      <c r="H1532" t="s">
        <v>2288</v>
      </c>
      <c r="I1532">
        <v>1</v>
      </c>
    </row>
    <row r="1533" spans="2:9">
      <c r="B1533" t="s">
        <v>880</v>
      </c>
      <c r="C1533" t="s">
        <v>1522</v>
      </c>
      <c r="E1533" t="s">
        <v>463</v>
      </c>
      <c r="F1533" t="s">
        <v>928</v>
      </c>
      <c r="G1533" s="158">
        <v>1250</v>
      </c>
      <c r="H1533" t="s">
        <v>2289</v>
      </c>
      <c r="I1533">
        <v>1</v>
      </c>
    </row>
    <row r="1534" spans="2:9">
      <c r="B1534" t="s">
        <v>880</v>
      </c>
      <c r="C1534" t="s">
        <v>1522</v>
      </c>
      <c r="D1534" t="s">
        <v>1331</v>
      </c>
      <c r="E1534" t="s">
        <v>463</v>
      </c>
      <c r="F1534" t="s">
        <v>928</v>
      </c>
      <c r="G1534" s="158">
        <v>1500</v>
      </c>
      <c r="H1534" t="s">
        <v>2290</v>
      </c>
      <c r="I1534">
        <v>1</v>
      </c>
    </row>
    <row r="1535" spans="2:9">
      <c r="B1535" t="s">
        <v>882</v>
      </c>
      <c r="C1535" t="s">
        <v>1522</v>
      </c>
      <c r="E1535" t="s">
        <v>739</v>
      </c>
      <c r="F1535" t="s">
        <v>928</v>
      </c>
      <c r="G1535" s="158">
        <v>2300</v>
      </c>
      <c r="H1535" t="s">
        <v>2291</v>
      </c>
      <c r="I1535">
        <v>1</v>
      </c>
    </row>
    <row r="1536" spans="2:9">
      <c r="B1536" t="s">
        <v>880</v>
      </c>
      <c r="C1536" t="s">
        <v>1522</v>
      </c>
      <c r="D1536" t="s">
        <v>1329</v>
      </c>
      <c r="E1536" t="s">
        <v>1586</v>
      </c>
      <c r="F1536" t="s">
        <v>928</v>
      </c>
      <c r="G1536" s="158">
        <v>2600</v>
      </c>
      <c r="H1536" t="s">
        <v>2292</v>
      </c>
      <c r="I1536">
        <v>1</v>
      </c>
    </row>
    <row r="1537" spans="2:9">
      <c r="B1537" t="s">
        <v>109</v>
      </c>
      <c r="C1537" t="s">
        <v>1522</v>
      </c>
      <c r="E1537" t="s">
        <v>1586</v>
      </c>
      <c r="F1537" t="s">
        <v>1392</v>
      </c>
      <c r="G1537" s="158">
        <v>1110</v>
      </c>
      <c r="H1537" t="s">
        <v>2293</v>
      </c>
      <c r="I1537">
        <v>1</v>
      </c>
    </row>
    <row r="1538" spans="2:9">
      <c r="B1538" t="s">
        <v>109</v>
      </c>
      <c r="C1538" t="s">
        <v>1522</v>
      </c>
      <c r="E1538" t="s">
        <v>1586</v>
      </c>
      <c r="F1538" t="s">
        <v>1392</v>
      </c>
      <c r="G1538" s="158">
        <v>1180</v>
      </c>
      <c r="H1538" t="s">
        <v>2294</v>
      </c>
      <c r="I1538">
        <v>1</v>
      </c>
    </row>
    <row r="1539" spans="2:9">
      <c r="C1539" t="s">
        <v>1521</v>
      </c>
      <c r="E1539" t="s">
        <v>797</v>
      </c>
      <c r="F1539" t="s">
        <v>1889</v>
      </c>
      <c r="G1539" s="158">
        <v>2210</v>
      </c>
      <c r="H1539" t="s">
        <v>2295</v>
      </c>
      <c r="I1539">
        <v>1</v>
      </c>
    </row>
    <row r="1540" spans="2:9">
      <c r="C1540" t="s">
        <v>1521</v>
      </c>
      <c r="E1540" t="s">
        <v>797</v>
      </c>
      <c r="F1540" t="s">
        <v>1889</v>
      </c>
      <c r="G1540" s="158">
        <v>2213</v>
      </c>
      <c r="H1540" t="s">
        <v>2296</v>
      </c>
      <c r="I1540">
        <v>1</v>
      </c>
    </row>
    <row r="1541" spans="2:9">
      <c r="B1541" t="s">
        <v>848</v>
      </c>
      <c r="C1541" t="s">
        <v>1522</v>
      </c>
      <c r="E1541" t="s">
        <v>739</v>
      </c>
      <c r="F1541" t="s">
        <v>677</v>
      </c>
      <c r="G1541" s="158" t="s">
        <v>754</v>
      </c>
      <c r="H1541" t="s">
        <v>2297</v>
      </c>
      <c r="I1541">
        <v>1</v>
      </c>
    </row>
    <row r="1542" spans="2:9">
      <c r="B1542" t="s">
        <v>880</v>
      </c>
      <c r="C1542" t="s">
        <v>1522</v>
      </c>
      <c r="E1542" t="s">
        <v>739</v>
      </c>
      <c r="F1542" t="s">
        <v>677</v>
      </c>
      <c r="G1542" s="158" t="s">
        <v>742</v>
      </c>
      <c r="H1542" t="s">
        <v>2298</v>
      </c>
      <c r="I1542">
        <v>1</v>
      </c>
    </row>
    <row r="1543" spans="2:9">
      <c r="B1543" t="s">
        <v>880</v>
      </c>
      <c r="C1543" t="s">
        <v>1522</v>
      </c>
      <c r="E1543" t="s">
        <v>739</v>
      </c>
      <c r="F1543" t="s">
        <v>677</v>
      </c>
      <c r="G1543" s="158">
        <v>1106</v>
      </c>
      <c r="H1543" t="s">
        <v>2299</v>
      </c>
      <c r="I1543">
        <v>1</v>
      </c>
    </row>
    <row r="1544" spans="2:9">
      <c r="B1544" t="s">
        <v>880</v>
      </c>
      <c r="C1544" t="s">
        <v>1522</v>
      </c>
      <c r="E1544" t="s">
        <v>739</v>
      </c>
      <c r="F1544" t="s">
        <v>677</v>
      </c>
      <c r="G1544" s="158">
        <v>1120</v>
      </c>
      <c r="H1544" t="s">
        <v>2300</v>
      </c>
      <c r="I1544">
        <v>1</v>
      </c>
    </row>
    <row r="1545" spans="2:9">
      <c r="C1545" t="s">
        <v>1522</v>
      </c>
      <c r="D1545" t="s">
        <v>534</v>
      </c>
      <c r="E1545" t="s">
        <v>1262</v>
      </c>
      <c r="F1545" t="s">
        <v>911</v>
      </c>
      <c r="G1545" s="158" t="s">
        <v>1528</v>
      </c>
      <c r="H1545" t="s">
        <v>2301</v>
      </c>
      <c r="I1545">
        <v>1</v>
      </c>
    </row>
    <row r="1546" spans="2:9">
      <c r="C1546" t="s">
        <v>1522</v>
      </c>
      <c r="D1546" t="s">
        <v>534</v>
      </c>
      <c r="E1546" t="s">
        <v>1586</v>
      </c>
      <c r="F1546" t="s">
        <v>469</v>
      </c>
      <c r="G1546" s="158" t="s">
        <v>1528</v>
      </c>
      <c r="H1546" t="s">
        <v>2302</v>
      </c>
      <c r="I1546">
        <v>1</v>
      </c>
    </row>
    <row r="1547" spans="2:9">
      <c r="C1547" t="s">
        <v>1522</v>
      </c>
      <c r="D1547" t="s">
        <v>534</v>
      </c>
      <c r="E1547" t="s">
        <v>463</v>
      </c>
      <c r="F1547" t="s">
        <v>929</v>
      </c>
      <c r="G1547" s="158" t="s">
        <v>1078</v>
      </c>
      <c r="H1547" t="s">
        <v>2303</v>
      </c>
      <c r="I1547">
        <v>1</v>
      </c>
    </row>
    <row r="1548" spans="2:9">
      <c r="B1548" t="s">
        <v>112</v>
      </c>
      <c r="C1548" t="s">
        <v>1522</v>
      </c>
      <c r="E1548" t="s">
        <v>739</v>
      </c>
      <c r="F1548" t="s">
        <v>755</v>
      </c>
      <c r="G1548" s="158">
        <v>1010</v>
      </c>
      <c r="H1548" t="s">
        <v>2304</v>
      </c>
      <c r="I1548">
        <v>1</v>
      </c>
    </row>
    <row r="1549" spans="2:9">
      <c r="B1549" t="s">
        <v>1345</v>
      </c>
      <c r="C1549" t="s">
        <v>1522</v>
      </c>
      <c r="E1549" t="s">
        <v>1586</v>
      </c>
      <c r="F1549" t="s">
        <v>1029</v>
      </c>
      <c r="G1549" s="158">
        <v>1420</v>
      </c>
      <c r="H1549" t="s">
        <v>2305</v>
      </c>
      <c r="I1549">
        <v>1</v>
      </c>
    </row>
    <row r="1550" spans="2:9">
      <c r="B1550" t="s">
        <v>121</v>
      </c>
      <c r="C1550" t="s">
        <v>1522</v>
      </c>
      <c r="E1550" t="s">
        <v>1586</v>
      </c>
      <c r="F1550" t="s">
        <v>1029</v>
      </c>
      <c r="G1550" s="158">
        <v>2450</v>
      </c>
      <c r="H1550" t="s">
        <v>2306</v>
      </c>
      <c r="I1550">
        <v>1</v>
      </c>
    </row>
    <row r="1551" spans="2:9">
      <c r="B1551" t="s">
        <v>112</v>
      </c>
      <c r="C1551" t="s">
        <v>1522</v>
      </c>
      <c r="E1551" t="s">
        <v>463</v>
      </c>
      <c r="F1551" t="s">
        <v>1865</v>
      </c>
      <c r="G1551" s="158">
        <v>1010</v>
      </c>
      <c r="H1551" t="s">
        <v>2307</v>
      </c>
      <c r="I1551">
        <v>1</v>
      </c>
    </row>
    <row r="1552" spans="2:9">
      <c r="C1552" t="s">
        <v>1522</v>
      </c>
      <c r="E1552" t="s">
        <v>1526</v>
      </c>
      <c r="F1552" t="s">
        <v>359</v>
      </c>
      <c r="G1552" s="158" t="s">
        <v>1528</v>
      </c>
      <c r="H1552" t="s">
        <v>2308</v>
      </c>
      <c r="I1552">
        <v>1</v>
      </c>
    </row>
    <row r="1553" spans="2:9">
      <c r="C1553" t="s">
        <v>1522</v>
      </c>
      <c r="E1553" t="s">
        <v>1526</v>
      </c>
      <c r="F1553" t="s">
        <v>359</v>
      </c>
      <c r="G1553" s="158">
        <v>1020</v>
      </c>
      <c r="H1553" t="s">
        <v>2309</v>
      </c>
      <c r="I1553">
        <v>1</v>
      </c>
    </row>
    <row r="1554" spans="2:9">
      <c r="C1554" t="s">
        <v>1522</v>
      </c>
      <c r="D1554" t="s">
        <v>1331</v>
      </c>
      <c r="E1554" t="s">
        <v>1195</v>
      </c>
      <c r="F1554" t="s">
        <v>1154</v>
      </c>
      <c r="G1554" s="158">
        <v>1010</v>
      </c>
      <c r="H1554" t="s">
        <v>2310</v>
      </c>
      <c r="I1554">
        <v>1</v>
      </c>
    </row>
    <row r="1555" spans="2:9">
      <c r="C1555" t="s">
        <v>1521</v>
      </c>
      <c r="D1555" t="s">
        <v>1331</v>
      </c>
      <c r="E1555" t="s">
        <v>1262</v>
      </c>
      <c r="F1555" t="s">
        <v>501</v>
      </c>
      <c r="G1555" s="158" t="s">
        <v>1528</v>
      </c>
      <c r="H1555" t="s">
        <v>2311</v>
      </c>
      <c r="I1555">
        <v>1</v>
      </c>
    </row>
    <row r="1556" spans="2:9">
      <c r="B1556" t="s">
        <v>848</v>
      </c>
      <c r="C1556" t="s">
        <v>1522</v>
      </c>
      <c r="E1556" t="s">
        <v>463</v>
      </c>
      <c r="F1556" t="s">
        <v>931</v>
      </c>
      <c r="G1556" s="158" t="s">
        <v>1078</v>
      </c>
      <c r="H1556" t="s">
        <v>2312</v>
      </c>
      <c r="I1556">
        <v>1</v>
      </c>
    </row>
    <row r="1557" spans="2:9">
      <c r="B1557" t="s">
        <v>580</v>
      </c>
      <c r="C1557" t="s">
        <v>1522</v>
      </c>
      <c r="E1557" t="s">
        <v>1526</v>
      </c>
      <c r="F1557" t="s">
        <v>1109</v>
      </c>
      <c r="G1557" s="158" t="s">
        <v>1110</v>
      </c>
      <c r="H1557" t="s">
        <v>2313</v>
      </c>
      <c r="I1557">
        <v>1</v>
      </c>
    </row>
    <row r="1558" spans="2:9">
      <c r="B1558" t="s">
        <v>580</v>
      </c>
      <c r="C1558" t="s">
        <v>1522</v>
      </c>
      <c r="E1558" t="s">
        <v>1526</v>
      </c>
      <c r="F1558" t="s">
        <v>1109</v>
      </c>
      <c r="G1558" s="158" t="s">
        <v>1111</v>
      </c>
      <c r="H1558" t="s">
        <v>2314</v>
      </c>
      <c r="I1558">
        <v>1</v>
      </c>
    </row>
    <row r="1559" spans="2:9">
      <c r="B1559" t="s">
        <v>580</v>
      </c>
      <c r="C1559" t="s">
        <v>1522</v>
      </c>
      <c r="E1559" t="s">
        <v>463</v>
      </c>
      <c r="F1559" t="s">
        <v>933</v>
      </c>
      <c r="G1559" s="158" t="s">
        <v>1548</v>
      </c>
      <c r="H1559" t="s">
        <v>2315</v>
      </c>
      <c r="I1559">
        <v>1</v>
      </c>
    </row>
    <row r="1560" spans="2:9">
      <c r="B1560" t="s">
        <v>580</v>
      </c>
      <c r="C1560" t="s">
        <v>1522</v>
      </c>
      <c r="E1560" t="s">
        <v>463</v>
      </c>
      <c r="F1560" t="s">
        <v>933</v>
      </c>
      <c r="G1560" s="158">
        <v>1510</v>
      </c>
      <c r="H1560" t="s">
        <v>2316</v>
      </c>
      <c r="I1560">
        <v>1</v>
      </c>
    </row>
    <row r="1561" spans="2:9">
      <c r="C1561" t="s">
        <v>1522</v>
      </c>
      <c r="E1561" t="s">
        <v>1586</v>
      </c>
      <c r="F1561" t="s">
        <v>1290</v>
      </c>
      <c r="G1561" s="158">
        <v>1010</v>
      </c>
      <c r="H1561" t="s">
        <v>2317</v>
      </c>
      <c r="I1561">
        <v>1</v>
      </c>
    </row>
    <row r="1562" spans="2:9">
      <c r="C1562" t="s">
        <v>1522</v>
      </c>
      <c r="E1562" t="s">
        <v>1195</v>
      </c>
      <c r="F1562" t="s">
        <v>1113</v>
      </c>
      <c r="G1562" s="158">
        <v>1010</v>
      </c>
      <c r="H1562" t="s">
        <v>2318</v>
      </c>
      <c r="I1562">
        <v>1</v>
      </c>
    </row>
    <row r="1563" spans="2:9">
      <c r="C1563" t="s">
        <v>1522</v>
      </c>
      <c r="D1563" t="s">
        <v>845</v>
      </c>
      <c r="E1563" t="s">
        <v>1526</v>
      </c>
      <c r="F1563" t="s">
        <v>1113</v>
      </c>
      <c r="G1563" s="158" t="s">
        <v>1117</v>
      </c>
      <c r="H1563" t="s">
        <v>2319</v>
      </c>
      <c r="I1563">
        <v>1</v>
      </c>
    </row>
    <row r="1564" spans="2:9">
      <c r="C1564" t="s">
        <v>1522</v>
      </c>
      <c r="D1564" t="s">
        <v>845</v>
      </c>
      <c r="E1564" t="s">
        <v>1261</v>
      </c>
      <c r="F1564" t="s">
        <v>1113</v>
      </c>
      <c r="G1564" s="158">
        <v>1050</v>
      </c>
      <c r="H1564" t="s">
        <v>2320</v>
      </c>
      <c r="I1564">
        <v>1</v>
      </c>
    </row>
    <row r="1565" spans="2:9">
      <c r="C1565" t="s">
        <v>1522</v>
      </c>
      <c r="E1565" t="s">
        <v>1261</v>
      </c>
      <c r="F1565" t="s">
        <v>1113</v>
      </c>
      <c r="G1565" s="158">
        <v>1060</v>
      </c>
      <c r="H1565" t="s">
        <v>2321</v>
      </c>
      <c r="I1565">
        <v>1</v>
      </c>
    </row>
    <row r="1566" spans="2:9">
      <c r="C1566" t="s">
        <v>1522</v>
      </c>
      <c r="E1566" t="s">
        <v>1195</v>
      </c>
      <c r="F1566" t="s">
        <v>1113</v>
      </c>
      <c r="G1566" s="158">
        <v>1065</v>
      </c>
      <c r="H1566" t="s">
        <v>2322</v>
      </c>
      <c r="I1566">
        <v>1</v>
      </c>
    </row>
    <row r="1567" spans="2:9">
      <c r="C1567" t="s">
        <v>1522</v>
      </c>
      <c r="E1567" t="s">
        <v>1526</v>
      </c>
      <c r="F1567" t="s">
        <v>1113</v>
      </c>
      <c r="G1567" s="158">
        <v>1100</v>
      </c>
      <c r="H1567" t="s">
        <v>2323</v>
      </c>
      <c r="I1567">
        <v>1</v>
      </c>
    </row>
    <row r="1568" spans="2:9">
      <c r="C1568" t="s">
        <v>1522</v>
      </c>
      <c r="E1568" t="s">
        <v>1262</v>
      </c>
      <c r="F1568" t="s">
        <v>1113</v>
      </c>
      <c r="G1568" s="158">
        <v>1210</v>
      </c>
      <c r="H1568" t="s">
        <v>2324</v>
      </c>
      <c r="I1568">
        <v>1</v>
      </c>
    </row>
    <row r="1569" spans="2:9">
      <c r="C1569" t="s">
        <v>1522</v>
      </c>
      <c r="E1569" t="s">
        <v>1262</v>
      </c>
      <c r="F1569" t="s">
        <v>1113</v>
      </c>
      <c r="G1569" s="158">
        <v>1220</v>
      </c>
      <c r="H1569" t="s">
        <v>2325</v>
      </c>
      <c r="I1569">
        <v>1</v>
      </c>
    </row>
    <row r="1570" spans="2:9">
      <c r="C1570" t="s">
        <v>1522</v>
      </c>
      <c r="E1570" t="s">
        <v>1526</v>
      </c>
      <c r="F1570" t="s">
        <v>1113</v>
      </c>
      <c r="G1570" s="158">
        <v>2020</v>
      </c>
      <c r="H1570" t="s">
        <v>2326</v>
      </c>
      <c r="I1570">
        <v>1</v>
      </c>
    </row>
    <row r="1571" spans="2:9">
      <c r="C1571" t="s">
        <v>1522</v>
      </c>
      <c r="E1571" t="s">
        <v>1526</v>
      </c>
      <c r="F1571" t="s">
        <v>1113</v>
      </c>
      <c r="G1571" s="158">
        <v>2040</v>
      </c>
      <c r="H1571" t="s">
        <v>2327</v>
      </c>
      <c r="I1571">
        <v>1</v>
      </c>
    </row>
    <row r="1572" spans="2:9">
      <c r="C1572" t="s">
        <v>1522</v>
      </c>
      <c r="E1572" t="s">
        <v>1262</v>
      </c>
      <c r="F1572" t="s">
        <v>1113</v>
      </c>
      <c r="G1572" s="158">
        <v>2210</v>
      </c>
      <c r="H1572" t="s">
        <v>2328</v>
      </c>
      <c r="I1572">
        <v>1</v>
      </c>
    </row>
    <row r="1573" spans="2:9">
      <c r="C1573" t="s">
        <v>1522</v>
      </c>
      <c r="E1573" t="s">
        <v>551</v>
      </c>
      <c r="F1573" t="s">
        <v>455</v>
      </c>
      <c r="G1573" s="158">
        <v>1010</v>
      </c>
      <c r="H1573" t="s">
        <v>2329</v>
      </c>
      <c r="I1573">
        <v>1</v>
      </c>
    </row>
    <row r="1574" spans="2:9">
      <c r="C1574" t="s">
        <v>1522</v>
      </c>
      <c r="D1574" t="s">
        <v>845</v>
      </c>
      <c r="E1574" t="s">
        <v>797</v>
      </c>
      <c r="F1574" t="s">
        <v>455</v>
      </c>
      <c r="G1574" s="158">
        <v>1030</v>
      </c>
      <c r="H1574" t="s">
        <v>2330</v>
      </c>
      <c r="I1574">
        <v>1</v>
      </c>
    </row>
    <row r="1575" spans="2:9">
      <c r="C1575" t="s">
        <v>1522</v>
      </c>
      <c r="D1575" t="s">
        <v>845</v>
      </c>
      <c r="E1575" t="s">
        <v>1262</v>
      </c>
      <c r="F1575" t="s">
        <v>455</v>
      </c>
      <c r="G1575" s="158" t="s">
        <v>440</v>
      </c>
      <c r="H1575" t="s">
        <v>2331</v>
      </c>
      <c r="I1575">
        <v>1</v>
      </c>
    </row>
    <row r="1576" spans="2:9">
      <c r="C1576" t="s">
        <v>1522</v>
      </c>
      <c r="D1576" t="s">
        <v>845</v>
      </c>
      <c r="E1576" t="s">
        <v>1586</v>
      </c>
      <c r="F1576" t="s">
        <v>455</v>
      </c>
      <c r="G1576" s="158">
        <v>1050</v>
      </c>
      <c r="H1576" t="s">
        <v>2332</v>
      </c>
      <c r="I1576">
        <v>1</v>
      </c>
    </row>
    <row r="1577" spans="2:9">
      <c r="C1577" t="s">
        <v>1522</v>
      </c>
      <c r="E1577" t="s">
        <v>1586</v>
      </c>
      <c r="F1577" t="s">
        <v>455</v>
      </c>
      <c r="G1577" s="158">
        <v>1060</v>
      </c>
      <c r="H1577" t="s">
        <v>2333</v>
      </c>
      <c r="I1577">
        <v>1</v>
      </c>
    </row>
    <row r="1578" spans="2:9">
      <c r="C1578" t="s">
        <v>1522</v>
      </c>
      <c r="E1578" t="s">
        <v>797</v>
      </c>
      <c r="F1578" t="s">
        <v>455</v>
      </c>
      <c r="G1578" s="158">
        <v>1070</v>
      </c>
      <c r="H1578" t="s">
        <v>2334</v>
      </c>
      <c r="I1578">
        <v>1</v>
      </c>
    </row>
    <row r="1579" spans="2:9">
      <c r="C1579" t="s">
        <v>1522</v>
      </c>
      <c r="E1579" t="s">
        <v>797</v>
      </c>
      <c r="F1579" t="s">
        <v>455</v>
      </c>
      <c r="G1579" s="158">
        <v>1210</v>
      </c>
      <c r="H1579" t="s">
        <v>2335</v>
      </c>
      <c r="I1579">
        <v>1</v>
      </c>
    </row>
    <row r="1580" spans="2:9">
      <c r="C1580" t="s">
        <v>1522</v>
      </c>
      <c r="E1580" t="s">
        <v>797</v>
      </c>
      <c r="F1580" t="s">
        <v>455</v>
      </c>
      <c r="G1580" s="158">
        <v>1220</v>
      </c>
      <c r="H1580" t="s">
        <v>2336</v>
      </c>
      <c r="I1580">
        <v>1</v>
      </c>
    </row>
    <row r="1581" spans="2:9">
      <c r="C1581" t="s">
        <v>1522</v>
      </c>
      <c r="D1581" t="s">
        <v>1332</v>
      </c>
      <c r="E1581" t="s">
        <v>463</v>
      </c>
      <c r="F1581" t="s">
        <v>360</v>
      </c>
      <c r="G1581" s="158">
        <v>1010</v>
      </c>
      <c r="H1581" t="s">
        <v>2337</v>
      </c>
      <c r="I1581">
        <v>1</v>
      </c>
    </row>
    <row r="1582" spans="2:9">
      <c r="B1582" t="s">
        <v>136</v>
      </c>
      <c r="C1582" t="s">
        <v>1522</v>
      </c>
      <c r="E1582" t="s">
        <v>739</v>
      </c>
      <c r="F1582" t="s">
        <v>760</v>
      </c>
      <c r="G1582" s="158" t="s">
        <v>1531</v>
      </c>
      <c r="H1582" t="s">
        <v>2338</v>
      </c>
      <c r="I1582">
        <v>1</v>
      </c>
    </row>
    <row r="1583" spans="2:9">
      <c r="C1583" t="s">
        <v>1522</v>
      </c>
      <c r="D1583" t="s">
        <v>1332</v>
      </c>
      <c r="E1583" t="s">
        <v>1586</v>
      </c>
      <c r="F1583" t="s">
        <v>1018</v>
      </c>
      <c r="G1583" s="158">
        <v>1010</v>
      </c>
      <c r="H1583" t="s">
        <v>2339</v>
      </c>
      <c r="I1583">
        <v>1</v>
      </c>
    </row>
    <row r="1584" spans="2:9">
      <c r="B1584" t="s">
        <v>136</v>
      </c>
      <c r="C1584" t="s">
        <v>1522</v>
      </c>
      <c r="E1584" t="s">
        <v>739</v>
      </c>
      <c r="F1584" t="s">
        <v>756</v>
      </c>
      <c r="G1584" s="158" t="s">
        <v>1125</v>
      </c>
      <c r="H1584" t="s">
        <v>2340</v>
      </c>
      <c r="I1584">
        <v>1</v>
      </c>
    </row>
    <row r="1585" spans="2:9">
      <c r="B1585" t="s">
        <v>580</v>
      </c>
      <c r="C1585" t="s">
        <v>1522</v>
      </c>
      <c r="E1585" t="s">
        <v>739</v>
      </c>
      <c r="F1585" t="s">
        <v>756</v>
      </c>
      <c r="G1585" s="158">
        <v>1210</v>
      </c>
      <c r="H1585" t="s">
        <v>2341</v>
      </c>
      <c r="I1585">
        <v>1</v>
      </c>
    </row>
    <row r="1586" spans="2:9">
      <c r="B1586" t="s">
        <v>582</v>
      </c>
      <c r="C1586" t="s">
        <v>1522</v>
      </c>
      <c r="E1586" t="s">
        <v>739</v>
      </c>
      <c r="F1586" t="s">
        <v>756</v>
      </c>
      <c r="G1586" s="158">
        <v>2150</v>
      </c>
      <c r="H1586" t="s">
        <v>2342</v>
      </c>
      <c r="I1586">
        <v>1</v>
      </c>
    </row>
    <row r="1587" spans="2:9">
      <c r="B1587" t="s">
        <v>582</v>
      </c>
      <c r="C1587" t="s">
        <v>1522</v>
      </c>
      <c r="E1587" t="s">
        <v>739</v>
      </c>
      <c r="F1587" t="s">
        <v>756</v>
      </c>
      <c r="G1587" s="158" t="s">
        <v>905</v>
      </c>
      <c r="H1587" t="s">
        <v>2343</v>
      </c>
      <c r="I1587">
        <v>1</v>
      </c>
    </row>
    <row r="1588" spans="2:9">
      <c r="B1588" t="s">
        <v>582</v>
      </c>
      <c r="C1588" t="s">
        <v>1522</v>
      </c>
      <c r="E1588" t="s">
        <v>739</v>
      </c>
      <c r="F1588" t="s">
        <v>756</v>
      </c>
      <c r="G1588" s="158">
        <v>2670</v>
      </c>
      <c r="H1588" t="s">
        <v>2344</v>
      </c>
      <c r="I1588">
        <v>1</v>
      </c>
    </row>
    <row r="1589" spans="2:9">
      <c r="B1589" t="s">
        <v>582</v>
      </c>
      <c r="C1589" t="s">
        <v>1522</v>
      </c>
      <c r="E1589" t="s">
        <v>739</v>
      </c>
      <c r="F1589" t="s">
        <v>756</v>
      </c>
      <c r="G1589" s="158" t="s">
        <v>906</v>
      </c>
      <c r="H1589" t="s">
        <v>2345</v>
      </c>
      <c r="I1589">
        <v>1</v>
      </c>
    </row>
    <row r="1590" spans="2:9">
      <c r="B1590" t="s">
        <v>91</v>
      </c>
      <c r="C1590" t="s">
        <v>1522</v>
      </c>
      <c r="E1590" t="s">
        <v>1586</v>
      </c>
      <c r="F1590" t="s">
        <v>457</v>
      </c>
      <c r="G1590" s="158" t="s">
        <v>1121</v>
      </c>
      <c r="H1590" t="s">
        <v>2346</v>
      </c>
      <c r="I1590">
        <v>1</v>
      </c>
    </row>
    <row r="1591" spans="2:9">
      <c r="B1591" t="s">
        <v>94</v>
      </c>
      <c r="C1591" t="s">
        <v>1522</v>
      </c>
      <c r="E1591" t="s">
        <v>1195</v>
      </c>
      <c r="F1591" t="s">
        <v>457</v>
      </c>
      <c r="G1591" s="158">
        <v>1650</v>
      </c>
      <c r="H1591" t="s">
        <v>2347</v>
      </c>
      <c r="I1591">
        <v>1</v>
      </c>
    </row>
    <row r="1592" spans="2:9">
      <c r="B1592" t="s">
        <v>93</v>
      </c>
      <c r="C1592" t="s">
        <v>1522</v>
      </c>
      <c r="E1592" t="s">
        <v>1195</v>
      </c>
      <c r="F1592" t="s">
        <v>457</v>
      </c>
      <c r="G1592" s="158">
        <v>2050</v>
      </c>
      <c r="H1592" t="s">
        <v>2348</v>
      </c>
      <c r="I1592">
        <v>1</v>
      </c>
    </row>
    <row r="1593" spans="2:9">
      <c r="B1593" t="s">
        <v>100</v>
      </c>
      <c r="C1593" t="s">
        <v>1522</v>
      </c>
      <c r="E1593" t="s">
        <v>1195</v>
      </c>
      <c r="F1593" t="s">
        <v>457</v>
      </c>
      <c r="G1593" s="158">
        <v>2600</v>
      </c>
      <c r="H1593" t="s">
        <v>2349</v>
      </c>
      <c r="I1593">
        <v>1</v>
      </c>
    </row>
    <row r="1594" spans="2:9">
      <c r="B1594" t="s">
        <v>94</v>
      </c>
      <c r="C1594" t="s">
        <v>1522</v>
      </c>
      <c r="E1594" t="s">
        <v>1195</v>
      </c>
      <c r="F1594" t="s">
        <v>457</v>
      </c>
      <c r="G1594" s="158">
        <v>2620</v>
      </c>
      <c r="H1594" t="s">
        <v>2350</v>
      </c>
      <c r="I1594">
        <v>1</v>
      </c>
    </row>
    <row r="1595" spans="2:9">
      <c r="B1595" t="s">
        <v>870</v>
      </c>
      <c r="C1595" t="s">
        <v>1522</v>
      </c>
      <c r="E1595" t="s">
        <v>463</v>
      </c>
      <c r="F1595" t="s">
        <v>864</v>
      </c>
      <c r="G1595" s="158">
        <v>1100</v>
      </c>
      <c r="H1595" t="s">
        <v>2351</v>
      </c>
      <c r="I1595">
        <v>1</v>
      </c>
    </row>
    <row r="1596" spans="2:9">
      <c r="B1596" t="s">
        <v>92</v>
      </c>
      <c r="C1596" t="s">
        <v>1522</v>
      </c>
      <c r="E1596" t="s">
        <v>463</v>
      </c>
      <c r="F1596" t="s">
        <v>864</v>
      </c>
      <c r="G1596" s="158">
        <v>1600</v>
      </c>
      <c r="H1596" t="s">
        <v>2352</v>
      </c>
      <c r="I1596">
        <v>1</v>
      </c>
    </row>
    <row r="1597" spans="2:9">
      <c r="B1597" t="s">
        <v>123</v>
      </c>
      <c r="C1597" t="s">
        <v>1522</v>
      </c>
      <c r="E1597" t="s">
        <v>1526</v>
      </c>
      <c r="F1597" t="s">
        <v>1122</v>
      </c>
      <c r="G1597" s="158" t="s">
        <v>1123</v>
      </c>
      <c r="H1597" t="s">
        <v>2353</v>
      </c>
      <c r="I1597">
        <v>1</v>
      </c>
    </row>
    <row r="1598" spans="2:9">
      <c r="B1598" t="s">
        <v>133</v>
      </c>
      <c r="C1598" t="s">
        <v>1522</v>
      </c>
      <c r="E1598" t="s">
        <v>463</v>
      </c>
      <c r="F1598" t="s">
        <v>459</v>
      </c>
      <c r="G1598" s="158" t="s">
        <v>1528</v>
      </c>
      <c r="H1598" t="s">
        <v>2354</v>
      </c>
      <c r="I1598">
        <v>1</v>
      </c>
    </row>
    <row r="1599" spans="2:9">
      <c r="B1599" t="s">
        <v>132</v>
      </c>
      <c r="C1599" t="s">
        <v>1522</v>
      </c>
      <c r="E1599" t="s">
        <v>463</v>
      </c>
      <c r="F1599" t="s">
        <v>459</v>
      </c>
      <c r="G1599" s="158">
        <v>1030</v>
      </c>
      <c r="H1599" t="s">
        <v>2355</v>
      </c>
      <c r="I1599">
        <v>1</v>
      </c>
    </row>
    <row r="1600" spans="2:9">
      <c r="B1600" t="s">
        <v>129</v>
      </c>
      <c r="C1600" t="s">
        <v>1522</v>
      </c>
      <c r="E1600" t="s">
        <v>463</v>
      </c>
      <c r="F1600" t="s">
        <v>459</v>
      </c>
      <c r="G1600" s="158">
        <v>1070</v>
      </c>
      <c r="H1600" t="s">
        <v>2356</v>
      </c>
      <c r="I1600">
        <v>1</v>
      </c>
    </row>
    <row r="1601" spans="2:9">
      <c r="B1601" t="s">
        <v>100</v>
      </c>
      <c r="C1601" t="s">
        <v>1522</v>
      </c>
      <c r="E1601" t="s">
        <v>463</v>
      </c>
      <c r="F1601" t="s">
        <v>459</v>
      </c>
      <c r="G1601" s="158">
        <v>1480</v>
      </c>
      <c r="H1601" t="s">
        <v>2357</v>
      </c>
      <c r="I1601">
        <v>1</v>
      </c>
    </row>
    <row r="1602" spans="2:9">
      <c r="B1602" t="s">
        <v>1360</v>
      </c>
      <c r="C1602" t="s">
        <v>1522</v>
      </c>
      <c r="E1602" t="s">
        <v>1195</v>
      </c>
      <c r="F1602" t="s">
        <v>459</v>
      </c>
      <c r="G1602" s="158">
        <v>1510</v>
      </c>
      <c r="H1602" t="s">
        <v>2358</v>
      </c>
      <c r="I1602">
        <v>1</v>
      </c>
    </row>
    <row r="1603" spans="2:9">
      <c r="B1603" t="s">
        <v>94</v>
      </c>
      <c r="C1603" t="s">
        <v>1522</v>
      </c>
      <c r="E1603" t="s">
        <v>463</v>
      </c>
      <c r="F1603" t="s">
        <v>459</v>
      </c>
      <c r="G1603" s="158">
        <v>1900</v>
      </c>
      <c r="H1603" t="s">
        <v>2359</v>
      </c>
      <c r="I1603">
        <v>1</v>
      </c>
    </row>
    <row r="1604" spans="2:9">
      <c r="B1604" t="s">
        <v>133</v>
      </c>
      <c r="C1604" t="s">
        <v>1522</v>
      </c>
      <c r="E1604" t="s">
        <v>463</v>
      </c>
      <c r="F1604" t="s">
        <v>459</v>
      </c>
      <c r="G1604" s="158">
        <v>2000</v>
      </c>
      <c r="H1604" t="s">
        <v>2360</v>
      </c>
      <c r="I1604">
        <v>1</v>
      </c>
    </row>
    <row r="1605" spans="2:9">
      <c r="B1605" t="s">
        <v>132</v>
      </c>
      <c r="C1605" t="s">
        <v>1522</v>
      </c>
      <c r="E1605" t="s">
        <v>1195</v>
      </c>
      <c r="F1605" t="s">
        <v>459</v>
      </c>
      <c r="G1605" s="158">
        <v>2520</v>
      </c>
      <c r="H1605" t="s">
        <v>2361</v>
      </c>
      <c r="I1605">
        <v>1</v>
      </c>
    </row>
    <row r="1606" spans="2:9">
      <c r="B1606" t="s">
        <v>133</v>
      </c>
      <c r="C1606" t="s">
        <v>1522</v>
      </c>
      <c r="E1606" t="s">
        <v>1195</v>
      </c>
      <c r="F1606" t="s">
        <v>459</v>
      </c>
      <c r="G1606" s="158">
        <v>2540</v>
      </c>
      <c r="H1606" t="s">
        <v>2362</v>
      </c>
      <c r="I1606">
        <v>1</v>
      </c>
    </row>
    <row r="1607" spans="2:9">
      <c r="B1607" t="s">
        <v>131</v>
      </c>
      <c r="C1607" t="s">
        <v>1522</v>
      </c>
      <c r="E1607" t="s">
        <v>1195</v>
      </c>
      <c r="F1607" t="s">
        <v>459</v>
      </c>
      <c r="G1607" s="158">
        <v>2550</v>
      </c>
      <c r="H1607" t="s">
        <v>2363</v>
      </c>
      <c r="I1607">
        <v>1</v>
      </c>
    </row>
    <row r="1608" spans="2:9">
      <c r="C1608" t="s">
        <v>1522</v>
      </c>
      <c r="E1608" t="s">
        <v>463</v>
      </c>
      <c r="F1608" t="s">
        <v>414</v>
      </c>
      <c r="G1608" s="158">
        <v>1010</v>
      </c>
      <c r="H1608" t="s">
        <v>2364</v>
      </c>
      <c r="I1608">
        <v>1</v>
      </c>
    </row>
    <row r="1609" spans="2:9">
      <c r="C1609" t="s">
        <v>1522</v>
      </c>
      <c r="E1609" t="s">
        <v>463</v>
      </c>
      <c r="F1609" t="s">
        <v>414</v>
      </c>
      <c r="G1609" s="158">
        <v>1020</v>
      </c>
      <c r="H1609" t="s">
        <v>2365</v>
      </c>
      <c r="I1609">
        <v>1</v>
      </c>
    </row>
    <row r="1610" spans="2:9">
      <c r="C1610" t="s">
        <v>1522</v>
      </c>
      <c r="E1610" t="s">
        <v>1840</v>
      </c>
      <c r="F1610" t="s">
        <v>1841</v>
      </c>
      <c r="G1610" s="158">
        <v>1000</v>
      </c>
      <c r="H1610" t="s">
        <v>2366</v>
      </c>
      <c r="I1610">
        <v>1</v>
      </c>
    </row>
    <row r="1611" spans="2:9">
      <c r="C1611" t="s">
        <v>1521</v>
      </c>
      <c r="D1611" t="s">
        <v>1330</v>
      </c>
      <c r="E1611" t="s">
        <v>1195</v>
      </c>
      <c r="F1611" t="s">
        <v>1876</v>
      </c>
      <c r="G1611" s="158">
        <v>1010</v>
      </c>
      <c r="H1611" t="s">
        <v>2367</v>
      </c>
      <c r="I1611">
        <v>1</v>
      </c>
    </row>
    <row r="1612" spans="2:9">
      <c r="C1612" t="s">
        <v>1521</v>
      </c>
      <c r="D1612" t="s">
        <v>1330</v>
      </c>
      <c r="E1612" t="s">
        <v>739</v>
      </c>
      <c r="F1612" t="s">
        <v>1124</v>
      </c>
      <c r="G1612" s="158">
        <v>1010</v>
      </c>
      <c r="H1612" t="s">
        <v>2368</v>
      </c>
      <c r="I1612">
        <v>1</v>
      </c>
    </row>
    <row r="1613" spans="2:9">
      <c r="C1613" t="s">
        <v>1521</v>
      </c>
      <c r="D1613" t="s">
        <v>1330</v>
      </c>
      <c r="E1613" t="s">
        <v>1261</v>
      </c>
      <c r="F1613" t="s">
        <v>1124</v>
      </c>
      <c r="G1613" s="158">
        <v>1030</v>
      </c>
      <c r="H1613" t="s">
        <v>2369</v>
      </c>
      <c r="I1613">
        <v>1</v>
      </c>
    </row>
    <row r="1614" spans="2:9">
      <c r="C1614" t="s">
        <v>1521</v>
      </c>
      <c r="D1614" t="s">
        <v>1330</v>
      </c>
      <c r="E1614" t="s">
        <v>551</v>
      </c>
      <c r="F1614" t="s">
        <v>1124</v>
      </c>
      <c r="G1614" s="158">
        <v>1100</v>
      </c>
      <c r="H1614" t="s">
        <v>2370</v>
      </c>
      <c r="I1614">
        <v>1</v>
      </c>
    </row>
    <row r="1615" spans="2:9">
      <c r="C1615" t="s">
        <v>1522</v>
      </c>
      <c r="E1615" t="s">
        <v>1586</v>
      </c>
      <c r="F1615" t="s">
        <v>1124</v>
      </c>
      <c r="G1615" s="158">
        <v>1110</v>
      </c>
      <c r="H1615" t="s">
        <v>2371</v>
      </c>
      <c r="I1615">
        <v>1</v>
      </c>
    </row>
    <row r="1616" spans="2:9">
      <c r="C1616" t="s">
        <v>1521</v>
      </c>
      <c r="E1616" t="s">
        <v>1526</v>
      </c>
      <c r="F1616" t="s">
        <v>1124</v>
      </c>
      <c r="G1616" s="158" t="s">
        <v>1125</v>
      </c>
      <c r="H1616" t="s">
        <v>2372</v>
      </c>
      <c r="I1616">
        <v>1</v>
      </c>
    </row>
    <row r="1617" spans="2:9">
      <c r="C1617" t="s">
        <v>1521</v>
      </c>
      <c r="E1617" t="s">
        <v>1526</v>
      </c>
      <c r="F1617" t="s">
        <v>1124</v>
      </c>
      <c r="G1617" s="158" t="s">
        <v>1081</v>
      </c>
      <c r="H1617" t="s">
        <v>2373</v>
      </c>
      <c r="I1617">
        <v>1</v>
      </c>
    </row>
    <row r="1618" spans="2:9">
      <c r="C1618" t="s">
        <v>1521</v>
      </c>
      <c r="E1618" t="s">
        <v>1262</v>
      </c>
      <c r="F1618" t="s">
        <v>1124</v>
      </c>
      <c r="G1618" s="158" t="s">
        <v>502</v>
      </c>
      <c r="H1618" t="s">
        <v>2374</v>
      </c>
      <c r="I1618">
        <v>1</v>
      </c>
    </row>
    <row r="1619" spans="2:9">
      <c r="C1619" t="s">
        <v>1521</v>
      </c>
      <c r="E1619" t="s">
        <v>1262</v>
      </c>
      <c r="F1619" t="s">
        <v>1124</v>
      </c>
      <c r="G1619" s="158" t="s">
        <v>503</v>
      </c>
      <c r="H1619" t="s">
        <v>2375</v>
      </c>
      <c r="I1619">
        <v>1</v>
      </c>
    </row>
    <row r="1620" spans="2:9">
      <c r="B1620" t="s">
        <v>110</v>
      </c>
      <c r="C1620" t="s">
        <v>1522</v>
      </c>
      <c r="D1620" t="s">
        <v>540</v>
      </c>
      <c r="E1620" t="s">
        <v>551</v>
      </c>
      <c r="F1620" t="s">
        <v>1264</v>
      </c>
      <c r="G1620" s="158">
        <v>1020</v>
      </c>
      <c r="H1620" t="s">
        <v>2376</v>
      </c>
      <c r="I1620">
        <v>1</v>
      </c>
    </row>
    <row r="1621" spans="2:9">
      <c r="B1621" t="s">
        <v>848</v>
      </c>
      <c r="C1621" t="s">
        <v>1522</v>
      </c>
      <c r="E1621" t="s">
        <v>551</v>
      </c>
      <c r="F1621" t="s">
        <v>1264</v>
      </c>
      <c r="G1621" s="158">
        <v>3600</v>
      </c>
      <c r="H1621" t="s">
        <v>2377</v>
      </c>
      <c r="I1621">
        <v>1</v>
      </c>
    </row>
    <row r="1622" spans="2:9">
      <c r="B1622" t="s">
        <v>127</v>
      </c>
      <c r="C1622" t="s">
        <v>1522</v>
      </c>
      <c r="E1622" t="s">
        <v>1526</v>
      </c>
      <c r="F1622" t="s">
        <v>460</v>
      </c>
      <c r="G1622" s="158">
        <v>1000</v>
      </c>
      <c r="H1622" t="s">
        <v>2378</v>
      </c>
      <c r="I1622">
        <v>1</v>
      </c>
    </row>
    <row r="1623" spans="2:9">
      <c r="B1623" t="s">
        <v>127</v>
      </c>
      <c r="C1623" t="s">
        <v>1522</v>
      </c>
      <c r="E1623" t="s">
        <v>1195</v>
      </c>
      <c r="F1623" t="s">
        <v>460</v>
      </c>
      <c r="G1623" s="158">
        <v>1005</v>
      </c>
      <c r="H1623" t="s">
        <v>2379</v>
      </c>
      <c r="I1623">
        <v>1</v>
      </c>
    </row>
    <row r="1624" spans="2:9">
      <c r="B1624" t="s">
        <v>127</v>
      </c>
      <c r="C1624" t="s">
        <v>1522</v>
      </c>
      <c r="E1624" t="s">
        <v>1195</v>
      </c>
      <c r="F1624" t="s">
        <v>460</v>
      </c>
      <c r="G1624" s="158">
        <v>1006</v>
      </c>
      <c r="H1624" t="s">
        <v>2380</v>
      </c>
      <c r="I1624">
        <v>1</v>
      </c>
    </row>
    <row r="1625" spans="2:9">
      <c r="B1625" t="s">
        <v>127</v>
      </c>
      <c r="C1625" t="s">
        <v>1522</v>
      </c>
      <c r="E1625" t="s">
        <v>1195</v>
      </c>
      <c r="F1625" t="s">
        <v>460</v>
      </c>
      <c r="G1625" s="158">
        <v>1007</v>
      </c>
      <c r="H1625" t="s">
        <v>2381</v>
      </c>
      <c r="I1625">
        <v>1</v>
      </c>
    </row>
    <row r="1626" spans="2:9">
      <c r="B1626" t="s">
        <v>848</v>
      </c>
      <c r="C1626" t="s">
        <v>1522</v>
      </c>
      <c r="E1626" t="s">
        <v>1526</v>
      </c>
      <c r="F1626" t="s">
        <v>460</v>
      </c>
      <c r="G1626" s="158">
        <v>1008</v>
      </c>
      <c r="H1626" t="s">
        <v>2382</v>
      </c>
      <c r="I1626">
        <v>1</v>
      </c>
    </row>
    <row r="1627" spans="2:9">
      <c r="B1627" t="s">
        <v>101</v>
      </c>
      <c r="C1627" t="s">
        <v>1521</v>
      </c>
      <c r="E1627" t="s">
        <v>551</v>
      </c>
      <c r="F1627" t="s">
        <v>256</v>
      </c>
      <c r="G1627" s="158">
        <v>1400</v>
      </c>
      <c r="H1627" t="s">
        <v>2383</v>
      </c>
      <c r="I1627">
        <v>1</v>
      </c>
    </row>
    <row r="1628" spans="2:9">
      <c r="B1628" t="s">
        <v>105</v>
      </c>
      <c r="C1628" t="s">
        <v>1522</v>
      </c>
      <c r="E1628" t="s">
        <v>551</v>
      </c>
      <c r="F1628" t="s">
        <v>256</v>
      </c>
      <c r="G1628" s="158">
        <v>1420</v>
      </c>
      <c r="H1628" t="s">
        <v>2384</v>
      </c>
      <c r="I1628">
        <v>1</v>
      </c>
    </row>
    <row r="1629" spans="2:9">
      <c r="B1629" t="s">
        <v>92</v>
      </c>
      <c r="C1629" t="s">
        <v>1522</v>
      </c>
      <c r="E1629" t="s">
        <v>551</v>
      </c>
      <c r="F1629" t="s">
        <v>256</v>
      </c>
      <c r="G1629" s="158">
        <v>1550</v>
      </c>
      <c r="H1629" t="s">
        <v>2385</v>
      </c>
      <c r="I1629">
        <v>1</v>
      </c>
    </row>
    <row r="1630" spans="2:9">
      <c r="B1630" t="s">
        <v>99</v>
      </c>
      <c r="C1630" t="s">
        <v>1522</v>
      </c>
      <c r="E1630" t="s">
        <v>551</v>
      </c>
      <c r="F1630" t="s">
        <v>256</v>
      </c>
      <c r="G1630" s="158">
        <v>2450</v>
      </c>
      <c r="H1630" t="s">
        <v>2386</v>
      </c>
      <c r="I1630">
        <v>1</v>
      </c>
    </row>
    <row r="1631" spans="2:9">
      <c r="B1631" t="s">
        <v>106</v>
      </c>
      <c r="C1631" t="s">
        <v>1522</v>
      </c>
      <c r="E1631" t="s">
        <v>551</v>
      </c>
      <c r="F1631" t="s">
        <v>256</v>
      </c>
      <c r="G1631" s="158">
        <v>2520</v>
      </c>
      <c r="H1631" t="s">
        <v>2387</v>
      </c>
      <c r="I1631">
        <v>1</v>
      </c>
    </row>
    <row r="1632" spans="2:9">
      <c r="B1632" t="s">
        <v>883</v>
      </c>
      <c r="C1632" t="s">
        <v>1522</v>
      </c>
      <c r="E1632" t="s">
        <v>463</v>
      </c>
      <c r="F1632" t="s">
        <v>764</v>
      </c>
      <c r="G1632" s="158">
        <v>1020</v>
      </c>
      <c r="H1632" t="s">
        <v>2388</v>
      </c>
      <c r="I1632">
        <v>1</v>
      </c>
    </row>
    <row r="1633" spans="2:9">
      <c r="B1633" t="s">
        <v>123</v>
      </c>
      <c r="C1633" t="s">
        <v>1522</v>
      </c>
      <c r="E1633" t="s">
        <v>739</v>
      </c>
      <c r="F1633" t="s">
        <v>499</v>
      </c>
      <c r="G1633" s="158">
        <v>1000</v>
      </c>
      <c r="H1633" t="s">
        <v>2389</v>
      </c>
      <c r="I1633">
        <v>1</v>
      </c>
    </row>
    <row r="1634" spans="2:9">
      <c r="B1634" t="s">
        <v>123</v>
      </c>
      <c r="C1634" t="s">
        <v>1522</v>
      </c>
      <c r="E1634" t="s">
        <v>739</v>
      </c>
      <c r="F1634" t="s">
        <v>499</v>
      </c>
      <c r="G1634" s="158" t="s">
        <v>596</v>
      </c>
      <c r="H1634" t="s">
        <v>2390</v>
      </c>
      <c r="I1634">
        <v>1</v>
      </c>
    </row>
    <row r="1635" spans="2:9">
      <c r="C1635" t="s">
        <v>1521</v>
      </c>
      <c r="E1635" t="s">
        <v>1526</v>
      </c>
      <c r="F1635" t="s">
        <v>1194</v>
      </c>
      <c r="G1635" s="158">
        <v>1097</v>
      </c>
      <c r="H1635" t="s">
        <v>2391</v>
      </c>
      <c r="I1635">
        <v>1</v>
      </c>
    </row>
    <row r="1636" spans="2:9">
      <c r="B1636" t="s">
        <v>883</v>
      </c>
      <c r="C1636" t="s">
        <v>1522</v>
      </c>
      <c r="E1636" t="s">
        <v>1526</v>
      </c>
      <c r="F1636" t="s">
        <v>1194</v>
      </c>
      <c r="G1636" s="158">
        <v>2710</v>
      </c>
      <c r="H1636" t="s">
        <v>2392</v>
      </c>
      <c r="I1636">
        <v>1</v>
      </c>
    </row>
    <row r="1637" spans="2:9">
      <c r="C1637" t="s">
        <v>1522</v>
      </c>
      <c r="E1637" t="s">
        <v>463</v>
      </c>
      <c r="F1637" t="s">
        <v>282</v>
      </c>
      <c r="G1637" s="158">
        <v>1010</v>
      </c>
      <c r="H1637" t="s">
        <v>2393</v>
      </c>
      <c r="I1637">
        <v>1</v>
      </c>
    </row>
    <row r="1638" spans="2:9">
      <c r="C1638" t="s">
        <v>1522</v>
      </c>
      <c r="E1638" t="s">
        <v>463</v>
      </c>
      <c r="F1638" t="s">
        <v>282</v>
      </c>
      <c r="G1638" s="158">
        <v>2150</v>
      </c>
      <c r="H1638" t="s">
        <v>2394</v>
      </c>
      <c r="I1638">
        <v>1</v>
      </c>
    </row>
    <row r="1639" spans="2:9">
      <c r="C1639" t="s">
        <v>1522</v>
      </c>
      <c r="E1639" t="s">
        <v>463</v>
      </c>
      <c r="F1639" t="s">
        <v>282</v>
      </c>
      <c r="G1639" s="158">
        <v>2160</v>
      </c>
      <c r="H1639" t="s">
        <v>2395</v>
      </c>
      <c r="I1639">
        <v>1</v>
      </c>
    </row>
    <row r="1640" spans="2:9">
      <c r="B1640" t="s">
        <v>883</v>
      </c>
      <c r="C1640" t="s">
        <v>1522</v>
      </c>
      <c r="E1640" t="s">
        <v>1586</v>
      </c>
      <c r="F1640" t="s">
        <v>679</v>
      </c>
      <c r="G1640" s="158">
        <v>2400</v>
      </c>
      <c r="H1640" t="s">
        <v>2396</v>
      </c>
      <c r="I1640">
        <v>1</v>
      </c>
    </row>
    <row r="1641" spans="2:9">
      <c r="C1641" t="s">
        <v>1521</v>
      </c>
      <c r="E1641" t="s">
        <v>551</v>
      </c>
      <c r="F1641" t="s">
        <v>554</v>
      </c>
      <c r="G1641" s="158">
        <v>1050</v>
      </c>
      <c r="H1641" t="s">
        <v>2397</v>
      </c>
      <c r="I1641">
        <v>1</v>
      </c>
    </row>
    <row r="1642" spans="2:9">
      <c r="C1642" t="s">
        <v>1522</v>
      </c>
      <c r="D1642" t="s">
        <v>534</v>
      </c>
      <c r="E1642" t="s">
        <v>1586</v>
      </c>
      <c r="F1642" t="s">
        <v>426</v>
      </c>
      <c r="G1642" s="158">
        <v>1000</v>
      </c>
      <c r="H1642" t="s">
        <v>2398</v>
      </c>
      <c r="I1642">
        <v>1</v>
      </c>
    </row>
    <row r="1643" spans="2:9">
      <c r="C1643" t="s">
        <v>1522</v>
      </c>
      <c r="D1643" t="s">
        <v>1331</v>
      </c>
      <c r="E1643" t="s">
        <v>1586</v>
      </c>
      <c r="F1643" t="s">
        <v>426</v>
      </c>
      <c r="G1643" s="158" t="s">
        <v>439</v>
      </c>
      <c r="H1643" t="s">
        <v>2399</v>
      </c>
      <c r="I1643">
        <v>1</v>
      </c>
    </row>
    <row r="1644" spans="2:9">
      <c r="C1644" t="s">
        <v>1522</v>
      </c>
      <c r="D1644" t="s">
        <v>1332</v>
      </c>
      <c r="E1644" t="s">
        <v>1586</v>
      </c>
      <c r="F1644" t="s">
        <v>733</v>
      </c>
      <c r="G1644" s="158">
        <v>1000</v>
      </c>
      <c r="H1644" t="s">
        <v>2400</v>
      </c>
      <c r="I1644">
        <v>1</v>
      </c>
    </row>
    <row r="1645" spans="2:9">
      <c r="C1645" t="s">
        <v>1522</v>
      </c>
      <c r="D1645" t="s">
        <v>1332</v>
      </c>
      <c r="E1645" t="s">
        <v>1586</v>
      </c>
      <c r="F1645" t="s">
        <v>427</v>
      </c>
      <c r="G1645" s="158">
        <v>1010</v>
      </c>
      <c r="H1645" t="s">
        <v>2401</v>
      </c>
      <c r="I1645">
        <v>1</v>
      </c>
    </row>
    <row r="1646" spans="2:9">
      <c r="C1646" t="s">
        <v>1521</v>
      </c>
      <c r="E1646" t="s">
        <v>1261</v>
      </c>
      <c r="F1646" t="s">
        <v>427</v>
      </c>
      <c r="G1646" s="158">
        <v>1015</v>
      </c>
      <c r="H1646" t="s">
        <v>2402</v>
      </c>
      <c r="I1646">
        <v>1</v>
      </c>
    </row>
    <row r="1647" spans="2:9">
      <c r="C1647" t="s">
        <v>1522</v>
      </c>
      <c r="E1647" t="s">
        <v>1586</v>
      </c>
      <c r="F1647" t="s">
        <v>427</v>
      </c>
      <c r="G1647" s="158">
        <v>1040</v>
      </c>
      <c r="H1647" t="s">
        <v>2403</v>
      </c>
      <c r="I1647">
        <v>1</v>
      </c>
    </row>
    <row r="1648" spans="2:9">
      <c r="C1648" t="s">
        <v>1521</v>
      </c>
      <c r="E1648" t="s">
        <v>1195</v>
      </c>
      <c r="F1648" t="s">
        <v>427</v>
      </c>
      <c r="G1648" s="158">
        <v>1045</v>
      </c>
      <c r="H1648" t="s">
        <v>2404</v>
      </c>
      <c r="I1648">
        <v>1</v>
      </c>
    </row>
    <row r="1649" spans="2:9">
      <c r="C1649" t="s">
        <v>1521</v>
      </c>
      <c r="D1649" t="s">
        <v>1332</v>
      </c>
      <c r="E1649" t="s">
        <v>551</v>
      </c>
      <c r="F1649" t="s">
        <v>427</v>
      </c>
      <c r="G1649" s="158">
        <v>1200</v>
      </c>
      <c r="H1649" t="s">
        <v>2405</v>
      </c>
      <c r="I1649">
        <v>1</v>
      </c>
    </row>
    <row r="1650" spans="2:9">
      <c r="C1650" t="s">
        <v>1522</v>
      </c>
      <c r="D1650" t="s">
        <v>1332</v>
      </c>
      <c r="E1650" t="s">
        <v>1195</v>
      </c>
      <c r="F1650" t="s">
        <v>427</v>
      </c>
      <c r="G1650" s="158">
        <v>2010</v>
      </c>
      <c r="H1650" t="s">
        <v>2406</v>
      </c>
      <c r="I1650">
        <v>1</v>
      </c>
    </row>
    <row r="1651" spans="2:9">
      <c r="C1651" t="s">
        <v>1522</v>
      </c>
      <c r="E1651" t="s">
        <v>1195</v>
      </c>
      <c r="F1651" t="s">
        <v>427</v>
      </c>
      <c r="G1651" s="158">
        <v>2015</v>
      </c>
      <c r="H1651" t="s">
        <v>2407</v>
      </c>
      <c r="I1651">
        <v>1</v>
      </c>
    </row>
    <row r="1652" spans="2:9">
      <c r="C1652" t="s">
        <v>1522</v>
      </c>
      <c r="D1652" t="s">
        <v>1332</v>
      </c>
      <c r="E1652" t="s">
        <v>1195</v>
      </c>
      <c r="F1652" t="s">
        <v>427</v>
      </c>
      <c r="G1652" s="158">
        <v>2020</v>
      </c>
      <c r="H1652" t="s">
        <v>2408</v>
      </c>
      <c r="I1652">
        <v>1</v>
      </c>
    </row>
    <row r="1653" spans="2:9">
      <c r="C1653" t="s">
        <v>1522</v>
      </c>
      <c r="E1653" t="s">
        <v>1195</v>
      </c>
      <c r="F1653" t="s">
        <v>427</v>
      </c>
      <c r="G1653" s="158">
        <v>2025</v>
      </c>
      <c r="H1653" t="s">
        <v>2409</v>
      </c>
      <c r="I1653">
        <v>1</v>
      </c>
    </row>
    <row r="1654" spans="2:9">
      <c r="C1654" t="s">
        <v>1522</v>
      </c>
      <c r="E1654" t="s">
        <v>797</v>
      </c>
      <c r="F1654" t="s">
        <v>427</v>
      </c>
      <c r="G1654" s="158">
        <v>2210</v>
      </c>
      <c r="H1654" t="s">
        <v>2410</v>
      </c>
      <c r="I1654">
        <v>1</v>
      </c>
    </row>
    <row r="1655" spans="2:9">
      <c r="C1655" t="s">
        <v>1522</v>
      </c>
      <c r="E1655" t="s">
        <v>1195</v>
      </c>
      <c r="F1655" t="s">
        <v>427</v>
      </c>
      <c r="G1655" s="158">
        <v>2215</v>
      </c>
      <c r="H1655" t="s">
        <v>2411</v>
      </c>
      <c r="I1655">
        <v>1</v>
      </c>
    </row>
    <row r="1656" spans="2:9">
      <c r="C1656" t="s">
        <v>1522</v>
      </c>
      <c r="E1656" t="s">
        <v>797</v>
      </c>
      <c r="F1656" t="s">
        <v>427</v>
      </c>
      <c r="G1656" s="158">
        <v>2220</v>
      </c>
      <c r="H1656" t="s">
        <v>2412</v>
      </c>
      <c r="I1656">
        <v>1</v>
      </c>
    </row>
    <row r="1657" spans="2:9">
      <c r="B1657" t="s">
        <v>1450</v>
      </c>
      <c r="C1657" t="s">
        <v>1522</v>
      </c>
      <c r="E1657" t="s">
        <v>463</v>
      </c>
      <c r="F1657" t="s">
        <v>702</v>
      </c>
      <c r="G1657" s="158">
        <v>1020</v>
      </c>
      <c r="H1657" t="s">
        <v>2413</v>
      </c>
      <c r="I1657">
        <v>1</v>
      </c>
    </row>
    <row r="1658" spans="2:9">
      <c r="B1658" t="s">
        <v>1450</v>
      </c>
      <c r="C1658" t="s">
        <v>1522</v>
      </c>
      <c r="E1658" t="s">
        <v>463</v>
      </c>
      <c r="F1658" t="s">
        <v>702</v>
      </c>
      <c r="G1658" s="158">
        <v>1040</v>
      </c>
      <c r="H1658" t="s">
        <v>2414</v>
      </c>
      <c r="I1658">
        <v>1</v>
      </c>
    </row>
    <row r="1659" spans="2:9">
      <c r="B1659" t="s">
        <v>1450</v>
      </c>
      <c r="C1659" t="s">
        <v>1522</v>
      </c>
      <c r="E1659" t="s">
        <v>463</v>
      </c>
      <c r="F1659" t="s">
        <v>702</v>
      </c>
      <c r="G1659" s="158" t="s">
        <v>1119</v>
      </c>
      <c r="H1659" t="s">
        <v>2415</v>
      </c>
      <c r="I1659">
        <v>1</v>
      </c>
    </row>
    <row r="1660" spans="2:9">
      <c r="B1660" t="s">
        <v>1450</v>
      </c>
      <c r="C1660" t="s">
        <v>1522</v>
      </c>
      <c r="E1660" t="s">
        <v>463</v>
      </c>
      <c r="F1660" t="s">
        <v>702</v>
      </c>
      <c r="G1660" s="158" t="s">
        <v>1078</v>
      </c>
      <c r="H1660" t="s">
        <v>2416</v>
      </c>
      <c r="I1660">
        <v>1</v>
      </c>
    </row>
    <row r="1661" spans="2:9">
      <c r="B1661" t="s">
        <v>1450</v>
      </c>
      <c r="C1661" t="s">
        <v>1522</v>
      </c>
      <c r="E1661" t="s">
        <v>463</v>
      </c>
      <c r="F1661" t="s">
        <v>702</v>
      </c>
      <c r="G1661" s="158">
        <v>1140</v>
      </c>
      <c r="H1661" t="s">
        <v>2417</v>
      </c>
      <c r="I1661">
        <v>1</v>
      </c>
    </row>
    <row r="1662" spans="2:9">
      <c r="B1662" t="s">
        <v>1450</v>
      </c>
      <c r="C1662" t="s">
        <v>1522</v>
      </c>
      <c r="E1662" t="s">
        <v>463</v>
      </c>
      <c r="F1662" t="s">
        <v>702</v>
      </c>
      <c r="G1662" s="158">
        <v>1420</v>
      </c>
      <c r="H1662" t="s">
        <v>2418</v>
      </c>
      <c r="I1662">
        <v>1</v>
      </c>
    </row>
    <row r="1663" spans="2:9">
      <c r="B1663" t="s">
        <v>566</v>
      </c>
      <c r="C1663" t="s">
        <v>1522</v>
      </c>
      <c r="E1663" t="s">
        <v>463</v>
      </c>
      <c r="F1663" t="s">
        <v>381</v>
      </c>
      <c r="G1663" s="158">
        <v>1110</v>
      </c>
      <c r="H1663" t="s">
        <v>2419</v>
      </c>
      <c r="I1663">
        <v>1</v>
      </c>
    </row>
    <row r="1664" spans="2:9">
      <c r="C1664" t="s">
        <v>1522</v>
      </c>
      <c r="E1664" t="s">
        <v>463</v>
      </c>
      <c r="F1664" t="s">
        <v>381</v>
      </c>
      <c r="G1664" s="158">
        <v>1470</v>
      </c>
      <c r="H1664" t="s">
        <v>2420</v>
      </c>
      <c r="I1664">
        <v>1</v>
      </c>
    </row>
    <row r="1665" spans="2:9">
      <c r="B1665" t="s">
        <v>562</v>
      </c>
      <c r="C1665" t="s">
        <v>1522</v>
      </c>
      <c r="E1665" t="s">
        <v>463</v>
      </c>
      <c r="F1665" t="s">
        <v>868</v>
      </c>
      <c r="G1665" s="158" t="s">
        <v>1528</v>
      </c>
      <c r="H1665" t="s">
        <v>2421</v>
      </c>
      <c r="I1665">
        <v>1</v>
      </c>
    </row>
    <row r="1666" spans="2:9">
      <c r="B1666" t="s">
        <v>408</v>
      </c>
      <c r="C1666" t="s">
        <v>1522</v>
      </c>
      <c r="D1666" t="s">
        <v>540</v>
      </c>
      <c r="E1666" t="s">
        <v>551</v>
      </c>
      <c r="F1666" t="s">
        <v>738</v>
      </c>
      <c r="G1666" s="158">
        <v>2100</v>
      </c>
      <c r="H1666" t="s">
        <v>2422</v>
      </c>
      <c r="I1666">
        <v>1</v>
      </c>
    </row>
    <row r="1667" spans="2:9">
      <c r="B1667" t="s">
        <v>86</v>
      </c>
      <c r="C1667" t="s">
        <v>1522</v>
      </c>
      <c r="E1667" t="s">
        <v>551</v>
      </c>
      <c r="F1667" t="s">
        <v>738</v>
      </c>
      <c r="G1667" s="158">
        <v>2900</v>
      </c>
      <c r="H1667" t="s">
        <v>2423</v>
      </c>
      <c r="I1667">
        <v>1</v>
      </c>
    </row>
    <row r="1668" spans="2:9">
      <c r="C1668" t="s">
        <v>1522</v>
      </c>
      <c r="E1668" t="s">
        <v>739</v>
      </c>
      <c r="F1668" t="s">
        <v>494</v>
      </c>
      <c r="G1668" s="158" t="s">
        <v>458</v>
      </c>
      <c r="H1668" t="s">
        <v>2424</v>
      </c>
      <c r="I1668">
        <v>1</v>
      </c>
    </row>
    <row r="1669" spans="2:9">
      <c r="C1669" t="s">
        <v>1521</v>
      </c>
      <c r="D1669" t="s">
        <v>70</v>
      </c>
      <c r="E1669" t="s">
        <v>1586</v>
      </c>
      <c r="F1669" t="s">
        <v>196</v>
      </c>
      <c r="G1669" s="158">
        <v>1100</v>
      </c>
      <c r="H1669" t="s">
        <v>2425</v>
      </c>
      <c r="I1669">
        <v>1</v>
      </c>
    </row>
    <row r="1670" spans="2:9">
      <c r="C1670" t="s">
        <v>1522</v>
      </c>
      <c r="E1670" t="s">
        <v>551</v>
      </c>
      <c r="F1670" t="s">
        <v>196</v>
      </c>
      <c r="G1670" s="158">
        <v>2100</v>
      </c>
      <c r="H1670" t="s">
        <v>2426</v>
      </c>
      <c r="I1670">
        <v>1</v>
      </c>
    </row>
    <row r="1671" spans="2:9">
      <c r="C1671" t="s">
        <v>1522</v>
      </c>
      <c r="D1671" t="s">
        <v>1329</v>
      </c>
      <c r="E1671" t="s">
        <v>1586</v>
      </c>
      <c r="F1671" t="s">
        <v>196</v>
      </c>
      <c r="G1671" s="158">
        <v>2200</v>
      </c>
      <c r="H1671" t="s">
        <v>2427</v>
      </c>
      <c r="I1671">
        <v>1</v>
      </c>
    </row>
    <row r="1672" spans="2:9">
      <c r="C1672" t="s">
        <v>1522</v>
      </c>
      <c r="D1672" t="s">
        <v>1329</v>
      </c>
      <c r="E1672" t="s">
        <v>739</v>
      </c>
      <c r="F1672" t="s">
        <v>343</v>
      </c>
      <c r="G1672" s="158">
        <v>1010</v>
      </c>
      <c r="H1672" t="s">
        <v>2428</v>
      </c>
      <c r="I1672">
        <v>1</v>
      </c>
    </row>
    <row r="1673" spans="2:9">
      <c r="B1673" t="s">
        <v>111</v>
      </c>
      <c r="C1673" t="s">
        <v>1522</v>
      </c>
      <c r="D1673" t="s">
        <v>1329</v>
      </c>
      <c r="E1673" t="s">
        <v>1526</v>
      </c>
      <c r="F1673" t="s">
        <v>343</v>
      </c>
      <c r="G1673" s="158">
        <v>1100</v>
      </c>
      <c r="H1673" t="s">
        <v>2429</v>
      </c>
      <c r="I1673">
        <v>1</v>
      </c>
    </row>
    <row r="1674" spans="2:9">
      <c r="C1674" t="s">
        <v>1522</v>
      </c>
      <c r="D1674" t="s">
        <v>1329</v>
      </c>
      <c r="E1674" t="s">
        <v>1526</v>
      </c>
      <c r="F1674" t="s">
        <v>343</v>
      </c>
      <c r="G1674" s="158">
        <v>2500</v>
      </c>
      <c r="H1674" t="s">
        <v>2430</v>
      </c>
      <c r="I1674">
        <v>1</v>
      </c>
    </row>
    <row r="1675" spans="2:9">
      <c r="C1675" t="s">
        <v>1522</v>
      </c>
      <c r="E1675" t="s">
        <v>551</v>
      </c>
      <c r="F1675" t="s">
        <v>1409</v>
      </c>
      <c r="G1675" s="158">
        <v>1010</v>
      </c>
      <c r="H1675" t="s">
        <v>2431</v>
      </c>
      <c r="I1675">
        <v>1</v>
      </c>
    </row>
    <row r="1676" spans="2:9">
      <c r="C1676" t="s">
        <v>1522</v>
      </c>
      <c r="E1676" t="s">
        <v>551</v>
      </c>
      <c r="F1676" t="s">
        <v>1409</v>
      </c>
      <c r="G1676" s="158">
        <v>1020</v>
      </c>
      <c r="H1676" t="s">
        <v>2432</v>
      </c>
      <c r="I1676">
        <v>1</v>
      </c>
    </row>
    <row r="1677" spans="2:9">
      <c r="B1677" t="s">
        <v>123</v>
      </c>
      <c r="C1677" t="s">
        <v>1522</v>
      </c>
      <c r="E1677" t="s">
        <v>1262</v>
      </c>
      <c r="F1677" t="s">
        <v>403</v>
      </c>
      <c r="G1677" s="158" t="s">
        <v>813</v>
      </c>
      <c r="H1677" t="s">
        <v>2433</v>
      </c>
      <c r="I1677">
        <v>1</v>
      </c>
    </row>
    <row r="1678" spans="2:9">
      <c r="C1678" t="s">
        <v>1522</v>
      </c>
      <c r="D1678" t="s">
        <v>1329</v>
      </c>
      <c r="E1678" t="s">
        <v>463</v>
      </c>
      <c r="F1678" t="s">
        <v>344</v>
      </c>
      <c r="G1678" s="158" t="s">
        <v>1528</v>
      </c>
      <c r="H1678" t="s">
        <v>2434</v>
      </c>
      <c r="I1678">
        <v>1</v>
      </c>
    </row>
    <row r="1679" spans="2:9">
      <c r="C1679" t="s">
        <v>1522</v>
      </c>
      <c r="D1679" t="s">
        <v>1329</v>
      </c>
      <c r="E1679" t="s">
        <v>1586</v>
      </c>
      <c r="F1679" t="s">
        <v>461</v>
      </c>
      <c r="G1679" s="158">
        <v>1010</v>
      </c>
      <c r="H1679" t="s">
        <v>2435</v>
      </c>
      <c r="I1679">
        <v>1</v>
      </c>
    </row>
    <row r="1680" spans="2:9">
      <c r="C1680" t="s">
        <v>1522</v>
      </c>
      <c r="D1680" t="s">
        <v>1329</v>
      </c>
      <c r="E1680" t="s">
        <v>1586</v>
      </c>
      <c r="F1680" t="s">
        <v>461</v>
      </c>
      <c r="G1680" s="158">
        <v>1200</v>
      </c>
      <c r="H1680" t="s">
        <v>2436</v>
      </c>
      <c r="I1680">
        <v>1</v>
      </c>
    </row>
    <row r="1681" spans="2:9">
      <c r="C1681" t="s">
        <v>1522</v>
      </c>
      <c r="E1681" t="s">
        <v>739</v>
      </c>
      <c r="F1681" t="s">
        <v>431</v>
      </c>
      <c r="G1681" s="158">
        <v>1010</v>
      </c>
      <c r="H1681" t="s">
        <v>2437</v>
      </c>
      <c r="I1681">
        <v>1</v>
      </c>
    </row>
    <row r="1682" spans="2:9">
      <c r="C1682" t="s">
        <v>1522</v>
      </c>
      <c r="E1682" t="s">
        <v>739</v>
      </c>
      <c r="F1682" t="s">
        <v>431</v>
      </c>
      <c r="G1682" s="158">
        <v>1020</v>
      </c>
      <c r="H1682" t="s">
        <v>2438</v>
      </c>
      <c r="I1682">
        <v>1</v>
      </c>
    </row>
    <row r="1683" spans="2:9">
      <c r="C1683" t="s">
        <v>1522</v>
      </c>
      <c r="D1683" t="s">
        <v>534</v>
      </c>
      <c r="E1683" t="s">
        <v>739</v>
      </c>
      <c r="F1683" t="s">
        <v>431</v>
      </c>
      <c r="G1683" s="158">
        <v>2010</v>
      </c>
      <c r="H1683" t="s">
        <v>2439</v>
      </c>
      <c r="I1683">
        <v>1</v>
      </c>
    </row>
    <row r="1684" spans="2:9">
      <c r="C1684" t="s">
        <v>1522</v>
      </c>
      <c r="E1684" t="s">
        <v>551</v>
      </c>
      <c r="F1684" t="s">
        <v>712</v>
      </c>
      <c r="G1684" s="158">
        <v>1020</v>
      </c>
      <c r="H1684" t="s">
        <v>2440</v>
      </c>
      <c r="I1684">
        <v>1</v>
      </c>
    </row>
    <row r="1685" spans="2:9">
      <c r="C1685" t="s">
        <v>1522</v>
      </c>
      <c r="E1685" t="s">
        <v>551</v>
      </c>
      <c r="F1685" t="s">
        <v>715</v>
      </c>
      <c r="G1685" s="158">
        <v>1000</v>
      </c>
      <c r="H1685" t="s">
        <v>2441</v>
      </c>
      <c r="I1685">
        <v>1</v>
      </c>
    </row>
    <row r="1686" spans="2:9">
      <c r="B1686" t="s">
        <v>132</v>
      </c>
      <c r="C1686" t="s">
        <v>1522</v>
      </c>
      <c r="E1686" t="s">
        <v>739</v>
      </c>
      <c r="F1686" t="s">
        <v>758</v>
      </c>
      <c r="G1686" s="158">
        <v>1143</v>
      </c>
      <c r="H1686" t="s">
        <v>2442</v>
      </c>
      <c r="I1686">
        <v>1</v>
      </c>
    </row>
    <row r="1687" spans="2:9">
      <c r="B1687" t="s">
        <v>342</v>
      </c>
      <c r="C1687" t="s">
        <v>1522</v>
      </c>
      <c r="E1687" t="s">
        <v>739</v>
      </c>
      <c r="F1687" t="s">
        <v>758</v>
      </c>
      <c r="G1687" s="158">
        <v>1303</v>
      </c>
      <c r="H1687" t="s">
        <v>2443</v>
      </c>
      <c r="I1687">
        <v>1</v>
      </c>
    </row>
    <row r="1688" spans="2:9">
      <c r="B1688" t="s">
        <v>130</v>
      </c>
      <c r="C1688" t="s">
        <v>1522</v>
      </c>
      <c r="E1688" t="s">
        <v>739</v>
      </c>
      <c r="F1688" t="s">
        <v>758</v>
      </c>
      <c r="G1688" s="158">
        <v>1503</v>
      </c>
      <c r="H1688" t="s">
        <v>2444</v>
      </c>
      <c r="I1688">
        <v>1</v>
      </c>
    </row>
    <row r="1689" spans="2:9">
      <c r="B1689" t="s">
        <v>133</v>
      </c>
      <c r="C1689" t="s">
        <v>1522</v>
      </c>
      <c r="E1689" t="s">
        <v>739</v>
      </c>
      <c r="F1689" t="s">
        <v>758</v>
      </c>
      <c r="G1689" s="158">
        <v>1890</v>
      </c>
      <c r="H1689" t="s">
        <v>2445</v>
      </c>
      <c r="I1689">
        <v>1</v>
      </c>
    </row>
    <row r="1690" spans="2:9">
      <c r="B1690" t="s">
        <v>133</v>
      </c>
      <c r="C1690" t="s">
        <v>1522</v>
      </c>
      <c r="E1690" t="s">
        <v>739</v>
      </c>
      <c r="F1690" t="s">
        <v>758</v>
      </c>
      <c r="G1690" s="158">
        <v>2383</v>
      </c>
      <c r="H1690" t="s">
        <v>2446</v>
      </c>
      <c r="I1690">
        <v>1</v>
      </c>
    </row>
    <row r="1691" spans="2:9">
      <c r="B1691" t="s">
        <v>129</v>
      </c>
      <c r="C1691" t="s">
        <v>1522</v>
      </c>
      <c r="E1691" t="s">
        <v>739</v>
      </c>
      <c r="F1691" t="s">
        <v>758</v>
      </c>
      <c r="G1691" s="158" t="s">
        <v>759</v>
      </c>
      <c r="H1691" t="s">
        <v>2447</v>
      </c>
      <c r="I1691">
        <v>1</v>
      </c>
    </row>
    <row r="1692" spans="2:9">
      <c r="B1692" t="s">
        <v>575</v>
      </c>
      <c r="C1692" t="s">
        <v>1522</v>
      </c>
      <c r="E1692" t="s">
        <v>739</v>
      </c>
      <c r="F1692" t="s">
        <v>758</v>
      </c>
      <c r="G1692" s="158">
        <v>2703</v>
      </c>
      <c r="H1692" t="s">
        <v>2448</v>
      </c>
      <c r="I1692">
        <v>1</v>
      </c>
    </row>
    <row r="1693" spans="2:9">
      <c r="B1693" t="s">
        <v>342</v>
      </c>
      <c r="C1693" t="s">
        <v>1522</v>
      </c>
      <c r="E1693" t="s">
        <v>739</v>
      </c>
      <c r="F1693" t="s">
        <v>758</v>
      </c>
      <c r="G1693" s="158">
        <v>2991</v>
      </c>
      <c r="H1693" t="s">
        <v>2449</v>
      </c>
      <c r="I1693">
        <v>1</v>
      </c>
    </row>
    <row r="1694" spans="2:9">
      <c r="C1694" t="s">
        <v>1522</v>
      </c>
      <c r="E1694" t="s">
        <v>1195</v>
      </c>
      <c r="F1694" t="s">
        <v>171</v>
      </c>
      <c r="G1694" s="158">
        <v>1040</v>
      </c>
      <c r="H1694" t="s">
        <v>2450</v>
      </c>
      <c r="I1694">
        <v>1</v>
      </c>
    </row>
    <row r="1695" spans="2:9">
      <c r="B1695" t="s">
        <v>128</v>
      </c>
      <c r="C1695" t="s">
        <v>1522</v>
      </c>
      <c r="E1695" t="s">
        <v>463</v>
      </c>
      <c r="F1695" t="s">
        <v>1404</v>
      </c>
      <c r="G1695" s="158">
        <v>1200</v>
      </c>
      <c r="H1695" t="s">
        <v>2451</v>
      </c>
      <c r="I1695">
        <v>1</v>
      </c>
    </row>
    <row r="1696" spans="2:9">
      <c r="B1696" t="s">
        <v>128</v>
      </c>
      <c r="C1696" t="s">
        <v>1522</v>
      </c>
      <c r="E1696" t="s">
        <v>463</v>
      </c>
      <c r="F1696" t="s">
        <v>1404</v>
      </c>
      <c r="G1696" s="158">
        <v>1250</v>
      </c>
      <c r="H1696" t="s">
        <v>2452</v>
      </c>
      <c r="I1696">
        <v>1</v>
      </c>
    </row>
    <row r="1697" spans="2:9">
      <c r="B1697" t="s">
        <v>103</v>
      </c>
      <c r="C1697" t="s">
        <v>1522</v>
      </c>
      <c r="E1697" t="s">
        <v>739</v>
      </c>
      <c r="F1697" t="s">
        <v>1516</v>
      </c>
      <c r="G1697" s="158" t="s">
        <v>440</v>
      </c>
      <c r="H1697" t="s">
        <v>2453</v>
      </c>
      <c r="I1697">
        <v>1</v>
      </c>
    </row>
    <row r="1698" spans="2:9">
      <c r="B1698" t="s">
        <v>99</v>
      </c>
      <c r="C1698" t="s">
        <v>1522</v>
      </c>
      <c r="E1698" t="s">
        <v>739</v>
      </c>
      <c r="F1698" t="s">
        <v>1516</v>
      </c>
      <c r="G1698" s="158" t="s">
        <v>430</v>
      </c>
      <c r="H1698" t="s">
        <v>2454</v>
      </c>
      <c r="I1698">
        <v>1</v>
      </c>
    </row>
    <row r="1699" spans="2:9">
      <c r="B1699" t="s">
        <v>106</v>
      </c>
      <c r="C1699" t="s">
        <v>1522</v>
      </c>
      <c r="E1699" t="s">
        <v>739</v>
      </c>
      <c r="F1699" t="s">
        <v>1516</v>
      </c>
      <c r="G1699" s="158" t="s">
        <v>1517</v>
      </c>
      <c r="H1699" t="s">
        <v>2455</v>
      </c>
      <c r="I1699">
        <v>1</v>
      </c>
    </row>
    <row r="1700" spans="2:9">
      <c r="B1700" t="s">
        <v>101</v>
      </c>
      <c r="C1700" t="s">
        <v>1521</v>
      </c>
      <c r="E1700" t="s">
        <v>739</v>
      </c>
      <c r="F1700" t="s">
        <v>1516</v>
      </c>
      <c r="G1700" s="158" t="s">
        <v>1518</v>
      </c>
      <c r="H1700" t="s">
        <v>2456</v>
      </c>
      <c r="I1700">
        <v>1</v>
      </c>
    </row>
    <row r="1701" spans="2:9">
      <c r="B1701" t="s">
        <v>99</v>
      </c>
      <c r="C1701" t="s">
        <v>1522</v>
      </c>
      <c r="E1701" t="s">
        <v>739</v>
      </c>
      <c r="F1701" t="s">
        <v>1516</v>
      </c>
      <c r="G1701" s="158" t="s">
        <v>1519</v>
      </c>
      <c r="H1701" t="s">
        <v>2457</v>
      </c>
      <c r="I1701">
        <v>1</v>
      </c>
    </row>
    <row r="1702" spans="2:9">
      <c r="B1702" t="s">
        <v>116</v>
      </c>
      <c r="C1702" t="s">
        <v>1522</v>
      </c>
      <c r="E1702" t="s">
        <v>739</v>
      </c>
      <c r="F1702" t="s">
        <v>1516</v>
      </c>
      <c r="G1702" s="158">
        <v>2200</v>
      </c>
      <c r="H1702" t="s">
        <v>2458</v>
      </c>
      <c r="I1702">
        <v>1</v>
      </c>
    </row>
    <row r="1703" spans="2:9">
      <c r="B1703" t="s">
        <v>115</v>
      </c>
      <c r="C1703" t="s">
        <v>1522</v>
      </c>
      <c r="E1703" t="s">
        <v>739</v>
      </c>
      <c r="F1703" t="s">
        <v>1516</v>
      </c>
      <c r="G1703" s="158">
        <v>2300</v>
      </c>
      <c r="H1703" t="s">
        <v>2459</v>
      </c>
      <c r="I1703">
        <v>1</v>
      </c>
    </row>
    <row r="1704" spans="2:9">
      <c r="B1704" t="s">
        <v>113</v>
      </c>
      <c r="C1704" t="s">
        <v>1522</v>
      </c>
      <c r="E1704" t="s">
        <v>739</v>
      </c>
      <c r="F1704" t="s">
        <v>1516</v>
      </c>
      <c r="G1704" s="158">
        <v>2415</v>
      </c>
      <c r="H1704" t="s">
        <v>2460</v>
      </c>
      <c r="I1704">
        <v>1</v>
      </c>
    </row>
    <row r="1705" spans="2:9">
      <c r="B1705" t="s">
        <v>113</v>
      </c>
      <c r="C1705" t="s">
        <v>1522</v>
      </c>
      <c r="E1705" t="s">
        <v>739</v>
      </c>
      <c r="F1705" t="s">
        <v>1516</v>
      </c>
      <c r="G1705" s="158">
        <v>2435</v>
      </c>
      <c r="H1705" t="s">
        <v>2461</v>
      </c>
      <c r="I1705">
        <v>1</v>
      </c>
    </row>
    <row r="1706" spans="2:9">
      <c r="B1706" t="s">
        <v>121</v>
      </c>
      <c r="C1706" t="s">
        <v>1522</v>
      </c>
      <c r="E1706" t="s">
        <v>739</v>
      </c>
      <c r="F1706" t="s">
        <v>1516</v>
      </c>
      <c r="G1706" s="158" t="s">
        <v>1520</v>
      </c>
      <c r="H1706" t="s">
        <v>2462</v>
      </c>
      <c r="I1706">
        <v>1</v>
      </c>
    </row>
    <row r="1707" spans="2:9">
      <c r="C1707" t="s">
        <v>1522</v>
      </c>
      <c r="E1707" t="s">
        <v>551</v>
      </c>
      <c r="F1707" t="s">
        <v>1844</v>
      </c>
      <c r="G1707" s="158" t="s">
        <v>1528</v>
      </c>
      <c r="H1707" t="s">
        <v>2463</v>
      </c>
      <c r="I1707">
        <v>1</v>
      </c>
    </row>
    <row r="1708" spans="2:9">
      <c r="C1708" t="s">
        <v>1521</v>
      </c>
      <c r="D1708" t="s">
        <v>1330</v>
      </c>
      <c r="E1708" t="s">
        <v>739</v>
      </c>
      <c r="F1708" t="s">
        <v>391</v>
      </c>
      <c r="G1708" s="158">
        <v>1013</v>
      </c>
      <c r="H1708" t="s">
        <v>2464</v>
      </c>
      <c r="I1708">
        <v>1</v>
      </c>
    </row>
    <row r="1709" spans="2:9">
      <c r="C1709" t="s">
        <v>1521</v>
      </c>
      <c r="D1709" t="s">
        <v>1330</v>
      </c>
      <c r="E1709" t="s">
        <v>1586</v>
      </c>
      <c r="F1709" t="s">
        <v>391</v>
      </c>
      <c r="G1709" s="158">
        <v>1023</v>
      </c>
      <c r="H1709" t="s">
        <v>2465</v>
      </c>
      <c r="I1709">
        <v>1</v>
      </c>
    </row>
    <row r="1710" spans="2:9">
      <c r="C1710" t="s">
        <v>1521</v>
      </c>
      <c r="D1710" t="s">
        <v>1330</v>
      </c>
      <c r="E1710" t="s">
        <v>1262</v>
      </c>
      <c r="F1710" t="s">
        <v>391</v>
      </c>
      <c r="G1710" s="158" t="s">
        <v>246</v>
      </c>
      <c r="H1710" t="s">
        <v>2466</v>
      </c>
      <c r="I1710">
        <v>1</v>
      </c>
    </row>
    <row r="1711" spans="2:9">
      <c r="C1711" t="s">
        <v>1522</v>
      </c>
      <c r="E1711" t="s">
        <v>1261</v>
      </c>
      <c r="F1711" t="s">
        <v>391</v>
      </c>
      <c r="G1711" s="158">
        <v>2726</v>
      </c>
      <c r="H1711" t="s">
        <v>2467</v>
      </c>
      <c r="I1711">
        <v>1</v>
      </c>
    </row>
    <row r="1712" spans="2:9">
      <c r="C1712" t="s">
        <v>1522</v>
      </c>
      <c r="E1712" t="s">
        <v>1261</v>
      </c>
      <c r="F1712" t="s">
        <v>391</v>
      </c>
      <c r="G1712" s="158">
        <v>2746</v>
      </c>
      <c r="H1712" t="s">
        <v>2468</v>
      </c>
      <c r="I1712">
        <v>1</v>
      </c>
    </row>
    <row r="1713" spans="2:9">
      <c r="B1713" t="s">
        <v>101</v>
      </c>
      <c r="C1713" t="s">
        <v>1521</v>
      </c>
      <c r="D1713" t="s">
        <v>1331</v>
      </c>
      <c r="E1713" t="s">
        <v>551</v>
      </c>
      <c r="F1713" t="s">
        <v>551</v>
      </c>
      <c r="G1713" s="158">
        <v>1000</v>
      </c>
      <c r="H1713" t="s">
        <v>2469</v>
      </c>
      <c r="I1713">
        <v>1</v>
      </c>
    </row>
    <row r="1714" spans="2:9">
      <c r="C1714" t="s">
        <v>1522</v>
      </c>
      <c r="D1714" t="s">
        <v>70</v>
      </c>
      <c r="E1714" t="s">
        <v>551</v>
      </c>
      <c r="F1714" t="s">
        <v>551</v>
      </c>
      <c r="G1714" s="158">
        <v>1300</v>
      </c>
      <c r="H1714" t="s">
        <v>2470</v>
      </c>
      <c r="I1714">
        <v>1</v>
      </c>
    </row>
    <row r="1715" spans="2:9">
      <c r="C1715" t="s">
        <v>1521</v>
      </c>
      <c r="D1715" t="s">
        <v>534</v>
      </c>
      <c r="E1715" t="s">
        <v>551</v>
      </c>
      <c r="F1715" t="s">
        <v>551</v>
      </c>
      <c r="G1715" s="158">
        <v>1320</v>
      </c>
      <c r="H1715" t="s">
        <v>2471</v>
      </c>
      <c r="I1715">
        <v>1</v>
      </c>
    </row>
    <row r="1716" spans="2:9">
      <c r="C1716" t="s">
        <v>1521</v>
      </c>
      <c r="D1716" t="s">
        <v>1330</v>
      </c>
      <c r="E1716" t="s">
        <v>551</v>
      </c>
      <c r="F1716" t="s">
        <v>551</v>
      </c>
      <c r="G1716" s="158">
        <v>1330</v>
      </c>
      <c r="H1716" t="s">
        <v>2472</v>
      </c>
      <c r="I1716">
        <v>1</v>
      </c>
    </row>
    <row r="1717" spans="2:9">
      <c r="C1717" t="s">
        <v>1522</v>
      </c>
      <c r="D1717" t="s">
        <v>540</v>
      </c>
      <c r="E1717" t="s">
        <v>551</v>
      </c>
      <c r="F1717" t="s">
        <v>551</v>
      </c>
      <c r="G1717" s="158">
        <v>1350</v>
      </c>
      <c r="H1717" t="s">
        <v>2473</v>
      </c>
      <c r="I1717">
        <v>1</v>
      </c>
    </row>
    <row r="1718" spans="2:9">
      <c r="C1718" t="s">
        <v>1522</v>
      </c>
      <c r="D1718" t="s">
        <v>1332</v>
      </c>
      <c r="E1718" t="s">
        <v>551</v>
      </c>
      <c r="F1718" t="s">
        <v>551</v>
      </c>
      <c r="G1718" s="158">
        <v>1360</v>
      </c>
      <c r="H1718" t="s">
        <v>2474</v>
      </c>
      <c r="I1718">
        <v>1</v>
      </c>
    </row>
    <row r="1719" spans="2:9">
      <c r="B1719" t="s">
        <v>118</v>
      </c>
      <c r="C1719" t="s">
        <v>1522</v>
      </c>
      <c r="E1719" t="s">
        <v>1195</v>
      </c>
      <c r="F1719" t="s">
        <v>462</v>
      </c>
      <c r="G1719" s="158" t="s">
        <v>1532</v>
      </c>
      <c r="H1719" t="s">
        <v>2475</v>
      </c>
      <c r="I1719">
        <v>1</v>
      </c>
    </row>
    <row r="1720" spans="2:9">
      <c r="B1720" t="s">
        <v>121</v>
      </c>
      <c r="C1720" t="s">
        <v>1522</v>
      </c>
      <c r="E1720" t="s">
        <v>1195</v>
      </c>
      <c r="F1720" t="s">
        <v>462</v>
      </c>
      <c r="G1720" s="158" t="s">
        <v>1534</v>
      </c>
      <c r="H1720" t="s">
        <v>2476</v>
      </c>
      <c r="I1720">
        <v>1</v>
      </c>
    </row>
    <row r="1721" spans="2:9">
      <c r="B1721" t="s">
        <v>1451</v>
      </c>
      <c r="C1721" t="s">
        <v>1522</v>
      </c>
      <c r="E1721" t="s">
        <v>1195</v>
      </c>
      <c r="F1721" t="s">
        <v>462</v>
      </c>
      <c r="G1721" s="158" t="s">
        <v>451</v>
      </c>
      <c r="H1721" t="s">
        <v>2477</v>
      </c>
      <c r="I1721">
        <v>1</v>
      </c>
    </row>
    <row r="1722" spans="2:9">
      <c r="B1722" t="s">
        <v>582</v>
      </c>
      <c r="C1722" t="s">
        <v>1522</v>
      </c>
      <c r="E1722" t="s">
        <v>1261</v>
      </c>
      <c r="F1722" t="s">
        <v>432</v>
      </c>
      <c r="G1722" s="158">
        <v>1010</v>
      </c>
      <c r="H1722" t="s">
        <v>2478</v>
      </c>
      <c r="I1722">
        <v>1</v>
      </c>
    </row>
    <row r="1723" spans="2:9">
      <c r="B1723" t="s">
        <v>582</v>
      </c>
      <c r="C1723" t="s">
        <v>1522</v>
      </c>
      <c r="E1723" t="s">
        <v>1261</v>
      </c>
      <c r="F1723" t="s">
        <v>432</v>
      </c>
      <c r="G1723" s="158">
        <v>1020</v>
      </c>
      <c r="H1723" t="s">
        <v>2479</v>
      </c>
      <c r="I1723">
        <v>1</v>
      </c>
    </row>
    <row r="1724" spans="2:9">
      <c r="B1724" t="s">
        <v>582</v>
      </c>
      <c r="C1724" t="s">
        <v>1522</v>
      </c>
      <c r="E1724" t="s">
        <v>1526</v>
      </c>
      <c r="F1724" t="s">
        <v>432</v>
      </c>
      <c r="G1724" s="158" t="s">
        <v>1078</v>
      </c>
      <c r="H1724" t="s">
        <v>2480</v>
      </c>
      <c r="I1724">
        <v>1</v>
      </c>
    </row>
    <row r="1725" spans="2:9">
      <c r="B1725" t="s">
        <v>582</v>
      </c>
      <c r="C1725" t="s">
        <v>1522</v>
      </c>
      <c r="E1725" t="s">
        <v>1526</v>
      </c>
      <c r="F1725" t="s">
        <v>432</v>
      </c>
      <c r="G1725" s="158" t="s">
        <v>433</v>
      </c>
      <c r="H1725" t="s">
        <v>2481</v>
      </c>
      <c r="I1725">
        <v>1</v>
      </c>
    </row>
    <row r="1726" spans="2:9">
      <c r="B1726" t="s">
        <v>582</v>
      </c>
      <c r="C1726" t="s">
        <v>1522</v>
      </c>
      <c r="E1726" t="s">
        <v>1526</v>
      </c>
      <c r="F1726" t="s">
        <v>432</v>
      </c>
      <c r="G1726" s="158" t="s">
        <v>434</v>
      </c>
      <c r="H1726" t="s">
        <v>2482</v>
      </c>
      <c r="I1726">
        <v>1</v>
      </c>
    </row>
    <row r="1727" spans="2:9">
      <c r="B1727" t="s">
        <v>582</v>
      </c>
      <c r="C1727" t="s">
        <v>1522</v>
      </c>
      <c r="E1727" t="s">
        <v>1261</v>
      </c>
      <c r="F1727" t="s">
        <v>432</v>
      </c>
      <c r="G1727" s="158">
        <v>1303</v>
      </c>
      <c r="H1727" t="s">
        <v>2483</v>
      </c>
      <c r="I1727">
        <v>1</v>
      </c>
    </row>
    <row r="1728" spans="2:9">
      <c r="B1728" t="s">
        <v>582</v>
      </c>
      <c r="C1728" t="s">
        <v>1522</v>
      </c>
      <c r="E1728" t="s">
        <v>1261</v>
      </c>
      <c r="F1728" t="s">
        <v>432</v>
      </c>
      <c r="G1728" s="158">
        <v>1305</v>
      </c>
      <c r="H1728" t="s">
        <v>2484</v>
      </c>
      <c r="I1728">
        <v>1</v>
      </c>
    </row>
    <row r="1729" spans="2:9">
      <c r="B1729" t="s">
        <v>582</v>
      </c>
      <c r="C1729" t="s">
        <v>1522</v>
      </c>
      <c r="E1729" t="s">
        <v>463</v>
      </c>
      <c r="F1729" t="s">
        <v>347</v>
      </c>
      <c r="G1729" s="158" t="s">
        <v>1127</v>
      </c>
      <c r="H1729" t="s">
        <v>2485</v>
      </c>
      <c r="I1729">
        <v>1</v>
      </c>
    </row>
    <row r="1730" spans="2:9">
      <c r="B1730" t="s">
        <v>582</v>
      </c>
      <c r="C1730" t="s">
        <v>1522</v>
      </c>
      <c r="E1730" t="s">
        <v>463</v>
      </c>
      <c r="F1730" t="s">
        <v>347</v>
      </c>
      <c r="G1730" s="158" t="s">
        <v>436</v>
      </c>
      <c r="H1730" t="s">
        <v>2486</v>
      </c>
      <c r="I1730">
        <v>1</v>
      </c>
    </row>
    <row r="1731" spans="2:9">
      <c r="B1731" t="s">
        <v>582</v>
      </c>
      <c r="C1731" t="s">
        <v>1522</v>
      </c>
      <c r="E1731" t="s">
        <v>463</v>
      </c>
      <c r="F1731" t="s">
        <v>347</v>
      </c>
      <c r="G1731" s="158" t="s">
        <v>1537</v>
      </c>
      <c r="H1731" t="s">
        <v>2487</v>
      </c>
      <c r="I1731">
        <v>1</v>
      </c>
    </row>
    <row r="1734" spans="2:9">
      <c r="B1734" s="151" t="s">
        <v>2488</v>
      </c>
      <c r="C1734">
        <f>COUNTIF(C1151:C1731, "Y")</f>
        <v>74</v>
      </c>
    </row>
    <row r="1735" spans="2:9">
      <c r="B1735" s="151" t="s">
        <v>2489</v>
      </c>
      <c r="C1735">
        <f>COUNTIF(C1151:C1731, "N")</f>
        <v>507</v>
      </c>
    </row>
    <row r="1736" spans="2:9">
      <c r="B1736" s="151" t="s">
        <v>2490</v>
      </c>
      <c r="C1736">
        <f>COUNTA(D1151:D1731)</f>
        <v>121</v>
      </c>
    </row>
    <row r="1737" spans="2:9">
      <c r="B1737" s="151" t="s">
        <v>2491</v>
      </c>
      <c r="C1737">
        <f>COUNTA(B1151:B1731)</f>
        <v>359</v>
      </c>
    </row>
    <row r="1864" spans="1:2" ht="16.5">
      <c r="A1864" s="21" t="s">
        <v>1522</v>
      </c>
      <c r="B1864">
        <f>COUNTA(A1864:A2262)</f>
        <v>399</v>
      </c>
    </row>
    <row r="1865" spans="1:2" ht="16.5">
      <c r="A1865" s="21" t="s">
        <v>1522</v>
      </c>
    </row>
    <row r="1866" spans="1:2" ht="16.5">
      <c r="A1866" s="21" t="s">
        <v>1522</v>
      </c>
    </row>
    <row r="1867" spans="1:2" ht="16.5">
      <c r="A1867" s="21" t="s">
        <v>1522</v>
      </c>
    </row>
    <row r="1868" spans="1:2" ht="16.5">
      <c r="A1868" s="21" t="s">
        <v>1522</v>
      </c>
    </row>
    <row r="1869" spans="1:2" ht="16.5">
      <c r="A1869" s="21" t="s">
        <v>1522</v>
      </c>
    </row>
    <row r="1870" spans="1:2" ht="16.5">
      <c r="A1870" s="21" t="s">
        <v>1522</v>
      </c>
    </row>
    <row r="1871" spans="1:2" ht="16.5">
      <c r="A1871" s="21" t="s">
        <v>1522</v>
      </c>
    </row>
    <row r="1872" spans="1:2" ht="16.5">
      <c r="A1872" s="21" t="s">
        <v>1522</v>
      </c>
    </row>
    <row r="1873" spans="1:1" ht="16.5">
      <c r="A1873" s="21" t="s">
        <v>1522</v>
      </c>
    </row>
    <row r="1874" spans="1:1" ht="16.5">
      <c r="A1874" s="21" t="s">
        <v>1522</v>
      </c>
    </row>
    <row r="1875" spans="1:1" ht="16.5">
      <c r="A1875" s="21" t="s">
        <v>1522</v>
      </c>
    </row>
    <row r="1876" spans="1:1" ht="16.5">
      <c r="A1876" s="21" t="s">
        <v>1522</v>
      </c>
    </row>
    <row r="1877" spans="1:1" ht="16.5">
      <c r="A1877" s="21" t="s">
        <v>1522</v>
      </c>
    </row>
    <row r="1878" spans="1:1" ht="16.5">
      <c r="A1878" s="21" t="s">
        <v>1522</v>
      </c>
    </row>
    <row r="1879" spans="1:1" ht="16.5">
      <c r="A1879" s="21" t="s">
        <v>1522</v>
      </c>
    </row>
    <row r="1880" spans="1:1" ht="16.5">
      <c r="A1880" s="21" t="s">
        <v>1522</v>
      </c>
    </row>
    <row r="1881" spans="1:1" ht="16.5">
      <c r="A1881" s="21" t="s">
        <v>1522</v>
      </c>
    </row>
    <row r="1882" spans="1:1" ht="16.5">
      <c r="A1882" s="21" t="s">
        <v>1522</v>
      </c>
    </row>
    <row r="1883" spans="1:1" ht="16.5">
      <c r="A1883" s="21" t="s">
        <v>1522</v>
      </c>
    </row>
    <row r="1884" spans="1:1" ht="16.5">
      <c r="A1884" s="21" t="s">
        <v>1522</v>
      </c>
    </row>
    <row r="1885" spans="1:1" ht="16.5">
      <c r="A1885" s="21" t="s">
        <v>1522</v>
      </c>
    </row>
    <row r="1886" spans="1:1" ht="16.5">
      <c r="A1886" s="21" t="s">
        <v>1522</v>
      </c>
    </row>
    <row r="1887" spans="1:1" ht="16.5">
      <c r="A1887" s="21" t="s">
        <v>1522</v>
      </c>
    </row>
    <row r="1888" spans="1:1" ht="16.5">
      <c r="A1888" s="21" t="s">
        <v>1522</v>
      </c>
    </row>
    <row r="1889" spans="1:1" ht="16.5">
      <c r="A1889" s="21" t="s">
        <v>1522</v>
      </c>
    </row>
    <row r="1890" spans="1:1" ht="16.5">
      <c r="A1890" s="21" t="s">
        <v>1522</v>
      </c>
    </row>
    <row r="1891" spans="1:1" ht="16.5">
      <c r="A1891" s="21" t="s">
        <v>1522</v>
      </c>
    </row>
    <row r="1892" spans="1:1" ht="16.5">
      <c r="A1892" s="21" t="s">
        <v>1522</v>
      </c>
    </row>
    <row r="1893" spans="1:1" ht="16.5">
      <c r="A1893" s="125" t="s">
        <v>1522</v>
      </c>
    </row>
    <row r="1894" spans="1:1" ht="16.5">
      <c r="A1894" s="21" t="s">
        <v>1522</v>
      </c>
    </row>
    <row r="1895" spans="1:1" ht="16.5">
      <c r="A1895" s="21" t="s">
        <v>1522</v>
      </c>
    </row>
    <row r="1896" spans="1:1" ht="16.5">
      <c r="A1896" s="21" t="s">
        <v>1522</v>
      </c>
    </row>
    <row r="1897" spans="1:1" ht="16.5">
      <c r="A1897" s="21" t="s">
        <v>1522</v>
      </c>
    </row>
    <row r="1898" spans="1:1" ht="16.5">
      <c r="A1898" s="21" t="s">
        <v>1522</v>
      </c>
    </row>
    <row r="1899" spans="1:1" ht="16.5">
      <c r="A1899" s="21" t="s">
        <v>1522</v>
      </c>
    </row>
    <row r="1900" spans="1:1" ht="16.5">
      <c r="A1900" s="21" t="s">
        <v>1522</v>
      </c>
    </row>
    <row r="1901" spans="1:1" ht="16.5">
      <c r="A1901" s="21" t="s">
        <v>1522</v>
      </c>
    </row>
    <row r="1902" spans="1:1" ht="16.5">
      <c r="A1902" s="21" t="s">
        <v>1522</v>
      </c>
    </row>
    <row r="1903" spans="1:1" ht="16.5">
      <c r="A1903" s="21" t="s">
        <v>1522</v>
      </c>
    </row>
    <row r="1904" spans="1:1" ht="16.5">
      <c r="A1904" s="21" t="s">
        <v>1522</v>
      </c>
    </row>
    <row r="1905" spans="1:1" ht="16.5">
      <c r="A1905" s="21" t="s">
        <v>1522</v>
      </c>
    </row>
    <row r="1906" spans="1:1" ht="16.5">
      <c r="A1906" s="21" t="s">
        <v>1522</v>
      </c>
    </row>
    <row r="1907" spans="1:1" ht="16.5">
      <c r="A1907" s="21" t="s">
        <v>1522</v>
      </c>
    </row>
    <row r="1908" spans="1:1" ht="16.5">
      <c r="A1908" s="21" t="s">
        <v>1522</v>
      </c>
    </row>
    <row r="1909" spans="1:1" ht="16.5">
      <c r="A1909" s="21" t="s">
        <v>1522</v>
      </c>
    </row>
    <row r="1910" spans="1:1" ht="16.5">
      <c r="A1910" s="21" t="s">
        <v>1522</v>
      </c>
    </row>
    <row r="1911" spans="1:1" ht="16.5">
      <c r="A1911" s="21" t="s">
        <v>1522</v>
      </c>
    </row>
    <row r="1912" spans="1:1" ht="16.5">
      <c r="A1912" s="21" t="s">
        <v>1522</v>
      </c>
    </row>
    <row r="1913" spans="1:1" ht="16.5">
      <c r="A1913" s="21" t="s">
        <v>1522</v>
      </c>
    </row>
    <row r="1914" spans="1:1" ht="16.5">
      <c r="A1914" s="21" t="s">
        <v>1522</v>
      </c>
    </row>
    <row r="1915" spans="1:1" ht="16.5">
      <c r="A1915" s="21" t="s">
        <v>1522</v>
      </c>
    </row>
    <row r="1916" spans="1:1" ht="16.5">
      <c r="A1916" s="21" t="s">
        <v>1522</v>
      </c>
    </row>
    <row r="1917" spans="1:1" ht="16.5">
      <c r="A1917" s="21" t="s">
        <v>1522</v>
      </c>
    </row>
    <row r="1918" spans="1:1" ht="16.5">
      <c r="A1918" s="21" t="s">
        <v>1522</v>
      </c>
    </row>
    <row r="1919" spans="1:1" ht="16.5">
      <c r="A1919" s="21" t="s">
        <v>1522</v>
      </c>
    </row>
    <row r="1920" spans="1:1" ht="16.5">
      <c r="A1920" s="21" t="s">
        <v>1522</v>
      </c>
    </row>
    <row r="1921" spans="1:1" ht="16.5">
      <c r="A1921" s="21" t="s">
        <v>1522</v>
      </c>
    </row>
    <row r="1922" spans="1:1" ht="16.5">
      <c r="A1922" s="21" t="s">
        <v>1522</v>
      </c>
    </row>
    <row r="1923" spans="1:1" ht="16.5">
      <c r="A1923" s="21" t="s">
        <v>1522</v>
      </c>
    </row>
    <row r="1924" spans="1:1" ht="16.5">
      <c r="A1924" s="21" t="s">
        <v>1522</v>
      </c>
    </row>
    <row r="1925" spans="1:1" ht="16.5">
      <c r="A1925" s="21" t="s">
        <v>1522</v>
      </c>
    </row>
    <row r="1926" spans="1:1" ht="16.5">
      <c r="A1926" s="21" t="s">
        <v>1522</v>
      </c>
    </row>
    <row r="1927" spans="1:1" ht="16.5">
      <c r="A1927" s="125" t="s">
        <v>1522</v>
      </c>
    </row>
    <row r="1928" spans="1:1" ht="16.5">
      <c r="A1928" s="21" t="s">
        <v>1522</v>
      </c>
    </row>
    <row r="1929" spans="1:1" ht="16.5">
      <c r="A1929" s="21" t="s">
        <v>1522</v>
      </c>
    </row>
    <row r="1930" spans="1:1" ht="16.5">
      <c r="A1930" s="21" t="s">
        <v>1522</v>
      </c>
    </row>
    <row r="1931" spans="1:1" ht="16.5">
      <c r="A1931" s="21" t="s">
        <v>1522</v>
      </c>
    </row>
    <row r="1932" spans="1:1" ht="16.5">
      <c r="A1932" s="21" t="s">
        <v>1522</v>
      </c>
    </row>
    <row r="1933" spans="1:1" ht="16.5">
      <c r="A1933" s="21" t="s">
        <v>1522</v>
      </c>
    </row>
    <row r="1934" spans="1:1" ht="16.5">
      <c r="A1934" s="21" t="s">
        <v>1522</v>
      </c>
    </row>
    <row r="1935" spans="1:1" ht="16.5">
      <c r="A1935" s="21" t="s">
        <v>1522</v>
      </c>
    </row>
    <row r="1936" spans="1:1" ht="16.5">
      <c r="A1936" s="21" t="s">
        <v>1522</v>
      </c>
    </row>
    <row r="1937" spans="1:1" ht="16.5">
      <c r="A1937" s="21" t="s">
        <v>1522</v>
      </c>
    </row>
    <row r="1938" spans="1:1" ht="16.5">
      <c r="A1938" s="21" t="s">
        <v>1522</v>
      </c>
    </row>
    <row r="1939" spans="1:1" ht="16.5">
      <c r="A1939" s="105" t="s">
        <v>1522</v>
      </c>
    </row>
    <row r="1940" spans="1:1" ht="16.5">
      <c r="A1940" s="21" t="s">
        <v>1522</v>
      </c>
    </row>
    <row r="1941" spans="1:1" ht="16.5">
      <c r="A1941" s="21" t="s">
        <v>1522</v>
      </c>
    </row>
    <row r="1942" spans="1:1" ht="16.5">
      <c r="A1942" s="21" t="s">
        <v>1522</v>
      </c>
    </row>
    <row r="1943" spans="1:1" ht="16.5">
      <c r="A1943" s="21" t="s">
        <v>1522</v>
      </c>
    </row>
    <row r="1944" spans="1:1" ht="16.5">
      <c r="A1944" s="21" t="s">
        <v>1522</v>
      </c>
    </row>
    <row r="1945" spans="1:1" ht="16.5">
      <c r="A1945" s="21" t="s">
        <v>1522</v>
      </c>
    </row>
    <row r="1946" spans="1:1" ht="16.5">
      <c r="A1946" s="21" t="s">
        <v>1522</v>
      </c>
    </row>
    <row r="1947" spans="1:1" ht="16.5">
      <c r="A1947" s="21" t="s">
        <v>1522</v>
      </c>
    </row>
    <row r="1948" spans="1:1" ht="16.5">
      <c r="A1948" s="21" t="s">
        <v>1522</v>
      </c>
    </row>
    <row r="1949" spans="1:1" ht="16.5">
      <c r="A1949" s="125" t="s">
        <v>1522</v>
      </c>
    </row>
    <row r="1950" spans="1:1" ht="16.5">
      <c r="A1950" s="21" t="s">
        <v>1522</v>
      </c>
    </row>
    <row r="1951" spans="1:1" ht="16.5">
      <c r="A1951" s="21" t="s">
        <v>1522</v>
      </c>
    </row>
    <row r="1952" spans="1:1" ht="16.5">
      <c r="A1952" s="21" t="s">
        <v>1522</v>
      </c>
    </row>
    <row r="1953" spans="1:1" ht="16.5">
      <c r="A1953" s="21" t="s">
        <v>1522</v>
      </c>
    </row>
    <row r="1954" spans="1:1" ht="16.5">
      <c r="A1954" s="21" t="s">
        <v>1522</v>
      </c>
    </row>
    <row r="1955" spans="1:1" ht="16.5">
      <c r="A1955" s="21" t="s">
        <v>1522</v>
      </c>
    </row>
    <row r="1956" spans="1:1" ht="16.5">
      <c r="A1956" s="21" t="s">
        <v>1522</v>
      </c>
    </row>
    <row r="1957" spans="1:1" ht="16.5">
      <c r="A1957" s="21" t="s">
        <v>1522</v>
      </c>
    </row>
    <row r="1958" spans="1:1" ht="16.5">
      <c r="A1958" s="21" t="s">
        <v>1522</v>
      </c>
    </row>
    <row r="1959" spans="1:1" ht="16.5">
      <c r="A1959" s="21" t="s">
        <v>1522</v>
      </c>
    </row>
    <row r="1960" spans="1:1" ht="16.5">
      <c r="A1960" s="21" t="s">
        <v>1522</v>
      </c>
    </row>
    <row r="1961" spans="1:1" ht="16.5">
      <c r="A1961" s="21" t="s">
        <v>1522</v>
      </c>
    </row>
    <row r="1962" spans="1:1" ht="16.5">
      <c r="A1962" s="21" t="s">
        <v>1522</v>
      </c>
    </row>
    <row r="1963" spans="1:1" ht="16.5">
      <c r="A1963" s="21" t="s">
        <v>1522</v>
      </c>
    </row>
    <row r="1964" spans="1:1" ht="16.5">
      <c r="A1964" s="21" t="s">
        <v>1522</v>
      </c>
    </row>
    <row r="1965" spans="1:1" ht="16.5">
      <c r="A1965" s="21" t="s">
        <v>1522</v>
      </c>
    </row>
    <row r="1966" spans="1:1" ht="16.5">
      <c r="A1966" s="21" t="s">
        <v>1522</v>
      </c>
    </row>
    <row r="1967" spans="1:1" ht="16.5">
      <c r="A1967" s="21" t="s">
        <v>1522</v>
      </c>
    </row>
    <row r="1968" spans="1:1" ht="16.5">
      <c r="A1968" s="21" t="s">
        <v>1522</v>
      </c>
    </row>
    <row r="1969" spans="1:1" ht="16.5">
      <c r="A1969" s="21" t="s">
        <v>1522</v>
      </c>
    </row>
    <row r="1970" spans="1:1" ht="16.5">
      <c r="A1970" s="21" t="s">
        <v>1522</v>
      </c>
    </row>
    <row r="1971" spans="1:1" ht="16.5">
      <c r="A1971" s="21" t="s">
        <v>1522</v>
      </c>
    </row>
    <row r="1972" spans="1:1" ht="16.5">
      <c r="A1972" s="21" t="s">
        <v>1522</v>
      </c>
    </row>
    <row r="1973" spans="1:1" ht="16.5">
      <c r="A1973" s="21" t="s">
        <v>1522</v>
      </c>
    </row>
    <row r="1974" spans="1:1" ht="16.5">
      <c r="A1974" s="21" t="s">
        <v>1522</v>
      </c>
    </row>
    <row r="1975" spans="1:1" ht="16.5">
      <c r="A1975" s="21" t="s">
        <v>1522</v>
      </c>
    </row>
    <row r="1976" spans="1:1" ht="16.5">
      <c r="A1976" s="21" t="s">
        <v>1522</v>
      </c>
    </row>
    <row r="1977" spans="1:1" ht="16.5">
      <c r="A1977" s="21" t="s">
        <v>1522</v>
      </c>
    </row>
    <row r="1978" spans="1:1" ht="16.5">
      <c r="A1978" s="21" t="s">
        <v>1522</v>
      </c>
    </row>
    <row r="1979" spans="1:1" ht="16.5">
      <c r="A1979" s="21" t="s">
        <v>1522</v>
      </c>
    </row>
    <row r="1980" spans="1:1" ht="16.5">
      <c r="A1980" s="21" t="s">
        <v>1522</v>
      </c>
    </row>
    <row r="1981" spans="1:1" ht="16.5">
      <c r="A1981" s="21" t="s">
        <v>1522</v>
      </c>
    </row>
    <row r="1982" spans="1:1" ht="16.5">
      <c r="A1982" s="21" t="s">
        <v>1522</v>
      </c>
    </row>
    <row r="1983" spans="1:1" ht="16.5">
      <c r="A1983" s="21" t="s">
        <v>1522</v>
      </c>
    </row>
    <row r="1984" spans="1:1" ht="16.5">
      <c r="A1984" s="125" t="s">
        <v>1522</v>
      </c>
    </row>
    <row r="1985" spans="1:1" ht="16.5">
      <c r="A1985" s="125" t="s">
        <v>1522</v>
      </c>
    </row>
    <row r="1986" spans="1:1" ht="16.5">
      <c r="A1986" s="21" t="s">
        <v>1522</v>
      </c>
    </row>
    <row r="1987" spans="1:1" ht="16.5">
      <c r="A1987" s="21" t="s">
        <v>1522</v>
      </c>
    </row>
    <row r="1988" spans="1:1" ht="16.5">
      <c r="A1988" s="21" t="s">
        <v>1522</v>
      </c>
    </row>
    <row r="1989" spans="1:1" ht="16.5">
      <c r="A1989" s="21" t="s">
        <v>1522</v>
      </c>
    </row>
    <row r="1990" spans="1:1" ht="16.5">
      <c r="A1990" s="21" t="s">
        <v>1522</v>
      </c>
    </row>
    <row r="1991" spans="1:1" ht="16.5">
      <c r="A1991" s="21" t="s">
        <v>1522</v>
      </c>
    </row>
    <row r="1992" spans="1:1" ht="16.5">
      <c r="A1992" s="21" t="s">
        <v>1522</v>
      </c>
    </row>
    <row r="1993" spans="1:1" ht="16.5">
      <c r="A1993" s="21" t="s">
        <v>1522</v>
      </c>
    </row>
    <row r="1994" spans="1:1" ht="16.5">
      <c r="A1994" s="21" t="s">
        <v>1522</v>
      </c>
    </row>
    <row r="1995" spans="1:1" ht="16.5">
      <c r="A1995" s="21" t="s">
        <v>1522</v>
      </c>
    </row>
    <row r="1996" spans="1:1" ht="16.5">
      <c r="A1996" s="21" t="s">
        <v>1522</v>
      </c>
    </row>
    <row r="1997" spans="1:1" ht="16.5">
      <c r="A1997" s="21" t="s">
        <v>1522</v>
      </c>
    </row>
    <row r="1998" spans="1:1" ht="16.5">
      <c r="A1998" s="21" t="s">
        <v>1522</v>
      </c>
    </row>
    <row r="1999" spans="1:1" ht="16.5">
      <c r="A1999" s="21" t="s">
        <v>1522</v>
      </c>
    </row>
    <row r="2000" spans="1:1" ht="16.5">
      <c r="A2000" s="21" t="s">
        <v>1522</v>
      </c>
    </row>
    <row r="2001" spans="1:1" ht="16.5">
      <c r="A2001" s="21" t="s">
        <v>1522</v>
      </c>
    </row>
    <row r="2002" spans="1:1" ht="16.5">
      <c r="A2002" s="21" t="s">
        <v>1522</v>
      </c>
    </row>
    <row r="2003" spans="1:1" ht="16.5">
      <c r="A2003" s="21" t="s">
        <v>1522</v>
      </c>
    </row>
    <row r="2004" spans="1:1" ht="16.5">
      <c r="A2004" s="21" t="s">
        <v>1522</v>
      </c>
    </row>
    <row r="2005" spans="1:1" ht="16.5">
      <c r="A2005" s="146" t="s">
        <v>1522</v>
      </c>
    </row>
    <row r="2006" spans="1:1" ht="16.5">
      <c r="A2006" s="21" t="s">
        <v>1522</v>
      </c>
    </row>
    <row r="2007" spans="1:1" ht="16.5">
      <c r="A2007" s="21" t="s">
        <v>1522</v>
      </c>
    </row>
    <row r="2008" spans="1:1" ht="16.5">
      <c r="A2008" s="21" t="s">
        <v>1522</v>
      </c>
    </row>
    <row r="2009" spans="1:1" ht="16.5">
      <c r="A2009" s="21" t="s">
        <v>1522</v>
      </c>
    </row>
    <row r="2010" spans="1:1" ht="16.5">
      <c r="A2010" s="21" t="s">
        <v>1522</v>
      </c>
    </row>
    <row r="2011" spans="1:1" ht="16.5">
      <c r="A2011" s="21" t="s">
        <v>1522</v>
      </c>
    </row>
    <row r="2012" spans="1:1" ht="16.5">
      <c r="A2012" s="21" t="s">
        <v>1522</v>
      </c>
    </row>
    <row r="2013" spans="1:1" ht="16.5">
      <c r="A2013" s="21" t="s">
        <v>1522</v>
      </c>
    </row>
    <row r="2014" spans="1:1" ht="16.5">
      <c r="A2014" s="21" t="s">
        <v>1522</v>
      </c>
    </row>
    <row r="2015" spans="1:1" ht="16.5">
      <c r="A2015" s="21" t="s">
        <v>1522</v>
      </c>
    </row>
    <row r="2016" spans="1:1" ht="16.5">
      <c r="A2016" s="21" t="s">
        <v>1522</v>
      </c>
    </row>
    <row r="2017" spans="1:1" ht="16.5">
      <c r="A2017" s="21" t="s">
        <v>1522</v>
      </c>
    </row>
    <row r="2018" spans="1:1" ht="16.5">
      <c r="A2018" s="21" t="s">
        <v>1522</v>
      </c>
    </row>
    <row r="2019" spans="1:1" ht="16.5">
      <c r="A2019" s="21" t="s">
        <v>1522</v>
      </c>
    </row>
    <row r="2020" spans="1:1" ht="16.5">
      <c r="A2020" s="21" t="s">
        <v>1522</v>
      </c>
    </row>
    <row r="2021" spans="1:1" ht="16.5">
      <c r="A2021" s="21" t="s">
        <v>1522</v>
      </c>
    </row>
    <row r="2022" spans="1:1" ht="16.5">
      <c r="A2022" s="21" t="s">
        <v>1522</v>
      </c>
    </row>
    <row r="2023" spans="1:1" ht="16.5">
      <c r="A2023" s="21" t="s">
        <v>1522</v>
      </c>
    </row>
    <row r="2024" spans="1:1" ht="16.5">
      <c r="A2024" s="21" t="s">
        <v>1522</v>
      </c>
    </row>
    <row r="2025" spans="1:1" ht="16.5">
      <c r="A2025" s="21" t="s">
        <v>1522</v>
      </c>
    </row>
    <row r="2026" spans="1:1" ht="16.5">
      <c r="A2026" s="21" t="s">
        <v>1522</v>
      </c>
    </row>
    <row r="2027" spans="1:1" ht="16.5">
      <c r="A2027" s="21" t="s">
        <v>1522</v>
      </c>
    </row>
    <row r="2028" spans="1:1" ht="16.5">
      <c r="A2028" s="21" t="s">
        <v>1522</v>
      </c>
    </row>
    <row r="2029" spans="1:1" ht="16.5">
      <c r="A2029" s="21" t="s">
        <v>1522</v>
      </c>
    </row>
    <row r="2030" spans="1:1" ht="16.5">
      <c r="A2030" s="125" t="s">
        <v>1522</v>
      </c>
    </row>
    <row r="2031" spans="1:1" ht="16.5">
      <c r="A2031" s="21" t="s">
        <v>1522</v>
      </c>
    </row>
    <row r="2032" spans="1:1" ht="16.5">
      <c r="A2032" s="21" t="s">
        <v>1522</v>
      </c>
    </row>
    <row r="2033" spans="1:1" ht="16.5">
      <c r="A2033" s="21" t="s">
        <v>1522</v>
      </c>
    </row>
    <row r="2034" spans="1:1" ht="16.5">
      <c r="A2034" s="21" t="s">
        <v>1522</v>
      </c>
    </row>
    <row r="2035" spans="1:1" ht="16.5">
      <c r="A2035" s="21" t="s">
        <v>1522</v>
      </c>
    </row>
    <row r="2036" spans="1:1" ht="16.5">
      <c r="A2036" s="21" t="s">
        <v>1522</v>
      </c>
    </row>
    <row r="2037" spans="1:1" ht="16.5">
      <c r="A2037" s="21" t="s">
        <v>1522</v>
      </c>
    </row>
    <row r="2038" spans="1:1" ht="16.5">
      <c r="A2038" s="21" t="s">
        <v>1522</v>
      </c>
    </row>
    <row r="2039" spans="1:1" ht="16.5">
      <c r="A2039" s="21" t="s">
        <v>1522</v>
      </c>
    </row>
    <row r="2040" spans="1:1" ht="16.5">
      <c r="A2040" s="21" t="s">
        <v>1522</v>
      </c>
    </row>
    <row r="2041" spans="1:1" ht="16.5">
      <c r="A2041" s="21" t="s">
        <v>1522</v>
      </c>
    </row>
    <row r="2042" spans="1:1" ht="16.5">
      <c r="A2042" s="21" t="s">
        <v>1522</v>
      </c>
    </row>
    <row r="2043" spans="1:1" ht="16.5">
      <c r="A2043" s="21" t="s">
        <v>1522</v>
      </c>
    </row>
    <row r="2044" spans="1:1" ht="16.5">
      <c r="A2044" s="21" t="s">
        <v>1522</v>
      </c>
    </row>
    <row r="2045" spans="1:1" ht="16.5">
      <c r="A2045" s="21" t="s">
        <v>1522</v>
      </c>
    </row>
    <row r="2046" spans="1:1" ht="16.5">
      <c r="A2046" s="21" t="s">
        <v>1522</v>
      </c>
    </row>
    <row r="2047" spans="1:1" ht="16.5">
      <c r="A2047" s="21" t="s">
        <v>1522</v>
      </c>
    </row>
    <row r="2048" spans="1:1" ht="16.5">
      <c r="A2048" s="21" t="s">
        <v>1522</v>
      </c>
    </row>
    <row r="2049" spans="1:1" ht="16.5">
      <c r="A2049" s="125" t="s">
        <v>1522</v>
      </c>
    </row>
    <row r="2050" spans="1:1" ht="16.5">
      <c r="A2050" s="21" t="s">
        <v>1522</v>
      </c>
    </row>
    <row r="2051" spans="1:1" ht="16.5">
      <c r="A2051" s="21" t="s">
        <v>1522</v>
      </c>
    </row>
    <row r="2052" spans="1:1" ht="16.5">
      <c r="A2052" s="21" t="s">
        <v>1522</v>
      </c>
    </row>
    <row r="2053" spans="1:1" ht="16.5">
      <c r="A2053" s="21" t="s">
        <v>1522</v>
      </c>
    </row>
    <row r="2054" spans="1:1" ht="16.5">
      <c r="A2054" s="21" t="s">
        <v>1522</v>
      </c>
    </row>
    <row r="2055" spans="1:1" ht="16.5">
      <c r="A2055" s="21" t="s">
        <v>1522</v>
      </c>
    </row>
    <row r="2056" spans="1:1" ht="16.5">
      <c r="A2056" s="21" t="s">
        <v>1522</v>
      </c>
    </row>
    <row r="2057" spans="1:1" ht="16.5">
      <c r="A2057" s="21" t="s">
        <v>1522</v>
      </c>
    </row>
    <row r="2058" spans="1:1" ht="16.5">
      <c r="A2058" s="21" t="s">
        <v>1522</v>
      </c>
    </row>
    <row r="2059" spans="1:1" ht="16.5">
      <c r="A2059" s="21" t="s">
        <v>1522</v>
      </c>
    </row>
    <row r="2060" spans="1:1" ht="16.5">
      <c r="A2060" s="21" t="s">
        <v>1522</v>
      </c>
    </row>
    <row r="2061" spans="1:1" ht="16.5">
      <c r="A2061" s="21" t="s">
        <v>1522</v>
      </c>
    </row>
    <row r="2062" spans="1:1" ht="16.5">
      <c r="A2062" s="21" t="s">
        <v>1522</v>
      </c>
    </row>
    <row r="2063" spans="1:1" ht="16.5">
      <c r="A2063" s="21" t="s">
        <v>1522</v>
      </c>
    </row>
    <row r="2064" spans="1:1" ht="16.5">
      <c r="A2064" s="21" t="s">
        <v>1522</v>
      </c>
    </row>
    <row r="2065" spans="1:1" ht="16.5">
      <c r="A2065" s="21" t="s">
        <v>1522</v>
      </c>
    </row>
    <row r="2066" spans="1:1" ht="16.5">
      <c r="A2066" s="21" t="s">
        <v>1522</v>
      </c>
    </row>
    <row r="2067" spans="1:1" ht="16.5">
      <c r="A2067" s="21" t="s">
        <v>1522</v>
      </c>
    </row>
    <row r="2068" spans="1:1" ht="16.5">
      <c r="A2068" s="21" t="s">
        <v>1522</v>
      </c>
    </row>
    <row r="2069" spans="1:1" ht="16.5">
      <c r="A2069" s="21" t="s">
        <v>1522</v>
      </c>
    </row>
    <row r="2070" spans="1:1" ht="16.5">
      <c r="A2070" s="21" t="s">
        <v>1522</v>
      </c>
    </row>
    <row r="2071" spans="1:1" ht="16.5">
      <c r="A2071" s="21" t="s">
        <v>1522</v>
      </c>
    </row>
    <row r="2072" spans="1:1" ht="16.5">
      <c r="A2072" s="21" t="s">
        <v>1522</v>
      </c>
    </row>
    <row r="2073" spans="1:1" ht="16.5">
      <c r="A2073" s="21" t="s">
        <v>1522</v>
      </c>
    </row>
    <row r="2074" spans="1:1" ht="16.5">
      <c r="A2074" s="21" t="s">
        <v>1522</v>
      </c>
    </row>
    <row r="2075" spans="1:1" ht="16.5">
      <c r="A2075" s="21" t="s">
        <v>1522</v>
      </c>
    </row>
    <row r="2076" spans="1:1" ht="16.5">
      <c r="A2076" s="21" t="s">
        <v>1522</v>
      </c>
    </row>
    <row r="2077" spans="1:1" ht="16.5">
      <c r="A2077" s="58" t="s">
        <v>1522</v>
      </c>
    </row>
    <row r="2078" spans="1:1" ht="16.5">
      <c r="A2078" s="58" t="s">
        <v>1522</v>
      </c>
    </row>
    <row r="2079" spans="1:1" ht="16.5">
      <c r="A2079" s="21" t="s">
        <v>1522</v>
      </c>
    </row>
    <row r="2080" spans="1:1" ht="16.5">
      <c r="A2080" s="21" t="s">
        <v>1522</v>
      </c>
    </row>
    <row r="2081" spans="1:1" ht="16.5">
      <c r="A2081" s="21" t="s">
        <v>1522</v>
      </c>
    </row>
    <row r="2082" spans="1:1" ht="16.5">
      <c r="A2082" s="58" t="s">
        <v>1522</v>
      </c>
    </row>
    <row r="2083" spans="1:1" ht="16.5">
      <c r="A2083" s="21" t="s">
        <v>1522</v>
      </c>
    </row>
    <row r="2084" spans="1:1" ht="16.5">
      <c r="A2084" s="21" t="s">
        <v>1522</v>
      </c>
    </row>
    <row r="2085" spans="1:1" ht="16.5">
      <c r="A2085" s="21" t="s">
        <v>1522</v>
      </c>
    </row>
    <row r="2086" spans="1:1" ht="16.5">
      <c r="A2086" s="21" t="s">
        <v>1522</v>
      </c>
    </row>
    <row r="2087" spans="1:1" ht="16.5">
      <c r="A2087" s="21" t="s">
        <v>1522</v>
      </c>
    </row>
    <row r="2088" spans="1:1" ht="16.5">
      <c r="A2088" s="21" t="s">
        <v>1522</v>
      </c>
    </row>
    <row r="2089" spans="1:1" ht="16.5">
      <c r="A2089" s="21" t="s">
        <v>1522</v>
      </c>
    </row>
    <row r="2090" spans="1:1" ht="16.5">
      <c r="A2090" s="21" t="s">
        <v>1522</v>
      </c>
    </row>
    <row r="2091" spans="1:1" ht="16.5">
      <c r="A2091" s="58" t="s">
        <v>1522</v>
      </c>
    </row>
    <row r="2092" spans="1:1" ht="16.5">
      <c r="A2092" s="58" t="s">
        <v>1522</v>
      </c>
    </row>
    <row r="2093" spans="1:1" ht="16.5">
      <c r="A2093" s="21" t="s">
        <v>1522</v>
      </c>
    </row>
    <row r="2094" spans="1:1" ht="16.5">
      <c r="A2094" s="21" t="s">
        <v>1522</v>
      </c>
    </row>
    <row r="2095" spans="1:1" ht="16.5">
      <c r="A2095" s="21" t="s">
        <v>1522</v>
      </c>
    </row>
    <row r="2096" spans="1:1" ht="16.5">
      <c r="A2096" s="21" t="s">
        <v>1522</v>
      </c>
    </row>
    <row r="2097" spans="1:1" ht="16.5">
      <c r="A2097" s="21" t="s">
        <v>1522</v>
      </c>
    </row>
    <row r="2098" spans="1:1" ht="16.5">
      <c r="A2098" s="21" t="s">
        <v>1522</v>
      </c>
    </row>
    <row r="2099" spans="1:1" ht="16.5">
      <c r="A2099" s="21" t="s">
        <v>1522</v>
      </c>
    </row>
    <row r="2100" spans="1:1" ht="16.5">
      <c r="A2100" s="21" t="s">
        <v>1522</v>
      </c>
    </row>
    <row r="2101" spans="1:1" ht="16.5">
      <c r="A2101" s="21" t="s">
        <v>1522</v>
      </c>
    </row>
    <row r="2102" spans="1:1" ht="16.5">
      <c r="A2102" s="21" t="s">
        <v>1522</v>
      </c>
    </row>
    <row r="2103" spans="1:1" ht="16.5">
      <c r="A2103" s="21" t="s">
        <v>1522</v>
      </c>
    </row>
    <row r="2104" spans="1:1" ht="16.5">
      <c r="A2104" s="21" t="s">
        <v>1522</v>
      </c>
    </row>
    <row r="2105" spans="1:1" ht="16.5">
      <c r="A2105" s="21" t="s">
        <v>1522</v>
      </c>
    </row>
    <row r="2106" spans="1:1" ht="16.5">
      <c r="A2106" s="21" t="s">
        <v>1522</v>
      </c>
    </row>
    <row r="2107" spans="1:1" ht="16.5">
      <c r="A2107" s="21" t="s">
        <v>1522</v>
      </c>
    </row>
    <row r="2108" spans="1:1" ht="16.5">
      <c r="A2108" s="21" t="s">
        <v>1522</v>
      </c>
    </row>
    <row r="2109" spans="1:1" ht="16.5">
      <c r="A2109" s="21" t="s">
        <v>1522</v>
      </c>
    </row>
    <row r="2110" spans="1:1" ht="16.5">
      <c r="A2110" s="21" t="s">
        <v>1522</v>
      </c>
    </row>
    <row r="2111" spans="1:1" ht="16.5">
      <c r="A2111" s="21" t="s">
        <v>1522</v>
      </c>
    </row>
    <row r="2112" spans="1:1" ht="16.5">
      <c r="A2112" s="21" t="s">
        <v>1522</v>
      </c>
    </row>
    <row r="2113" spans="1:1" ht="16.5">
      <c r="A2113" s="21" t="s">
        <v>1522</v>
      </c>
    </row>
    <row r="2114" spans="1:1" ht="16.5">
      <c r="A2114" s="21" t="s">
        <v>1522</v>
      </c>
    </row>
    <row r="2115" spans="1:1" ht="16.5">
      <c r="A2115" s="21" t="s">
        <v>1522</v>
      </c>
    </row>
    <row r="2116" spans="1:1" ht="16.5">
      <c r="A2116" s="21" t="s">
        <v>1522</v>
      </c>
    </row>
    <row r="2117" spans="1:1" ht="16.5">
      <c r="A2117" s="21" t="s">
        <v>1522</v>
      </c>
    </row>
    <row r="2118" spans="1:1" ht="16.5">
      <c r="A2118" s="21" t="s">
        <v>1522</v>
      </c>
    </row>
    <row r="2119" spans="1:1" ht="16.5">
      <c r="A2119" s="21" t="s">
        <v>1522</v>
      </c>
    </row>
    <row r="2120" spans="1:1" ht="16.5">
      <c r="A2120" s="21" t="s">
        <v>1522</v>
      </c>
    </row>
    <row r="2121" spans="1:1" ht="16.5">
      <c r="A2121" s="21" t="s">
        <v>1522</v>
      </c>
    </row>
    <row r="2122" spans="1:1" ht="16.5">
      <c r="A2122" s="21" t="s">
        <v>1522</v>
      </c>
    </row>
    <row r="2123" spans="1:1" ht="16.5">
      <c r="A2123" s="21" t="s">
        <v>1522</v>
      </c>
    </row>
    <row r="2124" spans="1:1" ht="16.5">
      <c r="A2124" s="58" t="s">
        <v>1522</v>
      </c>
    </row>
    <row r="2125" spans="1:1" ht="16.5">
      <c r="A2125" s="21" t="s">
        <v>1522</v>
      </c>
    </row>
    <row r="2126" spans="1:1" ht="16.5">
      <c r="A2126" s="21" t="s">
        <v>1522</v>
      </c>
    </row>
    <row r="2127" spans="1:1" ht="16.5">
      <c r="A2127" s="21" t="s">
        <v>1522</v>
      </c>
    </row>
    <row r="2128" spans="1:1" ht="16.5">
      <c r="A2128" s="58" t="s">
        <v>1522</v>
      </c>
    </row>
    <row r="2129" spans="1:1" ht="16.5">
      <c r="A2129" s="21" t="s">
        <v>1522</v>
      </c>
    </row>
    <row r="2130" spans="1:1" ht="16.5">
      <c r="A2130" s="21" t="s">
        <v>1522</v>
      </c>
    </row>
    <row r="2131" spans="1:1" ht="16.5">
      <c r="A2131" s="21" t="s">
        <v>1522</v>
      </c>
    </row>
    <row r="2132" spans="1:1" ht="16.5">
      <c r="A2132" s="21" t="s">
        <v>1522</v>
      </c>
    </row>
    <row r="2133" spans="1:1" ht="16.5">
      <c r="A2133" s="21" t="s">
        <v>1522</v>
      </c>
    </row>
    <row r="2134" spans="1:1" ht="16.5">
      <c r="A2134" s="21" t="s">
        <v>1522</v>
      </c>
    </row>
    <row r="2135" spans="1:1" ht="16.5">
      <c r="A2135" s="21" t="s">
        <v>1522</v>
      </c>
    </row>
    <row r="2136" spans="1:1" ht="16.5">
      <c r="A2136" s="21" t="s">
        <v>1522</v>
      </c>
    </row>
    <row r="2137" spans="1:1" ht="16.5">
      <c r="A2137" s="105" t="s">
        <v>1522</v>
      </c>
    </row>
    <row r="2138" spans="1:1" ht="16.5">
      <c r="A2138" s="21" t="s">
        <v>1522</v>
      </c>
    </row>
    <row r="2139" spans="1:1" ht="16.5">
      <c r="A2139" s="21" t="s">
        <v>1522</v>
      </c>
    </row>
    <row r="2140" spans="1:1" ht="16.5">
      <c r="A2140" s="21" t="s">
        <v>1522</v>
      </c>
    </row>
    <row r="2141" spans="1:1" ht="16.5">
      <c r="A2141" s="21" t="s">
        <v>1522</v>
      </c>
    </row>
    <row r="2142" spans="1:1" ht="16.5">
      <c r="A2142" s="21" t="s">
        <v>1522</v>
      </c>
    </row>
    <row r="2143" spans="1:1" ht="16.5">
      <c r="A2143" s="21" t="s">
        <v>1522</v>
      </c>
    </row>
    <row r="2144" spans="1:1" ht="16.5">
      <c r="A2144" s="21" t="s">
        <v>1522</v>
      </c>
    </row>
    <row r="2145" spans="1:1" ht="16.5">
      <c r="A2145" s="21" t="s">
        <v>1522</v>
      </c>
    </row>
    <row r="2146" spans="1:1" ht="16.5">
      <c r="A2146" s="125" t="s">
        <v>1522</v>
      </c>
    </row>
    <row r="2147" spans="1:1" ht="16.5">
      <c r="A2147" s="125" t="s">
        <v>1522</v>
      </c>
    </row>
    <row r="2148" spans="1:1" ht="16.5">
      <c r="A2148" s="125" t="s">
        <v>1522</v>
      </c>
    </row>
    <row r="2149" spans="1:1" ht="16.5">
      <c r="A2149" s="125" t="s">
        <v>1522</v>
      </c>
    </row>
    <row r="2150" spans="1:1" ht="16.5">
      <c r="A2150" s="21" t="s">
        <v>1522</v>
      </c>
    </row>
    <row r="2151" spans="1:1" ht="16.5">
      <c r="A2151" s="21" t="s">
        <v>1522</v>
      </c>
    </row>
    <row r="2152" spans="1:1" ht="16.5">
      <c r="A2152" s="21" t="s">
        <v>1522</v>
      </c>
    </row>
    <row r="2153" spans="1:1" ht="16.5">
      <c r="A2153" s="21" t="s">
        <v>1522</v>
      </c>
    </row>
    <row r="2154" spans="1:1" ht="16.5">
      <c r="A2154" s="21" t="s">
        <v>1522</v>
      </c>
    </row>
    <row r="2155" spans="1:1" ht="16.5">
      <c r="A2155" s="21" t="s">
        <v>1522</v>
      </c>
    </row>
    <row r="2156" spans="1:1" ht="16.5">
      <c r="A2156" s="21" t="s">
        <v>1522</v>
      </c>
    </row>
    <row r="2157" spans="1:1" ht="16.5">
      <c r="A2157" s="21" t="s">
        <v>1522</v>
      </c>
    </row>
    <row r="2158" spans="1:1" ht="16.5">
      <c r="A2158" s="21" t="s">
        <v>1522</v>
      </c>
    </row>
    <row r="2159" spans="1:1" ht="16.5">
      <c r="A2159" s="21" t="s">
        <v>1522</v>
      </c>
    </row>
    <row r="2160" spans="1:1" ht="16.5">
      <c r="A2160" s="21" t="s">
        <v>1522</v>
      </c>
    </row>
    <row r="2161" spans="1:1" ht="16.5">
      <c r="A2161" s="21" t="s">
        <v>1522</v>
      </c>
    </row>
    <row r="2162" spans="1:1" ht="16.5">
      <c r="A2162" s="21" t="s">
        <v>1522</v>
      </c>
    </row>
    <row r="2163" spans="1:1" ht="16.5">
      <c r="A2163" s="21" t="s">
        <v>1522</v>
      </c>
    </row>
    <row r="2164" spans="1:1" ht="16.5">
      <c r="A2164" s="21" t="s">
        <v>1522</v>
      </c>
    </row>
    <row r="2165" spans="1:1" ht="16.5">
      <c r="A2165" s="21" t="s">
        <v>1522</v>
      </c>
    </row>
    <row r="2166" spans="1:1" ht="16.5">
      <c r="A2166" s="21" t="s">
        <v>1522</v>
      </c>
    </row>
    <row r="2167" spans="1:1" ht="16.5">
      <c r="A2167" s="21" t="s">
        <v>1522</v>
      </c>
    </row>
    <row r="2168" spans="1:1" ht="16.5">
      <c r="A2168" s="21" t="s">
        <v>1522</v>
      </c>
    </row>
    <row r="2169" spans="1:1" ht="16.5">
      <c r="A2169" s="21" t="s">
        <v>1522</v>
      </c>
    </row>
    <row r="2170" spans="1:1" ht="16.5">
      <c r="A2170" s="21" t="s">
        <v>1522</v>
      </c>
    </row>
    <row r="2171" spans="1:1" ht="16.5">
      <c r="A2171" s="21" t="s">
        <v>1522</v>
      </c>
    </row>
    <row r="2172" spans="1:1" ht="16.5">
      <c r="A2172" s="21" t="s">
        <v>1522</v>
      </c>
    </row>
    <row r="2173" spans="1:1" ht="16.5">
      <c r="A2173" s="21" t="s">
        <v>1522</v>
      </c>
    </row>
    <row r="2174" spans="1:1" ht="16.5">
      <c r="A2174" s="21" t="s">
        <v>1522</v>
      </c>
    </row>
    <row r="2175" spans="1:1" ht="16.5">
      <c r="A2175" s="21" t="s">
        <v>1522</v>
      </c>
    </row>
    <row r="2176" spans="1:1" ht="16.5">
      <c r="A2176" s="21" t="s">
        <v>1522</v>
      </c>
    </row>
    <row r="2177" spans="1:1" ht="16.5">
      <c r="A2177" s="21" t="s">
        <v>1522</v>
      </c>
    </row>
    <row r="2178" spans="1:1" ht="16.5">
      <c r="A2178" s="21" t="s">
        <v>1522</v>
      </c>
    </row>
    <row r="2179" spans="1:1" ht="16.5">
      <c r="A2179" s="21" t="s">
        <v>1522</v>
      </c>
    </row>
    <row r="2180" spans="1:1" ht="16.5">
      <c r="A2180" s="21" t="s">
        <v>1522</v>
      </c>
    </row>
    <row r="2181" spans="1:1" ht="16.5">
      <c r="A2181" s="21" t="s">
        <v>1522</v>
      </c>
    </row>
    <row r="2182" spans="1:1" ht="16.5">
      <c r="A2182" s="21" t="s">
        <v>1522</v>
      </c>
    </row>
    <row r="2183" spans="1:1" ht="16.5">
      <c r="A2183" s="21" t="s">
        <v>1522</v>
      </c>
    </row>
    <row r="2184" spans="1:1" ht="16.5">
      <c r="A2184" s="21" t="s">
        <v>1522</v>
      </c>
    </row>
    <row r="2185" spans="1:1" ht="16.5">
      <c r="A2185" s="21" t="s">
        <v>1522</v>
      </c>
    </row>
    <row r="2186" spans="1:1" ht="16.5">
      <c r="A2186" s="21" t="s">
        <v>1522</v>
      </c>
    </row>
    <row r="2187" spans="1:1" ht="16.5">
      <c r="A2187" s="21" t="s">
        <v>1522</v>
      </c>
    </row>
    <row r="2188" spans="1:1" ht="16.5">
      <c r="A2188" s="21" t="s">
        <v>1522</v>
      </c>
    </row>
    <row r="2189" spans="1:1" ht="16.5">
      <c r="A2189" s="21" t="s">
        <v>1522</v>
      </c>
    </row>
    <row r="2190" spans="1:1" ht="16.5">
      <c r="A2190" s="21" t="s">
        <v>1522</v>
      </c>
    </row>
    <row r="2191" spans="1:1" ht="16.5">
      <c r="A2191" s="21" t="s">
        <v>1522</v>
      </c>
    </row>
    <row r="2192" spans="1:1" ht="16.5">
      <c r="A2192" s="21" t="s">
        <v>1522</v>
      </c>
    </row>
    <row r="2193" spans="1:1" ht="16.5">
      <c r="A2193" s="21" t="s">
        <v>1522</v>
      </c>
    </row>
    <row r="2194" spans="1:1" ht="16.5">
      <c r="A2194" s="125" t="s">
        <v>1522</v>
      </c>
    </row>
    <row r="2195" spans="1:1" ht="16.5">
      <c r="A2195" s="21" t="s">
        <v>1522</v>
      </c>
    </row>
    <row r="2196" spans="1:1" ht="16.5">
      <c r="A2196" s="21" t="s">
        <v>1522</v>
      </c>
    </row>
    <row r="2197" spans="1:1" ht="16.5">
      <c r="A2197" s="21" t="s">
        <v>1522</v>
      </c>
    </row>
    <row r="2198" spans="1:1" ht="16.5">
      <c r="A2198" s="21" t="s">
        <v>1522</v>
      </c>
    </row>
    <row r="2199" spans="1:1" ht="16.5">
      <c r="A2199" s="21" t="s">
        <v>1522</v>
      </c>
    </row>
    <row r="2200" spans="1:1" ht="16.5">
      <c r="A2200" s="21" t="s">
        <v>1522</v>
      </c>
    </row>
    <row r="2201" spans="1:1" ht="16.5">
      <c r="A2201" s="21" t="s">
        <v>1522</v>
      </c>
    </row>
    <row r="2202" spans="1:1" ht="16.5">
      <c r="A2202" s="21" t="s">
        <v>1522</v>
      </c>
    </row>
    <row r="2203" spans="1:1" ht="16.5">
      <c r="A2203" s="21" t="s">
        <v>1522</v>
      </c>
    </row>
    <row r="2204" spans="1:1" ht="16.5">
      <c r="A2204" s="21" t="s">
        <v>1522</v>
      </c>
    </row>
    <row r="2205" spans="1:1" ht="16.5">
      <c r="A2205" s="21" t="s">
        <v>1522</v>
      </c>
    </row>
    <row r="2206" spans="1:1" ht="16.5">
      <c r="A2206" s="21" t="s">
        <v>1522</v>
      </c>
    </row>
    <row r="2207" spans="1:1" ht="16.5">
      <c r="A2207" s="21" t="s">
        <v>1522</v>
      </c>
    </row>
    <row r="2208" spans="1:1" ht="16.5">
      <c r="A2208" s="125" t="s">
        <v>1522</v>
      </c>
    </row>
    <row r="2209" spans="1:1" ht="16.5">
      <c r="A2209" s="21" t="s">
        <v>1522</v>
      </c>
    </row>
    <row r="2210" spans="1:1" ht="16.5">
      <c r="A2210" s="21" t="s">
        <v>1522</v>
      </c>
    </row>
    <row r="2211" spans="1:1" ht="16.5">
      <c r="A2211" s="21" t="s">
        <v>1522</v>
      </c>
    </row>
    <row r="2212" spans="1:1" ht="16.5">
      <c r="A2212" s="21" t="s">
        <v>1522</v>
      </c>
    </row>
    <row r="2213" spans="1:1" ht="16.5">
      <c r="A2213" s="21" t="s">
        <v>1522</v>
      </c>
    </row>
    <row r="2214" spans="1:1" ht="16.5">
      <c r="A2214" s="21" t="s">
        <v>1522</v>
      </c>
    </row>
    <row r="2215" spans="1:1" ht="16.5">
      <c r="A2215" s="21" t="s">
        <v>1522</v>
      </c>
    </row>
    <row r="2216" spans="1:1" ht="16.5">
      <c r="A2216" s="21" t="s">
        <v>1522</v>
      </c>
    </row>
    <row r="2217" spans="1:1" ht="16.5">
      <c r="A2217" s="21" t="s">
        <v>1522</v>
      </c>
    </row>
    <row r="2218" spans="1:1" ht="16.5">
      <c r="A2218" s="21" t="s">
        <v>1522</v>
      </c>
    </row>
    <row r="2219" spans="1:1" ht="16.5">
      <c r="A2219" s="21" t="s">
        <v>1522</v>
      </c>
    </row>
    <row r="2220" spans="1:1" ht="16.5">
      <c r="A2220" s="21" t="s">
        <v>1522</v>
      </c>
    </row>
    <row r="2221" spans="1:1" ht="16.5">
      <c r="A2221" s="21" t="s">
        <v>1522</v>
      </c>
    </row>
    <row r="2222" spans="1:1" ht="16.5">
      <c r="A2222" s="21" t="s">
        <v>1522</v>
      </c>
    </row>
    <row r="2223" spans="1:1" ht="16.5">
      <c r="A2223" s="21" t="s">
        <v>1522</v>
      </c>
    </row>
    <row r="2224" spans="1:1" ht="16.5">
      <c r="A2224" s="21" t="s">
        <v>1522</v>
      </c>
    </row>
    <row r="2225" spans="1:1" ht="16.5">
      <c r="A2225" s="21" t="s">
        <v>1522</v>
      </c>
    </row>
    <row r="2226" spans="1:1" ht="16.5">
      <c r="A2226" s="21" t="s">
        <v>1522</v>
      </c>
    </row>
    <row r="2227" spans="1:1" ht="16.5">
      <c r="A2227" s="21" t="s">
        <v>1522</v>
      </c>
    </row>
    <row r="2228" spans="1:1" ht="16.5">
      <c r="A2228" s="21" t="s">
        <v>1522</v>
      </c>
    </row>
    <row r="2229" spans="1:1" ht="16.5">
      <c r="A2229" s="21" t="s">
        <v>1522</v>
      </c>
    </row>
    <row r="2230" spans="1:1" ht="16.5">
      <c r="A2230" s="21" t="s">
        <v>1522</v>
      </c>
    </row>
    <row r="2231" spans="1:1" ht="16.5">
      <c r="A2231" s="21" t="s">
        <v>1522</v>
      </c>
    </row>
    <row r="2232" spans="1:1" ht="16.5">
      <c r="A2232" s="21" t="s">
        <v>1522</v>
      </c>
    </row>
    <row r="2233" spans="1:1" ht="16.5">
      <c r="A2233" s="21" t="s">
        <v>1522</v>
      </c>
    </row>
    <row r="2234" spans="1:1" ht="16.5">
      <c r="A2234" s="21" t="s">
        <v>1522</v>
      </c>
    </row>
    <row r="2235" spans="1:1" ht="16.5">
      <c r="A2235" s="21" t="s">
        <v>1522</v>
      </c>
    </row>
    <row r="2236" spans="1:1" ht="16.5">
      <c r="A2236" s="21" t="s">
        <v>1522</v>
      </c>
    </row>
    <row r="2237" spans="1:1" ht="16.5">
      <c r="A2237" s="21" t="s">
        <v>1522</v>
      </c>
    </row>
    <row r="2238" spans="1:1" ht="16.5">
      <c r="A2238" s="21" t="s">
        <v>1522</v>
      </c>
    </row>
    <row r="2239" spans="1:1" ht="16.5">
      <c r="A2239" s="21" t="s">
        <v>1522</v>
      </c>
    </row>
    <row r="2240" spans="1:1" ht="16.5">
      <c r="A2240" s="21" t="s">
        <v>1522</v>
      </c>
    </row>
    <row r="2241" spans="1:1" ht="16.5">
      <c r="A2241" s="21" t="s">
        <v>1522</v>
      </c>
    </row>
    <row r="2242" spans="1:1" ht="16.5">
      <c r="A2242" s="21" t="s">
        <v>1522</v>
      </c>
    </row>
    <row r="2243" spans="1:1" ht="16.5">
      <c r="A2243" s="21" t="s">
        <v>1522</v>
      </c>
    </row>
    <row r="2244" spans="1:1" ht="16.5">
      <c r="A2244" s="21" t="s">
        <v>1522</v>
      </c>
    </row>
    <row r="2245" spans="1:1" ht="16.5">
      <c r="A2245" s="21" t="s">
        <v>1522</v>
      </c>
    </row>
    <row r="2246" spans="1:1" ht="16.5">
      <c r="A2246" s="21" t="s">
        <v>1522</v>
      </c>
    </row>
    <row r="2247" spans="1:1" ht="16.5">
      <c r="A2247" s="21" t="s">
        <v>1522</v>
      </c>
    </row>
    <row r="2248" spans="1:1" ht="16.5">
      <c r="A2248" s="21" t="s">
        <v>1522</v>
      </c>
    </row>
    <row r="2249" spans="1:1" ht="16.5">
      <c r="A2249" s="21" t="s">
        <v>1522</v>
      </c>
    </row>
    <row r="2250" spans="1:1" ht="16.5">
      <c r="A2250" s="21" t="s">
        <v>1522</v>
      </c>
    </row>
    <row r="2251" spans="1:1" ht="16.5">
      <c r="A2251" s="21" t="s">
        <v>1522</v>
      </c>
    </row>
    <row r="2252" spans="1:1" ht="16.5">
      <c r="A2252" s="21" t="s">
        <v>1522</v>
      </c>
    </row>
    <row r="2253" spans="1:1" ht="16.5">
      <c r="A2253" s="21" t="s">
        <v>1522</v>
      </c>
    </row>
    <row r="2254" spans="1:1" ht="16.5">
      <c r="A2254" s="21" t="s">
        <v>1522</v>
      </c>
    </row>
    <row r="2255" spans="1:1" ht="16.5">
      <c r="A2255" s="21" t="s">
        <v>1522</v>
      </c>
    </row>
    <row r="2256" spans="1:1" ht="16.5">
      <c r="A2256" s="21" t="s">
        <v>1522</v>
      </c>
    </row>
    <row r="2257" spans="1:2" ht="16.5">
      <c r="A2257" s="21" t="s">
        <v>1522</v>
      </c>
    </row>
    <row r="2258" spans="1:2" ht="16.5">
      <c r="A2258" s="21" t="s">
        <v>1522</v>
      </c>
    </row>
    <row r="2259" spans="1:2" ht="16.5">
      <c r="A2259" s="21" t="s">
        <v>1522</v>
      </c>
    </row>
    <row r="2260" spans="1:2" ht="16.5">
      <c r="A2260" s="21" t="s">
        <v>1522</v>
      </c>
    </row>
    <row r="2261" spans="1:2" ht="16.5">
      <c r="A2261" s="21" t="s">
        <v>1522</v>
      </c>
    </row>
    <row r="2262" spans="1:2" ht="16.5">
      <c r="A2262" s="21" t="s">
        <v>1522</v>
      </c>
    </row>
    <row r="2263" spans="1:2" ht="16.5">
      <c r="A2263" s="21" t="s">
        <v>1521</v>
      </c>
    </row>
    <row r="2264" spans="1:2" ht="16.5">
      <c r="A2264" s="21" t="s">
        <v>1521</v>
      </c>
    </row>
    <row r="2265" spans="1:2" ht="16.5">
      <c r="A2265" s="21" t="s">
        <v>1521</v>
      </c>
    </row>
    <row r="2266" spans="1:2" ht="16.5">
      <c r="A2266" s="21" t="s">
        <v>1521</v>
      </c>
    </row>
    <row r="2267" spans="1:2" ht="16.5">
      <c r="A2267" s="21" t="s">
        <v>1521</v>
      </c>
    </row>
    <row r="2268" spans="1:2" ht="16.5">
      <c r="A2268" s="21" t="s">
        <v>1521</v>
      </c>
    </row>
    <row r="2269" spans="1:2" ht="16.5">
      <c r="A2269" s="21" t="s">
        <v>1521</v>
      </c>
    </row>
    <row r="2270" spans="1:2" ht="16.5">
      <c r="A2270" s="21" t="s">
        <v>1521</v>
      </c>
    </row>
    <row r="2271" spans="1:2" ht="16.5">
      <c r="A2271" s="21" t="s">
        <v>1521</v>
      </c>
      <c r="B2271">
        <f>COUNTA(A2263:A2271)</f>
        <v>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0910 CE Master List</vt:lpstr>
      <vt:lpstr>Unique Offerings Calculation</vt:lpstr>
      <vt:lpstr>'0910 CE Master List'!Print_Area</vt:lpstr>
    </vt:vector>
  </TitlesOfParts>
  <Company>Utah State Office of Education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gtmiller</dc:creator>
  <cp:lastModifiedBy>William Spiegel</cp:lastModifiedBy>
  <cp:lastPrinted>2010-01-25T20:40:43Z</cp:lastPrinted>
  <dcterms:created xsi:type="dcterms:W3CDTF">2004-07-21T20:47:56Z</dcterms:created>
  <dcterms:modified xsi:type="dcterms:W3CDTF">2010-03-01T18:21:38Z</dcterms:modified>
</cp:coreProperties>
</file>