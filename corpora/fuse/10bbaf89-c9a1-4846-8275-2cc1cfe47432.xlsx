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22035" windowHeight="12075"/>
  </bookViews>
  <sheets>
    <sheet name="USDA Foods" sheetId="1" r:id="rId1"/>
  </sheets>
  <definedNames>
    <definedName name="_xlnm.Print_Area" localSheetId="0">'USDA Foods'!$A$1:$Q$73</definedName>
    <definedName name="_xlnm.Print_Titles" localSheetId="0">'USDA Foods'!$1:$2</definedName>
    <definedName name="TitleRegion1.a2.q73.1">'USDA Foods'!$A$2</definedName>
  </definedNames>
  <calcPr calcId="145621"/>
</workbook>
</file>

<file path=xl/calcChain.xml><?xml version="1.0" encoding="utf-8"?>
<calcChain xmlns="http://schemas.openxmlformats.org/spreadsheetml/2006/main">
  <c r="O3" i="1" l="1"/>
  <c r="Q3" i="1"/>
  <c r="O4" i="1"/>
  <c r="Q4" i="1"/>
  <c r="O5" i="1"/>
  <c r="Q5" i="1"/>
  <c r="O6" i="1"/>
  <c r="Q6" i="1"/>
  <c r="O7" i="1"/>
  <c r="Q7" i="1"/>
  <c r="O8" i="1"/>
  <c r="Q8" i="1"/>
  <c r="O9" i="1"/>
  <c r="Q9" i="1"/>
  <c r="O10" i="1"/>
  <c r="Q10" i="1"/>
  <c r="O11" i="1"/>
  <c r="Q11" i="1"/>
  <c r="O12" i="1"/>
  <c r="Q12" i="1"/>
  <c r="O13" i="1"/>
  <c r="Q13" i="1"/>
  <c r="O14" i="1"/>
  <c r="Q14" i="1"/>
  <c r="O15" i="1"/>
  <c r="Q15" i="1"/>
  <c r="O16" i="1"/>
  <c r="Q16" i="1"/>
  <c r="O17" i="1"/>
  <c r="Q17" i="1"/>
  <c r="O18" i="1"/>
  <c r="Q18" i="1"/>
  <c r="O19" i="1"/>
  <c r="Q19" i="1"/>
  <c r="O20" i="1"/>
  <c r="Q20" i="1"/>
  <c r="O21" i="1"/>
  <c r="Q21" i="1"/>
  <c r="O22" i="1"/>
  <c r="Q22" i="1"/>
  <c r="O23" i="1"/>
  <c r="Q23" i="1"/>
  <c r="O24" i="1"/>
  <c r="Q24" i="1"/>
  <c r="O25" i="1"/>
  <c r="Q25" i="1"/>
  <c r="O26" i="1"/>
  <c r="Q26" i="1"/>
  <c r="O27" i="1"/>
  <c r="Q27" i="1"/>
  <c r="O28" i="1"/>
  <c r="Q28" i="1"/>
  <c r="O29" i="1"/>
  <c r="Q29" i="1"/>
  <c r="O30" i="1"/>
  <c r="Q30" i="1"/>
  <c r="O31" i="1"/>
  <c r="Q31" i="1"/>
  <c r="O32" i="1"/>
  <c r="Q32" i="1"/>
  <c r="O33" i="1"/>
  <c r="Q33" i="1"/>
  <c r="O34" i="1"/>
  <c r="Q34" i="1"/>
  <c r="O35" i="1"/>
  <c r="Q35" i="1"/>
  <c r="O36" i="1"/>
  <c r="Q36" i="1"/>
  <c r="O37" i="1"/>
  <c r="Q37" i="1"/>
  <c r="O38" i="1"/>
  <c r="Q38" i="1"/>
  <c r="O39" i="1"/>
  <c r="Q39" i="1"/>
  <c r="O40" i="1"/>
  <c r="Q40" i="1"/>
  <c r="O41" i="1"/>
  <c r="Q41" i="1"/>
  <c r="O42" i="1"/>
  <c r="Q42" i="1"/>
  <c r="O43" i="1"/>
  <c r="Q43" i="1"/>
  <c r="O44" i="1"/>
  <c r="Q44" i="1"/>
  <c r="O45" i="1"/>
  <c r="Q45" i="1"/>
  <c r="O46" i="1"/>
  <c r="Q46" i="1"/>
  <c r="O47" i="1"/>
  <c r="Q47" i="1"/>
  <c r="O48" i="1"/>
  <c r="Q48" i="1"/>
  <c r="O49" i="1"/>
  <c r="Q49" i="1"/>
  <c r="O50" i="1"/>
  <c r="Q50" i="1"/>
  <c r="O51" i="1"/>
  <c r="Q51" i="1"/>
  <c r="O52" i="1"/>
  <c r="Q52" i="1"/>
  <c r="O53" i="1"/>
  <c r="Q53" i="1"/>
  <c r="O54" i="1"/>
  <c r="Q54" i="1"/>
  <c r="O55" i="1"/>
  <c r="Q55" i="1"/>
  <c r="O56" i="1"/>
  <c r="Q56" i="1"/>
  <c r="O57" i="1"/>
  <c r="Q57" i="1"/>
  <c r="O58" i="1"/>
  <c r="Q58" i="1"/>
  <c r="O59" i="1"/>
  <c r="Q59" i="1"/>
  <c r="O60" i="1"/>
  <c r="Q60" i="1"/>
  <c r="O61" i="1"/>
  <c r="Q61" i="1"/>
  <c r="O62" i="1"/>
  <c r="Q62" i="1"/>
  <c r="O63" i="1"/>
  <c r="Q63" i="1"/>
  <c r="O64" i="1"/>
  <c r="Q64" i="1"/>
  <c r="O65" i="1"/>
  <c r="Q65" i="1"/>
  <c r="O66" i="1"/>
  <c r="Q66" i="1"/>
  <c r="O67" i="1"/>
  <c r="Q67" i="1"/>
  <c r="O68" i="1"/>
  <c r="Q68" i="1"/>
  <c r="O69" i="1"/>
  <c r="Q69" i="1"/>
  <c r="O71" i="1"/>
  <c r="Q71" i="1"/>
  <c r="O72" i="1"/>
  <c r="Q72" i="1"/>
  <c r="O73" i="1"/>
  <c r="Q73" i="1"/>
</calcChain>
</file>

<file path=xl/sharedStrings.xml><?xml version="1.0" encoding="utf-8"?>
<sst xmlns="http://schemas.openxmlformats.org/spreadsheetml/2006/main" count="105" uniqueCount="89">
  <si>
    <t>Pork; Bulk, Picnics, Boneless</t>
  </si>
  <si>
    <t>Beef; Bulk, Fine Ground, Raw</t>
  </si>
  <si>
    <t>Beef; Bulk, Coarse Ground, Raw</t>
  </si>
  <si>
    <t>Whole Wheat Tortilla, 8 inch, Ctn- 12/24 1.5</t>
  </si>
  <si>
    <t>Whole Wheat Pancakes, Frz- 144 count</t>
  </si>
  <si>
    <t>Whole Grain Spaghetti, Ctn- 20lb</t>
  </si>
  <si>
    <t>Whole Grain Pasta; Rotini Mac, Ctn- 20lb</t>
  </si>
  <si>
    <t>Turkey; Taco Filling, Ctn- 30lb</t>
  </si>
  <si>
    <t>Turkey; Roasts, Frz, Ctn- 32-48lb</t>
  </si>
  <si>
    <t>Turkey; Hams, Smoked, Frz, Ctn- 40lb</t>
  </si>
  <si>
    <t>Turkey; Breast, Deli Frz, Ctn- 40lb</t>
  </si>
  <si>
    <t>Tomato; Sauce, Pouch- 6/106oz</t>
  </si>
  <si>
    <t>Tomato; Sauce, Can- 6/10</t>
  </si>
  <si>
    <t>Tomato; Salsa, Pouch- 6/106oz</t>
  </si>
  <si>
    <t>Tomato; Paste, Pouch- 6/111oz</t>
  </si>
  <si>
    <t>Tomato; Diced, Pouch- 6/102oz</t>
  </si>
  <si>
    <t>Sweet Potato; Random Cut, Frz, Pkg- 6/5lb</t>
  </si>
  <si>
    <t>Strawberry; Sliced, Frz, Ctn- 30lb</t>
  </si>
  <si>
    <t>Strawberry; Frz, Cup- 96/4.4oz</t>
  </si>
  <si>
    <t>Strawberry; Frz, Ctn- 30lb</t>
  </si>
  <si>
    <t>Rice; Brwn US#1 Long, Parboiled, Pkg- 24/2lb</t>
  </si>
  <si>
    <t>Raisins; Box- 144/1.33oz</t>
  </si>
  <si>
    <t>Potoatoes; Oven Fry, Pkg- 6/5lb</t>
  </si>
  <si>
    <t>Potatoes; Wedge, Fat-Free, Frz, Pkg- 6/5lb</t>
  </si>
  <si>
    <t>Potatoes; Rounds, Frz, Pkg- 6/5lb</t>
  </si>
  <si>
    <t>Pork; Roast Leg, Frz, Ctn- 32-40lb</t>
  </si>
  <si>
    <t>Pork; Ham, Water Added, Slc, Frz, Pkg- 8/5lb</t>
  </si>
  <si>
    <t>Pork; Ham, Water Added, Frz, Pkg 4/10lb</t>
  </si>
  <si>
    <t>Peas; Green, Frz, Ctn- 30lb</t>
  </si>
  <si>
    <t>Pears; Slices, Ex Lt Sucrose, Can- 6/10</t>
  </si>
  <si>
    <t>Pears; Halves, Ex Lt Sucrose, Can- 6/10</t>
  </si>
  <si>
    <t>Pears; Diced, Ex Lt Sucrose, Can- 6/10</t>
  </si>
  <si>
    <t>Pears; Diced, Ex Lt Syrup, Can- 6/10</t>
  </si>
  <si>
    <t>Peanut Butter; Smooth, Jar- 6/5lb</t>
  </si>
  <si>
    <t>Peaches; Cling, Diced, Ex Lt Sucrose, Can- 6/10</t>
  </si>
  <si>
    <t>Peach; Freestone, Diced, Frz, Cup 96/4.4oz</t>
  </si>
  <si>
    <t>Orange Juice; Single, Ctn- 70/4oz</t>
  </si>
  <si>
    <t>Mixed Fruit; Ex Lt Sucrose, Can- 6/10</t>
  </si>
  <si>
    <t>Cranberry; Sauce, Can- 6/10</t>
  </si>
  <si>
    <t>Corn; Whole Kernel (Liq), Can- 6/10</t>
  </si>
  <si>
    <t>Corn; Frz, Ctn- 30lb</t>
  </si>
  <si>
    <t>Chicken; Fajita, Strips, Ctn- 30lb</t>
  </si>
  <si>
    <t>Chicken; Diced, Ctn- 40lb</t>
  </si>
  <si>
    <t>Cherries; Dried, Pkg- 4/4lb</t>
  </si>
  <si>
    <t>Cheese; Process, Yel Slc Lvs- 6/5lb</t>
  </si>
  <si>
    <t>Cheese; Mozz, LM, Part Skm, String, Box- 360/1oz</t>
  </si>
  <si>
    <t>Cheese; Mozz, LM, Part Skm, Shrd Frz, Box- 30lb</t>
  </si>
  <si>
    <t>Cheese; Ched, Rdu Fat, Yel Shred Bag- 6/5lb</t>
  </si>
  <si>
    <t>Cheese; Blend, Amer Skim, Yel Slc Lvs- 6/5lb</t>
  </si>
  <si>
    <t>Carrots; Frz, Ctn- 30lb</t>
  </si>
  <si>
    <t>Carrots; Can- 6/10</t>
  </si>
  <si>
    <t>Broccoli; Frz, Pkg- 6/5lb</t>
  </si>
  <si>
    <t>Blueberry; Cultivated, Frz, Ctn- 30lb</t>
  </si>
  <si>
    <t>Beef; Fine Ground, Frz, Ctn- 40lb</t>
  </si>
  <si>
    <t>Beef; Crumbles w/SPP, Pkg- 4/10lb</t>
  </si>
  <si>
    <t>Beef; 100% Pty, 90/10, Frz, 2oz MMA, Ctn- 40lb</t>
  </si>
  <si>
    <t>Beans; Refried, Can- 6/10</t>
  </si>
  <si>
    <t>Beans; Red Kidney, Can- 6/10</t>
  </si>
  <si>
    <t>Beans; Pinto, Can- 6/10</t>
  </si>
  <si>
    <t>Beans; Green, Frz, Ctn- 30lb</t>
  </si>
  <si>
    <t>Beans; Green, Can- 6/10</t>
  </si>
  <si>
    <t>Beans; Great Northern, Can- 6/10</t>
  </si>
  <si>
    <t>Beans; Garbanzo, Can- 6/10</t>
  </si>
  <si>
    <t>Beans; Black, Turtle, Can- 6/10</t>
  </si>
  <si>
    <t>Apricots; Halves, Ex Lt Sucrose, Can- 6/10</t>
  </si>
  <si>
    <t>Apricots; Diced, Ex Lt Sucrose, Can- 6/10</t>
  </si>
  <si>
    <t>Apricot; Frz, Cup- 96/4.5oz</t>
  </si>
  <si>
    <t>Applesauce; Cup- 96/4.5oz</t>
  </si>
  <si>
    <t>Applesauce; Can- 6/10</t>
  </si>
  <si>
    <t>Apple; Slices, Can- 6/10</t>
  </si>
  <si>
    <t>TOTAL Quantity Received from Distributor</t>
  </si>
  <si>
    <t>Quantity Delivered by Distributor June</t>
  </si>
  <si>
    <t>Quantity Delivered by Distributor May</t>
  </si>
  <si>
    <t>Commodity ID</t>
  </si>
  <si>
    <t>REGULAR USDA FOODS TRACKING FORM</t>
  </si>
  <si>
    <t>Quantity Delivered by Distributor August</t>
  </si>
  <si>
    <t>Quantity Delivered by Distributor September</t>
  </si>
  <si>
    <t>Quantity Delivered by Distributor October</t>
  </si>
  <si>
    <t>Quantity Delivered by Distributor November</t>
  </si>
  <si>
    <t>Quantity Delivered by Distributor December</t>
  </si>
  <si>
    <t>Quantity Delivered by Distributor January</t>
  </si>
  <si>
    <t>Quantity Delivered by Distributor February</t>
  </si>
  <si>
    <t>Quantity Delivered by Distributor March</t>
  </si>
  <si>
    <t>Quantity Delivered by Distributor April</t>
  </si>
  <si>
    <t>Total Quantity Received at Warehouse</t>
  </si>
  <si>
    <t>Variance (Over /Short)</t>
  </si>
  <si>
    <t>Total Quantity Ordered by Food Distribution</t>
  </si>
  <si>
    <t>Direct Delivery Commodity Name</t>
  </si>
  <si>
    <t>Processed Commodity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</si>
</sst>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0" fillId="2" borderId="1" xfId="0" applyFill="1" applyBorder="1"/>
    <xf numFmtId="0" fontId="0" fillId="0" borderId="1" xfId="0" applyFill="1" applyBorder="1" applyAlignment="1">
      <alignment horizontal="center" wrapText="1"/>
    </xf>
    <xf numFmtId="0" fontId="0" fillId="0" borderId="0" xfId="0" applyFill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0</xdr:row>
      <xdr:rowOff>28575</xdr:rowOff>
    </xdr:from>
    <xdr:to>
      <xdr:col>4</xdr:col>
      <xdr:colOff>598936</xdr:colOff>
      <xdr:row>0</xdr:row>
      <xdr:rowOff>604648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9050" y="28575"/>
          <a:ext cx="1856236" cy="5760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3"/>
  <sheetViews>
    <sheetView tabSelected="1" workbookViewId="0">
      <selection activeCell="A2" sqref="A2"/>
    </sheetView>
  </sheetViews>
  <sheetFormatPr defaultRowHeight="12.75" x14ac:dyDescent="0.2"/>
  <cols>
    <col min="1" max="1" width="11.140625" customWidth="1"/>
    <col min="2" max="2" width="45" bestFit="1" customWidth="1"/>
    <col min="3" max="3" width="10.28515625" bestFit="1" customWidth="1"/>
    <col min="4" max="4" width="9.85546875" customWidth="1"/>
    <col min="5" max="5" width="10" bestFit="1" customWidth="1"/>
    <col min="6" max="6" width="9.85546875" customWidth="1"/>
    <col min="7" max="8" width="9.42578125" bestFit="1" customWidth="1"/>
    <col min="9" max="9" width="9.7109375" customWidth="1"/>
    <col min="10" max="10" width="9.42578125" bestFit="1" customWidth="1"/>
    <col min="11" max="11" width="9.5703125" customWidth="1"/>
    <col min="12" max="12" width="9.42578125" customWidth="1"/>
    <col min="13" max="13" width="9.140625" customWidth="1"/>
    <col min="14" max="14" width="9.5703125" customWidth="1"/>
    <col min="15" max="15" width="9.42578125" style="7" bestFit="1" customWidth="1"/>
    <col min="16" max="16" width="10.42578125" customWidth="1"/>
    <col min="17" max="17" width="10.140625" customWidth="1"/>
  </cols>
  <sheetData>
    <row r="1" spans="1:17" ht="49.5" customHeight="1" x14ac:dyDescent="0.2">
      <c r="A1" s="8" t="s">
        <v>74</v>
      </c>
      <c r="I1" s="4"/>
    </row>
    <row r="2" spans="1:17" ht="69.75" customHeight="1" x14ac:dyDescent="0.2">
      <c r="A2" s="9" t="s">
        <v>73</v>
      </c>
      <c r="B2" s="9" t="s">
        <v>87</v>
      </c>
      <c r="C2" s="6" t="s">
        <v>86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79</v>
      </c>
      <c r="I2" s="3" t="s">
        <v>80</v>
      </c>
      <c r="J2" s="3" t="s">
        <v>81</v>
      </c>
      <c r="K2" s="3" t="s">
        <v>82</v>
      </c>
      <c r="L2" s="3" t="s">
        <v>83</v>
      </c>
      <c r="M2" s="3" t="s">
        <v>72</v>
      </c>
      <c r="N2" s="3" t="s">
        <v>71</v>
      </c>
      <c r="O2" s="6" t="s">
        <v>70</v>
      </c>
      <c r="P2" s="6" t="s">
        <v>84</v>
      </c>
      <c r="Q2" s="3" t="s">
        <v>85</v>
      </c>
    </row>
    <row r="3" spans="1:17" x14ac:dyDescent="0.2">
      <c r="A3" s="1">
        <v>100206</v>
      </c>
      <c r="B3" s="1" t="s">
        <v>69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>
        <f t="shared" ref="O3:O33" si="0">SUM(D3:N3)</f>
        <v>0</v>
      </c>
      <c r="P3" s="5"/>
      <c r="Q3" s="1">
        <f t="shared" ref="Q3:Q33" si="1">O3-P3</f>
        <v>0</v>
      </c>
    </row>
    <row r="4" spans="1:17" x14ac:dyDescent="0.2">
      <c r="A4" s="1">
        <v>100208</v>
      </c>
      <c r="B4" s="1" t="s">
        <v>68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2">
        <f t="shared" si="0"/>
        <v>0</v>
      </c>
      <c r="P4" s="5"/>
      <c r="Q4" s="1">
        <f t="shared" si="1"/>
        <v>0</v>
      </c>
    </row>
    <row r="5" spans="1:17" x14ac:dyDescent="0.2">
      <c r="A5" s="1">
        <v>110361</v>
      </c>
      <c r="B5" s="1" t="s">
        <v>67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2">
        <f t="shared" si="0"/>
        <v>0</v>
      </c>
      <c r="P5" s="5"/>
      <c r="Q5" s="1">
        <f t="shared" si="1"/>
        <v>0</v>
      </c>
    </row>
    <row r="6" spans="1:17" x14ac:dyDescent="0.2">
      <c r="A6" s="1">
        <v>100261</v>
      </c>
      <c r="B6" s="1" t="s">
        <v>66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2">
        <f t="shared" si="0"/>
        <v>0</v>
      </c>
      <c r="P6" s="5"/>
      <c r="Q6" s="1">
        <f t="shared" si="1"/>
        <v>0</v>
      </c>
    </row>
    <row r="7" spans="1:17" x14ac:dyDescent="0.2">
      <c r="A7" s="1">
        <v>110230</v>
      </c>
      <c r="B7" s="1" t="s">
        <v>65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2">
        <f t="shared" si="0"/>
        <v>0</v>
      </c>
      <c r="P7" s="5"/>
      <c r="Q7" s="1">
        <f t="shared" si="1"/>
        <v>0</v>
      </c>
    </row>
    <row r="8" spans="1:17" x14ac:dyDescent="0.2">
      <c r="A8" s="1">
        <v>110231</v>
      </c>
      <c r="B8" s="1" t="s">
        <v>64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2">
        <f t="shared" si="0"/>
        <v>0</v>
      </c>
      <c r="P8" s="5"/>
      <c r="Q8" s="1">
        <f t="shared" si="1"/>
        <v>0</v>
      </c>
    </row>
    <row r="9" spans="1:17" x14ac:dyDescent="0.2">
      <c r="A9" s="1">
        <v>100359</v>
      </c>
      <c r="B9" s="1" t="s">
        <v>63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2">
        <f t="shared" si="0"/>
        <v>0</v>
      </c>
      <c r="P9" s="5"/>
      <c r="Q9" s="1">
        <f t="shared" si="1"/>
        <v>0</v>
      </c>
    </row>
    <row r="10" spans="1:17" x14ac:dyDescent="0.2">
      <c r="A10" s="1">
        <v>100360</v>
      </c>
      <c r="B10" s="1" t="s">
        <v>62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2">
        <f t="shared" si="0"/>
        <v>0</v>
      </c>
      <c r="P10" s="5"/>
      <c r="Q10" s="1">
        <f t="shared" si="1"/>
        <v>0</v>
      </c>
    </row>
    <row r="11" spans="1:17" x14ac:dyDescent="0.2">
      <c r="A11" s="1">
        <v>100373</v>
      </c>
      <c r="B11" s="1" t="s">
        <v>61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2">
        <f t="shared" si="0"/>
        <v>0</v>
      </c>
      <c r="P11" s="5"/>
      <c r="Q11" s="1">
        <f t="shared" si="1"/>
        <v>0</v>
      </c>
    </row>
    <row r="12" spans="1:17" x14ac:dyDescent="0.2">
      <c r="A12" s="1">
        <v>100307</v>
      </c>
      <c r="B12" s="1" t="s">
        <v>60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2">
        <f t="shared" si="0"/>
        <v>0</v>
      </c>
      <c r="P12" s="5"/>
      <c r="Q12" s="1">
        <f t="shared" si="1"/>
        <v>0</v>
      </c>
    </row>
    <row r="13" spans="1:17" x14ac:dyDescent="0.2">
      <c r="A13" s="1">
        <v>100351</v>
      </c>
      <c r="B13" s="1" t="s">
        <v>59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2">
        <f t="shared" si="0"/>
        <v>0</v>
      </c>
      <c r="P13" s="5"/>
      <c r="Q13" s="1">
        <f t="shared" si="1"/>
        <v>0</v>
      </c>
    </row>
    <row r="14" spans="1:17" x14ac:dyDescent="0.2">
      <c r="A14" s="1">
        <v>100365</v>
      </c>
      <c r="B14" s="1" t="s">
        <v>58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2">
        <f t="shared" si="0"/>
        <v>0</v>
      </c>
      <c r="P14" s="5"/>
      <c r="Q14" s="1">
        <f t="shared" si="1"/>
        <v>0</v>
      </c>
    </row>
    <row r="15" spans="1:17" x14ac:dyDescent="0.2">
      <c r="A15" s="1">
        <v>100370</v>
      </c>
      <c r="B15" s="1" t="s">
        <v>57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2">
        <f t="shared" si="0"/>
        <v>0</v>
      </c>
      <c r="P15" s="5"/>
      <c r="Q15" s="1">
        <f t="shared" si="1"/>
        <v>0</v>
      </c>
    </row>
    <row r="16" spans="1:17" x14ac:dyDescent="0.2">
      <c r="A16" s="1">
        <v>100362</v>
      </c>
      <c r="B16" s="1" t="s">
        <v>56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2">
        <f t="shared" si="0"/>
        <v>0</v>
      </c>
      <c r="P16" s="5"/>
      <c r="Q16" s="1">
        <f t="shared" si="1"/>
        <v>0</v>
      </c>
    </row>
    <row r="17" spans="1:17" x14ac:dyDescent="0.2">
      <c r="A17" s="1">
        <v>110346</v>
      </c>
      <c r="B17" s="1" t="s">
        <v>55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2">
        <f t="shared" si="0"/>
        <v>0</v>
      </c>
      <c r="P17" s="5"/>
      <c r="Q17" s="1">
        <f t="shared" si="1"/>
        <v>0</v>
      </c>
    </row>
    <row r="18" spans="1:17" x14ac:dyDescent="0.2">
      <c r="A18" s="1">
        <v>100134</v>
      </c>
      <c r="B18" s="1" t="s">
        <v>54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2">
        <f t="shared" si="0"/>
        <v>0</v>
      </c>
      <c r="P18" s="5"/>
      <c r="Q18" s="1">
        <f t="shared" si="1"/>
        <v>0</v>
      </c>
    </row>
    <row r="19" spans="1:17" x14ac:dyDescent="0.2">
      <c r="A19" s="1">
        <v>100158</v>
      </c>
      <c r="B19" s="1" t="s">
        <v>53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2">
        <f t="shared" si="0"/>
        <v>0</v>
      </c>
      <c r="P19" s="5"/>
      <c r="Q19" s="1">
        <f t="shared" si="1"/>
        <v>0</v>
      </c>
    </row>
    <row r="20" spans="1:17" x14ac:dyDescent="0.2">
      <c r="A20" s="1">
        <v>100244</v>
      </c>
      <c r="B20" s="1" t="s">
        <v>52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2">
        <f t="shared" si="0"/>
        <v>0</v>
      </c>
      <c r="P20" s="5"/>
      <c r="Q20" s="1">
        <f t="shared" si="1"/>
        <v>0</v>
      </c>
    </row>
    <row r="21" spans="1:17" x14ac:dyDescent="0.2">
      <c r="A21" s="1">
        <v>110282</v>
      </c>
      <c r="B21" s="1" t="s">
        <v>51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2">
        <f t="shared" si="0"/>
        <v>0</v>
      </c>
      <c r="P21" s="5"/>
      <c r="Q21" s="1">
        <f t="shared" si="1"/>
        <v>0</v>
      </c>
    </row>
    <row r="22" spans="1:17" x14ac:dyDescent="0.2">
      <c r="A22" s="1">
        <v>100309</v>
      </c>
      <c r="B22" s="1" t="s">
        <v>50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2">
        <f t="shared" si="0"/>
        <v>0</v>
      </c>
      <c r="P22" s="5"/>
      <c r="Q22" s="1">
        <f t="shared" si="1"/>
        <v>0</v>
      </c>
    </row>
    <row r="23" spans="1:17" x14ac:dyDescent="0.2">
      <c r="A23" s="1">
        <v>100352</v>
      </c>
      <c r="B23" s="1" t="s">
        <v>49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2">
        <f t="shared" si="0"/>
        <v>0</v>
      </c>
      <c r="P23" s="5"/>
      <c r="Q23" s="1">
        <f t="shared" si="1"/>
        <v>0</v>
      </c>
    </row>
    <row r="24" spans="1:17" x14ac:dyDescent="0.2">
      <c r="A24" s="1">
        <v>100036</v>
      </c>
      <c r="B24" s="1" t="s">
        <v>48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2">
        <f t="shared" si="0"/>
        <v>0</v>
      </c>
      <c r="P24" s="5"/>
      <c r="Q24" s="1">
        <f t="shared" si="1"/>
        <v>0</v>
      </c>
    </row>
    <row r="25" spans="1:17" x14ac:dyDescent="0.2">
      <c r="A25" s="1">
        <v>100012</v>
      </c>
      <c r="B25" s="1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2">
        <f t="shared" si="0"/>
        <v>0</v>
      </c>
      <c r="P25" s="5"/>
      <c r="Q25" s="1">
        <f t="shared" si="1"/>
        <v>0</v>
      </c>
    </row>
    <row r="26" spans="1:17" x14ac:dyDescent="0.2">
      <c r="A26" s="1">
        <v>100021</v>
      </c>
      <c r="B26" s="1" t="s">
        <v>46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2">
        <f t="shared" si="0"/>
        <v>0</v>
      </c>
      <c r="P26" s="5"/>
      <c r="Q26" s="1">
        <f t="shared" si="1"/>
        <v>0</v>
      </c>
    </row>
    <row r="27" spans="1:17" x14ac:dyDescent="0.2">
      <c r="A27" s="1">
        <v>110396</v>
      </c>
      <c r="B27" s="1" t="s">
        <v>45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2">
        <f t="shared" si="0"/>
        <v>0</v>
      </c>
      <c r="P27" s="5"/>
      <c r="Q27" s="1">
        <f t="shared" si="1"/>
        <v>0</v>
      </c>
    </row>
    <row r="28" spans="1:17" x14ac:dyDescent="0.2">
      <c r="A28" s="1">
        <v>100018</v>
      </c>
      <c r="B28" s="1" t="s">
        <v>44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2">
        <f t="shared" si="0"/>
        <v>0</v>
      </c>
      <c r="P28" s="5"/>
      <c r="Q28" s="1">
        <f t="shared" si="1"/>
        <v>0</v>
      </c>
    </row>
    <row r="29" spans="1:17" x14ac:dyDescent="0.2">
      <c r="A29" s="1">
        <v>100299</v>
      </c>
      <c r="B29" s="1" t="s">
        <v>43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2">
        <f t="shared" si="0"/>
        <v>0</v>
      </c>
      <c r="P29" s="5"/>
      <c r="Q29" s="1">
        <f t="shared" si="1"/>
        <v>0</v>
      </c>
    </row>
    <row r="30" spans="1:17" x14ac:dyDescent="0.2">
      <c r="A30" s="1">
        <v>100101</v>
      </c>
      <c r="B30" s="1" t="s">
        <v>42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2">
        <f t="shared" si="0"/>
        <v>0</v>
      </c>
      <c r="P30" s="5"/>
      <c r="Q30" s="1">
        <f t="shared" si="1"/>
        <v>0</v>
      </c>
    </row>
    <row r="31" spans="1:17" x14ac:dyDescent="0.2">
      <c r="A31" s="1">
        <v>100117</v>
      </c>
      <c r="B31" s="1" t="s">
        <v>41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2">
        <f t="shared" si="0"/>
        <v>0</v>
      </c>
      <c r="P31" s="5"/>
      <c r="Q31" s="1">
        <f t="shared" si="1"/>
        <v>0</v>
      </c>
    </row>
    <row r="32" spans="1:17" x14ac:dyDescent="0.2">
      <c r="A32" s="1">
        <v>100348</v>
      </c>
      <c r="B32" s="1" t="s">
        <v>40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2">
        <f t="shared" si="0"/>
        <v>0</v>
      </c>
      <c r="P32" s="5"/>
      <c r="Q32" s="1">
        <f t="shared" si="1"/>
        <v>0</v>
      </c>
    </row>
    <row r="33" spans="1:17" x14ac:dyDescent="0.2">
      <c r="A33" s="1">
        <v>100313</v>
      </c>
      <c r="B33" s="1" t="s">
        <v>39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2">
        <f t="shared" si="0"/>
        <v>0</v>
      </c>
      <c r="P33" s="5"/>
      <c r="Q33" s="1">
        <f t="shared" si="1"/>
        <v>0</v>
      </c>
    </row>
    <row r="34" spans="1:17" x14ac:dyDescent="0.2">
      <c r="A34" s="1">
        <v>100214</v>
      </c>
      <c r="B34" s="1" t="s">
        <v>38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2">
        <f t="shared" ref="O34:O65" si="2">SUM(D34:N34)</f>
        <v>0</v>
      </c>
      <c r="P34" s="5"/>
      <c r="Q34" s="1">
        <f t="shared" ref="Q34:Q65" si="3">O34-P34</f>
        <v>0</v>
      </c>
    </row>
    <row r="35" spans="1:17" x14ac:dyDescent="0.2">
      <c r="A35" s="1">
        <v>110233</v>
      </c>
      <c r="B35" s="1" t="s">
        <v>37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2">
        <f t="shared" si="2"/>
        <v>0</v>
      </c>
      <c r="P35" s="5"/>
      <c r="Q35" s="1">
        <f t="shared" si="3"/>
        <v>0</v>
      </c>
    </row>
    <row r="36" spans="1:17" x14ac:dyDescent="0.2">
      <c r="A36" s="1">
        <v>100277</v>
      </c>
      <c r="B36" s="1" t="s">
        <v>36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2">
        <f t="shared" si="2"/>
        <v>0</v>
      </c>
      <c r="P36" s="5"/>
      <c r="Q36" s="1">
        <f t="shared" si="3"/>
        <v>0</v>
      </c>
    </row>
    <row r="37" spans="1:17" x14ac:dyDescent="0.2">
      <c r="A37" s="1">
        <v>100241</v>
      </c>
      <c r="B37" s="1" t="s">
        <v>35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2">
        <f t="shared" si="2"/>
        <v>0</v>
      </c>
      <c r="P37" s="5"/>
      <c r="Q37" s="1">
        <f t="shared" si="3"/>
        <v>0</v>
      </c>
    </row>
    <row r="38" spans="1:17" x14ac:dyDescent="0.2">
      <c r="A38" s="1">
        <v>110234</v>
      </c>
      <c r="B38" s="1" t="s">
        <v>34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2">
        <f t="shared" si="2"/>
        <v>0</v>
      </c>
      <c r="P38" s="5"/>
      <c r="Q38" s="1">
        <f t="shared" si="3"/>
        <v>0</v>
      </c>
    </row>
    <row r="39" spans="1:17" x14ac:dyDescent="0.2">
      <c r="A39" s="1">
        <v>100396</v>
      </c>
      <c r="B39" s="1" t="s">
        <v>33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2">
        <f t="shared" si="2"/>
        <v>0</v>
      </c>
      <c r="P39" s="5"/>
      <c r="Q39" s="1">
        <f t="shared" si="3"/>
        <v>0</v>
      </c>
    </row>
    <row r="40" spans="1:17" x14ac:dyDescent="0.2">
      <c r="A40" s="1">
        <v>100225</v>
      </c>
      <c r="B40" s="1" t="s">
        <v>32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2">
        <f t="shared" si="2"/>
        <v>0</v>
      </c>
      <c r="P40" s="5"/>
      <c r="Q40" s="1">
        <f t="shared" si="3"/>
        <v>0</v>
      </c>
    </row>
    <row r="41" spans="1:17" x14ac:dyDescent="0.2">
      <c r="A41" s="1">
        <v>110237</v>
      </c>
      <c r="B41" s="1" t="s">
        <v>31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2">
        <f t="shared" si="2"/>
        <v>0</v>
      </c>
      <c r="P41" s="5"/>
      <c r="Q41" s="1">
        <f t="shared" si="3"/>
        <v>0</v>
      </c>
    </row>
    <row r="42" spans="1:17" x14ac:dyDescent="0.2">
      <c r="A42" s="1">
        <v>110238</v>
      </c>
      <c r="B42" s="1" t="s">
        <v>30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2">
        <f t="shared" si="2"/>
        <v>0</v>
      </c>
      <c r="P42" s="5"/>
      <c r="Q42" s="1">
        <f t="shared" si="3"/>
        <v>0</v>
      </c>
    </row>
    <row r="43" spans="1:17" x14ac:dyDescent="0.2">
      <c r="A43" s="1">
        <v>110239</v>
      </c>
      <c r="B43" s="1" t="s">
        <v>29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2">
        <f t="shared" si="2"/>
        <v>0</v>
      </c>
      <c r="P43" s="5"/>
      <c r="Q43" s="1">
        <f t="shared" si="3"/>
        <v>0</v>
      </c>
    </row>
    <row r="44" spans="1:17" x14ac:dyDescent="0.2">
      <c r="A44" s="1">
        <v>100350</v>
      </c>
      <c r="B44" s="1" t="s">
        <v>28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2">
        <f t="shared" si="2"/>
        <v>0</v>
      </c>
      <c r="P44" s="5"/>
      <c r="Q44" s="1">
        <f t="shared" si="3"/>
        <v>0</v>
      </c>
    </row>
    <row r="45" spans="1:17" x14ac:dyDescent="0.2">
      <c r="A45" s="1">
        <v>100184</v>
      </c>
      <c r="B45" s="1" t="s">
        <v>27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2">
        <f t="shared" si="2"/>
        <v>0</v>
      </c>
      <c r="P45" s="5"/>
      <c r="Q45" s="1">
        <f t="shared" si="3"/>
        <v>0</v>
      </c>
    </row>
    <row r="46" spans="1:17" x14ac:dyDescent="0.2">
      <c r="A46" s="1">
        <v>100187</v>
      </c>
      <c r="B46" s="1" t="s">
        <v>26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2">
        <f t="shared" si="2"/>
        <v>0</v>
      </c>
      <c r="P46" s="5"/>
      <c r="Q46" s="1">
        <f t="shared" si="3"/>
        <v>0</v>
      </c>
    </row>
    <row r="47" spans="1:17" x14ac:dyDescent="0.2">
      <c r="A47" s="1">
        <v>100173</v>
      </c>
      <c r="B47" s="1" t="s">
        <v>25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2">
        <f t="shared" si="2"/>
        <v>0</v>
      </c>
      <c r="P47" s="5"/>
      <c r="Q47" s="1">
        <f t="shared" si="3"/>
        <v>0</v>
      </c>
    </row>
    <row r="48" spans="1:17" x14ac:dyDescent="0.2">
      <c r="A48" s="1">
        <v>100358</v>
      </c>
      <c r="B48" s="1" t="s">
        <v>24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2">
        <f t="shared" si="2"/>
        <v>0</v>
      </c>
      <c r="P48" s="5"/>
      <c r="Q48" s="1">
        <f t="shared" si="3"/>
        <v>0</v>
      </c>
    </row>
    <row r="49" spans="1:17" x14ac:dyDescent="0.2">
      <c r="A49" s="1">
        <v>100356</v>
      </c>
      <c r="B49" s="1" t="s">
        <v>23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2">
        <f t="shared" si="2"/>
        <v>0</v>
      </c>
      <c r="P49" s="5"/>
      <c r="Q49" s="1">
        <f t="shared" si="3"/>
        <v>0</v>
      </c>
    </row>
    <row r="50" spans="1:17" x14ac:dyDescent="0.2">
      <c r="A50" s="1">
        <v>100357</v>
      </c>
      <c r="B50" s="1" t="s">
        <v>22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2">
        <f t="shared" si="2"/>
        <v>0</v>
      </c>
      <c r="P50" s="5"/>
      <c r="Q50" s="1">
        <f t="shared" si="3"/>
        <v>0</v>
      </c>
    </row>
    <row r="51" spans="1:17" x14ac:dyDescent="0.2">
      <c r="A51" s="1">
        <v>100293</v>
      </c>
      <c r="B51" s="1" t="s">
        <v>21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2">
        <f t="shared" si="2"/>
        <v>0</v>
      </c>
      <c r="P51" s="5"/>
      <c r="Q51" s="1">
        <f t="shared" si="3"/>
        <v>0</v>
      </c>
    </row>
    <row r="52" spans="1:17" x14ac:dyDescent="0.2">
      <c r="A52" s="1">
        <v>100500</v>
      </c>
      <c r="B52" s="1" t="s">
        <v>20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2">
        <f t="shared" si="2"/>
        <v>0</v>
      </c>
      <c r="P52" s="5"/>
      <c r="Q52" s="1">
        <f t="shared" si="3"/>
        <v>0</v>
      </c>
    </row>
    <row r="53" spans="1:17" x14ac:dyDescent="0.2">
      <c r="A53" s="1">
        <v>100253</v>
      </c>
      <c r="B53" s="1" t="s">
        <v>19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2">
        <f t="shared" si="2"/>
        <v>0</v>
      </c>
      <c r="P53" s="5"/>
      <c r="Q53" s="1">
        <f t="shared" si="3"/>
        <v>0</v>
      </c>
    </row>
    <row r="54" spans="1:17" x14ac:dyDescent="0.2">
      <c r="A54" s="1">
        <v>100256</v>
      </c>
      <c r="B54" s="1" t="s">
        <v>18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2">
        <f t="shared" si="2"/>
        <v>0</v>
      </c>
      <c r="P54" s="5"/>
      <c r="Q54" s="1">
        <f t="shared" si="3"/>
        <v>0</v>
      </c>
    </row>
    <row r="55" spans="1:17" x14ac:dyDescent="0.2">
      <c r="A55" s="1">
        <v>100254</v>
      </c>
      <c r="B55" s="1" t="s">
        <v>17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2">
        <f t="shared" si="2"/>
        <v>0</v>
      </c>
      <c r="P55" s="5"/>
      <c r="Q55" s="1">
        <f t="shared" si="3"/>
        <v>0</v>
      </c>
    </row>
    <row r="56" spans="1:17" x14ac:dyDescent="0.2">
      <c r="A56" s="1">
        <v>100353</v>
      </c>
      <c r="B56" s="1" t="s">
        <v>16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2">
        <f t="shared" si="2"/>
        <v>0</v>
      </c>
      <c r="P56" s="5"/>
      <c r="Q56" s="1">
        <f t="shared" si="3"/>
        <v>0</v>
      </c>
    </row>
    <row r="57" spans="1:17" x14ac:dyDescent="0.2">
      <c r="A57" s="1">
        <v>110185</v>
      </c>
      <c r="B57" s="1" t="s">
        <v>15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2">
        <f t="shared" si="2"/>
        <v>0</v>
      </c>
      <c r="P57" s="5"/>
      <c r="Q57" s="1">
        <f t="shared" si="3"/>
        <v>0</v>
      </c>
    </row>
    <row r="58" spans="1:17" x14ac:dyDescent="0.2">
      <c r="A58" s="1">
        <v>110189</v>
      </c>
      <c r="B58" s="1" t="s">
        <v>14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2">
        <f t="shared" si="2"/>
        <v>0</v>
      </c>
      <c r="P58" s="5"/>
      <c r="Q58" s="1">
        <f t="shared" si="3"/>
        <v>0</v>
      </c>
    </row>
    <row r="59" spans="1:17" x14ac:dyDescent="0.2">
      <c r="A59" s="1">
        <v>110186</v>
      </c>
      <c r="B59" s="1" t="s">
        <v>13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2">
        <f t="shared" si="2"/>
        <v>0</v>
      </c>
      <c r="P59" s="5"/>
      <c r="Q59" s="1">
        <f t="shared" si="3"/>
        <v>0</v>
      </c>
    </row>
    <row r="60" spans="1:17" x14ac:dyDescent="0.2">
      <c r="A60" s="1">
        <v>100334</v>
      </c>
      <c r="B60" s="1" t="s">
        <v>12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2">
        <f t="shared" si="2"/>
        <v>0</v>
      </c>
      <c r="P60" s="5"/>
      <c r="Q60" s="1">
        <f t="shared" si="3"/>
        <v>0</v>
      </c>
    </row>
    <row r="61" spans="1:17" x14ac:dyDescent="0.2">
      <c r="A61" s="1">
        <v>110187</v>
      </c>
      <c r="B61" s="1" t="s">
        <v>11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2">
        <f t="shared" si="2"/>
        <v>0</v>
      </c>
      <c r="P61" s="5"/>
      <c r="Q61" s="1">
        <f t="shared" si="3"/>
        <v>0</v>
      </c>
    </row>
    <row r="62" spans="1:17" x14ac:dyDescent="0.2">
      <c r="A62" s="1">
        <v>100121</v>
      </c>
      <c r="B62" s="1" t="s">
        <v>10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2">
        <f t="shared" si="2"/>
        <v>0</v>
      </c>
      <c r="P62" s="5"/>
      <c r="Q62" s="1">
        <f t="shared" si="3"/>
        <v>0</v>
      </c>
    </row>
    <row r="63" spans="1:17" x14ac:dyDescent="0.2">
      <c r="A63" s="1">
        <v>100126</v>
      </c>
      <c r="B63" s="1" t="s">
        <v>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2">
        <f t="shared" si="2"/>
        <v>0</v>
      </c>
      <c r="P63" s="5"/>
      <c r="Q63" s="1">
        <f t="shared" si="3"/>
        <v>0</v>
      </c>
    </row>
    <row r="64" spans="1:17" x14ac:dyDescent="0.2">
      <c r="A64" s="1">
        <v>100125</v>
      </c>
      <c r="B64" s="1" t="s">
        <v>8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2">
        <f t="shared" si="2"/>
        <v>0</v>
      </c>
      <c r="P64" s="5"/>
      <c r="Q64" s="1">
        <f t="shared" si="3"/>
        <v>0</v>
      </c>
    </row>
    <row r="65" spans="1:17" x14ac:dyDescent="0.2">
      <c r="A65" s="1">
        <v>100119</v>
      </c>
      <c r="B65" s="1" t="s">
        <v>7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2">
        <f t="shared" si="2"/>
        <v>0</v>
      </c>
      <c r="P65" s="5"/>
      <c r="Q65" s="1">
        <f t="shared" si="3"/>
        <v>0</v>
      </c>
    </row>
    <row r="66" spans="1:17" x14ac:dyDescent="0.2">
      <c r="A66" s="1">
        <v>100434</v>
      </c>
      <c r="B66" s="1" t="s">
        <v>6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2">
        <f t="shared" ref="O66:O69" si="4">SUM(D66:N66)</f>
        <v>0</v>
      </c>
      <c r="P66" s="5"/>
      <c r="Q66" s="1">
        <f t="shared" ref="Q66:Q69" si="5">O66-P66</f>
        <v>0</v>
      </c>
    </row>
    <row r="67" spans="1:17" x14ac:dyDescent="0.2">
      <c r="A67" s="1">
        <v>100427</v>
      </c>
      <c r="B67" s="1" t="s">
        <v>5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2">
        <f t="shared" si="4"/>
        <v>0</v>
      </c>
      <c r="P67" s="5"/>
      <c r="Q67" s="1">
        <f t="shared" si="5"/>
        <v>0</v>
      </c>
    </row>
    <row r="68" spans="1:17" x14ac:dyDescent="0.2">
      <c r="A68" s="1">
        <v>100937</v>
      </c>
      <c r="B68" s="1" t="s">
        <v>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2">
        <f t="shared" si="4"/>
        <v>0</v>
      </c>
      <c r="P68" s="5"/>
      <c r="Q68" s="1">
        <f t="shared" si="5"/>
        <v>0</v>
      </c>
    </row>
    <row r="69" spans="1:17" x14ac:dyDescent="0.2">
      <c r="A69" s="1">
        <v>100938</v>
      </c>
      <c r="B69" s="1" t="s">
        <v>3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2">
        <f t="shared" si="4"/>
        <v>0</v>
      </c>
      <c r="P69" s="5"/>
      <c r="Q69" s="1">
        <f t="shared" si="5"/>
        <v>0</v>
      </c>
    </row>
    <row r="70" spans="1:17" ht="63.75" x14ac:dyDescent="0.2">
      <c r="A70" s="9" t="s">
        <v>73</v>
      </c>
      <c r="B70" s="10" t="s">
        <v>88</v>
      </c>
      <c r="C70" s="6" t="s">
        <v>86</v>
      </c>
      <c r="D70" s="3" t="s">
        <v>75</v>
      </c>
      <c r="E70" s="3" t="s">
        <v>76</v>
      </c>
      <c r="F70" s="3" t="s">
        <v>77</v>
      </c>
      <c r="G70" s="3" t="s">
        <v>78</v>
      </c>
      <c r="H70" s="3" t="s">
        <v>79</v>
      </c>
      <c r="I70" s="3" t="s">
        <v>80</v>
      </c>
      <c r="J70" s="3" t="s">
        <v>81</v>
      </c>
      <c r="K70" s="3" t="s">
        <v>82</v>
      </c>
      <c r="L70" s="3" t="s">
        <v>83</v>
      </c>
      <c r="M70" s="3" t="s">
        <v>72</v>
      </c>
      <c r="N70" s="3" t="s">
        <v>71</v>
      </c>
      <c r="O70" s="6" t="s">
        <v>70</v>
      </c>
      <c r="P70" s="6" t="s">
        <v>84</v>
      </c>
      <c r="Q70" s="3" t="s">
        <v>85</v>
      </c>
    </row>
    <row r="71" spans="1:17" x14ac:dyDescent="0.2">
      <c r="A71" s="1">
        <v>100154</v>
      </c>
      <c r="B71" s="1" t="s">
        <v>2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2">
        <f>SUM(D71:N71)</f>
        <v>0</v>
      </c>
      <c r="P71" s="5"/>
      <c r="Q71" s="1">
        <f>O71-P71</f>
        <v>0</v>
      </c>
    </row>
    <row r="72" spans="1:17" x14ac:dyDescent="0.2">
      <c r="A72" s="1">
        <v>100158</v>
      </c>
      <c r="B72" s="1" t="s">
        <v>1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2">
        <f>SUM(D72:N72)</f>
        <v>0</v>
      </c>
      <c r="P72" s="5"/>
      <c r="Q72" s="1">
        <f>O72-P72</f>
        <v>0</v>
      </c>
    </row>
    <row r="73" spans="1:17" x14ac:dyDescent="0.2">
      <c r="A73" s="1">
        <v>100193</v>
      </c>
      <c r="B73" s="1" t="s">
        <v>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2">
        <f>SUM(D73:N73)</f>
        <v>0</v>
      </c>
      <c r="P73" s="5"/>
      <c r="Q73" s="1">
        <f>O73-P73</f>
        <v>0</v>
      </c>
    </row>
  </sheetData>
  <dataValidations count="26">
    <dataValidation allowBlank="1" showInputMessage="1" showErrorMessage="1" prompt="From the Customer Order Summary Screen, enter total number of pounds of raw commodity ordered by Food Distribution" sqref="C71:C73"/>
    <dataValidation allowBlank="1" showInputMessage="1" showErrorMessage="1" prompt="Enter total number of cases delivered by your distributor during August" sqref="D3:D69"/>
    <dataValidation allowBlank="1" showInputMessage="1" showErrorMessage="1" prompt="Enter total number of cases delivered by your distributor during September" sqref="E3:E69"/>
    <dataValidation allowBlank="1" showInputMessage="1" showErrorMessage="1" prompt="Enter total number of cases delivered by your distributor during October" sqref="F3:F69"/>
    <dataValidation allowBlank="1" showInputMessage="1" showErrorMessage="1" prompt="Enter total number of cases delivered by your distributor during November" sqref="G3:G69"/>
    <dataValidation allowBlank="1" showInputMessage="1" showErrorMessage="1" prompt="Enter total number of cases delivered by your distributor during December" sqref="H3:H69"/>
    <dataValidation allowBlank="1" showInputMessage="1" showErrorMessage="1" prompt="Enter total number of cases delivered by your distributor during January" sqref="I3:I69"/>
    <dataValidation allowBlank="1" showInputMessage="1" showErrorMessage="1" prompt="Enter total number of cases delivered by your distributor during February" sqref="J3:J69"/>
    <dataValidation allowBlank="1" showInputMessage="1" showErrorMessage="1" prompt="Enter total number of cases delivered by your distributor during March" sqref="K3:K69"/>
    <dataValidation allowBlank="1" showInputMessage="1" showErrorMessage="1" prompt="Enter total number of cases delivered by your distributor during April" sqref="L3:L69"/>
    <dataValidation allowBlank="1" showInputMessage="1" showErrorMessage="1" prompt="Enter total number of cases delivered by your distributor during May" sqref="M3:M69"/>
    <dataValidation allowBlank="1" showInputMessage="1" showErrorMessage="1" prompt="Enter total number of cases delivered by your distributor during June" sqref="N3:N69"/>
    <dataValidation allowBlank="1" showInputMessage="1" showErrorMessage="1" prompt="From the Customer Order Summary Screen, enter total number of cases received by state contracted warehouse " sqref="P3:P69"/>
    <dataValidation allowBlank="1" showInputMessage="1" showErrorMessage="1" prompt="From the Customer Order Summary Screen, enter total number of cases ordered by Food Distribution" sqref="C3:C69"/>
    <dataValidation allowBlank="1" showInputMessage="1" showErrorMessage="1" prompt="Enter total number of pounds of raw commodity delivered by your distributor during August" sqref="D71:D73"/>
    <dataValidation allowBlank="1" showInputMessage="1" showErrorMessage="1" prompt="Enter total number of pounds of raw commodity delivered by your distributor during September" sqref="E71:E73"/>
    <dataValidation allowBlank="1" showInputMessage="1" showErrorMessage="1" prompt="Enter total number of pounds of raw commodity delivered by your distributor during October" sqref="F71:F73"/>
    <dataValidation allowBlank="1" showInputMessage="1" showErrorMessage="1" prompt="Enter total number of pounds of raw commodity delivered by your distributor during November" sqref="G71:G73"/>
    <dataValidation allowBlank="1" showInputMessage="1" showErrorMessage="1" prompt="Enter total number of pounds of raw commodity delivered by your distributor during December" sqref="H71:H73"/>
    <dataValidation allowBlank="1" showInputMessage="1" showErrorMessage="1" prompt="Enter total number of pounds of raw commodity delivered by your distributor during January" sqref="I71:I73"/>
    <dataValidation allowBlank="1" showInputMessage="1" showErrorMessage="1" prompt="Enter total number of pounds of raw commodity delivered by your distributor during February" sqref="J71:J73"/>
    <dataValidation allowBlank="1" showInputMessage="1" showErrorMessage="1" prompt="Enter total number of pounds of raw commodity delivered by your distributor during March" sqref="K71:K73"/>
    <dataValidation allowBlank="1" showInputMessage="1" showErrorMessage="1" prompt="Enter total number of pounds of raw commodity delivered by your distributor during April" sqref="L71:L73"/>
    <dataValidation allowBlank="1" showInputMessage="1" showErrorMessage="1" prompt="Enter total number of pounds of raw commodity delivered by your distributor during May" sqref="M71:M73"/>
    <dataValidation allowBlank="1" showInputMessage="1" showErrorMessage="1" prompt="Enter total number of pounds of raw commodity delivered by your distributor during June" sqref="N71:N73"/>
    <dataValidation allowBlank="1" showInputMessage="1" showErrorMessage="1" prompt="From the Customer Order Summary Screen, enter total number of pounds of raw commodity received by selected processor" sqref="P71:P73"/>
  </dataValidations>
  <pageMargins left="0.25" right="0.25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USDA Foods</vt:lpstr>
      <vt:lpstr>'USDA Foods'!Print_Area</vt:lpstr>
      <vt:lpstr>'USDA Foods'!Print_Titles</vt:lpstr>
      <vt:lpstr>TitleRegion1.a2.q73.1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Rank, Tony</dc:creator>
  <cp:lastModifiedBy>Rank, Tony</cp:lastModifiedBy>
  <cp:lastPrinted>2013-09-24T16:19:09Z</cp:lastPrinted>
  <dcterms:created xsi:type="dcterms:W3CDTF">2013-09-12T19:23:33Z</dcterms:created>
  <dcterms:modified xsi:type="dcterms:W3CDTF">2013-09-26T22:27:19Z</dcterms:modified>
</cp:coreProperties>
</file>