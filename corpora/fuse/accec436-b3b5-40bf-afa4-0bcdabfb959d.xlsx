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040" yWindow="4356" windowWidth="17016" windowHeight="4968" activeTab="1"/>
  </bookViews>
  <sheets>
    <sheet name="Data" sheetId="1" r:id="rId1"/>
    <sheet name="DB barges vs UL NO barges" sheetId="2" r:id="rId2"/>
  </sheets>
  <calcPr calcId="145621"/>
</workbook>
</file>

<file path=xl/calcChain.xml><?xml version="1.0" encoding="utf-8"?>
<calcChain xmlns="http://schemas.openxmlformats.org/spreadsheetml/2006/main">
  <c r="G444" i="1" l="1"/>
  <c r="H444" i="1"/>
  <c r="I444" i="1"/>
  <c r="J444" i="1"/>
  <c r="K444" i="1"/>
  <c r="L444" i="1"/>
  <c r="E444" i="1"/>
  <c r="D444" i="1"/>
  <c r="C444" i="1"/>
  <c r="B444" i="1"/>
  <c r="A444" i="1"/>
  <c r="G443" i="1" l="1"/>
  <c r="H443" i="1"/>
  <c r="I443" i="1"/>
  <c r="J443" i="1"/>
  <c r="K443" i="1"/>
  <c r="L443" i="1"/>
  <c r="E443" i="1"/>
  <c r="D443" i="1"/>
  <c r="C443" i="1"/>
  <c r="B443" i="1"/>
  <c r="A443" i="1"/>
  <c r="G442" i="1" l="1"/>
  <c r="H442" i="1"/>
  <c r="I442" i="1"/>
  <c r="J442" i="1"/>
  <c r="K442" i="1"/>
  <c r="L442" i="1"/>
  <c r="E442" i="1"/>
  <c r="D442" i="1"/>
  <c r="C442" i="1"/>
  <c r="B442" i="1"/>
  <c r="A442" i="1"/>
  <c r="E441" i="1" l="1"/>
  <c r="D441" i="1"/>
  <c r="C441" i="1"/>
  <c r="B441" i="1"/>
  <c r="A441" i="1" l="1"/>
  <c r="G441" i="1"/>
  <c r="H441" i="1"/>
  <c r="I441" i="1"/>
  <c r="J441" i="1"/>
  <c r="K441" i="1"/>
  <c r="L441" i="1"/>
  <c r="D440" i="1" l="1"/>
  <c r="C440" i="1"/>
  <c r="B440" i="1"/>
  <c r="H440" i="1" l="1"/>
  <c r="K440" i="1"/>
  <c r="L440" i="1"/>
  <c r="E440" i="1"/>
  <c r="I440" i="1" s="1"/>
  <c r="A440" i="1"/>
  <c r="G440" i="1" l="1"/>
  <c r="J440" i="1"/>
  <c r="E439" i="1"/>
  <c r="I439" i="1" s="1"/>
  <c r="D439" i="1"/>
  <c r="C439" i="1"/>
  <c r="B439" i="1"/>
  <c r="G439" i="1"/>
  <c r="H439" i="1"/>
  <c r="K439" i="1"/>
  <c r="L439" i="1"/>
  <c r="A439" i="1"/>
  <c r="J439" i="1" l="1"/>
  <c r="G438" i="1"/>
  <c r="H438" i="1"/>
  <c r="I438" i="1"/>
  <c r="J438" i="1"/>
  <c r="K438" i="1"/>
  <c r="L438" i="1"/>
  <c r="E438" i="1"/>
  <c r="D438" i="1"/>
  <c r="C438" i="1"/>
  <c r="B438" i="1"/>
  <c r="A438" i="1"/>
  <c r="C437" i="1" l="1"/>
  <c r="B437" i="1"/>
  <c r="D437" i="1"/>
  <c r="H437" i="1"/>
  <c r="K437" i="1"/>
  <c r="L437" i="1"/>
  <c r="A437" i="1"/>
  <c r="E437" i="1" l="1"/>
  <c r="G437" i="1" s="1"/>
  <c r="G436" i="1"/>
  <c r="H436" i="1"/>
  <c r="I436" i="1"/>
  <c r="J436" i="1"/>
  <c r="K436" i="1"/>
  <c r="L436" i="1"/>
  <c r="E436" i="1"/>
  <c r="D436" i="1"/>
  <c r="C436" i="1"/>
  <c r="B436" i="1"/>
  <c r="A436" i="1"/>
  <c r="I437" i="1" l="1"/>
  <c r="J437" i="1"/>
  <c r="G435" i="1"/>
  <c r="H435" i="1"/>
  <c r="I435" i="1"/>
  <c r="J435" i="1"/>
  <c r="K435" i="1"/>
  <c r="L435" i="1"/>
  <c r="E435" i="1"/>
  <c r="D435" i="1"/>
  <c r="C435" i="1"/>
  <c r="B435" i="1"/>
  <c r="A435" i="1"/>
  <c r="G434" i="1" l="1"/>
  <c r="H434" i="1"/>
  <c r="I434" i="1"/>
  <c r="J434" i="1"/>
  <c r="K434" i="1"/>
  <c r="L434" i="1"/>
  <c r="E434" i="1"/>
  <c r="D434" i="1"/>
  <c r="C434" i="1"/>
  <c r="B434" i="1"/>
  <c r="A434" i="1"/>
  <c r="L433" i="1" l="1"/>
  <c r="K433" i="1"/>
  <c r="J433" i="1"/>
  <c r="I433" i="1"/>
  <c r="H433" i="1"/>
  <c r="G433" i="1"/>
  <c r="L432" i="1" l="1"/>
  <c r="K432" i="1"/>
  <c r="J432" i="1"/>
  <c r="I432" i="1"/>
  <c r="H432" i="1"/>
  <c r="G432" i="1"/>
  <c r="E432" i="1" l="1"/>
  <c r="E433" i="1"/>
  <c r="A432" i="1"/>
  <c r="A433" i="1" s="1"/>
  <c r="G431" i="1" l="1"/>
  <c r="H431" i="1"/>
  <c r="I431" i="1"/>
  <c r="J431" i="1"/>
  <c r="K431" i="1"/>
  <c r="L431" i="1"/>
  <c r="E431" i="1"/>
  <c r="D431" i="1"/>
  <c r="C431" i="1"/>
  <c r="B431" i="1"/>
  <c r="A431" i="1"/>
  <c r="G430" i="1" l="1"/>
  <c r="H430" i="1"/>
  <c r="I430" i="1"/>
  <c r="J430" i="1"/>
  <c r="K430" i="1"/>
  <c r="L430" i="1"/>
  <c r="E430" i="1"/>
  <c r="D430" i="1"/>
  <c r="C430" i="1"/>
  <c r="B430" i="1"/>
  <c r="A430" i="1"/>
  <c r="G429" i="1" l="1"/>
  <c r="H429" i="1"/>
  <c r="I429" i="1"/>
  <c r="J429" i="1"/>
  <c r="K429" i="1"/>
  <c r="L429" i="1"/>
  <c r="E429" i="1"/>
  <c r="D429" i="1"/>
  <c r="C429" i="1"/>
  <c r="B429" i="1"/>
  <c r="A429" i="1"/>
  <c r="G428" i="1" l="1"/>
  <c r="H428" i="1"/>
  <c r="I428" i="1"/>
  <c r="J428" i="1"/>
  <c r="K428" i="1"/>
  <c r="L428" i="1"/>
  <c r="E428" i="1"/>
  <c r="D428" i="1"/>
  <c r="C428" i="1"/>
  <c r="B428" i="1"/>
  <c r="A428" i="1"/>
  <c r="G427" i="1" l="1"/>
  <c r="H427" i="1"/>
  <c r="I427" i="1"/>
  <c r="J427" i="1"/>
  <c r="K427" i="1"/>
  <c r="L427" i="1"/>
  <c r="E427" i="1"/>
  <c r="D427" i="1"/>
  <c r="C427" i="1"/>
  <c r="B427" i="1"/>
  <c r="A427" i="1"/>
  <c r="H426" i="1" l="1"/>
  <c r="K426" i="1"/>
  <c r="L426" i="1"/>
  <c r="E426" i="1"/>
  <c r="G426" i="1" s="1"/>
  <c r="D426" i="1"/>
  <c r="C426" i="1"/>
  <c r="B426" i="1"/>
  <c r="H425" i="1" l="1"/>
  <c r="K425" i="1"/>
  <c r="L425" i="1"/>
  <c r="D425" i="1"/>
  <c r="C425" i="1"/>
  <c r="B425" i="1"/>
  <c r="E425" i="1" s="1"/>
  <c r="D424" i="1"/>
  <c r="C424" i="1"/>
  <c r="B424" i="1"/>
  <c r="D423" i="1"/>
  <c r="C423" i="1"/>
  <c r="B423" i="1"/>
  <c r="J426" i="1" l="1"/>
  <c r="I426" i="1"/>
  <c r="G425" i="1"/>
  <c r="I425" i="1"/>
  <c r="L424" i="1"/>
  <c r="K424" i="1"/>
  <c r="H424" i="1"/>
  <c r="L423" i="1"/>
  <c r="K423" i="1"/>
  <c r="H423" i="1"/>
  <c r="E424" i="1"/>
  <c r="G424" i="1" s="1"/>
  <c r="E423" i="1"/>
  <c r="J425" i="1" l="1"/>
  <c r="I424" i="1"/>
  <c r="G423" i="1"/>
  <c r="J424" i="1"/>
  <c r="D422" i="1" l="1"/>
  <c r="C422" i="1"/>
  <c r="B422" i="1"/>
  <c r="E422" i="1" s="1"/>
  <c r="I423" i="1" l="1"/>
  <c r="J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E419" i="1"/>
  <c r="I420" i="1" s="1"/>
  <c r="D419" i="1"/>
  <c r="C419" i="1"/>
  <c r="B419" i="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s="1"/>
  <c r="J417" i="1" l="1"/>
  <c r="I417" i="1"/>
  <c r="G416" i="1"/>
  <c r="H415" i="1"/>
  <c r="K415" i="1"/>
  <c r="L415" i="1"/>
  <c r="D415" i="1"/>
  <c r="B415" i="1"/>
  <c r="E415" i="1" s="1"/>
  <c r="G415" i="1" l="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E412" i="1" s="1"/>
  <c r="C412" i="1"/>
  <c r="B412" i="1"/>
  <c r="I413" i="1" l="1"/>
  <c r="J413" i="1"/>
  <c r="G412" i="1"/>
  <c r="H411" i="1"/>
  <c r="K411" i="1"/>
  <c r="L411" i="1"/>
  <c r="D411" i="1"/>
  <c r="C411" i="1"/>
  <c r="B411" i="1"/>
  <c r="E411" i="1" s="1"/>
  <c r="J412" i="1" l="1"/>
  <c r="I412" i="1"/>
  <c r="G411" i="1"/>
  <c r="D410" i="1"/>
  <c r="B410" i="1"/>
  <c r="E410" i="1" s="1"/>
  <c r="J411" i="1" l="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s="1"/>
  <c r="G407" i="1" l="1"/>
  <c r="I408" i="1"/>
  <c r="J408" i="1"/>
  <c r="H406" i="1"/>
  <c r="K406" i="1"/>
  <c r="L406" i="1"/>
  <c r="D406" i="1"/>
  <c r="C406" i="1"/>
  <c r="B406" i="1"/>
  <c r="E406" i="1" s="1"/>
  <c r="J407" i="1" l="1"/>
  <c r="I407" i="1"/>
  <c r="G406" i="1"/>
  <c r="H405" i="1"/>
  <c r="K405" i="1"/>
  <c r="L405" i="1"/>
  <c r="D405" i="1"/>
  <c r="C405" i="1"/>
  <c r="B405" i="1"/>
  <c r="E405" i="1" s="1"/>
  <c r="I406" i="1" l="1"/>
  <c r="J406" i="1"/>
  <c r="G405" i="1"/>
  <c r="H404" i="1"/>
  <c r="K404" i="1"/>
  <c r="L404" i="1"/>
  <c r="D404" i="1"/>
  <c r="C404" i="1"/>
  <c r="B404" i="1"/>
  <c r="E404" i="1" s="1"/>
  <c r="J405" i="1" l="1"/>
  <c r="G404" i="1"/>
  <c r="I405" i="1"/>
  <c r="H403" i="1"/>
  <c r="K403" i="1"/>
  <c r="L403" i="1"/>
  <c r="D403" i="1"/>
  <c r="B403" i="1"/>
  <c r="E403" i="1" s="1"/>
  <c r="J404" i="1" l="1"/>
  <c r="G403"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s="1"/>
  <c r="J400" i="1" l="1"/>
  <c r="G399" i="1"/>
  <c r="I400" i="1"/>
  <c r="H398" i="1"/>
  <c r="K398" i="1"/>
  <c r="L398" i="1"/>
  <c r="D398" i="1"/>
  <c r="C398" i="1"/>
  <c r="B398" i="1"/>
  <c r="E398" i="1" s="1"/>
  <c r="J399" i="1" l="1"/>
  <c r="G398" i="1"/>
  <c r="I399" i="1"/>
  <c r="D397" i="1"/>
  <c r="C397" i="1"/>
  <c r="E397" i="1" s="1"/>
  <c r="B397" i="1"/>
  <c r="J398" i="1" l="1"/>
  <c r="I398" i="1"/>
  <c r="G397" i="1"/>
  <c r="H397" i="1"/>
  <c r="K397" i="1"/>
  <c r="L397" i="1"/>
  <c r="D396" i="1" l="1"/>
  <c r="C396" i="1"/>
  <c r="B396" i="1"/>
  <c r="E396" i="1" s="1"/>
  <c r="J397" i="1" l="1"/>
  <c r="I397" i="1"/>
  <c r="G396" i="1"/>
  <c r="H396" i="1"/>
  <c r="K396" i="1"/>
  <c r="L396" i="1"/>
  <c r="H395" i="1" l="1"/>
  <c r="K395" i="1"/>
  <c r="L395" i="1"/>
  <c r="D395" i="1"/>
  <c r="E395" i="1" s="1"/>
  <c r="C395" i="1"/>
  <c r="B395" i="1"/>
  <c r="J396" i="1" l="1"/>
  <c r="I396" i="1"/>
  <c r="G395" i="1"/>
  <c r="D394" i="1"/>
  <c r="C394" i="1"/>
  <c r="B394" i="1"/>
  <c r="H394" i="1" l="1"/>
  <c r="K394" i="1"/>
  <c r="L394" i="1"/>
  <c r="E394" i="1"/>
  <c r="G394" i="1" l="1"/>
  <c r="J395" i="1"/>
  <c r="I395" i="1"/>
  <c r="H393" i="1"/>
  <c r="K393" i="1"/>
  <c r="L393" i="1"/>
  <c r="D393" i="1"/>
  <c r="C393" i="1"/>
  <c r="B393" i="1"/>
  <c r="E393" i="1" s="1"/>
  <c r="I394" i="1" l="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c r="I381" i="1"/>
  <c r="G380" i="1"/>
  <c r="H380" i="1"/>
  <c r="K380" i="1"/>
  <c r="L380" i="1"/>
  <c r="D379" i="1" l="1"/>
  <c r="C379" i="1"/>
  <c r="B379" i="1"/>
  <c r="E379" i="1" s="1"/>
  <c r="H379" i="1"/>
  <c r="K379" i="1"/>
  <c r="L379" i="1"/>
  <c r="I380" i="1" l="1"/>
  <c r="J380" i="1"/>
  <c r="G379" i="1"/>
  <c r="B378" i="1"/>
  <c r="C378" i="1"/>
  <c r="D378" i="1"/>
  <c r="E378" i="1" l="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c r="I376" i="1"/>
  <c r="G375" i="1"/>
  <c r="H375" i="1"/>
  <c r="K375" i="1"/>
  <c r="L375" i="1"/>
  <c r="H374" i="1" l="1"/>
  <c r="K374" i="1"/>
  <c r="L374" i="1"/>
  <c r="D374" i="1"/>
  <c r="E374" i="1" s="1"/>
  <c r="C374" i="1"/>
  <c r="B374" i="1"/>
  <c r="I375" i="1" l="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c r="I372" i="1"/>
  <c r="G371" i="1"/>
  <c r="I371" i="1"/>
  <c r="L370" i="1"/>
  <c r="K370" i="1"/>
  <c r="H370" i="1"/>
  <c r="E370" i="1"/>
  <c r="J371" i="1" s="1"/>
  <c r="G370" i="1" l="1"/>
  <c r="H369" i="1"/>
  <c r="K369" i="1"/>
  <c r="L369" i="1"/>
  <c r="D369" i="1"/>
  <c r="C369" i="1"/>
  <c r="B369" i="1"/>
  <c r="E369" i="1" s="1"/>
  <c r="J370" i="1" l="1"/>
  <c r="I370" i="1"/>
  <c r="G369" i="1"/>
  <c r="D368" i="1"/>
  <c r="C368" i="1"/>
  <c r="E368" i="1" s="1"/>
  <c r="B368" i="1"/>
  <c r="H368" i="1"/>
  <c r="K368" i="1"/>
  <c r="L368" i="1"/>
  <c r="G368" i="1" l="1"/>
  <c r="I369" i="1"/>
  <c r="J369" i="1"/>
  <c r="D367" i="1"/>
  <c r="C367" i="1"/>
  <c r="E367" i="1" s="1"/>
  <c r="B367" i="1"/>
  <c r="H367" i="1"/>
  <c r="K367" i="1"/>
  <c r="L367" i="1"/>
  <c r="G367" i="1" l="1"/>
  <c r="J368" i="1"/>
  <c r="I368" i="1"/>
  <c r="D366" i="1"/>
  <c r="C366" i="1"/>
  <c r="B366" i="1"/>
  <c r="H366" i="1"/>
  <c r="K366" i="1"/>
  <c r="L366" i="1"/>
  <c r="E366" i="1" l="1"/>
  <c r="G366" i="1"/>
  <c r="I367" i="1"/>
  <c r="J367" i="1"/>
  <c r="D365" i="1"/>
  <c r="C365" i="1"/>
  <c r="B365" i="1"/>
  <c r="H365" i="1" l="1"/>
  <c r="K365" i="1"/>
  <c r="L365" i="1"/>
  <c r="E365" i="1"/>
  <c r="J366" i="1" l="1"/>
  <c r="I366" i="1"/>
  <c r="G365" i="1"/>
  <c r="H364" i="1"/>
  <c r="K364" i="1"/>
  <c r="L364" i="1"/>
  <c r="D364" i="1"/>
  <c r="C364" i="1"/>
  <c r="B364" i="1"/>
  <c r="E364" i="1" l="1"/>
  <c r="I365" i="1"/>
  <c r="J365" i="1"/>
  <c r="G364" i="1"/>
  <c r="H363" i="1"/>
  <c r="K363" i="1"/>
  <c r="L363" i="1"/>
  <c r="D363" i="1"/>
  <c r="C363" i="1"/>
  <c r="B363" i="1"/>
  <c r="E363" i="1" l="1"/>
  <c r="I364" i="1" s="1"/>
  <c r="J364" i="1"/>
  <c r="G363" i="1"/>
  <c r="D362" i="1"/>
  <c r="C362" i="1"/>
  <c r="E362" i="1" s="1"/>
  <c r="B362" i="1"/>
  <c r="J363" i="1" l="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c r="J360" i="1"/>
  <c r="G359" i="1"/>
  <c r="H359" i="1"/>
  <c r="K359" i="1"/>
  <c r="L359" i="1"/>
  <c r="D358" i="1" l="1"/>
  <c r="C358" i="1"/>
  <c r="B358" i="1"/>
  <c r="E358" i="1" s="1"/>
  <c r="I359" i="1" l="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G354" i="1"/>
  <c r="G350" i="1"/>
  <c r="E354" i="1"/>
  <c r="J355" i="1" s="1"/>
  <c r="E353" i="1"/>
  <c r="G353" i="1" s="1"/>
  <c r="E352" i="1"/>
  <c r="G352" i="1" s="1"/>
  <c r="E351" i="1"/>
  <c r="J351" i="1" s="1"/>
  <c r="E350" i="1"/>
  <c r="J352" i="1" l="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c r="J342" i="1"/>
  <c r="G341" i="1"/>
  <c r="H341" i="1"/>
  <c r="K341" i="1"/>
  <c r="L341" i="1"/>
  <c r="H340" i="1" l="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J339" i="1"/>
  <c r="G338" i="1"/>
  <c r="I339" i="1"/>
  <c r="D337" i="1"/>
  <c r="C337" i="1"/>
  <c r="B337" i="1"/>
  <c r="E337" i="1" l="1"/>
  <c r="J338" i="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c r="G333" i="1"/>
  <c r="I334" i="1"/>
  <c r="D332" i="1"/>
  <c r="C332" i="1"/>
  <c r="B332" i="1"/>
  <c r="H332" i="1" l="1"/>
  <c r="K332" i="1"/>
  <c r="L332" i="1"/>
  <c r="E332" i="1"/>
  <c r="J333" i="1" l="1"/>
  <c r="I333" i="1"/>
  <c r="G332" i="1"/>
  <c r="H331" i="1"/>
  <c r="K331" i="1"/>
  <c r="L331" i="1"/>
  <c r="D331" i="1"/>
  <c r="C331" i="1"/>
  <c r="B331" i="1"/>
  <c r="E331" i="1" l="1"/>
  <c r="J332" i="1"/>
  <c r="I332" i="1"/>
  <c r="G331" i="1"/>
  <c r="H330" i="1"/>
  <c r="K330" i="1"/>
  <c r="L330" i="1"/>
  <c r="D330" i="1"/>
  <c r="C330" i="1"/>
  <c r="B330" i="1"/>
  <c r="E330" i="1" l="1"/>
  <c r="G330" i="1"/>
  <c r="J331" i="1"/>
  <c r="I331" i="1"/>
  <c r="D329" i="1"/>
  <c r="C329" i="1"/>
  <c r="B329" i="1"/>
  <c r="H329" i="1"/>
  <c r="K329" i="1"/>
  <c r="L329" i="1"/>
  <c r="E329" i="1" l="1"/>
  <c r="J330" i="1"/>
  <c r="G329" i="1"/>
  <c r="I330" i="1"/>
  <c r="H328" i="1"/>
  <c r="K328" i="1"/>
  <c r="L328" i="1"/>
  <c r="D328" i="1"/>
  <c r="C328" i="1"/>
  <c r="B328" i="1"/>
  <c r="E328" i="1" l="1"/>
  <c r="J329" i="1"/>
  <c r="G328" i="1"/>
  <c r="I329" i="1"/>
  <c r="D327" i="1"/>
  <c r="C327" i="1"/>
  <c r="B327" i="1"/>
  <c r="E327" i="1" l="1"/>
  <c r="J328" i="1"/>
  <c r="I328" i="1"/>
  <c r="G327" i="1"/>
  <c r="H327" i="1"/>
  <c r="K327" i="1"/>
  <c r="L327" i="1"/>
  <c r="D326" i="1" l="1"/>
  <c r="C326" i="1"/>
  <c r="B326" i="1"/>
  <c r="E326" i="1" s="1"/>
  <c r="I327" i="1" l="1"/>
  <c r="J327" i="1"/>
  <c r="G326" i="1"/>
  <c r="H326" i="1"/>
  <c r="K326" i="1"/>
  <c r="L326" i="1"/>
  <c r="H325" i="1" l="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E323" i="1" s="1"/>
  <c r="I324" i="1" s="1"/>
  <c r="B323" i="1"/>
  <c r="G323" i="1" l="1"/>
  <c r="J324" i="1"/>
  <c r="D322" i="1"/>
  <c r="C322" i="1"/>
  <c r="B322" i="1"/>
  <c r="E322" i="1" l="1"/>
  <c r="I323" i="1" s="1"/>
  <c r="J323" i="1"/>
  <c r="G322" i="1"/>
  <c r="H322" i="1"/>
  <c r="K322" i="1"/>
  <c r="L322" i="1"/>
  <c r="D321" i="1" l="1"/>
  <c r="C321" i="1"/>
  <c r="B321" i="1"/>
  <c r="E321" i="1" l="1"/>
  <c r="J322" i="1" s="1"/>
  <c r="I322" i="1"/>
  <c r="H320" i="1"/>
  <c r="K320" i="1"/>
  <c r="L320" i="1"/>
  <c r="G321" i="1"/>
  <c r="H321" i="1"/>
  <c r="K321" i="1"/>
  <c r="L321" i="1"/>
  <c r="D320" i="1" l="1"/>
  <c r="C320" i="1"/>
  <c r="B320" i="1"/>
  <c r="E320" i="1" l="1"/>
  <c r="I321" i="1"/>
  <c r="G320" i="1"/>
  <c r="J321" i="1"/>
  <c r="H319" i="1"/>
  <c r="K319" i="1"/>
  <c r="L319" i="1"/>
  <c r="D319" i="1"/>
  <c r="E319" i="1" s="1"/>
  <c r="J320" i="1" s="1"/>
  <c r="C319" i="1"/>
  <c r="B319" i="1"/>
  <c r="G319" i="1" l="1"/>
  <c r="I320" i="1"/>
  <c r="H318" i="1"/>
  <c r="K318" i="1"/>
  <c r="L318" i="1"/>
  <c r="D318" i="1"/>
  <c r="C318" i="1"/>
  <c r="B318" i="1"/>
  <c r="E318" i="1" l="1"/>
  <c r="I319" i="1"/>
  <c r="J319" i="1"/>
  <c r="G318" i="1"/>
  <c r="D317" i="1"/>
  <c r="C317" i="1"/>
  <c r="B317" i="1"/>
  <c r="E317" i="1" s="1"/>
  <c r="J318" i="1" s="1"/>
  <c r="I318" i="1" l="1"/>
  <c r="G317" i="1"/>
  <c r="H317" i="1"/>
  <c r="K317" i="1"/>
  <c r="L317" i="1"/>
  <c r="D316" i="1" l="1"/>
  <c r="C316" i="1"/>
  <c r="B316" i="1"/>
  <c r="E316" i="1" l="1"/>
  <c r="J317" i="1"/>
  <c r="I317" i="1"/>
  <c r="G316" i="1"/>
  <c r="H316" i="1"/>
  <c r="K316" i="1"/>
  <c r="L316" i="1"/>
  <c r="D315" i="1" l="1"/>
  <c r="C315" i="1"/>
  <c r="B315" i="1"/>
  <c r="E315" i="1" l="1"/>
  <c r="I316" i="1"/>
  <c r="J316" i="1"/>
  <c r="G315" i="1"/>
  <c r="H315" i="1"/>
  <c r="K315" i="1"/>
  <c r="L315" i="1"/>
  <c r="H314" i="1" l="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c r="I313" i="1"/>
  <c r="J313" i="1"/>
  <c r="H311" i="1" l="1"/>
  <c r="K311" i="1"/>
  <c r="L311" i="1"/>
  <c r="D311" i="1"/>
  <c r="C311" i="1"/>
  <c r="B311" i="1"/>
  <c r="E311" i="1" s="1"/>
  <c r="J312" i="1" l="1"/>
  <c r="I312" i="1"/>
  <c r="G311" i="1"/>
  <c r="H310" i="1"/>
  <c r="K310" i="1"/>
  <c r="L310" i="1"/>
  <c r="D310" i="1"/>
  <c r="C310" i="1"/>
  <c r="B310" i="1"/>
  <c r="E310" i="1" l="1"/>
  <c r="J311" i="1"/>
  <c r="I311" i="1"/>
  <c r="G310" i="1"/>
  <c r="D309" i="1"/>
  <c r="C309" i="1"/>
  <c r="B309" i="1"/>
  <c r="E309" i="1" l="1"/>
  <c r="I310" i="1"/>
  <c r="J310" i="1"/>
  <c r="G309" i="1"/>
  <c r="H309" i="1"/>
  <c r="K309" i="1"/>
  <c r="L309" i="1"/>
  <c r="D308" i="1" l="1"/>
  <c r="C308" i="1"/>
  <c r="B308" i="1"/>
  <c r="E308" i="1" l="1"/>
  <c r="I309" i="1"/>
  <c r="J309" i="1"/>
  <c r="G308" i="1"/>
  <c r="H308" i="1"/>
  <c r="K308" i="1"/>
  <c r="L308" i="1"/>
  <c r="H307" i="1" l="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E257" i="1" s="1"/>
  <c r="B256" i="1"/>
  <c r="D256" i="1"/>
  <c r="C256" i="1"/>
  <c r="H256" i="1"/>
  <c r="K256" i="1"/>
  <c r="L256" i="1"/>
  <c r="H255" i="1"/>
  <c r="K255" i="1"/>
  <c r="L255" i="1"/>
  <c r="D255" i="1"/>
  <c r="C255" i="1"/>
  <c r="B255" i="1"/>
  <c r="H254" i="1"/>
  <c r="K254" i="1"/>
  <c r="L254" i="1"/>
  <c r="D254" i="1"/>
  <c r="C254" i="1"/>
  <c r="B254" i="1"/>
  <c r="H253" i="1"/>
  <c r="K253" i="1"/>
  <c r="L253" i="1"/>
  <c r="D253" i="1"/>
  <c r="C253" i="1"/>
  <c r="B253" i="1"/>
  <c r="E253" i="1" s="1"/>
  <c r="G253" i="1" s="1"/>
  <c r="D252" i="1"/>
  <c r="C252" i="1"/>
  <c r="B252" i="1"/>
  <c r="H252" i="1"/>
  <c r="K252" i="1"/>
  <c r="L252" i="1"/>
  <c r="D251" i="1"/>
  <c r="C251" i="1"/>
  <c r="B251" i="1"/>
  <c r="H251" i="1"/>
  <c r="K251" i="1"/>
  <c r="L251" i="1"/>
  <c r="H250" i="1"/>
  <c r="K250" i="1"/>
  <c r="L250" i="1"/>
  <c r="D250" i="1"/>
  <c r="C250" i="1"/>
  <c r="B250" i="1"/>
  <c r="D249" i="1"/>
  <c r="C249" i="1"/>
  <c r="B249" i="1"/>
  <c r="H249" i="1"/>
  <c r="K249" i="1"/>
  <c r="L249" i="1"/>
  <c r="E256" i="1" l="1"/>
  <c r="E260" i="1"/>
  <c r="G280" i="1"/>
  <c r="E277" i="1"/>
  <c r="J278" i="1" s="1"/>
  <c r="I280" i="1"/>
  <c r="I281" i="1"/>
  <c r="E268" i="1"/>
  <c r="G268" i="1" s="1"/>
  <c r="E271" i="1"/>
  <c r="G271" i="1" s="1"/>
  <c r="E255" i="1"/>
  <c r="G255" i="1" s="1"/>
  <c r="E249" i="1"/>
  <c r="E250" i="1"/>
  <c r="I250" i="1" s="1"/>
  <c r="E252" i="1"/>
  <c r="I253" i="1" s="1"/>
  <c r="E258" i="1"/>
  <c r="G258" i="1" s="1"/>
  <c r="E259" i="1"/>
  <c r="G259" i="1" s="1"/>
  <c r="E261" i="1"/>
  <c r="J261" i="1" s="1"/>
  <c r="E265" i="1"/>
  <c r="G265" i="1" s="1"/>
  <c r="E266" i="1"/>
  <c r="G266" i="1" s="1"/>
  <c r="E276" i="1"/>
  <c r="I279" i="1"/>
  <c r="E264" i="1"/>
  <c r="G264" i="1" s="1"/>
  <c r="I266" i="1"/>
  <c r="E273" i="1"/>
  <c r="G273" i="1" s="1"/>
  <c r="E270" i="1"/>
  <c r="G270" i="1" s="1"/>
  <c r="E272" i="1"/>
  <c r="G272" i="1" s="1"/>
  <c r="E275" i="1"/>
  <c r="J276" i="1" s="1"/>
  <c r="E251" i="1"/>
  <c r="E254" i="1"/>
  <c r="I254" i="1" s="1"/>
  <c r="E263" i="1"/>
  <c r="I264" i="1" s="1"/>
  <c r="E269" i="1"/>
  <c r="E274" i="1"/>
  <c r="J274" i="1" s="1"/>
  <c r="E267" i="1"/>
  <c r="G267" i="1" s="1"/>
  <c r="J272" i="1"/>
  <c r="I272" i="1"/>
  <c r="G256" i="1"/>
  <c r="I256" i="1"/>
  <c r="G276" i="1"/>
  <c r="G251" i="1"/>
  <c r="G254" i="1"/>
  <c r="J254" i="1"/>
  <c r="J257" i="1"/>
  <c r="I257" i="1"/>
  <c r="G257" i="1"/>
  <c r="G249" i="1"/>
  <c r="G275" i="1"/>
  <c r="J253" i="1"/>
  <c r="I252" i="1"/>
  <c r="G260" i="1"/>
  <c r="I258" i="1"/>
  <c r="J266" i="1"/>
  <c r="G262" i="1"/>
  <c r="J277" i="1" l="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E241" i="1"/>
  <c r="I241" i="1" s="1"/>
  <c r="E242" i="1"/>
  <c r="G229" i="1"/>
  <c r="G231" i="1"/>
  <c r="G237" i="1"/>
  <c r="I238" i="1"/>
  <c r="G239" i="1"/>
  <c r="G232" i="1"/>
  <c r="G234" i="1"/>
  <c r="J235" i="1"/>
  <c r="G235" i="1"/>
  <c r="I235" i="1"/>
  <c r="G243" i="1"/>
  <c r="I243" i="1"/>
  <c r="J244" i="1"/>
  <c r="J239" i="1" l="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E23" i="1"/>
  <c r="E24" i="1"/>
  <c r="G24" i="1" s="1"/>
  <c r="E25" i="1"/>
  <c r="E26" i="1"/>
  <c r="E27" i="1"/>
  <c r="G27" i="1" s="1"/>
  <c r="E28" i="1"/>
  <c r="E29" i="1"/>
  <c r="E30" i="1"/>
  <c r="E31" i="1"/>
  <c r="E32" i="1"/>
  <c r="E33" i="1"/>
  <c r="E34" i="1"/>
  <c r="G34" i="1" s="1"/>
  <c r="E35" i="1"/>
  <c r="E36" i="1"/>
  <c r="E37" i="1"/>
  <c r="E38" i="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G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I22"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220" i="1" s="1"/>
  <c r="I35" i="1"/>
  <c r="I27" i="1"/>
  <c r="E220" i="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26" i="1"/>
  <c r="E196" i="1"/>
  <c r="J196" i="1" s="1"/>
  <c r="E212" i="1"/>
  <c r="G22" i="1"/>
  <c r="I21" i="1"/>
  <c r="J222" i="1"/>
  <c r="A43" i="1"/>
  <c r="A44" i="1" s="1"/>
  <c r="E194" i="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I16" i="1"/>
  <c r="E159" i="1"/>
  <c r="G159" i="1" s="1"/>
  <c r="E165" i="1"/>
  <c r="G165" i="1" s="1"/>
  <c r="E169" i="1"/>
  <c r="E171" i="1"/>
  <c r="G171" i="1" s="1"/>
  <c r="E158" i="1"/>
  <c r="G158" i="1" s="1"/>
  <c r="G9" i="1"/>
  <c r="G16" i="1"/>
  <c r="I17" i="1"/>
  <c r="J15" i="1"/>
  <c r="J13" i="1"/>
  <c r="I12" i="1"/>
  <c r="I10" i="1"/>
  <c r="I8" i="1"/>
  <c r="I46" i="1"/>
  <c r="E139" i="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4" i="1"/>
  <c r="G195" i="1"/>
  <c r="I195" i="1"/>
  <c r="J195" i="1"/>
  <c r="G196" i="1"/>
  <c r="G198" i="1"/>
  <c r="I199" i="1"/>
  <c r="J199" i="1"/>
  <c r="G206" i="1"/>
  <c r="G210" i="1"/>
  <c r="G211" i="1"/>
  <c r="I211" i="1"/>
  <c r="G213" i="1"/>
  <c r="J213" i="1"/>
  <c r="G214" i="1"/>
  <c r="I214" i="1"/>
  <c r="G215" i="1"/>
  <c r="G219" i="1"/>
  <c r="J221" i="1"/>
  <c r="I221" i="1"/>
  <c r="G220" i="1"/>
  <c r="J11" i="1"/>
  <c r="I19" i="1"/>
  <c r="I15" i="1"/>
  <c r="I11" i="1"/>
  <c r="J8" i="1"/>
  <c r="I208" i="1"/>
  <c r="E197" i="1"/>
  <c r="J47" i="1"/>
  <c r="J46" i="1"/>
  <c r="L245" i="1"/>
  <c r="L193" i="1"/>
  <c r="E130" i="1"/>
  <c r="G130" i="1" s="1"/>
  <c r="E128" i="1"/>
  <c r="G128" i="1" s="1"/>
  <c r="E70" i="1"/>
  <c r="G70" i="1" s="1"/>
  <c r="E68" i="1"/>
  <c r="G68" i="1" s="1"/>
  <c r="E66" i="1"/>
  <c r="G66" i="1" s="1"/>
  <c r="E64" i="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G139" i="1"/>
  <c r="E140" i="1"/>
  <c r="I140" i="1" s="1"/>
  <c r="E144" i="1"/>
  <c r="E147" i="1"/>
  <c r="E150" i="1"/>
  <c r="E153" i="1"/>
  <c r="E155" i="1"/>
  <c r="E157" i="1"/>
  <c r="E160" i="1"/>
  <c r="E166" i="1"/>
  <c r="E170" i="1"/>
  <c r="E174" i="1"/>
  <c r="J174" i="1" s="1"/>
  <c r="E176" i="1"/>
  <c r="E177" i="1"/>
  <c r="I177" i="1" s="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G64"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G208" i="1" l="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<sst xmlns="http://schemas.openxmlformats.org/spreadsheetml/2006/main" count="42" uniqueCount="32">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</sst>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0">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Data!$A$418:$A$444</c:f>
              <c:numCache>
                <c:formatCode>mm/dd/yy;@</c:formatCode>
                <c:ptCount val="27"/>
                <c:pt idx="0">
                  <c:v>41517</c:v>
                </c:pt>
                <c:pt idx="1">
                  <c:v>41524</c:v>
                </c:pt>
                <c:pt idx="2">
                  <c:v>41531</c:v>
                </c:pt>
                <c:pt idx="3">
                  <c:v>41538</c:v>
                </c:pt>
                <c:pt idx="4">
                  <c:v>41545</c:v>
                </c:pt>
                <c:pt idx="5">
                  <c:v>41552</c:v>
                </c:pt>
                <c:pt idx="6">
                  <c:v>41559</c:v>
                </c:pt>
                <c:pt idx="7">
                  <c:v>41566</c:v>
                </c:pt>
                <c:pt idx="8">
                  <c:v>41573</c:v>
                </c:pt>
                <c:pt idx="9">
                  <c:v>41580</c:v>
                </c:pt>
                <c:pt idx="10">
                  <c:v>41587</c:v>
                </c:pt>
                <c:pt idx="11">
                  <c:v>41594</c:v>
                </c:pt>
                <c:pt idx="12">
                  <c:v>41601</c:v>
                </c:pt>
                <c:pt idx="13">
                  <c:v>41608</c:v>
                </c:pt>
                <c:pt idx="14">
                  <c:v>41615</c:v>
                </c:pt>
                <c:pt idx="15">
                  <c:v>41622</c:v>
                </c:pt>
                <c:pt idx="16">
                  <c:v>41629</c:v>
                </c:pt>
                <c:pt idx="17">
                  <c:v>41636</c:v>
                </c:pt>
                <c:pt idx="18">
                  <c:v>41643</c:v>
                </c:pt>
                <c:pt idx="19">
                  <c:v>41650</c:v>
                </c:pt>
                <c:pt idx="20">
                  <c:v>41657</c:v>
                </c:pt>
                <c:pt idx="21">
                  <c:v>41664</c:v>
                </c:pt>
                <c:pt idx="22">
                  <c:v>41671</c:v>
                </c:pt>
                <c:pt idx="23">
                  <c:v>41678</c:v>
                </c:pt>
                <c:pt idx="24">
                  <c:v>41685</c:v>
                </c:pt>
                <c:pt idx="25">
                  <c:v>41692</c:v>
                </c:pt>
                <c:pt idx="26">
                  <c:v>41699</c:v>
                </c:pt>
              </c:numCache>
            </c:numRef>
          </c:cat>
          <c:val>
            <c:numRef>
              <c:f>Data!$E$418:$E$444</c:f>
              <c:numCache>
                <c:formatCode>0</c:formatCode>
                <c:ptCount val="27"/>
                <c:pt idx="0">
                  <c:v>89</c:v>
                </c:pt>
                <c:pt idx="1">
                  <c:v>171</c:v>
                </c:pt>
                <c:pt idx="2">
                  <c:v>142</c:v>
                </c:pt>
                <c:pt idx="3">
                  <c:v>189</c:v>
                </c:pt>
                <c:pt idx="4">
                  <c:v>172</c:v>
                </c:pt>
                <c:pt idx="5">
                  <c:v>229</c:v>
                </c:pt>
                <c:pt idx="6">
                  <c:v>279</c:v>
                </c:pt>
                <c:pt idx="7">
                  <c:v>508</c:v>
                </c:pt>
                <c:pt idx="8">
                  <c:v>533</c:v>
                </c:pt>
                <c:pt idx="9">
                  <c:v>549</c:v>
                </c:pt>
                <c:pt idx="10">
                  <c:v>503</c:v>
                </c:pt>
                <c:pt idx="11">
                  <c:v>549</c:v>
                </c:pt>
                <c:pt idx="12">
                  <c:v>603</c:v>
                </c:pt>
                <c:pt idx="13">
                  <c:v>563</c:v>
                </c:pt>
                <c:pt idx="14">
                  <c:v>488</c:v>
                </c:pt>
                <c:pt idx="15">
                  <c:v>533</c:v>
                </c:pt>
                <c:pt idx="16">
                  <c:v>457</c:v>
                </c:pt>
                <c:pt idx="17">
                  <c:v>417</c:v>
                </c:pt>
                <c:pt idx="18">
                  <c:v>358</c:v>
                </c:pt>
                <c:pt idx="19">
                  <c:v>274</c:v>
                </c:pt>
                <c:pt idx="20">
                  <c:v>303</c:v>
                </c:pt>
                <c:pt idx="21">
                  <c:v>480</c:v>
                </c:pt>
                <c:pt idx="22">
                  <c:v>378</c:v>
                </c:pt>
                <c:pt idx="23">
                  <c:v>408</c:v>
                </c:pt>
                <c:pt idx="24">
                  <c:v>342</c:v>
                </c:pt>
                <c:pt idx="25">
                  <c:v>282</c:v>
                </c:pt>
                <c:pt idx="26">
                  <c:v>389</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Data!$A$418:$A$444</c:f>
              <c:numCache>
                <c:formatCode>mm/dd/yy;@</c:formatCode>
                <c:ptCount val="27"/>
                <c:pt idx="0">
                  <c:v>41517</c:v>
                </c:pt>
                <c:pt idx="1">
                  <c:v>41524</c:v>
                </c:pt>
                <c:pt idx="2">
                  <c:v>41531</c:v>
                </c:pt>
                <c:pt idx="3">
                  <c:v>41538</c:v>
                </c:pt>
                <c:pt idx="4">
                  <c:v>41545</c:v>
                </c:pt>
                <c:pt idx="5">
                  <c:v>41552</c:v>
                </c:pt>
                <c:pt idx="6">
                  <c:v>41559</c:v>
                </c:pt>
                <c:pt idx="7">
                  <c:v>41566</c:v>
                </c:pt>
                <c:pt idx="8">
                  <c:v>41573</c:v>
                </c:pt>
                <c:pt idx="9">
                  <c:v>41580</c:v>
                </c:pt>
                <c:pt idx="10">
                  <c:v>41587</c:v>
                </c:pt>
                <c:pt idx="11">
                  <c:v>41594</c:v>
                </c:pt>
                <c:pt idx="12">
                  <c:v>41601</c:v>
                </c:pt>
                <c:pt idx="13">
                  <c:v>41608</c:v>
                </c:pt>
                <c:pt idx="14">
                  <c:v>41615</c:v>
                </c:pt>
                <c:pt idx="15">
                  <c:v>41622</c:v>
                </c:pt>
                <c:pt idx="16">
                  <c:v>41629</c:v>
                </c:pt>
                <c:pt idx="17">
                  <c:v>41636</c:v>
                </c:pt>
                <c:pt idx="18">
                  <c:v>41643</c:v>
                </c:pt>
                <c:pt idx="19">
                  <c:v>41650</c:v>
                </c:pt>
                <c:pt idx="20">
                  <c:v>41657</c:v>
                </c:pt>
                <c:pt idx="21">
                  <c:v>41664</c:v>
                </c:pt>
                <c:pt idx="22">
                  <c:v>41671</c:v>
                </c:pt>
                <c:pt idx="23">
                  <c:v>41678</c:v>
                </c:pt>
                <c:pt idx="24">
                  <c:v>41685</c:v>
                </c:pt>
                <c:pt idx="25">
                  <c:v>41692</c:v>
                </c:pt>
                <c:pt idx="26">
                  <c:v>41699</c:v>
                </c:pt>
              </c:numCache>
            </c:numRef>
          </c:cat>
          <c:val>
            <c:numRef>
              <c:f>Data!$F$418:$F$444</c:f>
              <c:numCache>
                <c:formatCode>0</c:formatCode>
                <c:ptCount val="27"/>
                <c:pt idx="0">
                  <c:v>391</c:v>
                </c:pt>
                <c:pt idx="1">
                  <c:v>462</c:v>
                </c:pt>
                <c:pt idx="2">
                  <c:v>527</c:v>
                </c:pt>
                <c:pt idx="3">
                  <c:v>676</c:v>
                </c:pt>
                <c:pt idx="4">
                  <c:v>680</c:v>
                </c:pt>
                <c:pt idx="5">
                  <c:v>744</c:v>
                </c:pt>
                <c:pt idx="6">
                  <c:v>827</c:v>
                </c:pt>
                <c:pt idx="7">
                  <c:v>780</c:v>
                </c:pt>
                <c:pt idx="8">
                  <c:v>813</c:v>
                </c:pt>
                <c:pt idx="9">
                  <c:v>921</c:v>
                </c:pt>
                <c:pt idx="10">
                  <c:v>934</c:v>
                </c:pt>
                <c:pt idx="11">
                  <c:v>947</c:v>
                </c:pt>
                <c:pt idx="12">
                  <c:v>907</c:v>
                </c:pt>
                <c:pt idx="13">
                  <c:v>839</c:v>
                </c:pt>
                <c:pt idx="14">
                  <c:v>916</c:v>
                </c:pt>
                <c:pt idx="15">
                  <c:v>798</c:v>
                </c:pt>
                <c:pt idx="16">
                  <c:v>871</c:v>
                </c:pt>
                <c:pt idx="17">
                  <c:v>671</c:v>
                </c:pt>
                <c:pt idx="18">
                  <c:v>814</c:v>
                </c:pt>
                <c:pt idx="19">
                  <c:v>749</c:v>
                </c:pt>
                <c:pt idx="20">
                  <c:v>888</c:v>
                </c:pt>
                <c:pt idx="21">
                  <c:v>771</c:v>
                </c:pt>
                <c:pt idx="22">
                  <c:v>682</c:v>
                </c:pt>
                <c:pt idx="23">
                  <c:v>774</c:v>
                </c:pt>
                <c:pt idx="24">
                  <c:v>739</c:v>
                </c:pt>
                <c:pt idx="25">
                  <c:v>819</c:v>
                </c:pt>
                <c:pt idx="26">
                  <c:v>703</c:v>
                </c:pt>
              </c:numCache>
            </c:numRef>
          </c:val>
          <c:smooth val="0"/>
        </c:ser>
        <c:dLbls>
          <c:showLegendKey val="0"/>
          <c:showVal val="0"/>
          <c:showCatName val="0"/>
          <c:showSerName val="0"/>
          <c:showPercent val="0"/>
          <c:showBubbleSize val="0"/>
        </c:dLbls>
        <c:marker val="1"/>
        <c:smooth val="0"/>
        <c:axId val="95054080"/>
        <c:axId val="95060352"/>
      </c:lineChart>
      <c:dateAx>
        <c:axId val="95054080"/>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95060352"/>
        <c:crosses val="autoZero"/>
        <c:auto val="1"/>
        <c:lblOffset val="100"/>
        <c:baseTimeUnit val="days"/>
        <c:majorUnit val="7"/>
        <c:majorTimeUnit val="days"/>
        <c:minorUnit val="1"/>
        <c:minorTimeUnit val="days"/>
      </c:dateAx>
      <c:valAx>
        <c:axId val="95060352"/>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95054080"/>
        <c:crosses val="autoZero"/>
        <c:crossBetween val="between"/>
      </c:valAx>
      <c:spPr>
        <a:solidFill>
          <a:srgbClr val="FFFFFF"/>
        </a:solidFill>
        <a:ln w="12700">
          <a:solidFill>
            <a:srgbClr val="C0C0C0"/>
          </a:solidFill>
          <a:prstDash val="solid"/>
        </a:ln>
      </c:spPr>
    </c:plotArea>
    <c:legend>
      <c:legendPos val="r"/>
      <c:layout>
        <c:manualLayout>
          <c:xMode val="edge"/>
          <c:yMode val="edge"/>
          <c:x val="0.57711186425008076"/>
          <c:y val="0.70106784064001471"/>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3</xdr:row>
      <xdr:rowOff>28752</xdr:rowOff>
    </xdr:from>
    <xdr:to>
      <xdr:col>9</xdr:col>
      <xdr:colOff>64697</xdr:colOff>
      <xdr:row>5</xdr:row>
      <xdr:rowOff>28754</xdr:rowOff>
    </xdr:to>
    <xdr:sp macro="" textlink="">
      <xdr:nvSpPr>
        <xdr:cNvPr id="2050" name="Rectangle 2"/>
        <xdr:cNvSpPr>
          <a:spLocks noChangeArrowheads="1"/>
        </xdr:cNvSpPr>
      </xdr:nvSpPr>
      <xdr:spPr bwMode="auto">
        <a:xfrm>
          <a:off x="603850" y="531960"/>
          <a:ext cx="4802036" cy="330681"/>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March 1: 389 grain barges</a:t>
          </a:r>
          <a:r>
            <a:rPr lang="en-US" sz="900" b="0" i="0" strike="noStrike" baseline="0">
              <a:solidFill>
                <a:srgbClr val="000000"/>
              </a:solidFill>
              <a:latin typeface="Times New Roman"/>
              <a:cs typeface="Times New Roman"/>
            </a:rPr>
            <a:t> moved down river, up 38 percent from the previous week, 703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down 14.2 </a:t>
          </a:r>
          <a:r>
            <a:rPr lang="en-US" sz="900" b="0" i="0" strike="noStrike" baseline="0">
              <a:solidFill>
                <a:srgbClr val="000000"/>
              </a:solidFill>
              <a:latin typeface="Times New Roman"/>
              <a:cs typeface="Times New Roman"/>
            </a:rPr>
            <a:t>percent from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44"/>
  <sheetViews>
    <sheetView zoomScale="86" zoomScaleNormal="86" workbookViewId="0">
      <pane ySplit="6" topLeftCell="A442" activePane="bottomLeft" state="frozen"/>
      <selection pane="bottomLeft" activeCell="F444" sqref="F444"/>
    </sheetView>
  </sheetViews>
  <sheetFormatPr defaultColWidth="9.21875" defaultRowHeight="13.2" x14ac:dyDescent="0.25"/>
  <cols>
    <col min="1" max="1" width="14.77734375" style="2" customWidth="1"/>
    <col min="2" max="2" width="11.77734375" style="3" bestFit="1" customWidth="1"/>
    <col min="3" max="3" width="11.44140625" style="3" bestFit="1" customWidth="1"/>
    <col min="4" max="4" width="12.77734375" style="3" bestFit="1" customWidth="1"/>
    <col min="5" max="5" width="11.21875" style="3" bestFit="1" customWidth="1"/>
    <col min="6" max="6" width="16.21875" style="3" bestFit="1" customWidth="1"/>
    <col min="7" max="7" width="17.77734375" style="3" bestFit="1" customWidth="1"/>
    <col min="8" max="8" width="12.6640625" style="21" bestFit="1" customWidth="1"/>
    <col min="9" max="9" width="11.77734375" style="3" customWidth="1"/>
    <col min="10" max="10" width="14" style="3" bestFit="1" customWidth="1"/>
    <col min="11" max="11" width="14.44140625" bestFit="1" customWidth="1"/>
    <col min="12" max="12" width="12.33203125" style="4" bestFit="1" customWidth="1"/>
    <col min="13" max="13" width="7.33203125" style="2" customWidth="1"/>
    <col min="14" max="14" width="6.44140625" style="2" customWidth="1"/>
    <col min="15" max="15" width="13.77734375" style="2" customWidth="1"/>
    <col min="16" max="18" width="9.21875" style="2"/>
    <col min="19" max="19" width="11.5546875" style="2" bestFit="1" customWidth="1"/>
    <col min="20" max="16384" width="9.21875" style="2"/>
  </cols>
  <sheetData>
    <row r="1" spans="1:13" ht="29.25" customHeight="1" x14ac:dyDescent="0.3">
      <c r="A1" s="48" t="s">
        <v>21</v>
      </c>
      <c r="B1" s="48"/>
      <c r="C1" s="48"/>
      <c r="D1" s="48"/>
      <c r="E1" s="48"/>
      <c r="F1" s="48"/>
      <c r="G1" s="48"/>
      <c r="H1" s="38"/>
      <c r="I1" s="28"/>
      <c r="J1" s="28"/>
      <c r="K1" s="28"/>
    </row>
    <row r="2" spans="1:13" x14ac:dyDescent="0.25">
      <c r="A2" s="49" t="s">
        <v>22</v>
      </c>
      <c r="B2" s="49"/>
      <c r="C2" s="49"/>
      <c r="D2" s="49"/>
      <c r="E2" s="49"/>
      <c r="F2" s="49"/>
      <c r="G2" s="49"/>
      <c r="H2" s="49"/>
      <c r="I2" s="49"/>
      <c r="J2" s="49"/>
      <c r="K2" s="49"/>
    </row>
    <row r="3" spans="1:13" x14ac:dyDescent="0.25">
      <c r="A3" s="49"/>
      <c r="B3" s="49"/>
      <c r="C3" s="49"/>
      <c r="D3" s="49"/>
      <c r="E3" s="49"/>
      <c r="F3" s="49"/>
      <c r="G3" s="49"/>
      <c r="H3" s="49"/>
      <c r="I3" s="49"/>
      <c r="J3" s="49"/>
      <c r="K3" s="49"/>
    </row>
    <row r="4" spans="1:13" ht="15.75" customHeight="1" x14ac:dyDescent="0.25">
      <c r="A4" s="29"/>
      <c r="B4" s="29"/>
      <c r="C4" s="29"/>
      <c r="D4" s="29"/>
      <c r="E4" s="29"/>
      <c r="F4" s="29"/>
      <c r="G4" s="29"/>
      <c r="H4" s="39"/>
      <c r="I4" s="29"/>
      <c r="J4" s="29"/>
      <c r="K4" s="29"/>
    </row>
    <row r="5" spans="1:13" ht="15.75" customHeight="1" x14ac:dyDescent="0.3">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3.8" x14ac:dyDescent="0.25">
      <c r="A7" s="26">
        <v>38640</v>
      </c>
      <c r="B7" s="34">
        <v>267</v>
      </c>
      <c r="C7" s="3">
        <v>48</v>
      </c>
      <c r="D7" s="3">
        <v>95</v>
      </c>
      <c r="E7" s="13">
        <f t="shared" ref="E7:E21" si="0">SUM(B7:D7)</f>
        <v>410</v>
      </c>
      <c r="F7" s="13">
        <v>765</v>
      </c>
      <c r="G7" s="3">
        <f>F7-E7</f>
        <v>355</v>
      </c>
      <c r="I7" s="4"/>
      <c r="L7" s="3"/>
    </row>
    <row r="8" spans="1:13" ht="13.8" x14ac:dyDescent="0.25">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3.8" x14ac:dyDescent="0.25">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3.8" x14ac:dyDescent="0.25">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3.8" x14ac:dyDescent="0.25">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3.8" x14ac:dyDescent="0.25">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3.8" x14ac:dyDescent="0.25">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3.8" x14ac:dyDescent="0.25">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3.8" x14ac:dyDescent="0.25">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3.8" x14ac:dyDescent="0.25">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3.8" x14ac:dyDescent="0.25">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3.8" x14ac:dyDescent="0.25">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3.8" x14ac:dyDescent="0.25">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3.8" x14ac:dyDescent="0.25">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3.8" x14ac:dyDescent="0.25">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3.8" x14ac:dyDescent="0.25">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3.8" x14ac:dyDescent="0.25">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3.8" x14ac:dyDescent="0.25">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3.8" x14ac:dyDescent="0.25">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3.8" x14ac:dyDescent="0.25">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3.8" x14ac:dyDescent="0.25">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3.8" x14ac:dyDescent="0.25">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3.8" x14ac:dyDescent="0.25">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3.8" x14ac:dyDescent="0.25">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3.8" x14ac:dyDescent="0.25">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3.8" x14ac:dyDescent="0.25">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3.8" x14ac:dyDescent="0.25">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3.8" x14ac:dyDescent="0.25">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3.8" x14ac:dyDescent="0.25">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3.8" x14ac:dyDescent="0.25">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3.8" x14ac:dyDescent="0.25">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3.8" x14ac:dyDescent="0.25">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3.8" x14ac:dyDescent="0.25">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3.8" x14ac:dyDescent="0.25">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3.8" x14ac:dyDescent="0.25">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3.8" x14ac:dyDescent="0.25">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3.8" x14ac:dyDescent="0.25">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3.8" x14ac:dyDescent="0.25">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3.8" x14ac:dyDescent="0.25">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3.8" x14ac:dyDescent="0.25">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3.8" x14ac:dyDescent="0.25">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3.8" x14ac:dyDescent="0.25">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3.8" x14ac:dyDescent="0.25">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3.8" x14ac:dyDescent="0.25">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3.8" x14ac:dyDescent="0.25">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3.8" x14ac:dyDescent="0.25">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3.8" x14ac:dyDescent="0.25">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3.8" x14ac:dyDescent="0.25">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3.8" x14ac:dyDescent="0.25">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3.8" x14ac:dyDescent="0.25">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3.8" x14ac:dyDescent="0.25">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3.8" x14ac:dyDescent="0.25">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3.8" x14ac:dyDescent="0.25">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3.8" x14ac:dyDescent="0.25">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3.8" x14ac:dyDescent="0.25">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3.8" x14ac:dyDescent="0.25">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3.8" x14ac:dyDescent="0.25">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3.8" x14ac:dyDescent="0.25">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3.8" x14ac:dyDescent="0.25">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3.8" x14ac:dyDescent="0.25">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3.8" x14ac:dyDescent="0.25">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3.8" x14ac:dyDescent="0.25">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3.8" x14ac:dyDescent="0.25">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3.8" x14ac:dyDescent="0.25">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3.8" x14ac:dyDescent="0.25">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3.8" x14ac:dyDescent="0.25">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3.8" x14ac:dyDescent="0.25">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3.8" x14ac:dyDescent="0.25">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3.8" x14ac:dyDescent="0.25">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3.8" x14ac:dyDescent="0.25">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3.8" x14ac:dyDescent="0.25">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3.8" x14ac:dyDescent="0.25">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3.8" x14ac:dyDescent="0.25">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3.8" x14ac:dyDescent="0.25">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3.8" x14ac:dyDescent="0.25">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3.8" x14ac:dyDescent="0.25">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3.8" x14ac:dyDescent="0.25">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3.8" x14ac:dyDescent="0.25">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3.8" x14ac:dyDescent="0.25">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3.8" x14ac:dyDescent="0.25">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3.8" x14ac:dyDescent="0.25">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3.8" x14ac:dyDescent="0.25">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3.8" x14ac:dyDescent="0.25">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3.8" x14ac:dyDescent="0.25">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3.8" x14ac:dyDescent="0.25">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3.8" x14ac:dyDescent="0.25">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3.8" x14ac:dyDescent="0.25">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3.8" x14ac:dyDescent="0.25">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3.8" x14ac:dyDescent="0.25">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3.8" x14ac:dyDescent="0.25">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3.8" x14ac:dyDescent="0.25">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3.8" x14ac:dyDescent="0.25">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3.8" x14ac:dyDescent="0.25">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3.8" x14ac:dyDescent="0.25">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3.8" x14ac:dyDescent="0.25">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3.8" x14ac:dyDescent="0.25">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3.8" x14ac:dyDescent="0.25">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3.8" x14ac:dyDescent="0.25">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3.8" x14ac:dyDescent="0.25">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3.8" x14ac:dyDescent="0.25">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3.8" x14ac:dyDescent="0.25">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3.8" x14ac:dyDescent="0.25">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3.8" x14ac:dyDescent="0.25">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3.8" x14ac:dyDescent="0.25">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3.8" x14ac:dyDescent="0.25">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3.8" x14ac:dyDescent="0.25">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3.8" x14ac:dyDescent="0.25">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3.8" x14ac:dyDescent="0.25">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3.8" x14ac:dyDescent="0.25">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3.8" x14ac:dyDescent="0.25">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3.8" x14ac:dyDescent="0.25">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3.8" x14ac:dyDescent="0.25">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3.8" x14ac:dyDescent="0.25">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3.8" x14ac:dyDescent="0.25">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3.8" x14ac:dyDescent="0.25">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3.8" x14ac:dyDescent="0.25">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3.8" x14ac:dyDescent="0.25">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3.8" x14ac:dyDescent="0.25">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3.8" x14ac:dyDescent="0.25">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3.8" x14ac:dyDescent="0.25">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3.8" x14ac:dyDescent="0.25">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3.8" x14ac:dyDescent="0.25">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3.8" x14ac:dyDescent="0.25">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3.8" x14ac:dyDescent="0.25">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3.8" x14ac:dyDescent="0.25">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3.8" x14ac:dyDescent="0.25">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3.8" x14ac:dyDescent="0.25">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3.8" x14ac:dyDescent="0.25">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3.8" x14ac:dyDescent="0.25">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3.8" x14ac:dyDescent="0.25">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3.8" x14ac:dyDescent="0.25">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3.8" x14ac:dyDescent="0.25">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3.8" x14ac:dyDescent="0.25">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3.8" x14ac:dyDescent="0.25">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3.8" x14ac:dyDescent="0.25">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3.8" x14ac:dyDescent="0.25">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3.8" x14ac:dyDescent="0.25">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3.8" x14ac:dyDescent="0.25">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3.8" x14ac:dyDescent="0.25">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3.8" x14ac:dyDescent="0.25">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3.8" x14ac:dyDescent="0.25">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3.8" x14ac:dyDescent="0.25">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3.8" x14ac:dyDescent="0.25">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3.8" x14ac:dyDescent="0.25">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3.8" x14ac:dyDescent="0.25">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3.8" x14ac:dyDescent="0.25">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3.8" x14ac:dyDescent="0.25">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3.8" x14ac:dyDescent="0.25">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3.8" x14ac:dyDescent="0.25">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3.8" x14ac:dyDescent="0.25">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3.8" x14ac:dyDescent="0.25">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3.8" x14ac:dyDescent="0.25">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3.8" x14ac:dyDescent="0.25">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3.8" x14ac:dyDescent="0.25">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3.8" x14ac:dyDescent="0.25">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3.8" x14ac:dyDescent="0.25">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3.8" x14ac:dyDescent="0.25">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3.8" x14ac:dyDescent="0.25">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3.8" x14ac:dyDescent="0.25">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3.8" x14ac:dyDescent="0.25">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3.8" x14ac:dyDescent="0.25">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3.8" x14ac:dyDescent="0.25">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3.8" x14ac:dyDescent="0.25">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3.8" x14ac:dyDescent="0.25">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3.8" x14ac:dyDescent="0.25">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3.8" x14ac:dyDescent="0.25">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3.8" x14ac:dyDescent="0.25">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3.8" x14ac:dyDescent="0.25">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3.8" x14ac:dyDescent="0.25">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3.8" x14ac:dyDescent="0.25">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3.8" x14ac:dyDescent="0.25">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3.8" x14ac:dyDescent="0.25">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3.8" x14ac:dyDescent="0.25">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3.8" x14ac:dyDescent="0.25">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3.8" x14ac:dyDescent="0.25">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3.8" x14ac:dyDescent="0.25">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3.8" x14ac:dyDescent="0.25">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3.8" x14ac:dyDescent="0.25">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3.8" x14ac:dyDescent="0.25">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3.8" x14ac:dyDescent="0.25">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3.8" x14ac:dyDescent="0.25">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3.8" x14ac:dyDescent="0.25">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3.8" x14ac:dyDescent="0.25">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3.8" x14ac:dyDescent="0.25">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3.8" x14ac:dyDescent="0.25">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3.8" x14ac:dyDescent="0.25">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3.8" x14ac:dyDescent="0.25">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3.8" x14ac:dyDescent="0.25">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3.8" x14ac:dyDescent="0.25">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3.8" x14ac:dyDescent="0.25">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3.8" x14ac:dyDescent="0.25">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3.8" x14ac:dyDescent="0.25">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3.8" x14ac:dyDescent="0.25">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3.8" x14ac:dyDescent="0.25">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3.8" x14ac:dyDescent="0.25">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3.8" x14ac:dyDescent="0.25">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3.8" x14ac:dyDescent="0.25">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3.8" x14ac:dyDescent="0.25">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3.8" x14ac:dyDescent="0.25">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3.8" x14ac:dyDescent="0.25">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3.8" x14ac:dyDescent="0.25">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3.8" x14ac:dyDescent="0.25">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3.8" x14ac:dyDescent="0.25">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3.8" x14ac:dyDescent="0.25">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3.8" x14ac:dyDescent="0.25">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3.8" x14ac:dyDescent="0.25">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3.8" x14ac:dyDescent="0.25">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3.8" x14ac:dyDescent="0.25">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3.8" x14ac:dyDescent="0.25">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3.8" x14ac:dyDescent="0.25">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3.8" x14ac:dyDescent="0.25">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3.8" x14ac:dyDescent="0.25">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3.8" x14ac:dyDescent="0.25">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3.8" x14ac:dyDescent="0.25">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3.8" x14ac:dyDescent="0.25">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3.8" x14ac:dyDescent="0.25">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3.8" x14ac:dyDescent="0.25">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3.8" x14ac:dyDescent="0.25">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3.8" x14ac:dyDescent="0.25">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3.8" x14ac:dyDescent="0.25">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3.8" x14ac:dyDescent="0.25">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3.8" x14ac:dyDescent="0.25">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3.8" x14ac:dyDescent="0.25">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3.8" x14ac:dyDescent="0.25">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3.8" x14ac:dyDescent="0.25">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3.8" x14ac:dyDescent="0.25">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3.8" x14ac:dyDescent="0.25">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3.8" x14ac:dyDescent="0.25">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3.8" x14ac:dyDescent="0.25">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3.8" x14ac:dyDescent="0.25">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3.8" x14ac:dyDescent="0.25">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3.8" x14ac:dyDescent="0.25">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3.8" x14ac:dyDescent="0.25">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3.8" x14ac:dyDescent="0.25">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3.8" x14ac:dyDescent="0.25">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3.8" x14ac:dyDescent="0.25">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3.8" x14ac:dyDescent="0.25">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3.8" x14ac:dyDescent="0.25">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3.8" x14ac:dyDescent="0.25">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3.8" x14ac:dyDescent="0.25">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3.8" x14ac:dyDescent="0.25">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3.8" x14ac:dyDescent="0.25">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3.8" x14ac:dyDescent="0.25">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3.8" x14ac:dyDescent="0.25">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3.8" x14ac:dyDescent="0.25">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3.8" x14ac:dyDescent="0.25">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3.8" x14ac:dyDescent="0.25">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3.8" x14ac:dyDescent="0.25">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3.8" x14ac:dyDescent="0.25">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3.8" x14ac:dyDescent="0.25">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3.8" x14ac:dyDescent="0.25">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3.8" x14ac:dyDescent="0.25">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3.8" x14ac:dyDescent="0.25">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3.8" x14ac:dyDescent="0.25">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3.8" x14ac:dyDescent="0.25">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3.8" x14ac:dyDescent="0.25">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3.8" x14ac:dyDescent="0.25">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3.8" x14ac:dyDescent="0.25">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3.8" x14ac:dyDescent="0.25">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3.8" x14ac:dyDescent="0.25">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3.8" x14ac:dyDescent="0.25">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3.8" x14ac:dyDescent="0.25">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3.8" x14ac:dyDescent="0.25">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3.8" x14ac:dyDescent="0.25">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3.8" x14ac:dyDescent="0.25">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3.8" x14ac:dyDescent="0.25">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3.8" x14ac:dyDescent="0.25">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3.8" x14ac:dyDescent="0.25">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3.8" x14ac:dyDescent="0.25">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3.8" x14ac:dyDescent="0.25">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3.8" x14ac:dyDescent="0.25">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3.8" x14ac:dyDescent="0.25">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3.8" x14ac:dyDescent="0.25">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3.8" x14ac:dyDescent="0.25">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3.8" x14ac:dyDescent="0.25">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3.8" x14ac:dyDescent="0.25">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3.8" x14ac:dyDescent="0.25">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3.8" x14ac:dyDescent="0.25">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3.8" x14ac:dyDescent="0.25">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3.8" x14ac:dyDescent="0.25">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3.8" x14ac:dyDescent="0.25">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3.8" x14ac:dyDescent="0.25">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3.8" x14ac:dyDescent="0.25">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3.8" x14ac:dyDescent="0.25">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3.8" x14ac:dyDescent="0.25">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3.8" x14ac:dyDescent="0.25">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3.8" x14ac:dyDescent="0.25">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3.8" x14ac:dyDescent="0.25">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3.8" x14ac:dyDescent="0.25">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3.8" x14ac:dyDescent="0.25">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3.8" x14ac:dyDescent="0.25">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3.8" x14ac:dyDescent="0.25">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3.8" x14ac:dyDescent="0.25">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3.8" x14ac:dyDescent="0.25">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3.8" x14ac:dyDescent="0.25">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3.8" x14ac:dyDescent="0.25">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3.8" x14ac:dyDescent="0.25">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3.8" x14ac:dyDescent="0.25">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3.8" x14ac:dyDescent="0.25">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3.8" x14ac:dyDescent="0.25">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3.8" x14ac:dyDescent="0.25">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3.8" x14ac:dyDescent="0.25">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3.8" x14ac:dyDescent="0.25">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3.8" x14ac:dyDescent="0.25">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3.8" x14ac:dyDescent="0.25">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3.8" x14ac:dyDescent="0.25">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3.8" x14ac:dyDescent="0.25">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3.8" x14ac:dyDescent="0.25">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3.8" x14ac:dyDescent="0.25">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3.8" x14ac:dyDescent="0.25">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3.8" x14ac:dyDescent="0.25">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3.8" x14ac:dyDescent="0.25">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3.8" x14ac:dyDescent="0.25">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3.8" x14ac:dyDescent="0.25">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3.8" x14ac:dyDescent="0.25">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3.8" x14ac:dyDescent="0.25">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3.8" x14ac:dyDescent="0.25">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3.8" x14ac:dyDescent="0.25">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3.8" x14ac:dyDescent="0.25">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3.8" x14ac:dyDescent="0.25">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3.8" x14ac:dyDescent="0.25">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3.8" x14ac:dyDescent="0.25">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3.8" x14ac:dyDescent="0.25">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3.8" x14ac:dyDescent="0.25">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3.8" x14ac:dyDescent="0.25">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3.8" x14ac:dyDescent="0.25">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3.8" x14ac:dyDescent="0.25">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3.8" x14ac:dyDescent="0.25">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3.8" x14ac:dyDescent="0.25">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3.8" x14ac:dyDescent="0.25">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3.8" x14ac:dyDescent="0.25">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3.8" x14ac:dyDescent="0.25">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3.8" x14ac:dyDescent="0.25">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3.8" x14ac:dyDescent="0.25">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3.8" x14ac:dyDescent="0.25">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3.8" x14ac:dyDescent="0.25">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3.8" x14ac:dyDescent="0.25">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3.8" x14ac:dyDescent="0.25">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3.8" x14ac:dyDescent="0.25">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3.8" x14ac:dyDescent="0.25">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4" thickBot="1" x14ac:dyDescent="0.3">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3.8" x14ac:dyDescent="0.25">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4" thickBot="1" x14ac:dyDescent="0.3">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3.8" x14ac:dyDescent="0.25">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3.8" x14ac:dyDescent="0.25">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3.8" x14ac:dyDescent="0.25">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3.8" x14ac:dyDescent="0.25">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4" thickBot="1" x14ac:dyDescent="0.3">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3.8" x14ac:dyDescent="0.25">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3.8" x14ac:dyDescent="0.25">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3.8" x14ac:dyDescent="0.25">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3.8" x14ac:dyDescent="0.25">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3.8" x14ac:dyDescent="0.25">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3.8" x14ac:dyDescent="0.25">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3.8" x14ac:dyDescent="0.25">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3.8" x14ac:dyDescent="0.25">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3.8" x14ac:dyDescent="0.25">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3.8" x14ac:dyDescent="0.25">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3.8" x14ac:dyDescent="0.25">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3.8" x14ac:dyDescent="0.25">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3.8" x14ac:dyDescent="0.25">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3.8" x14ac:dyDescent="0.25">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3.8" x14ac:dyDescent="0.25">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3.8" x14ac:dyDescent="0.25">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3.8" x14ac:dyDescent="0.25">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3.8" x14ac:dyDescent="0.25">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3.8" x14ac:dyDescent="0.25">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3.8" x14ac:dyDescent="0.25">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3.8" x14ac:dyDescent="0.25">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3.8" x14ac:dyDescent="0.25">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3.8" x14ac:dyDescent="0.25">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3.8" x14ac:dyDescent="0.25">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3.8" x14ac:dyDescent="0.25">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3.8" x14ac:dyDescent="0.25">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3.8" x14ac:dyDescent="0.25">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3.8" x14ac:dyDescent="0.25">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3.8" x14ac:dyDescent="0.25">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3.8" x14ac:dyDescent="0.25">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3.8" x14ac:dyDescent="0.25">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3.8" x14ac:dyDescent="0.25">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3.8" x14ac:dyDescent="0.25">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3.8" x14ac:dyDescent="0.25">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3.8" x14ac:dyDescent="0.25">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3.8" x14ac:dyDescent="0.25">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3.8" x14ac:dyDescent="0.25">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3.8" x14ac:dyDescent="0.25">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3.8" x14ac:dyDescent="0.25">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3.8" x14ac:dyDescent="0.25">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3.8" x14ac:dyDescent="0.25">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3.8" x14ac:dyDescent="0.25">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3.8" x14ac:dyDescent="0.25">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3.8" x14ac:dyDescent="0.25">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3.8" x14ac:dyDescent="0.25">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3.8" x14ac:dyDescent="0.25">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3.8" x14ac:dyDescent="0.25">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3.8" x14ac:dyDescent="0.25">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3.8" x14ac:dyDescent="0.25">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3.8" x14ac:dyDescent="0.25">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3.8" x14ac:dyDescent="0.25">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3.8" x14ac:dyDescent="0.25">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3.8" x14ac:dyDescent="0.25">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3.8" x14ac:dyDescent="0.25">
      <c r="A408" s="27">
        <f t="shared" si="1081"/>
        <v>41447</v>
      </c>
      <c r="B408" s="3">
        <f>17+174+42</f>
        <v>233</v>
      </c>
      <c r="C408" s="3">
        <v>36</v>
      </c>
      <c r="D408" s="3">
        <v>58</v>
      </c>
      <c r="E408" s="36">
        <f t="shared" ref="E408:E444"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3.8" x14ac:dyDescent="0.25">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3.8" x14ac:dyDescent="0.25">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3.8" x14ac:dyDescent="0.25">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3.8" x14ac:dyDescent="0.25">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3.8" x14ac:dyDescent="0.25">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3.8" x14ac:dyDescent="0.25">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3.8" x14ac:dyDescent="0.25">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3.8" x14ac:dyDescent="0.25">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3.8" x14ac:dyDescent="0.25">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3.8" x14ac:dyDescent="0.25">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3.8" x14ac:dyDescent="0.25">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3.8" x14ac:dyDescent="0.25">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3.8" x14ac:dyDescent="0.25">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3.8" x14ac:dyDescent="0.25">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3.8" x14ac:dyDescent="0.25">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3.8" x14ac:dyDescent="0.25">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3.8" x14ac:dyDescent="0.25">
      <c r="A425" s="27">
        <f t="shared" ref="A425:A444"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3.8" x14ac:dyDescent="0.25">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3.8" x14ac:dyDescent="0.25">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3.8" x14ac:dyDescent="0.25">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3.8" x14ac:dyDescent="0.25">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3.8" x14ac:dyDescent="0.25">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3.8" x14ac:dyDescent="0.25">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3.8" x14ac:dyDescent="0.25">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12" ht="13.8" x14ac:dyDescent="0.25">
      <c r="A433" s="27">
        <f t="shared" si="1412"/>
        <v>41622</v>
      </c>
      <c r="B433" s="3">
        <v>331</v>
      </c>
      <c r="C433" s="3">
        <v>39</v>
      </c>
      <c r="D433" s="3">
        <v>163</v>
      </c>
      <c r="E433" s="36">
        <f t="shared" si="1316"/>
        <v>533</v>
      </c>
      <c r="F433" s="36">
        <v>798</v>
      </c>
      <c r="G433" s="3">
        <f t="shared" ref="G433" si="1461">F433-E433</f>
        <v>265</v>
      </c>
      <c r="H433" s="21">
        <f t="shared" ref="H433" si="1462">(F433-F432)/F432</f>
        <v>-0.12882096069868995</v>
      </c>
      <c r="I433" s="21">
        <f t="shared" ref="I433" si="1463">(E433-E432)/E432</f>
        <v>9.2213114754098366E-2</v>
      </c>
      <c r="J433" s="3">
        <f t="shared" ref="J433" si="1464">E433-E432</f>
        <v>45</v>
      </c>
      <c r="K433" s="16">
        <f t="shared" ref="K433" si="1465">(F433-F381)/F381</f>
        <v>0.25867507886435331</v>
      </c>
      <c r="L433" s="3">
        <f t="shared" ref="L433" si="1466">AVERAGE(F277,F329,F381)</f>
        <v>674.33333333333337</v>
      </c>
    </row>
    <row r="434" spans="1:12" ht="13.8" x14ac:dyDescent="0.25">
      <c r="A434" s="27">
        <f t="shared" si="1412"/>
        <v>41629</v>
      </c>
      <c r="B434" s="3">
        <f>4+123+2+140</f>
        <v>269</v>
      </c>
      <c r="C434" s="3">
        <f>6+34</f>
        <v>40</v>
      </c>
      <c r="D434" s="3">
        <f>7+80+3+58</f>
        <v>148</v>
      </c>
      <c r="E434" s="36">
        <f t="shared" si="1316"/>
        <v>457</v>
      </c>
      <c r="F434" s="36">
        <v>871</v>
      </c>
      <c r="G434" s="3">
        <f t="shared" ref="G434" si="1467">F434-E434</f>
        <v>414</v>
      </c>
      <c r="H434" s="21">
        <f t="shared" ref="H434" si="1468">(F434-F433)/F433</f>
        <v>9.1478696741854632E-2</v>
      </c>
      <c r="I434" s="21">
        <f t="shared" ref="I434" si="1469">(E434-E433)/E433</f>
        <v>-0.14258911819887429</v>
      </c>
      <c r="J434" s="3">
        <f t="shared" ref="J434" si="1470">E434-E433</f>
        <v>-76</v>
      </c>
      <c r="K434" s="16">
        <f t="shared" ref="K434" si="1471">(F434-F382)/F382</f>
        <v>0.25143678160919541</v>
      </c>
      <c r="L434" s="3">
        <f t="shared" ref="L434" si="1472">AVERAGE(F278,F330,F382)</f>
        <v>650</v>
      </c>
    </row>
    <row r="435" spans="1:12" ht="13.8" x14ac:dyDescent="0.25">
      <c r="A435" s="27">
        <f t="shared" si="1412"/>
        <v>41636</v>
      </c>
      <c r="B435" s="3">
        <f>3+56+7+136</f>
        <v>202</v>
      </c>
      <c r="C435" s="3">
        <f>9+0+31</f>
        <v>40</v>
      </c>
      <c r="D435" s="3">
        <f>2+78+0+5+90</f>
        <v>175</v>
      </c>
      <c r="E435" s="36">
        <f t="shared" si="1316"/>
        <v>417</v>
      </c>
      <c r="F435" s="36">
        <v>671</v>
      </c>
      <c r="G435" s="3">
        <f t="shared" ref="G435" si="1473">F435-E435</f>
        <v>254</v>
      </c>
      <c r="H435" s="21">
        <f t="shared" ref="H435" si="1474">(F435-F434)/F434</f>
        <v>-0.22962112514351321</v>
      </c>
      <c r="I435" s="21">
        <f t="shared" ref="I435" si="1475">(E435-E434)/E434</f>
        <v>-8.7527352297592995E-2</v>
      </c>
      <c r="J435" s="3">
        <f t="shared" ref="J435" si="1476">E435-E434</f>
        <v>-40</v>
      </c>
      <c r="K435" s="16">
        <f t="shared" ref="K435" si="1477">(F435-F383)/F383</f>
        <v>0.11833333333333333</v>
      </c>
      <c r="L435" s="3">
        <f t="shared" ref="L435" si="1478">AVERAGE(F279,F331,F383)</f>
        <v>527.33333333333337</v>
      </c>
    </row>
    <row r="436" spans="1:12" ht="13.8" x14ac:dyDescent="0.25">
      <c r="A436" s="27">
        <f t="shared" si="1412"/>
        <v>41643</v>
      </c>
      <c r="B436" s="3">
        <f>2+46+134</f>
        <v>182</v>
      </c>
      <c r="C436" s="3">
        <f>6+1+24</f>
        <v>31</v>
      </c>
      <c r="D436" s="3">
        <f>5+67+2+71</f>
        <v>145</v>
      </c>
      <c r="E436" s="36">
        <f t="shared" si="1316"/>
        <v>358</v>
      </c>
      <c r="F436" s="36">
        <v>814</v>
      </c>
      <c r="G436" s="3">
        <f t="shared" ref="G436" si="1479">F436-E436</f>
        <v>456</v>
      </c>
      <c r="H436" s="21">
        <f t="shared" ref="H436" si="1480">(F436-F435)/F435</f>
        <v>0.21311475409836064</v>
      </c>
      <c r="I436" s="21">
        <f t="shared" ref="I436" si="1481">(E436-E435)/E435</f>
        <v>-0.14148681055155876</v>
      </c>
      <c r="J436" s="3">
        <f t="shared" ref="J436" si="1482">E436-E435</f>
        <v>-59</v>
      </c>
      <c r="K436" s="16">
        <f t="shared" ref="K436" si="1483">(F436-F384)/F384</f>
        <v>0.90632318501170961</v>
      </c>
      <c r="L436" s="3">
        <f t="shared" ref="L436" si="1484">AVERAGE(F280,F332,F384)</f>
        <v>587.33333333333337</v>
      </c>
    </row>
    <row r="437" spans="1:12" ht="13.8" x14ac:dyDescent="0.25">
      <c r="A437" s="27">
        <f t="shared" si="1412"/>
        <v>41650</v>
      </c>
      <c r="B437" s="3">
        <f>3+25+3+48</f>
        <v>79</v>
      </c>
      <c r="C437" s="3">
        <f>3+16</f>
        <v>19</v>
      </c>
      <c r="D437" s="3">
        <f>15+66+2+93</f>
        <v>176</v>
      </c>
      <c r="E437" s="36">
        <f t="shared" si="1316"/>
        <v>274</v>
      </c>
      <c r="F437" s="36">
        <v>749</v>
      </c>
      <c r="G437" s="3">
        <f t="shared" ref="G437" si="1485">F437-E437</f>
        <v>475</v>
      </c>
      <c r="H437" s="21">
        <f t="shared" ref="H437" si="1486">(F437-F436)/F436</f>
        <v>-7.9852579852579847E-2</v>
      </c>
      <c r="I437" s="21">
        <f t="shared" ref="I437" si="1487">(E437-E436)/E436</f>
        <v>-0.23463687150837989</v>
      </c>
      <c r="J437" s="3">
        <f t="shared" ref="J437" si="1488">E437-E436</f>
        <v>-84</v>
      </c>
      <c r="K437" s="16">
        <f t="shared" ref="K437" si="1489">(F437-F385)/F385</f>
        <v>0.47151277013752457</v>
      </c>
      <c r="L437" s="3">
        <f t="shared" ref="L437" si="1490">AVERAGE(F281,F333,F385)</f>
        <v>640</v>
      </c>
    </row>
    <row r="438" spans="1:12" ht="13.8" x14ac:dyDescent="0.25">
      <c r="A438" s="27">
        <f t="shared" si="1412"/>
        <v>41657</v>
      </c>
      <c r="B438" s="3">
        <f>19+62</f>
        <v>81</v>
      </c>
      <c r="C438" s="3">
        <f>10+1+34</f>
        <v>45</v>
      </c>
      <c r="D438" s="3">
        <f>2+83+7+85</f>
        <v>177</v>
      </c>
      <c r="E438" s="36">
        <f t="shared" si="1316"/>
        <v>303</v>
      </c>
      <c r="F438" s="36">
        <v>888</v>
      </c>
      <c r="G438" s="3">
        <f t="shared" ref="G438" si="1491">F438-E438</f>
        <v>585</v>
      </c>
      <c r="H438" s="21">
        <f t="shared" ref="H438" si="1492">(F438-F437)/F437</f>
        <v>0.1855807743658211</v>
      </c>
      <c r="I438" s="21">
        <f t="shared" ref="I438" si="1493">(E438-E437)/E437</f>
        <v>0.10583941605839416</v>
      </c>
      <c r="J438" s="3">
        <f t="shared" ref="J438" si="1494">E438-E437</f>
        <v>29</v>
      </c>
      <c r="K438" s="16">
        <f t="shared" ref="K438" si="1495">(F438-F386)/F386</f>
        <v>0.55244755244755239</v>
      </c>
      <c r="L438" s="3">
        <f t="shared" ref="L438" si="1496">AVERAGE(F282,F334,F386)</f>
        <v>651.33333333333337</v>
      </c>
    </row>
    <row r="439" spans="1:12" ht="13.8" x14ac:dyDescent="0.25">
      <c r="A439" s="27">
        <f t="shared" si="1412"/>
        <v>41664</v>
      </c>
      <c r="B439" s="3">
        <f>4+33+145</f>
        <v>182</v>
      </c>
      <c r="C439" s="3">
        <f>5+32</f>
        <v>37</v>
      </c>
      <c r="D439" s="3">
        <f>105+156</f>
        <v>261</v>
      </c>
      <c r="E439" s="36">
        <f t="shared" si="1316"/>
        <v>480</v>
      </c>
      <c r="F439" s="36">
        <v>771</v>
      </c>
      <c r="G439" s="3">
        <f t="shared" ref="G439" si="1497">F439-E439</f>
        <v>291</v>
      </c>
      <c r="H439" s="21">
        <f t="shared" ref="H439" si="1498">(F439-F438)/F438</f>
        <v>-0.13175675675675674</v>
      </c>
      <c r="I439" s="21">
        <f t="shared" ref="I439" si="1499">(E439-E438)/E438</f>
        <v>0.58415841584158412</v>
      </c>
      <c r="J439" s="3">
        <f t="shared" ref="J439" si="1500">E439-E438</f>
        <v>177</v>
      </c>
      <c r="K439" s="16">
        <f t="shared" ref="K439" si="1501">(F439-F387)/F387</f>
        <v>0.19906687402799378</v>
      </c>
      <c r="L439" s="3">
        <f t="shared" ref="L439" si="1502">AVERAGE(F283,F335,F387)</f>
        <v>712.33333333333337</v>
      </c>
    </row>
    <row r="440" spans="1:12" ht="13.8" x14ac:dyDescent="0.25">
      <c r="A440" s="27">
        <f t="shared" si="1412"/>
        <v>41671</v>
      </c>
      <c r="B440" s="3">
        <f>1+45+117</f>
        <v>163</v>
      </c>
      <c r="C440" s="3">
        <f>3+19</f>
        <v>22</v>
      </c>
      <c r="D440" s="3">
        <f>1+93+2+97</f>
        <v>193</v>
      </c>
      <c r="E440" s="36">
        <f t="shared" si="1316"/>
        <v>378</v>
      </c>
      <c r="F440" s="36">
        <v>682</v>
      </c>
      <c r="G440" s="3">
        <f t="shared" ref="G440" si="1503">F440-E440</f>
        <v>304</v>
      </c>
      <c r="H440" s="21">
        <f t="shared" ref="H440" si="1504">(F440-F439)/F439</f>
        <v>-0.11543450064850844</v>
      </c>
      <c r="I440" s="21">
        <f t="shared" ref="I440" si="1505">(E440-E439)/E439</f>
        <v>-0.21249999999999999</v>
      </c>
      <c r="J440" s="3">
        <f t="shared" ref="J440" si="1506">E440-E439</f>
        <v>-102</v>
      </c>
      <c r="K440" s="16">
        <f t="shared" ref="K440" si="1507">(F440-F388)/F388</f>
        <v>0.32943469785575047</v>
      </c>
      <c r="L440" s="3">
        <f t="shared" ref="L440" si="1508">AVERAGE(F284,F336,F388)</f>
        <v>602.33333333333337</v>
      </c>
    </row>
    <row r="441" spans="1:12" ht="13.8" x14ac:dyDescent="0.25">
      <c r="A441" s="27">
        <f t="shared" si="1412"/>
        <v>41678</v>
      </c>
      <c r="B441" s="3">
        <f>12+48</f>
        <v>60</v>
      </c>
      <c r="C441" s="3">
        <f>8+4+1+45</f>
        <v>58</v>
      </c>
      <c r="D441" s="3">
        <f>1+135+154</f>
        <v>290</v>
      </c>
      <c r="E441" s="36">
        <f t="shared" si="1316"/>
        <v>408</v>
      </c>
      <c r="F441" s="36">
        <v>774</v>
      </c>
      <c r="G441" s="3">
        <f t="shared" ref="G441" si="1509">F441-E441</f>
        <v>366</v>
      </c>
      <c r="H441" s="21">
        <f t="shared" ref="H441" si="1510">(F441-F440)/F440</f>
        <v>0.13489736070381231</v>
      </c>
      <c r="I441" s="21">
        <f t="shared" ref="I441" si="1511">(E441-E440)/E440</f>
        <v>7.9365079365079361E-2</v>
      </c>
      <c r="J441" s="3">
        <f t="shared" ref="J441" si="1512">E441-E440</f>
        <v>30</v>
      </c>
      <c r="K441" s="16">
        <f t="shared" ref="K441" si="1513">(F441-F389)/F389</f>
        <v>0.4576271186440678</v>
      </c>
      <c r="L441" s="3">
        <f t="shared" ref="L441" si="1514">AVERAGE(F285,F337,F389)</f>
        <v>646</v>
      </c>
    </row>
    <row r="442" spans="1:12" ht="13.8" x14ac:dyDescent="0.25">
      <c r="A442" s="27">
        <f t="shared" si="1412"/>
        <v>41685</v>
      </c>
      <c r="B442" s="3">
        <f>26+57</f>
        <v>83</v>
      </c>
      <c r="C442" s="3">
        <f>8+1+33</f>
        <v>42</v>
      </c>
      <c r="D442" s="3">
        <f>58+0+155+4</f>
        <v>217</v>
      </c>
      <c r="E442" s="36">
        <f t="shared" si="1316"/>
        <v>342</v>
      </c>
      <c r="F442" s="36">
        <v>739</v>
      </c>
      <c r="G442" s="3">
        <f t="shared" ref="G442" si="1515">F442-E442</f>
        <v>397</v>
      </c>
      <c r="H442" s="21">
        <f t="shared" ref="H442" si="1516">(F442-F441)/F441</f>
        <v>-4.5219638242894059E-2</v>
      </c>
      <c r="I442" s="21">
        <f t="shared" ref="I442" si="1517">(E442-E441)/E441</f>
        <v>-0.16176470588235295</v>
      </c>
      <c r="J442" s="3">
        <f t="shared" ref="J442" si="1518">E442-E441</f>
        <v>-66</v>
      </c>
      <c r="K442" s="16">
        <f t="shared" ref="K442" si="1519">(F442-F390)/F390</f>
        <v>0.48393574297188757</v>
      </c>
      <c r="L442" s="3">
        <f t="shared" ref="L442" si="1520">AVERAGE(F286,F338,F390)</f>
        <v>608</v>
      </c>
    </row>
    <row r="443" spans="1:12" ht="13.8" x14ac:dyDescent="0.25">
      <c r="A443" s="27">
        <f t="shared" si="1412"/>
        <v>41692</v>
      </c>
      <c r="B443" s="3">
        <f>41+36</f>
        <v>77</v>
      </c>
      <c r="C443" s="3">
        <f>9+2+1+20</f>
        <v>32</v>
      </c>
      <c r="D443" s="3">
        <f>3+133+37</f>
        <v>173</v>
      </c>
      <c r="E443" s="36">
        <f t="shared" si="1316"/>
        <v>282</v>
      </c>
      <c r="F443" s="36">
        <v>819</v>
      </c>
      <c r="G443" s="3">
        <f t="shared" ref="G443" si="1521">F443-E443</f>
        <v>537</v>
      </c>
      <c r="H443" s="21">
        <f t="shared" ref="H443" si="1522">(F443-F442)/F442</f>
        <v>0.10825439783491204</v>
      </c>
      <c r="I443" s="21">
        <f t="shared" ref="I443" si="1523">(E443-E442)/E442</f>
        <v>-0.17543859649122806</v>
      </c>
      <c r="J443" s="3">
        <f t="shared" ref="J443" si="1524">E443-E442</f>
        <v>-60</v>
      </c>
      <c r="K443" s="16">
        <f t="shared" ref="K443" si="1525">(F443-F391)/F391</f>
        <v>0.39049235993208831</v>
      </c>
      <c r="L443" s="3">
        <f t="shared" ref="L443" si="1526">AVERAGE(F287,F339,F391)</f>
        <v>602</v>
      </c>
    </row>
    <row r="444" spans="1:12" ht="13.8" x14ac:dyDescent="0.25">
      <c r="A444" s="27">
        <f t="shared" si="1412"/>
        <v>41699</v>
      </c>
      <c r="B444" s="3">
        <f>1+63+63</f>
        <v>127</v>
      </c>
      <c r="C444" s="3">
        <f>17+2+1+1+23</f>
        <v>44</v>
      </c>
      <c r="D444" s="3">
        <f>7+133+1+77</f>
        <v>218</v>
      </c>
      <c r="E444" s="36">
        <f t="shared" si="1316"/>
        <v>389</v>
      </c>
      <c r="F444" s="36">
        <v>703</v>
      </c>
      <c r="G444" s="3">
        <f t="shared" ref="G444" si="1527">F444-E444</f>
        <v>314</v>
      </c>
      <c r="H444" s="21">
        <f t="shared" ref="H444" si="1528">(F444-F443)/F443</f>
        <v>-0.14163614163614163</v>
      </c>
      <c r="I444" s="21">
        <f t="shared" ref="I444" si="1529">(E444-E443)/E443</f>
        <v>0.37943262411347517</v>
      </c>
      <c r="J444" s="3">
        <f t="shared" ref="J444" si="1530">E444-E443</f>
        <v>107</v>
      </c>
      <c r="K444" s="16">
        <f t="shared" ref="K444" si="1531">(F444-F392)/F392</f>
        <v>0.39761431411530818</v>
      </c>
      <c r="L444" s="3">
        <f t="shared" ref="L444" si="1532">AVERAGE(F288,F340,F392)</f>
        <v>603.33333333333337</v>
      </c>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77734375" defaultRowHeight="13.2" x14ac:dyDescent="0.25"/>
  <cols>
    <col min="1" max="8" width="8.77734375" style="1"/>
    <col min="9" max="9" width="7.44140625" style="1" customWidth="1"/>
    <col min="10" max="10" width="8.77734375" style="1" customWidth="1"/>
    <col min="11" max="12" width="8.77734375" style="24"/>
    <col min="13" max="16384" width="8.77734375" style="1"/>
  </cols>
  <sheetData>
    <row r="1" spans="1:11" x14ac:dyDescent="0.25">
      <c r="A1" s="8" t="s">
        <v>5</v>
      </c>
      <c r="B1" s="9"/>
      <c r="C1" s="9"/>
      <c r="D1" s="9"/>
      <c r="E1" s="9"/>
      <c r="F1" s="9"/>
      <c r="G1" s="9"/>
      <c r="H1" s="9"/>
      <c r="I1" s="9"/>
      <c r="J1" s="9"/>
      <c r="K1" s="25"/>
    </row>
    <row r="2" spans="1:11" ht="13.8" x14ac:dyDescent="0.25">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DB barges vs UL NO barges</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2013-12-10T11:54:07Z</cp:lastPrinted>
  <dcterms:created xsi:type="dcterms:W3CDTF">2006-06-12T19:05:10Z</dcterms:created>
  <dcterms:modified xsi:type="dcterms:W3CDTF">2014-03-03T17:30:13Z</dcterms:modified>
</cp:coreProperties>
</file>