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920"/>
  </bookViews>
  <sheets>
    <sheet name="Report" sheetId="1" r:id="rId1"/>
    <sheet name="Integration" sheetId="2" r:id="rId2"/>
    <sheet name="Referendum" sheetId="3" r:id="rId3"/>
    <sheet name="Sheet1" sheetId="4" r:id="rId4"/>
  </sheets>
  <definedNames>
    <definedName name="_xlnm.Print_Area" localSheetId="1">Integration!$A$11:$Q$165</definedName>
    <definedName name="_xlnm.Print_Area" localSheetId="2">Referendum!$A$3:$E$86</definedName>
    <definedName name="_xlnm.Print_Area" localSheetId="0">Report!$A$11:$U$530</definedName>
    <definedName name="_xlnm.Print_Titles" localSheetId="1">Integration!$1:$10</definedName>
    <definedName name="_xlnm.Print_Titles" localSheetId="0">Report!$1:$10</definedName>
  </definedNames>
  <calcPr calcId="145621" fullCalcOnLoad="1"/>
</workbook>
</file>

<file path=xl/calcChain.xml><?xml version="1.0" encoding="utf-8"?>
<calcChain xmlns="http://schemas.openxmlformats.org/spreadsheetml/2006/main">
  <c r="P165" i="2" l="1"/>
  <c r="Q165" i="2"/>
  <c r="N165" i="2"/>
  <c r="O165" i="2"/>
  <c r="P164" i="2"/>
  <c r="Q164" i="2"/>
  <c r="N164" i="2"/>
  <c r="O164" i="2"/>
  <c r="P163" i="2"/>
  <c r="Q163" i="2"/>
  <c r="N163" i="2"/>
  <c r="O163" i="2"/>
  <c r="P162" i="2"/>
  <c r="Q162" i="2"/>
  <c r="N162" i="2"/>
  <c r="O162" i="2"/>
  <c r="P161" i="2"/>
  <c r="Q161" i="2"/>
  <c r="N161" i="2"/>
  <c r="O161" i="2"/>
  <c r="P160" i="2"/>
  <c r="Q160" i="2"/>
  <c r="N160" i="2"/>
  <c r="O160" i="2"/>
  <c r="P159" i="2"/>
  <c r="Q159" i="2"/>
  <c r="N159" i="2"/>
  <c r="O159" i="2"/>
  <c r="P158" i="2"/>
  <c r="Q158" i="2"/>
  <c r="N158" i="2"/>
  <c r="O158" i="2"/>
  <c r="P157" i="2"/>
  <c r="Q157" i="2"/>
  <c r="N157" i="2"/>
  <c r="O157" i="2"/>
  <c r="P156" i="2"/>
  <c r="Q156" i="2"/>
  <c r="N156" i="2"/>
  <c r="O156" i="2"/>
  <c r="P155" i="2"/>
  <c r="Q155" i="2"/>
  <c r="N155" i="2"/>
  <c r="O155" i="2"/>
  <c r="P154" i="2"/>
  <c r="Q154" i="2"/>
  <c r="N154" i="2"/>
  <c r="O154" i="2"/>
  <c r="P153" i="2"/>
  <c r="Q153" i="2"/>
  <c r="N153" i="2"/>
  <c r="O153" i="2"/>
  <c r="P152" i="2"/>
  <c r="Q152" i="2"/>
  <c r="N152" i="2"/>
  <c r="O152" i="2"/>
  <c r="P151" i="2"/>
  <c r="Q151" i="2"/>
  <c r="N151" i="2"/>
  <c r="O151" i="2"/>
  <c r="P150" i="2"/>
  <c r="Q150" i="2"/>
  <c r="N150" i="2"/>
  <c r="O150" i="2"/>
  <c r="P149" i="2"/>
  <c r="Q149" i="2"/>
  <c r="N149" i="2"/>
  <c r="O149" i="2"/>
  <c r="P148" i="2"/>
  <c r="Q148" i="2"/>
  <c r="N148" i="2"/>
  <c r="O148" i="2"/>
  <c r="P147" i="2"/>
  <c r="Q147" i="2"/>
  <c r="N147" i="2"/>
  <c r="O147" i="2"/>
  <c r="P146" i="2"/>
  <c r="Q146" i="2"/>
  <c r="N146" i="2"/>
  <c r="O146" i="2"/>
  <c r="P145" i="2"/>
  <c r="Q145" i="2"/>
  <c r="N145" i="2"/>
  <c r="O145" i="2"/>
  <c r="P144" i="2"/>
  <c r="Q144" i="2"/>
  <c r="N144" i="2"/>
  <c r="O144" i="2"/>
  <c r="P143" i="2"/>
  <c r="Q143" i="2"/>
  <c r="N143" i="2"/>
  <c r="O143" i="2"/>
  <c r="P142" i="2"/>
  <c r="Q142" i="2"/>
  <c r="N142" i="2"/>
  <c r="O142" i="2"/>
  <c r="P141" i="2"/>
  <c r="Q141" i="2"/>
  <c r="N141" i="2"/>
  <c r="O141" i="2"/>
  <c r="P140" i="2"/>
  <c r="Q140" i="2"/>
  <c r="N140" i="2"/>
  <c r="O140" i="2"/>
  <c r="P139" i="2"/>
  <c r="Q139" i="2"/>
  <c r="N139" i="2"/>
  <c r="O139" i="2"/>
  <c r="P138" i="2"/>
  <c r="Q138" i="2"/>
  <c r="N138" i="2"/>
  <c r="O138" i="2"/>
  <c r="P137" i="2"/>
  <c r="Q137" i="2"/>
  <c r="N137" i="2"/>
  <c r="O137" i="2"/>
  <c r="P136" i="2"/>
  <c r="Q136" i="2"/>
  <c r="N136" i="2"/>
  <c r="O136" i="2"/>
  <c r="P135" i="2"/>
  <c r="Q135" i="2"/>
  <c r="N135" i="2"/>
  <c r="O135" i="2"/>
  <c r="P134" i="2"/>
  <c r="Q134" i="2"/>
  <c r="N134" i="2"/>
  <c r="O134" i="2"/>
  <c r="P133" i="2"/>
  <c r="Q133" i="2"/>
  <c r="N133" i="2"/>
  <c r="O133" i="2"/>
  <c r="P132" i="2"/>
  <c r="Q132" i="2"/>
  <c r="N132" i="2"/>
  <c r="O132" i="2"/>
  <c r="P131" i="2"/>
  <c r="Q131" i="2"/>
  <c r="N131" i="2"/>
  <c r="O131" i="2"/>
  <c r="P130" i="2"/>
  <c r="Q130" i="2"/>
  <c r="N130" i="2"/>
  <c r="O130" i="2"/>
  <c r="P129" i="2"/>
  <c r="Q129" i="2"/>
  <c r="N129" i="2"/>
  <c r="O129" i="2"/>
  <c r="P128" i="2"/>
  <c r="Q128" i="2"/>
  <c r="N128" i="2"/>
  <c r="O128" i="2"/>
  <c r="P127" i="2"/>
  <c r="Q127" i="2"/>
  <c r="N127" i="2"/>
  <c r="O127" i="2"/>
  <c r="P126" i="2"/>
  <c r="Q126" i="2"/>
  <c r="N126" i="2"/>
  <c r="O126" i="2"/>
  <c r="P125" i="2"/>
  <c r="Q125" i="2"/>
  <c r="N125" i="2"/>
  <c r="O125" i="2"/>
  <c r="P124" i="2"/>
  <c r="Q124" i="2"/>
  <c r="N124" i="2"/>
  <c r="O124" i="2"/>
  <c r="P123" i="2"/>
  <c r="Q123" i="2"/>
  <c r="N123" i="2"/>
  <c r="O123" i="2"/>
  <c r="P122" i="2"/>
  <c r="Q122" i="2"/>
  <c r="N122" i="2"/>
  <c r="O122" i="2"/>
  <c r="P121" i="2"/>
  <c r="Q121" i="2"/>
  <c r="N121" i="2"/>
  <c r="O121" i="2"/>
  <c r="P120" i="2"/>
  <c r="Q120" i="2"/>
  <c r="N120" i="2"/>
  <c r="O120" i="2"/>
  <c r="P119" i="2"/>
  <c r="Q119" i="2"/>
  <c r="N119" i="2"/>
  <c r="O119" i="2"/>
  <c r="P118" i="2"/>
  <c r="Q118" i="2"/>
  <c r="N118" i="2"/>
  <c r="O118" i="2"/>
  <c r="P117" i="2"/>
  <c r="Q117" i="2"/>
  <c r="N117" i="2"/>
  <c r="O117" i="2"/>
  <c r="P116" i="2"/>
  <c r="Q116" i="2"/>
  <c r="N116" i="2"/>
  <c r="O116" i="2"/>
  <c r="P115" i="2"/>
  <c r="Q115" i="2"/>
  <c r="N115" i="2"/>
  <c r="O115" i="2"/>
  <c r="P114" i="2"/>
  <c r="Q114" i="2"/>
  <c r="N114" i="2"/>
  <c r="O114" i="2"/>
  <c r="P113" i="2"/>
  <c r="Q113" i="2"/>
  <c r="N113" i="2"/>
  <c r="O113" i="2"/>
  <c r="P112" i="2"/>
  <c r="Q112" i="2"/>
  <c r="N112" i="2"/>
  <c r="O112" i="2"/>
  <c r="P111" i="2"/>
  <c r="Q111" i="2"/>
  <c r="N111" i="2"/>
  <c r="O111" i="2"/>
  <c r="P110" i="2"/>
  <c r="Q110" i="2"/>
  <c r="N110" i="2"/>
  <c r="O110" i="2"/>
  <c r="P109" i="2"/>
  <c r="Q109" i="2"/>
  <c r="N109" i="2"/>
  <c r="O109" i="2"/>
  <c r="P108" i="2"/>
  <c r="Q108" i="2"/>
  <c r="N108" i="2"/>
  <c r="O108" i="2"/>
  <c r="P107" i="2"/>
  <c r="Q107" i="2"/>
  <c r="N107" i="2"/>
  <c r="O107" i="2"/>
  <c r="K106" i="2"/>
  <c r="P106" i="2"/>
  <c r="Q106" i="2"/>
  <c r="Q15" i="2"/>
  <c r="F106" i="2"/>
  <c r="N106" i="2"/>
  <c r="P105" i="2"/>
  <c r="Q105" i="2"/>
  <c r="N105" i="2"/>
  <c r="O105" i="2"/>
  <c r="P104" i="2"/>
  <c r="Q104" i="2"/>
  <c r="N104" i="2"/>
  <c r="O104" i="2"/>
  <c r="P103" i="2"/>
  <c r="Q103" i="2"/>
  <c r="N103" i="2"/>
  <c r="O103" i="2"/>
  <c r="P102" i="2"/>
  <c r="Q102" i="2"/>
  <c r="N102" i="2"/>
  <c r="O102" i="2"/>
  <c r="N101" i="2"/>
  <c r="O101" i="2"/>
  <c r="O14" i="2"/>
  <c r="K101" i="2"/>
  <c r="P101" i="2"/>
  <c r="Q101" i="2"/>
  <c r="Q14" i="2"/>
  <c r="Q100" i="2"/>
  <c r="P100" i="2"/>
  <c r="O100" i="2"/>
  <c r="N100" i="2"/>
  <c r="Q99" i="2"/>
  <c r="P99" i="2"/>
  <c r="O99" i="2"/>
  <c r="N99" i="2"/>
  <c r="Q98" i="2"/>
  <c r="P98" i="2"/>
  <c r="O98" i="2"/>
  <c r="N98" i="2"/>
  <c r="Q97" i="2"/>
  <c r="P97" i="2"/>
  <c r="N97" i="2"/>
  <c r="O97" i="2"/>
  <c r="P96" i="2"/>
  <c r="Q96" i="2"/>
  <c r="N96" i="2"/>
  <c r="O96" i="2"/>
  <c r="P95" i="2"/>
  <c r="Q95" i="2"/>
  <c r="N95" i="2"/>
  <c r="O95" i="2"/>
  <c r="P94" i="2"/>
  <c r="Q94" i="2"/>
  <c r="N94" i="2"/>
  <c r="O94" i="2"/>
  <c r="P93" i="2"/>
  <c r="Q93" i="2"/>
  <c r="N93" i="2"/>
  <c r="O93" i="2"/>
  <c r="P92" i="2"/>
  <c r="Q92" i="2"/>
  <c r="N92" i="2"/>
  <c r="O92" i="2"/>
  <c r="P91" i="2"/>
  <c r="Q91" i="2"/>
  <c r="N91" i="2"/>
  <c r="O91" i="2"/>
  <c r="P90" i="2"/>
  <c r="Q90" i="2"/>
  <c r="N90" i="2"/>
  <c r="O90" i="2"/>
  <c r="P89" i="2"/>
  <c r="Q89" i="2"/>
  <c r="N89" i="2"/>
  <c r="O89" i="2"/>
  <c r="P88" i="2"/>
  <c r="Q88" i="2"/>
  <c r="N88" i="2"/>
  <c r="O88" i="2"/>
  <c r="P87" i="2"/>
  <c r="Q87" i="2"/>
  <c r="N87" i="2"/>
  <c r="O87" i="2"/>
  <c r="P86" i="2"/>
  <c r="Q86" i="2"/>
  <c r="N86" i="2"/>
  <c r="O86" i="2"/>
  <c r="P85" i="2"/>
  <c r="Q85" i="2"/>
  <c r="N85" i="2"/>
  <c r="O85" i="2"/>
  <c r="P84" i="2"/>
  <c r="Q84" i="2"/>
  <c r="N84" i="2"/>
  <c r="O84" i="2"/>
  <c r="P83" i="2"/>
  <c r="Q83" i="2"/>
  <c r="N83" i="2"/>
  <c r="O83" i="2"/>
  <c r="P82" i="2"/>
  <c r="Q82" i="2"/>
  <c r="N82" i="2"/>
  <c r="O82" i="2"/>
  <c r="P81" i="2"/>
  <c r="Q81" i="2"/>
  <c r="N81" i="2"/>
  <c r="O81" i="2"/>
  <c r="P80" i="2"/>
  <c r="Q80" i="2"/>
  <c r="N80" i="2"/>
  <c r="O80" i="2"/>
  <c r="P79" i="2"/>
  <c r="Q79" i="2"/>
  <c r="N79" i="2"/>
  <c r="O79" i="2"/>
  <c r="P78" i="2"/>
  <c r="Q78" i="2"/>
  <c r="N78" i="2"/>
  <c r="O78" i="2"/>
  <c r="P77" i="2"/>
  <c r="Q77" i="2"/>
  <c r="N77" i="2"/>
  <c r="O77" i="2"/>
  <c r="P76" i="2"/>
  <c r="Q76" i="2"/>
  <c r="N76" i="2"/>
  <c r="O76" i="2"/>
  <c r="P75" i="2"/>
  <c r="Q75" i="2"/>
  <c r="N75" i="2"/>
  <c r="O75" i="2"/>
  <c r="P74" i="2"/>
  <c r="Q74" i="2"/>
  <c r="N74" i="2"/>
  <c r="O74" i="2"/>
  <c r="P73" i="2"/>
  <c r="Q73" i="2"/>
  <c r="N73" i="2"/>
  <c r="O73" i="2"/>
  <c r="P72" i="2"/>
  <c r="Q72" i="2"/>
  <c r="N72" i="2"/>
  <c r="O72" i="2"/>
  <c r="P71" i="2"/>
  <c r="Q71" i="2"/>
  <c r="N71" i="2"/>
  <c r="O71" i="2"/>
  <c r="P70" i="2"/>
  <c r="Q70" i="2"/>
  <c r="N70" i="2"/>
  <c r="O70" i="2"/>
  <c r="P69" i="2"/>
  <c r="Q69" i="2"/>
  <c r="N69" i="2"/>
  <c r="O69" i="2"/>
  <c r="P68" i="2"/>
  <c r="Q68" i="2"/>
  <c r="N68" i="2"/>
  <c r="O68" i="2"/>
  <c r="P67" i="2"/>
  <c r="Q67" i="2"/>
  <c r="N67" i="2"/>
  <c r="O67" i="2"/>
  <c r="P66" i="2"/>
  <c r="Q66" i="2"/>
  <c r="N66" i="2"/>
  <c r="O66" i="2"/>
  <c r="P65" i="2"/>
  <c r="Q65" i="2"/>
  <c r="N65" i="2"/>
  <c r="O65" i="2"/>
  <c r="P64" i="2"/>
  <c r="Q64" i="2"/>
  <c r="N64" i="2"/>
  <c r="O64" i="2"/>
  <c r="P63" i="2"/>
  <c r="Q63" i="2"/>
  <c r="N63" i="2"/>
  <c r="O63" i="2"/>
  <c r="P62" i="2"/>
  <c r="Q62" i="2"/>
  <c r="N62" i="2"/>
  <c r="O62" i="2"/>
  <c r="P61" i="2"/>
  <c r="Q61" i="2"/>
  <c r="N61" i="2"/>
  <c r="O61" i="2"/>
  <c r="P60" i="2"/>
  <c r="Q60" i="2"/>
  <c r="N60" i="2"/>
  <c r="O60" i="2"/>
  <c r="P59" i="2"/>
  <c r="Q59" i="2"/>
  <c r="N59" i="2"/>
  <c r="O59" i="2"/>
  <c r="P58" i="2"/>
  <c r="Q58" i="2"/>
  <c r="N58" i="2"/>
  <c r="O58" i="2"/>
  <c r="P57" i="2"/>
  <c r="Q57" i="2"/>
  <c r="N57" i="2"/>
  <c r="O57" i="2"/>
  <c r="P56" i="2"/>
  <c r="Q56" i="2"/>
  <c r="N56" i="2"/>
  <c r="O56" i="2"/>
  <c r="P55" i="2"/>
  <c r="Q55" i="2"/>
  <c r="O55" i="2"/>
  <c r="N55" i="2"/>
  <c r="Q54" i="2"/>
  <c r="P54" i="2"/>
  <c r="O54" i="2"/>
  <c r="N54" i="2"/>
  <c r="Q53" i="2"/>
  <c r="P53" i="2"/>
  <c r="O53" i="2"/>
  <c r="N53" i="2"/>
  <c r="Q52" i="2"/>
  <c r="P52" i="2"/>
  <c r="O52" i="2"/>
  <c r="N52" i="2"/>
  <c r="Q51" i="2"/>
  <c r="P51" i="2"/>
  <c r="O51" i="2"/>
  <c r="N51" i="2"/>
  <c r="Q50" i="2"/>
  <c r="P50" i="2"/>
  <c r="O50" i="2"/>
  <c r="N50" i="2"/>
  <c r="Q49" i="2"/>
  <c r="P49" i="2"/>
  <c r="O49" i="2"/>
  <c r="N49" i="2"/>
  <c r="Q48" i="2"/>
  <c r="P48" i="2"/>
  <c r="O48" i="2"/>
  <c r="N48" i="2"/>
  <c r="Q47" i="2"/>
  <c r="P47" i="2"/>
  <c r="O47" i="2"/>
  <c r="N47" i="2"/>
  <c r="Q46" i="2"/>
  <c r="P46" i="2"/>
  <c r="O46" i="2"/>
  <c r="N46" i="2"/>
  <c r="Q45" i="2"/>
  <c r="P45" i="2"/>
  <c r="O45" i="2"/>
  <c r="N45" i="2"/>
  <c r="Q44" i="2"/>
  <c r="P44" i="2"/>
  <c r="O44" i="2"/>
  <c r="N44" i="2"/>
  <c r="Q43" i="2"/>
  <c r="P43" i="2"/>
  <c r="O43" i="2"/>
  <c r="N43" i="2"/>
  <c r="Q42" i="2"/>
  <c r="P42" i="2"/>
  <c r="O42" i="2"/>
  <c r="N42" i="2"/>
  <c r="Q41" i="2"/>
  <c r="P41" i="2"/>
  <c r="O41" i="2"/>
  <c r="N41" i="2"/>
  <c r="Q40" i="2"/>
  <c r="P40" i="2"/>
  <c r="O40" i="2"/>
  <c r="N40" i="2"/>
  <c r="Q39" i="2"/>
  <c r="P39" i="2"/>
  <c r="O39" i="2"/>
  <c r="N39" i="2"/>
  <c r="Q38" i="2"/>
  <c r="P38" i="2"/>
  <c r="O38" i="2"/>
  <c r="N38" i="2"/>
  <c r="Q37" i="2"/>
  <c r="P37" i="2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Q28" i="2"/>
  <c r="P28" i="2"/>
  <c r="O28" i="2"/>
  <c r="N28" i="2"/>
  <c r="Q27" i="2"/>
  <c r="P27" i="2"/>
  <c r="O27" i="2"/>
  <c r="N27" i="2"/>
  <c r="Q26" i="2"/>
  <c r="P26" i="2"/>
  <c r="N26" i="2"/>
  <c r="O26" i="2"/>
  <c r="P25" i="2"/>
  <c r="Q25" i="2"/>
  <c r="N25" i="2"/>
  <c r="O25" i="2"/>
  <c r="P24" i="2"/>
  <c r="Q24" i="2"/>
  <c r="N24" i="2"/>
  <c r="O24" i="2"/>
  <c r="P23" i="2"/>
  <c r="Q23" i="2"/>
  <c r="N23" i="2"/>
  <c r="O23" i="2"/>
  <c r="P22" i="2"/>
  <c r="Q22" i="2"/>
  <c r="N22" i="2"/>
  <c r="O22" i="2"/>
  <c r="P21" i="2"/>
  <c r="Q21" i="2"/>
  <c r="N21" i="2"/>
  <c r="O21" i="2"/>
  <c r="P20" i="2"/>
  <c r="Q20" i="2"/>
  <c r="N20" i="2"/>
  <c r="O20" i="2"/>
  <c r="P19" i="2"/>
  <c r="Q19" i="2"/>
  <c r="N19" i="2"/>
  <c r="O19" i="2"/>
  <c r="K18" i="2"/>
  <c r="P18" i="2"/>
  <c r="F18" i="2"/>
  <c r="N18" i="2"/>
  <c r="P15" i="2"/>
  <c r="M15" i="2"/>
  <c r="I15" i="2"/>
  <c r="H15" i="2"/>
  <c r="P14" i="2"/>
  <c r="N14" i="2"/>
  <c r="M14" i="2"/>
  <c r="I14" i="2"/>
  <c r="H14" i="2"/>
  <c r="D14" i="2"/>
  <c r="M13" i="2"/>
  <c r="H13" i="2"/>
  <c r="M11" i="2"/>
  <c r="M16" i="2"/>
  <c r="J11" i="2"/>
  <c r="H11" i="2"/>
  <c r="H16" i="2"/>
  <c r="Q9" i="2"/>
  <c r="P9" i="2"/>
  <c r="O9" i="2"/>
  <c r="N9" i="2"/>
  <c r="Q8" i="2"/>
  <c r="P8" i="2"/>
  <c r="O8" i="2"/>
  <c r="N8" i="2"/>
  <c r="P7" i="2"/>
  <c r="N7" i="2"/>
  <c r="Q18" i="2"/>
  <c r="P13" i="2"/>
  <c r="I13" i="2"/>
  <c r="P11" i="2"/>
  <c r="O18" i="2"/>
  <c r="N13" i="2"/>
  <c r="D13" i="2"/>
  <c r="N11" i="2"/>
  <c r="O106" i="2"/>
  <c r="O15" i="2"/>
  <c r="N15" i="2"/>
  <c r="D15" i="2"/>
  <c r="D11" i="2"/>
  <c r="N16" i="2"/>
  <c r="D16" i="2"/>
  <c r="O13" i="2"/>
  <c r="O11" i="2"/>
  <c r="I11" i="2"/>
  <c r="P16" i="2"/>
  <c r="I16" i="2"/>
  <c r="Q13" i="2"/>
  <c r="Q11" i="2"/>
  <c r="Q16" i="2"/>
  <c r="O16" i="2"/>
  <c r="E7" i="4"/>
  <c r="F7" i="4"/>
  <c r="G7" i="4"/>
  <c r="D7" i="4"/>
  <c r="E79" i="3"/>
  <c r="D72" i="3"/>
  <c r="C72" i="3"/>
  <c r="D58" i="3"/>
  <c r="C58" i="3"/>
  <c r="E58" i="3"/>
  <c r="E57" i="3"/>
  <c r="E56" i="3"/>
  <c r="E54" i="3"/>
  <c r="E49" i="3"/>
  <c r="E48" i="3"/>
  <c r="E47" i="3"/>
  <c r="E46" i="3"/>
  <c r="E45" i="3"/>
  <c r="C44" i="3"/>
  <c r="C81" i="3"/>
  <c r="B21" i="3"/>
  <c r="E15" i="3"/>
  <c r="E14" i="3"/>
  <c r="C10" i="3"/>
  <c r="D10" i="3"/>
  <c r="C9" i="3"/>
  <c r="A9" i="3"/>
  <c r="D8" i="3"/>
  <c r="D21" i="3"/>
  <c r="C8" i="3"/>
  <c r="C21" i="3"/>
  <c r="A4" i="3"/>
  <c r="C1" i="3"/>
  <c r="E21" i="3"/>
  <c r="D22" i="3"/>
  <c r="D44" i="3"/>
  <c r="D81" i="3"/>
  <c r="D53" i="3"/>
  <c r="E10" i="3"/>
  <c r="C52" i="3"/>
  <c r="A52" i="3"/>
  <c r="D9" i="3"/>
  <c r="D27" i="3"/>
  <c r="A10" i="3"/>
  <c r="B17" i="3"/>
  <c r="E81" i="3"/>
  <c r="C22" i="3"/>
  <c r="C25" i="3"/>
  <c r="C17" i="3"/>
  <c r="E8" i="3"/>
  <c r="C53" i="3"/>
  <c r="C27" i="3"/>
  <c r="E22" i="3"/>
  <c r="C24" i="3"/>
  <c r="E44" i="3"/>
  <c r="E72" i="3"/>
  <c r="M9" i="1"/>
  <c r="L9" i="1"/>
  <c r="I253" i="1"/>
  <c r="Q253" i="1"/>
  <c r="U253" i="1"/>
  <c r="M253" i="1"/>
  <c r="I350" i="1"/>
  <c r="Q350" i="1"/>
  <c r="U350" i="1"/>
  <c r="M350" i="1"/>
  <c r="I351" i="1"/>
  <c r="Q351" i="1"/>
  <c r="U351" i="1"/>
  <c r="M351" i="1"/>
  <c r="I358" i="1"/>
  <c r="Q358" i="1"/>
  <c r="U358" i="1"/>
  <c r="M358" i="1"/>
  <c r="I362" i="1"/>
  <c r="Q362" i="1"/>
  <c r="U362" i="1"/>
  <c r="M362" i="1"/>
  <c r="I367" i="1"/>
  <c r="Q367" i="1"/>
  <c r="U367" i="1"/>
  <c r="M367" i="1"/>
  <c r="I369" i="1"/>
  <c r="Q369" i="1"/>
  <c r="U369" i="1"/>
  <c r="M369" i="1"/>
  <c r="I373" i="1"/>
  <c r="Q373" i="1"/>
  <c r="U373" i="1"/>
  <c r="M373" i="1"/>
  <c r="I382" i="1"/>
  <c r="Q382" i="1"/>
  <c r="U382" i="1"/>
  <c r="M382" i="1"/>
  <c r="I385" i="1"/>
  <c r="Q385" i="1"/>
  <c r="U385" i="1"/>
  <c r="M385" i="1"/>
  <c r="I391" i="1"/>
  <c r="Q391" i="1"/>
  <c r="U391" i="1"/>
  <c r="M391" i="1"/>
  <c r="I400" i="1"/>
  <c r="Q400" i="1"/>
  <c r="U400" i="1"/>
  <c r="M400" i="1"/>
  <c r="I402" i="1"/>
  <c r="Q402" i="1"/>
  <c r="U402" i="1"/>
  <c r="M402" i="1"/>
  <c r="I404" i="1"/>
  <c r="Q404" i="1"/>
  <c r="U404" i="1"/>
  <c r="M404" i="1"/>
  <c r="I408" i="1"/>
  <c r="Q408" i="1"/>
  <c r="U408" i="1"/>
  <c r="M408" i="1"/>
  <c r="I410" i="1"/>
  <c r="Q410" i="1"/>
  <c r="U410" i="1"/>
  <c r="M410" i="1"/>
  <c r="I411" i="1"/>
  <c r="Q411" i="1"/>
  <c r="U411" i="1"/>
  <c r="M411" i="1"/>
  <c r="I415" i="1"/>
  <c r="Q415" i="1"/>
  <c r="U415" i="1"/>
  <c r="M415" i="1"/>
  <c r="I434" i="1"/>
  <c r="Q434" i="1"/>
  <c r="U434" i="1"/>
  <c r="M434" i="1"/>
  <c r="I439" i="1"/>
  <c r="Q439" i="1"/>
  <c r="U439" i="1"/>
  <c r="M439" i="1"/>
  <c r="I462" i="1"/>
  <c r="Q462" i="1"/>
  <c r="U462" i="1"/>
  <c r="M462" i="1"/>
  <c r="I465" i="1"/>
  <c r="Q465" i="1"/>
  <c r="U465" i="1"/>
  <c r="M465" i="1"/>
  <c r="I466" i="1"/>
  <c r="Q466" i="1"/>
  <c r="U466" i="1"/>
  <c r="M466" i="1"/>
  <c r="I471" i="1"/>
  <c r="Q471" i="1"/>
  <c r="U471" i="1"/>
  <c r="M471" i="1"/>
  <c r="I482" i="1"/>
  <c r="Q482" i="1"/>
  <c r="U482" i="1"/>
  <c r="M482" i="1"/>
  <c r="I483" i="1"/>
  <c r="Q483" i="1"/>
  <c r="U483" i="1"/>
  <c r="M483" i="1"/>
  <c r="I488" i="1"/>
  <c r="Q488" i="1"/>
  <c r="U488" i="1"/>
  <c r="M488" i="1"/>
  <c r="I490" i="1"/>
  <c r="Q490" i="1"/>
  <c r="U490" i="1"/>
  <c r="M490" i="1"/>
  <c r="I491" i="1"/>
  <c r="Q491" i="1"/>
  <c r="U491" i="1"/>
  <c r="M491" i="1"/>
  <c r="I498" i="1"/>
  <c r="Q498" i="1"/>
  <c r="U498" i="1"/>
  <c r="M498" i="1"/>
  <c r="I509" i="1"/>
  <c r="Q509" i="1"/>
  <c r="U509" i="1"/>
  <c r="M509" i="1"/>
  <c r="H14" i="1"/>
  <c r="I14" i="1"/>
  <c r="P14" i="1"/>
  <c r="Q14" i="1"/>
  <c r="T14" i="1"/>
  <c r="U14" i="1"/>
  <c r="L14" i="1"/>
  <c r="M14" i="1"/>
  <c r="H15" i="1"/>
  <c r="I15" i="1"/>
  <c r="P15" i="1"/>
  <c r="Q15" i="1"/>
  <c r="T15" i="1"/>
  <c r="U15" i="1"/>
  <c r="L15" i="1"/>
  <c r="M15" i="1"/>
  <c r="H16" i="1"/>
  <c r="I16" i="1"/>
  <c r="P16" i="1"/>
  <c r="Q16" i="1"/>
  <c r="T16" i="1"/>
  <c r="U16" i="1"/>
  <c r="L16" i="1"/>
  <c r="M16" i="1"/>
  <c r="H17" i="1"/>
  <c r="I17" i="1"/>
  <c r="P17" i="1"/>
  <c r="Q17" i="1"/>
  <c r="T17" i="1"/>
  <c r="U17" i="1"/>
  <c r="L17" i="1"/>
  <c r="M17" i="1"/>
  <c r="H18" i="1"/>
  <c r="I18" i="1"/>
  <c r="P18" i="1"/>
  <c r="Q18" i="1"/>
  <c r="T18" i="1"/>
  <c r="U18" i="1"/>
  <c r="L18" i="1"/>
  <c r="M18" i="1"/>
  <c r="H19" i="1"/>
  <c r="I19" i="1"/>
  <c r="P19" i="1"/>
  <c r="Q19" i="1"/>
  <c r="T19" i="1"/>
  <c r="U19" i="1"/>
  <c r="L19" i="1"/>
  <c r="M19" i="1"/>
  <c r="H20" i="1"/>
  <c r="I20" i="1"/>
  <c r="P20" i="1"/>
  <c r="Q20" i="1"/>
  <c r="T20" i="1"/>
  <c r="U20" i="1"/>
  <c r="L20" i="1"/>
  <c r="M20" i="1"/>
  <c r="H21" i="1"/>
  <c r="I21" i="1"/>
  <c r="P21" i="1"/>
  <c r="Q21" i="1"/>
  <c r="T21" i="1"/>
  <c r="U21" i="1"/>
  <c r="L21" i="1"/>
  <c r="M21" i="1"/>
  <c r="H22" i="1"/>
  <c r="I22" i="1"/>
  <c r="P22" i="1"/>
  <c r="Q22" i="1"/>
  <c r="T22" i="1"/>
  <c r="U22" i="1"/>
  <c r="L22" i="1"/>
  <c r="M22" i="1"/>
  <c r="H23" i="1"/>
  <c r="I23" i="1"/>
  <c r="P23" i="1"/>
  <c r="Q23" i="1"/>
  <c r="T23" i="1"/>
  <c r="U23" i="1"/>
  <c r="L23" i="1"/>
  <c r="M23" i="1"/>
  <c r="H24" i="1"/>
  <c r="I24" i="1"/>
  <c r="P24" i="1"/>
  <c r="Q24" i="1"/>
  <c r="T24" i="1"/>
  <c r="U24" i="1"/>
  <c r="L24" i="1"/>
  <c r="M24" i="1"/>
  <c r="H25" i="1"/>
  <c r="I25" i="1"/>
  <c r="P25" i="1"/>
  <c r="Q25" i="1"/>
  <c r="T25" i="1"/>
  <c r="U25" i="1"/>
  <c r="L25" i="1"/>
  <c r="M25" i="1"/>
  <c r="H26" i="1"/>
  <c r="I26" i="1"/>
  <c r="P26" i="1"/>
  <c r="Q26" i="1"/>
  <c r="T26" i="1"/>
  <c r="U26" i="1"/>
  <c r="L26" i="1"/>
  <c r="M26" i="1"/>
  <c r="H27" i="1"/>
  <c r="I27" i="1"/>
  <c r="P27" i="1"/>
  <c r="Q27" i="1"/>
  <c r="T27" i="1"/>
  <c r="U27" i="1"/>
  <c r="L27" i="1"/>
  <c r="M27" i="1"/>
  <c r="H28" i="1"/>
  <c r="I28" i="1"/>
  <c r="P28" i="1"/>
  <c r="Q28" i="1"/>
  <c r="T28" i="1"/>
  <c r="U28" i="1"/>
  <c r="L28" i="1"/>
  <c r="M28" i="1"/>
  <c r="H29" i="1"/>
  <c r="I29" i="1"/>
  <c r="P29" i="1"/>
  <c r="Q29" i="1"/>
  <c r="T29" i="1"/>
  <c r="U29" i="1"/>
  <c r="L29" i="1"/>
  <c r="M29" i="1"/>
  <c r="H30" i="1"/>
  <c r="I30" i="1"/>
  <c r="P30" i="1"/>
  <c r="Q30" i="1"/>
  <c r="T30" i="1"/>
  <c r="U30" i="1"/>
  <c r="L30" i="1"/>
  <c r="M30" i="1"/>
  <c r="H31" i="1"/>
  <c r="I31" i="1"/>
  <c r="P31" i="1"/>
  <c r="Q31" i="1"/>
  <c r="T31" i="1"/>
  <c r="U31" i="1"/>
  <c r="L31" i="1"/>
  <c r="M31" i="1"/>
  <c r="H32" i="1"/>
  <c r="I32" i="1"/>
  <c r="P32" i="1"/>
  <c r="Q32" i="1"/>
  <c r="T32" i="1"/>
  <c r="U32" i="1"/>
  <c r="L32" i="1"/>
  <c r="M32" i="1"/>
  <c r="H33" i="1"/>
  <c r="I33" i="1"/>
  <c r="P33" i="1"/>
  <c r="Q33" i="1"/>
  <c r="T33" i="1"/>
  <c r="U33" i="1"/>
  <c r="L33" i="1"/>
  <c r="M33" i="1"/>
  <c r="H34" i="1"/>
  <c r="I34" i="1"/>
  <c r="P34" i="1"/>
  <c r="Q34" i="1"/>
  <c r="T34" i="1"/>
  <c r="U34" i="1"/>
  <c r="L34" i="1"/>
  <c r="M34" i="1"/>
  <c r="H35" i="1"/>
  <c r="I35" i="1"/>
  <c r="P35" i="1"/>
  <c r="Q35" i="1"/>
  <c r="T35" i="1"/>
  <c r="U35" i="1"/>
  <c r="L35" i="1"/>
  <c r="M35" i="1"/>
  <c r="H36" i="1"/>
  <c r="I36" i="1"/>
  <c r="P36" i="1"/>
  <c r="Q36" i="1"/>
  <c r="T36" i="1"/>
  <c r="U36" i="1"/>
  <c r="L36" i="1"/>
  <c r="M36" i="1"/>
  <c r="H37" i="1"/>
  <c r="I37" i="1"/>
  <c r="P37" i="1"/>
  <c r="Q37" i="1"/>
  <c r="T37" i="1"/>
  <c r="U37" i="1"/>
  <c r="L37" i="1"/>
  <c r="M37" i="1"/>
  <c r="H38" i="1"/>
  <c r="I38" i="1"/>
  <c r="P38" i="1"/>
  <c r="Q38" i="1"/>
  <c r="T38" i="1"/>
  <c r="U38" i="1"/>
  <c r="L38" i="1"/>
  <c r="M38" i="1"/>
  <c r="H39" i="1"/>
  <c r="I39" i="1"/>
  <c r="P39" i="1"/>
  <c r="Q39" i="1"/>
  <c r="T39" i="1"/>
  <c r="U39" i="1"/>
  <c r="L39" i="1"/>
  <c r="M39" i="1"/>
  <c r="H40" i="1"/>
  <c r="I40" i="1"/>
  <c r="P40" i="1"/>
  <c r="Q40" i="1"/>
  <c r="T40" i="1"/>
  <c r="U40" i="1"/>
  <c r="L40" i="1"/>
  <c r="M40" i="1"/>
  <c r="H41" i="1"/>
  <c r="I41" i="1"/>
  <c r="P41" i="1"/>
  <c r="Q41" i="1"/>
  <c r="T41" i="1"/>
  <c r="U41" i="1"/>
  <c r="L41" i="1"/>
  <c r="M41" i="1"/>
  <c r="H42" i="1"/>
  <c r="I42" i="1"/>
  <c r="P42" i="1"/>
  <c r="Q42" i="1"/>
  <c r="T42" i="1"/>
  <c r="U42" i="1"/>
  <c r="L42" i="1"/>
  <c r="M42" i="1"/>
  <c r="H43" i="1"/>
  <c r="I43" i="1"/>
  <c r="P43" i="1"/>
  <c r="Q43" i="1"/>
  <c r="T43" i="1"/>
  <c r="U43" i="1"/>
  <c r="L43" i="1"/>
  <c r="M43" i="1"/>
  <c r="H44" i="1"/>
  <c r="I44" i="1"/>
  <c r="P44" i="1"/>
  <c r="Q44" i="1"/>
  <c r="T44" i="1"/>
  <c r="U44" i="1"/>
  <c r="L44" i="1"/>
  <c r="M44" i="1"/>
  <c r="H45" i="1"/>
  <c r="I45" i="1"/>
  <c r="P45" i="1"/>
  <c r="Q45" i="1"/>
  <c r="T45" i="1"/>
  <c r="U45" i="1"/>
  <c r="L45" i="1"/>
  <c r="M45" i="1"/>
  <c r="H46" i="1"/>
  <c r="I46" i="1"/>
  <c r="P46" i="1"/>
  <c r="Q46" i="1"/>
  <c r="T46" i="1"/>
  <c r="U46" i="1"/>
  <c r="L46" i="1"/>
  <c r="M46" i="1"/>
  <c r="H47" i="1"/>
  <c r="I47" i="1"/>
  <c r="P47" i="1"/>
  <c r="Q47" i="1"/>
  <c r="T47" i="1"/>
  <c r="U47" i="1"/>
  <c r="L47" i="1"/>
  <c r="M47" i="1"/>
  <c r="H48" i="1"/>
  <c r="I48" i="1"/>
  <c r="P48" i="1"/>
  <c r="Q48" i="1"/>
  <c r="T48" i="1"/>
  <c r="U48" i="1"/>
  <c r="L48" i="1"/>
  <c r="M48" i="1"/>
  <c r="H49" i="1"/>
  <c r="I49" i="1"/>
  <c r="P49" i="1"/>
  <c r="Q49" i="1"/>
  <c r="T49" i="1"/>
  <c r="U49" i="1"/>
  <c r="L49" i="1"/>
  <c r="M49" i="1"/>
  <c r="H50" i="1"/>
  <c r="I50" i="1"/>
  <c r="P50" i="1"/>
  <c r="Q50" i="1"/>
  <c r="T50" i="1"/>
  <c r="U50" i="1"/>
  <c r="L50" i="1"/>
  <c r="M50" i="1"/>
  <c r="H51" i="1"/>
  <c r="I51" i="1"/>
  <c r="P51" i="1"/>
  <c r="Q51" i="1"/>
  <c r="T51" i="1"/>
  <c r="U51" i="1"/>
  <c r="L51" i="1"/>
  <c r="M51" i="1"/>
  <c r="H52" i="1"/>
  <c r="I52" i="1"/>
  <c r="P52" i="1"/>
  <c r="Q52" i="1"/>
  <c r="T52" i="1"/>
  <c r="U52" i="1"/>
  <c r="L52" i="1"/>
  <c r="M52" i="1"/>
  <c r="H53" i="1"/>
  <c r="I53" i="1"/>
  <c r="P53" i="1"/>
  <c r="Q53" i="1"/>
  <c r="T53" i="1"/>
  <c r="U53" i="1"/>
  <c r="L53" i="1"/>
  <c r="M53" i="1"/>
  <c r="H54" i="1"/>
  <c r="I54" i="1"/>
  <c r="P54" i="1"/>
  <c r="Q54" i="1"/>
  <c r="T54" i="1"/>
  <c r="U54" i="1"/>
  <c r="L54" i="1"/>
  <c r="M54" i="1"/>
  <c r="H55" i="1"/>
  <c r="I55" i="1"/>
  <c r="P55" i="1"/>
  <c r="Q55" i="1"/>
  <c r="T55" i="1"/>
  <c r="U55" i="1"/>
  <c r="L55" i="1"/>
  <c r="M55" i="1"/>
  <c r="H56" i="1"/>
  <c r="I56" i="1"/>
  <c r="P56" i="1"/>
  <c r="Q56" i="1"/>
  <c r="T56" i="1"/>
  <c r="U56" i="1"/>
  <c r="L56" i="1"/>
  <c r="M56" i="1"/>
  <c r="H57" i="1"/>
  <c r="I57" i="1"/>
  <c r="P57" i="1"/>
  <c r="Q57" i="1"/>
  <c r="T57" i="1"/>
  <c r="U57" i="1"/>
  <c r="L57" i="1"/>
  <c r="M57" i="1"/>
  <c r="H58" i="1"/>
  <c r="I58" i="1"/>
  <c r="P58" i="1"/>
  <c r="Q58" i="1"/>
  <c r="T58" i="1"/>
  <c r="U58" i="1"/>
  <c r="L58" i="1"/>
  <c r="M58" i="1"/>
  <c r="H59" i="1"/>
  <c r="I59" i="1"/>
  <c r="P59" i="1"/>
  <c r="Q59" i="1"/>
  <c r="T59" i="1"/>
  <c r="U59" i="1"/>
  <c r="L59" i="1"/>
  <c r="M59" i="1"/>
  <c r="H60" i="1"/>
  <c r="I60" i="1"/>
  <c r="P60" i="1"/>
  <c r="Q60" i="1"/>
  <c r="T60" i="1"/>
  <c r="U60" i="1"/>
  <c r="L60" i="1"/>
  <c r="M60" i="1"/>
  <c r="H61" i="1"/>
  <c r="I61" i="1"/>
  <c r="P61" i="1"/>
  <c r="Q61" i="1"/>
  <c r="T61" i="1"/>
  <c r="U61" i="1"/>
  <c r="L61" i="1"/>
  <c r="M61" i="1"/>
  <c r="H62" i="1"/>
  <c r="I62" i="1"/>
  <c r="P62" i="1"/>
  <c r="Q62" i="1"/>
  <c r="T62" i="1"/>
  <c r="U62" i="1"/>
  <c r="L62" i="1"/>
  <c r="M62" i="1"/>
  <c r="H63" i="1"/>
  <c r="I63" i="1"/>
  <c r="P63" i="1"/>
  <c r="Q63" i="1"/>
  <c r="T63" i="1"/>
  <c r="U63" i="1"/>
  <c r="L63" i="1"/>
  <c r="M63" i="1"/>
  <c r="H64" i="1"/>
  <c r="I64" i="1"/>
  <c r="P64" i="1"/>
  <c r="Q64" i="1"/>
  <c r="T64" i="1"/>
  <c r="U64" i="1"/>
  <c r="L64" i="1"/>
  <c r="M64" i="1"/>
  <c r="H65" i="1"/>
  <c r="I65" i="1"/>
  <c r="P65" i="1"/>
  <c r="Q65" i="1"/>
  <c r="T65" i="1"/>
  <c r="U65" i="1"/>
  <c r="L65" i="1"/>
  <c r="M65" i="1"/>
  <c r="H66" i="1"/>
  <c r="I66" i="1"/>
  <c r="P66" i="1"/>
  <c r="Q66" i="1"/>
  <c r="T66" i="1"/>
  <c r="U66" i="1"/>
  <c r="L66" i="1"/>
  <c r="M66" i="1"/>
  <c r="H67" i="1"/>
  <c r="I67" i="1"/>
  <c r="P67" i="1"/>
  <c r="Q67" i="1"/>
  <c r="T67" i="1"/>
  <c r="U67" i="1"/>
  <c r="L67" i="1"/>
  <c r="M67" i="1"/>
  <c r="H68" i="1"/>
  <c r="I68" i="1"/>
  <c r="P68" i="1"/>
  <c r="Q68" i="1"/>
  <c r="T68" i="1"/>
  <c r="U68" i="1"/>
  <c r="L68" i="1"/>
  <c r="M68" i="1"/>
  <c r="H69" i="1"/>
  <c r="I69" i="1"/>
  <c r="P69" i="1"/>
  <c r="Q69" i="1"/>
  <c r="T69" i="1"/>
  <c r="U69" i="1"/>
  <c r="L69" i="1"/>
  <c r="M69" i="1"/>
  <c r="H70" i="1"/>
  <c r="I70" i="1"/>
  <c r="P70" i="1"/>
  <c r="Q70" i="1"/>
  <c r="T70" i="1"/>
  <c r="U70" i="1"/>
  <c r="L70" i="1"/>
  <c r="M70" i="1"/>
  <c r="H71" i="1"/>
  <c r="I71" i="1"/>
  <c r="P71" i="1"/>
  <c r="Q71" i="1"/>
  <c r="T71" i="1"/>
  <c r="U71" i="1"/>
  <c r="L71" i="1"/>
  <c r="M71" i="1"/>
  <c r="H72" i="1"/>
  <c r="I72" i="1"/>
  <c r="P72" i="1"/>
  <c r="Q72" i="1"/>
  <c r="T72" i="1"/>
  <c r="U72" i="1"/>
  <c r="L72" i="1"/>
  <c r="M72" i="1"/>
  <c r="H73" i="1"/>
  <c r="I73" i="1"/>
  <c r="P73" i="1"/>
  <c r="Q73" i="1"/>
  <c r="T73" i="1"/>
  <c r="U73" i="1"/>
  <c r="L73" i="1"/>
  <c r="M73" i="1"/>
  <c r="H74" i="1"/>
  <c r="I74" i="1"/>
  <c r="P74" i="1"/>
  <c r="Q74" i="1"/>
  <c r="T74" i="1"/>
  <c r="U74" i="1"/>
  <c r="L74" i="1"/>
  <c r="M74" i="1"/>
  <c r="H75" i="1"/>
  <c r="I75" i="1"/>
  <c r="P75" i="1"/>
  <c r="Q75" i="1"/>
  <c r="T75" i="1"/>
  <c r="U75" i="1"/>
  <c r="L75" i="1"/>
  <c r="M75" i="1"/>
  <c r="H76" i="1"/>
  <c r="I76" i="1"/>
  <c r="P76" i="1"/>
  <c r="Q76" i="1"/>
  <c r="T76" i="1"/>
  <c r="U76" i="1"/>
  <c r="L76" i="1"/>
  <c r="M76" i="1"/>
  <c r="H77" i="1"/>
  <c r="I77" i="1"/>
  <c r="P77" i="1"/>
  <c r="Q77" i="1"/>
  <c r="T77" i="1"/>
  <c r="U77" i="1"/>
  <c r="L77" i="1"/>
  <c r="M77" i="1"/>
  <c r="H78" i="1"/>
  <c r="I78" i="1"/>
  <c r="P78" i="1"/>
  <c r="Q78" i="1"/>
  <c r="T78" i="1"/>
  <c r="U78" i="1"/>
  <c r="L78" i="1"/>
  <c r="M78" i="1"/>
  <c r="H79" i="1"/>
  <c r="I79" i="1"/>
  <c r="P79" i="1"/>
  <c r="Q79" i="1"/>
  <c r="T79" i="1"/>
  <c r="U79" i="1"/>
  <c r="L79" i="1"/>
  <c r="M79" i="1"/>
  <c r="H80" i="1"/>
  <c r="I80" i="1"/>
  <c r="P80" i="1"/>
  <c r="Q80" i="1"/>
  <c r="T80" i="1"/>
  <c r="U80" i="1"/>
  <c r="L80" i="1"/>
  <c r="M80" i="1"/>
  <c r="H81" i="1"/>
  <c r="I81" i="1"/>
  <c r="P81" i="1"/>
  <c r="Q81" i="1"/>
  <c r="T81" i="1"/>
  <c r="U81" i="1"/>
  <c r="L81" i="1"/>
  <c r="M81" i="1"/>
  <c r="H82" i="1"/>
  <c r="I82" i="1"/>
  <c r="P82" i="1"/>
  <c r="Q82" i="1"/>
  <c r="T82" i="1"/>
  <c r="U82" i="1"/>
  <c r="L82" i="1"/>
  <c r="M82" i="1"/>
  <c r="H83" i="1"/>
  <c r="I83" i="1"/>
  <c r="P83" i="1"/>
  <c r="Q83" i="1"/>
  <c r="T83" i="1"/>
  <c r="U83" i="1"/>
  <c r="L83" i="1"/>
  <c r="M83" i="1"/>
  <c r="H84" i="1"/>
  <c r="I84" i="1"/>
  <c r="P84" i="1"/>
  <c r="Q84" i="1"/>
  <c r="T84" i="1"/>
  <c r="U84" i="1"/>
  <c r="L84" i="1"/>
  <c r="M84" i="1"/>
  <c r="H85" i="1"/>
  <c r="I85" i="1"/>
  <c r="P85" i="1"/>
  <c r="Q85" i="1"/>
  <c r="T85" i="1"/>
  <c r="U85" i="1"/>
  <c r="L85" i="1"/>
  <c r="M85" i="1"/>
  <c r="H86" i="1"/>
  <c r="I86" i="1"/>
  <c r="P86" i="1"/>
  <c r="Q86" i="1"/>
  <c r="T86" i="1"/>
  <c r="U86" i="1"/>
  <c r="L86" i="1"/>
  <c r="M86" i="1"/>
  <c r="H87" i="1"/>
  <c r="I87" i="1"/>
  <c r="P87" i="1"/>
  <c r="Q87" i="1"/>
  <c r="T87" i="1"/>
  <c r="U87" i="1"/>
  <c r="L87" i="1"/>
  <c r="M87" i="1"/>
  <c r="H88" i="1"/>
  <c r="I88" i="1"/>
  <c r="P88" i="1"/>
  <c r="Q88" i="1"/>
  <c r="T88" i="1"/>
  <c r="U88" i="1"/>
  <c r="L88" i="1"/>
  <c r="M88" i="1"/>
  <c r="H89" i="1"/>
  <c r="I89" i="1"/>
  <c r="P89" i="1"/>
  <c r="Q89" i="1"/>
  <c r="T89" i="1"/>
  <c r="U89" i="1"/>
  <c r="L89" i="1"/>
  <c r="M89" i="1"/>
  <c r="H90" i="1"/>
  <c r="I90" i="1"/>
  <c r="P90" i="1"/>
  <c r="Q90" i="1"/>
  <c r="T90" i="1"/>
  <c r="U90" i="1"/>
  <c r="L90" i="1"/>
  <c r="M90" i="1"/>
  <c r="H91" i="1"/>
  <c r="I91" i="1"/>
  <c r="P91" i="1"/>
  <c r="Q91" i="1"/>
  <c r="T91" i="1"/>
  <c r="U91" i="1"/>
  <c r="L91" i="1"/>
  <c r="M91" i="1"/>
  <c r="H92" i="1"/>
  <c r="I92" i="1"/>
  <c r="P92" i="1"/>
  <c r="Q92" i="1"/>
  <c r="T92" i="1"/>
  <c r="U92" i="1"/>
  <c r="L92" i="1"/>
  <c r="M92" i="1"/>
  <c r="H93" i="1"/>
  <c r="I93" i="1"/>
  <c r="P93" i="1"/>
  <c r="Q93" i="1"/>
  <c r="T93" i="1"/>
  <c r="U93" i="1"/>
  <c r="L93" i="1"/>
  <c r="M93" i="1"/>
  <c r="H94" i="1"/>
  <c r="I94" i="1"/>
  <c r="P94" i="1"/>
  <c r="Q94" i="1"/>
  <c r="T94" i="1"/>
  <c r="U94" i="1"/>
  <c r="L94" i="1"/>
  <c r="M94" i="1"/>
  <c r="H95" i="1"/>
  <c r="I95" i="1"/>
  <c r="P95" i="1"/>
  <c r="Q95" i="1"/>
  <c r="T95" i="1"/>
  <c r="U95" i="1"/>
  <c r="L95" i="1"/>
  <c r="M95" i="1"/>
  <c r="H96" i="1"/>
  <c r="I96" i="1"/>
  <c r="P96" i="1"/>
  <c r="Q96" i="1"/>
  <c r="T96" i="1"/>
  <c r="U96" i="1"/>
  <c r="L96" i="1"/>
  <c r="M96" i="1"/>
  <c r="H97" i="1"/>
  <c r="I97" i="1"/>
  <c r="P97" i="1"/>
  <c r="Q97" i="1"/>
  <c r="T97" i="1"/>
  <c r="U97" i="1"/>
  <c r="L97" i="1"/>
  <c r="M97" i="1"/>
  <c r="H98" i="1"/>
  <c r="I98" i="1"/>
  <c r="P98" i="1"/>
  <c r="Q98" i="1"/>
  <c r="T98" i="1"/>
  <c r="U98" i="1"/>
  <c r="L98" i="1"/>
  <c r="M98" i="1"/>
  <c r="H99" i="1"/>
  <c r="I99" i="1"/>
  <c r="P99" i="1"/>
  <c r="Q99" i="1"/>
  <c r="T99" i="1"/>
  <c r="U99" i="1"/>
  <c r="L99" i="1"/>
  <c r="M99" i="1"/>
  <c r="H100" i="1"/>
  <c r="I100" i="1"/>
  <c r="P100" i="1"/>
  <c r="Q100" i="1"/>
  <c r="T100" i="1"/>
  <c r="U100" i="1"/>
  <c r="L100" i="1"/>
  <c r="M100" i="1"/>
  <c r="H101" i="1"/>
  <c r="I101" i="1"/>
  <c r="P101" i="1"/>
  <c r="Q101" i="1"/>
  <c r="T101" i="1"/>
  <c r="U101" i="1"/>
  <c r="L101" i="1"/>
  <c r="M101" i="1"/>
  <c r="H102" i="1"/>
  <c r="I102" i="1"/>
  <c r="P102" i="1"/>
  <c r="Q102" i="1"/>
  <c r="T102" i="1"/>
  <c r="U102" i="1"/>
  <c r="L102" i="1"/>
  <c r="M102" i="1"/>
  <c r="H103" i="1"/>
  <c r="I103" i="1"/>
  <c r="P103" i="1"/>
  <c r="Q103" i="1"/>
  <c r="T103" i="1"/>
  <c r="U103" i="1"/>
  <c r="L103" i="1"/>
  <c r="M103" i="1"/>
  <c r="H104" i="1"/>
  <c r="I104" i="1"/>
  <c r="P104" i="1"/>
  <c r="Q104" i="1"/>
  <c r="T104" i="1"/>
  <c r="U104" i="1"/>
  <c r="L104" i="1"/>
  <c r="M104" i="1"/>
  <c r="H105" i="1"/>
  <c r="I105" i="1"/>
  <c r="P105" i="1"/>
  <c r="Q105" i="1"/>
  <c r="T105" i="1"/>
  <c r="U105" i="1"/>
  <c r="L105" i="1"/>
  <c r="M105" i="1"/>
  <c r="H106" i="1"/>
  <c r="I106" i="1"/>
  <c r="P106" i="1"/>
  <c r="Q106" i="1"/>
  <c r="T106" i="1"/>
  <c r="U106" i="1"/>
  <c r="L106" i="1"/>
  <c r="M106" i="1"/>
  <c r="H107" i="1"/>
  <c r="I107" i="1"/>
  <c r="P107" i="1"/>
  <c r="Q107" i="1"/>
  <c r="T107" i="1"/>
  <c r="U107" i="1"/>
  <c r="L107" i="1"/>
  <c r="M107" i="1"/>
  <c r="H108" i="1"/>
  <c r="I108" i="1"/>
  <c r="P108" i="1"/>
  <c r="Q108" i="1"/>
  <c r="T108" i="1"/>
  <c r="U108" i="1"/>
  <c r="L108" i="1"/>
  <c r="M108" i="1"/>
  <c r="H109" i="1"/>
  <c r="I109" i="1"/>
  <c r="P109" i="1"/>
  <c r="Q109" i="1"/>
  <c r="T109" i="1"/>
  <c r="U109" i="1"/>
  <c r="L109" i="1"/>
  <c r="M109" i="1"/>
  <c r="H110" i="1"/>
  <c r="I110" i="1"/>
  <c r="P110" i="1"/>
  <c r="Q110" i="1"/>
  <c r="T110" i="1"/>
  <c r="U110" i="1"/>
  <c r="L110" i="1"/>
  <c r="M110" i="1"/>
  <c r="H111" i="1"/>
  <c r="I111" i="1"/>
  <c r="P111" i="1"/>
  <c r="Q111" i="1"/>
  <c r="T111" i="1"/>
  <c r="U111" i="1"/>
  <c r="L111" i="1"/>
  <c r="M111" i="1"/>
  <c r="H112" i="1"/>
  <c r="I112" i="1"/>
  <c r="P112" i="1"/>
  <c r="Q112" i="1"/>
  <c r="T112" i="1"/>
  <c r="U112" i="1"/>
  <c r="L112" i="1"/>
  <c r="M112" i="1"/>
  <c r="H113" i="1"/>
  <c r="I113" i="1"/>
  <c r="P113" i="1"/>
  <c r="Q113" i="1"/>
  <c r="T113" i="1"/>
  <c r="U113" i="1"/>
  <c r="L113" i="1"/>
  <c r="M113" i="1"/>
  <c r="H114" i="1"/>
  <c r="I114" i="1"/>
  <c r="P114" i="1"/>
  <c r="Q114" i="1"/>
  <c r="T114" i="1"/>
  <c r="U114" i="1"/>
  <c r="L114" i="1"/>
  <c r="M114" i="1"/>
  <c r="H115" i="1"/>
  <c r="I115" i="1"/>
  <c r="P115" i="1"/>
  <c r="Q115" i="1"/>
  <c r="T115" i="1"/>
  <c r="U115" i="1"/>
  <c r="L115" i="1"/>
  <c r="M115" i="1"/>
  <c r="H116" i="1"/>
  <c r="I116" i="1"/>
  <c r="P116" i="1"/>
  <c r="Q116" i="1"/>
  <c r="T116" i="1"/>
  <c r="U116" i="1"/>
  <c r="L116" i="1"/>
  <c r="M116" i="1"/>
  <c r="H117" i="1"/>
  <c r="I117" i="1"/>
  <c r="P117" i="1"/>
  <c r="Q117" i="1"/>
  <c r="T117" i="1"/>
  <c r="U117" i="1"/>
  <c r="L117" i="1"/>
  <c r="M117" i="1"/>
  <c r="H118" i="1"/>
  <c r="I118" i="1"/>
  <c r="P118" i="1"/>
  <c r="Q118" i="1"/>
  <c r="T118" i="1"/>
  <c r="U118" i="1"/>
  <c r="L118" i="1"/>
  <c r="M118" i="1"/>
  <c r="H119" i="1"/>
  <c r="I119" i="1"/>
  <c r="P119" i="1"/>
  <c r="Q119" i="1"/>
  <c r="T119" i="1"/>
  <c r="U119" i="1"/>
  <c r="L119" i="1"/>
  <c r="M119" i="1"/>
  <c r="H120" i="1"/>
  <c r="I120" i="1"/>
  <c r="P120" i="1"/>
  <c r="Q120" i="1"/>
  <c r="T120" i="1"/>
  <c r="U120" i="1"/>
  <c r="L120" i="1"/>
  <c r="M120" i="1"/>
  <c r="H121" i="1"/>
  <c r="I121" i="1"/>
  <c r="P121" i="1"/>
  <c r="Q121" i="1"/>
  <c r="T121" i="1"/>
  <c r="U121" i="1"/>
  <c r="L121" i="1"/>
  <c r="M121" i="1"/>
  <c r="H122" i="1"/>
  <c r="I122" i="1"/>
  <c r="P122" i="1"/>
  <c r="Q122" i="1"/>
  <c r="T122" i="1"/>
  <c r="U122" i="1"/>
  <c r="L122" i="1"/>
  <c r="M122" i="1"/>
  <c r="H123" i="1"/>
  <c r="I123" i="1"/>
  <c r="P123" i="1"/>
  <c r="Q123" i="1"/>
  <c r="T123" i="1"/>
  <c r="U123" i="1"/>
  <c r="L123" i="1"/>
  <c r="M123" i="1"/>
  <c r="H124" i="1"/>
  <c r="I124" i="1"/>
  <c r="P124" i="1"/>
  <c r="Q124" i="1"/>
  <c r="T124" i="1"/>
  <c r="U124" i="1"/>
  <c r="L124" i="1"/>
  <c r="M124" i="1"/>
  <c r="H125" i="1"/>
  <c r="I125" i="1"/>
  <c r="P125" i="1"/>
  <c r="Q125" i="1"/>
  <c r="T125" i="1"/>
  <c r="U125" i="1"/>
  <c r="L125" i="1"/>
  <c r="M125" i="1"/>
  <c r="H126" i="1"/>
  <c r="I126" i="1"/>
  <c r="P126" i="1"/>
  <c r="Q126" i="1"/>
  <c r="T126" i="1"/>
  <c r="U126" i="1"/>
  <c r="L126" i="1"/>
  <c r="M126" i="1"/>
  <c r="H127" i="1"/>
  <c r="I127" i="1"/>
  <c r="P127" i="1"/>
  <c r="Q127" i="1"/>
  <c r="T127" i="1"/>
  <c r="U127" i="1"/>
  <c r="L127" i="1"/>
  <c r="M127" i="1"/>
  <c r="H128" i="1"/>
  <c r="I128" i="1"/>
  <c r="P128" i="1"/>
  <c r="Q128" i="1"/>
  <c r="T128" i="1"/>
  <c r="U128" i="1"/>
  <c r="L128" i="1"/>
  <c r="M128" i="1"/>
  <c r="H129" i="1"/>
  <c r="I129" i="1"/>
  <c r="P129" i="1"/>
  <c r="Q129" i="1"/>
  <c r="T129" i="1"/>
  <c r="U129" i="1"/>
  <c r="L129" i="1"/>
  <c r="M129" i="1"/>
  <c r="H130" i="1"/>
  <c r="I130" i="1"/>
  <c r="P130" i="1"/>
  <c r="Q130" i="1"/>
  <c r="T130" i="1"/>
  <c r="U130" i="1"/>
  <c r="L130" i="1"/>
  <c r="M130" i="1"/>
  <c r="H131" i="1"/>
  <c r="I131" i="1"/>
  <c r="P131" i="1"/>
  <c r="Q131" i="1"/>
  <c r="T131" i="1"/>
  <c r="U131" i="1"/>
  <c r="L131" i="1"/>
  <c r="M131" i="1"/>
  <c r="H132" i="1"/>
  <c r="I132" i="1"/>
  <c r="P132" i="1"/>
  <c r="Q132" i="1"/>
  <c r="T132" i="1"/>
  <c r="U132" i="1"/>
  <c r="L132" i="1"/>
  <c r="M132" i="1"/>
  <c r="H133" i="1"/>
  <c r="I133" i="1"/>
  <c r="P133" i="1"/>
  <c r="Q133" i="1"/>
  <c r="T133" i="1"/>
  <c r="U133" i="1"/>
  <c r="L133" i="1"/>
  <c r="M133" i="1"/>
  <c r="H134" i="1"/>
  <c r="I134" i="1"/>
  <c r="P134" i="1"/>
  <c r="Q134" i="1"/>
  <c r="T134" i="1"/>
  <c r="U134" i="1"/>
  <c r="L134" i="1"/>
  <c r="M134" i="1"/>
  <c r="H135" i="1"/>
  <c r="I135" i="1"/>
  <c r="P135" i="1"/>
  <c r="Q135" i="1"/>
  <c r="T135" i="1"/>
  <c r="U135" i="1"/>
  <c r="L135" i="1"/>
  <c r="M135" i="1"/>
  <c r="H136" i="1"/>
  <c r="I136" i="1"/>
  <c r="P136" i="1"/>
  <c r="Q136" i="1"/>
  <c r="T136" i="1"/>
  <c r="U136" i="1"/>
  <c r="L136" i="1"/>
  <c r="M136" i="1"/>
  <c r="H137" i="1"/>
  <c r="I137" i="1"/>
  <c r="P137" i="1"/>
  <c r="Q137" i="1"/>
  <c r="T137" i="1"/>
  <c r="U137" i="1"/>
  <c r="L137" i="1"/>
  <c r="M137" i="1"/>
  <c r="H138" i="1"/>
  <c r="I138" i="1"/>
  <c r="P138" i="1"/>
  <c r="Q138" i="1"/>
  <c r="T138" i="1"/>
  <c r="U138" i="1"/>
  <c r="L138" i="1"/>
  <c r="M138" i="1"/>
  <c r="H139" i="1"/>
  <c r="I139" i="1"/>
  <c r="P139" i="1"/>
  <c r="Q139" i="1"/>
  <c r="T139" i="1"/>
  <c r="U139" i="1"/>
  <c r="L139" i="1"/>
  <c r="M139" i="1"/>
  <c r="H140" i="1"/>
  <c r="I140" i="1"/>
  <c r="P140" i="1"/>
  <c r="Q140" i="1"/>
  <c r="T140" i="1"/>
  <c r="U140" i="1"/>
  <c r="L140" i="1"/>
  <c r="M140" i="1"/>
  <c r="H141" i="1"/>
  <c r="I141" i="1"/>
  <c r="P141" i="1"/>
  <c r="Q141" i="1"/>
  <c r="T141" i="1"/>
  <c r="U141" i="1"/>
  <c r="L141" i="1"/>
  <c r="M141" i="1"/>
  <c r="H142" i="1"/>
  <c r="I142" i="1"/>
  <c r="P142" i="1"/>
  <c r="Q142" i="1"/>
  <c r="T142" i="1"/>
  <c r="U142" i="1"/>
  <c r="L142" i="1"/>
  <c r="M142" i="1"/>
  <c r="H143" i="1"/>
  <c r="I143" i="1"/>
  <c r="P143" i="1"/>
  <c r="Q143" i="1"/>
  <c r="T143" i="1"/>
  <c r="U143" i="1"/>
  <c r="L143" i="1"/>
  <c r="M143" i="1"/>
  <c r="H144" i="1"/>
  <c r="I144" i="1"/>
  <c r="P144" i="1"/>
  <c r="Q144" i="1"/>
  <c r="T144" i="1"/>
  <c r="U144" i="1"/>
  <c r="L144" i="1"/>
  <c r="M144" i="1"/>
  <c r="H145" i="1"/>
  <c r="I145" i="1"/>
  <c r="P145" i="1"/>
  <c r="Q145" i="1"/>
  <c r="T145" i="1"/>
  <c r="U145" i="1"/>
  <c r="L145" i="1"/>
  <c r="M145" i="1"/>
  <c r="H146" i="1"/>
  <c r="I146" i="1"/>
  <c r="P146" i="1"/>
  <c r="Q146" i="1"/>
  <c r="T146" i="1"/>
  <c r="U146" i="1"/>
  <c r="L146" i="1"/>
  <c r="M146" i="1"/>
  <c r="H147" i="1"/>
  <c r="I147" i="1"/>
  <c r="P147" i="1"/>
  <c r="Q147" i="1"/>
  <c r="T147" i="1"/>
  <c r="U147" i="1"/>
  <c r="L147" i="1"/>
  <c r="M147" i="1"/>
  <c r="H148" i="1"/>
  <c r="I148" i="1"/>
  <c r="P148" i="1"/>
  <c r="Q148" i="1"/>
  <c r="T148" i="1"/>
  <c r="U148" i="1"/>
  <c r="L148" i="1"/>
  <c r="M148" i="1"/>
  <c r="H149" i="1"/>
  <c r="I149" i="1"/>
  <c r="P149" i="1"/>
  <c r="Q149" i="1"/>
  <c r="T149" i="1"/>
  <c r="U149" i="1"/>
  <c r="L149" i="1"/>
  <c r="M149" i="1"/>
  <c r="H150" i="1"/>
  <c r="I150" i="1"/>
  <c r="P150" i="1"/>
  <c r="Q150" i="1"/>
  <c r="T150" i="1"/>
  <c r="U150" i="1"/>
  <c r="L150" i="1"/>
  <c r="M150" i="1"/>
  <c r="H151" i="1"/>
  <c r="I151" i="1"/>
  <c r="P151" i="1"/>
  <c r="Q151" i="1"/>
  <c r="T151" i="1"/>
  <c r="U151" i="1"/>
  <c r="L151" i="1"/>
  <c r="M151" i="1"/>
  <c r="H152" i="1"/>
  <c r="I152" i="1"/>
  <c r="P152" i="1"/>
  <c r="Q152" i="1"/>
  <c r="T152" i="1"/>
  <c r="U152" i="1"/>
  <c r="L152" i="1"/>
  <c r="M152" i="1"/>
  <c r="H153" i="1"/>
  <c r="I153" i="1"/>
  <c r="P153" i="1"/>
  <c r="Q153" i="1"/>
  <c r="T153" i="1"/>
  <c r="U153" i="1"/>
  <c r="L153" i="1"/>
  <c r="M153" i="1"/>
  <c r="H154" i="1"/>
  <c r="I154" i="1"/>
  <c r="P154" i="1"/>
  <c r="Q154" i="1"/>
  <c r="T154" i="1"/>
  <c r="U154" i="1"/>
  <c r="L154" i="1"/>
  <c r="M154" i="1"/>
  <c r="H155" i="1"/>
  <c r="I155" i="1"/>
  <c r="P155" i="1"/>
  <c r="Q155" i="1"/>
  <c r="T155" i="1"/>
  <c r="U155" i="1"/>
  <c r="L155" i="1"/>
  <c r="M155" i="1"/>
  <c r="H156" i="1"/>
  <c r="I156" i="1"/>
  <c r="P156" i="1"/>
  <c r="Q156" i="1"/>
  <c r="T156" i="1"/>
  <c r="U156" i="1"/>
  <c r="L156" i="1"/>
  <c r="M156" i="1"/>
  <c r="H157" i="1"/>
  <c r="I157" i="1"/>
  <c r="P157" i="1"/>
  <c r="Q157" i="1"/>
  <c r="T157" i="1"/>
  <c r="U157" i="1"/>
  <c r="L157" i="1"/>
  <c r="M157" i="1"/>
  <c r="H158" i="1"/>
  <c r="I158" i="1"/>
  <c r="P158" i="1"/>
  <c r="Q158" i="1"/>
  <c r="T158" i="1"/>
  <c r="U158" i="1"/>
  <c r="L158" i="1"/>
  <c r="M158" i="1"/>
  <c r="H159" i="1"/>
  <c r="I159" i="1"/>
  <c r="P159" i="1"/>
  <c r="Q159" i="1"/>
  <c r="T159" i="1"/>
  <c r="U159" i="1"/>
  <c r="L159" i="1"/>
  <c r="M159" i="1"/>
  <c r="H160" i="1"/>
  <c r="I160" i="1"/>
  <c r="P160" i="1"/>
  <c r="Q160" i="1"/>
  <c r="T160" i="1"/>
  <c r="U160" i="1"/>
  <c r="L160" i="1"/>
  <c r="M160" i="1"/>
  <c r="H161" i="1"/>
  <c r="I161" i="1"/>
  <c r="P161" i="1"/>
  <c r="Q161" i="1"/>
  <c r="T161" i="1"/>
  <c r="U161" i="1"/>
  <c r="L161" i="1"/>
  <c r="M161" i="1"/>
  <c r="H162" i="1"/>
  <c r="I162" i="1"/>
  <c r="P162" i="1"/>
  <c r="Q162" i="1"/>
  <c r="T162" i="1"/>
  <c r="U162" i="1"/>
  <c r="L162" i="1"/>
  <c r="M162" i="1"/>
  <c r="H163" i="1"/>
  <c r="I163" i="1"/>
  <c r="P163" i="1"/>
  <c r="Q163" i="1"/>
  <c r="T163" i="1"/>
  <c r="U163" i="1"/>
  <c r="L163" i="1"/>
  <c r="M163" i="1"/>
  <c r="H164" i="1"/>
  <c r="I164" i="1"/>
  <c r="P164" i="1"/>
  <c r="Q164" i="1"/>
  <c r="T164" i="1"/>
  <c r="U164" i="1"/>
  <c r="L164" i="1"/>
  <c r="M164" i="1"/>
  <c r="H165" i="1"/>
  <c r="I165" i="1"/>
  <c r="P165" i="1"/>
  <c r="Q165" i="1"/>
  <c r="T165" i="1"/>
  <c r="U165" i="1"/>
  <c r="L165" i="1"/>
  <c r="M165" i="1"/>
  <c r="H166" i="1"/>
  <c r="I166" i="1"/>
  <c r="P166" i="1"/>
  <c r="Q166" i="1"/>
  <c r="T166" i="1"/>
  <c r="U166" i="1"/>
  <c r="L166" i="1"/>
  <c r="M166" i="1"/>
  <c r="H167" i="1"/>
  <c r="I167" i="1"/>
  <c r="P167" i="1"/>
  <c r="Q167" i="1"/>
  <c r="T167" i="1"/>
  <c r="U167" i="1"/>
  <c r="L167" i="1"/>
  <c r="M167" i="1"/>
  <c r="H168" i="1"/>
  <c r="I168" i="1"/>
  <c r="P168" i="1"/>
  <c r="Q168" i="1"/>
  <c r="T168" i="1"/>
  <c r="U168" i="1"/>
  <c r="L168" i="1"/>
  <c r="M168" i="1"/>
  <c r="H169" i="1"/>
  <c r="I169" i="1"/>
  <c r="P169" i="1"/>
  <c r="Q169" i="1"/>
  <c r="T169" i="1"/>
  <c r="U169" i="1"/>
  <c r="L169" i="1"/>
  <c r="M169" i="1"/>
  <c r="H170" i="1"/>
  <c r="I170" i="1"/>
  <c r="P170" i="1"/>
  <c r="Q170" i="1"/>
  <c r="T170" i="1"/>
  <c r="U170" i="1"/>
  <c r="L170" i="1"/>
  <c r="M170" i="1"/>
  <c r="H171" i="1"/>
  <c r="I171" i="1"/>
  <c r="P171" i="1"/>
  <c r="Q171" i="1"/>
  <c r="T171" i="1"/>
  <c r="U171" i="1"/>
  <c r="L171" i="1"/>
  <c r="M171" i="1"/>
  <c r="H172" i="1"/>
  <c r="I172" i="1"/>
  <c r="P172" i="1"/>
  <c r="Q172" i="1"/>
  <c r="T172" i="1"/>
  <c r="U172" i="1"/>
  <c r="L172" i="1"/>
  <c r="M172" i="1"/>
  <c r="H173" i="1"/>
  <c r="I173" i="1"/>
  <c r="P173" i="1"/>
  <c r="Q173" i="1"/>
  <c r="T173" i="1"/>
  <c r="U173" i="1"/>
  <c r="L173" i="1"/>
  <c r="M173" i="1"/>
  <c r="H174" i="1"/>
  <c r="I174" i="1"/>
  <c r="P174" i="1"/>
  <c r="Q174" i="1"/>
  <c r="T174" i="1"/>
  <c r="U174" i="1"/>
  <c r="L174" i="1"/>
  <c r="M174" i="1"/>
  <c r="H175" i="1"/>
  <c r="I175" i="1"/>
  <c r="P175" i="1"/>
  <c r="Q175" i="1"/>
  <c r="T175" i="1"/>
  <c r="U175" i="1"/>
  <c r="L175" i="1"/>
  <c r="M175" i="1"/>
  <c r="H176" i="1"/>
  <c r="I176" i="1"/>
  <c r="P176" i="1"/>
  <c r="Q176" i="1"/>
  <c r="T176" i="1"/>
  <c r="U176" i="1"/>
  <c r="L176" i="1"/>
  <c r="M176" i="1"/>
  <c r="H177" i="1"/>
  <c r="I177" i="1"/>
  <c r="P177" i="1"/>
  <c r="Q177" i="1"/>
  <c r="T177" i="1"/>
  <c r="U177" i="1"/>
  <c r="L177" i="1"/>
  <c r="M177" i="1"/>
  <c r="H178" i="1"/>
  <c r="I178" i="1"/>
  <c r="P178" i="1"/>
  <c r="Q178" i="1"/>
  <c r="T178" i="1"/>
  <c r="U178" i="1"/>
  <c r="L178" i="1"/>
  <c r="M178" i="1"/>
  <c r="H179" i="1"/>
  <c r="I179" i="1"/>
  <c r="P179" i="1"/>
  <c r="Q179" i="1"/>
  <c r="T179" i="1"/>
  <c r="U179" i="1"/>
  <c r="L179" i="1"/>
  <c r="M179" i="1"/>
  <c r="H180" i="1"/>
  <c r="I180" i="1"/>
  <c r="P180" i="1"/>
  <c r="Q180" i="1"/>
  <c r="T180" i="1"/>
  <c r="U180" i="1"/>
  <c r="L180" i="1"/>
  <c r="M180" i="1"/>
  <c r="H181" i="1"/>
  <c r="I181" i="1"/>
  <c r="P181" i="1"/>
  <c r="Q181" i="1"/>
  <c r="T181" i="1"/>
  <c r="U181" i="1"/>
  <c r="L181" i="1"/>
  <c r="M181" i="1"/>
  <c r="H182" i="1"/>
  <c r="I182" i="1"/>
  <c r="P182" i="1"/>
  <c r="Q182" i="1"/>
  <c r="T182" i="1"/>
  <c r="U182" i="1"/>
  <c r="L182" i="1"/>
  <c r="M182" i="1"/>
  <c r="H183" i="1"/>
  <c r="I183" i="1"/>
  <c r="P183" i="1"/>
  <c r="Q183" i="1"/>
  <c r="T183" i="1"/>
  <c r="U183" i="1"/>
  <c r="L183" i="1"/>
  <c r="M183" i="1"/>
  <c r="H184" i="1"/>
  <c r="I184" i="1"/>
  <c r="P184" i="1"/>
  <c r="Q184" i="1"/>
  <c r="T184" i="1"/>
  <c r="U184" i="1"/>
  <c r="L184" i="1"/>
  <c r="M184" i="1"/>
  <c r="H185" i="1"/>
  <c r="I185" i="1"/>
  <c r="P185" i="1"/>
  <c r="Q185" i="1"/>
  <c r="T185" i="1"/>
  <c r="U185" i="1"/>
  <c r="L185" i="1"/>
  <c r="M185" i="1"/>
  <c r="H186" i="1"/>
  <c r="I186" i="1"/>
  <c r="P186" i="1"/>
  <c r="Q186" i="1"/>
  <c r="T186" i="1"/>
  <c r="U186" i="1"/>
  <c r="L186" i="1"/>
  <c r="M186" i="1"/>
  <c r="H187" i="1"/>
  <c r="I187" i="1"/>
  <c r="P187" i="1"/>
  <c r="Q187" i="1"/>
  <c r="T187" i="1"/>
  <c r="U187" i="1"/>
  <c r="L187" i="1"/>
  <c r="M187" i="1"/>
  <c r="H188" i="1"/>
  <c r="I188" i="1"/>
  <c r="P188" i="1"/>
  <c r="Q188" i="1"/>
  <c r="T188" i="1"/>
  <c r="U188" i="1"/>
  <c r="L188" i="1"/>
  <c r="M188" i="1"/>
  <c r="H189" i="1"/>
  <c r="I189" i="1"/>
  <c r="P189" i="1"/>
  <c r="Q189" i="1"/>
  <c r="T189" i="1"/>
  <c r="U189" i="1"/>
  <c r="L189" i="1"/>
  <c r="M189" i="1"/>
  <c r="H190" i="1"/>
  <c r="I190" i="1"/>
  <c r="P190" i="1"/>
  <c r="Q190" i="1"/>
  <c r="T190" i="1"/>
  <c r="U190" i="1"/>
  <c r="L190" i="1"/>
  <c r="M190" i="1"/>
  <c r="H191" i="1"/>
  <c r="I191" i="1"/>
  <c r="P191" i="1"/>
  <c r="Q191" i="1"/>
  <c r="T191" i="1"/>
  <c r="U191" i="1"/>
  <c r="L191" i="1"/>
  <c r="M191" i="1"/>
  <c r="H192" i="1"/>
  <c r="I192" i="1"/>
  <c r="P192" i="1"/>
  <c r="Q192" i="1"/>
  <c r="T192" i="1"/>
  <c r="U192" i="1"/>
  <c r="L192" i="1"/>
  <c r="M192" i="1"/>
  <c r="H193" i="1"/>
  <c r="I193" i="1"/>
  <c r="P193" i="1"/>
  <c r="Q193" i="1"/>
  <c r="T193" i="1"/>
  <c r="U193" i="1"/>
  <c r="L193" i="1"/>
  <c r="M193" i="1"/>
  <c r="H194" i="1"/>
  <c r="I194" i="1"/>
  <c r="P194" i="1"/>
  <c r="Q194" i="1"/>
  <c r="T194" i="1"/>
  <c r="U194" i="1"/>
  <c r="L194" i="1"/>
  <c r="M194" i="1"/>
  <c r="H195" i="1"/>
  <c r="I195" i="1"/>
  <c r="P195" i="1"/>
  <c r="Q195" i="1"/>
  <c r="T195" i="1"/>
  <c r="U195" i="1"/>
  <c r="L195" i="1"/>
  <c r="M195" i="1"/>
  <c r="H196" i="1"/>
  <c r="I196" i="1"/>
  <c r="P196" i="1"/>
  <c r="Q196" i="1"/>
  <c r="T196" i="1"/>
  <c r="U196" i="1"/>
  <c r="L196" i="1"/>
  <c r="M196" i="1"/>
  <c r="H197" i="1"/>
  <c r="I197" i="1"/>
  <c r="P197" i="1"/>
  <c r="Q197" i="1"/>
  <c r="T197" i="1"/>
  <c r="U197" i="1"/>
  <c r="L197" i="1"/>
  <c r="M197" i="1"/>
  <c r="H198" i="1"/>
  <c r="I198" i="1"/>
  <c r="P198" i="1"/>
  <c r="Q198" i="1"/>
  <c r="T198" i="1"/>
  <c r="U198" i="1"/>
  <c r="L198" i="1"/>
  <c r="M198" i="1"/>
  <c r="H199" i="1"/>
  <c r="I199" i="1"/>
  <c r="P199" i="1"/>
  <c r="Q199" i="1"/>
  <c r="T199" i="1"/>
  <c r="U199" i="1"/>
  <c r="L199" i="1"/>
  <c r="M199" i="1"/>
  <c r="H200" i="1"/>
  <c r="I200" i="1"/>
  <c r="P200" i="1"/>
  <c r="Q200" i="1"/>
  <c r="T200" i="1"/>
  <c r="U200" i="1"/>
  <c r="L200" i="1"/>
  <c r="M200" i="1"/>
  <c r="H201" i="1"/>
  <c r="I201" i="1"/>
  <c r="P201" i="1"/>
  <c r="Q201" i="1"/>
  <c r="T201" i="1"/>
  <c r="U201" i="1"/>
  <c r="L201" i="1"/>
  <c r="M201" i="1"/>
  <c r="H202" i="1"/>
  <c r="I202" i="1"/>
  <c r="P202" i="1"/>
  <c r="Q202" i="1"/>
  <c r="T202" i="1"/>
  <c r="U202" i="1"/>
  <c r="L202" i="1"/>
  <c r="M202" i="1"/>
  <c r="H203" i="1"/>
  <c r="I203" i="1"/>
  <c r="P203" i="1"/>
  <c r="Q203" i="1"/>
  <c r="T203" i="1"/>
  <c r="U203" i="1"/>
  <c r="L203" i="1"/>
  <c r="M203" i="1"/>
  <c r="H204" i="1"/>
  <c r="I204" i="1"/>
  <c r="P204" i="1"/>
  <c r="Q204" i="1"/>
  <c r="T204" i="1"/>
  <c r="U204" i="1"/>
  <c r="L204" i="1"/>
  <c r="M204" i="1"/>
  <c r="H205" i="1"/>
  <c r="I205" i="1"/>
  <c r="P205" i="1"/>
  <c r="Q205" i="1"/>
  <c r="T205" i="1"/>
  <c r="U205" i="1"/>
  <c r="L205" i="1"/>
  <c r="M205" i="1"/>
  <c r="H206" i="1"/>
  <c r="I206" i="1"/>
  <c r="P206" i="1"/>
  <c r="Q206" i="1"/>
  <c r="T206" i="1"/>
  <c r="U206" i="1"/>
  <c r="L206" i="1"/>
  <c r="M206" i="1"/>
  <c r="H207" i="1"/>
  <c r="I207" i="1"/>
  <c r="P207" i="1"/>
  <c r="Q207" i="1"/>
  <c r="T207" i="1"/>
  <c r="U207" i="1"/>
  <c r="L207" i="1"/>
  <c r="M207" i="1"/>
  <c r="H208" i="1"/>
  <c r="I208" i="1"/>
  <c r="P208" i="1"/>
  <c r="Q208" i="1"/>
  <c r="T208" i="1"/>
  <c r="U208" i="1"/>
  <c r="L208" i="1"/>
  <c r="M208" i="1"/>
  <c r="H209" i="1"/>
  <c r="I209" i="1"/>
  <c r="P209" i="1"/>
  <c r="Q209" i="1"/>
  <c r="T209" i="1"/>
  <c r="U209" i="1"/>
  <c r="L209" i="1"/>
  <c r="M209" i="1"/>
  <c r="H210" i="1"/>
  <c r="I210" i="1"/>
  <c r="P210" i="1"/>
  <c r="Q210" i="1"/>
  <c r="T210" i="1"/>
  <c r="U210" i="1"/>
  <c r="L210" i="1"/>
  <c r="M210" i="1"/>
  <c r="H211" i="1"/>
  <c r="I211" i="1"/>
  <c r="P211" i="1"/>
  <c r="Q211" i="1"/>
  <c r="T211" i="1"/>
  <c r="U211" i="1"/>
  <c r="L211" i="1"/>
  <c r="M211" i="1"/>
  <c r="H212" i="1"/>
  <c r="I212" i="1"/>
  <c r="P212" i="1"/>
  <c r="Q212" i="1"/>
  <c r="T212" i="1"/>
  <c r="U212" i="1"/>
  <c r="L212" i="1"/>
  <c r="M212" i="1"/>
  <c r="H213" i="1"/>
  <c r="I213" i="1"/>
  <c r="P213" i="1"/>
  <c r="Q213" i="1"/>
  <c r="T213" i="1"/>
  <c r="U213" i="1"/>
  <c r="L213" i="1"/>
  <c r="M213" i="1"/>
  <c r="H214" i="1"/>
  <c r="I214" i="1"/>
  <c r="P214" i="1"/>
  <c r="Q214" i="1"/>
  <c r="T214" i="1"/>
  <c r="U214" i="1"/>
  <c r="L214" i="1"/>
  <c r="M214" i="1"/>
  <c r="H215" i="1"/>
  <c r="I215" i="1"/>
  <c r="P215" i="1"/>
  <c r="Q215" i="1"/>
  <c r="T215" i="1"/>
  <c r="U215" i="1"/>
  <c r="L215" i="1"/>
  <c r="M215" i="1"/>
  <c r="H216" i="1"/>
  <c r="I216" i="1"/>
  <c r="P216" i="1"/>
  <c r="Q216" i="1"/>
  <c r="T216" i="1"/>
  <c r="U216" i="1"/>
  <c r="L216" i="1"/>
  <c r="M216" i="1"/>
  <c r="H217" i="1"/>
  <c r="I217" i="1"/>
  <c r="P217" i="1"/>
  <c r="Q217" i="1"/>
  <c r="T217" i="1"/>
  <c r="U217" i="1"/>
  <c r="L217" i="1"/>
  <c r="M217" i="1"/>
  <c r="H218" i="1"/>
  <c r="I218" i="1"/>
  <c r="P218" i="1"/>
  <c r="Q218" i="1"/>
  <c r="T218" i="1"/>
  <c r="U218" i="1"/>
  <c r="L218" i="1"/>
  <c r="M218" i="1"/>
  <c r="H219" i="1"/>
  <c r="I219" i="1"/>
  <c r="P219" i="1"/>
  <c r="Q219" i="1"/>
  <c r="T219" i="1"/>
  <c r="U219" i="1"/>
  <c r="L219" i="1"/>
  <c r="M219" i="1"/>
  <c r="H220" i="1"/>
  <c r="I220" i="1"/>
  <c r="P220" i="1"/>
  <c r="Q220" i="1"/>
  <c r="T220" i="1"/>
  <c r="U220" i="1"/>
  <c r="L220" i="1"/>
  <c r="M220" i="1"/>
  <c r="H221" i="1"/>
  <c r="I221" i="1"/>
  <c r="P221" i="1"/>
  <c r="Q221" i="1"/>
  <c r="T221" i="1"/>
  <c r="U221" i="1"/>
  <c r="L221" i="1"/>
  <c r="M221" i="1"/>
  <c r="H222" i="1"/>
  <c r="I222" i="1"/>
  <c r="P222" i="1"/>
  <c r="Q222" i="1"/>
  <c r="T222" i="1"/>
  <c r="U222" i="1"/>
  <c r="L222" i="1"/>
  <c r="M222" i="1"/>
  <c r="H223" i="1"/>
  <c r="I223" i="1"/>
  <c r="P223" i="1"/>
  <c r="Q223" i="1"/>
  <c r="T223" i="1"/>
  <c r="U223" i="1"/>
  <c r="L223" i="1"/>
  <c r="M223" i="1"/>
  <c r="H224" i="1"/>
  <c r="I224" i="1"/>
  <c r="P224" i="1"/>
  <c r="Q224" i="1"/>
  <c r="T224" i="1"/>
  <c r="U224" i="1"/>
  <c r="L224" i="1"/>
  <c r="M224" i="1"/>
  <c r="H225" i="1"/>
  <c r="I225" i="1"/>
  <c r="P225" i="1"/>
  <c r="Q225" i="1"/>
  <c r="T225" i="1"/>
  <c r="U225" i="1"/>
  <c r="L225" i="1"/>
  <c r="M225" i="1"/>
  <c r="H226" i="1"/>
  <c r="I226" i="1"/>
  <c r="P226" i="1"/>
  <c r="Q226" i="1"/>
  <c r="T226" i="1"/>
  <c r="U226" i="1"/>
  <c r="L226" i="1"/>
  <c r="M226" i="1"/>
  <c r="H227" i="1"/>
  <c r="I227" i="1"/>
  <c r="P227" i="1"/>
  <c r="Q227" i="1"/>
  <c r="T227" i="1"/>
  <c r="U227" i="1"/>
  <c r="L227" i="1"/>
  <c r="M227" i="1"/>
  <c r="H228" i="1"/>
  <c r="I228" i="1"/>
  <c r="P228" i="1"/>
  <c r="Q228" i="1"/>
  <c r="T228" i="1"/>
  <c r="U228" i="1"/>
  <c r="L228" i="1"/>
  <c r="M228" i="1"/>
  <c r="H229" i="1"/>
  <c r="I229" i="1"/>
  <c r="P229" i="1"/>
  <c r="Q229" i="1"/>
  <c r="T229" i="1"/>
  <c r="U229" i="1"/>
  <c r="L229" i="1"/>
  <c r="M229" i="1"/>
  <c r="H230" i="1"/>
  <c r="I230" i="1"/>
  <c r="P230" i="1"/>
  <c r="Q230" i="1"/>
  <c r="T230" i="1"/>
  <c r="U230" i="1"/>
  <c r="L230" i="1"/>
  <c r="M230" i="1"/>
  <c r="H231" i="1"/>
  <c r="I231" i="1"/>
  <c r="P231" i="1"/>
  <c r="Q231" i="1"/>
  <c r="T231" i="1"/>
  <c r="U231" i="1"/>
  <c r="L231" i="1"/>
  <c r="M231" i="1"/>
  <c r="H232" i="1"/>
  <c r="I232" i="1"/>
  <c r="P232" i="1"/>
  <c r="Q232" i="1"/>
  <c r="T232" i="1"/>
  <c r="U232" i="1"/>
  <c r="L232" i="1"/>
  <c r="M232" i="1"/>
  <c r="H233" i="1"/>
  <c r="I233" i="1"/>
  <c r="P233" i="1"/>
  <c r="Q233" i="1"/>
  <c r="T233" i="1"/>
  <c r="U233" i="1"/>
  <c r="L233" i="1"/>
  <c r="M233" i="1"/>
  <c r="H234" i="1"/>
  <c r="I234" i="1"/>
  <c r="P234" i="1"/>
  <c r="Q234" i="1"/>
  <c r="T234" i="1"/>
  <c r="U234" i="1"/>
  <c r="L234" i="1"/>
  <c r="M234" i="1"/>
  <c r="H235" i="1"/>
  <c r="I235" i="1"/>
  <c r="P235" i="1"/>
  <c r="Q235" i="1"/>
  <c r="T235" i="1"/>
  <c r="U235" i="1"/>
  <c r="L235" i="1"/>
  <c r="M235" i="1"/>
  <c r="H236" i="1"/>
  <c r="I236" i="1"/>
  <c r="P236" i="1"/>
  <c r="Q236" i="1"/>
  <c r="T236" i="1"/>
  <c r="U236" i="1"/>
  <c r="L236" i="1"/>
  <c r="M236" i="1"/>
  <c r="H237" i="1"/>
  <c r="I237" i="1"/>
  <c r="P237" i="1"/>
  <c r="Q237" i="1"/>
  <c r="T237" i="1"/>
  <c r="U237" i="1"/>
  <c r="L237" i="1"/>
  <c r="M237" i="1"/>
  <c r="H238" i="1"/>
  <c r="I238" i="1"/>
  <c r="P238" i="1"/>
  <c r="Q238" i="1"/>
  <c r="T238" i="1"/>
  <c r="U238" i="1"/>
  <c r="L238" i="1"/>
  <c r="M238" i="1"/>
  <c r="H239" i="1"/>
  <c r="I239" i="1"/>
  <c r="P239" i="1"/>
  <c r="Q239" i="1"/>
  <c r="T239" i="1"/>
  <c r="U239" i="1"/>
  <c r="L239" i="1"/>
  <c r="M239" i="1"/>
  <c r="H240" i="1"/>
  <c r="I240" i="1"/>
  <c r="P240" i="1"/>
  <c r="Q240" i="1"/>
  <c r="T240" i="1"/>
  <c r="U240" i="1"/>
  <c r="L240" i="1"/>
  <c r="M240" i="1"/>
  <c r="H241" i="1"/>
  <c r="I241" i="1"/>
  <c r="P241" i="1"/>
  <c r="Q241" i="1"/>
  <c r="T241" i="1"/>
  <c r="U241" i="1"/>
  <c r="L241" i="1"/>
  <c r="M241" i="1"/>
  <c r="H242" i="1"/>
  <c r="I242" i="1"/>
  <c r="P242" i="1"/>
  <c r="Q242" i="1"/>
  <c r="T242" i="1"/>
  <c r="U242" i="1"/>
  <c r="L242" i="1"/>
  <c r="M242" i="1"/>
  <c r="H243" i="1"/>
  <c r="I243" i="1"/>
  <c r="P243" i="1"/>
  <c r="Q243" i="1"/>
  <c r="T243" i="1"/>
  <c r="U243" i="1"/>
  <c r="L243" i="1"/>
  <c r="M243" i="1"/>
  <c r="H244" i="1"/>
  <c r="I244" i="1"/>
  <c r="P244" i="1"/>
  <c r="Q244" i="1"/>
  <c r="T244" i="1"/>
  <c r="U244" i="1"/>
  <c r="L244" i="1"/>
  <c r="M244" i="1"/>
  <c r="H245" i="1"/>
  <c r="I245" i="1"/>
  <c r="P245" i="1"/>
  <c r="Q245" i="1"/>
  <c r="T245" i="1"/>
  <c r="U245" i="1"/>
  <c r="L245" i="1"/>
  <c r="M245" i="1"/>
  <c r="H246" i="1"/>
  <c r="I246" i="1"/>
  <c r="P246" i="1"/>
  <c r="Q246" i="1"/>
  <c r="T246" i="1"/>
  <c r="U246" i="1"/>
  <c r="L246" i="1"/>
  <c r="M246" i="1"/>
  <c r="H247" i="1"/>
  <c r="I247" i="1"/>
  <c r="P247" i="1"/>
  <c r="Q247" i="1"/>
  <c r="T247" i="1"/>
  <c r="U247" i="1"/>
  <c r="L247" i="1"/>
  <c r="M247" i="1"/>
  <c r="H248" i="1"/>
  <c r="I248" i="1"/>
  <c r="P248" i="1"/>
  <c r="Q248" i="1"/>
  <c r="T248" i="1"/>
  <c r="U248" i="1"/>
  <c r="L248" i="1"/>
  <c r="M248" i="1"/>
  <c r="H249" i="1"/>
  <c r="I249" i="1"/>
  <c r="P249" i="1"/>
  <c r="Q249" i="1"/>
  <c r="T249" i="1"/>
  <c r="U249" i="1"/>
  <c r="L249" i="1"/>
  <c r="M249" i="1"/>
  <c r="H250" i="1"/>
  <c r="I250" i="1"/>
  <c r="P250" i="1"/>
  <c r="Q250" i="1"/>
  <c r="T250" i="1"/>
  <c r="U250" i="1"/>
  <c r="L250" i="1"/>
  <c r="M250" i="1"/>
  <c r="H251" i="1"/>
  <c r="I251" i="1"/>
  <c r="P251" i="1"/>
  <c r="Q251" i="1"/>
  <c r="T251" i="1"/>
  <c r="U251" i="1"/>
  <c r="L251" i="1"/>
  <c r="M251" i="1"/>
  <c r="H252" i="1"/>
  <c r="I252" i="1"/>
  <c r="P252" i="1"/>
  <c r="Q252" i="1"/>
  <c r="T252" i="1"/>
  <c r="U252" i="1"/>
  <c r="L252" i="1"/>
  <c r="M252" i="1"/>
  <c r="H253" i="1"/>
  <c r="P253" i="1"/>
  <c r="T253" i="1"/>
  <c r="L253" i="1"/>
  <c r="H254" i="1"/>
  <c r="I254" i="1"/>
  <c r="P254" i="1"/>
  <c r="Q254" i="1"/>
  <c r="T254" i="1"/>
  <c r="U254" i="1"/>
  <c r="L254" i="1"/>
  <c r="M254" i="1"/>
  <c r="H255" i="1"/>
  <c r="I255" i="1"/>
  <c r="P255" i="1"/>
  <c r="Q255" i="1"/>
  <c r="T255" i="1"/>
  <c r="U255" i="1"/>
  <c r="L255" i="1"/>
  <c r="M255" i="1"/>
  <c r="H256" i="1"/>
  <c r="I256" i="1"/>
  <c r="P256" i="1"/>
  <c r="Q256" i="1"/>
  <c r="T256" i="1"/>
  <c r="U256" i="1"/>
  <c r="L256" i="1"/>
  <c r="M256" i="1"/>
  <c r="H257" i="1"/>
  <c r="I257" i="1"/>
  <c r="P257" i="1"/>
  <c r="Q257" i="1"/>
  <c r="T257" i="1"/>
  <c r="U257" i="1"/>
  <c r="L257" i="1"/>
  <c r="M257" i="1"/>
  <c r="H258" i="1"/>
  <c r="I258" i="1"/>
  <c r="P258" i="1"/>
  <c r="Q258" i="1"/>
  <c r="T258" i="1"/>
  <c r="U258" i="1"/>
  <c r="L258" i="1"/>
  <c r="M258" i="1"/>
  <c r="H259" i="1"/>
  <c r="I259" i="1"/>
  <c r="P259" i="1"/>
  <c r="Q259" i="1"/>
  <c r="T259" i="1"/>
  <c r="U259" i="1"/>
  <c r="L259" i="1"/>
  <c r="M259" i="1"/>
  <c r="H260" i="1"/>
  <c r="I260" i="1"/>
  <c r="P260" i="1"/>
  <c r="Q260" i="1"/>
  <c r="T260" i="1"/>
  <c r="U260" i="1"/>
  <c r="L260" i="1"/>
  <c r="M260" i="1"/>
  <c r="H261" i="1"/>
  <c r="I261" i="1"/>
  <c r="P261" i="1"/>
  <c r="Q261" i="1"/>
  <c r="T261" i="1"/>
  <c r="U261" i="1"/>
  <c r="L261" i="1"/>
  <c r="M261" i="1"/>
  <c r="H262" i="1"/>
  <c r="I262" i="1"/>
  <c r="P262" i="1"/>
  <c r="Q262" i="1"/>
  <c r="T262" i="1"/>
  <c r="U262" i="1"/>
  <c r="L262" i="1"/>
  <c r="M262" i="1"/>
  <c r="H263" i="1"/>
  <c r="I263" i="1"/>
  <c r="P263" i="1"/>
  <c r="Q263" i="1"/>
  <c r="T263" i="1"/>
  <c r="U263" i="1"/>
  <c r="L263" i="1"/>
  <c r="M263" i="1"/>
  <c r="H264" i="1"/>
  <c r="I264" i="1"/>
  <c r="P264" i="1"/>
  <c r="Q264" i="1"/>
  <c r="T264" i="1"/>
  <c r="U264" i="1"/>
  <c r="L264" i="1"/>
  <c r="M264" i="1"/>
  <c r="H265" i="1"/>
  <c r="I265" i="1"/>
  <c r="P265" i="1"/>
  <c r="Q265" i="1"/>
  <c r="T265" i="1"/>
  <c r="U265" i="1"/>
  <c r="L265" i="1"/>
  <c r="M265" i="1"/>
  <c r="H266" i="1"/>
  <c r="I266" i="1"/>
  <c r="P266" i="1"/>
  <c r="Q266" i="1"/>
  <c r="T266" i="1"/>
  <c r="U266" i="1"/>
  <c r="L266" i="1"/>
  <c r="M266" i="1"/>
  <c r="H267" i="1"/>
  <c r="I267" i="1"/>
  <c r="P267" i="1"/>
  <c r="Q267" i="1"/>
  <c r="T267" i="1"/>
  <c r="U267" i="1"/>
  <c r="L267" i="1"/>
  <c r="M267" i="1"/>
  <c r="H268" i="1"/>
  <c r="I268" i="1"/>
  <c r="P268" i="1"/>
  <c r="Q268" i="1"/>
  <c r="T268" i="1"/>
  <c r="U268" i="1"/>
  <c r="L268" i="1"/>
  <c r="M268" i="1"/>
  <c r="H269" i="1"/>
  <c r="I269" i="1"/>
  <c r="P269" i="1"/>
  <c r="Q269" i="1"/>
  <c r="T269" i="1"/>
  <c r="U269" i="1"/>
  <c r="L269" i="1"/>
  <c r="M269" i="1"/>
  <c r="H270" i="1"/>
  <c r="I270" i="1"/>
  <c r="P270" i="1"/>
  <c r="Q270" i="1"/>
  <c r="T270" i="1"/>
  <c r="U270" i="1"/>
  <c r="L270" i="1"/>
  <c r="M270" i="1"/>
  <c r="H271" i="1"/>
  <c r="I271" i="1"/>
  <c r="P271" i="1"/>
  <c r="Q271" i="1"/>
  <c r="T271" i="1"/>
  <c r="U271" i="1"/>
  <c r="L271" i="1"/>
  <c r="M271" i="1"/>
  <c r="H272" i="1"/>
  <c r="I272" i="1"/>
  <c r="P272" i="1"/>
  <c r="Q272" i="1"/>
  <c r="T272" i="1"/>
  <c r="U272" i="1"/>
  <c r="L272" i="1"/>
  <c r="M272" i="1"/>
  <c r="H273" i="1"/>
  <c r="I273" i="1"/>
  <c r="P273" i="1"/>
  <c r="Q273" i="1"/>
  <c r="T273" i="1"/>
  <c r="U273" i="1"/>
  <c r="L273" i="1"/>
  <c r="M273" i="1"/>
  <c r="H274" i="1"/>
  <c r="I274" i="1"/>
  <c r="P274" i="1"/>
  <c r="Q274" i="1"/>
  <c r="T274" i="1"/>
  <c r="U274" i="1"/>
  <c r="L274" i="1"/>
  <c r="M274" i="1"/>
  <c r="H275" i="1"/>
  <c r="I275" i="1"/>
  <c r="P275" i="1"/>
  <c r="Q275" i="1"/>
  <c r="T275" i="1"/>
  <c r="U275" i="1"/>
  <c r="L275" i="1"/>
  <c r="M275" i="1"/>
  <c r="H276" i="1"/>
  <c r="I276" i="1"/>
  <c r="P276" i="1"/>
  <c r="Q276" i="1"/>
  <c r="T276" i="1"/>
  <c r="U276" i="1"/>
  <c r="L276" i="1"/>
  <c r="M276" i="1"/>
  <c r="H277" i="1"/>
  <c r="I277" i="1"/>
  <c r="P277" i="1"/>
  <c r="Q277" i="1"/>
  <c r="T277" i="1"/>
  <c r="U277" i="1"/>
  <c r="L277" i="1"/>
  <c r="M277" i="1"/>
  <c r="H278" i="1"/>
  <c r="I278" i="1"/>
  <c r="P278" i="1"/>
  <c r="Q278" i="1"/>
  <c r="T278" i="1"/>
  <c r="U278" i="1"/>
  <c r="L278" i="1"/>
  <c r="M278" i="1"/>
  <c r="H279" i="1"/>
  <c r="I279" i="1"/>
  <c r="P279" i="1"/>
  <c r="Q279" i="1"/>
  <c r="T279" i="1"/>
  <c r="U279" i="1"/>
  <c r="L279" i="1"/>
  <c r="M279" i="1"/>
  <c r="H280" i="1"/>
  <c r="I280" i="1"/>
  <c r="P280" i="1"/>
  <c r="Q280" i="1"/>
  <c r="T280" i="1"/>
  <c r="U280" i="1"/>
  <c r="L280" i="1"/>
  <c r="M280" i="1"/>
  <c r="H281" i="1"/>
  <c r="I281" i="1"/>
  <c r="P281" i="1"/>
  <c r="Q281" i="1"/>
  <c r="T281" i="1"/>
  <c r="U281" i="1"/>
  <c r="L281" i="1"/>
  <c r="M281" i="1"/>
  <c r="H282" i="1"/>
  <c r="I282" i="1"/>
  <c r="P282" i="1"/>
  <c r="Q282" i="1"/>
  <c r="T282" i="1"/>
  <c r="U282" i="1"/>
  <c r="L282" i="1"/>
  <c r="M282" i="1"/>
  <c r="H283" i="1"/>
  <c r="I283" i="1"/>
  <c r="P283" i="1"/>
  <c r="Q283" i="1"/>
  <c r="T283" i="1"/>
  <c r="U283" i="1"/>
  <c r="L283" i="1"/>
  <c r="M283" i="1"/>
  <c r="H284" i="1"/>
  <c r="I284" i="1"/>
  <c r="P284" i="1"/>
  <c r="Q284" i="1"/>
  <c r="T284" i="1"/>
  <c r="U284" i="1"/>
  <c r="L284" i="1"/>
  <c r="M284" i="1"/>
  <c r="H285" i="1"/>
  <c r="I285" i="1"/>
  <c r="P285" i="1"/>
  <c r="Q285" i="1"/>
  <c r="T285" i="1"/>
  <c r="U285" i="1"/>
  <c r="L285" i="1"/>
  <c r="M285" i="1"/>
  <c r="H286" i="1"/>
  <c r="I286" i="1"/>
  <c r="P286" i="1"/>
  <c r="Q286" i="1"/>
  <c r="T286" i="1"/>
  <c r="U286" i="1"/>
  <c r="L286" i="1"/>
  <c r="M286" i="1"/>
  <c r="H287" i="1"/>
  <c r="I287" i="1"/>
  <c r="P287" i="1"/>
  <c r="Q287" i="1"/>
  <c r="T287" i="1"/>
  <c r="U287" i="1"/>
  <c r="L287" i="1"/>
  <c r="M287" i="1"/>
  <c r="H288" i="1"/>
  <c r="I288" i="1"/>
  <c r="P288" i="1"/>
  <c r="Q288" i="1"/>
  <c r="T288" i="1"/>
  <c r="U288" i="1"/>
  <c r="L288" i="1"/>
  <c r="M288" i="1"/>
  <c r="H289" i="1"/>
  <c r="I289" i="1"/>
  <c r="P289" i="1"/>
  <c r="Q289" i="1"/>
  <c r="T289" i="1"/>
  <c r="U289" i="1"/>
  <c r="L289" i="1"/>
  <c r="M289" i="1"/>
  <c r="H290" i="1"/>
  <c r="I290" i="1"/>
  <c r="P290" i="1"/>
  <c r="Q290" i="1"/>
  <c r="T290" i="1"/>
  <c r="U290" i="1"/>
  <c r="L290" i="1"/>
  <c r="M290" i="1"/>
  <c r="H291" i="1"/>
  <c r="I291" i="1"/>
  <c r="P291" i="1"/>
  <c r="Q291" i="1"/>
  <c r="T291" i="1"/>
  <c r="U291" i="1"/>
  <c r="L291" i="1"/>
  <c r="M291" i="1"/>
  <c r="H292" i="1"/>
  <c r="I292" i="1"/>
  <c r="P292" i="1"/>
  <c r="Q292" i="1"/>
  <c r="T292" i="1"/>
  <c r="U292" i="1"/>
  <c r="L292" i="1"/>
  <c r="M292" i="1"/>
  <c r="H293" i="1"/>
  <c r="I293" i="1"/>
  <c r="P293" i="1"/>
  <c r="Q293" i="1"/>
  <c r="T293" i="1"/>
  <c r="U293" i="1"/>
  <c r="L293" i="1"/>
  <c r="M293" i="1"/>
  <c r="H294" i="1"/>
  <c r="I294" i="1"/>
  <c r="P294" i="1"/>
  <c r="Q294" i="1"/>
  <c r="T294" i="1"/>
  <c r="U294" i="1"/>
  <c r="L294" i="1"/>
  <c r="M294" i="1"/>
  <c r="H295" i="1"/>
  <c r="I295" i="1"/>
  <c r="P295" i="1"/>
  <c r="Q295" i="1"/>
  <c r="T295" i="1"/>
  <c r="U295" i="1"/>
  <c r="L295" i="1"/>
  <c r="M295" i="1"/>
  <c r="H296" i="1"/>
  <c r="I296" i="1"/>
  <c r="P296" i="1"/>
  <c r="Q296" i="1"/>
  <c r="T296" i="1"/>
  <c r="U296" i="1"/>
  <c r="L296" i="1"/>
  <c r="M296" i="1"/>
  <c r="H297" i="1"/>
  <c r="I297" i="1"/>
  <c r="P297" i="1"/>
  <c r="Q297" i="1"/>
  <c r="T297" i="1"/>
  <c r="U297" i="1"/>
  <c r="L297" i="1"/>
  <c r="M297" i="1"/>
  <c r="H298" i="1"/>
  <c r="I298" i="1"/>
  <c r="P298" i="1"/>
  <c r="Q298" i="1"/>
  <c r="T298" i="1"/>
  <c r="U298" i="1"/>
  <c r="L298" i="1"/>
  <c r="M298" i="1"/>
  <c r="H299" i="1"/>
  <c r="I299" i="1"/>
  <c r="P299" i="1"/>
  <c r="Q299" i="1"/>
  <c r="T299" i="1"/>
  <c r="U299" i="1"/>
  <c r="L299" i="1"/>
  <c r="M299" i="1"/>
  <c r="H300" i="1"/>
  <c r="I300" i="1"/>
  <c r="P300" i="1"/>
  <c r="Q300" i="1"/>
  <c r="T300" i="1"/>
  <c r="U300" i="1"/>
  <c r="L300" i="1"/>
  <c r="M300" i="1"/>
  <c r="H301" i="1"/>
  <c r="I301" i="1"/>
  <c r="P301" i="1"/>
  <c r="Q301" i="1"/>
  <c r="T301" i="1"/>
  <c r="U301" i="1"/>
  <c r="L301" i="1"/>
  <c r="M301" i="1"/>
  <c r="H302" i="1"/>
  <c r="I302" i="1"/>
  <c r="P302" i="1"/>
  <c r="Q302" i="1"/>
  <c r="T302" i="1"/>
  <c r="U302" i="1"/>
  <c r="L302" i="1"/>
  <c r="M302" i="1"/>
  <c r="H303" i="1"/>
  <c r="I303" i="1"/>
  <c r="P303" i="1"/>
  <c r="Q303" i="1"/>
  <c r="T303" i="1"/>
  <c r="U303" i="1"/>
  <c r="L303" i="1"/>
  <c r="M303" i="1"/>
  <c r="H304" i="1"/>
  <c r="I304" i="1"/>
  <c r="P304" i="1"/>
  <c r="Q304" i="1"/>
  <c r="T304" i="1"/>
  <c r="U304" i="1"/>
  <c r="L304" i="1"/>
  <c r="M304" i="1"/>
  <c r="H305" i="1"/>
  <c r="I305" i="1"/>
  <c r="P305" i="1"/>
  <c r="Q305" i="1"/>
  <c r="T305" i="1"/>
  <c r="U305" i="1"/>
  <c r="L305" i="1"/>
  <c r="M305" i="1"/>
  <c r="H306" i="1"/>
  <c r="I306" i="1"/>
  <c r="P306" i="1"/>
  <c r="Q306" i="1"/>
  <c r="T306" i="1"/>
  <c r="U306" i="1"/>
  <c r="L306" i="1"/>
  <c r="M306" i="1"/>
  <c r="H307" i="1"/>
  <c r="I307" i="1"/>
  <c r="P307" i="1"/>
  <c r="Q307" i="1"/>
  <c r="T307" i="1"/>
  <c r="U307" i="1"/>
  <c r="L307" i="1"/>
  <c r="M307" i="1"/>
  <c r="H308" i="1"/>
  <c r="I308" i="1"/>
  <c r="P308" i="1"/>
  <c r="Q308" i="1"/>
  <c r="T308" i="1"/>
  <c r="U308" i="1"/>
  <c r="L308" i="1"/>
  <c r="M308" i="1"/>
  <c r="H309" i="1"/>
  <c r="I309" i="1"/>
  <c r="P309" i="1"/>
  <c r="Q309" i="1"/>
  <c r="T309" i="1"/>
  <c r="U309" i="1"/>
  <c r="L309" i="1"/>
  <c r="M309" i="1"/>
  <c r="H310" i="1"/>
  <c r="I310" i="1"/>
  <c r="P310" i="1"/>
  <c r="Q310" i="1"/>
  <c r="T310" i="1"/>
  <c r="U310" i="1"/>
  <c r="L310" i="1"/>
  <c r="M310" i="1"/>
  <c r="H311" i="1"/>
  <c r="I311" i="1"/>
  <c r="P311" i="1"/>
  <c r="Q311" i="1"/>
  <c r="T311" i="1"/>
  <c r="U311" i="1"/>
  <c r="L311" i="1"/>
  <c r="M311" i="1"/>
  <c r="H312" i="1"/>
  <c r="I312" i="1"/>
  <c r="P312" i="1"/>
  <c r="Q312" i="1"/>
  <c r="T312" i="1"/>
  <c r="U312" i="1"/>
  <c r="L312" i="1"/>
  <c r="M312" i="1"/>
  <c r="H313" i="1"/>
  <c r="I313" i="1"/>
  <c r="P313" i="1"/>
  <c r="Q313" i="1"/>
  <c r="T313" i="1"/>
  <c r="U313" i="1"/>
  <c r="L313" i="1"/>
  <c r="M313" i="1"/>
  <c r="H314" i="1"/>
  <c r="I314" i="1"/>
  <c r="P314" i="1"/>
  <c r="Q314" i="1"/>
  <c r="T314" i="1"/>
  <c r="U314" i="1"/>
  <c r="L314" i="1"/>
  <c r="M314" i="1"/>
  <c r="H315" i="1"/>
  <c r="I315" i="1"/>
  <c r="P315" i="1"/>
  <c r="Q315" i="1"/>
  <c r="T315" i="1"/>
  <c r="U315" i="1"/>
  <c r="L315" i="1"/>
  <c r="M315" i="1"/>
  <c r="H316" i="1"/>
  <c r="I316" i="1"/>
  <c r="P316" i="1"/>
  <c r="Q316" i="1"/>
  <c r="T316" i="1"/>
  <c r="U316" i="1"/>
  <c r="L316" i="1"/>
  <c r="M316" i="1"/>
  <c r="H317" i="1"/>
  <c r="I317" i="1"/>
  <c r="P317" i="1"/>
  <c r="Q317" i="1"/>
  <c r="T317" i="1"/>
  <c r="U317" i="1"/>
  <c r="L317" i="1"/>
  <c r="M317" i="1"/>
  <c r="H318" i="1"/>
  <c r="I318" i="1"/>
  <c r="P318" i="1"/>
  <c r="Q318" i="1"/>
  <c r="T318" i="1"/>
  <c r="U318" i="1"/>
  <c r="L318" i="1"/>
  <c r="M318" i="1"/>
  <c r="H319" i="1"/>
  <c r="I319" i="1"/>
  <c r="P319" i="1"/>
  <c r="Q319" i="1"/>
  <c r="T319" i="1"/>
  <c r="U319" i="1"/>
  <c r="L319" i="1"/>
  <c r="M319" i="1"/>
  <c r="H320" i="1"/>
  <c r="I320" i="1"/>
  <c r="P320" i="1"/>
  <c r="Q320" i="1"/>
  <c r="T320" i="1"/>
  <c r="U320" i="1"/>
  <c r="L320" i="1"/>
  <c r="M320" i="1"/>
  <c r="H321" i="1"/>
  <c r="I321" i="1"/>
  <c r="P321" i="1"/>
  <c r="Q321" i="1"/>
  <c r="T321" i="1"/>
  <c r="U321" i="1"/>
  <c r="L321" i="1"/>
  <c r="M321" i="1"/>
  <c r="H322" i="1"/>
  <c r="I322" i="1"/>
  <c r="P322" i="1"/>
  <c r="Q322" i="1"/>
  <c r="T322" i="1"/>
  <c r="U322" i="1"/>
  <c r="L322" i="1"/>
  <c r="M322" i="1"/>
  <c r="H323" i="1"/>
  <c r="I323" i="1"/>
  <c r="P323" i="1"/>
  <c r="Q323" i="1"/>
  <c r="T323" i="1"/>
  <c r="U323" i="1"/>
  <c r="L323" i="1"/>
  <c r="M323" i="1"/>
  <c r="H324" i="1"/>
  <c r="I324" i="1"/>
  <c r="P324" i="1"/>
  <c r="Q324" i="1"/>
  <c r="T324" i="1"/>
  <c r="U324" i="1"/>
  <c r="L324" i="1"/>
  <c r="M324" i="1"/>
  <c r="H325" i="1"/>
  <c r="I325" i="1"/>
  <c r="P325" i="1"/>
  <c r="Q325" i="1"/>
  <c r="T325" i="1"/>
  <c r="U325" i="1"/>
  <c r="L325" i="1"/>
  <c r="M325" i="1"/>
  <c r="H326" i="1"/>
  <c r="I326" i="1"/>
  <c r="P326" i="1"/>
  <c r="Q326" i="1"/>
  <c r="T326" i="1"/>
  <c r="U326" i="1"/>
  <c r="L326" i="1"/>
  <c r="M326" i="1"/>
  <c r="H327" i="1"/>
  <c r="I327" i="1"/>
  <c r="P327" i="1"/>
  <c r="Q327" i="1"/>
  <c r="T327" i="1"/>
  <c r="U327" i="1"/>
  <c r="L327" i="1"/>
  <c r="M327" i="1"/>
  <c r="H328" i="1"/>
  <c r="I328" i="1"/>
  <c r="P328" i="1"/>
  <c r="Q328" i="1"/>
  <c r="T328" i="1"/>
  <c r="U328" i="1"/>
  <c r="L328" i="1"/>
  <c r="M328" i="1"/>
  <c r="H329" i="1"/>
  <c r="I329" i="1"/>
  <c r="P329" i="1"/>
  <c r="Q329" i="1"/>
  <c r="T329" i="1"/>
  <c r="U329" i="1"/>
  <c r="L329" i="1"/>
  <c r="M329" i="1"/>
  <c r="H330" i="1"/>
  <c r="I330" i="1"/>
  <c r="P330" i="1"/>
  <c r="Q330" i="1"/>
  <c r="T330" i="1"/>
  <c r="U330" i="1"/>
  <c r="L330" i="1"/>
  <c r="M330" i="1"/>
  <c r="H331" i="1"/>
  <c r="I331" i="1"/>
  <c r="P331" i="1"/>
  <c r="Q331" i="1"/>
  <c r="T331" i="1"/>
  <c r="U331" i="1"/>
  <c r="L331" i="1"/>
  <c r="M331" i="1"/>
  <c r="H332" i="1"/>
  <c r="I332" i="1"/>
  <c r="P332" i="1"/>
  <c r="Q332" i="1"/>
  <c r="T332" i="1"/>
  <c r="U332" i="1"/>
  <c r="L332" i="1"/>
  <c r="M332" i="1"/>
  <c r="H333" i="1"/>
  <c r="I333" i="1"/>
  <c r="P333" i="1"/>
  <c r="Q333" i="1"/>
  <c r="T333" i="1"/>
  <c r="U333" i="1"/>
  <c r="L333" i="1"/>
  <c r="M333" i="1"/>
  <c r="H334" i="1"/>
  <c r="I334" i="1"/>
  <c r="P334" i="1"/>
  <c r="Q334" i="1"/>
  <c r="T334" i="1"/>
  <c r="U334" i="1"/>
  <c r="L334" i="1"/>
  <c r="M334" i="1"/>
  <c r="H335" i="1"/>
  <c r="I335" i="1"/>
  <c r="P335" i="1"/>
  <c r="Q335" i="1"/>
  <c r="T335" i="1"/>
  <c r="U335" i="1"/>
  <c r="L335" i="1"/>
  <c r="M335" i="1"/>
  <c r="H336" i="1"/>
  <c r="I336" i="1"/>
  <c r="P336" i="1"/>
  <c r="Q336" i="1"/>
  <c r="T336" i="1"/>
  <c r="U336" i="1"/>
  <c r="L336" i="1"/>
  <c r="M336" i="1"/>
  <c r="H337" i="1"/>
  <c r="I337" i="1"/>
  <c r="P337" i="1"/>
  <c r="Q337" i="1"/>
  <c r="T337" i="1"/>
  <c r="U337" i="1"/>
  <c r="L337" i="1"/>
  <c r="M337" i="1"/>
  <c r="H338" i="1"/>
  <c r="I338" i="1"/>
  <c r="P338" i="1"/>
  <c r="Q338" i="1"/>
  <c r="T338" i="1"/>
  <c r="U338" i="1"/>
  <c r="L338" i="1"/>
  <c r="M338" i="1"/>
  <c r="H339" i="1"/>
  <c r="I339" i="1"/>
  <c r="P339" i="1"/>
  <c r="Q339" i="1"/>
  <c r="T339" i="1"/>
  <c r="U339" i="1"/>
  <c r="L339" i="1"/>
  <c r="M339" i="1"/>
  <c r="H340" i="1"/>
  <c r="I340" i="1"/>
  <c r="P340" i="1"/>
  <c r="Q340" i="1"/>
  <c r="T340" i="1"/>
  <c r="U340" i="1"/>
  <c r="L340" i="1"/>
  <c r="M340" i="1"/>
  <c r="H341" i="1"/>
  <c r="I341" i="1"/>
  <c r="P341" i="1"/>
  <c r="Q341" i="1"/>
  <c r="T341" i="1"/>
  <c r="U341" i="1"/>
  <c r="L341" i="1"/>
  <c r="M341" i="1"/>
  <c r="H342" i="1"/>
  <c r="I342" i="1"/>
  <c r="P342" i="1"/>
  <c r="Q342" i="1"/>
  <c r="T342" i="1"/>
  <c r="U342" i="1"/>
  <c r="L342" i="1"/>
  <c r="M342" i="1"/>
  <c r="H343" i="1"/>
  <c r="I343" i="1"/>
  <c r="P343" i="1"/>
  <c r="Q343" i="1"/>
  <c r="T343" i="1"/>
  <c r="U343" i="1"/>
  <c r="L343" i="1"/>
  <c r="M343" i="1"/>
  <c r="H344" i="1"/>
  <c r="I344" i="1"/>
  <c r="P344" i="1"/>
  <c r="Q344" i="1"/>
  <c r="T344" i="1"/>
  <c r="U344" i="1"/>
  <c r="L344" i="1"/>
  <c r="M344" i="1"/>
  <c r="H345" i="1"/>
  <c r="I345" i="1"/>
  <c r="P345" i="1"/>
  <c r="Q345" i="1"/>
  <c r="T345" i="1"/>
  <c r="U345" i="1"/>
  <c r="L345" i="1"/>
  <c r="M345" i="1"/>
  <c r="H346" i="1"/>
  <c r="I346" i="1"/>
  <c r="P346" i="1"/>
  <c r="Q346" i="1"/>
  <c r="T346" i="1"/>
  <c r="U346" i="1"/>
  <c r="L346" i="1"/>
  <c r="M346" i="1"/>
  <c r="H347" i="1"/>
  <c r="I347" i="1"/>
  <c r="P347" i="1"/>
  <c r="Q347" i="1"/>
  <c r="T347" i="1"/>
  <c r="U347" i="1"/>
  <c r="L347" i="1"/>
  <c r="M347" i="1"/>
  <c r="H348" i="1"/>
  <c r="I348" i="1"/>
  <c r="P348" i="1"/>
  <c r="Q348" i="1"/>
  <c r="T348" i="1"/>
  <c r="U348" i="1"/>
  <c r="L348" i="1"/>
  <c r="M348" i="1"/>
  <c r="H349" i="1"/>
  <c r="I349" i="1"/>
  <c r="P349" i="1"/>
  <c r="Q349" i="1"/>
  <c r="T349" i="1"/>
  <c r="U349" i="1"/>
  <c r="L349" i="1"/>
  <c r="M349" i="1"/>
  <c r="H350" i="1"/>
  <c r="P350" i="1"/>
  <c r="T350" i="1"/>
  <c r="L350" i="1"/>
  <c r="H351" i="1"/>
  <c r="P351" i="1"/>
  <c r="T351" i="1"/>
  <c r="L351" i="1"/>
  <c r="H352" i="1"/>
  <c r="I352" i="1"/>
  <c r="P352" i="1"/>
  <c r="Q352" i="1"/>
  <c r="T352" i="1"/>
  <c r="U352" i="1"/>
  <c r="L352" i="1"/>
  <c r="M352" i="1"/>
  <c r="H353" i="1"/>
  <c r="I353" i="1"/>
  <c r="P353" i="1"/>
  <c r="Q353" i="1"/>
  <c r="T353" i="1"/>
  <c r="U353" i="1"/>
  <c r="L353" i="1"/>
  <c r="M353" i="1"/>
  <c r="H354" i="1"/>
  <c r="I354" i="1"/>
  <c r="P354" i="1"/>
  <c r="Q354" i="1"/>
  <c r="T354" i="1"/>
  <c r="U354" i="1"/>
  <c r="L354" i="1"/>
  <c r="M354" i="1"/>
  <c r="H355" i="1"/>
  <c r="I355" i="1"/>
  <c r="P355" i="1"/>
  <c r="Q355" i="1"/>
  <c r="T355" i="1"/>
  <c r="U355" i="1"/>
  <c r="L355" i="1"/>
  <c r="M355" i="1"/>
  <c r="H356" i="1"/>
  <c r="I356" i="1"/>
  <c r="P356" i="1"/>
  <c r="Q356" i="1"/>
  <c r="T356" i="1"/>
  <c r="U356" i="1"/>
  <c r="L356" i="1"/>
  <c r="M356" i="1"/>
  <c r="H357" i="1"/>
  <c r="I357" i="1"/>
  <c r="P357" i="1"/>
  <c r="Q357" i="1"/>
  <c r="T357" i="1"/>
  <c r="U357" i="1"/>
  <c r="L357" i="1"/>
  <c r="M357" i="1"/>
  <c r="H358" i="1"/>
  <c r="P358" i="1"/>
  <c r="T358" i="1"/>
  <c r="L358" i="1"/>
  <c r="H359" i="1"/>
  <c r="I359" i="1"/>
  <c r="P359" i="1"/>
  <c r="Q359" i="1"/>
  <c r="T359" i="1"/>
  <c r="U359" i="1"/>
  <c r="L359" i="1"/>
  <c r="M359" i="1"/>
  <c r="H360" i="1"/>
  <c r="I360" i="1"/>
  <c r="P360" i="1"/>
  <c r="Q360" i="1"/>
  <c r="T360" i="1"/>
  <c r="U360" i="1"/>
  <c r="L360" i="1"/>
  <c r="M360" i="1"/>
  <c r="H361" i="1"/>
  <c r="I361" i="1"/>
  <c r="P361" i="1"/>
  <c r="Q361" i="1"/>
  <c r="T361" i="1"/>
  <c r="U361" i="1"/>
  <c r="L361" i="1"/>
  <c r="M361" i="1"/>
  <c r="H362" i="1"/>
  <c r="P362" i="1"/>
  <c r="T362" i="1"/>
  <c r="L362" i="1"/>
  <c r="H363" i="1"/>
  <c r="I363" i="1"/>
  <c r="P363" i="1"/>
  <c r="Q363" i="1"/>
  <c r="T363" i="1"/>
  <c r="U363" i="1"/>
  <c r="L363" i="1"/>
  <c r="M363" i="1"/>
  <c r="H364" i="1"/>
  <c r="I364" i="1"/>
  <c r="P364" i="1"/>
  <c r="Q364" i="1"/>
  <c r="T364" i="1"/>
  <c r="U364" i="1"/>
  <c r="L364" i="1"/>
  <c r="M364" i="1"/>
  <c r="H365" i="1"/>
  <c r="I365" i="1"/>
  <c r="P365" i="1"/>
  <c r="Q365" i="1"/>
  <c r="T365" i="1"/>
  <c r="U365" i="1"/>
  <c r="L365" i="1"/>
  <c r="M365" i="1"/>
  <c r="H366" i="1"/>
  <c r="I366" i="1"/>
  <c r="P366" i="1"/>
  <c r="Q366" i="1"/>
  <c r="T366" i="1"/>
  <c r="U366" i="1"/>
  <c r="L366" i="1"/>
  <c r="M366" i="1"/>
  <c r="H367" i="1"/>
  <c r="P367" i="1"/>
  <c r="T367" i="1"/>
  <c r="L367" i="1"/>
  <c r="H368" i="1"/>
  <c r="I368" i="1"/>
  <c r="P368" i="1"/>
  <c r="Q368" i="1"/>
  <c r="T368" i="1"/>
  <c r="U368" i="1"/>
  <c r="L368" i="1"/>
  <c r="M368" i="1"/>
  <c r="H369" i="1"/>
  <c r="P369" i="1"/>
  <c r="T369" i="1"/>
  <c r="L369" i="1"/>
  <c r="H370" i="1"/>
  <c r="I370" i="1"/>
  <c r="P370" i="1"/>
  <c r="Q370" i="1"/>
  <c r="T370" i="1"/>
  <c r="U370" i="1"/>
  <c r="L370" i="1"/>
  <c r="M370" i="1"/>
  <c r="H371" i="1"/>
  <c r="I371" i="1"/>
  <c r="P371" i="1"/>
  <c r="Q371" i="1"/>
  <c r="T371" i="1"/>
  <c r="U371" i="1"/>
  <c r="L371" i="1"/>
  <c r="M371" i="1"/>
  <c r="H372" i="1"/>
  <c r="I372" i="1"/>
  <c r="P372" i="1"/>
  <c r="Q372" i="1"/>
  <c r="T372" i="1"/>
  <c r="U372" i="1"/>
  <c r="L372" i="1"/>
  <c r="M372" i="1"/>
  <c r="H373" i="1"/>
  <c r="P373" i="1"/>
  <c r="T373" i="1"/>
  <c r="L373" i="1"/>
  <c r="H374" i="1"/>
  <c r="I374" i="1"/>
  <c r="P374" i="1"/>
  <c r="Q374" i="1"/>
  <c r="T374" i="1"/>
  <c r="U374" i="1"/>
  <c r="L374" i="1"/>
  <c r="M374" i="1"/>
  <c r="H375" i="1"/>
  <c r="I375" i="1"/>
  <c r="P375" i="1"/>
  <c r="Q375" i="1"/>
  <c r="T375" i="1"/>
  <c r="U375" i="1"/>
  <c r="L375" i="1"/>
  <c r="M375" i="1"/>
  <c r="H376" i="1"/>
  <c r="I376" i="1"/>
  <c r="P376" i="1"/>
  <c r="Q376" i="1"/>
  <c r="T376" i="1"/>
  <c r="U376" i="1"/>
  <c r="L376" i="1"/>
  <c r="M376" i="1"/>
  <c r="H377" i="1"/>
  <c r="I377" i="1"/>
  <c r="P377" i="1"/>
  <c r="Q377" i="1"/>
  <c r="T377" i="1"/>
  <c r="U377" i="1"/>
  <c r="L377" i="1"/>
  <c r="M377" i="1"/>
  <c r="H378" i="1"/>
  <c r="I378" i="1"/>
  <c r="P378" i="1"/>
  <c r="Q378" i="1"/>
  <c r="T378" i="1"/>
  <c r="U378" i="1"/>
  <c r="L378" i="1"/>
  <c r="M378" i="1"/>
  <c r="H379" i="1"/>
  <c r="I379" i="1"/>
  <c r="P379" i="1"/>
  <c r="Q379" i="1"/>
  <c r="T379" i="1"/>
  <c r="U379" i="1"/>
  <c r="L379" i="1"/>
  <c r="M379" i="1"/>
  <c r="H380" i="1"/>
  <c r="I380" i="1"/>
  <c r="P380" i="1"/>
  <c r="Q380" i="1"/>
  <c r="T380" i="1"/>
  <c r="U380" i="1"/>
  <c r="L380" i="1"/>
  <c r="M380" i="1"/>
  <c r="H381" i="1"/>
  <c r="I381" i="1"/>
  <c r="P381" i="1"/>
  <c r="Q381" i="1"/>
  <c r="T381" i="1"/>
  <c r="U381" i="1"/>
  <c r="L381" i="1"/>
  <c r="M381" i="1"/>
  <c r="H382" i="1"/>
  <c r="P382" i="1"/>
  <c r="T382" i="1"/>
  <c r="L382" i="1"/>
  <c r="H383" i="1"/>
  <c r="I383" i="1"/>
  <c r="P383" i="1"/>
  <c r="Q383" i="1"/>
  <c r="T383" i="1"/>
  <c r="U383" i="1"/>
  <c r="L383" i="1"/>
  <c r="M383" i="1"/>
  <c r="H384" i="1"/>
  <c r="I384" i="1"/>
  <c r="P384" i="1"/>
  <c r="Q384" i="1"/>
  <c r="T384" i="1"/>
  <c r="U384" i="1"/>
  <c r="L384" i="1"/>
  <c r="M384" i="1"/>
  <c r="H385" i="1"/>
  <c r="P385" i="1"/>
  <c r="T385" i="1"/>
  <c r="L385" i="1"/>
  <c r="H386" i="1"/>
  <c r="I386" i="1"/>
  <c r="P386" i="1"/>
  <c r="Q386" i="1"/>
  <c r="T386" i="1"/>
  <c r="U386" i="1"/>
  <c r="L386" i="1"/>
  <c r="M386" i="1"/>
  <c r="H387" i="1"/>
  <c r="I387" i="1"/>
  <c r="P387" i="1"/>
  <c r="Q387" i="1"/>
  <c r="T387" i="1"/>
  <c r="U387" i="1"/>
  <c r="L387" i="1"/>
  <c r="M387" i="1"/>
  <c r="H388" i="1"/>
  <c r="I388" i="1"/>
  <c r="P388" i="1"/>
  <c r="Q388" i="1"/>
  <c r="T388" i="1"/>
  <c r="U388" i="1"/>
  <c r="L388" i="1"/>
  <c r="M388" i="1"/>
  <c r="H389" i="1"/>
  <c r="I389" i="1"/>
  <c r="P389" i="1"/>
  <c r="Q389" i="1"/>
  <c r="T389" i="1"/>
  <c r="U389" i="1"/>
  <c r="L389" i="1"/>
  <c r="M389" i="1"/>
  <c r="H390" i="1"/>
  <c r="I390" i="1"/>
  <c r="P390" i="1"/>
  <c r="Q390" i="1"/>
  <c r="T390" i="1"/>
  <c r="U390" i="1"/>
  <c r="L390" i="1"/>
  <c r="M390" i="1"/>
  <c r="H391" i="1"/>
  <c r="P391" i="1"/>
  <c r="T391" i="1"/>
  <c r="L391" i="1"/>
  <c r="H392" i="1"/>
  <c r="I392" i="1"/>
  <c r="P392" i="1"/>
  <c r="Q392" i="1"/>
  <c r="T392" i="1"/>
  <c r="U392" i="1"/>
  <c r="L392" i="1"/>
  <c r="M392" i="1"/>
  <c r="H393" i="1"/>
  <c r="I393" i="1"/>
  <c r="P393" i="1"/>
  <c r="Q393" i="1"/>
  <c r="T393" i="1"/>
  <c r="U393" i="1"/>
  <c r="L393" i="1"/>
  <c r="M393" i="1"/>
  <c r="H394" i="1"/>
  <c r="I394" i="1"/>
  <c r="P394" i="1"/>
  <c r="Q394" i="1"/>
  <c r="T394" i="1"/>
  <c r="U394" i="1"/>
  <c r="L394" i="1"/>
  <c r="M394" i="1"/>
  <c r="H395" i="1"/>
  <c r="I395" i="1"/>
  <c r="P395" i="1"/>
  <c r="Q395" i="1"/>
  <c r="T395" i="1"/>
  <c r="U395" i="1"/>
  <c r="L395" i="1"/>
  <c r="M395" i="1"/>
  <c r="H396" i="1"/>
  <c r="I396" i="1"/>
  <c r="P396" i="1"/>
  <c r="Q396" i="1"/>
  <c r="T396" i="1"/>
  <c r="U396" i="1"/>
  <c r="L396" i="1"/>
  <c r="M396" i="1"/>
  <c r="H397" i="1"/>
  <c r="I397" i="1"/>
  <c r="P397" i="1"/>
  <c r="Q397" i="1"/>
  <c r="T397" i="1"/>
  <c r="U397" i="1"/>
  <c r="L397" i="1"/>
  <c r="M397" i="1"/>
  <c r="H398" i="1"/>
  <c r="I398" i="1"/>
  <c r="P398" i="1"/>
  <c r="Q398" i="1"/>
  <c r="T398" i="1"/>
  <c r="U398" i="1"/>
  <c r="L398" i="1"/>
  <c r="M398" i="1"/>
  <c r="H399" i="1"/>
  <c r="I399" i="1"/>
  <c r="P399" i="1"/>
  <c r="Q399" i="1"/>
  <c r="T399" i="1"/>
  <c r="U399" i="1"/>
  <c r="L399" i="1"/>
  <c r="M399" i="1"/>
  <c r="H400" i="1"/>
  <c r="P400" i="1"/>
  <c r="T400" i="1"/>
  <c r="L400" i="1"/>
  <c r="H401" i="1"/>
  <c r="I401" i="1"/>
  <c r="P401" i="1"/>
  <c r="Q401" i="1"/>
  <c r="T401" i="1"/>
  <c r="U401" i="1"/>
  <c r="L401" i="1"/>
  <c r="M401" i="1"/>
  <c r="H402" i="1"/>
  <c r="P402" i="1"/>
  <c r="T402" i="1"/>
  <c r="L402" i="1"/>
  <c r="H403" i="1"/>
  <c r="I403" i="1"/>
  <c r="P403" i="1"/>
  <c r="Q403" i="1"/>
  <c r="T403" i="1"/>
  <c r="U403" i="1"/>
  <c r="L403" i="1"/>
  <c r="M403" i="1"/>
  <c r="H404" i="1"/>
  <c r="P404" i="1"/>
  <c r="T404" i="1"/>
  <c r="L404" i="1"/>
  <c r="H405" i="1"/>
  <c r="I405" i="1"/>
  <c r="P405" i="1"/>
  <c r="Q405" i="1"/>
  <c r="T405" i="1"/>
  <c r="U405" i="1"/>
  <c r="L405" i="1"/>
  <c r="M405" i="1"/>
  <c r="H406" i="1"/>
  <c r="I406" i="1"/>
  <c r="P406" i="1"/>
  <c r="Q406" i="1"/>
  <c r="T406" i="1"/>
  <c r="U406" i="1"/>
  <c r="L406" i="1"/>
  <c r="M406" i="1"/>
  <c r="H407" i="1"/>
  <c r="I407" i="1"/>
  <c r="P407" i="1"/>
  <c r="Q407" i="1"/>
  <c r="T407" i="1"/>
  <c r="U407" i="1"/>
  <c r="L407" i="1"/>
  <c r="M407" i="1"/>
  <c r="H408" i="1"/>
  <c r="P408" i="1"/>
  <c r="T408" i="1"/>
  <c r="L408" i="1"/>
  <c r="H409" i="1"/>
  <c r="I409" i="1"/>
  <c r="P409" i="1"/>
  <c r="Q409" i="1"/>
  <c r="T409" i="1"/>
  <c r="U409" i="1"/>
  <c r="L409" i="1"/>
  <c r="M409" i="1"/>
  <c r="H410" i="1"/>
  <c r="P410" i="1"/>
  <c r="T410" i="1"/>
  <c r="L410" i="1"/>
  <c r="H411" i="1"/>
  <c r="P411" i="1"/>
  <c r="T411" i="1"/>
  <c r="L411" i="1"/>
  <c r="H412" i="1"/>
  <c r="I412" i="1"/>
  <c r="P412" i="1"/>
  <c r="Q412" i="1"/>
  <c r="T412" i="1"/>
  <c r="U412" i="1"/>
  <c r="L412" i="1"/>
  <c r="M412" i="1"/>
  <c r="H413" i="1"/>
  <c r="I413" i="1"/>
  <c r="P413" i="1"/>
  <c r="Q413" i="1"/>
  <c r="T413" i="1"/>
  <c r="U413" i="1"/>
  <c r="L413" i="1"/>
  <c r="M413" i="1"/>
  <c r="H414" i="1"/>
  <c r="I414" i="1"/>
  <c r="P414" i="1"/>
  <c r="Q414" i="1"/>
  <c r="T414" i="1"/>
  <c r="U414" i="1"/>
  <c r="L414" i="1"/>
  <c r="M414" i="1"/>
  <c r="H415" i="1"/>
  <c r="P415" i="1"/>
  <c r="T415" i="1"/>
  <c r="L415" i="1"/>
  <c r="H416" i="1"/>
  <c r="I416" i="1"/>
  <c r="P416" i="1"/>
  <c r="Q416" i="1"/>
  <c r="T416" i="1"/>
  <c r="U416" i="1"/>
  <c r="L416" i="1"/>
  <c r="M416" i="1"/>
  <c r="H417" i="1"/>
  <c r="I417" i="1"/>
  <c r="P417" i="1"/>
  <c r="Q417" i="1"/>
  <c r="T417" i="1"/>
  <c r="U417" i="1"/>
  <c r="L417" i="1"/>
  <c r="M417" i="1"/>
  <c r="H418" i="1"/>
  <c r="I418" i="1"/>
  <c r="P418" i="1"/>
  <c r="Q418" i="1"/>
  <c r="T418" i="1"/>
  <c r="U418" i="1"/>
  <c r="L418" i="1"/>
  <c r="M418" i="1"/>
  <c r="H419" i="1"/>
  <c r="I419" i="1"/>
  <c r="P419" i="1"/>
  <c r="Q419" i="1"/>
  <c r="T419" i="1"/>
  <c r="U419" i="1"/>
  <c r="L419" i="1"/>
  <c r="M419" i="1"/>
  <c r="H420" i="1"/>
  <c r="I420" i="1"/>
  <c r="P420" i="1"/>
  <c r="Q420" i="1"/>
  <c r="T420" i="1"/>
  <c r="U420" i="1"/>
  <c r="L420" i="1"/>
  <c r="M420" i="1"/>
  <c r="H421" i="1"/>
  <c r="I421" i="1"/>
  <c r="P421" i="1"/>
  <c r="Q421" i="1"/>
  <c r="T421" i="1"/>
  <c r="U421" i="1"/>
  <c r="L421" i="1"/>
  <c r="M421" i="1"/>
  <c r="H422" i="1"/>
  <c r="I422" i="1"/>
  <c r="P422" i="1"/>
  <c r="Q422" i="1"/>
  <c r="T422" i="1"/>
  <c r="U422" i="1"/>
  <c r="L422" i="1"/>
  <c r="M422" i="1"/>
  <c r="H423" i="1"/>
  <c r="I423" i="1"/>
  <c r="P423" i="1"/>
  <c r="Q423" i="1"/>
  <c r="T423" i="1"/>
  <c r="U423" i="1"/>
  <c r="L423" i="1"/>
  <c r="M423" i="1"/>
  <c r="H424" i="1"/>
  <c r="I424" i="1"/>
  <c r="P424" i="1"/>
  <c r="Q424" i="1"/>
  <c r="T424" i="1"/>
  <c r="U424" i="1"/>
  <c r="L424" i="1"/>
  <c r="M424" i="1"/>
  <c r="H425" i="1"/>
  <c r="I425" i="1"/>
  <c r="P425" i="1"/>
  <c r="Q425" i="1"/>
  <c r="T425" i="1"/>
  <c r="U425" i="1"/>
  <c r="L425" i="1"/>
  <c r="M425" i="1"/>
  <c r="H426" i="1"/>
  <c r="I426" i="1"/>
  <c r="P426" i="1"/>
  <c r="Q426" i="1"/>
  <c r="T426" i="1"/>
  <c r="U426" i="1"/>
  <c r="L426" i="1"/>
  <c r="M426" i="1"/>
  <c r="H427" i="1"/>
  <c r="I427" i="1"/>
  <c r="P427" i="1"/>
  <c r="Q427" i="1"/>
  <c r="T427" i="1"/>
  <c r="U427" i="1"/>
  <c r="L427" i="1"/>
  <c r="M427" i="1"/>
  <c r="H428" i="1"/>
  <c r="I428" i="1"/>
  <c r="P428" i="1"/>
  <c r="Q428" i="1"/>
  <c r="T428" i="1"/>
  <c r="U428" i="1"/>
  <c r="L428" i="1"/>
  <c r="M428" i="1"/>
  <c r="H429" i="1"/>
  <c r="I429" i="1"/>
  <c r="P429" i="1"/>
  <c r="Q429" i="1"/>
  <c r="T429" i="1"/>
  <c r="U429" i="1"/>
  <c r="L429" i="1"/>
  <c r="M429" i="1"/>
  <c r="H430" i="1"/>
  <c r="I430" i="1"/>
  <c r="P430" i="1"/>
  <c r="Q430" i="1"/>
  <c r="T430" i="1"/>
  <c r="U430" i="1"/>
  <c r="L430" i="1"/>
  <c r="M430" i="1"/>
  <c r="H431" i="1"/>
  <c r="I431" i="1"/>
  <c r="P431" i="1"/>
  <c r="Q431" i="1"/>
  <c r="T431" i="1"/>
  <c r="U431" i="1"/>
  <c r="L431" i="1"/>
  <c r="M431" i="1"/>
  <c r="H432" i="1"/>
  <c r="I432" i="1"/>
  <c r="P432" i="1"/>
  <c r="Q432" i="1"/>
  <c r="T432" i="1"/>
  <c r="U432" i="1"/>
  <c r="L432" i="1"/>
  <c r="M432" i="1"/>
  <c r="H433" i="1"/>
  <c r="I433" i="1"/>
  <c r="P433" i="1"/>
  <c r="Q433" i="1"/>
  <c r="T433" i="1"/>
  <c r="U433" i="1"/>
  <c r="L433" i="1"/>
  <c r="M433" i="1"/>
  <c r="H434" i="1"/>
  <c r="P434" i="1"/>
  <c r="T434" i="1"/>
  <c r="L434" i="1"/>
  <c r="H435" i="1"/>
  <c r="I435" i="1"/>
  <c r="P435" i="1"/>
  <c r="Q435" i="1"/>
  <c r="T435" i="1"/>
  <c r="U435" i="1"/>
  <c r="L435" i="1"/>
  <c r="M435" i="1"/>
  <c r="H436" i="1"/>
  <c r="I436" i="1"/>
  <c r="P436" i="1"/>
  <c r="Q436" i="1"/>
  <c r="T436" i="1"/>
  <c r="U436" i="1"/>
  <c r="L436" i="1"/>
  <c r="M436" i="1"/>
  <c r="H437" i="1"/>
  <c r="I437" i="1"/>
  <c r="P437" i="1"/>
  <c r="Q437" i="1"/>
  <c r="T437" i="1"/>
  <c r="U437" i="1"/>
  <c r="L437" i="1"/>
  <c r="M437" i="1"/>
  <c r="H438" i="1"/>
  <c r="I438" i="1"/>
  <c r="P438" i="1"/>
  <c r="Q438" i="1"/>
  <c r="T438" i="1"/>
  <c r="U438" i="1"/>
  <c r="L438" i="1"/>
  <c r="M438" i="1"/>
  <c r="H439" i="1"/>
  <c r="P439" i="1"/>
  <c r="T439" i="1"/>
  <c r="L439" i="1"/>
  <c r="H440" i="1"/>
  <c r="I440" i="1"/>
  <c r="P440" i="1"/>
  <c r="Q440" i="1"/>
  <c r="T440" i="1"/>
  <c r="U440" i="1"/>
  <c r="L440" i="1"/>
  <c r="M440" i="1"/>
  <c r="H441" i="1"/>
  <c r="I441" i="1"/>
  <c r="P441" i="1"/>
  <c r="Q441" i="1"/>
  <c r="T441" i="1"/>
  <c r="U441" i="1"/>
  <c r="L441" i="1"/>
  <c r="M441" i="1"/>
  <c r="H442" i="1"/>
  <c r="I442" i="1"/>
  <c r="P442" i="1"/>
  <c r="Q442" i="1"/>
  <c r="T442" i="1"/>
  <c r="U442" i="1"/>
  <c r="L442" i="1"/>
  <c r="M442" i="1"/>
  <c r="H443" i="1"/>
  <c r="I443" i="1"/>
  <c r="P443" i="1"/>
  <c r="Q443" i="1"/>
  <c r="T443" i="1"/>
  <c r="U443" i="1"/>
  <c r="L443" i="1"/>
  <c r="M443" i="1"/>
  <c r="H444" i="1"/>
  <c r="I444" i="1"/>
  <c r="P444" i="1"/>
  <c r="Q444" i="1"/>
  <c r="T444" i="1"/>
  <c r="U444" i="1"/>
  <c r="L444" i="1"/>
  <c r="M444" i="1"/>
  <c r="H445" i="1"/>
  <c r="I445" i="1"/>
  <c r="P445" i="1"/>
  <c r="Q445" i="1"/>
  <c r="T445" i="1"/>
  <c r="U445" i="1"/>
  <c r="L445" i="1"/>
  <c r="M445" i="1"/>
  <c r="H446" i="1"/>
  <c r="I446" i="1"/>
  <c r="P446" i="1"/>
  <c r="Q446" i="1"/>
  <c r="T446" i="1"/>
  <c r="U446" i="1"/>
  <c r="L446" i="1"/>
  <c r="M446" i="1"/>
  <c r="H447" i="1"/>
  <c r="I447" i="1"/>
  <c r="P447" i="1"/>
  <c r="Q447" i="1"/>
  <c r="T447" i="1"/>
  <c r="U447" i="1"/>
  <c r="L447" i="1"/>
  <c r="M447" i="1"/>
  <c r="H448" i="1"/>
  <c r="I448" i="1"/>
  <c r="P448" i="1"/>
  <c r="Q448" i="1"/>
  <c r="T448" i="1"/>
  <c r="U448" i="1"/>
  <c r="L448" i="1"/>
  <c r="M448" i="1"/>
  <c r="H449" i="1"/>
  <c r="I449" i="1"/>
  <c r="P449" i="1"/>
  <c r="Q449" i="1"/>
  <c r="T449" i="1"/>
  <c r="U449" i="1"/>
  <c r="L449" i="1"/>
  <c r="M449" i="1"/>
  <c r="H450" i="1"/>
  <c r="I450" i="1"/>
  <c r="P450" i="1"/>
  <c r="Q450" i="1"/>
  <c r="T450" i="1"/>
  <c r="U450" i="1"/>
  <c r="L450" i="1"/>
  <c r="M450" i="1"/>
  <c r="H451" i="1"/>
  <c r="I451" i="1"/>
  <c r="P451" i="1"/>
  <c r="Q451" i="1"/>
  <c r="T451" i="1"/>
  <c r="U451" i="1"/>
  <c r="L451" i="1"/>
  <c r="M451" i="1"/>
  <c r="H452" i="1"/>
  <c r="I452" i="1"/>
  <c r="P452" i="1"/>
  <c r="Q452" i="1"/>
  <c r="T452" i="1"/>
  <c r="U452" i="1"/>
  <c r="L452" i="1"/>
  <c r="M452" i="1"/>
  <c r="H453" i="1"/>
  <c r="I453" i="1"/>
  <c r="P453" i="1"/>
  <c r="Q453" i="1"/>
  <c r="T453" i="1"/>
  <c r="U453" i="1"/>
  <c r="L453" i="1"/>
  <c r="M453" i="1"/>
  <c r="H454" i="1"/>
  <c r="I454" i="1"/>
  <c r="P454" i="1"/>
  <c r="Q454" i="1"/>
  <c r="T454" i="1"/>
  <c r="U454" i="1"/>
  <c r="L454" i="1"/>
  <c r="M454" i="1"/>
  <c r="H455" i="1"/>
  <c r="I455" i="1"/>
  <c r="P455" i="1"/>
  <c r="Q455" i="1"/>
  <c r="T455" i="1"/>
  <c r="U455" i="1"/>
  <c r="L455" i="1"/>
  <c r="M455" i="1"/>
  <c r="H456" i="1"/>
  <c r="I456" i="1"/>
  <c r="P456" i="1"/>
  <c r="Q456" i="1"/>
  <c r="T456" i="1"/>
  <c r="U456" i="1"/>
  <c r="L456" i="1"/>
  <c r="M456" i="1"/>
  <c r="H457" i="1"/>
  <c r="I457" i="1"/>
  <c r="P457" i="1"/>
  <c r="Q457" i="1"/>
  <c r="T457" i="1"/>
  <c r="U457" i="1"/>
  <c r="L457" i="1"/>
  <c r="M457" i="1"/>
  <c r="H458" i="1"/>
  <c r="I458" i="1"/>
  <c r="P458" i="1"/>
  <c r="Q458" i="1"/>
  <c r="T458" i="1"/>
  <c r="U458" i="1"/>
  <c r="L458" i="1"/>
  <c r="M458" i="1"/>
  <c r="H459" i="1"/>
  <c r="I459" i="1"/>
  <c r="P459" i="1"/>
  <c r="Q459" i="1"/>
  <c r="T459" i="1"/>
  <c r="U459" i="1"/>
  <c r="L459" i="1"/>
  <c r="M459" i="1"/>
  <c r="H460" i="1"/>
  <c r="I460" i="1"/>
  <c r="P460" i="1"/>
  <c r="Q460" i="1"/>
  <c r="T460" i="1"/>
  <c r="U460" i="1"/>
  <c r="L460" i="1"/>
  <c r="M460" i="1"/>
  <c r="H461" i="1"/>
  <c r="I461" i="1"/>
  <c r="P461" i="1"/>
  <c r="Q461" i="1"/>
  <c r="T461" i="1"/>
  <c r="U461" i="1"/>
  <c r="L461" i="1"/>
  <c r="M461" i="1"/>
  <c r="H462" i="1"/>
  <c r="P462" i="1"/>
  <c r="T462" i="1"/>
  <c r="L462" i="1"/>
  <c r="H463" i="1"/>
  <c r="I463" i="1"/>
  <c r="P463" i="1"/>
  <c r="Q463" i="1"/>
  <c r="T463" i="1"/>
  <c r="U463" i="1"/>
  <c r="L463" i="1"/>
  <c r="M463" i="1"/>
  <c r="H464" i="1"/>
  <c r="I464" i="1"/>
  <c r="P464" i="1"/>
  <c r="Q464" i="1"/>
  <c r="T464" i="1"/>
  <c r="U464" i="1"/>
  <c r="L464" i="1"/>
  <c r="M464" i="1"/>
  <c r="H465" i="1"/>
  <c r="P465" i="1"/>
  <c r="T465" i="1"/>
  <c r="L465" i="1"/>
  <c r="H466" i="1"/>
  <c r="P466" i="1"/>
  <c r="T466" i="1"/>
  <c r="L466" i="1"/>
  <c r="H467" i="1"/>
  <c r="I467" i="1"/>
  <c r="P467" i="1"/>
  <c r="Q467" i="1"/>
  <c r="T467" i="1"/>
  <c r="U467" i="1"/>
  <c r="L467" i="1"/>
  <c r="M467" i="1"/>
  <c r="H468" i="1"/>
  <c r="I468" i="1"/>
  <c r="P468" i="1"/>
  <c r="Q468" i="1"/>
  <c r="T468" i="1"/>
  <c r="U468" i="1"/>
  <c r="L468" i="1"/>
  <c r="M468" i="1"/>
  <c r="H469" i="1"/>
  <c r="I469" i="1"/>
  <c r="P469" i="1"/>
  <c r="Q469" i="1"/>
  <c r="T469" i="1"/>
  <c r="U469" i="1"/>
  <c r="L469" i="1"/>
  <c r="M469" i="1"/>
  <c r="H470" i="1"/>
  <c r="I470" i="1"/>
  <c r="P470" i="1"/>
  <c r="Q470" i="1"/>
  <c r="T470" i="1"/>
  <c r="U470" i="1"/>
  <c r="L470" i="1"/>
  <c r="M470" i="1"/>
  <c r="H471" i="1"/>
  <c r="P471" i="1"/>
  <c r="T471" i="1"/>
  <c r="L471" i="1"/>
  <c r="H472" i="1"/>
  <c r="I472" i="1"/>
  <c r="P472" i="1"/>
  <c r="Q472" i="1"/>
  <c r="T472" i="1"/>
  <c r="U472" i="1"/>
  <c r="L472" i="1"/>
  <c r="M472" i="1"/>
  <c r="H473" i="1"/>
  <c r="I473" i="1"/>
  <c r="P473" i="1"/>
  <c r="Q473" i="1"/>
  <c r="T473" i="1"/>
  <c r="U473" i="1"/>
  <c r="L473" i="1"/>
  <c r="M473" i="1"/>
  <c r="H474" i="1"/>
  <c r="I474" i="1"/>
  <c r="P474" i="1"/>
  <c r="Q474" i="1"/>
  <c r="T474" i="1"/>
  <c r="U474" i="1"/>
  <c r="L474" i="1"/>
  <c r="M474" i="1"/>
  <c r="H475" i="1"/>
  <c r="I475" i="1"/>
  <c r="P475" i="1"/>
  <c r="Q475" i="1"/>
  <c r="T475" i="1"/>
  <c r="U475" i="1"/>
  <c r="L475" i="1"/>
  <c r="M475" i="1"/>
  <c r="H476" i="1"/>
  <c r="I476" i="1"/>
  <c r="P476" i="1"/>
  <c r="Q476" i="1"/>
  <c r="T476" i="1"/>
  <c r="U476" i="1"/>
  <c r="L476" i="1"/>
  <c r="M476" i="1"/>
  <c r="H477" i="1"/>
  <c r="I477" i="1"/>
  <c r="P477" i="1"/>
  <c r="Q477" i="1"/>
  <c r="T477" i="1"/>
  <c r="U477" i="1"/>
  <c r="L477" i="1"/>
  <c r="M477" i="1"/>
  <c r="H478" i="1"/>
  <c r="I478" i="1"/>
  <c r="P478" i="1"/>
  <c r="Q478" i="1"/>
  <c r="T478" i="1"/>
  <c r="U478" i="1"/>
  <c r="L478" i="1"/>
  <c r="M478" i="1"/>
  <c r="H479" i="1"/>
  <c r="I479" i="1"/>
  <c r="P479" i="1"/>
  <c r="Q479" i="1"/>
  <c r="T479" i="1"/>
  <c r="U479" i="1"/>
  <c r="L479" i="1"/>
  <c r="M479" i="1"/>
  <c r="H480" i="1"/>
  <c r="I480" i="1"/>
  <c r="P480" i="1"/>
  <c r="Q480" i="1"/>
  <c r="T480" i="1"/>
  <c r="U480" i="1"/>
  <c r="L480" i="1"/>
  <c r="M480" i="1"/>
  <c r="H481" i="1"/>
  <c r="I481" i="1"/>
  <c r="P481" i="1"/>
  <c r="Q481" i="1"/>
  <c r="T481" i="1"/>
  <c r="U481" i="1"/>
  <c r="L481" i="1"/>
  <c r="M481" i="1"/>
  <c r="H482" i="1"/>
  <c r="P482" i="1"/>
  <c r="T482" i="1"/>
  <c r="L482" i="1"/>
  <c r="H483" i="1"/>
  <c r="P483" i="1"/>
  <c r="T483" i="1"/>
  <c r="L483" i="1"/>
  <c r="H484" i="1"/>
  <c r="I484" i="1"/>
  <c r="P484" i="1"/>
  <c r="Q484" i="1"/>
  <c r="T484" i="1"/>
  <c r="U484" i="1"/>
  <c r="L484" i="1"/>
  <c r="M484" i="1"/>
  <c r="H485" i="1"/>
  <c r="I485" i="1"/>
  <c r="P485" i="1"/>
  <c r="Q485" i="1"/>
  <c r="T485" i="1"/>
  <c r="U485" i="1"/>
  <c r="L485" i="1"/>
  <c r="M485" i="1"/>
  <c r="H486" i="1"/>
  <c r="I486" i="1"/>
  <c r="P486" i="1"/>
  <c r="Q486" i="1"/>
  <c r="T486" i="1"/>
  <c r="U486" i="1"/>
  <c r="L486" i="1"/>
  <c r="M486" i="1"/>
  <c r="H487" i="1"/>
  <c r="I487" i="1"/>
  <c r="P487" i="1"/>
  <c r="Q487" i="1"/>
  <c r="T487" i="1"/>
  <c r="U487" i="1"/>
  <c r="L487" i="1"/>
  <c r="M487" i="1"/>
  <c r="H488" i="1"/>
  <c r="P488" i="1"/>
  <c r="T488" i="1"/>
  <c r="L488" i="1"/>
  <c r="H489" i="1"/>
  <c r="I489" i="1"/>
  <c r="P489" i="1"/>
  <c r="Q489" i="1"/>
  <c r="T489" i="1"/>
  <c r="U489" i="1"/>
  <c r="L489" i="1"/>
  <c r="M489" i="1"/>
  <c r="H490" i="1"/>
  <c r="P490" i="1"/>
  <c r="T490" i="1"/>
  <c r="L490" i="1"/>
  <c r="H491" i="1"/>
  <c r="P491" i="1"/>
  <c r="T491" i="1"/>
  <c r="L491" i="1"/>
  <c r="H492" i="1"/>
  <c r="I492" i="1"/>
  <c r="P492" i="1"/>
  <c r="Q492" i="1"/>
  <c r="T492" i="1"/>
  <c r="U492" i="1"/>
  <c r="L492" i="1"/>
  <c r="M492" i="1"/>
  <c r="H493" i="1"/>
  <c r="I493" i="1"/>
  <c r="P493" i="1"/>
  <c r="Q493" i="1"/>
  <c r="T493" i="1"/>
  <c r="U493" i="1"/>
  <c r="L493" i="1"/>
  <c r="M493" i="1"/>
  <c r="H494" i="1"/>
  <c r="I494" i="1"/>
  <c r="P494" i="1"/>
  <c r="Q494" i="1"/>
  <c r="T494" i="1"/>
  <c r="U494" i="1"/>
  <c r="L494" i="1"/>
  <c r="M494" i="1"/>
  <c r="H495" i="1"/>
  <c r="I495" i="1"/>
  <c r="P495" i="1"/>
  <c r="Q495" i="1"/>
  <c r="T495" i="1"/>
  <c r="U495" i="1"/>
  <c r="L495" i="1"/>
  <c r="M495" i="1"/>
  <c r="H496" i="1"/>
  <c r="I496" i="1"/>
  <c r="P496" i="1"/>
  <c r="Q496" i="1"/>
  <c r="T496" i="1"/>
  <c r="U496" i="1"/>
  <c r="L496" i="1"/>
  <c r="M496" i="1"/>
  <c r="H497" i="1"/>
  <c r="I497" i="1"/>
  <c r="P497" i="1"/>
  <c r="Q497" i="1"/>
  <c r="T497" i="1"/>
  <c r="U497" i="1"/>
  <c r="L497" i="1"/>
  <c r="M497" i="1"/>
  <c r="H498" i="1"/>
  <c r="P498" i="1"/>
  <c r="T498" i="1"/>
  <c r="L498" i="1"/>
  <c r="H499" i="1"/>
  <c r="I499" i="1"/>
  <c r="P499" i="1"/>
  <c r="Q499" i="1"/>
  <c r="T499" i="1"/>
  <c r="U499" i="1"/>
  <c r="L499" i="1"/>
  <c r="M499" i="1"/>
  <c r="H500" i="1"/>
  <c r="I500" i="1"/>
  <c r="P500" i="1"/>
  <c r="Q500" i="1"/>
  <c r="T500" i="1"/>
  <c r="U500" i="1"/>
  <c r="L500" i="1"/>
  <c r="M500" i="1"/>
  <c r="H501" i="1"/>
  <c r="I501" i="1"/>
  <c r="P501" i="1"/>
  <c r="Q501" i="1"/>
  <c r="T501" i="1"/>
  <c r="U501" i="1"/>
  <c r="L501" i="1"/>
  <c r="M501" i="1"/>
  <c r="H502" i="1"/>
  <c r="I502" i="1"/>
  <c r="P502" i="1"/>
  <c r="Q502" i="1"/>
  <c r="T502" i="1"/>
  <c r="U502" i="1"/>
  <c r="L502" i="1"/>
  <c r="M502" i="1"/>
  <c r="H503" i="1"/>
  <c r="I503" i="1"/>
  <c r="P503" i="1"/>
  <c r="Q503" i="1"/>
  <c r="T503" i="1"/>
  <c r="U503" i="1"/>
  <c r="L503" i="1"/>
  <c r="M503" i="1"/>
  <c r="H504" i="1"/>
  <c r="I504" i="1"/>
  <c r="P504" i="1"/>
  <c r="Q504" i="1"/>
  <c r="T504" i="1"/>
  <c r="U504" i="1"/>
  <c r="L504" i="1"/>
  <c r="M504" i="1"/>
  <c r="H505" i="1"/>
  <c r="I505" i="1"/>
  <c r="P505" i="1"/>
  <c r="Q505" i="1"/>
  <c r="T505" i="1"/>
  <c r="U505" i="1"/>
  <c r="L505" i="1"/>
  <c r="M505" i="1"/>
  <c r="H506" i="1"/>
  <c r="I506" i="1"/>
  <c r="P506" i="1"/>
  <c r="Q506" i="1"/>
  <c r="T506" i="1"/>
  <c r="U506" i="1"/>
  <c r="L506" i="1"/>
  <c r="M506" i="1"/>
  <c r="H507" i="1"/>
  <c r="I507" i="1"/>
  <c r="P507" i="1"/>
  <c r="Q507" i="1"/>
  <c r="T507" i="1"/>
  <c r="U507" i="1"/>
  <c r="L507" i="1"/>
  <c r="M507" i="1"/>
  <c r="H508" i="1"/>
  <c r="I508" i="1"/>
  <c r="P508" i="1"/>
  <c r="Q508" i="1"/>
  <c r="T508" i="1"/>
  <c r="U508" i="1"/>
  <c r="L508" i="1"/>
  <c r="M508" i="1"/>
  <c r="H509" i="1"/>
  <c r="P509" i="1"/>
  <c r="T509" i="1"/>
  <c r="L509" i="1"/>
  <c r="H510" i="1"/>
  <c r="I510" i="1"/>
  <c r="P510" i="1"/>
  <c r="Q510" i="1"/>
  <c r="T510" i="1"/>
  <c r="U510" i="1"/>
  <c r="L510" i="1"/>
  <c r="M510" i="1"/>
  <c r="H511" i="1"/>
  <c r="I511" i="1"/>
  <c r="P511" i="1"/>
  <c r="Q511" i="1"/>
  <c r="T511" i="1"/>
  <c r="U511" i="1"/>
  <c r="L511" i="1"/>
  <c r="M511" i="1"/>
  <c r="H512" i="1"/>
  <c r="I512" i="1"/>
  <c r="P512" i="1"/>
  <c r="Q512" i="1"/>
  <c r="T512" i="1"/>
  <c r="U512" i="1"/>
  <c r="L512" i="1"/>
  <c r="M512" i="1"/>
  <c r="H513" i="1"/>
  <c r="I513" i="1"/>
  <c r="P513" i="1"/>
  <c r="Q513" i="1"/>
  <c r="T513" i="1"/>
  <c r="U513" i="1"/>
  <c r="L513" i="1"/>
  <c r="M513" i="1"/>
  <c r="H514" i="1"/>
  <c r="I514" i="1"/>
  <c r="P514" i="1"/>
  <c r="Q514" i="1"/>
  <c r="T514" i="1"/>
  <c r="U514" i="1"/>
  <c r="L514" i="1"/>
  <c r="M514" i="1"/>
  <c r="H515" i="1"/>
  <c r="I515" i="1"/>
  <c r="P515" i="1"/>
  <c r="Q515" i="1"/>
  <c r="T515" i="1"/>
  <c r="U515" i="1"/>
  <c r="L515" i="1"/>
  <c r="M515" i="1"/>
  <c r="H516" i="1"/>
  <c r="I516" i="1"/>
  <c r="P516" i="1"/>
  <c r="Q516" i="1"/>
  <c r="T516" i="1"/>
  <c r="U516" i="1"/>
  <c r="L516" i="1"/>
  <c r="M516" i="1"/>
  <c r="H517" i="1"/>
  <c r="I517" i="1"/>
  <c r="P517" i="1"/>
  <c r="Q517" i="1"/>
  <c r="T517" i="1"/>
  <c r="U517" i="1"/>
  <c r="L517" i="1"/>
  <c r="M517" i="1"/>
  <c r="H518" i="1"/>
  <c r="I518" i="1"/>
  <c r="P518" i="1"/>
  <c r="Q518" i="1"/>
  <c r="T518" i="1"/>
  <c r="U518" i="1"/>
  <c r="L518" i="1"/>
  <c r="M518" i="1"/>
  <c r="H519" i="1"/>
  <c r="I519" i="1"/>
  <c r="P519" i="1"/>
  <c r="Q519" i="1"/>
  <c r="T519" i="1"/>
  <c r="U519" i="1"/>
  <c r="L519" i="1"/>
  <c r="M519" i="1"/>
  <c r="H520" i="1"/>
  <c r="I520" i="1"/>
  <c r="P520" i="1"/>
  <c r="Q520" i="1"/>
  <c r="T520" i="1"/>
  <c r="U520" i="1"/>
  <c r="L520" i="1"/>
  <c r="M520" i="1"/>
  <c r="H521" i="1"/>
  <c r="I521" i="1"/>
  <c r="P521" i="1"/>
  <c r="Q521" i="1"/>
  <c r="T521" i="1"/>
  <c r="U521" i="1"/>
  <c r="L521" i="1"/>
  <c r="M521" i="1"/>
  <c r="H522" i="1"/>
  <c r="I522" i="1"/>
  <c r="P522" i="1"/>
  <c r="Q522" i="1"/>
  <c r="T522" i="1"/>
  <c r="U522" i="1"/>
  <c r="L522" i="1"/>
  <c r="M522" i="1"/>
  <c r="H523" i="1"/>
  <c r="I523" i="1"/>
  <c r="P523" i="1"/>
  <c r="Q523" i="1"/>
  <c r="T523" i="1"/>
  <c r="U523" i="1"/>
  <c r="L523" i="1"/>
  <c r="M523" i="1"/>
  <c r="H524" i="1"/>
  <c r="I524" i="1"/>
  <c r="P524" i="1"/>
  <c r="Q524" i="1"/>
  <c r="T524" i="1"/>
  <c r="U524" i="1"/>
  <c r="L524" i="1"/>
  <c r="M524" i="1"/>
  <c r="H525" i="1"/>
  <c r="I525" i="1"/>
  <c r="P525" i="1"/>
  <c r="Q525" i="1"/>
  <c r="T525" i="1"/>
  <c r="U525" i="1"/>
  <c r="L525" i="1"/>
  <c r="M525" i="1"/>
  <c r="H526" i="1"/>
  <c r="I526" i="1"/>
  <c r="P526" i="1"/>
  <c r="Q526" i="1"/>
  <c r="T526" i="1"/>
  <c r="U526" i="1"/>
  <c r="L526" i="1"/>
  <c r="M526" i="1"/>
  <c r="H527" i="1"/>
  <c r="I527" i="1"/>
  <c r="P527" i="1"/>
  <c r="Q527" i="1"/>
  <c r="T527" i="1"/>
  <c r="U527" i="1"/>
  <c r="L527" i="1"/>
  <c r="M527" i="1"/>
  <c r="H528" i="1"/>
  <c r="I528" i="1"/>
  <c r="P528" i="1"/>
  <c r="Q528" i="1"/>
  <c r="T528" i="1"/>
  <c r="U528" i="1"/>
  <c r="L528" i="1"/>
  <c r="M528" i="1"/>
  <c r="H529" i="1"/>
  <c r="I529" i="1"/>
  <c r="P529" i="1"/>
  <c r="Q529" i="1"/>
  <c r="T529" i="1"/>
  <c r="U529" i="1"/>
  <c r="L529" i="1"/>
  <c r="M529" i="1"/>
  <c r="H530" i="1"/>
  <c r="I530" i="1"/>
  <c r="P530" i="1"/>
  <c r="Q530" i="1"/>
  <c r="T530" i="1"/>
  <c r="U530" i="1"/>
  <c r="L530" i="1"/>
  <c r="M530" i="1"/>
  <c r="P13" i="1"/>
  <c r="Q13" i="1"/>
  <c r="T13" i="1"/>
  <c r="U13" i="1"/>
  <c r="L13" i="1"/>
  <c r="M13" i="1"/>
  <c r="H13" i="1"/>
  <c r="I13" i="1"/>
  <c r="E11" i="1"/>
  <c r="F11" i="1"/>
  <c r="N11" i="1"/>
  <c r="R11" i="1"/>
  <c r="J11" i="1"/>
  <c r="G11" i="1"/>
  <c r="O11" i="1"/>
  <c r="S11" i="1"/>
  <c r="K11" i="1"/>
  <c r="P11" i="1"/>
  <c r="D11" i="1"/>
  <c r="D30" i="3"/>
  <c r="D29" i="3"/>
  <c r="E27" i="3"/>
  <c r="C29" i="3"/>
  <c r="C30" i="3"/>
  <c r="C33" i="3"/>
  <c r="C36" i="3"/>
  <c r="A53" i="3"/>
  <c r="A54" i="3"/>
  <c r="B27" i="3"/>
  <c r="A12" i="3"/>
  <c r="A14" i="3"/>
  <c r="A15" i="3"/>
  <c r="A17" i="3"/>
  <c r="C51" i="3"/>
  <c r="C73" i="3"/>
  <c r="C74" i="3"/>
  <c r="C77" i="3"/>
  <c r="D52" i="3"/>
  <c r="D24" i="3"/>
  <c r="E24" i="3"/>
  <c r="D25" i="3"/>
  <c r="E25" i="3"/>
  <c r="D17" i="3"/>
  <c r="E9" i="3"/>
  <c r="E53" i="3"/>
  <c r="T11" i="1"/>
  <c r="U11" i="1"/>
  <c r="H11" i="1"/>
  <c r="I11" i="1"/>
  <c r="Q11" i="1"/>
  <c r="D51" i="3"/>
  <c r="E17" i="3"/>
  <c r="D73" i="3"/>
  <c r="E52" i="3"/>
  <c r="C69" i="3"/>
  <c r="C70" i="3"/>
  <c r="C83" i="3"/>
  <c r="C85" i="3"/>
  <c r="C60" i="3"/>
  <c r="C63" i="3"/>
  <c r="C64" i="3"/>
  <c r="C65" i="3"/>
  <c r="A51" i="3"/>
  <c r="A21" i="3"/>
  <c r="C32" i="3"/>
  <c r="C35" i="3"/>
  <c r="C37" i="3"/>
  <c r="C39" i="3"/>
  <c r="E29" i="3"/>
  <c r="D32" i="3"/>
  <c r="D33" i="3"/>
  <c r="E30" i="3"/>
  <c r="U9" i="1"/>
  <c r="Q9" i="1"/>
  <c r="I9" i="1"/>
  <c r="P9" i="1"/>
  <c r="T9" i="1"/>
  <c r="H9" i="1"/>
  <c r="E32" i="3"/>
  <c r="D35" i="3"/>
  <c r="D36" i="3"/>
  <c r="E36" i="3"/>
  <c r="E33" i="3"/>
  <c r="A22" i="3"/>
  <c r="B22" i="3"/>
  <c r="B24" i="3"/>
  <c r="B73" i="3"/>
  <c r="C86" i="3"/>
  <c r="E73" i="3"/>
  <c r="D74" i="3"/>
  <c r="D69" i="3"/>
  <c r="E51" i="3"/>
  <c r="D60" i="3"/>
  <c r="D63" i="3"/>
  <c r="E60" i="3"/>
  <c r="E69" i="3"/>
  <c r="D70" i="3"/>
  <c r="E35" i="3"/>
  <c r="D37" i="3"/>
  <c r="E74" i="3"/>
  <c r="D77" i="3"/>
  <c r="E77" i="3"/>
  <c r="A24" i="3"/>
  <c r="B25" i="3"/>
  <c r="A25" i="3"/>
  <c r="D64" i="3"/>
  <c r="E63" i="3"/>
  <c r="E37" i="3"/>
  <c r="D39" i="3"/>
  <c r="E39" i="3"/>
  <c r="E70" i="3"/>
  <c r="D83" i="3"/>
  <c r="D65" i="3"/>
  <c r="E65" i="3"/>
  <c r="E64" i="3"/>
  <c r="A27" i="3"/>
  <c r="E83" i="3"/>
  <c r="D85" i="3"/>
  <c r="E85" i="3"/>
  <c r="D86" i="3"/>
  <c r="E86" i="3"/>
  <c r="B30" i="3"/>
  <c r="A29" i="3"/>
  <c r="B29" i="3"/>
  <c r="B32" i="3"/>
  <c r="A30" i="3"/>
  <c r="B33" i="3"/>
  <c r="A32" i="3"/>
  <c r="A33" i="3"/>
  <c r="B35" i="3"/>
  <c r="A35" i="3"/>
  <c r="B36" i="3"/>
  <c r="B37" i="3"/>
  <c r="A36" i="3"/>
  <c r="A37" i="3"/>
  <c r="A39" i="3"/>
  <c r="A44" i="3"/>
  <c r="B39" i="3"/>
  <c r="A45" i="3"/>
  <c r="B60" i="3"/>
  <c r="B72" i="3"/>
  <c r="A56" i="3"/>
  <c r="A57" i="3"/>
  <c r="A46" i="3"/>
  <c r="A47" i="3"/>
  <c r="A58" i="3"/>
  <c r="A60" i="3"/>
  <c r="A61" i="3"/>
  <c r="B58" i="3"/>
  <c r="A48" i="3"/>
  <c r="A49" i="3"/>
  <c r="B81" i="3"/>
  <c r="B63" i="3"/>
  <c r="B64" i="3"/>
  <c r="A64" i="3"/>
  <c r="A65" i="3"/>
  <c r="A66" i="3"/>
  <c r="B65" i="3"/>
  <c r="A70" i="3"/>
  <c r="B69" i="3"/>
  <c r="B67" i="3"/>
  <c r="B70" i="3"/>
  <c r="B68" i="3"/>
  <c r="A72" i="3"/>
  <c r="A73" i="3"/>
  <c r="A74" i="3"/>
  <c r="A75" i="3"/>
  <c r="B77" i="3"/>
  <c r="B74" i="3"/>
  <c r="A79" i="3"/>
  <c r="A81" i="3"/>
  <c r="A83" i="3"/>
  <c r="B83" i="3"/>
  <c r="A85" i="3"/>
  <c r="A86" i="3"/>
  <c r="B85" i="3"/>
  <c r="B86" i="3"/>
  <c r="L11" i="1"/>
  <c r="M11" i="1"/>
</calcChain>
</file>

<file path=xl/sharedStrings.xml><?xml version="1.0" encoding="utf-8"?>
<sst xmlns="http://schemas.openxmlformats.org/spreadsheetml/2006/main" count="1064" uniqueCount="629">
  <si>
    <t>Adjusted</t>
  </si>
  <si>
    <t>ADM</t>
  </si>
  <si>
    <t>Equity</t>
  </si>
  <si>
    <t>Referendum</t>
  </si>
  <si>
    <t>Integration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</si>
  <si>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</si>
  <si>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</si>
  <si>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</si>
  <si>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</si>
  <si>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</si>
  <si>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</si>
  <si>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</si>
  <si>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</si>
  <si>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</si>
  <si>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</si>
  <si>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</si>
  <si>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</si>
  <si>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</si>
  <si>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</si>
  <si>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</si>
  <si>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</si>
  <si>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</si>
  <si>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</si>
  <si>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</si>
  <si>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</si>
  <si>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</si>
  <si>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</si>
  <si>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</si>
  <si>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</si>
  <si>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</si>
  <si>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</si>
  <si>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</si>
  <si>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</si>
  <si>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</si>
  <si>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</si>
  <si>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</si>
  <si>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</si>
  <si>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</si>
  <si>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</si>
  <si>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</si>
  <si>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</si>
  <si>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EASTERN CARVER COUNTY PUBLIC SCHOOL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</si>
  <si>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</si>
  <si>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</si>
  <si>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</si>
  <si>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</si>
  <si>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</si>
  <si>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</si>
  <si>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</si>
  <si>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</si>
  <si>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</si>
  <si>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</si>
  <si>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</si>
  <si>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</si>
  <si>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</si>
  <si>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</si>
  <si>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</si>
  <si>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</si>
  <si>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</si>
  <si>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</si>
  <si>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</si>
  <si>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</si>
  <si>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</si>
  <si>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</si>
  <si>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</si>
  <si>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</si>
  <si>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</si>
  <si>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</si>
  <si>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</si>
  <si>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</si>
  <si>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</si>
  <si>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</si>
  <si>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</si>
  <si>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</si>
  <si>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</si>
  <si>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</si>
  <si>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</si>
  <si>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</si>
  <si>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</si>
  <si>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</si>
  <si>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</si>
  <si>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</si>
  <si>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</si>
  <si>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</si>
  <si>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</si>
  <si>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</si>
  <si>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</si>
  <si>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</si>
  <si>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</si>
  <si>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</si>
  <si>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</si>
  <si>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</si>
  <si>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</si>
  <si>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</si>
  <si>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</si>
  <si>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</si>
  <si>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</si>
  <si>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</si>
  <si>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</si>
  <si>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</si>
  <si>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</si>
  <si>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</si>
  <si>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</si>
  <si>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</si>
  <si>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</si>
  <si>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</si>
  <si>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</si>
  <si>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</si>
  <si>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</si>
  <si>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</si>
  <si>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</si>
  <si>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FRANCONIA PUBLIC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</si>
  <si>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</si>
  <si>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</si>
  <si>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</si>
  <si>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</si>
  <si>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</si>
  <si>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</si>
  <si>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</si>
  <si>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</si>
  <si>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</si>
  <si>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</si>
  <si>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</si>
  <si>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</si>
  <si>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</si>
  <si>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</si>
  <si>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</si>
  <si>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</si>
  <si>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</si>
  <si>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</si>
  <si>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</si>
  <si>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</si>
  <si>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</si>
  <si>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</si>
  <si>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</si>
  <si>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</si>
  <si>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</si>
  <si>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</si>
  <si>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</si>
  <si>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</si>
  <si>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</si>
  <si>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</si>
  <si>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</si>
  <si>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</si>
  <si>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</si>
  <si>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</si>
  <si>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</si>
  <si>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</si>
  <si>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</si>
  <si>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</si>
  <si>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</si>
  <si>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</si>
  <si>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</si>
  <si>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</si>
  <si>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</si>
  <si>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</si>
  <si>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</si>
  <si>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</si>
  <si>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</si>
  <si>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</si>
  <si>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</si>
  <si>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</si>
  <si>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</si>
  <si>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</si>
  <si>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</si>
  <si>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</si>
  <si>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</si>
  <si>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</si>
  <si>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</si>
  <si>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</si>
  <si>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</si>
  <si>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</si>
  <si>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</si>
  <si>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</si>
  <si>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</si>
  <si>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</si>
  <si>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</si>
  <si>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</si>
  <si>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</si>
  <si>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</si>
  <si>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</si>
  <si>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</si>
  <si>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</si>
  <si>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</si>
  <si>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</si>
  <si>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</si>
  <si>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</si>
  <si>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</si>
  <si>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</si>
  <si>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</si>
  <si>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</si>
  <si>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</si>
  <si>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</si>
  <si>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</si>
  <si>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</si>
  <si>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</si>
  <si>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</si>
  <si>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</si>
  <si>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</si>
  <si>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</si>
  <si>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</si>
  <si>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</si>
  <si>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</si>
  <si>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</si>
  <si>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</si>
  <si>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</si>
  <si>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</si>
  <si>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</si>
  <si>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</si>
  <si>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</si>
  <si>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</si>
  <si>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</si>
  <si>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</si>
  <si>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</si>
  <si>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</si>
  <si>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</si>
  <si>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</si>
  <si>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</si>
  <si>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</si>
  <si>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</si>
  <si>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</si>
  <si>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</si>
  <si>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</si>
  <si>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</si>
  <si>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</si>
  <si>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</si>
  <si>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</si>
  <si>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</si>
  <si>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</si>
  <si>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</si>
  <si>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</si>
  <si>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</si>
  <si>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</si>
  <si>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</si>
  <si>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</si>
  <si>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</si>
  <si>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</si>
  <si>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</si>
  <si>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</si>
  <si>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</si>
  <si>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</si>
  <si>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</si>
  <si>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</si>
  <si>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</si>
  <si>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</si>
  <si>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 PUBLIC SCHOOL DISTRICT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</si>
  <si>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</si>
  <si>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</si>
  <si>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</si>
  <si>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</si>
  <si>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</si>
  <si>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</si>
  <si>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</si>
  <si>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</si>
  <si>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</si>
  <si>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</si>
  <si>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</si>
  <si>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</si>
  <si>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</si>
  <si>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</si>
  <si>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</si>
  <si>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</si>
  <si>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</si>
  <si>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</si>
  <si>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</si>
  <si>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</si>
  <si>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</si>
  <si>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</si>
  <si>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</si>
  <si>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</si>
  <si>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</si>
  <si>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</si>
  <si>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</si>
  <si>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</si>
  <si>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</si>
  <si>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</si>
  <si>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</si>
  <si>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</si>
  <si>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</si>
  <si>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</si>
  <si>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</si>
  <si>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</si>
  <si>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</si>
  <si>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</si>
  <si>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</si>
  <si>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</si>
  <si>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</si>
  <si>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</si>
  <si>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</si>
  <si>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</si>
  <si>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</si>
  <si>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</si>
  <si>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</si>
  <si>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</si>
  <si>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</si>
  <si>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</si>
  <si>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</si>
  <si>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</si>
  <si>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</si>
  <si>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</si>
  <si>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</si>
  <si>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</si>
  <si>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</si>
  <si>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</si>
  <si>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</si>
  <si>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</si>
  <si>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</si>
  <si>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</si>
  <si>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</si>
  <si>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</si>
  <si>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</si>
  <si>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</si>
  <si>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</si>
  <si>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</si>
  <si>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</si>
  <si>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</si>
  <si>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</si>
  <si>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</si>
  <si>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</si>
  <si>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</si>
  <si>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</si>
  <si>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</si>
  <si>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</si>
  <si>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</si>
  <si>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</si>
  <si>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</si>
  <si>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</si>
  <si>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</si>
  <si>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</si>
  <si>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</si>
  <si>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</si>
  <si>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</si>
  <si>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</si>
  <si>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</si>
  <si>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</si>
  <si>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</si>
  <si>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</si>
  <si>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</si>
  <si>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</si>
  <si>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</si>
  <si>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ORTONVILLE-BELLINGHAM PUBLIC SCHOOL</t>
  </si>
  <si>
    <t>TRACY AREA PUBLIC SCHOOL DISTRICT</t>
  </si>
  <si>
    <t>MCLEOD WEST SCHOOLS</t>
  </si>
  <si>
    <t>NEW REFERENDUM GROWTH</t>
  </si>
  <si>
    <t>CFL V DST EST</t>
  </si>
  <si>
    <t>CITY ACADEMY</t>
  </si>
  <si>
    <t>BLUFFVIEW MONTESSORI</t>
  </si>
  <si>
    <t>NEW HEIGHTS SCHOOL, INC.</t>
  </si>
  <si>
    <t>CEDAR RIVERSIDE COMMUNITY SCHOOL</t>
  </si>
  <si>
    <t>METRO DEAF SCH &amp; MN NORTH STAR ACAD</t>
  </si>
  <si>
    <t>SKILLS FOR TOMORROW CHARTER SCHOOL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</si>
  <si>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</si>
  <si>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</si>
  <si>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</si>
  <si>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</si>
  <si>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</si>
  <si>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</si>
  <si>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 SCH</t>
  </si>
  <si>
    <t>ACHIEVE LANGUAGE ACADEMY</t>
  </si>
  <si>
    <t>ST. PAUL FAMILY LEARN</t>
  </si>
  <si>
    <t>DULUTH PUBLIC SCHOOLS ACADEMY</t>
  </si>
  <si>
    <t>VILLAGE SCHOOL OF NOR</t>
  </si>
  <si>
    <t>CYBER VILLAGE ACADEMY</t>
  </si>
  <si>
    <t>E.C.H.O. CHARTER SCHOOL</t>
  </si>
  <si>
    <t>HIGHER GROUND ACADEMY</t>
  </si>
  <si>
    <t>ECI' NOMPA WOONSPE</t>
  </si>
  <si>
    <t>NEW SPIRIT SCHOOL</t>
  </si>
  <si>
    <t>ODYSSEY ACADEMY</t>
  </si>
  <si>
    <t>JENNINGS COMMUNITY LEARNING CENTER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</si>
  <si>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</si>
  <si>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</si>
  <si>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</si>
  <si>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</si>
  <si>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</si>
  <si>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MARTIN HUGHES CHARTER</t>
  </si>
  <si>
    <t>TWIN CITIES ACADEMY</t>
  </si>
  <si>
    <t>MATH &amp; SCIENCE ACADEMY</t>
  </si>
  <si>
    <t>HEART OF THE EARTH CHARTER</t>
  </si>
  <si>
    <t>LAKES AREA CHARTER SCHOOL</t>
  </si>
  <si>
    <t>LAKE SUPERIOR HIGH SCHOOL</t>
  </si>
  <si>
    <t>GREAT RIVER EDUCATION CENTER</t>
  </si>
  <si>
    <t>NORTHWEST PASSAGE HIGH SCHOOL</t>
  </si>
  <si>
    <t>LAFAYETTE PUBLIC CHARTER SCHOOL</t>
  </si>
  <si>
    <t>HANSKA CHARTER SCHOOL</t>
  </si>
  <si>
    <t>FOUR DIRECTIONS CHARTER SCHOOLS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</si>
  <si>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</si>
  <si>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</si>
  <si>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</si>
  <si>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</si>
  <si>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</si>
  <si>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</si>
  <si>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</si>
  <si>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MEXICA MULTICULTURAL</t>
  </si>
  <si>
    <t>STUDIO ACADEMY CHARTER SCHOOL</t>
  </si>
  <si>
    <t>FAMILY ACADEMY CHARTE</t>
  </si>
  <si>
    <t>RIVERWAY LEARNING COMMUNITY CHTR</t>
  </si>
  <si>
    <t>MINNESOTA BUSINESS AC</t>
  </si>
  <si>
    <t>RIVERBEND ACADEMY</t>
  </si>
  <si>
    <t>AURORA CHARTER SCHOOL</t>
  </si>
  <si>
    <t>EXCELL ACADEMY CHARTER</t>
  </si>
  <si>
    <t>MN INSTITUTE OF TECHN</t>
  </si>
  <si>
    <t>HOPE COMMUNITY ACADEMY</t>
  </si>
  <si>
    <t>NATIVE ARTS CHARTER S</t>
  </si>
  <si>
    <t>YANKTON COUNTRY CHARTER SCHOOL</t>
  </si>
  <si>
    <t>ACADEMIA CESAR CHAVEZ CHARTER SCH.</t>
  </si>
  <si>
    <t>AFSA HIGH SCHOOL</t>
  </si>
  <si>
    <t>AVALON SCHOOL</t>
  </si>
  <si>
    <t>MN ACADEMY OF TECHNOL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</si>
  <si>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</si>
  <si>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</si>
  <si>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</si>
  <si>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</si>
  <si>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</si>
  <si>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</si>
  <si>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</si>
  <si>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</si>
  <si>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</si>
  <si>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</si>
  <si>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</si>
  <si>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</si>
  <si>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</si>
  <si>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</si>
  <si>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</si>
  <si>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</si>
  <si>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</si>
  <si>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LEARNING</t>
  </si>
  <si>
    <t>CHIRON CHARTER SCHOOL</t>
  </si>
  <si>
    <t>PARTNERSHIP ACADEMY, INC.</t>
  </si>
  <si>
    <t>NOVA CLASSICAL ACADEMY</t>
  </si>
  <si>
    <t>TAREK IBN ZIYAD ACADEMY</t>
  </si>
  <si>
    <t>GREAT EXPECTATIONS</t>
  </si>
  <si>
    <t>MINNESOTA NORTH STAR ACADEMY</t>
  </si>
  <si>
    <t>MINNESOTA INTERNSHIP CENTER</t>
  </si>
  <si>
    <t>HMONG COLLEGE PREP ACADEMY</t>
  </si>
  <si>
    <t>PALADIN ACADEMY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</si>
  <si>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</si>
  <si>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</si>
  <si>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</si>
  <si>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</si>
  <si>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</si>
  <si>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SCHOOL PERFORMING ARTS</t>
  </si>
  <si>
    <t>AUGSBURG FAIRVIEW ACADEMY</t>
  </si>
  <si>
    <t>ST PAUL CONSERVATORY PERFORMING ART</t>
  </si>
  <si>
    <t>FRASER ACADEMY</t>
  </si>
  <si>
    <t>PRESTIGE ACADEMY CHARTER SCHOOL</t>
  </si>
  <si>
    <t>MINNEAPOLIS ACADEMY CHARTER SCHOOL</t>
  </si>
  <si>
    <t>LAKES INTERNATIONAL LANGUAGE ADMY</t>
  </si>
  <si>
    <t>KALEIDOSCOPE CHARTER SCHOOL</t>
  </si>
  <si>
    <t>RIVER HEIGHTS CHARTER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</si>
  <si>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</si>
  <si>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</si>
  <si>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</si>
  <si>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</si>
  <si>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</si>
  <si>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</si>
  <si>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</si>
  <si>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</si>
  <si>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COLONEL CHARLES D. YO</t>
  </si>
  <si>
    <t>MARY MCVOY EARLY LITE</t>
  </si>
  <si>
    <t>LIGHTHOUSE ACADEMY OF NATIONS</t>
  </si>
  <si>
    <t>TWIN CITIES ACADEMY HIGH SCHOOL</t>
  </si>
  <si>
    <t>BEACON PREPARATORY SCHOOL</t>
  </si>
  <si>
    <t>ROCHESTER MATH &amp; SCIENCE ACADEMY</t>
  </si>
  <si>
    <t>SOUL ACADEMY CHARTER SCHOOL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</si>
  <si>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</si>
  <si>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</si>
  <si>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</si>
  <si>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</si>
  <si>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</si>
  <si>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</si>
  <si>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</si>
  <si>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</si>
  <si>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</si>
  <si>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</si>
  <si>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ACADEMY OF BIOSCIENCES</t>
  </si>
  <si>
    <t>CYGNUS ACADEMY</t>
  </si>
  <si>
    <t>MINNESOTA ONLINE HIGH SCHOOL</t>
  </si>
  <si>
    <t>EDVISIONS OFF CAMPUS SCHOOL</t>
  </si>
  <si>
    <t>TWIN CITIES GERMAN IMMERSION CHRTR</t>
  </si>
  <si>
    <t>DUGSI ACADEMY</t>
  </si>
  <si>
    <t>RECOVERY SCHOOL OF SOUTHERN MN</t>
  </si>
  <si>
    <t>NAYTAHWAUSH COMMUNITY SCHOOL</t>
  </si>
  <si>
    <t>NEW SALEM ACADEMY</t>
  </si>
  <si>
    <t>DAKOTA ACADEMY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</si>
  <si>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</si>
  <si>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</si>
  <si>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</si>
  <si>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</si>
  <si>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</si>
  <si>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</si>
  <si>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ELOM INTERNATIONAL SCHOOL</t>
  </si>
  <si>
    <t>EAST RANGE ACADEMY OF TECH &amp;SCIENCE</t>
  </si>
  <si>
    <t>INTERNATIONAL SPANISH LANGUAGE ACAD</t>
  </si>
  <si>
    <t>GLACIAL HILLS ELEMENTARY</t>
  </si>
  <si>
    <t>STONEBRIDGE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</si>
  <si>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</si>
  <si>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</si>
  <si>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</si>
  <si>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</si>
  <si>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</si>
  <si>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</si>
  <si>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WAYNEWOOD SCHOOL OF HOPE</t>
  </si>
  <si>
    <t>MINISINAAKWAANG LEADERSHIP ACADEMY</t>
  </si>
  <si>
    <t>LINCOLN INTERNATIONAL SCHOOL</t>
  </si>
  <si>
    <t>EMILY O. GOODRIDGE-GREY ACCELERATED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</si>
  <si>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</si>
  <si>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</si>
  <si>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</si>
  <si>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</si>
  <si>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</si>
  <si>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</si>
  <si>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MICHAEL FROME ACADEMY</t>
  </si>
  <si>
    <t>COLOGNE ACADEMY</t>
  </si>
  <si>
    <t>BRIGHT WATER ELEMENTARY</t>
  </si>
  <si>
    <t>RIVER'S EDGE ACADEMY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</si>
  <si>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</si>
  <si>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</si>
  <si>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</si>
  <si>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</si>
  <si>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</si>
  <si>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RICHARD ALLEN MATH&amp;SCIENCE ACADEMY</t>
  </si>
  <si>
    <t>ACADEMY OF NORTH MINNEAPOLIS</t>
  </si>
  <si>
    <t>CFL V CHT EST</t>
  </si>
  <si>
    <t>FY 2012</t>
  </si>
  <si>
    <t>FY 2013</t>
  </si>
  <si>
    <t>Feb 2011</t>
  </si>
  <si>
    <t>Forecast</t>
  </si>
  <si>
    <t>Oct 2011</t>
  </si>
  <si>
    <t>Update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</si>
  <si>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</si>
  <si>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</si>
  <si>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</si>
  <si>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</si>
  <si>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</si>
  <si>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</si>
  <si>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</si>
  <si>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</si>
  <si>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</si>
  <si>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</si>
  <si>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Change</t>
  </si>
  <si>
    <t>K</t>
  </si>
  <si>
    <t>L</t>
  </si>
  <si>
    <t>M</t>
  </si>
  <si>
    <t>P</t>
  </si>
  <si>
    <t>Q</t>
  </si>
  <si>
    <t>TOTAL</t>
  </si>
  <si>
    <t>Change/ADM</t>
  </si>
  <si>
    <t>N</t>
  </si>
  <si>
    <t>O</t>
  </si>
  <si>
    <t>R</t>
  </si>
  <si>
    <t>Revenue Changes October</t>
  </si>
  <si>
    <t>Changes in Projected Integation, Operating Referendum and Equity Revenues Between the February 2011 State Budget Forecast and October 2011</t>
  </si>
  <si>
    <t>These changes are based on updated submissions of integration budgets and certain districts' decisions not to renew expiring referendums.</t>
  </si>
  <si>
    <t>Approved</t>
  </si>
  <si>
    <t>Initial</t>
  </si>
  <si>
    <t>Minneapolis</t>
  </si>
  <si>
    <t>Budget</t>
  </si>
  <si>
    <t>$/APU</t>
  </si>
  <si>
    <t>Addition</t>
  </si>
  <si>
    <t>Regular</t>
  </si>
  <si>
    <t>Alt Att</t>
  </si>
  <si>
    <t>APU</t>
  </si>
  <si>
    <t>N/A</t>
  </si>
  <si>
    <t>CARLTON</t>
  </si>
  <si>
    <t>CLOQUET</t>
  </si>
  <si>
    <t>CROMWELL</t>
  </si>
  <si>
    <t>ESKO</t>
  </si>
  <si>
    <t>ST. PETER</t>
  </si>
  <si>
    <t>PROCTOR</t>
  </si>
  <si>
    <t>ALBANY</t>
  </si>
  <si>
    <t>SARTELL</t>
  </si>
  <si>
    <t>COLD SPRING</t>
  </si>
  <si>
    <t>BLOOMING PRAIRIE</t>
  </si>
  <si>
    <t>LAKE CITY</t>
  </si>
  <si>
    <t>ROTHSAY</t>
  </si>
  <si>
    <t>ST. LOUIS COUNTY</t>
  </si>
  <si>
    <t>NRHEG</t>
  </si>
  <si>
    <t>REDWOOD AREA SCHOOLS</t>
  </si>
  <si>
    <t>--&gt; ENTER DISTRICT NUMBER HERE.</t>
  </si>
  <si>
    <t>Here are the districts with referendum revisions:</t>
  </si>
  <si>
    <t>$/PU</t>
  </si>
  <si>
    <t>FY 2013 REFERENDUM AND EQUITY REVENUES</t>
  </si>
  <si>
    <t>FEBRUARY</t>
  </si>
  <si>
    <t>REVISED</t>
  </si>
  <si>
    <t>February</t>
  </si>
  <si>
    <t>Revised</t>
  </si>
  <si>
    <t>FORECAST</t>
  </si>
  <si>
    <t>BASIS</t>
  </si>
  <si>
    <t>CHANGE</t>
  </si>
  <si>
    <t>Basis</t>
  </si>
  <si>
    <t>RMCPU</t>
  </si>
  <si>
    <t>AMCPU</t>
  </si>
  <si>
    <t>RMV</t>
  </si>
  <si>
    <t>REFERENDUM INPUTS</t>
  </si>
  <si>
    <t>GROSS AUTHORITY PER RMCPU</t>
  </si>
  <si>
    <t>CAP PER RMCPU, TIER 1  (SEE "CAPS" WORKSHEET)</t>
  </si>
  <si>
    <t>EQUALIZING FACTOR, TIER 1</t>
  </si>
  <si>
    <t>EQUALIZING FACTOR, TIER 2</t>
  </si>
  <si>
    <t>AIDS &amp; LEVIES</t>
  </si>
  <si>
    <t>None of the districts on the list have any unequalized referendum revenue,</t>
  </si>
  <si>
    <t>so all of the revenue that isn't assigned to tier 1 is assigned to tier 2.</t>
  </si>
  <si>
    <t>All of the districts on this list are outside the metro area, so the calculation</t>
  </si>
  <si>
    <t>doesn't address the metro area's equity formula.</t>
  </si>
  <si>
    <t>EQUITY REVENUE</t>
  </si>
  <si>
    <t>STATE AVE REF/RMCPU</t>
  </si>
  <si>
    <t>PARAMETER 1</t>
  </si>
  <si>
    <t>PARAMETER 2</t>
  </si>
  <si>
    <t>PARAMETER 3</t>
  </si>
  <si>
    <t>PARAMETER 4</t>
  </si>
  <si>
    <t>REFERENDUM REVENUE</t>
  </si>
  <si>
    <t>REFERENDUM MARKET VALUE</t>
  </si>
  <si>
    <t>EQUALIZING FACTOR FOR EQUITY</t>
  </si>
  <si>
    <t>REGION'S 5TH PCTL</t>
  </si>
  <si>
    <t>REGION'S 95TH PCTL</t>
  </si>
  <si>
    <t>DISTRICT'S EQUITY GAP</t>
  </si>
  <si>
    <t>= GTR OF ZERO</t>
  </si>
  <si>
    <t>INITIAL ALLOWANCE</t>
  </si>
  <si>
    <t>LOW REFERENDUM REVENUE</t>
  </si>
  <si>
    <t>= LESSER OF $100,000</t>
  </si>
  <si>
    <t>METRO ADJUSTMENT = ZERO</t>
  </si>
  <si>
    <t>Revenue</t>
  </si>
  <si>
    <t>Levy</t>
  </si>
  <si>
    <t>STATEWIDE FUDGE</t>
  </si>
  <si>
    <t>INTEGRATION REVENUES FOR FY 2012 AND FY 2013 USING UNADJUSTED APU'S</t>
  </si>
  <si>
    <t>TOTAL EXCL BUDGET = ZERO</t>
  </si>
  <si>
    <t>MINNEAPOLIS</t>
  </si>
  <si>
    <t>ST PAUL</t>
  </si>
  <si>
    <t>DULUTH</t>
  </si>
  <si>
    <t>ALL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</si>
</sst>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_)"/>
    <numFmt numFmtId="166" formatCode="0.00000000"/>
    <numFmt numFmtId="167" formatCode="#,##0.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3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quotePrefix="1" applyFont="1" applyAlignment="1">
      <alignment horizontal="right"/>
    </xf>
    <xf numFmtId="0" fontId="0" fillId="0" borderId="0" xfId="0" applyFont="1" applyFill="1" applyAlignment="1">
      <alignment horizontal="right"/>
    </xf>
    <xf numFmtId="1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 applyFill="1" applyAlignment="1">
      <alignment horizontal="right"/>
    </xf>
    <xf numFmtId="1" fontId="3" fillId="0" borderId="0" xfId="0" applyNumberFormat="1" applyFont="1" applyFill="1" applyProtection="1"/>
    <xf numFmtId="0" fontId="3" fillId="0" borderId="0" xfId="0" applyFont="1" applyFill="1" applyAlignment="1" applyProtection="1">
      <alignment horizontal="left"/>
    </xf>
    <xf numFmtId="3" fontId="2" fillId="0" borderId="0" xfId="0" applyNumberFormat="1" applyFont="1" applyAlignment="1" applyProtection="1">
      <alignment horizontal="right"/>
      <protection locked="0"/>
    </xf>
    <xf numFmtId="3" fontId="1" fillId="0" borderId="0" xfId="1" applyNumberFormat="1" applyFont="1" applyFill="1" applyAlignment="1">
      <alignment horizontal="right"/>
    </xf>
    <xf numFmtId="164" fontId="3" fillId="0" borderId="0" xfId="0" applyNumberFormat="1" applyFont="1" applyFill="1" applyAlignment="1" applyProtection="1">
      <alignment horizontal="left"/>
    </xf>
    <xf numFmtId="1" fontId="3" fillId="0" borderId="0" xfId="0" applyNumberFormat="1" applyFont="1" applyFill="1" applyAlignment="1" applyProtection="1">
      <alignment horizontal="right"/>
      <protection locked="0"/>
    </xf>
    <xf numFmtId="3" fontId="3" fillId="0" borderId="0" xfId="0" applyNumberFormat="1" applyFont="1" applyFill="1" applyAlignment="1" applyProtection="1">
      <alignment horizontal="left"/>
      <protection locked="0"/>
    </xf>
    <xf numFmtId="3" fontId="2" fillId="0" borderId="0" xfId="0" applyNumberFormat="1" applyFont="1"/>
    <xf numFmtId="0" fontId="3" fillId="0" borderId="0" xfId="0" applyFont="1" applyFill="1"/>
    <xf numFmtId="3" fontId="2" fillId="0" borderId="0" xfId="0" applyNumberFormat="1" applyFont="1" applyFill="1"/>
    <xf numFmtId="3" fontId="3" fillId="0" borderId="0" xfId="0" applyNumberFormat="1" applyFont="1" applyFill="1" applyAlignment="1">
      <alignment horizontal="right"/>
    </xf>
    <xf numFmtId="0" fontId="2" fillId="0" borderId="0" xfId="0" applyFont="1"/>
    <xf numFmtId="0" fontId="0" fillId="0" borderId="0" xfId="0" quotePrefix="1" applyFont="1" applyFill="1" applyAlignment="1">
      <alignment horizontal="right"/>
    </xf>
    <xf numFmtId="14" fontId="0" fillId="0" borderId="0" xfId="0" applyNumberFormat="1" applyFon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2" borderId="0" xfId="0" applyFont="1" applyFill="1"/>
    <xf numFmtId="0" fontId="0" fillId="0" borderId="0" xfId="0" quotePrefix="1" applyFont="1"/>
    <xf numFmtId="0" fontId="0" fillId="0" borderId="0" xfId="0" applyFont="1" applyFill="1"/>
    <xf numFmtId="4" fontId="0" fillId="0" borderId="0" xfId="0" applyNumberFormat="1" applyFont="1"/>
    <xf numFmtId="4" fontId="0" fillId="0" borderId="0" xfId="0" applyNumberFormat="1" applyFont="1" applyFill="1" applyAlignment="1">
      <alignment horizontal="right"/>
    </xf>
    <xf numFmtId="3" fontId="0" fillId="0" borderId="0" xfId="0" applyNumberFormat="1" applyFont="1" applyFill="1" applyAlignment="1">
      <alignment horizontal="right"/>
    </xf>
    <xf numFmtId="166" fontId="0" fillId="0" borderId="0" xfId="0" applyNumberFormat="1" applyFont="1" applyFill="1" applyAlignment="1">
      <alignment horizontal="right"/>
    </xf>
    <xf numFmtId="167" fontId="0" fillId="0" borderId="0" xfId="0" applyNumberFormat="1" applyFont="1"/>
    <xf numFmtId="4" fontId="0" fillId="0" borderId="0" xfId="0" applyNumberFormat="1" applyFont="1" applyFill="1"/>
    <xf numFmtId="0" fontId="2" fillId="0" borderId="0" xfId="0" applyFont="1" applyFill="1" applyBorder="1"/>
    <xf numFmtId="3" fontId="0" fillId="0" borderId="0" xfId="0" applyNumberFormat="1" applyFont="1" applyFill="1"/>
    <xf numFmtId="166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73"/>
  <sheetViews>
    <sheetView tabSelected="1" zoomScaleNormal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RowHeight="15" x14ac:dyDescent="0.25"/>
  <cols>
    <col min="1" max="1" width="5.7109375" style="2" customWidth="1"/>
    <col min="2" max="2" width="3.42578125" style="2" customWidth="1"/>
    <col min="3" max="3" width="12.7109375" style="2" customWidth="1"/>
    <col min="4" max="21" width="14.7109375" style="2" customWidth="1"/>
    <col min="22" max="16384" width="9.140625" style="2"/>
  </cols>
  <sheetData>
    <row r="1" spans="1:21" x14ac:dyDescent="0.25">
      <c r="A1" s="2" t="s">
        <v>551</v>
      </c>
      <c r="U1" s="3" t="s">
        <v>550</v>
      </c>
    </row>
    <row r="2" spans="1:21" x14ac:dyDescent="0.25">
      <c r="A2" s="2" t="s">
        <v>552</v>
      </c>
      <c r="U2" s="23">
        <v>40827</v>
      </c>
    </row>
    <row r="3" spans="1:21" x14ac:dyDescent="0.25">
      <c r="U3" s="23"/>
    </row>
    <row r="4" spans="1:21" x14ac:dyDescent="0.25">
      <c r="D4" s="3" t="s">
        <v>529</v>
      </c>
      <c r="E4" s="3" t="s">
        <v>530</v>
      </c>
      <c r="F4" s="3" t="s">
        <v>531</v>
      </c>
      <c r="G4" s="3" t="s">
        <v>532</v>
      </c>
      <c r="H4" s="3" t="s">
        <v>533</v>
      </c>
      <c r="I4" s="3" t="s">
        <v>534</v>
      </c>
      <c r="J4" s="3" t="s">
        <v>535</v>
      </c>
      <c r="K4" s="3" t="s">
        <v>536</v>
      </c>
      <c r="L4" s="3" t="s">
        <v>537</v>
      </c>
      <c r="M4" s="3" t="s">
        <v>538</v>
      </c>
      <c r="N4" s="3" t="s">
        <v>540</v>
      </c>
      <c r="O4" s="3" t="s">
        <v>541</v>
      </c>
      <c r="P4" s="3" t="s">
        <v>542</v>
      </c>
      <c r="Q4" s="3" t="s">
        <v>547</v>
      </c>
      <c r="R4" s="3" t="s">
        <v>548</v>
      </c>
      <c r="S4" s="3" t="s">
        <v>543</v>
      </c>
      <c r="T4" s="3" t="s">
        <v>544</v>
      </c>
      <c r="U4" s="3" t="s">
        <v>549</v>
      </c>
    </row>
    <row r="5" spans="1:21" x14ac:dyDescent="0.25">
      <c r="D5" s="3"/>
      <c r="E5" s="3"/>
      <c r="I5" s="4"/>
      <c r="J5" s="4"/>
      <c r="K5" s="4"/>
      <c r="L5" s="3"/>
      <c r="M5" s="3"/>
      <c r="P5" s="3"/>
      <c r="Q5" s="3"/>
      <c r="R5" s="4"/>
      <c r="S5" s="4"/>
      <c r="T5" s="3"/>
      <c r="U5" s="3"/>
    </row>
    <row r="6" spans="1:21" x14ac:dyDescent="0.25">
      <c r="D6" s="3"/>
      <c r="E6" s="3"/>
      <c r="F6" s="3" t="s">
        <v>523</v>
      </c>
      <c r="G6" s="3" t="s">
        <v>523</v>
      </c>
      <c r="H6" s="3" t="s">
        <v>523</v>
      </c>
      <c r="I6" s="3" t="s">
        <v>523</v>
      </c>
      <c r="J6" s="3" t="s">
        <v>524</v>
      </c>
      <c r="K6" s="3" t="s">
        <v>524</v>
      </c>
      <c r="L6" s="3" t="s">
        <v>524</v>
      </c>
      <c r="M6" s="3" t="s">
        <v>524</v>
      </c>
      <c r="N6" s="3" t="s">
        <v>524</v>
      </c>
      <c r="O6" s="3" t="s">
        <v>524</v>
      </c>
      <c r="P6" s="3" t="s">
        <v>524</v>
      </c>
      <c r="Q6" s="3" t="s">
        <v>524</v>
      </c>
      <c r="R6" s="3" t="s">
        <v>524</v>
      </c>
      <c r="S6" s="3" t="s">
        <v>524</v>
      </c>
      <c r="T6" s="3" t="s">
        <v>524</v>
      </c>
      <c r="U6" s="3" t="s">
        <v>524</v>
      </c>
    </row>
    <row r="7" spans="1:21" x14ac:dyDescent="0.25">
      <c r="D7" s="3" t="s">
        <v>523</v>
      </c>
      <c r="E7" s="3" t="s">
        <v>524</v>
      </c>
      <c r="F7" s="5" t="s">
        <v>4</v>
      </c>
      <c r="G7" s="5" t="s">
        <v>4</v>
      </c>
      <c r="H7" s="5" t="s">
        <v>4</v>
      </c>
      <c r="I7" s="5" t="s">
        <v>4</v>
      </c>
      <c r="J7" s="5" t="s">
        <v>4</v>
      </c>
      <c r="K7" s="5" t="s">
        <v>4</v>
      </c>
      <c r="L7" s="5" t="s">
        <v>4</v>
      </c>
      <c r="M7" s="5" t="s">
        <v>4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2</v>
      </c>
      <c r="S7" s="5" t="s">
        <v>2</v>
      </c>
      <c r="T7" s="5" t="s">
        <v>2</v>
      </c>
      <c r="U7" s="5" t="s">
        <v>2</v>
      </c>
    </row>
    <row r="8" spans="1:21" x14ac:dyDescent="0.25">
      <c r="A8" s="6"/>
      <c r="B8" s="7"/>
      <c r="C8" s="7"/>
      <c r="D8" s="5" t="s">
        <v>0</v>
      </c>
      <c r="E8" s="5" t="s">
        <v>0</v>
      </c>
      <c r="F8" s="4" t="s">
        <v>525</v>
      </c>
      <c r="G8" s="4" t="s">
        <v>527</v>
      </c>
      <c r="H8" s="3" t="s">
        <v>539</v>
      </c>
      <c r="I8" s="22" t="s">
        <v>546</v>
      </c>
      <c r="J8" s="4" t="s">
        <v>525</v>
      </c>
      <c r="K8" s="4" t="s">
        <v>527</v>
      </c>
      <c r="L8" s="3" t="s">
        <v>539</v>
      </c>
      <c r="M8" s="22" t="s">
        <v>546</v>
      </c>
      <c r="N8" s="4" t="s">
        <v>525</v>
      </c>
      <c r="O8" s="4" t="s">
        <v>527</v>
      </c>
      <c r="P8" s="5" t="s">
        <v>539</v>
      </c>
      <c r="Q8" s="22" t="s">
        <v>546</v>
      </c>
      <c r="R8" s="4" t="s">
        <v>525</v>
      </c>
      <c r="S8" s="4" t="s">
        <v>527</v>
      </c>
      <c r="T8" s="5" t="s">
        <v>539</v>
      </c>
      <c r="U8" s="22" t="s">
        <v>546</v>
      </c>
    </row>
    <row r="9" spans="1:21" x14ac:dyDescent="0.25">
      <c r="A9" s="6"/>
      <c r="B9" s="7"/>
      <c r="C9" s="7"/>
      <c r="D9" s="5" t="s">
        <v>1</v>
      </c>
      <c r="E9" s="5" t="s">
        <v>1</v>
      </c>
      <c r="F9" s="3" t="s">
        <v>526</v>
      </c>
      <c r="G9" s="3" t="s">
        <v>528</v>
      </c>
      <c r="H9" s="3" t="str">
        <f>+"= "&amp;+G4&amp;"-"&amp;+F4</f>
        <v>= D-C</v>
      </c>
      <c r="I9" s="3" t="str">
        <f>+"= "&amp;+H4&amp;"/"&amp;+D4</f>
        <v>= E/A</v>
      </c>
      <c r="J9" s="3" t="s">
        <v>526</v>
      </c>
      <c r="K9" s="3" t="s">
        <v>528</v>
      </c>
      <c r="L9" s="3" t="str">
        <f>+"= "&amp;+K4&amp;"-"&amp;+J4</f>
        <v>= H-G</v>
      </c>
      <c r="M9" s="3" t="str">
        <f>+"= "&amp;+L4&amp;"/"&amp;+E4</f>
        <v>= I/B</v>
      </c>
      <c r="N9" s="3" t="s">
        <v>526</v>
      </c>
      <c r="O9" s="3" t="s">
        <v>528</v>
      </c>
      <c r="P9" s="3" t="str">
        <f>+"= "&amp;+O4&amp;"-"&amp;+N4</f>
        <v>= L-K</v>
      </c>
      <c r="Q9" s="3" t="str">
        <f>+"= "&amp;+P4&amp;"/"&amp;+E4</f>
        <v>= M/B</v>
      </c>
      <c r="R9" s="3" t="s">
        <v>526</v>
      </c>
      <c r="S9" s="3" t="s">
        <v>528</v>
      </c>
      <c r="T9" s="3" t="str">
        <f>+"= "&amp;+S4&amp;"-"&amp;+R4</f>
        <v>= P-O</v>
      </c>
      <c r="U9" s="3" t="str">
        <f>+"= "&amp;+T4&amp;"/"&amp;+E4</f>
        <v>= Q/B</v>
      </c>
    </row>
    <row r="10" spans="1:21" x14ac:dyDescent="0.25">
      <c r="A10" s="6"/>
      <c r="B10" s="7"/>
      <c r="C10" s="7"/>
      <c r="D10" s="8"/>
      <c r="G10" s="8"/>
    </row>
    <row r="11" spans="1:21" x14ac:dyDescent="0.25">
      <c r="A11" s="6"/>
      <c r="B11" s="7"/>
      <c r="C11" s="7" t="s">
        <v>545</v>
      </c>
      <c r="D11" s="9">
        <f>SUM(D13:D530)</f>
        <v>824657.88</v>
      </c>
      <c r="E11" s="9">
        <f>SUM(E13:E530)</f>
        <v>832520.84000000008</v>
      </c>
      <c r="F11" s="9">
        <f>SUM(F13:F530)</f>
        <v>96686096.220499992</v>
      </c>
      <c r="G11" s="9">
        <f>SUM(G13:G530)</f>
        <v>94391618.945890442</v>
      </c>
      <c r="H11" s="9">
        <f>SUM(H13:H530)</f>
        <v>-2294477.2746095406</v>
      </c>
      <c r="I11" s="1">
        <f>IF(D11=0,0,H11/D11)</f>
        <v>-2.7823383857188637</v>
      </c>
      <c r="J11" s="9">
        <f>SUM(J13:J530)</f>
        <v>97362348.160499945</v>
      </c>
      <c r="K11" s="9">
        <f>SUM(K13:K530)</f>
        <v>95560999.327483192</v>
      </c>
      <c r="L11" s="9">
        <f>SUM(L13:L530)</f>
        <v>-1801348.8330168212</v>
      </c>
      <c r="M11" s="1">
        <f>IF(E11=0,0,L11/E11)</f>
        <v>-2.1637282173222485</v>
      </c>
      <c r="N11" s="9">
        <f>SUM(N13:N530)</f>
        <v>895212966</v>
      </c>
      <c r="O11" s="9">
        <f>SUM(O13:O530)</f>
        <v>860033631.06844497</v>
      </c>
      <c r="P11" s="9">
        <f>SUM(P13:P530)</f>
        <v>-35179334.931554995</v>
      </c>
      <c r="Q11" s="1">
        <f>IF(E11=0,0,P11/E11)</f>
        <v>-42.256401571346842</v>
      </c>
      <c r="R11" s="9">
        <f>SUM(R13:R530)</f>
        <v>94481702.420931771</v>
      </c>
      <c r="S11" s="9">
        <f>SUM(S13:S530)</f>
        <v>94474276.174456984</v>
      </c>
      <c r="T11" s="9">
        <f>SUM(T13:T530)</f>
        <v>-7426.246474789994</v>
      </c>
      <c r="U11" s="1">
        <f>IF(E11=0,0,T11/E11)</f>
        <v>-8.9201928864507379E-3</v>
      </c>
    </row>
    <row r="12" spans="1:21" x14ac:dyDescent="0.25">
      <c r="A12" s="6"/>
      <c r="B12" s="7"/>
      <c r="C12" s="7"/>
      <c r="D12" s="8"/>
      <c r="G12" s="9"/>
    </row>
    <row r="13" spans="1:21" x14ac:dyDescent="0.25">
      <c r="A13" s="10">
        <v>1</v>
      </c>
      <c r="B13" s="10">
        <v>1</v>
      </c>
      <c r="C13" s="11" t="s">
        <v>5</v>
      </c>
      <c r="D13" s="12">
        <v>1246</v>
      </c>
      <c r="E13" s="12">
        <v>1221</v>
      </c>
      <c r="F13" s="12">
        <v>0</v>
      </c>
      <c r="G13" s="13">
        <v>0</v>
      </c>
      <c r="H13" s="1">
        <f t="shared" ref="H13:H76" si="0">G13-F13</f>
        <v>0</v>
      </c>
      <c r="I13" s="1">
        <f t="shared" ref="I13:I76" si="1">IF(D13=0,0,H13/D13)</f>
        <v>0</v>
      </c>
      <c r="J13" s="12">
        <v>0</v>
      </c>
      <c r="K13" s="13">
        <v>0</v>
      </c>
      <c r="L13" s="1">
        <f t="shared" ref="L13:L76" si="2">K13-J13</f>
        <v>0</v>
      </c>
      <c r="M13" s="1">
        <f t="shared" ref="M13:M76" si="3">IF(E13=0,0,L13/E13)</f>
        <v>0</v>
      </c>
      <c r="N13" s="12">
        <v>81</v>
      </c>
      <c r="O13" s="12">
        <v>81</v>
      </c>
      <c r="P13" s="1">
        <f t="shared" ref="P13:P76" si="4">O13-N13</f>
        <v>0</v>
      </c>
      <c r="Q13" s="1">
        <f t="shared" ref="Q13:Q76" si="5">IF(E13=0,0,P13/E13)</f>
        <v>0</v>
      </c>
      <c r="R13" s="12">
        <v>290314</v>
      </c>
      <c r="S13" s="12">
        <v>290314</v>
      </c>
      <c r="T13" s="1">
        <f t="shared" ref="T13:T76" si="6">S13-R13</f>
        <v>0</v>
      </c>
      <c r="U13" s="1">
        <f t="shared" ref="U13:U76" si="7">IF(E13=0,0,T13/E13)</f>
        <v>0</v>
      </c>
    </row>
    <row r="14" spans="1:21" x14ac:dyDescent="0.25">
      <c r="A14" s="10">
        <v>1.2</v>
      </c>
      <c r="B14" s="10">
        <v>3</v>
      </c>
      <c r="C14" s="11" t="s">
        <v>6</v>
      </c>
      <c r="D14" s="12">
        <v>33087</v>
      </c>
      <c r="E14" s="12">
        <v>33087</v>
      </c>
      <c r="F14" s="12">
        <v>17947579.199999999</v>
      </c>
      <c r="G14" s="13">
        <v>17947579.199999999</v>
      </c>
      <c r="H14" s="1">
        <f t="shared" si="0"/>
        <v>0</v>
      </c>
      <c r="I14" s="1">
        <f t="shared" si="1"/>
        <v>0</v>
      </c>
      <c r="J14" s="12">
        <v>17947579.199999999</v>
      </c>
      <c r="K14" s="13">
        <v>17947579.199999999</v>
      </c>
      <c r="L14" s="1">
        <f t="shared" si="2"/>
        <v>0</v>
      </c>
      <c r="M14" s="1">
        <f t="shared" si="3"/>
        <v>0</v>
      </c>
      <c r="N14" s="12">
        <v>64862723</v>
      </c>
      <c r="O14" s="12">
        <v>64862723</v>
      </c>
      <c r="P14" s="1">
        <f t="shared" si="4"/>
        <v>0</v>
      </c>
      <c r="Q14" s="1">
        <f t="shared" si="5"/>
        <v>0</v>
      </c>
      <c r="R14" s="12">
        <v>1719976</v>
      </c>
      <c r="S14" s="12">
        <v>1719976</v>
      </c>
      <c r="T14" s="1">
        <f t="shared" si="6"/>
        <v>0</v>
      </c>
      <c r="U14" s="1">
        <f t="shared" si="7"/>
        <v>0</v>
      </c>
    </row>
    <row r="15" spans="1:21" x14ac:dyDescent="0.25">
      <c r="A15" s="10">
        <v>2</v>
      </c>
      <c r="B15" s="10">
        <v>1</v>
      </c>
      <c r="C15" s="11" t="s">
        <v>7</v>
      </c>
      <c r="D15" s="12">
        <v>261</v>
      </c>
      <c r="E15" s="12">
        <v>257</v>
      </c>
      <c r="F15" s="12">
        <v>0</v>
      </c>
      <c r="G15" s="13">
        <v>0</v>
      </c>
      <c r="H15" s="1">
        <f t="shared" si="0"/>
        <v>0</v>
      </c>
      <c r="I15" s="1">
        <f t="shared" si="1"/>
        <v>0</v>
      </c>
      <c r="J15" s="12">
        <v>0</v>
      </c>
      <c r="K15" s="13">
        <v>0</v>
      </c>
      <c r="L15" s="1">
        <f t="shared" si="2"/>
        <v>0</v>
      </c>
      <c r="M15" s="1">
        <f t="shared" si="3"/>
        <v>0</v>
      </c>
      <c r="N15" s="12">
        <v>0</v>
      </c>
      <c r="O15" s="12">
        <v>0</v>
      </c>
      <c r="P15" s="1">
        <f t="shared" si="4"/>
        <v>0</v>
      </c>
      <c r="Q15" s="1">
        <f t="shared" si="5"/>
        <v>0</v>
      </c>
      <c r="R15" s="12">
        <v>42813.461016471716</v>
      </c>
      <c r="S15" s="12">
        <v>42813.461016471716</v>
      </c>
      <c r="T15" s="1">
        <f t="shared" si="6"/>
        <v>0</v>
      </c>
      <c r="U15" s="1">
        <f t="shared" si="7"/>
        <v>0</v>
      </c>
    </row>
    <row r="16" spans="1:21" x14ac:dyDescent="0.25">
      <c r="A16" s="10">
        <v>4</v>
      </c>
      <c r="B16" s="10">
        <v>1</v>
      </c>
      <c r="C16" s="11" t="s">
        <v>8</v>
      </c>
      <c r="D16" s="12">
        <v>365</v>
      </c>
      <c r="E16" s="12">
        <v>351</v>
      </c>
      <c r="F16" s="12">
        <v>0</v>
      </c>
      <c r="G16" s="13">
        <v>0</v>
      </c>
      <c r="H16" s="1">
        <f t="shared" si="0"/>
        <v>0</v>
      </c>
      <c r="I16" s="1">
        <f t="shared" si="1"/>
        <v>0</v>
      </c>
      <c r="J16" s="12">
        <v>0</v>
      </c>
      <c r="K16" s="13">
        <v>0</v>
      </c>
      <c r="L16" s="1">
        <f t="shared" si="2"/>
        <v>0</v>
      </c>
      <c r="M16" s="1">
        <f t="shared" si="3"/>
        <v>0</v>
      </c>
      <c r="N16" s="12">
        <v>554</v>
      </c>
      <c r="O16" s="12">
        <v>0</v>
      </c>
      <c r="P16" s="1">
        <f t="shared" si="4"/>
        <v>-554</v>
      </c>
      <c r="Q16" s="1">
        <f t="shared" si="5"/>
        <v>-1.5783475783475784</v>
      </c>
      <c r="R16" s="12">
        <v>105621.38007290299</v>
      </c>
      <c r="S16" s="12">
        <v>75246.959999999992</v>
      </c>
      <c r="T16" s="1">
        <f t="shared" si="6"/>
        <v>-30374.420072902998</v>
      </c>
      <c r="U16" s="1">
        <f t="shared" si="7"/>
        <v>-86.53680932450996</v>
      </c>
    </row>
    <row r="17" spans="1:21" x14ac:dyDescent="0.25">
      <c r="A17" s="10">
        <v>6</v>
      </c>
      <c r="B17" s="10">
        <v>3</v>
      </c>
      <c r="C17" s="11" t="s">
        <v>9</v>
      </c>
      <c r="D17" s="12">
        <v>3296</v>
      </c>
      <c r="E17" s="12">
        <v>3256</v>
      </c>
      <c r="F17" s="12">
        <v>480729.41449999996</v>
      </c>
      <c r="G17" s="13">
        <v>514509.91</v>
      </c>
      <c r="H17" s="1">
        <f t="shared" si="0"/>
        <v>33780.495500000019</v>
      </c>
      <c r="I17" s="1">
        <f t="shared" si="1"/>
        <v>10.24893674150486</v>
      </c>
      <c r="J17" s="12">
        <v>473577.39649999997</v>
      </c>
      <c r="K17" s="13">
        <v>506981.47</v>
      </c>
      <c r="L17" s="1">
        <f t="shared" si="2"/>
        <v>33404.073499999999</v>
      </c>
      <c r="M17" s="1">
        <f t="shared" si="3"/>
        <v>10.259236332923832</v>
      </c>
      <c r="N17" s="12">
        <v>3383675</v>
      </c>
      <c r="O17" s="12">
        <v>3383675</v>
      </c>
      <c r="P17" s="1">
        <f t="shared" si="4"/>
        <v>0</v>
      </c>
      <c r="Q17" s="1">
        <f t="shared" si="5"/>
        <v>0</v>
      </c>
      <c r="R17" s="12">
        <v>439067.25</v>
      </c>
      <c r="S17" s="12">
        <v>439067.25</v>
      </c>
      <c r="T17" s="1">
        <f t="shared" si="6"/>
        <v>0</v>
      </c>
      <c r="U17" s="1">
        <f t="shared" si="7"/>
        <v>0</v>
      </c>
    </row>
    <row r="18" spans="1:21" x14ac:dyDescent="0.25">
      <c r="A18" s="10">
        <v>11</v>
      </c>
      <c r="B18" s="10">
        <v>1</v>
      </c>
      <c r="C18" s="11" t="s">
        <v>10</v>
      </c>
      <c r="D18" s="12">
        <v>37677</v>
      </c>
      <c r="E18" s="12">
        <v>37185</v>
      </c>
      <c r="F18" s="12">
        <v>5368284.3674999988</v>
      </c>
      <c r="G18" s="13">
        <v>5650825.6499999994</v>
      </c>
      <c r="H18" s="1">
        <f t="shared" si="0"/>
        <v>282541.28250000067</v>
      </c>
      <c r="I18" s="1">
        <f t="shared" si="1"/>
        <v>7.4990387371606202</v>
      </c>
      <c r="J18" s="12">
        <v>5295883.0529999994</v>
      </c>
      <c r="K18" s="13">
        <v>5574613.7399999993</v>
      </c>
      <c r="L18" s="1">
        <f t="shared" si="2"/>
        <v>278730.68699999992</v>
      </c>
      <c r="M18" s="1">
        <f t="shared" si="3"/>
        <v>7.4957828963291631</v>
      </c>
      <c r="N18" s="12">
        <v>55897951</v>
      </c>
      <c r="O18" s="12">
        <v>55897951</v>
      </c>
      <c r="P18" s="1">
        <f t="shared" si="4"/>
        <v>0</v>
      </c>
      <c r="Q18" s="1">
        <f t="shared" si="5"/>
        <v>0</v>
      </c>
      <c r="R18" s="12">
        <v>3972397</v>
      </c>
      <c r="S18" s="12">
        <v>3972397</v>
      </c>
      <c r="T18" s="1">
        <f t="shared" si="6"/>
        <v>0</v>
      </c>
      <c r="U18" s="1">
        <f t="shared" si="7"/>
        <v>0</v>
      </c>
    </row>
    <row r="19" spans="1:21" x14ac:dyDescent="0.25">
      <c r="A19" s="10">
        <v>12</v>
      </c>
      <c r="B19" s="10">
        <v>1</v>
      </c>
      <c r="C19" s="11" t="s">
        <v>11</v>
      </c>
      <c r="D19" s="12">
        <v>6556</v>
      </c>
      <c r="E19" s="12">
        <v>6389</v>
      </c>
      <c r="F19" s="12">
        <v>0</v>
      </c>
      <c r="G19" s="13">
        <v>0</v>
      </c>
      <c r="H19" s="1">
        <f t="shared" si="0"/>
        <v>0</v>
      </c>
      <c r="I19" s="1">
        <f t="shared" si="1"/>
        <v>0</v>
      </c>
      <c r="J19" s="12">
        <v>0</v>
      </c>
      <c r="K19" s="13">
        <v>0</v>
      </c>
      <c r="L19" s="1">
        <f t="shared" si="2"/>
        <v>0</v>
      </c>
      <c r="M19" s="1">
        <f t="shared" si="3"/>
        <v>0</v>
      </c>
      <c r="N19" s="12">
        <v>4841240</v>
      </c>
      <c r="O19" s="12">
        <v>4841240</v>
      </c>
      <c r="P19" s="1">
        <f t="shared" si="4"/>
        <v>0</v>
      </c>
      <c r="Q19" s="1">
        <f t="shared" si="5"/>
        <v>0</v>
      </c>
      <c r="R19" s="12">
        <v>1001404.75</v>
      </c>
      <c r="S19" s="12">
        <v>1001404.75</v>
      </c>
      <c r="T19" s="1">
        <f t="shared" si="6"/>
        <v>0</v>
      </c>
      <c r="U19" s="1">
        <f t="shared" si="7"/>
        <v>0</v>
      </c>
    </row>
    <row r="20" spans="1:21" x14ac:dyDescent="0.25">
      <c r="A20" s="10">
        <v>13</v>
      </c>
      <c r="B20" s="10">
        <v>1</v>
      </c>
      <c r="C20" s="11" t="s">
        <v>12</v>
      </c>
      <c r="D20" s="12">
        <v>2776</v>
      </c>
      <c r="E20" s="12">
        <v>2746</v>
      </c>
      <c r="F20" s="12">
        <v>556893.50899999996</v>
      </c>
      <c r="G20" s="13">
        <v>582270.22</v>
      </c>
      <c r="H20" s="1">
        <f t="shared" si="0"/>
        <v>25376.71100000001</v>
      </c>
      <c r="I20" s="1">
        <f t="shared" si="1"/>
        <v>9.1414664985590814</v>
      </c>
      <c r="J20" s="12">
        <v>552071.16649999993</v>
      </c>
      <c r="K20" s="13">
        <v>577194.07000000007</v>
      </c>
      <c r="L20" s="1">
        <f t="shared" si="2"/>
        <v>25122.903500000131</v>
      </c>
      <c r="M20" s="1">
        <f t="shared" si="3"/>
        <v>9.148908776402088</v>
      </c>
      <c r="N20" s="12">
        <v>3222511</v>
      </c>
      <c r="O20" s="12">
        <v>3222511</v>
      </c>
      <c r="P20" s="1">
        <f t="shared" si="4"/>
        <v>0</v>
      </c>
      <c r="Q20" s="1">
        <f t="shared" si="5"/>
        <v>0</v>
      </c>
      <c r="R20" s="12">
        <v>340310.5</v>
      </c>
      <c r="S20" s="12">
        <v>340310.5</v>
      </c>
      <c r="T20" s="1">
        <f t="shared" si="6"/>
        <v>0</v>
      </c>
      <c r="U20" s="1">
        <f t="shared" si="7"/>
        <v>0</v>
      </c>
    </row>
    <row r="21" spans="1:21" x14ac:dyDescent="0.25">
      <c r="A21" s="10">
        <v>14</v>
      </c>
      <c r="B21" s="10">
        <v>1</v>
      </c>
      <c r="C21" s="11" t="s">
        <v>13</v>
      </c>
      <c r="D21" s="12">
        <v>2950</v>
      </c>
      <c r="E21" s="12">
        <v>3000</v>
      </c>
      <c r="F21" s="12">
        <v>429469.02599999995</v>
      </c>
      <c r="G21" s="13">
        <v>444279</v>
      </c>
      <c r="H21" s="1">
        <f t="shared" si="0"/>
        <v>14809.974000000046</v>
      </c>
      <c r="I21" s="1">
        <f t="shared" si="1"/>
        <v>5.0203301694915412</v>
      </c>
      <c r="J21" s="12">
        <v>436232.56050000002</v>
      </c>
      <c r="K21" s="13">
        <v>456279</v>
      </c>
      <c r="L21" s="1">
        <f t="shared" si="2"/>
        <v>20046.439499999979</v>
      </c>
      <c r="M21" s="1">
        <f t="shared" si="3"/>
        <v>6.6821464999999929</v>
      </c>
      <c r="N21" s="12">
        <v>2855120</v>
      </c>
      <c r="O21" s="12">
        <v>2855120</v>
      </c>
      <c r="P21" s="1">
        <f t="shared" si="4"/>
        <v>0</v>
      </c>
      <c r="Q21" s="1">
        <f t="shared" si="5"/>
        <v>0</v>
      </c>
      <c r="R21" s="12">
        <v>423379</v>
      </c>
      <c r="S21" s="12">
        <v>423379</v>
      </c>
      <c r="T21" s="1">
        <f t="shared" si="6"/>
        <v>0</v>
      </c>
      <c r="U21" s="1">
        <f t="shared" si="7"/>
        <v>0</v>
      </c>
    </row>
    <row r="22" spans="1:21" x14ac:dyDescent="0.25">
      <c r="A22" s="10">
        <v>15</v>
      </c>
      <c r="B22" s="10">
        <v>1</v>
      </c>
      <c r="C22" s="11" t="s">
        <v>14</v>
      </c>
      <c r="D22" s="12">
        <v>4982</v>
      </c>
      <c r="E22" s="12">
        <v>4859</v>
      </c>
      <c r="F22" s="12">
        <v>0</v>
      </c>
      <c r="G22" s="13">
        <v>0</v>
      </c>
      <c r="H22" s="1">
        <f t="shared" si="0"/>
        <v>0</v>
      </c>
      <c r="I22" s="1">
        <f t="shared" si="1"/>
        <v>0</v>
      </c>
      <c r="J22" s="12">
        <v>0</v>
      </c>
      <c r="K22" s="13">
        <v>0</v>
      </c>
      <c r="L22" s="1">
        <f t="shared" si="2"/>
        <v>0</v>
      </c>
      <c r="M22" s="1">
        <f t="shared" si="3"/>
        <v>0</v>
      </c>
      <c r="N22" s="12">
        <v>2251305</v>
      </c>
      <c r="O22" s="12">
        <v>2251305</v>
      </c>
      <c r="P22" s="1">
        <f t="shared" si="4"/>
        <v>0</v>
      </c>
      <c r="Q22" s="1">
        <f t="shared" si="5"/>
        <v>0</v>
      </c>
      <c r="R22" s="12">
        <v>856199</v>
      </c>
      <c r="S22" s="12">
        <v>856199</v>
      </c>
      <c r="T22" s="1">
        <f t="shared" si="6"/>
        <v>0</v>
      </c>
      <c r="U22" s="1">
        <f t="shared" si="7"/>
        <v>0</v>
      </c>
    </row>
    <row r="23" spans="1:21" x14ac:dyDescent="0.25">
      <c r="A23" s="10">
        <v>16</v>
      </c>
      <c r="B23" s="10">
        <v>1</v>
      </c>
      <c r="C23" s="11" t="s">
        <v>15</v>
      </c>
      <c r="D23" s="12">
        <v>4727</v>
      </c>
      <c r="E23" s="12">
        <v>4773</v>
      </c>
      <c r="F23" s="12">
        <v>476877.66799999995</v>
      </c>
      <c r="G23" s="13">
        <v>503322.43999999994</v>
      </c>
      <c r="H23" s="1">
        <f t="shared" si="0"/>
        <v>26444.771999999997</v>
      </c>
      <c r="I23" s="1">
        <f t="shared" si="1"/>
        <v>5.5944091389887873</v>
      </c>
      <c r="J23" s="12">
        <v>481492.38799999992</v>
      </c>
      <c r="K23" s="13">
        <v>508180.04</v>
      </c>
      <c r="L23" s="1">
        <f t="shared" si="2"/>
        <v>26687.65200000006</v>
      </c>
      <c r="M23" s="1">
        <f t="shared" si="3"/>
        <v>5.5913790069139031</v>
      </c>
      <c r="N23" s="12">
        <v>4571645</v>
      </c>
      <c r="O23" s="12">
        <v>4571645</v>
      </c>
      <c r="P23" s="1">
        <f t="shared" si="4"/>
        <v>0</v>
      </c>
      <c r="Q23" s="1">
        <f t="shared" si="5"/>
        <v>0</v>
      </c>
      <c r="R23" s="12">
        <v>663019.5</v>
      </c>
      <c r="S23" s="12">
        <v>663019.5</v>
      </c>
      <c r="T23" s="1">
        <f t="shared" si="6"/>
        <v>0</v>
      </c>
      <c r="U23" s="1">
        <f t="shared" si="7"/>
        <v>0</v>
      </c>
    </row>
    <row r="24" spans="1:21" x14ac:dyDescent="0.25">
      <c r="A24" s="10">
        <v>22</v>
      </c>
      <c r="B24" s="10">
        <v>1</v>
      </c>
      <c r="C24" s="11" t="s">
        <v>16</v>
      </c>
      <c r="D24" s="12">
        <v>2754</v>
      </c>
      <c r="E24" s="12">
        <v>2771</v>
      </c>
      <c r="F24" s="12">
        <v>278679.27</v>
      </c>
      <c r="G24" s="13">
        <v>269560</v>
      </c>
      <c r="H24" s="1">
        <f t="shared" si="0"/>
        <v>-9119.2700000000186</v>
      </c>
      <c r="I24" s="1">
        <f t="shared" si="1"/>
        <v>-3.3112817719680532</v>
      </c>
      <c r="J24" s="12">
        <v>280354.728</v>
      </c>
      <c r="K24" s="13">
        <v>269560</v>
      </c>
      <c r="L24" s="1">
        <f t="shared" si="2"/>
        <v>-10794.728000000003</v>
      </c>
      <c r="M24" s="1">
        <f t="shared" si="3"/>
        <v>-3.895607361963191</v>
      </c>
      <c r="N24" s="12">
        <v>1396600</v>
      </c>
      <c r="O24" s="12">
        <v>1396600</v>
      </c>
      <c r="P24" s="1">
        <f t="shared" si="4"/>
        <v>0</v>
      </c>
      <c r="Q24" s="1">
        <f t="shared" si="5"/>
        <v>0</v>
      </c>
      <c r="R24" s="12">
        <v>370322</v>
      </c>
      <c r="S24" s="12">
        <v>370322</v>
      </c>
      <c r="T24" s="1">
        <f t="shared" si="6"/>
        <v>0</v>
      </c>
      <c r="U24" s="1">
        <f t="shared" si="7"/>
        <v>0</v>
      </c>
    </row>
    <row r="25" spans="1:21" x14ac:dyDescent="0.25">
      <c r="A25" s="10">
        <v>23</v>
      </c>
      <c r="B25" s="10">
        <v>1</v>
      </c>
      <c r="C25" s="11" t="s">
        <v>17</v>
      </c>
      <c r="D25" s="12">
        <v>878</v>
      </c>
      <c r="E25" s="12">
        <v>881</v>
      </c>
      <c r="F25" s="12">
        <v>88308.959999999992</v>
      </c>
      <c r="G25" s="13">
        <v>92956.800000000003</v>
      </c>
      <c r="H25" s="1">
        <f t="shared" si="0"/>
        <v>4647.8400000000111</v>
      </c>
      <c r="I25" s="1">
        <f t="shared" si="1"/>
        <v>5.2936674259681222</v>
      </c>
      <c r="J25" s="12">
        <v>88948.728000000003</v>
      </c>
      <c r="K25" s="13">
        <v>93630.24</v>
      </c>
      <c r="L25" s="1">
        <f t="shared" si="2"/>
        <v>4681.5120000000024</v>
      </c>
      <c r="M25" s="1">
        <f t="shared" si="3"/>
        <v>5.3138615209988673</v>
      </c>
      <c r="N25" s="12">
        <v>1017720</v>
      </c>
      <c r="O25" s="12">
        <v>1017720</v>
      </c>
      <c r="P25" s="1">
        <f t="shared" si="4"/>
        <v>0</v>
      </c>
      <c r="Q25" s="1">
        <f t="shared" si="5"/>
        <v>0</v>
      </c>
      <c r="R25" s="12">
        <v>93007</v>
      </c>
      <c r="S25" s="12">
        <v>93007</v>
      </c>
      <c r="T25" s="1">
        <f t="shared" si="6"/>
        <v>0</v>
      </c>
      <c r="U25" s="1">
        <f t="shared" si="7"/>
        <v>0</v>
      </c>
    </row>
    <row r="26" spans="1:21" x14ac:dyDescent="0.25">
      <c r="A26" s="10">
        <v>25</v>
      </c>
      <c r="B26" s="10">
        <v>1</v>
      </c>
      <c r="C26" s="11" t="s">
        <v>18</v>
      </c>
      <c r="D26" s="12">
        <v>91</v>
      </c>
      <c r="E26" s="12">
        <v>94</v>
      </c>
      <c r="F26" s="12">
        <v>0</v>
      </c>
      <c r="G26" s="13">
        <v>0</v>
      </c>
      <c r="H26" s="1">
        <f t="shared" si="0"/>
        <v>0</v>
      </c>
      <c r="I26" s="1">
        <f t="shared" si="1"/>
        <v>0</v>
      </c>
      <c r="J26" s="12">
        <v>0</v>
      </c>
      <c r="K26" s="13">
        <v>0</v>
      </c>
      <c r="L26" s="1">
        <f t="shared" si="2"/>
        <v>0</v>
      </c>
      <c r="M26" s="1">
        <f t="shared" si="3"/>
        <v>0</v>
      </c>
      <c r="N26" s="12">
        <v>0</v>
      </c>
      <c r="O26" s="12">
        <v>0</v>
      </c>
      <c r="P26" s="1">
        <f t="shared" si="4"/>
        <v>0</v>
      </c>
      <c r="Q26" s="1">
        <f t="shared" si="5"/>
        <v>0</v>
      </c>
      <c r="R26" s="12">
        <v>13680.205952648361</v>
      </c>
      <c r="S26" s="12">
        <v>13680.205952648361</v>
      </c>
      <c r="T26" s="1">
        <f t="shared" si="6"/>
        <v>0</v>
      </c>
      <c r="U26" s="1">
        <f t="shared" si="7"/>
        <v>0</v>
      </c>
    </row>
    <row r="27" spans="1:21" x14ac:dyDescent="0.25">
      <c r="A27" s="10">
        <v>31</v>
      </c>
      <c r="B27" s="10">
        <v>1</v>
      </c>
      <c r="C27" s="11" t="s">
        <v>19</v>
      </c>
      <c r="D27" s="12">
        <v>5080</v>
      </c>
      <c r="E27" s="12">
        <v>5194</v>
      </c>
      <c r="F27" s="12">
        <v>0</v>
      </c>
      <c r="G27" s="13">
        <v>0</v>
      </c>
      <c r="H27" s="1">
        <f t="shared" si="0"/>
        <v>0</v>
      </c>
      <c r="I27" s="1">
        <f t="shared" si="1"/>
        <v>0</v>
      </c>
      <c r="J27" s="12">
        <v>0</v>
      </c>
      <c r="K27" s="13">
        <v>0</v>
      </c>
      <c r="L27" s="1">
        <f t="shared" si="2"/>
        <v>0</v>
      </c>
      <c r="M27" s="1">
        <f t="shared" si="3"/>
        <v>0</v>
      </c>
      <c r="N27" s="12">
        <v>3065985</v>
      </c>
      <c r="O27" s="12">
        <v>3065985</v>
      </c>
      <c r="P27" s="1">
        <f t="shared" si="4"/>
        <v>0</v>
      </c>
      <c r="Q27" s="1">
        <f t="shared" si="5"/>
        <v>0</v>
      </c>
      <c r="R27" s="12">
        <v>668266</v>
      </c>
      <c r="S27" s="12">
        <v>668266</v>
      </c>
      <c r="T27" s="1">
        <f t="shared" si="6"/>
        <v>0</v>
      </c>
      <c r="U27" s="1">
        <f t="shared" si="7"/>
        <v>0</v>
      </c>
    </row>
    <row r="28" spans="1:21" x14ac:dyDescent="0.25">
      <c r="A28" s="10">
        <v>32</v>
      </c>
      <c r="B28" s="10">
        <v>1</v>
      </c>
      <c r="C28" s="11" t="s">
        <v>20</v>
      </c>
      <c r="D28" s="12">
        <v>629</v>
      </c>
      <c r="E28" s="12">
        <v>636</v>
      </c>
      <c r="F28" s="12">
        <v>0</v>
      </c>
      <c r="G28" s="13">
        <v>0</v>
      </c>
      <c r="H28" s="1">
        <f t="shared" si="0"/>
        <v>0</v>
      </c>
      <c r="I28" s="1">
        <f t="shared" si="1"/>
        <v>0</v>
      </c>
      <c r="J28" s="12">
        <v>0</v>
      </c>
      <c r="K28" s="13">
        <v>0</v>
      </c>
      <c r="L28" s="1">
        <f t="shared" si="2"/>
        <v>0</v>
      </c>
      <c r="M28" s="1">
        <f t="shared" si="3"/>
        <v>0</v>
      </c>
      <c r="N28" s="12">
        <v>614</v>
      </c>
      <c r="O28" s="12">
        <v>0</v>
      </c>
      <c r="P28" s="1">
        <f t="shared" si="4"/>
        <v>-614</v>
      </c>
      <c r="Q28" s="1">
        <f t="shared" si="5"/>
        <v>-0.96540880503144655</v>
      </c>
      <c r="R28" s="12">
        <v>154630.02438554136</v>
      </c>
      <c r="S28" s="12">
        <v>100287.67999999999</v>
      </c>
      <c r="T28" s="1">
        <f t="shared" si="6"/>
        <v>-54342.344385541364</v>
      </c>
      <c r="U28" s="1">
        <f t="shared" si="7"/>
        <v>-85.443937713115346</v>
      </c>
    </row>
    <row r="29" spans="1:21" x14ac:dyDescent="0.25">
      <c r="A29" s="10">
        <v>36</v>
      </c>
      <c r="B29" s="10">
        <v>1</v>
      </c>
      <c r="C29" s="11" t="s">
        <v>21</v>
      </c>
      <c r="D29" s="12">
        <v>237</v>
      </c>
      <c r="E29" s="12">
        <v>241</v>
      </c>
      <c r="F29" s="12">
        <v>0</v>
      </c>
      <c r="G29" s="13">
        <v>0</v>
      </c>
      <c r="H29" s="1">
        <f t="shared" si="0"/>
        <v>0</v>
      </c>
      <c r="I29" s="1">
        <f t="shared" si="1"/>
        <v>0</v>
      </c>
      <c r="J29" s="12">
        <v>0</v>
      </c>
      <c r="K29" s="13">
        <v>0</v>
      </c>
      <c r="L29" s="1">
        <f t="shared" si="2"/>
        <v>0</v>
      </c>
      <c r="M29" s="1">
        <f t="shared" si="3"/>
        <v>0</v>
      </c>
      <c r="N29" s="12">
        <v>0</v>
      </c>
      <c r="O29" s="12">
        <v>0</v>
      </c>
      <c r="P29" s="1">
        <f t="shared" si="4"/>
        <v>0</v>
      </c>
      <c r="Q29" s="1">
        <f t="shared" si="5"/>
        <v>0</v>
      </c>
      <c r="R29" s="12">
        <v>34150.916944448953</v>
      </c>
      <c r="S29" s="12">
        <v>34150.916944448953</v>
      </c>
      <c r="T29" s="1">
        <f t="shared" si="6"/>
        <v>0</v>
      </c>
      <c r="U29" s="1">
        <f t="shared" si="7"/>
        <v>0</v>
      </c>
    </row>
    <row r="30" spans="1:21" x14ac:dyDescent="0.25">
      <c r="A30" s="10">
        <v>38</v>
      </c>
      <c r="B30" s="10">
        <v>1</v>
      </c>
      <c r="C30" s="11" t="s">
        <v>22</v>
      </c>
      <c r="D30" s="12">
        <v>1399</v>
      </c>
      <c r="E30" s="12">
        <v>1427</v>
      </c>
      <c r="F30" s="12">
        <v>0</v>
      </c>
      <c r="G30" s="13">
        <v>0</v>
      </c>
      <c r="H30" s="1">
        <f t="shared" si="0"/>
        <v>0</v>
      </c>
      <c r="I30" s="1">
        <f t="shared" si="1"/>
        <v>0</v>
      </c>
      <c r="J30" s="12">
        <v>0</v>
      </c>
      <c r="K30" s="13">
        <v>0</v>
      </c>
      <c r="L30" s="1">
        <f t="shared" si="2"/>
        <v>0</v>
      </c>
      <c r="M30" s="1">
        <f t="shared" si="3"/>
        <v>0</v>
      </c>
      <c r="N30" s="12">
        <v>2349872</v>
      </c>
      <c r="O30" s="12">
        <v>812550.6</v>
      </c>
      <c r="P30" s="1">
        <f t="shared" si="4"/>
        <v>-1537321.4</v>
      </c>
      <c r="Q30" s="1">
        <f t="shared" si="5"/>
        <v>-1077.3100210231253</v>
      </c>
      <c r="R30" s="12">
        <v>113294</v>
      </c>
      <c r="S30" s="12">
        <v>178799.87</v>
      </c>
      <c r="T30" s="1">
        <f t="shared" si="6"/>
        <v>65505.869999999995</v>
      </c>
      <c r="U30" s="1">
        <f t="shared" si="7"/>
        <v>45.904604064470917</v>
      </c>
    </row>
    <row r="31" spans="1:21" x14ac:dyDescent="0.25">
      <c r="A31" s="10">
        <v>47</v>
      </c>
      <c r="B31" s="10">
        <v>1</v>
      </c>
      <c r="C31" s="11" t="s">
        <v>23</v>
      </c>
      <c r="D31" s="12">
        <v>3609</v>
      </c>
      <c r="E31" s="12">
        <v>3568</v>
      </c>
      <c r="F31" s="12">
        <v>365023.478</v>
      </c>
      <c r="G31" s="13">
        <v>368000</v>
      </c>
      <c r="H31" s="1">
        <f t="shared" si="0"/>
        <v>2976.5219999999972</v>
      </c>
      <c r="I31" s="1">
        <f t="shared" si="1"/>
        <v>0.82474979218620037</v>
      </c>
      <c r="J31" s="12">
        <v>361299.364</v>
      </c>
      <c r="K31" s="13">
        <v>368000</v>
      </c>
      <c r="L31" s="1">
        <f t="shared" si="2"/>
        <v>6700.6359999999986</v>
      </c>
      <c r="M31" s="1">
        <f t="shared" si="3"/>
        <v>1.8779809417040354</v>
      </c>
      <c r="N31" s="12">
        <v>0</v>
      </c>
      <c r="O31" s="12">
        <v>0</v>
      </c>
      <c r="P31" s="1">
        <f t="shared" si="4"/>
        <v>0</v>
      </c>
      <c r="Q31" s="1">
        <f t="shared" si="5"/>
        <v>0</v>
      </c>
      <c r="R31" s="12">
        <v>344476</v>
      </c>
      <c r="S31" s="12">
        <v>344476</v>
      </c>
      <c r="T31" s="1">
        <f t="shared" si="6"/>
        <v>0</v>
      </c>
      <c r="U31" s="1">
        <f t="shared" si="7"/>
        <v>0</v>
      </c>
    </row>
    <row r="32" spans="1:21" x14ac:dyDescent="0.25">
      <c r="A32" s="10">
        <v>51</v>
      </c>
      <c r="B32" s="10">
        <v>1</v>
      </c>
      <c r="C32" s="11" t="s">
        <v>24</v>
      </c>
      <c r="D32" s="12">
        <v>1752</v>
      </c>
      <c r="E32" s="12">
        <v>1754</v>
      </c>
      <c r="F32" s="12">
        <v>176721.052</v>
      </c>
      <c r="G32" s="13">
        <v>176500</v>
      </c>
      <c r="H32" s="1">
        <f t="shared" si="0"/>
        <v>-221.05199999999604</v>
      </c>
      <c r="I32" s="1">
        <f t="shared" si="1"/>
        <v>-0.12617123287671006</v>
      </c>
      <c r="J32" s="12">
        <v>177268.17599999998</v>
      </c>
      <c r="K32" s="13">
        <v>176500</v>
      </c>
      <c r="L32" s="1">
        <f t="shared" si="2"/>
        <v>-768.17599999997765</v>
      </c>
      <c r="M32" s="1">
        <f t="shared" si="3"/>
        <v>-0.43795667046749009</v>
      </c>
      <c r="N32" s="12">
        <v>445967</v>
      </c>
      <c r="O32" s="12">
        <v>445967</v>
      </c>
      <c r="P32" s="1">
        <f t="shared" si="4"/>
        <v>0</v>
      </c>
      <c r="Q32" s="1">
        <f t="shared" si="5"/>
        <v>0</v>
      </c>
      <c r="R32" s="12">
        <v>252780</v>
      </c>
      <c r="S32" s="12">
        <v>252780</v>
      </c>
      <c r="T32" s="1">
        <f t="shared" si="6"/>
        <v>0</v>
      </c>
      <c r="U32" s="1">
        <f t="shared" si="7"/>
        <v>0</v>
      </c>
    </row>
    <row r="33" spans="1:21" x14ac:dyDescent="0.25">
      <c r="A33" s="10">
        <v>75</v>
      </c>
      <c r="B33" s="10">
        <v>1</v>
      </c>
      <c r="C33" s="11" t="s">
        <v>25</v>
      </c>
      <c r="D33" s="12">
        <v>587</v>
      </c>
      <c r="E33" s="12">
        <v>586</v>
      </c>
      <c r="F33" s="12">
        <v>0</v>
      </c>
      <c r="G33" s="13">
        <v>0</v>
      </c>
      <c r="H33" s="1">
        <f t="shared" si="0"/>
        <v>0</v>
      </c>
      <c r="I33" s="1">
        <f t="shared" si="1"/>
        <v>0</v>
      </c>
      <c r="J33" s="12">
        <v>0</v>
      </c>
      <c r="K33" s="13">
        <v>0</v>
      </c>
      <c r="L33" s="1">
        <f t="shared" si="2"/>
        <v>0</v>
      </c>
      <c r="M33" s="1">
        <f t="shared" si="3"/>
        <v>0</v>
      </c>
      <c r="N33" s="12">
        <v>256958</v>
      </c>
      <c r="O33" s="12">
        <v>256958</v>
      </c>
      <c r="P33" s="1">
        <f t="shared" si="4"/>
        <v>0</v>
      </c>
      <c r="Q33" s="1">
        <f t="shared" si="5"/>
        <v>0</v>
      </c>
      <c r="R33" s="12">
        <v>80362</v>
      </c>
      <c r="S33" s="12">
        <v>80362</v>
      </c>
      <c r="T33" s="1">
        <f t="shared" si="6"/>
        <v>0</v>
      </c>
      <c r="U33" s="1">
        <f t="shared" si="7"/>
        <v>0</v>
      </c>
    </row>
    <row r="34" spans="1:21" x14ac:dyDescent="0.25">
      <c r="A34" s="10">
        <v>77</v>
      </c>
      <c r="B34" s="10">
        <v>1</v>
      </c>
      <c r="C34" s="11" t="s">
        <v>26</v>
      </c>
      <c r="D34" s="12">
        <v>7383</v>
      </c>
      <c r="E34" s="12">
        <v>7455</v>
      </c>
      <c r="F34" s="12">
        <v>0</v>
      </c>
      <c r="G34" s="13">
        <v>0</v>
      </c>
      <c r="H34" s="1">
        <f t="shared" si="0"/>
        <v>0</v>
      </c>
      <c r="I34" s="1">
        <f t="shared" si="1"/>
        <v>0</v>
      </c>
      <c r="J34" s="12">
        <v>0</v>
      </c>
      <c r="K34" s="13">
        <v>0</v>
      </c>
      <c r="L34" s="1">
        <f t="shared" si="2"/>
        <v>0</v>
      </c>
      <c r="M34" s="1">
        <f t="shared" si="3"/>
        <v>0</v>
      </c>
      <c r="N34" s="12">
        <v>5767597</v>
      </c>
      <c r="O34" s="12">
        <v>5767597</v>
      </c>
      <c r="P34" s="1">
        <f t="shared" si="4"/>
        <v>0</v>
      </c>
      <c r="Q34" s="1">
        <f t="shared" si="5"/>
        <v>0</v>
      </c>
      <c r="R34" s="12">
        <v>896941</v>
      </c>
      <c r="S34" s="12">
        <v>896941</v>
      </c>
      <c r="T34" s="1">
        <f t="shared" si="6"/>
        <v>0</v>
      </c>
      <c r="U34" s="1">
        <f t="shared" si="7"/>
        <v>0</v>
      </c>
    </row>
    <row r="35" spans="1:21" x14ac:dyDescent="0.25">
      <c r="A35" s="10">
        <v>81</v>
      </c>
      <c r="B35" s="10">
        <v>1</v>
      </c>
      <c r="C35" s="11" t="s">
        <v>27</v>
      </c>
      <c r="D35" s="12">
        <v>166</v>
      </c>
      <c r="E35" s="12">
        <v>165</v>
      </c>
      <c r="F35" s="12">
        <v>16492.379999999997</v>
      </c>
      <c r="G35" s="13">
        <v>15000</v>
      </c>
      <c r="H35" s="1">
        <f t="shared" si="0"/>
        <v>-1492.3799999999974</v>
      </c>
      <c r="I35" s="1">
        <f t="shared" si="1"/>
        <v>-8.9902409638554062</v>
      </c>
      <c r="J35" s="12">
        <v>16465.285999999996</v>
      </c>
      <c r="K35" s="13">
        <v>15000</v>
      </c>
      <c r="L35" s="1">
        <f t="shared" si="2"/>
        <v>-1465.2859999999964</v>
      </c>
      <c r="M35" s="1">
        <f t="shared" si="3"/>
        <v>-8.8805212121211898</v>
      </c>
      <c r="N35" s="12">
        <v>240154</v>
      </c>
      <c r="O35" s="12">
        <v>240154</v>
      </c>
      <c r="P35" s="1">
        <f t="shared" si="4"/>
        <v>0</v>
      </c>
      <c r="Q35" s="1">
        <f t="shared" si="5"/>
        <v>0</v>
      </c>
      <c r="R35" s="12">
        <v>15020</v>
      </c>
      <c r="S35" s="12">
        <v>15020</v>
      </c>
      <c r="T35" s="1">
        <f t="shared" si="6"/>
        <v>0</v>
      </c>
      <c r="U35" s="1">
        <f t="shared" si="7"/>
        <v>0</v>
      </c>
    </row>
    <row r="36" spans="1:21" x14ac:dyDescent="0.25">
      <c r="A36" s="10">
        <v>84</v>
      </c>
      <c r="B36" s="10">
        <v>1</v>
      </c>
      <c r="C36" s="11" t="s">
        <v>28</v>
      </c>
      <c r="D36" s="12">
        <v>542</v>
      </c>
      <c r="E36" s="12">
        <v>521</v>
      </c>
      <c r="F36" s="12">
        <v>77458.952999999994</v>
      </c>
      <c r="G36" s="13">
        <v>81535.739999999991</v>
      </c>
      <c r="H36" s="1">
        <f t="shared" si="0"/>
        <v>4076.7869999999966</v>
      </c>
      <c r="I36" s="1">
        <f t="shared" si="1"/>
        <v>7.5217472324723182</v>
      </c>
      <c r="J36" s="12">
        <v>74821.676999999981</v>
      </c>
      <c r="K36" s="13">
        <v>78759.659999999989</v>
      </c>
      <c r="L36" s="1">
        <f t="shared" si="2"/>
        <v>3937.9830000000075</v>
      </c>
      <c r="M36" s="1">
        <f t="shared" si="3"/>
        <v>7.5585086372360983</v>
      </c>
      <c r="N36" s="12">
        <v>0</v>
      </c>
      <c r="O36" s="12">
        <v>0</v>
      </c>
      <c r="P36" s="1">
        <f t="shared" si="4"/>
        <v>0</v>
      </c>
      <c r="Q36" s="1">
        <f t="shared" si="5"/>
        <v>0</v>
      </c>
      <c r="R36" s="12">
        <v>94792.141600828894</v>
      </c>
      <c r="S36" s="12">
        <v>94792.141600828894</v>
      </c>
      <c r="T36" s="1">
        <f t="shared" si="6"/>
        <v>0</v>
      </c>
      <c r="U36" s="1">
        <f t="shared" si="7"/>
        <v>0</v>
      </c>
    </row>
    <row r="37" spans="1:21" x14ac:dyDescent="0.25">
      <c r="A37" s="10">
        <v>85</v>
      </c>
      <c r="B37" s="10">
        <v>1</v>
      </c>
      <c r="C37" s="11" t="s">
        <v>29</v>
      </c>
      <c r="D37" s="12">
        <v>560</v>
      </c>
      <c r="E37" s="12">
        <v>546</v>
      </c>
      <c r="F37" s="12">
        <v>57316.045999999988</v>
      </c>
      <c r="G37" s="13">
        <v>56750</v>
      </c>
      <c r="H37" s="1">
        <f t="shared" si="0"/>
        <v>-566.04599999998754</v>
      </c>
      <c r="I37" s="1">
        <f t="shared" si="1"/>
        <v>-1.0107964285714064</v>
      </c>
      <c r="J37" s="12">
        <v>56028.643999999993</v>
      </c>
      <c r="K37" s="13">
        <v>56750</v>
      </c>
      <c r="L37" s="1">
        <f t="shared" si="2"/>
        <v>721.35600000000704</v>
      </c>
      <c r="M37" s="1">
        <f t="shared" si="3"/>
        <v>1.3211648351648482</v>
      </c>
      <c r="N37" s="12">
        <v>322992</v>
      </c>
      <c r="O37" s="12">
        <v>322992</v>
      </c>
      <c r="P37" s="1">
        <f t="shared" si="4"/>
        <v>0</v>
      </c>
      <c r="Q37" s="1">
        <f t="shared" si="5"/>
        <v>0</v>
      </c>
      <c r="R37" s="12">
        <v>72593</v>
      </c>
      <c r="S37" s="12">
        <v>72593</v>
      </c>
      <c r="T37" s="1">
        <f t="shared" si="6"/>
        <v>0</v>
      </c>
      <c r="U37" s="1">
        <f t="shared" si="7"/>
        <v>0</v>
      </c>
    </row>
    <row r="38" spans="1:21" x14ac:dyDescent="0.25">
      <c r="A38" s="10">
        <v>88</v>
      </c>
      <c r="B38" s="10">
        <v>1</v>
      </c>
      <c r="C38" s="11" t="s">
        <v>30</v>
      </c>
      <c r="D38" s="12">
        <v>2014</v>
      </c>
      <c r="E38" s="12">
        <v>2009</v>
      </c>
      <c r="F38" s="12">
        <v>203392.03599999996</v>
      </c>
      <c r="G38" s="13">
        <v>214096.87999999998</v>
      </c>
      <c r="H38" s="1">
        <f t="shared" si="0"/>
        <v>10704.844000000012</v>
      </c>
      <c r="I38" s="1">
        <f t="shared" si="1"/>
        <v>5.3152154915590923</v>
      </c>
      <c r="J38" s="12">
        <v>203324.73799999998</v>
      </c>
      <c r="K38" s="13">
        <v>214026.03999999998</v>
      </c>
      <c r="L38" s="1">
        <f t="shared" si="2"/>
        <v>10701.301999999996</v>
      </c>
      <c r="M38" s="1">
        <f t="shared" si="3"/>
        <v>5.3266809357889482</v>
      </c>
      <c r="N38" s="12">
        <v>1787149</v>
      </c>
      <c r="O38" s="12">
        <v>1787149</v>
      </c>
      <c r="P38" s="1">
        <f t="shared" si="4"/>
        <v>0</v>
      </c>
      <c r="Q38" s="1">
        <f t="shared" si="5"/>
        <v>0</v>
      </c>
      <c r="R38" s="12">
        <v>235604</v>
      </c>
      <c r="S38" s="12">
        <v>235604</v>
      </c>
      <c r="T38" s="1">
        <f t="shared" si="6"/>
        <v>0</v>
      </c>
      <c r="U38" s="1">
        <f t="shared" si="7"/>
        <v>0</v>
      </c>
    </row>
    <row r="39" spans="1:21" x14ac:dyDescent="0.25">
      <c r="A39" s="10">
        <v>91</v>
      </c>
      <c r="B39" s="10">
        <v>1</v>
      </c>
      <c r="C39" s="11" t="s">
        <v>31</v>
      </c>
      <c r="D39" s="12">
        <v>742</v>
      </c>
      <c r="E39" s="12">
        <v>753</v>
      </c>
      <c r="F39" s="12">
        <v>0</v>
      </c>
      <c r="G39" s="13">
        <v>0</v>
      </c>
      <c r="H39" s="1">
        <f t="shared" si="0"/>
        <v>0</v>
      </c>
      <c r="I39" s="1">
        <f t="shared" si="1"/>
        <v>0</v>
      </c>
      <c r="J39" s="12">
        <v>0</v>
      </c>
      <c r="K39" s="13">
        <v>0</v>
      </c>
      <c r="L39" s="1">
        <f t="shared" si="2"/>
        <v>0</v>
      </c>
      <c r="M39" s="1">
        <f t="shared" si="3"/>
        <v>0</v>
      </c>
      <c r="N39" s="12">
        <v>159527</v>
      </c>
      <c r="O39" s="12">
        <v>159527</v>
      </c>
      <c r="P39" s="1">
        <f t="shared" si="4"/>
        <v>0</v>
      </c>
      <c r="Q39" s="1">
        <f t="shared" si="5"/>
        <v>0</v>
      </c>
      <c r="R39" s="12">
        <v>108375</v>
      </c>
      <c r="S39" s="12">
        <v>108375</v>
      </c>
      <c r="T39" s="1">
        <f t="shared" si="6"/>
        <v>0</v>
      </c>
      <c r="U39" s="1">
        <f t="shared" si="7"/>
        <v>0</v>
      </c>
    </row>
    <row r="40" spans="1:21" x14ac:dyDescent="0.25">
      <c r="A40" s="10">
        <v>93</v>
      </c>
      <c r="B40" s="10">
        <v>1</v>
      </c>
      <c r="C40" s="11" t="s">
        <v>32</v>
      </c>
      <c r="D40" s="12">
        <v>463</v>
      </c>
      <c r="E40" s="12">
        <v>455</v>
      </c>
      <c r="F40" s="12">
        <v>0</v>
      </c>
      <c r="G40" s="13">
        <v>3000</v>
      </c>
      <c r="H40" s="1">
        <f t="shared" si="0"/>
        <v>3000</v>
      </c>
      <c r="I40" s="1">
        <f t="shared" si="1"/>
        <v>6.4794816414686824</v>
      </c>
      <c r="J40" s="12">
        <v>0</v>
      </c>
      <c r="K40" s="13">
        <v>48425.120000000003</v>
      </c>
      <c r="L40" s="1">
        <f t="shared" si="2"/>
        <v>48425.120000000003</v>
      </c>
      <c r="M40" s="1">
        <f t="shared" si="3"/>
        <v>106.42883516483516</v>
      </c>
      <c r="N40" s="12">
        <v>917268</v>
      </c>
      <c r="O40" s="12">
        <v>917268</v>
      </c>
      <c r="P40" s="1">
        <f t="shared" si="4"/>
        <v>0</v>
      </c>
      <c r="Q40" s="1">
        <f t="shared" si="5"/>
        <v>0</v>
      </c>
      <c r="R40" s="12">
        <v>31750</v>
      </c>
      <c r="S40" s="12">
        <v>31750</v>
      </c>
      <c r="T40" s="1">
        <f t="shared" si="6"/>
        <v>0</v>
      </c>
      <c r="U40" s="1">
        <f t="shared" si="7"/>
        <v>0</v>
      </c>
    </row>
    <row r="41" spans="1:21" x14ac:dyDescent="0.25">
      <c r="A41" s="10">
        <v>94</v>
      </c>
      <c r="B41" s="10">
        <v>1</v>
      </c>
      <c r="C41" s="11" t="s">
        <v>33</v>
      </c>
      <c r="D41" s="12">
        <v>2585</v>
      </c>
      <c r="E41" s="12">
        <v>2604</v>
      </c>
      <c r="F41" s="12">
        <v>0</v>
      </c>
      <c r="G41" s="13">
        <v>10000</v>
      </c>
      <c r="H41" s="1">
        <f t="shared" si="0"/>
        <v>10000</v>
      </c>
      <c r="I41" s="1">
        <f t="shared" si="1"/>
        <v>3.8684719535783367</v>
      </c>
      <c r="J41" s="12">
        <v>0</v>
      </c>
      <c r="K41" s="13">
        <v>250000</v>
      </c>
      <c r="L41" s="1">
        <f t="shared" si="2"/>
        <v>250000</v>
      </c>
      <c r="M41" s="1">
        <f t="shared" si="3"/>
        <v>96.006144393241172</v>
      </c>
      <c r="N41" s="12">
        <v>260845</v>
      </c>
      <c r="O41" s="12">
        <v>260845</v>
      </c>
      <c r="P41" s="1">
        <f t="shared" si="4"/>
        <v>0</v>
      </c>
      <c r="Q41" s="1">
        <f t="shared" si="5"/>
        <v>0</v>
      </c>
      <c r="R41" s="12">
        <v>387989</v>
      </c>
      <c r="S41" s="12">
        <v>387989</v>
      </c>
      <c r="T41" s="1">
        <f t="shared" si="6"/>
        <v>0</v>
      </c>
      <c r="U41" s="1">
        <f t="shared" si="7"/>
        <v>0</v>
      </c>
    </row>
    <row r="42" spans="1:21" x14ac:dyDescent="0.25">
      <c r="A42" s="10">
        <v>95</v>
      </c>
      <c r="B42" s="10">
        <v>1</v>
      </c>
      <c r="C42" s="11" t="s">
        <v>34</v>
      </c>
      <c r="D42" s="12">
        <v>250</v>
      </c>
      <c r="E42" s="12">
        <v>251</v>
      </c>
      <c r="F42" s="12">
        <v>0</v>
      </c>
      <c r="G42" s="13">
        <v>0</v>
      </c>
      <c r="H42" s="1">
        <f t="shared" si="0"/>
        <v>0</v>
      </c>
      <c r="I42" s="1">
        <f t="shared" si="1"/>
        <v>0</v>
      </c>
      <c r="J42" s="12">
        <v>0</v>
      </c>
      <c r="K42" s="13">
        <v>26500.600000000002</v>
      </c>
      <c r="L42" s="1">
        <f t="shared" si="2"/>
        <v>26500.600000000002</v>
      </c>
      <c r="M42" s="1">
        <f t="shared" si="3"/>
        <v>105.58007968127491</v>
      </c>
      <c r="N42" s="12">
        <v>0</v>
      </c>
      <c r="O42" s="12">
        <v>0</v>
      </c>
      <c r="P42" s="1">
        <f t="shared" si="4"/>
        <v>0</v>
      </c>
      <c r="Q42" s="1">
        <f t="shared" si="5"/>
        <v>0</v>
      </c>
      <c r="R42" s="12">
        <v>49193.134610744732</v>
      </c>
      <c r="S42" s="12">
        <v>49193.134610744732</v>
      </c>
      <c r="T42" s="1">
        <f t="shared" si="6"/>
        <v>0</v>
      </c>
      <c r="U42" s="1">
        <f t="shared" si="7"/>
        <v>0</v>
      </c>
    </row>
    <row r="43" spans="1:21" x14ac:dyDescent="0.25">
      <c r="A43" s="10">
        <v>97</v>
      </c>
      <c r="B43" s="10">
        <v>1</v>
      </c>
      <c r="C43" s="11" t="s">
        <v>35</v>
      </c>
      <c r="D43" s="12">
        <v>704</v>
      </c>
      <c r="E43" s="12">
        <v>713</v>
      </c>
      <c r="F43" s="12">
        <v>0</v>
      </c>
      <c r="G43" s="13">
        <v>0</v>
      </c>
      <c r="H43" s="1">
        <f t="shared" si="0"/>
        <v>0</v>
      </c>
      <c r="I43" s="1">
        <f t="shared" si="1"/>
        <v>0</v>
      </c>
      <c r="J43" s="12">
        <v>0</v>
      </c>
      <c r="K43" s="13">
        <v>0</v>
      </c>
      <c r="L43" s="1">
        <f t="shared" si="2"/>
        <v>0</v>
      </c>
      <c r="M43" s="1">
        <f t="shared" si="3"/>
        <v>0</v>
      </c>
      <c r="N43" s="12">
        <v>189334</v>
      </c>
      <c r="O43" s="12">
        <v>189334</v>
      </c>
      <c r="P43" s="1">
        <f t="shared" si="4"/>
        <v>0</v>
      </c>
      <c r="Q43" s="1">
        <f t="shared" si="5"/>
        <v>0</v>
      </c>
      <c r="R43" s="12">
        <v>101801</v>
      </c>
      <c r="S43" s="12">
        <v>101801</v>
      </c>
      <c r="T43" s="1">
        <f t="shared" si="6"/>
        <v>0</v>
      </c>
      <c r="U43" s="1">
        <f t="shared" si="7"/>
        <v>0</v>
      </c>
    </row>
    <row r="44" spans="1:21" x14ac:dyDescent="0.25">
      <c r="A44" s="10">
        <v>99</v>
      </c>
      <c r="B44" s="10">
        <v>1</v>
      </c>
      <c r="C44" s="11" t="s">
        <v>36</v>
      </c>
      <c r="D44" s="12">
        <v>1204</v>
      </c>
      <c r="E44" s="12">
        <v>1198</v>
      </c>
      <c r="F44" s="12">
        <v>0</v>
      </c>
      <c r="G44" s="13">
        <v>0</v>
      </c>
      <c r="H44" s="1">
        <f t="shared" si="0"/>
        <v>0</v>
      </c>
      <c r="I44" s="1">
        <f t="shared" si="1"/>
        <v>0</v>
      </c>
      <c r="J44" s="12">
        <v>0</v>
      </c>
      <c r="K44" s="13">
        <v>128705.24</v>
      </c>
      <c r="L44" s="1">
        <f t="shared" si="2"/>
        <v>128705.24</v>
      </c>
      <c r="M44" s="1">
        <f t="shared" si="3"/>
        <v>107.43342237061771</v>
      </c>
      <c r="N44" s="12">
        <v>1163</v>
      </c>
      <c r="O44" s="12">
        <v>1163</v>
      </c>
      <c r="P44" s="1">
        <f t="shared" si="4"/>
        <v>0</v>
      </c>
      <c r="Q44" s="1">
        <f t="shared" si="5"/>
        <v>0</v>
      </c>
      <c r="R44" s="12">
        <v>287500</v>
      </c>
      <c r="S44" s="12">
        <v>287500</v>
      </c>
      <c r="T44" s="1">
        <f t="shared" si="6"/>
        <v>0</v>
      </c>
      <c r="U44" s="1">
        <f t="shared" si="7"/>
        <v>0</v>
      </c>
    </row>
    <row r="45" spans="1:21" x14ac:dyDescent="0.25">
      <c r="A45" s="10">
        <v>100</v>
      </c>
      <c r="B45" s="10">
        <v>1</v>
      </c>
      <c r="C45" s="11" t="s">
        <v>37</v>
      </c>
      <c r="D45" s="12">
        <v>353</v>
      </c>
      <c r="E45" s="12">
        <v>361</v>
      </c>
      <c r="F45" s="12">
        <v>0</v>
      </c>
      <c r="G45" s="13">
        <v>0</v>
      </c>
      <c r="H45" s="1">
        <f t="shared" si="0"/>
        <v>0</v>
      </c>
      <c r="I45" s="1">
        <f t="shared" si="1"/>
        <v>0</v>
      </c>
      <c r="J45" s="12">
        <v>0</v>
      </c>
      <c r="K45" s="13">
        <v>0</v>
      </c>
      <c r="L45" s="1">
        <f t="shared" si="2"/>
        <v>0</v>
      </c>
      <c r="M45" s="1">
        <f t="shared" si="3"/>
        <v>0</v>
      </c>
      <c r="N45" s="12">
        <v>222112</v>
      </c>
      <c r="O45" s="12">
        <v>222112</v>
      </c>
      <c r="P45" s="1">
        <f t="shared" si="4"/>
        <v>0</v>
      </c>
      <c r="Q45" s="1">
        <f t="shared" si="5"/>
        <v>0</v>
      </c>
      <c r="R45" s="12">
        <v>47211</v>
      </c>
      <c r="S45" s="12">
        <v>47211</v>
      </c>
      <c r="T45" s="1">
        <f t="shared" si="6"/>
        <v>0</v>
      </c>
      <c r="U45" s="1">
        <f t="shared" si="7"/>
        <v>0</v>
      </c>
    </row>
    <row r="46" spans="1:21" x14ac:dyDescent="0.25">
      <c r="A46" s="10">
        <v>108</v>
      </c>
      <c r="B46" s="10">
        <v>1</v>
      </c>
      <c r="C46" s="11" t="s">
        <v>38</v>
      </c>
      <c r="D46" s="12">
        <v>1046</v>
      </c>
      <c r="E46" s="12">
        <v>1019</v>
      </c>
      <c r="F46" s="12">
        <v>0</v>
      </c>
      <c r="G46" s="13">
        <v>0</v>
      </c>
      <c r="H46" s="1">
        <f t="shared" si="0"/>
        <v>0</v>
      </c>
      <c r="I46" s="1">
        <f t="shared" si="1"/>
        <v>0</v>
      </c>
      <c r="J46" s="12">
        <v>0</v>
      </c>
      <c r="K46" s="13">
        <v>0</v>
      </c>
      <c r="L46" s="1">
        <f t="shared" si="2"/>
        <v>0</v>
      </c>
      <c r="M46" s="1">
        <f t="shared" si="3"/>
        <v>0</v>
      </c>
      <c r="N46" s="12">
        <v>625515</v>
      </c>
      <c r="O46" s="12">
        <v>625515</v>
      </c>
      <c r="P46" s="1">
        <f t="shared" si="4"/>
        <v>0</v>
      </c>
      <c r="Q46" s="1">
        <f t="shared" si="5"/>
        <v>0</v>
      </c>
      <c r="R46" s="12">
        <v>167884.75</v>
      </c>
      <c r="S46" s="12">
        <v>167884.75</v>
      </c>
      <c r="T46" s="1">
        <f t="shared" si="6"/>
        <v>0</v>
      </c>
      <c r="U46" s="1">
        <f t="shared" si="7"/>
        <v>0</v>
      </c>
    </row>
    <row r="47" spans="1:21" x14ac:dyDescent="0.25">
      <c r="A47" s="10">
        <v>110</v>
      </c>
      <c r="B47" s="10">
        <v>1</v>
      </c>
      <c r="C47" s="11" t="s">
        <v>39</v>
      </c>
      <c r="D47" s="12">
        <v>3417</v>
      </c>
      <c r="E47" s="12">
        <v>3525</v>
      </c>
      <c r="F47" s="12">
        <v>0</v>
      </c>
      <c r="G47" s="13">
        <v>0</v>
      </c>
      <c r="H47" s="1">
        <f t="shared" si="0"/>
        <v>0</v>
      </c>
      <c r="I47" s="1">
        <f t="shared" si="1"/>
        <v>0</v>
      </c>
      <c r="J47" s="12">
        <v>0</v>
      </c>
      <c r="K47" s="13">
        <v>0</v>
      </c>
      <c r="L47" s="1">
        <f t="shared" si="2"/>
        <v>0</v>
      </c>
      <c r="M47" s="1">
        <f t="shared" si="3"/>
        <v>0</v>
      </c>
      <c r="N47" s="12">
        <v>2295262</v>
      </c>
      <c r="O47" s="12">
        <v>2295262</v>
      </c>
      <c r="P47" s="1">
        <f t="shared" si="4"/>
        <v>0</v>
      </c>
      <c r="Q47" s="1">
        <f t="shared" si="5"/>
        <v>0</v>
      </c>
      <c r="R47" s="12">
        <v>566331.5</v>
      </c>
      <c r="S47" s="12">
        <v>566331.5</v>
      </c>
      <c r="T47" s="1">
        <f t="shared" si="6"/>
        <v>0</v>
      </c>
      <c r="U47" s="1">
        <f t="shared" si="7"/>
        <v>0</v>
      </c>
    </row>
    <row r="48" spans="1:21" x14ac:dyDescent="0.25">
      <c r="A48" s="10">
        <v>111</v>
      </c>
      <c r="B48" s="10">
        <v>1</v>
      </c>
      <c r="C48" s="11" t="s">
        <v>40</v>
      </c>
      <c r="D48" s="12">
        <v>1656</v>
      </c>
      <c r="E48" s="12">
        <v>1666</v>
      </c>
      <c r="F48" s="12">
        <v>0</v>
      </c>
      <c r="G48" s="13">
        <v>0</v>
      </c>
      <c r="H48" s="1">
        <f t="shared" si="0"/>
        <v>0</v>
      </c>
      <c r="I48" s="1">
        <f t="shared" si="1"/>
        <v>0</v>
      </c>
      <c r="J48" s="12">
        <v>0</v>
      </c>
      <c r="K48" s="13">
        <v>0</v>
      </c>
      <c r="L48" s="1">
        <f t="shared" si="2"/>
        <v>0</v>
      </c>
      <c r="M48" s="1">
        <f t="shared" si="3"/>
        <v>0</v>
      </c>
      <c r="N48" s="12">
        <v>476581</v>
      </c>
      <c r="O48" s="12">
        <v>476581</v>
      </c>
      <c r="P48" s="1">
        <f t="shared" si="4"/>
        <v>0</v>
      </c>
      <c r="Q48" s="1">
        <f t="shared" si="5"/>
        <v>0</v>
      </c>
      <c r="R48" s="12">
        <v>305267.5</v>
      </c>
      <c r="S48" s="12">
        <v>305267.5</v>
      </c>
      <c r="T48" s="1">
        <f t="shared" si="6"/>
        <v>0</v>
      </c>
      <c r="U48" s="1">
        <f t="shared" si="7"/>
        <v>0</v>
      </c>
    </row>
    <row r="49" spans="1:21" x14ac:dyDescent="0.25">
      <c r="A49" s="10">
        <v>112</v>
      </c>
      <c r="B49" s="10">
        <v>1</v>
      </c>
      <c r="C49" s="11" t="s">
        <v>41</v>
      </c>
      <c r="D49" s="12">
        <v>9352</v>
      </c>
      <c r="E49" s="12">
        <v>9473</v>
      </c>
      <c r="F49" s="12">
        <v>0</v>
      </c>
      <c r="G49" s="13">
        <v>0</v>
      </c>
      <c r="H49" s="1">
        <f t="shared" si="0"/>
        <v>0</v>
      </c>
      <c r="I49" s="1">
        <f t="shared" si="1"/>
        <v>0</v>
      </c>
      <c r="J49" s="12">
        <v>0</v>
      </c>
      <c r="K49" s="13">
        <v>0</v>
      </c>
      <c r="L49" s="1">
        <f t="shared" si="2"/>
        <v>0</v>
      </c>
      <c r="M49" s="1">
        <f t="shared" si="3"/>
        <v>0</v>
      </c>
      <c r="N49" s="12">
        <v>12137056</v>
      </c>
      <c r="O49" s="12">
        <v>12137056</v>
      </c>
      <c r="P49" s="1">
        <f t="shared" si="4"/>
        <v>0</v>
      </c>
      <c r="Q49" s="1">
        <f t="shared" si="5"/>
        <v>0</v>
      </c>
      <c r="R49" s="12">
        <v>1136692.25</v>
      </c>
      <c r="S49" s="12">
        <v>1136692.25</v>
      </c>
      <c r="T49" s="1">
        <f t="shared" si="6"/>
        <v>0</v>
      </c>
      <c r="U49" s="1">
        <f t="shared" si="7"/>
        <v>0</v>
      </c>
    </row>
    <row r="50" spans="1:21" x14ac:dyDescent="0.25">
      <c r="A50" s="10">
        <v>113</v>
      </c>
      <c r="B50" s="10">
        <v>1</v>
      </c>
      <c r="C50" s="11" t="s">
        <v>42</v>
      </c>
      <c r="D50" s="12">
        <v>738</v>
      </c>
      <c r="E50" s="12">
        <v>715</v>
      </c>
      <c r="F50" s="12">
        <v>0</v>
      </c>
      <c r="G50" s="13">
        <v>0</v>
      </c>
      <c r="H50" s="1">
        <f t="shared" si="0"/>
        <v>0</v>
      </c>
      <c r="I50" s="1">
        <f t="shared" si="1"/>
        <v>0</v>
      </c>
      <c r="J50" s="12">
        <v>0</v>
      </c>
      <c r="K50" s="13">
        <v>0</v>
      </c>
      <c r="L50" s="1">
        <f t="shared" si="2"/>
        <v>0</v>
      </c>
      <c r="M50" s="1">
        <f t="shared" si="3"/>
        <v>0</v>
      </c>
      <c r="N50" s="12">
        <v>0</v>
      </c>
      <c r="O50" s="12">
        <v>0</v>
      </c>
      <c r="P50" s="1">
        <f t="shared" si="4"/>
        <v>0</v>
      </c>
      <c r="Q50" s="1">
        <f t="shared" si="5"/>
        <v>0</v>
      </c>
      <c r="R50" s="12">
        <v>140369.92956048882</v>
      </c>
      <c r="S50" s="12">
        <v>140369.92956048882</v>
      </c>
      <c r="T50" s="1">
        <f t="shared" si="6"/>
        <v>0</v>
      </c>
      <c r="U50" s="1">
        <f t="shared" si="7"/>
        <v>0</v>
      </c>
    </row>
    <row r="51" spans="1:21" x14ac:dyDescent="0.25">
      <c r="A51" s="10">
        <v>115</v>
      </c>
      <c r="B51" s="10">
        <v>1</v>
      </c>
      <c r="C51" s="11" t="s">
        <v>43</v>
      </c>
      <c r="D51" s="12">
        <v>1044</v>
      </c>
      <c r="E51" s="12">
        <v>1087</v>
      </c>
      <c r="F51" s="12">
        <v>0</v>
      </c>
      <c r="G51" s="13">
        <v>0</v>
      </c>
      <c r="H51" s="1">
        <f t="shared" si="0"/>
        <v>0</v>
      </c>
      <c r="I51" s="1">
        <f t="shared" si="1"/>
        <v>0</v>
      </c>
      <c r="J51" s="12">
        <v>0</v>
      </c>
      <c r="K51" s="13">
        <v>0</v>
      </c>
      <c r="L51" s="1">
        <f t="shared" si="2"/>
        <v>0</v>
      </c>
      <c r="M51" s="1">
        <f t="shared" si="3"/>
        <v>0</v>
      </c>
      <c r="N51" s="12">
        <v>0</v>
      </c>
      <c r="O51" s="12">
        <v>0</v>
      </c>
      <c r="P51" s="1">
        <f t="shared" si="4"/>
        <v>0</v>
      </c>
      <c r="Q51" s="1">
        <f t="shared" si="5"/>
        <v>0</v>
      </c>
      <c r="R51" s="12">
        <v>161427.54961419734</v>
      </c>
      <c r="S51" s="12">
        <v>161427.54961419734</v>
      </c>
      <c r="T51" s="1">
        <f t="shared" si="6"/>
        <v>0</v>
      </c>
      <c r="U51" s="1">
        <f t="shared" si="7"/>
        <v>0</v>
      </c>
    </row>
    <row r="52" spans="1:21" x14ac:dyDescent="0.25">
      <c r="A52" s="10">
        <v>116</v>
      </c>
      <c r="B52" s="10">
        <v>1</v>
      </c>
      <c r="C52" s="11" t="s">
        <v>44</v>
      </c>
      <c r="D52" s="12">
        <v>818</v>
      </c>
      <c r="E52" s="12">
        <v>824</v>
      </c>
      <c r="F52" s="12">
        <v>0</v>
      </c>
      <c r="G52" s="13">
        <v>0</v>
      </c>
      <c r="H52" s="1">
        <f t="shared" si="0"/>
        <v>0</v>
      </c>
      <c r="I52" s="1">
        <f t="shared" si="1"/>
        <v>0</v>
      </c>
      <c r="J52" s="12">
        <v>0</v>
      </c>
      <c r="K52" s="13">
        <v>0</v>
      </c>
      <c r="L52" s="1">
        <f t="shared" si="2"/>
        <v>0</v>
      </c>
      <c r="M52" s="1">
        <f t="shared" si="3"/>
        <v>0</v>
      </c>
      <c r="N52" s="12">
        <v>0</v>
      </c>
      <c r="O52" s="12">
        <v>0</v>
      </c>
      <c r="P52" s="1">
        <f t="shared" si="4"/>
        <v>0</v>
      </c>
      <c r="Q52" s="1">
        <f t="shared" si="5"/>
        <v>0</v>
      </c>
      <c r="R52" s="12">
        <v>147149.3644722951</v>
      </c>
      <c r="S52" s="12">
        <v>147149.3644722951</v>
      </c>
      <c r="T52" s="1">
        <f t="shared" si="6"/>
        <v>0</v>
      </c>
      <c r="U52" s="1">
        <f t="shared" si="7"/>
        <v>0</v>
      </c>
    </row>
    <row r="53" spans="1:21" x14ac:dyDescent="0.25">
      <c r="A53" s="10">
        <v>118</v>
      </c>
      <c r="B53" s="10">
        <v>1</v>
      </c>
      <c r="C53" s="11" t="s">
        <v>45</v>
      </c>
      <c r="D53" s="12">
        <v>373</v>
      </c>
      <c r="E53" s="12">
        <v>359</v>
      </c>
      <c r="F53" s="12">
        <v>0</v>
      </c>
      <c r="G53" s="13">
        <v>0</v>
      </c>
      <c r="H53" s="1">
        <f t="shared" si="0"/>
        <v>0</v>
      </c>
      <c r="I53" s="1">
        <f t="shared" si="1"/>
        <v>0</v>
      </c>
      <c r="J53" s="12">
        <v>0</v>
      </c>
      <c r="K53" s="13">
        <v>0</v>
      </c>
      <c r="L53" s="1">
        <f t="shared" si="2"/>
        <v>0</v>
      </c>
      <c r="M53" s="1">
        <f t="shared" si="3"/>
        <v>0</v>
      </c>
      <c r="N53" s="12">
        <v>283301</v>
      </c>
      <c r="O53" s="12">
        <v>283301</v>
      </c>
      <c r="P53" s="1">
        <f t="shared" si="4"/>
        <v>0</v>
      </c>
      <c r="Q53" s="1">
        <f t="shared" si="5"/>
        <v>0</v>
      </c>
      <c r="R53" s="12">
        <v>44808</v>
      </c>
      <c r="S53" s="12">
        <v>44808</v>
      </c>
      <c r="T53" s="1">
        <f t="shared" si="6"/>
        <v>0</v>
      </c>
      <c r="U53" s="1">
        <f t="shared" si="7"/>
        <v>0</v>
      </c>
    </row>
    <row r="54" spans="1:21" x14ac:dyDescent="0.25">
      <c r="A54" s="10">
        <v>129</v>
      </c>
      <c r="B54" s="10">
        <v>1</v>
      </c>
      <c r="C54" s="11" t="s">
        <v>46</v>
      </c>
      <c r="D54" s="12">
        <v>1470</v>
      </c>
      <c r="E54" s="12">
        <v>1490</v>
      </c>
      <c r="F54" s="12">
        <v>149844.67799999999</v>
      </c>
      <c r="G54" s="13">
        <v>157731.24</v>
      </c>
      <c r="H54" s="1">
        <f t="shared" si="0"/>
        <v>7886.5620000000054</v>
      </c>
      <c r="I54" s="1">
        <f t="shared" si="1"/>
        <v>5.3650081632653102</v>
      </c>
      <c r="J54" s="12">
        <v>151861.87</v>
      </c>
      <c r="K54" s="13">
        <v>159854.6</v>
      </c>
      <c r="L54" s="1">
        <f t="shared" si="2"/>
        <v>7992.7300000000105</v>
      </c>
      <c r="M54" s="1">
        <f t="shared" si="3"/>
        <v>5.3642483221476578</v>
      </c>
      <c r="N54" s="12">
        <v>730216</v>
      </c>
      <c r="O54" s="12">
        <v>730216</v>
      </c>
      <c r="P54" s="1">
        <f t="shared" si="4"/>
        <v>0</v>
      </c>
      <c r="Q54" s="1">
        <f t="shared" si="5"/>
        <v>0</v>
      </c>
      <c r="R54" s="12">
        <v>201715</v>
      </c>
      <c r="S54" s="12">
        <v>201715</v>
      </c>
      <c r="T54" s="1">
        <f t="shared" si="6"/>
        <v>0</v>
      </c>
      <c r="U54" s="1">
        <f t="shared" si="7"/>
        <v>0</v>
      </c>
    </row>
    <row r="55" spans="1:21" x14ac:dyDescent="0.25">
      <c r="A55" s="10">
        <v>138</v>
      </c>
      <c r="B55" s="10">
        <v>1</v>
      </c>
      <c r="C55" s="11" t="s">
        <v>47</v>
      </c>
      <c r="D55" s="12">
        <v>3385</v>
      </c>
      <c r="E55" s="12">
        <v>3310</v>
      </c>
      <c r="F55" s="12">
        <v>0</v>
      </c>
      <c r="G55" s="13">
        <v>0</v>
      </c>
      <c r="H55" s="1">
        <f t="shared" si="0"/>
        <v>0</v>
      </c>
      <c r="I55" s="1">
        <f t="shared" si="1"/>
        <v>0</v>
      </c>
      <c r="J55" s="12">
        <v>0</v>
      </c>
      <c r="K55" s="13">
        <v>0</v>
      </c>
      <c r="L55" s="1">
        <f t="shared" si="2"/>
        <v>0</v>
      </c>
      <c r="M55" s="1">
        <f t="shared" si="3"/>
        <v>0</v>
      </c>
      <c r="N55" s="12">
        <v>0</v>
      </c>
      <c r="O55" s="12">
        <v>0</v>
      </c>
      <c r="P55" s="1">
        <f t="shared" si="4"/>
        <v>0</v>
      </c>
      <c r="Q55" s="1">
        <f t="shared" si="5"/>
        <v>0</v>
      </c>
      <c r="R55" s="12">
        <v>328937</v>
      </c>
      <c r="S55" s="12">
        <v>328937</v>
      </c>
      <c r="T55" s="1">
        <f t="shared" si="6"/>
        <v>0</v>
      </c>
      <c r="U55" s="1">
        <f t="shared" si="7"/>
        <v>0</v>
      </c>
    </row>
    <row r="56" spans="1:21" x14ac:dyDescent="0.25">
      <c r="A56" s="10">
        <v>139</v>
      </c>
      <c r="B56" s="10">
        <v>1</v>
      </c>
      <c r="C56" s="11" t="s">
        <v>48</v>
      </c>
      <c r="D56" s="12">
        <v>845</v>
      </c>
      <c r="E56" s="12">
        <v>832</v>
      </c>
      <c r="F56" s="12">
        <v>0</v>
      </c>
      <c r="G56" s="13">
        <v>0</v>
      </c>
      <c r="H56" s="1">
        <f t="shared" si="0"/>
        <v>0</v>
      </c>
      <c r="I56" s="1">
        <f t="shared" si="1"/>
        <v>0</v>
      </c>
      <c r="J56" s="12">
        <v>0</v>
      </c>
      <c r="K56" s="13">
        <v>0</v>
      </c>
      <c r="L56" s="1">
        <f t="shared" si="2"/>
        <v>0</v>
      </c>
      <c r="M56" s="1">
        <f t="shared" si="3"/>
        <v>0</v>
      </c>
      <c r="N56" s="12">
        <v>0</v>
      </c>
      <c r="O56" s="12">
        <v>0</v>
      </c>
      <c r="P56" s="1">
        <f t="shared" si="4"/>
        <v>0</v>
      </c>
      <c r="Q56" s="1">
        <f t="shared" si="5"/>
        <v>0</v>
      </c>
      <c r="R56" s="12">
        <v>151639.17588220909</v>
      </c>
      <c r="S56" s="12">
        <v>151639.17588220909</v>
      </c>
      <c r="T56" s="1">
        <f t="shared" si="6"/>
        <v>0</v>
      </c>
      <c r="U56" s="1">
        <f t="shared" si="7"/>
        <v>0</v>
      </c>
    </row>
    <row r="57" spans="1:21" x14ac:dyDescent="0.25">
      <c r="A57" s="10">
        <v>146</v>
      </c>
      <c r="B57" s="10">
        <v>1</v>
      </c>
      <c r="C57" s="11" t="s">
        <v>49</v>
      </c>
      <c r="D57" s="12">
        <v>805</v>
      </c>
      <c r="E57" s="12">
        <v>805</v>
      </c>
      <c r="F57" s="12">
        <v>81338.81</v>
      </c>
      <c r="G57" s="13">
        <v>47198</v>
      </c>
      <c r="H57" s="1">
        <f t="shared" si="0"/>
        <v>-34140.81</v>
      </c>
      <c r="I57" s="1">
        <f t="shared" si="1"/>
        <v>-42.410944099378881</v>
      </c>
      <c r="J57" s="12">
        <v>81653.45</v>
      </c>
      <c r="K57" s="13">
        <v>47198</v>
      </c>
      <c r="L57" s="1">
        <f t="shared" si="2"/>
        <v>-34455.449999999997</v>
      </c>
      <c r="M57" s="1">
        <f t="shared" si="3"/>
        <v>-42.801801242236024</v>
      </c>
      <c r="N57" s="12">
        <v>915648</v>
      </c>
      <c r="O57" s="12">
        <v>915648</v>
      </c>
      <c r="P57" s="1">
        <f t="shared" si="4"/>
        <v>0</v>
      </c>
      <c r="Q57" s="1">
        <f t="shared" si="5"/>
        <v>0</v>
      </c>
      <c r="R57" s="12">
        <v>86172</v>
      </c>
      <c r="S57" s="12">
        <v>86172</v>
      </c>
      <c r="T57" s="1">
        <f t="shared" si="6"/>
        <v>0</v>
      </c>
      <c r="U57" s="1">
        <f t="shared" si="7"/>
        <v>0</v>
      </c>
    </row>
    <row r="58" spans="1:21" x14ac:dyDescent="0.25">
      <c r="A58" s="10">
        <v>150</v>
      </c>
      <c r="B58" s="10">
        <v>1</v>
      </c>
      <c r="C58" s="11" t="s">
        <v>50</v>
      </c>
      <c r="D58" s="12">
        <v>875</v>
      </c>
      <c r="E58" s="12">
        <v>874</v>
      </c>
      <c r="F58" s="12">
        <v>87730.371999999988</v>
      </c>
      <c r="G58" s="13">
        <v>55256.75</v>
      </c>
      <c r="H58" s="1">
        <f t="shared" si="0"/>
        <v>-32473.621999999988</v>
      </c>
      <c r="I58" s="1">
        <f t="shared" si="1"/>
        <v>-37.112710857142844</v>
      </c>
      <c r="J58" s="12">
        <v>87679.680000000008</v>
      </c>
      <c r="K58" s="13">
        <v>55257</v>
      </c>
      <c r="L58" s="1">
        <f t="shared" si="2"/>
        <v>-32422.680000000008</v>
      </c>
      <c r="M58" s="1">
        <f t="shared" si="3"/>
        <v>-37.096887871853554</v>
      </c>
      <c r="N58" s="12">
        <v>440055</v>
      </c>
      <c r="O58" s="12">
        <v>440055</v>
      </c>
      <c r="P58" s="1">
        <f t="shared" si="4"/>
        <v>0</v>
      </c>
      <c r="Q58" s="1">
        <f t="shared" si="5"/>
        <v>0</v>
      </c>
      <c r="R58" s="12">
        <v>115695</v>
      </c>
      <c r="S58" s="12">
        <v>115695</v>
      </c>
      <c r="T58" s="1">
        <f t="shared" si="6"/>
        <v>0</v>
      </c>
      <c r="U58" s="1">
        <f t="shared" si="7"/>
        <v>0</v>
      </c>
    </row>
    <row r="59" spans="1:21" x14ac:dyDescent="0.25">
      <c r="A59" s="10">
        <v>152</v>
      </c>
      <c r="B59" s="10">
        <v>1</v>
      </c>
      <c r="C59" s="11" t="s">
        <v>51</v>
      </c>
      <c r="D59" s="12">
        <v>5352</v>
      </c>
      <c r="E59" s="12">
        <v>5317</v>
      </c>
      <c r="F59" s="12">
        <v>0</v>
      </c>
      <c r="G59" s="13">
        <v>0</v>
      </c>
      <c r="H59" s="1">
        <f t="shared" si="0"/>
        <v>0</v>
      </c>
      <c r="I59" s="1">
        <f t="shared" si="1"/>
        <v>0</v>
      </c>
      <c r="J59" s="12">
        <v>0</v>
      </c>
      <c r="K59" s="13">
        <v>0</v>
      </c>
      <c r="L59" s="1">
        <f t="shared" si="2"/>
        <v>0</v>
      </c>
      <c r="M59" s="1">
        <f t="shared" si="3"/>
        <v>0</v>
      </c>
      <c r="N59" s="12">
        <v>5240072</v>
      </c>
      <c r="O59" s="12">
        <v>5240072</v>
      </c>
      <c r="P59" s="1">
        <f t="shared" si="4"/>
        <v>0</v>
      </c>
      <c r="Q59" s="1">
        <f t="shared" si="5"/>
        <v>0</v>
      </c>
      <c r="R59" s="12">
        <v>602863</v>
      </c>
      <c r="S59" s="12">
        <v>602863</v>
      </c>
      <c r="T59" s="1">
        <f t="shared" si="6"/>
        <v>0</v>
      </c>
      <c r="U59" s="1">
        <f t="shared" si="7"/>
        <v>0</v>
      </c>
    </row>
    <row r="60" spans="1:21" x14ac:dyDescent="0.25">
      <c r="A60" s="10">
        <v>162</v>
      </c>
      <c r="B60" s="10">
        <v>1</v>
      </c>
      <c r="C60" s="11" t="s">
        <v>52</v>
      </c>
      <c r="D60" s="12">
        <v>955</v>
      </c>
      <c r="E60" s="12">
        <v>955</v>
      </c>
      <c r="F60" s="12">
        <v>0</v>
      </c>
      <c r="G60" s="13">
        <v>0</v>
      </c>
      <c r="H60" s="1">
        <f t="shared" si="0"/>
        <v>0</v>
      </c>
      <c r="I60" s="1">
        <f t="shared" si="1"/>
        <v>0</v>
      </c>
      <c r="J60" s="12">
        <v>0</v>
      </c>
      <c r="K60" s="13">
        <v>0</v>
      </c>
      <c r="L60" s="1">
        <f t="shared" si="2"/>
        <v>0</v>
      </c>
      <c r="M60" s="1">
        <f t="shared" si="3"/>
        <v>0</v>
      </c>
      <c r="N60" s="12">
        <v>0</v>
      </c>
      <c r="O60" s="12">
        <v>0</v>
      </c>
      <c r="P60" s="1">
        <f t="shared" si="4"/>
        <v>0</v>
      </c>
      <c r="Q60" s="1">
        <f t="shared" si="5"/>
        <v>0</v>
      </c>
      <c r="R60" s="12">
        <v>164928</v>
      </c>
      <c r="S60" s="12">
        <v>164928</v>
      </c>
      <c r="T60" s="1">
        <f t="shared" si="6"/>
        <v>0</v>
      </c>
      <c r="U60" s="1">
        <f t="shared" si="7"/>
        <v>0</v>
      </c>
    </row>
    <row r="61" spans="1:21" x14ac:dyDescent="0.25">
      <c r="A61" s="10">
        <v>166</v>
      </c>
      <c r="B61" s="10">
        <v>1</v>
      </c>
      <c r="C61" s="11" t="s">
        <v>53</v>
      </c>
      <c r="D61" s="12">
        <v>450</v>
      </c>
      <c r="E61" s="12">
        <v>442</v>
      </c>
      <c r="F61" s="12">
        <v>0</v>
      </c>
      <c r="G61" s="13">
        <v>0</v>
      </c>
      <c r="H61" s="1">
        <f t="shared" si="0"/>
        <v>0</v>
      </c>
      <c r="I61" s="1">
        <f t="shared" si="1"/>
        <v>0</v>
      </c>
      <c r="J61" s="12">
        <v>0</v>
      </c>
      <c r="K61" s="13">
        <v>0</v>
      </c>
      <c r="L61" s="1">
        <f t="shared" si="2"/>
        <v>0</v>
      </c>
      <c r="M61" s="1">
        <f t="shared" si="3"/>
        <v>0</v>
      </c>
      <c r="N61" s="12">
        <v>457769</v>
      </c>
      <c r="O61" s="12">
        <v>457769</v>
      </c>
      <c r="P61" s="1">
        <f t="shared" si="4"/>
        <v>0</v>
      </c>
      <c r="Q61" s="1">
        <f t="shared" si="5"/>
        <v>0</v>
      </c>
      <c r="R61" s="12">
        <v>51098</v>
      </c>
      <c r="S61" s="12">
        <v>51098</v>
      </c>
      <c r="T61" s="1">
        <f t="shared" si="6"/>
        <v>0</v>
      </c>
      <c r="U61" s="1">
        <f t="shared" si="7"/>
        <v>0</v>
      </c>
    </row>
    <row r="62" spans="1:21" x14ac:dyDescent="0.25">
      <c r="A62" s="10">
        <v>173</v>
      </c>
      <c r="B62" s="10">
        <v>1</v>
      </c>
      <c r="C62" s="11" t="s">
        <v>54</v>
      </c>
      <c r="D62" s="12">
        <v>466</v>
      </c>
      <c r="E62" s="12">
        <v>465</v>
      </c>
      <c r="F62" s="12">
        <v>67096.125</v>
      </c>
      <c r="G62" s="13">
        <v>70000</v>
      </c>
      <c r="H62" s="1">
        <f t="shared" si="0"/>
        <v>2903.875</v>
      </c>
      <c r="I62" s="1">
        <f t="shared" si="1"/>
        <v>6.2314914163090132</v>
      </c>
      <c r="J62" s="12">
        <v>66205.186499999996</v>
      </c>
      <c r="K62" s="13">
        <v>69689.67</v>
      </c>
      <c r="L62" s="1">
        <f t="shared" si="2"/>
        <v>3484.4835000000021</v>
      </c>
      <c r="M62" s="1">
        <f t="shared" si="3"/>
        <v>7.4935129032258105</v>
      </c>
      <c r="N62" s="12">
        <v>844788</v>
      </c>
      <c r="O62" s="12">
        <v>844788</v>
      </c>
      <c r="P62" s="1">
        <f t="shared" si="4"/>
        <v>0</v>
      </c>
      <c r="Q62" s="1">
        <f t="shared" si="5"/>
        <v>0</v>
      </c>
      <c r="R62" s="12">
        <v>36616</v>
      </c>
      <c r="S62" s="12">
        <v>36616</v>
      </c>
      <c r="T62" s="1">
        <f t="shared" si="6"/>
        <v>0</v>
      </c>
      <c r="U62" s="1">
        <f t="shared" si="7"/>
        <v>0</v>
      </c>
    </row>
    <row r="63" spans="1:21" x14ac:dyDescent="0.25">
      <c r="A63" s="10">
        <v>177</v>
      </c>
      <c r="B63" s="10">
        <v>1</v>
      </c>
      <c r="C63" s="11" t="s">
        <v>55</v>
      </c>
      <c r="D63" s="12">
        <v>966</v>
      </c>
      <c r="E63" s="12">
        <v>983</v>
      </c>
      <c r="F63" s="12">
        <v>96214.29</v>
      </c>
      <c r="G63" s="13">
        <v>99600</v>
      </c>
      <c r="H63" s="1">
        <f t="shared" si="0"/>
        <v>3385.7100000000064</v>
      </c>
      <c r="I63" s="1">
        <f t="shared" si="1"/>
        <v>3.504875776397522</v>
      </c>
      <c r="J63" s="12">
        <v>98001.619999999981</v>
      </c>
      <c r="K63" s="13">
        <v>99600</v>
      </c>
      <c r="L63" s="1">
        <f t="shared" si="2"/>
        <v>1598.3800000000192</v>
      </c>
      <c r="M63" s="1">
        <f t="shared" si="3"/>
        <v>1.6260223804679748</v>
      </c>
      <c r="N63" s="12">
        <v>1373846</v>
      </c>
      <c r="O63" s="12">
        <v>1373846</v>
      </c>
      <c r="P63" s="1">
        <f t="shared" si="4"/>
        <v>0</v>
      </c>
      <c r="Q63" s="1">
        <f t="shared" si="5"/>
        <v>0</v>
      </c>
      <c r="R63" s="12">
        <v>91712</v>
      </c>
      <c r="S63" s="12">
        <v>91712</v>
      </c>
      <c r="T63" s="1">
        <f t="shared" si="6"/>
        <v>0</v>
      </c>
      <c r="U63" s="1">
        <f t="shared" si="7"/>
        <v>0</v>
      </c>
    </row>
    <row r="64" spans="1:21" x14ac:dyDescent="0.25">
      <c r="A64" s="10">
        <v>181</v>
      </c>
      <c r="B64" s="10">
        <v>1</v>
      </c>
      <c r="C64" s="11" t="s">
        <v>56</v>
      </c>
      <c r="D64" s="12">
        <v>6765</v>
      </c>
      <c r="E64" s="12">
        <v>6684</v>
      </c>
      <c r="F64" s="12">
        <v>0</v>
      </c>
      <c r="G64" s="13">
        <v>0</v>
      </c>
      <c r="H64" s="1">
        <f t="shared" si="0"/>
        <v>0</v>
      </c>
      <c r="I64" s="1">
        <f t="shared" si="1"/>
        <v>0</v>
      </c>
      <c r="J64" s="12">
        <v>0</v>
      </c>
      <c r="K64" s="13">
        <v>0</v>
      </c>
      <c r="L64" s="1">
        <f t="shared" si="2"/>
        <v>0</v>
      </c>
      <c r="M64" s="1">
        <f t="shared" si="3"/>
        <v>0</v>
      </c>
      <c r="N64" s="12">
        <v>1468349</v>
      </c>
      <c r="O64" s="12">
        <v>1468349</v>
      </c>
      <c r="P64" s="1">
        <f t="shared" si="4"/>
        <v>0</v>
      </c>
      <c r="Q64" s="1">
        <f t="shared" si="5"/>
        <v>0</v>
      </c>
      <c r="R64" s="12">
        <v>974109</v>
      </c>
      <c r="S64" s="12">
        <v>974109</v>
      </c>
      <c r="T64" s="1">
        <f t="shared" si="6"/>
        <v>0</v>
      </c>
      <c r="U64" s="1">
        <f t="shared" si="7"/>
        <v>0</v>
      </c>
    </row>
    <row r="65" spans="1:21" x14ac:dyDescent="0.25">
      <c r="A65" s="10">
        <v>182</v>
      </c>
      <c r="B65" s="10">
        <v>1</v>
      </c>
      <c r="C65" s="11" t="s">
        <v>57</v>
      </c>
      <c r="D65" s="12">
        <v>1169</v>
      </c>
      <c r="E65" s="12">
        <v>1158</v>
      </c>
      <c r="F65" s="12">
        <v>0</v>
      </c>
      <c r="G65" s="13">
        <v>0</v>
      </c>
      <c r="H65" s="1">
        <f t="shared" si="0"/>
        <v>0</v>
      </c>
      <c r="I65" s="1">
        <f t="shared" si="1"/>
        <v>0</v>
      </c>
      <c r="J65" s="12">
        <v>0</v>
      </c>
      <c r="K65" s="13">
        <v>0</v>
      </c>
      <c r="L65" s="1">
        <f t="shared" si="2"/>
        <v>0</v>
      </c>
      <c r="M65" s="1">
        <f t="shared" si="3"/>
        <v>0</v>
      </c>
      <c r="N65" s="12">
        <v>633671</v>
      </c>
      <c r="O65" s="12">
        <v>632106.48</v>
      </c>
      <c r="P65" s="1">
        <f t="shared" si="4"/>
        <v>-1564.5200000000186</v>
      </c>
      <c r="Q65" s="1">
        <f t="shared" si="5"/>
        <v>-1.3510535405872355</v>
      </c>
      <c r="R65" s="12">
        <v>152846</v>
      </c>
      <c r="S65" s="12">
        <v>152911.15</v>
      </c>
      <c r="T65" s="1">
        <f t="shared" si="6"/>
        <v>65.149999999994179</v>
      </c>
      <c r="U65" s="1">
        <f t="shared" si="7"/>
        <v>5.6260794473224678E-2</v>
      </c>
    </row>
    <row r="66" spans="1:21" x14ac:dyDescent="0.25">
      <c r="A66" s="10">
        <v>186</v>
      </c>
      <c r="B66" s="10">
        <v>1</v>
      </c>
      <c r="C66" s="11" t="s">
        <v>58</v>
      </c>
      <c r="D66" s="12">
        <v>1383</v>
      </c>
      <c r="E66" s="12">
        <v>1325</v>
      </c>
      <c r="F66" s="12">
        <v>0</v>
      </c>
      <c r="G66" s="13">
        <v>0</v>
      </c>
      <c r="H66" s="1">
        <f t="shared" si="0"/>
        <v>0</v>
      </c>
      <c r="I66" s="1">
        <f t="shared" si="1"/>
        <v>0</v>
      </c>
      <c r="J66" s="12">
        <v>0</v>
      </c>
      <c r="K66" s="13">
        <v>0</v>
      </c>
      <c r="L66" s="1">
        <f t="shared" si="2"/>
        <v>0</v>
      </c>
      <c r="M66" s="1">
        <f t="shared" si="3"/>
        <v>0</v>
      </c>
      <c r="N66" s="12">
        <v>1790</v>
      </c>
      <c r="O66" s="12">
        <v>1790</v>
      </c>
      <c r="P66" s="1">
        <f t="shared" si="4"/>
        <v>0</v>
      </c>
      <c r="Q66" s="1">
        <f t="shared" si="5"/>
        <v>0</v>
      </c>
      <c r="R66" s="12">
        <v>308833</v>
      </c>
      <c r="S66" s="12">
        <v>308833</v>
      </c>
      <c r="T66" s="1">
        <f t="shared" si="6"/>
        <v>0</v>
      </c>
      <c r="U66" s="1">
        <f t="shared" si="7"/>
        <v>0</v>
      </c>
    </row>
    <row r="67" spans="1:21" x14ac:dyDescent="0.25">
      <c r="A67" s="10">
        <v>191</v>
      </c>
      <c r="B67" s="10">
        <v>1</v>
      </c>
      <c r="C67" s="11" t="s">
        <v>59</v>
      </c>
      <c r="D67" s="12">
        <v>9478</v>
      </c>
      <c r="E67" s="12">
        <v>9326</v>
      </c>
      <c r="F67" s="12">
        <v>1339302.3810000001</v>
      </c>
      <c r="G67" s="13">
        <v>1409791.9800000002</v>
      </c>
      <c r="H67" s="1">
        <f t="shared" si="0"/>
        <v>70489.599000000162</v>
      </c>
      <c r="I67" s="1">
        <f t="shared" si="1"/>
        <v>7.4371807343321548</v>
      </c>
      <c r="J67" s="12">
        <v>1317827.9444999998</v>
      </c>
      <c r="K67" s="13">
        <v>1387187.3099999998</v>
      </c>
      <c r="L67" s="1">
        <f t="shared" si="2"/>
        <v>69359.365500000073</v>
      </c>
      <c r="M67" s="1">
        <f t="shared" si="3"/>
        <v>7.4372041067982062</v>
      </c>
      <c r="N67" s="12">
        <v>17112538</v>
      </c>
      <c r="O67" s="12">
        <v>17112538</v>
      </c>
      <c r="P67" s="1">
        <f t="shared" si="4"/>
        <v>0</v>
      </c>
      <c r="Q67" s="1">
        <f t="shared" si="5"/>
        <v>0</v>
      </c>
      <c r="R67" s="12">
        <v>778261.25</v>
      </c>
      <c r="S67" s="12">
        <v>778261.25</v>
      </c>
      <c r="T67" s="1">
        <f t="shared" si="6"/>
        <v>0</v>
      </c>
      <c r="U67" s="1">
        <f t="shared" si="7"/>
        <v>0</v>
      </c>
    </row>
    <row r="68" spans="1:21" x14ac:dyDescent="0.25">
      <c r="A68" s="10">
        <v>192</v>
      </c>
      <c r="B68" s="10">
        <v>1</v>
      </c>
      <c r="C68" s="11" t="s">
        <v>60</v>
      </c>
      <c r="D68" s="12">
        <v>6807</v>
      </c>
      <c r="E68" s="12">
        <v>6952</v>
      </c>
      <c r="F68" s="12">
        <v>0</v>
      </c>
      <c r="G68" s="13">
        <v>0</v>
      </c>
      <c r="H68" s="1">
        <f t="shared" si="0"/>
        <v>0</v>
      </c>
      <c r="I68" s="1">
        <f t="shared" si="1"/>
        <v>0</v>
      </c>
      <c r="J68" s="12">
        <v>0</v>
      </c>
      <c r="K68" s="13">
        <v>0</v>
      </c>
      <c r="L68" s="1">
        <f t="shared" si="2"/>
        <v>0</v>
      </c>
      <c r="M68" s="1">
        <f t="shared" si="3"/>
        <v>0</v>
      </c>
      <c r="N68" s="12">
        <v>5266471</v>
      </c>
      <c r="O68" s="12">
        <v>5266471</v>
      </c>
      <c r="P68" s="1">
        <f t="shared" si="4"/>
        <v>0</v>
      </c>
      <c r="Q68" s="1">
        <f t="shared" si="5"/>
        <v>0</v>
      </c>
      <c r="R68" s="12">
        <v>1055258</v>
      </c>
      <c r="S68" s="12">
        <v>1055258</v>
      </c>
      <c r="T68" s="1">
        <f t="shared" si="6"/>
        <v>0</v>
      </c>
      <c r="U68" s="1">
        <f t="shared" si="7"/>
        <v>0</v>
      </c>
    </row>
    <row r="69" spans="1:21" x14ac:dyDescent="0.25">
      <c r="A69" s="10">
        <v>194</v>
      </c>
      <c r="B69" s="10">
        <v>1</v>
      </c>
      <c r="C69" s="11" t="s">
        <v>61</v>
      </c>
      <c r="D69" s="12">
        <v>11051</v>
      </c>
      <c r="E69" s="12">
        <v>10931</v>
      </c>
      <c r="F69" s="12">
        <v>1125019.7920000001</v>
      </c>
      <c r="G69" s="13">
        <v>1182240</v>
      </c>
      <c r="H69" s="1">
        <f t="shared" si="0"/>
        <v>57220.207999999868</v>
      </c>
      <c r="I69" s="1">
        <f t="shared" si="1"/>
        <v>5.1778307845443727</v>
      </c>
      <c r="J69" s="12">
        <v>1112778.548</v>
      </c>
      <c r="K69" s="13">
        <v>1171345.8400000001</v>
      </c>
      <c r="L69" s="1">
        <f t="shared" si="2"/>
        <v>58567.292000000132</v>
      </c>
      <c r="M69" s="1">
        <f t="shared" si="3"/>
        <v>5.3579079681639499</v>
      </c>
      <c r="N69" s="12">
        <v>11058980</v>
      </c>
      <c r="O69" s="12">
        <v>11058980</v>
      </c>
      <c r="P69" s="1">
        <f t="shared" si="4"/>
        <v>0</v>
      </c>
      <c r="Q69" s="1">
        <f t="shared" si="5"/>
        <v>0</v>
      </c>
      <c r="R69" s="12">
        <v>1526041.25</v>
      </c>
      <c r="S69" s="12">
        <v>1526041.25</v>
      </c>
      <c r="T69" s="1">
        <f t="shared" si="6"/>
        <v>0</v>
      </c>
      <c r="U69" s="1">
        <f t="shared" si="7"/>
        <v>0</v>
      </c>
    </row>
    <row r="70" spans="1:21" x14ac:dyDescent="0.25">
      <c r="A70" s="10">
        <v>195</v>
      </c>
      <c r="B70" s="10">
        <v>1</v>
      </c>
      <c r="C70" s="11" t="s">
        <v>62</v>
      </c>
      <c r="D70" s="12">
        <v>564</v>
      </c>
      <c r="E70" s="12">
        <v>562</v>
      </c>
      <c r="F70" s="12">
        <v>0</v>
      </c>
      <c r="G70" s="13">
        <v>0</v>
      </c>
      <c r="H70" s="1">
        <f t="shared" si="0"/>
        <v>0</v>
      </c>
      <c r="I70" s="1">
        <f t="shared" si="1"/>
        <v>0</v>
      </c>
      <c r="J70" s="12">
        <v>0</v>
      </c>
      <c r="K70" s="13">
        <v>0</v>
      </c>
      <c r="L70" s="1">
        <f t="shared" si="2"/>
        <v>0</v>
      </c>
      <c r="M70" s="1">
        <f t="shared" si="3"/>
        <v>0</v>
      </c>
      <c r="N70" s="12">
        <v>257408</v>
      </c>
      <c r="O70" s="12">
        <v>257408</v>
      </c>
      <c r="P70" s="1">
        <f t="shared" si="4"/>
        <v>0</v>
      </c>
      <c r="Q70" s="1">
        <f t="shared" si="5"/>
        <v>0</v>
      </c>
      <c r="R70" s="12">
        <v>97426.5</v>
      </c>
      <c r="S70" s="12">
        <v>97426.5</v>
      </c>
      <c r="T70" s="1">
        <f t="shared" si="6"/>
        <v>0</v>
      </c>
      <c r="U70" s="1">
        <f t="shared" si="7"/>
        <v>0</v>
      </c>
    </row>
    <row r="71" spans="1:21" x14ac:dyDescent="0.25">
      <c r="A71" s="10">
        <v>196</v>
      </c>
      <c r="B71" s="10">
        <v>1</v>
      </c>
      <c r="C71" s="11" t="s">
        <v>63</v>
      </c>
      <c r="D71" s="12">
        <v>26981</v>
      </c>
      <c r="E71" s="12">
        <v>26936</v>
      </c>
      <c r="F71" s="12">
        <v>3838084.6259999992</v>
      </c>
      <c r="G71" s="13">
        <v>4040089.08</v>
      </c>
      <c r="H71" s="1">
        <f t="shared" si="0"/>
        <v>202004.45400000084</v>
      </c>
      <c r="I71" s="1">
        <f t="shared" si="1"/>
        <v>7.4869150142693321</v>
      </c>
      <c r="J71" s="12">
        <v>3827803.9065</v>
      </c>
      <c r="K71" s="13">
        <v>4029267.27</v>
      </c>
      <c r="L71" s="1">
        <f t="shared" si="2"/>
        <v>201463.36349999998</v>
      </c>
      <c r="M71" s="1">
        <f t="shared" si="3"/>
        <v>7.4793348492723482</v>
      </c>
      <c r="N71" s="12">
        <v>32697888</v>
      </c>
      <c r="O71" s="12">
        <v>32697888</v>
      </c>
      <c r="P71" s="1">
        <f t="shared" si="4"/>
        <v>0</v>
      </c>
      <c r="Q71" s="1">
        <f t="shared" si="5"/>
        <v>0</v>
      </c>
      <c r="R71" s="12">
        <v>3365731.25</v>
      </c>
      <c r="S71" s="12">
        <v>3365731.25</v>
      </c>
      <c r="T71" s="1">
        <f t="shared" si="6"/>
        <v>0</v>
      </c>
      <c r="U71" s="1">
        <f t="shared" si="7"/>
        <v>0</v>
      </c>
    </row>
    <row r="72" spans="1:21" x14ac:dyDescent="0.25">
      <c r="A72" s="10">
        <v>197</v>
      </c>
      <c r="B72" s="10">
        <v>1</v>
      </c>
      <c r="C72" s="11" t="s">
        <v>64</v>
      </c>
      <c r="D72" s="12">
        <v>4261</v>
      </c>
      <c r="E72" s="12">
        <v>4143</v>
      </c>
      <c r="F72" s="12">
        <v>673756.96849999996</v>
      </c>
      <c r="G72" s="13">
        <v>744202.23</v>
      </c>
      <c r="H72" s="1">
        <f t="shared" si="0"/>
        <v>70445.261500000022</v>
      </c>
      <c r="I72" s="1">
        <f t="shared" si="1"/>
        <v>16.532565477587426</v>
      </c>
      <c r="J72" s="12">
        <v>655934.52199999988</v>
      </c>
      <c r="K72" s="13">
        <v>725441.75999999989</v>
      </c>
      <c r="L72" s="1">
        <f t="shared" si="2"/>
        <v>69507.238000000012</v>
      </c>
      <c r="M72" s="1">
        <f t="shared" si="3"/>
        <v>16.777030654115379</v>
      </c>
      <c r="N72" s="12">
        <v>5810452</v>
      </c>
      <c r="O72" s="12">
        <v>5810452</v>
      </c>
      <c r="P72" s="1">
        <f t="shared" si="4"/>
        <v>0</v>
      </c>
      <c r="Q72" s="1">
        <f t="shared" si="5"/>
        <v>0</v>
      </c>
      <c r="R72" s="12">
        <v>469434.75</v>
      </c>
      <c r="S72" s="12">
        <v>469434.75</v>
      </c>
      <c r="T72" s="1">
        <f t="shared" si="6"/>
        <v>0</v>
      </c>
      <c r="U72" s="1">
        <f t="shared" si="7"/>
        <v>0</v>
      </c>
    </row>
    <row r="73" spans="1:21" x14ac:dyDescent="0.25">
      <c r="A73" s="10">
        <v>199</v>
      </c>
      <c r="B73" s="10">
        <v>1</v>
      </c>
      <c r="C73" s="11" t="s">
        <v>65</v>
      </c>
      <c r="D73" s="12">
        <v>3794</v>
      </c>
      <c r="E73" s="12">
        <v>3701</v>
      </c>
      <c r="F73" s="12">
        <v>393511.5</v>
      </c>
      <c r="G73" s="13">
        <v>404616</v>
      </c>
      <c r="H73" s="1">
        <f t="shared" si="0"/>
        <v>11104.5</v>
      </c>
      <c r="I73" s="1">
        <f t="shared" si="1"/>
        <v>2.9268581971534</v>
      </c>
      <c r="J73" s="12">
        <v>384151.83399999997</v>
      </c>
      <c r="K73" s="13">
        <v>410768.72</v>
      </c>
      <c r="L73" s="1">
        <f t="shared" si="2"/>
        <v>26616.885999999999</v>
      </c>
      <c r="M73" s="1">
        <f t="shared" si="3"/>
        <v>7.1918092407457443</v>
      </c>
      <c r="N73" s="12">
        <v>3708254</v>
      </c>
      <c r="O73" s="12">
        <v>3708254</v>
      </c>
      <c r="P73" s="1">
        <f t="shared" si="4"/>
        <v>0</v>
      </c>
      <c r="Q73" s="1">
        <f t="shared" si="5"/>
        <v>0</v>
      </c>
      <c r="R73" s="12">
        <v>517888.25</v>
      </c>
      <c r="S73" s="12">
        <v>517888.25</v>
      </c>
      <c r="T73" s="1">
        <f t="shared" si="6"/>
        <v>0</v>
      </c>
      <c r="U73" s="1">
        <f t="shared" si="7"/>
        <v>0</v>
      </c>
    </row>
    <row r="74" spans="1:21" x14ac:dyDescent="0.25">
      <c r="A74" s="10">
        <v>200</v>
      </c>
      <c r="B74" s="10">
        <v>1</v>
      </c>
      <c r="C74" s="11" t="s">
        <v>66</v>
      </c>
      <c r="D74" s="12">
        <v>4587</v>
      </c>
      <c r="E74" s="12">
        <v>4494</v>
      </c>
      <c r="F74" s="12">
        <v>0</v>
      </c>
      <c r="G74" s="13">
        <v>0</v>
      </c>
      <c r="H74" s="1">
        <f t="shared" si="0"/>
        <v>0</v>
      </c>
      <c r="I74" s="1">
        <f t="shared" si="1"/>
        <v>0</v>
      </c>
      <c r="J74" s="12">
        <v>0</v>
      </c>
      <c r="K74" s="13">
        <v>0</v>
      </c>
      <c r="L74" s="1">
        <f t="shared" si="2"/>
        <v>0</v>
      </c>
      <c r="M74" s="1">
        <f t="shared" si="3"/>
        <v>0</v>
      </c>
      <c r="N74" s="12">
        <v>7476357</v>
      </c>
      <c r="O74" s="12">
        <v>7476357</v>
      </c>
      <c r="P74" s="1">
        <f t="shared" si="4"/>
        <v>0</v>
      </c>
      <c r="Q74" s="1">
        <f t="shared" si="5"/>
        <v>0</v>
      </c>
      <c r="R74" s="12">
        <v>436648</v>
      </c>
      <c r="S74" s="12">
        <v>436648</v>
      </c>
      <c r="T74" s="1">
        <f t="shared" si="6"/>
        <v>0</v>
      </c>
      <c r="U74" s="1">
        <f t="shared" si="7"/>
        <v>0</v>
      </c>
    </row>
    <row r="75" spans="1:21" x14ac:dyDescent="0.25">
      <c r="A75" s="10">
        <v>203</v>
      </c>
      <c r="B75" s="10">
        <v>1</v>
      </c>
      <c r="C75" s="11" t="s">
        <v>67</v>
      </c>
      <c r="D75" s="12">
        <v>788</v>
      </c>
      <c r="E75" s="12">
        <v>766</v>
      </c>
      <c r="F75" s="12">
        <v>79594.306000000011</v>
      </c>
      <c r="G75" s="13">
        <v>39997</v>
      </c>
      <c r="H75" s="1">
        <f t="shared" si="0"/>
        <v>-39597.306000000011</v>
      </c>
      <c r="I75" s="1">
        <f t="shared" si="1"/>
        <v>-50.250388324873114</v>
      </c>
      <c r="J75" s="12">
        <v>77585.854000000007</v>
      </c>
      <c r="K75" s="13">
        <v>25000</v>
      </c>
      <c r="L75" s="1">
        <f t="shared" si="2"/>
        <v>-52585.854000000007</v>
      </c>
      <c r="M75" s="1">
        <f t="shared" si="3"/>
        <v>-68.64993994778068</v>
      </c>
      <c r="N75" s="12">
        <v>548994</v>
      </c>
      <c r="O75" s="12">
        <v>548994</v>
      </c>
      <c r="P75" s="1">
        <f t="shared" si="4"/>
        <v>0</v>
      </c>
      <c r="Q75" s="1">
        <f t="shared" si="5"/>
        <v>0</v>
      </c>
      <c r="R75" s="12">
        <v>96268</v>
      </c>
      <c r="S75" s="12">
        <v>96268</v>
      </c>
      <c r="T75" s="1">
        <f t="shared" si="6"/>
        <v>0</v>
      </c>
      <c r="U75" s="1">
        <f t="shared" si="7"/>
        <v>0</v>
      </c>
    </row>
    <row r="76" spans="1:21" x14ac:dyDescent="0.25">
      <c r="A76" s="10">
        <v>204</v>
      </c>
      <c r="B76" s="10">
        <v>1</v>
      </c>
      <c r="C76" s="11" t="s">
        <v>68</v>
      </c>
      <c r="D76" s="12">
        <v>2126</v>
      </c>
      <c r="E76" s="12">
        <v>2100</v>
      </c>
      <c r="F76" s="12">
        <v>0</v>
      </c>
      <c r="G76" s="13">
        <v>0</v>
      </c>
      <c r="H76" s="1">
        <f t="shared" si="0"/>
        <v>0</v>
      </c>
      <c r="I76" s="1">
        <f t="shared" si="1"/>
        <v>0</v>
      </c>
      <c r="J76" s="12">
        <v>0</v>
      </c>
      <c r="K76" s="13">
        <v>0</v>
      </c>
      <c r="L76" s="1">
        <f t="shared" si="2"/>
        <v>0</v>
      </c>
      <c r="M76" s="1">
        <f t="shared" si="3"/>
        <v>0</v>
      </c>
      <c r="N76" s="12">
        <v>857637</v>
      </c>
      <c r="O76" s="12">
        <v>857637</v>
      </c>
      <c r="P76" s="1">
        <f t="shared" si="4"/>
        <v>0</v>
      </c>
      <c r="Q76" s="1">
        <f t="shared" si="5"/>
        <v>0</v>
      </c>
      <c r="R76" s="12">
        <v>291021</v>
      </c>
      <c r="S76" s="12">
        <v>291021</v>
      </c>
      <c r="T76" s="1">
        <f t="shared" si="6"/>
        <v>0</v>
      </c>
      <c r="U76" s="1">
        <f t="shared" si="7"/>
        <v>0</v>
      </c>
    </row>
    <row r="77" spans="1:21" x14ac:dyDescent="0.25">
      <c r="A77" s="10">
        <v>206</v>
      </c>
      <c r="B77" s="10">
        <v>1</v>
      </c>
      <c r="C77" s="11" t="s">
        <v>69</v>
      </c>
      <c r="D77" s="12">
        <v>3818</v>
      </c>
      <c r="E77" s="12">
        <v>3759</v>
      </c>
      <c r="F77" s="12">
        <v>0</v>
      </c>
      <c r="G77" s="13">
        <v>0</v>
      </c>
      <c r="H77" s="1">
        <f t="shared" ref="H77:H140" si="8">G77-F77</f>
        <v>0</v>
      </c>
      <c r="I77" s="1">
        <f t="shared" ref="I77:I140" si="9">IF(D77=0,0,H77/D77)</f>
        <v>0</v>
      </c>
      <c r="J77" s="12">
        <v>0</v>
      </c>
      <c r="K77" s="13">
        <v>0</v>
      </c>
      <c r="L77" s="1">
        <f t="shared" ref="L77:L140" si="10">K77-J77</f>
        <v>0</v>
      </c>
      <c r="M77" s="1">
        <f t="shared" ref="M77:M140" si="11">IF(E77=0,0,L77/E77)</f>
        <v>0</v>
      </c>
      <c r="N77" s="12">
        <v>1733749</v>
      </c>
      <c r="O77" s="12">
        <v>1733749</v>
      </c>
      <c r="P77" s="1">
        <f t="shared" ref="P77:P140" si="12">O77-N77</f>
        <v>0</v>
      </c>
      <c r="Q77" s="1">
        <f t="shared" ref="Q77:Q140" si="13">IF(E77=0,0,P77/E77)</f>
        <v>0</v>
      </c>
      <c r="R77" s="12">
        <v>512400</v>
      </c>
      <c r="S77" s="12">
        <v>512400</v>
      </c>
      <c r="T77" s="1">
        <f t="shared" ref="T77:T140" si="14">S77-R77</f>
        <v>0</v>
      </c>
      <c r="U77" s="1">
        <f t="shared" ref="U77:U140" si="15">IF(E77=0,0,T77/E77)</f>
        <v>0</v>
      </c>
    </row>
    <row r="78" spans="1:21" x14ac:dyDescent="0.25">
      <c r="A78" s="10">
        <v>207</v>
      </c>
      <c r="B78" s="10">
        <v>1</v>
      </c>
      <c r="C78" s="11" t="s">
        <v>70</v>
      </c>
      <c r="D78" s="12">
        <v>278</v>
      </c>
      <c r="E78" s="12">
        <v>284</v>
      </c>
      <c r="F78" s="12">
        <v>0</v>
      </c>
      <c r="G78" s="13">
        <v>0</v>
      </c>
      <c r="H78" s="1">
        <f t="shared" si="8"/>
        <v>0</v>
      </c>
      <c r="I78" s="1">
        <f t="shared" si="9"/>
        <v>0</v>
      </c>
      <c r="J78" s="12">
        <v>0</v>
      </c>
      <c r="K78" s="13">
        <v>0</v>
      </c>
      <c r="L78" s="1">
        <f t="shared" si="10"/>
        <v>0</v>
      </c>
      <c r="M78" s="1">
        <f t="shared" si="11"/>
        <v>0</v>
      </c>
      <c r="N78" s="12">
        <v>232087</v>
      </c>
      <c r="O78" s="12">
        <v>231756</v>
      </c>
      <c r="P78" s="1">
        <f t="shared" si="12"/>
        <v>-331</v>
      </c>
      <c r="Q78" s="1">
        <f t="shared" si="13"/>
        <v>-1.1654929577464788</v>
      </c>
      <c r="R78" s="12">
        <v>33530</v>
      </c>
      <c r="S78" s="12">
        <v>33543.589999999997</v>
      </c>
      <c r="T78" s="1">
        <f t="shared" si="14"/>
        <v>13.589999999996508</v>
      </c>
      <c r="U78" s="1">
        <f t="shared" si="15"/>
        <v>4.7852112676044042E-2</v>
      </c>
    </row>
    <row r="79" spans="1:21" x14ac:dyDescent="0.25">
      <c r="A79" s="10">
        <v>208</v>
      </c>
      <c r="B79" s="10">
        <v>1</v>
      </c>
      <c r="C79" s="11" t="s">
        <v>71</v>
      </c>
      <c r="D79" s="12">
        <v>140</v>
      </c>
      <c r="E79" s="12">
        <v>136</v>
      </c>
      <c r="F79" s="12">
        <v>0</v>
      </c>
      <c r="G79" s="13">
        <v>0</v>
      </c>
      <c r="H79" s="1">
        <f t="shared" si="8"/>
        <v>0</v>
      </c>
      <c r="I79" s="1">
        <f t="shared" si="9"/>
        <v>0</v>
      </c>
      <c r="J79" s="12">
        <v>0</v>
      </c>
      <c r="K79" s="13">
        <v>0</v>
      </c>
      <c r="L79" s="1">
        <f t="shared" si="10"/>
        <v>0</v>
      </c>
      <c r="M79" s="1">
        <f t="shared" si="11"/>
        <v>0</v>
      </c>
      <c r="N79" s="12">
        <v>341861</v>
      </c>
      <c r="O79" s="12">
        <v>341861</v>
      </c>
      <c r="P79" s="1">
        <f t="shared" si="12"/>
        <v>0</v>
      </c>
      <c r="Q79" s="1">
        <f t="shared" si="13"/>
        <v>0</v>
      </c>
      <c r="R79" s="12">
        <v>7270</v>
      </c>
      <c r="S79" s="12">
        <v>7270</v>
      </c>
      <c r="T79" s="1">
        <f t="shared" si="14"/>
        <v>0</v>
      </c>
      <c r="U79" s="1">
        <f t="shared" si="15"/>
        <v>0</v>
      </c>
    </row>
    <row r="80" spans="1:21" x14ac:dyDescent="0.25">
      <c r="A80" s="10">
        <v>213</v>
      </c>
      <c r="B80" s="10">
        <v>1</v>
      </c>
      <c r="C80" s="11" t="s">
        <v>72</v>
      </c>
      <c r="D80" s="12">
        <v>822</v>
      </c>
      <c r="E80" s="12">
        <v>798</v>
      </c>
      <c r="F80" s="12">
        <v>84009.754000000001</v>
      </c>
      <c r="G80" s="13">
        <v>84010</v>
      </c>
      <c r="H80" s="1">
        <f t="shared" si="8"/>
        <v>0.24599999999918509</v>
      </c>
      <c r="I80" s="1">
        <f t="shared" si="9"/>
        <v>2.9927007299170938E-4</v>
      </c>
      <c r="J80" s="12">
        <v>81698.02399999999</v>
      </c>
      <c r="K80" s="13">
        <v>83107</v>
      </c>
      <c r="L80" s="1">
        <f t="shared" si="10"/>
        <v>1408.9760000000097</v>
      </c>
      <c r="M80" s="1">
        <f t="shared" si="11"/>
        <v>1.7656340852130448</v>
      </c>
      <c r="N80" s="12">
        <v>0</v>
      </c>
      <c r="O80" s="12">
        <v>0</v>
      </c>
      <c r="P80" s="1">
        <f t="shared" si="12"/>
        <v>0</v>
      </c>
      <c r="Q80" s="1">
        <f t="shared" si="13"/>
        <v>0</v>
      </c>
      <c r="R80" s="12">
        <v>125385.28881271013</v>
      </c>
      <c r="S80" s="12">
        <v>125385.28881271013</v>
      </c>
      <c r="T80" s="1">
        <f t="shared" si="14"/>
        <v>0</v>
      </c>
      <c r="U80" s="1">
        <f t="shared" si="15"/>
        <v>0</v>
      </c>
    </row>
    <row r="81" spans="1:21" x14ac:dyDescent="0.25">
      <c r="A81" s="10">
        <v>227</v>
      </c>
      <c r="B81" s="10">
        <v>1</v>
      </c>
      <c r="C81" s="11" t="s">
        <v>73</v>
      </c>
      <c r="D81" s="12">
        <v>897</v>
      </c>
      <c r="E81" s="12">
        <v>911</v>
      </c>
      <c r="F81" s="12">
        <v>89304.445999999996</v>
      </c>
      <c r="G81" s="13">
        <v>18700</v>
      </c>
      <c r="H81" s="1">
        <f t="shared" si="8"/>
        <v>-70604.445999999996</v>
      </c>
      <c r="I81" s="1">
        <f t="shared" si="9"/>
        <v>-78.711756967670013</v>
      </c>
      <c r="J81" s="12">
        <v>90385.584000000003</v>
      </c>
      <c r="K81" s="13">
        <v>18700</v>
      </c>
      <c r="L81" s="1">
        <f t="shared" si="10"/>
        <v>-71685.584000000003</v>
      </c>
      <c r="M81" s="1">
        <f t="shared" si="11"/>
        <v>-78.688895718990125</v>
      </c>
      <c r="N81" s="12">
        <v>353032</v>
      </c>
      <c r="O81" s="12">
        <v>353032</v>
      </c>
      <c r="P81" s="1">
        <f t="shared" si="12"/>
        <v>0</v>
      </c>
      <c r="Q81" s="1">
        <f t="shared" si="13"/>
        <v>0</v>
      </c>
      <c r="R81" s="12">
        <v>123534</v>
      </c>
      <c r="S81" s="12">
        <v>123534</v>
      </c>
      <c r="T81" s="1">
        <f t="shared" si="14"/>
        <v>0</v>
      </c>
      <c r="U81" s="1">
        <f t="shared" si="15"/>
        <v>0</v>
      </c>
    </row>
    <row r="82" spans="1:21" x14ac:dyDescent="0.25">
      <c r="A82" s="10">
        <v>229</v>
      </c>
      <c r="B82" s="10">
        <v>1</v>
      </c>
      <c r="C82" s="11" t="s">
        <v>74</v>
      </c>
      <c r="D82" s="12">
        <v>316</v>
      </c>
      <c r="E82" s="12">
        <v>307</v>
      </c>
      <c r="F82" s="12">
        <v>0</v>
      </c>
      <c r="G82" s="13">
        <v>0</v>
      </c>
      <c r="H82" s="1">
        <f t="shared" si="8"/>
        <v>0</v>
      </c>
      <c r="I82" s="1">
        <f t="shared" si="9"/>
        <v>0</v>
      </c>
      <c r="J82" s="12">
        <v>0</v>
      </c>
      <c r="K82" s="13">
        <v>0</v>
      </c>
      <c r="L82" s="1">
        <f t="shared" si="10"/>
        <v>0</v>
      </c>
      <c r="M82" s="1">
        <f t="shared" si="11"/>
        <v>0</v>
      </c>
      <c r="N82" s="12">
        <v>75679</v>
      </c>
      <c r="O82" s="12">
        <v>0</v>
      </c>
      <c r="P82" s="1">
        <f t="shared" si="12"/>
        <v>-75679</v>
      </c>
      <c r="Q82" s="1">
        <f t="shared" si="13"/>
        <v>-246.51140065146581</v>
      </c>
      <c r="R82" s="12">
        <v>44622</v>
      </c>
      <c r="S82" s="12">
        <v>43426.600000000006</v>
      </c>
      <c r="T82" s="1">
        <f t="shared" si="14"/>
        <v>-1195.3999999999942</v>
      </c>
      <c r="U82" s="1">
        <f t="shared" si="15"/>
        <v>-3.8938110749185477</v>
      </c>
    </row>
    <row r="83" spans="1:21" x14ac:dyDescent="0.25">
      <c r="A83" s="10">
        <v>238</v>
      </c>
      <c r="B83" s="10">
        <v>1</v>
      </c>
      <c r="C83" s="11" t="s">
        <v>75</v>
      </c>
      <c r="D83" s="12">
        <v>261</v>
      </c>
      <c r="E83" s="12">
        <v>261</v>
      </c>
      <c r="F83" s="12">
        <v>0</v>
      </c>
      <c r="G83" s="13">
        <v>0</v>
      </c>
      <c r="H83" s="1">
        <f t="shared" si="8"/>
        <v>0</v>
      </c>
      <c r="I83" s="1">
        <f t="shared" si="9"/>
        <v>0</v>
      </c>
      <c r="J83" s="12">
        <v>0</v>
      </c>
      <c r="K83" s="13">
        <v>0</v>
      </c>
      <c r="L83" s="1">
        <f t="shared" si="10"/>
        <v>0</v>
      </c>
      <c r="M83" s="1">
        <f t="shared" si="11"/>
        <v>0</v>
      </c>
      <c r="N83" s="12">
        <v>392430</v>
      </c>
      <c r="O83" s="12">
        <v>392430</v>
      </c>
      <c r="P83" s="1">
        <f t="shared" si="12"/>
        <v>0</v>
      </c>
      <c r="Q83" s="1">
        <f t="shared" si="13"/>
        <v>0</v>
      </c>
      <c r="R83" s="12">
        <v>23608</v>
      </c>
      <c r="S83" s="12">
        <v>23608</v>
      </c>
      <c r="T83" s="1">
        <f t="shared" si="14"/>
        <v>0</v>
      </c>
      <c r="U83" s="1">
        <f t="shared" si="15"/>
        <v>0</v>
      </c>
    </row>
    <row r="84" spans="1:21" x14ac:dyDescent="0.25">
      <c r="A84" s="10">
        <v>239</v>
      </c>
      <c r="B84" s="10">
        <v>1</v>
      </c>
      <c r="C84" s="11" t="s">
        <v>76</v>
      </c>
      <c r="D84" s="12">
        <v>638</v>
      </c>
      <c r="E84" s="12">
        <v>648</v>
      </c>
      <c r="F84" s="12">
        <v>0</v>
      </c>
      <c r="G84" s="13">
        <v>0</v>
      </c>
      <c r="H84" s="1">
        <f t="shared" si="8"/>
        <v>0</v>
      </c>
      <c r="I84" s="1">
        <f t="shared" si="9"/>
        <v>0</v>
      </c>
      <c r="J84" s="12">
        <v>0</v>
      </c>
      <c r="K84" s="13">
        <v>0</v>
      </c>
      <c r="L84" s="1">
        <f t="shared" si="10"/>
        <v>0</v>
      </c>
      <c r="M84" s="1">
        <f t="shared" si="11"/>
        <v>0</v>
      </c>
      <c r="N84" s="12">
        <v>727696</v>
      </c>
      <c r="O84" s="12">
        <v>727696</v>
      </c>
      <c r="P84" s="1">
        <f t="shared" si="12"/>
        <v>0</v>
      </c>
      <c r="Q84" s="1">
        <f t="shared" si="13"/>
        <v>0</v>
      </c>
      <c r="R84" s="12">
        <v>68949</v>
      </c>
      <c r="S84" s="12">
        <v>68949</v>
      </c>
      <c r="T84" s="1">
        <f t="shared" si="14"/>
        <v>0</v>
      </c>
      <c r="U84" s="1">
        <f t="shared" si="15"/>
        <v>0</v>
      </c>
    </row>
    <row r="85" spans="1:21" x14ac:dyDescent="0.25">
      <c r="A85" s="10">
        <v>241</v>
      </c>
      <c r="B85" s="10">
        <v>1</v>
      </c>
      <c r="C85" s="11" t="s">
        <v>77</v>
      </c>
      <c r="D85" s="12">
        <v>3096</v>
      </c>
      <c r="E85" s="12">
        <v>3082</v>
      </c>
      <c r="F85" s="12">
        <v>437086.82999999996</v>
      </c>
      <c r="G85" s="13">
        <v>332439</v>
      </c>
      <c r="H85" s="1">
        <f t="shared" si="8"/>
        <v>-104647.82999999996</v>
      </c>
      <c r="I85" s="1">
        <f t="shared" si="9"/>
        <v>-33.80097868217053</v>
      </c>
      <c r="J85" s="12">
        <v>436264.51949999999</v>
      </c>
      <c r="K85" s="13">
        <v>332439</v>
      </c>
      <c r="L85" s="1">
        <f t="shared" si="10"/>
        <v>-103825.51949999999</v>
      </c>
      <c r="M85" s="1">
        <f t="shared" si="11"/>
        <v>-33.687709117456194</v>
      </c>
      <c r="N85" s="12">
        <v>3805170</v>
      </c>
      <c r="O85" s="12">
        <v>3805170</v>
      </c>
      <c r="P85" s="1">
        <f t="shared" si="12"/>
        <v>0</v>
      </c>
      <c r="Q85" s="1">
        <f t="shared" si="13"/>
        <v>0</v>
      </c>
      <c r="R85" s="12">
        <v>315086</v>
      </c>
      <c r="S85" s="12">
        <v>315086</v>
      </c>
      <c r="T85" s="1">
        <f t="shared" si="14"/>
        <v>0</v>
      </c>
      <c r="U85" s="1">
        <f t="shared" si="15"/>
        <v>0</v>
      </c>
    </row>
    <row r="86" spans="1:21" x14ac:dyDescent="0.25">
      <c r="A86" s="10">
        <v>242</v>
      </c>
      <c r="B86" s="10">
        <v>1</v>
      </c>
      <c r="C86" s="11" t="s">
        <v>78</v>
      </c>
      <c r="D86" s="12">
        <v>509</v>
      </c>
      <c r="E86" s="12">
        <v>516</v>
      </c>
      <c r="F86" s="12">
        <v>0</v>
      </c>
      <c r="G86" s="13">
        <v>0</v>
      </c>
      <c r="H86" s="1">
        <f t="shared" si="8"/>
        <v>0</v>
      </c>
      <c r="I86" s="1">
        <f t="shared" si="9"/>
        <v>0</v>
      </c>
      <c r="J86" s="12">
        <v>0</v>
      </c>
      <c r="K86" s="13">
        <v>0</v>
      </c>
      <c r="L86" s="1">
        <f t="shared" si="10"/>
        <v>0</v>
      </c>
      <c r="M86" s="1">
        <f t="shared" si="11"/>
        <v>0</v>
      </c>
      <c r="N86" s="12">
        <v>135494</v>
      </c>
      <c r="O86" s="12">
        <v>135494</v>
      </c>
      <c r="P86" s="1">
        <f t="shared" si="12"/>
        <v>0</v>
      </c>
      <c r="Q86" s="1">
        <f t="shared" si="13"/>
        <v>0</v>
      </c>
      <c r="R86" s="12">
        <v>74690</v>
      </c>
      <c r="S86" s="12">
        <v>74690</v>
      </c>
      <c r="T86" s="1">
        <f t="shared" si="14"/>
        <v>0</v>
      </c>
      <c r="U86" s="1">
        <f t="shared" si="15"/>
        <v>0</v>
      </c>
    </row>
    <row r="87" spans="1:21" x14ac:dyDescent="0.25">
      <c r="A87" s="10">
        <v>252</v>
      </c>
      <c r="B87" s="10">
        <v>1</v>
      </c>
      <c r="C87" s="11" t="s">
        <v>79</v>
      </c>
      <c r="D87" s="12">
        <v>1194</v>
      </c>
      <c r="E87" s="12">
        <v>1167</v>
      </c>
      <c r="F87" s="12">
        <v>0</v>
      </c>
      <c r="G87" s="13">
        <v>0</v>
      </c>
      <c r="H87" s="1">
        <f t="shared" si="8"/>
        <v>0</v>
      </c>
      <c r="I87" s="1">
        <f t="shared" si="9"/>
        <v>0</v>
      </c>
      <c r="J87" s="12">
        <v>0</v>
      </c>
      <c r="K87" s="13">
        <v>0</v>
      </c>
      <c r="L87" s="1">
        <f t="shared" si="10"/>
        <v>0</v>
      </c>
      <c r="M87" s="1">
        <f t="shared" si="11"/>
        <v>0</v>
      </c>
      <c r="N87" s="12">
        <v>680770</v>
      </c>
      <c r="O87" s="12">
        <v>680770</v>
      </c>
      <c r="P87" s="1">
        <f t="shared" si="12"/>
        <v>0</v>
      </c>
      <c r="Q87" s="1">
        <f t="shared" si="13"/>
        <v>0</v>
      </c>
      <c r="R87" s="12">
        <v>153438</v>
      </c>
      <c r="S87" s="12">
        <v>153438</v>
      </c>
      <c r="T87" s="1">
        <f t="shared" si="14"/>
        <v>0</v>
      </c>
      <c r="U87" s="1">
        <f t="shared" si="15"/>
        <v>0</v>
      </c>
    </row>
    <row r="88" spans="1:21" x14ac:dyDescent="0.25">
      <c r="A88" s="10">
        <v>253</v>
      </c>
      <c r="B88" s="10">
        <v>1</v>
      </c>
      <c r="C88" s="11" t="s">
        <v>80</v>
      </c>
      <c r="D88" s="12">
        <v>654</v>
      </c>
      <c r="E88" s="12">
        <v>644</v>
      </c>
      <c r="F88" s="12">
        <v>0</v>
      </c>
      <c r="G88" s="13">
        <v>0</v>
      </c>
      <c r="H88" s="1">
        <f t="shared" si="8"/>
        <v>0</v>
      </c>
      <c r="I88" s="1">
        <f t="shared" si="9"/>
        <v>0</v>
      </c>
      <c r="J88" s="12">
        <v>0</v>
      </c>
      <c r="K88" s="13">
        <v>0</v>
      </c>
      <c r="L88" s="1">
        <f t="shared" si="10"/>
        <v>0</v>
      </c>
      <c r="M88" s="1">
        <f t="shared" si="11"/>
        <v>0</v>
      </c>
      <c r="N88" s="12">
        <v>78772</v>
      </c>
      <c r="O88" s="12">
        <v>78772</v>
      </c>
      <c r="P88" s="1">
        <f t="shared" si="12"/>
        <v>0</v>
      </c>
      <c r="Q88" s="1">
        <f t="shared" si="13"/>
        <v>0</v>
      </c>
      <c r="R88" s="12">
        <v>96607</v>
      </c>
      <c r="S88" s="12">
        <v>96607</v>
      </c>
      <c r="T88" s="1">
        <f t="shared" si="14"/>
        <v>0</v>
      </c>
      <c r="U88" s="1">
        <f t="shared" si="15"/>
        <v>0</v>
      </c>
    </row>
    <row r="89" spans="1:21" x14ac:dyDescent="0.25">
      <c r="A89" s="10">
        <v>255</v>
      </c>
      <c r="B89" s="10">
        <v>1</v>
      </c>
      <c r="C89" s="11" t="s">
        <v>81</v>
      </c>
      <c r="D89" s="12">
        <v>1241</v>
      </c>
      <c r="E89" s="12">
        <v>1236</v>
      </c>
      <c r="F89" s="12">
        <v>125300.136</v>
      </c>
      <c r="G89" s="13">
        <v>0</v>
      </c>
      <c r="H89" s="1">
        <f t="shared" si="8"/>
        <v>-125300.136</v>
      </c>
      <c r="I89" s="1">
        <f t="shared" si="9"/>
        <v>-100.96707171635778</v>
      </c>
      <c r="J89" s="12">
        <v>125016.96000000001</v>
      </c>
      <c r="K89" s="13">
        <v>0</v>
      </c>
      <c r="L89" s="1">
        <f t="shared" si="10"/>
        <v>-125016.96000000001</v>
      </c>
      <c r="M89" s="1">
        <f t="shared" si="11"/>
        <v>-101.14640776699029</v>
      </c>
      <c r="N89" s="12">
        <v>654945</v>
      </c>
      <c r="O89" s="12">
        <v>654945</v>
      </c>
      <c r="P89" s="1">
        <f t="shared" si="12"/>
        <v>0</v>
      </c>
      <c r="Q89" s="1">
        <f t="shared" si="13"/>
        <v>0</v>
      </c>
      <c r="R89" s="12">
        <v>163865</v>
      </c>
      <c r="S89" s="12">
        <v>163865</v>
      </c>
      <c r="T89" s="1">
        <f t="shared" si="14"/>
        <v>0</v>
      </c>
      <c r="U89" s="1">
        <f t="shared" si="15"/>
        <v>0</v>
      </c>
    </row>
    <row r="90" spans="1:21" x14ac:dyDescent="0.25">
      <c r="A90" s="10">
        <v>256</v>
      </c>
      <c r="B90" s="10">
        <v>1</v>
      </c>
      <c r="C90" s="11" t="s">
        <v>82</v>
      </c>
      <c r="D90" s="12">
        <v>2779</v>
      </c>
      <c r="E90" s="12">
        <v>2790</v>
      </c>
      <c r="F90" s="12">
        <v>0</v>
      </c>
      <c r="G90" s="13">
        <v>0</v>
      </c>
      <c r="H90" s="1">
        <f t="shared" si="8"/>
        <v>0</v>
      </c>
      <c r="I90" s="1">
        <f t="shared" si="9"/>
        <v>0</v>
      </c>
      <c r="J90" s="12">
        <v>0</v>
      </c>
      <c r="K90" s="13">
        <v>0</v>
      </c>
      <c r="L90" s="1">
        <f t="shared" si="10"/>
        <v>0</v>
      </c>
      <c r="M90" s="1">
        <f t="shared" si="11"/>
        <v>0</v>
      </c>
      <c r="N90" s="12">
        <v>3622819</v>
      </c>
      <c r="O90" s="12">
        <v>3622819</v>
      </c>
      <c r="P90" s="1">
        <f t="shared" si="12"/>
        <v>0</v>
      </c>
      <c r="Q90" s="1">
        <f t="shared" si="13"/>
        <v>0</v>
      </c>
      <c r="R90" s="12">
        <v>277497</v>
      </c>
      <c r="S90" s="12">
        <v>277497</v>
      </c>
      <c r="T90" s="1">
        <f t="shared" si="14"/>
        <v>0</v>
      </c>
      <c r="U90" s="1">
        <f t="shared" si="15"/>
        <v>0</v>
      </c>
    </row>
    <row r="91" spans="1:21" x14ac:dyDescent="0.25">
      <c r="A91" s="10">
        <v>261</v>
      </c>
      <c r="B91" s="10">
        <v>1</v>
      </c>
      <c r="C91" s="11" t="s">
        <v>83</v>
      </c>
      <c r="D91" s="12">
        <v>247</v>
      </c>
      <c r="E91" s="12">
        <v>241</v>
      </c>
      <c r="F91" s="12">
        <v>0</v>
      </c>
      <c r="G91" s="13">
        <v>0</v>
      </c>
      <c r="H91" s="1">
        <f t="shared" si="8"/>
        <v>0</v>
      </c>
      <c r="I91" s="1">
        <f t="shared" si="9"/>
        <v>0</v>
      </c>
      <c r="J91" s="12">
        <v>0</v>
      </c>
      <c r="K91" s="13">
        <v>0</v>
      </c>
      <c r="L91" s="1">
        <f t="shared" si="10"/>
        <v>0</v>
      </c>
      <c r="M91" s="1">
        <f t="shared" si="11"/>
        <v>0</v>
      </c>
      <c r="N91" s="12">
        <v>333186</v>
      </c>
      <c r="O91" s="12">
        <v>333186</v>
      </c>
      <c r="P91" s="1">
        <f t="shared" si="12"/>
        <v>0</v>
      </c>
      <c r="Q91" s="1">
        <f t="shared" si="13"/>
        <v>0</v>
      </c>
      <c r="R91" s="12">
        <v>23396</v>
      </c>
      <c r="S91" s="12">
        <v>23396</v>
      </c>
      <c r="T91" s="1">
        <f t="shared" si="14"/>
        <v>0</v>
      </c>
      <c r="U91" s="1">
        <f t="shared" si="15"/>
        <v>0</v>
      </c>
    </row>
    <row r="92" spans="1:21" x14ac:dyDescent="0.25">
      <c r="A92" s="10">
        <v>264</v>
      </c>
      <c r="B92" s="10">
        <v>1</v>
      </c>
      <c r="C92" s="11" t="s">
        <v>84</v>
      </c>
      <c r="D92" s="12">
        <v>116</v>
      </c>
      <c r="E92" s="12">
        <v>113</v>
      </c>
      <c r="F92" s="12">
        <v>0</v>
      </c>
      <c r="G92" s="13">
        <v>0</v>
      </c>
      <c r="H92" s="1">
        <f t="shared" si="8"/>
        <v>0</v>
      </c>
      <c r="I92" s="1">
        <f t="shared" si="9"/>
        <v>0</v>
      </c>
      <c r="J92" s="12">
        <v>0</v>
      </c>
      <c r="K92" s="13">
        <v>0</v>
      </c>
      <c r="L92" s="1">
        <f t="shared" si="10"/>
        <v>0</v>
      </c>
      <c r="M92" s="1">
        <f t="shared" si="11"/>
        <v>0</v>
      </c>
      <c r="N92" s="12">
        <v>216353</v>
      </c>
      <c r="O92" s="12">
        <v>216353</v>
      </c>
      <c r="P92" s="1">
        <f t="shared" si="12"/>
        <v>0</v>
      </c>
      <c r="Q92" s="1">
        <f t="shared" si="13"/>
        <v>0</v>
      </c>
      <c r="R92" s="12">
        <v>8140</v>
      </c>
      <c r="S92" s="12">
        <v>8140</v>
      </c>
      <c r="T92" s="1">
        <f t="shared" si="14"/>
        <v>0</v>
      </c>
      <c r="U92" s="1">
        <f t="shared" si="15"/>
        <v>0</v>
      </c>
    </row>
    <row r="93" spans="1:21" x14ac:dyDescent="0.25">
      <c r="A93" s="10">
        <v>270</v>
      </c>
      <c r="B93" s="10">
        <v>1</v>
      </c>
      <c r="C93" s="11" t="s">
        <v>85</v>
      </c>
      <c r="D93" s="12">
        <v>7134</v>
      </c>
      <c r="E93" s="12">
        <v>7017</v>
      </c>
      <c r="F93" s="12">
        <v>1131770.6225000001</v>
      </c>
      <c r="G93" s="13">
        <v>1243602.55</v>
      </c>
      <c r="H93" s="1">
        <f t="shared" si="8"/>
        <v>111831.92749999999</v>
      </c>
      <c r="I93" s="1">
        <f t="shared" si="9"/>
        <v>15.675907975890102</v>
      </c>
      <c r="J93" s="12">
        <v>1113782.7334999999</v>
      </c>
      <c r="K93" s="13">
        <v>1224667.9300000002</v>
      </c>
      <c r="L93" s="1">
        <f t="shared" si="10"/>
        <v>110885.19650000031</v>
      </c>
      <c r="M93" s="1">
        <f t="shared" si="11"/>
        <v>15.802365184551848</v>
      </c>
      <c r="N93" s="12">
        <v>14405216</v>
      </c>
      <c r="O93" s="12">
        <v>14405216</v>
      </c>
      <c r="P93" s="1">
        <f t="shared" si="12"/>
        <v>0</v>
      </c>
      <c r="Q93" s="1">
        <f t="shared" si="13"/>
        <v>0</v>
      </c>
      <c r="R93" s="12">
        <v>374989</v>
      </c>
      <c r="S93" s="12">
        <v>374989</v>
      </c>
      <c r="T93" s="1">
        <f t="shared" si="14"/>
        <v>0</v>
      </c>
      <c r="U93" s="1">
        <f t="shared" si="15"/>
        <v>0</v>
      </c>
    </row>
    <row r="94" spans="1:21" x14ac:dyDescent="0.25">
      <c r="A94" s="10">
        <v>271</v>
      </c>
      <c r="B94" s="10">
        <v>1</v>
      </c>
      <c r="C94" s="11" t="s">
        <v>86</v>
      </c>
      <c r="D94" s="12">
        <v>10039</v>
      </c>
      <c r="E94" s="12">
        <v>9946</v>
      </c>
      <c r="F94" s="12">
        <v>1445880.2995</v>
      </c>
      <c r="G94" s="13">
        <v>1492330</v>
      </c>
      <c r="H94" s="1">
        <f t="shared" si="8"/>
        <v>46449.700500000035</v>
      </c>
      <c r="I94" s="1">
        <f t="shared" si="9"/>
        <v>4.6269250423348973</v>
      </c>
      <c r="J94" s="12">
        <v>1433725.7904999999</v>
      </c>
      <c r="K94" s="13">
        <v>1508263.99</v>
      </c>
      <c r="L94" s="1">
        <f t="shared" si="10"/>
        <v>74538.199500000104</v>
      </c>
      <c r="M94" s="1">
        <f t="shared" si="11"/>
        <v>7.4942891112004935</v>
      </c>
      <c r="N94" s="12">
        <v>18792500</v>
      </c>
      <c r="O94" s="12">
        <v>18792500</v>
      </c>
      <c r="P94" s="1">
        <f t="shared" si="12"/>
        <v>0</v>
      </c>
      <c r="Q94" s="1">
        <f t="shared" si="13"/>
        <v>0</v>
      </c>
      <c r="R94" s="12">
        <v>806205</v>
      </c>
      <c r="S94" s="12">
        <v>806205</v>
      </c>
      <c r="T94" s="1">
        <f t="shared" si="14"/>
        <v>0</v>
      </c>
      <c r="U94" s="1">
        <f t="shared" si="15"/>
        <v>0</v>
      </c>
    </row>
    <row r="95" spans="1:21" x14ac:dyDescent="0.25">
      <c r="A95" s="10">
        <v>272</v>
      </c>
      <c r="B95" s="10">
        <v>1</v>
      </c>
      <c r="C95" s="11" t="s">
        <v>87</v>
      </c>
      <c r="D95" s="12">
        <v>9739</v>
      </c>
      <c r="E95" s="12">
        <v>9724</v>
      </c>
      <c r="F95" s="12">
        <v>1005460.0480000001</v>
      </c>
      <c r="G95" s="13">
        <v>1057115.8400000001</v>
      </c>
      <c r="H95" s="1">
        <f t="shared" si="8"/>
        <v>51655.792000000016</v>
      </c>
      <c r="I95" s="1">
        <f t="shared" si="9"/>
        <v>5.3040139644727402</v>
      </c>
      <c r="J95" s="12">
        <v>1003744.3859999999</v>
      </c>
      <c r="K95" s="13">
        <v>1024000</v>
      </c>
      <c r="L95" s="1">
        <f t="shared" si="10"/>
        <v>20255.61400000006</v>
      </c>
      <c r="M95" s="1">
        <f t="shared" si="11"/>
        <v>2.0830536816125114</v>
      </c>
      <c r="N95" s="12">
        <v>13526628</v>
      </c>
      <c r="O95" s="12">
        <v>13526628</v>
      </c>
      <c r="P95" s="1">
        <f t="shared" si="12"/>
        <v>0</v>
      </c>
      <c r="Q95" s="1">
        <f t="shared" si="13"/>
        <v>0</v>
      </c>
      <c r="R95" s="12">
        <v>1089274.5</v>
      </c>
      <c r="S95" s="12">
        <v>1089274.5</v>
      </c>
      <c r="T95" s="1">
        <f t="shared" si="14"/>
        <v>0</v>
      </c>
      <c r="U95" s="1">
        <f t="shared" si="15"/>
        <v>0</v>
      </c>
    </row>
    <row r="96" spans="1:21" x14ac:dyDescent="0.25">
      <c r="A96" s="10">
        <v>273</v>
      </c>
      <c r="B96" s="10">
        <v>1</v>
      </c>
      <c r="C96" s="11" t="s">
        <v>88</v>
      </c>
      <c r="D96" s="12">
        <v>8472</v>
      </c>
      <c r="E96" s="12">
        <v>8614</v>
      </c>
      <c r="F96" s="12">
        <v>1279465.2484999998</v>
      </c>
      <c r="G96" s="13">
        <v>963343</v>
      </c>
      <c r="H96" s="1">
        <f t="shared" si="8"/>
        <v>-316122.24849999975</v>
      </c>
      <c r="I96" s="1">
        <f t="shared" si="9"/>
        <v>-37.313768708687412</v>
      </c>
      <c r="J96" s="12">
        <v>1300901.6944999998</v>
      </c>
      <c r="K96" s="13">
        <v>981047</v>
      </c>
      <c r="L96" s="1">
        <f t="shared" si="10"/>
        <v>-319854.69449999975</v>
      </c>
      <c r="M96" s="1">
        <f t="shared" si="11"/>
        <v>-37.131958962154606</v>
      </c>
      <c r="N96" s="12">
        <v>15881240</v>
      </c>
      <c r="O96" s="12">
        <v>15881240</v>
      </c>
      <c r="P96" s="1">
        <f t="shared" si="12"/>
        <v>0</v>
      </c>
      <c r="Q96" s="1">
        <f t="shared" si="13"/>
        <v>0</v>
      </c>
      <c r="R96" s="12">
        <v>715431</v>
      </c>
      <c r="S96" s="12">
        <v>715431</v>
      </c>
      <c r="T96" s="1">
        <f t="shared" si="14"/>
        <v>0</v>
      </c>
      <c r="U96" s="1">
        <f t="shared" si="15"/>
        <v>0</v>
      </c>
    </row>
    <row r="97" spans="1:21" x14ac:dyDescent="0.25">
      <c r="A97" s="10">
        <v>276</v>
      </c>
      <c r="B97" s="10">
        <v>1</v>
      </c>
      <c r="C97" s="11" t="s">
        <v>89</v>
      </c>
      <c r="D97" s="12">
        <v>8675</v>
      </c>
      <c r="E97" s="12">
        <v>8714</v>
      </c>
      <c r="F97" s="12">
        <v>871201.45199999993</v>
      </c>
      <c r="G97" s="13">
        <v>454490</v>
      </c>
      <c r="H97" s="1">
        <f t="shared" si="8"/>
        <v>-416711.45199999993</v>
      </c>
      <c r="I97" s="1">
        <f t="shared" si="9"/>
        <v>-48.035902247838607</v>
      </c>
      <c r="J97" s="12">
        <v>875117.8459999999</v>
      </c>
      <c r="K97" s="13">
        <v>454930</v>
      </c>
      <c r="L97" s="1">
        <f t="shared" si="10"/>
        <v>-420187.8459999999</v>
      </c>
      <c r="M97" s="1">
        <f t="shared" si="11"/>
        <v>-48.219858388799622</v>
      </c>
      <c r="N97" s="12">
        <v>15490908</v>
      </c>
      <c r="O97" s="12">
        <v>15490908</v>
      </c>
      <c r="P97" s="1">
        <f t="shared" si="12"/>
        <v>0</v>
      </c>
      <c r="Q97" s="1">
        <f t="shared" si="13"/>
        <v>0</v>
      </c>
      <c r="R97" s="12">
        <v>747270.5</v>
      </c>
      <c r="S97" s="12">
        <v>747270.5</v>
      </c>
      <c r="T97" s="1">
        <f t="shared" si="14"/>
        <v>0</v>
      </c>
      <c r="U97" s="1">
        <f t="shared" si="15"/>
        <v>0</v>
      </c>
    </row>
    <row r="98" spans="1:21" x14ac:dyDescent="0.25">
      <c r="A98" s="10">
        <v>277</v>
      </c>
      <c r="B98" s="10">
        <v>1</v>
      </c>
      <c r="C98" s="11" t="s">
        <v>90</v>
      </c>
      <c r="D98" s="12">
        <v>2235</v>
      </c>
      <c r="E98" s="12">
        <v>2215</v>
      </c>
      <c r="F98" s="12">
        <v>0</v>
      </c>
      <c r="G98" s="13">
        <v>0</v>
      </c>
      <c r="H98" s="1">
        <f t="shared" si="8"/>
        <v>0</v>
      </c>
      <c r="I98" s="1">
        <f t="shared" si="9"/>
        <v>0</v>
      </c>
      <c r="J98" s="12">
        <v>0</v>
      </c>
      <c r="K98" s="13">
        <v>0</v>
      </c>
      <c r="L98" s="1">
        <f t="shared" si="10"/>
        <v>0</v>
      </c>
      <c r="M98" s="1">
        <f t="shared" si="11"/>
        <v>0</v>
      </c>
      <c r="N98" s="12">
        <v>4172756</v>
      </c>
      <c r="O98" s="12">
        <v>4172756</v>
      </c>
      <c r="P98" s="1">
        <f t="shared" si="12"/>
        <v>0</v>
      </c>
      <c r="Q98" s="1">
        <f t="shared" si="13"/>
        <v>0</v>
      </c>
      <c r="R98" s="12">
        <v>177478.75</v>
      </c>
      <c r="S98" s="12">
        <v>177478.75</v>
      </c>
      <c r="T98" s="1">
        <f t="shared" si="14"/>
        <v>0</v>
      </c>
      <c r="U98" s="1">
        <f t="shared" si="15"/>
        <v>0</v>
      </c>
    </row>
    <row r="99" spans="1:21" x14ac:dyDescent="0.25">
      <c r="A99" s="10">
        <v>278</v>
      </c>
      <c r="B99" s="10">
        <v>1</v>
      </c>
      <c r="C99" s="11" t="s">
        <v>91</v>
      </c>
      <c r="D99" s="12">
        <v>2696</v>
      </c>
      <c r="E99" s="12">
        <v>2707</v>
      </c>
      <c r="F99" s="12">
        <v>0</v>
      </c>
      <c r="G99" s="13">
        <v>0</v>
      </c>
      <c r="H99" s="1">
        <f t="shared" si="8"/>
        <v>0</v>
      </c>
      <c r="I99" s="1">
        <f t="shared" si="9"/>
        <v>0</v>
      </c>
      <c r="J99" s="12">
        <v>0</v>
      </c>
      <c r="K99" s="13">
        <v>0</v>
      </c>
      <c r="L99" s="1">
        <f t="shared" si="10"/>
        <v>0</v>
      </c>
      <c r="M99" s="1">
        <f t="shared" si="11"/>
        <v>0</v>
      </c>
      <c r="N99" s="12">
        <v>3943664</v>
      </c>
      <c r="O99" s="12">
        <v>3943664</v>
      </c>
      <c r="P99" s="1">
        <f t="shared" si="12"/>
        <v>0</v>
      </c>
      <c r="Q99" s="1">
        <f t="shared" si="13"/>
        <v>0</v>
      </c>
      <c r="R99" s="12">
        <v>297584.75</v>
      </c>
      <c r="S99" s="12">
        <v>297584.75</v>
      </c>
      <c r="T99" s="1">
        <f t="shared" si="14"/>
        <v>0</v>
      </c>
      <c r="U99" s="1">
        <f t="shared" si="15"/>
        <v>0</v>
      </c>
    </row>
    <row r="100" spans="1:21" x14ac:dyDescent="0.25">
      <c r="A100" s="10">
        <v>279</v>
      </c>
      <c r="B100" s="10">
        <v>1</v>
      </c>
      <c r="C100" s="11" t="s">
        <v>92</v>
      </c>
      <c r="D100" s="12">
        <v>20634</v>
      </c>
      <c r="E100" s="12">
        <v>20509</v>
      </c>
      <c r="F100" s="12">
        <v>2936350.4725000001</v>
      </c>
      <c r="G100" s="13">
        <v>3089421.5500000003</v>
      </c>
      <c r="H100" s="1">
        <f t="shared" si="8"/>
        <v>153071.07750000013</v>
      </c>
      <c r="I100" s="1">
        <f t="shared" si="9"/>
        <v>7.4183908839779065</v>
      </c>
      <c r="J100" s="12">
        <v>2917475.3215000001</v>
      </c>
      <c r="K100" s="13">
        <v>3069552.97</v>
      </c>
      <c r="L100" s="1">
        <f t="shared" si="10"/>
        <v>152077.64850000013</v>
      </c>
      <c r="M100" s="1">
        <f t="shared" si="11"/>
        <v>7.4151664391242935</v>
      </c>
      <c r="N100" s="12">
        <v>32415985</v>
      </c>
      <c r="O100" s="12">
        <v>32415985</v>
      </c>
      <c r="P100" s="1">
        <f t="shared" si="12"/>
        <v>0</v>
      </c>
      <c r="Q100" s="1">
        <f t="shared" si="13"/>
        <v>0</v>
      </c>
      <c r="R100" s="12">
        <v>2033977.75</v>
      </c>
      <c r="S100" s="12">
        <v>2033977.75</v>
      </c>
      <c r="T100" s="1">
        <f t="shared" si="14"/>
        <v>0</v>
      </c>
      <c r="U100" s="1">
        <f t="shared" si="15"/>
        <v>0</v>
      </c>
    </row>
    <row r="101" spans="1:21" x14ac:dyDescent="0.25">
      <c r="A101" s="10">
        <v>280</v>
      </c>
      <c r="B101" s="10">
        <v>1</v>
      </c>
      <c r="C101" s="11" t="s">
        <v>93</v>
      </c>
      <c r="D101" s="12">
        <v>4047</v>
      </c>
      <c r="E101" s="12">
        <v>4056</v>
      </c>
      <c r="F101" s="12">
        <v>638937.14149999991</v>
      </c>
      <c r="G101" s="13">
        <v>667360</v>
      </c>
      <c r="H101" s="1">
        <f t="shared" si="8"/>
        <v>28422.858500000089</v>
      </c>
      <c r="I101" s="1">
        <f t="shared" si="9"/>
        <v>7.0231921176180103</v>
      </c>
      <c r="J101" s="12">
        <v>638487.38300000003</v>
      </c>
      <c r="K101" s="13">
        <v>667360</v>
      </c>
      <c r="L101" s="1">
        <f t="shared" si="10"/>
        <v>28872.616999999969</v>
      </c>
      <c r="M101" s="1">
        <f t="shared" si="11"/>
        <v>7.1184953155818462</v>
      </c>
      <c r="N101" s="12">
        <v>5937536</v>
      </c>
      <c r="O101" s="12">
        <v>5937536</v>
      </c>
      <c r="P101" s="1">
        <f t="shared" si="12"/>
        <v>0</v>
      </c>
      <c r="Q101" s="1">
        <f t="shared" si="13"/>
        <v>0</v>
      </c>
      <c r="R101" s="12">
        <v>426694</v>
      </c>
      <c r="S101" s="12">
        <v>426694</v>
      </c>
      <c r="T101" s="1">
        <f t="shared" si="14"/>
        <v>0</v>
      </c>
      <c r="U101" s="1">
        <f t="shared" si="15"/>
        <v>0</v>
      </c>
    </row>
    <row r="102" spans="1:21" x14ac:dyDescent="0.25">
      <c r="A102" s="10">
        <v>281</v>
      </c>
      <c r="B102" s="10">
        <v>1</v>
      </c>
      <c r="C102" s="11" t="s">
        <v>94</v>
      </c>
      <c r="D102" s="12">
        <v>11834</v>
      </c>
      <c r="E102" s="12">
        <v>11766</v>
      </c>
      <c r="F102" s="12">
        <v>1883145.159</v>
      </c>
      <c r="G102" s="13">
        <v>1985306.22</v>
      </c>
      <c r="H102" s="1">
        <f t="shared" si="8"/>
        <v>102161.06099999999</v>
      </c>
      <c r="I102" s="1">
        <f t="shared" si="9"/>
        <v>8.632842741254013</v>
      </c>
      <c r="J102" s="12">
        <v>1873507.827</v>
      </c>
      <c r="K102" s="13">
        <v>1975161.6600000001</v>
      </c>
      <c r="L102" s="1">
        <f t="shared" si="10"/>
        <v>101653.8330000001</v>
      </c>
      <c r="M102" s="1">
        <f t="shared" si="11"/>
        <v>8.6396254462009257</v>
      </c>
      <c r="N102" s="12">
        <v>21258825</v>
      </c>
      <c r="O102" s="12">
        <v>21258825</v>
      </c>
      <c r="P102" s="1">
        <f t="shared" si="12"/>
        <v>0</v>
      </c>
      <c r="Q102" s="1">
        <f t="shared" si="13"/>
        <v>0</v>
      </c>
      <c r="R102" s="12">
        <v>1000883.75</v>
      </c>
      <c r="S102" s="12">
        <v>1000883.75</v>
      </c>
      <c r="T102" s="1">
        <f t="shared" si="14"/>
        <v>0</v>
      </c>
      <c r="U102" s="1">
        <f t="shared" si="15"/>
        <v>0</v>
      </c>
    </row>
    <row r="103" spans="1:21" x14ac:dyDescent="0.25">
      <c r="A103" s="10">
        <v>282</v>
      </c>
      <c r="B103" s="10">
        <v>1</v>
      </c>
      <c r="C103" s="11" t="s">
        <v>95</v>
      </c>
      <c r="D103" s="12">
        <v>1710</v>
      </c>
      <c r="E103" s="12">
        <v>1646</v>
      </c>
      <c r="F103" s="12">
        <v>245584.07250000001</v>
      </c>
      <c r="G103" s="13">
        <v>219621</v>
      </c>
      <c r="H103" s="1">
        <f t="shared" si="8"/>
        <v>-25963.072500000009</v>
      </c>
      <c r="I103" s="1">
        <f t="shared" si="9"/>
        <v>-15.183083333333339</v>
      </c>
      <c r="J103" s="12">
        <v>237084.00449999998</v>
      </c>
      <c r="K103" s="13">
        <v>190464</v>
      </c>
      <c r="L103" s="1">
        <f t="shared" si="10"/>
        <v>-46620.004499999981</v>
      </c>
      <c r="M103" s="1">
        <f t="shared" si="11"/>
        <v>-28.323210510328057</v>
      </c>
      <c r="N103" s="12">
        <v>1755017</v>
      </c>
      <c r="O103" s="12">
        <v>1755017</v>
      </c>
      <c r="P103" s="1">
        <f t="shared" si="12"/>
        <v>0</v>
      </c>
      <c r="Q103" s="1">
        <f t="shared" si="13"/>
        <v>0</v>
      </c>
      <c r="R103" s="12">
        <v>228905</v>
      </c>
      <c r="S103" s="12">
        <v>228905</v>
      </c>
      <c r="T103" s="1">
        <f t="shared" si="14"/>
        <v>0</v>
      </c>
      <c r="U103" s="1">
        <f t="shared" si="15"/>
        <v>0</v>
      </c>
    </row>
    <row r="104" spans="1:21" x14ac:dyDescent="0.25">
      <c r="A104" s="10">
        <v>283</v>
      </c>
      <c r="B104" s="10">
        <v>1</v>
      </c>
      <c r="C104" s="11" t="s">
        <v>96</v>
      </c>
      <c r="D104" s="12">
        <v>4383</v>
      </c>
      <c r="E104" s="12">
        <v>4374</v>
      </c>
      <c r="F104" s="12">
        <v>718739.08750000014</v>
      </c>
      <c r="G104" s="13">
        <v>760856.25</v>
      </c>
      <c r="H104" s="1">
        <f t="shared" si="8"/>
        <v>42117.16249999986</v>
      </c>
      <c r="I104" s="1">
        <f t="shared" si="9"/>
        <v>9.6092088751996023</v>
      </c>
      <c r="J104" s="12">
        <v>716805.24849999999</v>
      </c>
      <c r="K104" s="13">
        <v>758820.63</v>
      </c>
      <c r="L104" s="1">
        <f t="shared" si="10"/>
        <v>42015.381500000018</v>
      </c>
      <c r="M104" s="1">
        <f t="shared" si="11"/>
        <v>9.6057113625971695</v>
      </c>
      <c r="N104" s="12">
        <v>9044995</v>
      </c>
      <c r="O104" s="12">
        <v>9044995</v>
      </c>
      <c r="P104" s="1">
        <f t="shared" si="12"/>
        <v>0</v>
      </c>
      <c r="Q104" s="1">
        <f t="shared" si="13"/>
        <v>0</v>
      </c>
      <c r="R104" s="12">
        <v>230327</v>
      </c>
      <c r="S104" s="12">
        <v>230327</v>
      </c>
      <c r="T104" s="1">
        <f t="shared" si="14"/>
        <v>0</v>
      </c>
      <c r="U104" s="1">
        <f t="shared" si="15"/>
        <v>0</v>
      </c>
    </row>
    <row r="105" spans="1:21" x14ac:dyDescent="0.25">
      <c r="A105" s="10">
        <v>284</v>
      </c>
      <c r="B105" s="10">
        <v>1</v>
      </c>
      <c r="C105" s="11" t="s">
        <v>97</v>
      </c>
      <c r="D105" s="12">
        <v>10397</v>
      </c>
      <c r="E105" s="12">
        <v>10405</v>
      </c>
      <c r="F105" s="12">
        <v>1564518.1095</v>
      </c>
      <c r="G105" s="13">
        <v>1600000</v>
      </c>
      <c r="H105" s="1">
        <f t="shared" si="8"/>
        <v>35481.89049999998</v>
      </c>
      <c r="I105" s="1">
        <f t="shared" si="9"/>
        <v>3.4127046744253131</v>
      </c>
      <c r="J105" s="12">
        <v>1565932.3365</v>
      </c>
      <c r="K105" s="13">
        <v>1612286.67</v>
      </c>
      <c r="L105" s="1">
        <f t="shared" si="10"/>
        <v>46354.33349999995</v>
      </c>
      <c r="M105" s="1">
        <f t="shared" si="11"/>
        <v>4.4550056222969676</v>
      </c>
      <c r="N105" s="12">
        <v>18124937</v>
      </c>
      <c r="O105" s="12">
        <v>18124937</v>
      </c>
      <c r="P105" s="1">
        <f t="shared" si="12"/>
        <v>0</v>
      </c>
      <c r="Q105" s="1">
        <f t="shared" si="13"/>
        <v>0</v>
      </c>
      <c r="R105" s="12">
        <v>930516.5</v>
      </c>
      <c r="S105" s="12">
        <v>930516.5</v>
      </c>
      <c r="T105" s="1">
        <f t="shared" si="14"/>
        <v>0</v>
      </c>
      <c r="U105" s="1">
        <f t="shared" si="15"/>
        <v>0</v>
      </c>
    </row>
    <row r="106" spans="1:21" x14ac:dyDescent="0.25">
      <c r="A106" s="10">
        <v>286</v>
      </c>
      <c r="B106" s="10">
        <v>1</v>
      </c>
      <c r="C106" s="11" t="s">
        <v>98</v>
      </c>
      <c r="D106" s="12">
        <v>2229</v>
      </c>
      <c r="E106" s="12">
        <v>2226</v>
      </c>
      <c r="F106" s="12">
        <v>315625.07399999996</v>
      </c>
      <c r="G106" s="13">
        <v>319796</v>
      </c>
      <c r="H106" s="1">
        <f t="shared" si="8"/>
        <v>4170.9260000000359</v>
      </c>
      <c r="I106" s="1">
        <f t="shared" si="9"/>
        <v>1.8712095109914921</v>
      </c>
      <c r="J106" s="12">
        <v>314275.79849999992</v>
      </c>
      <c r="K106" s="13">
        <v>233800</v>
      </c>
      <c r="L106" s="1">
        <f t="shared" si="10"/>
        <v>-80475.798499999917</v>
      </c>
      <c r="M106" s="1">
        <f t="shared" si="11"/>
        <v>-36.152649820305442</v>
      </c>
      <c r="N106" s="12">
        <v>605787</v>
      </c>
      <c r="O106" s="12">
        <v>605787</v>
      </c>
      <c r="P106" s="1">
        <f t="shared" si="12"/>
        <v>0</v>
      </c>
      <c r="Q106" s="1">
        <f t="shared" si="13"/>
        <v>0</v>
      </c>
      <c r="R106" s="12">
        <v>413699.5</v>
      </c>
      <c r="S106" s="12">
        <v>413699.5</v>
      </c>
      <c r="T106" s="1">
        <f t="shared" si="14"/>
        <v>0</v>
      </c>
      <c r="U106" s="1">
        <f t="shared" si="15"/>
        <v>0</v>
      </c>
    </row>
    <row r="107" spans="1:21" x14ac:dyDescent="0.25">
      <c r="A107" s="10">
        <v>294</v>
      </c>
      <c r="B107" s="10">
        <v>1</v>
      </c>
      <c r="C107" s="11" t="s">
        <v>99</v>
      </c>
      <c r="D107" s="12">
        <v>1932</v>
      </c>
      <c r="E107" s="12">
        <v>1952</v>
      </c>
      <c r="F107" s="12">
        <v>0</v>
      </c>
      <c r="G107" s="13">
        <v>0</v>
      </c>
      <c r="H107" s="1">
        <f t="shared" si="8"/>
        <v>0</v>
      </c>
      <c r="I107" s="1">
        <f t="shared" si="9"/>
        <v>0</v>
      </c>
      <c r="J107" s="12">
        <v>0</v>
      </c>
      <c r="K107" s="13">
        <v>0</v>
      </c>
      <c r="L107" s="1">
        <f t="shared" si="10"/>
        <v>0</v>
      </c>
      <c r="M107" s="1">
        <f t="shared" si="11"/>
        <v>0</v>
      </c>
      <c r="N107" s="12">
        <v>582539</v>
      </c>
      <c r="O107" s="12">
        <v>582539</v>
      </c>
      <c r="P107" s="1">
        <f t="shared" si="12"/>
        <v>0</v>
      </c>
      <c r="Q107" s="1">
        <f t="shared" si="13"/>
        <v>0</v>
      </c>
      <c r="R107" s="12">
        <v>281250</v>
      </c>
      <c r="S107" s="12">
        <v>281250</v>
      </c>
      <c r="T107" s="1">
        <f t="shared" si="14"/>
        <v>0</v>
      </c>
      <c r="U107" s="1">
        <f t="shared" si="15"/>
        <v>0</v>
      </c>
    </row>
    <row r="108" spans="1:21" x14ac:dyDescent="0.25">
      <c r="A108" s="10">
        <v>297</v>
      </c>
      <c r="B108" s="10">
        <v>1</v>
      </c>
      <c r="C108" s="11" t="s">
        <v>100</v>
      </c>
      <c r="D108" s="12">
        <v>308</v>
      </c>
      <c r="E108" s="12">
        <v>306</v>
      </c>
      <c r="F108" s="12">
        <v>0</v>
      </c>
      <c r="G108" s="13">
        <v>0</v>
      </c>
      <c r="H108" s="1">
        <f t="shared" si="8"/>
        <v>0</v>
      </c>
      <c r="I108" s="1">
        <f t="shared" si="9"/>
        <v>0</v>
      </c>
      <c r="J108" s="12">
        <v>0</v>
      </c>
      <c r="K108" s="13">
        <v>0</v>
      </c>
      <c r="L108" s="1">
        <f t="shared" si="10"/>
        <v>0</v>
      </c>
      <c r="M108" s="1">
        <f t="shared" si="11"/>
        <v>0</v>
      </c>
      <c r="N108" s="12">
        <v>481497</v>
      </c>
      <c r="O108" s="12">
        <v>481497</v>
      </c>
      <c r="P108" s="1">
        <f t="shared" si="12"/>
        <v>0</v>
      </c>
      <c r="Q108" s="1">
        <f t="shared" si="13"/>
        <v>0</v>
      </c>
      <c r="R108" s="12">
        <v>26511</v>
      </c>
      <c r="S108" s="12">
        <v>26511</v>
      </c>
      <c r="T108" s="1">
        <f t="shared" si="14"/>
        <v>0</v>
      </c>
      <c r="U108" s="1">
        <f t="shared" si="15"/>
        <v>0</v>
      </c>
    </row>
    <row r="109" spans="1:21" x14ac:dyDescent="0.25">
      <c r="A109" s="10">
        <v>299</v>
      </c>
      <c r="B109" s="10">
        <v>1</v>
      </c>
      <c r="C109" s="11" t="s">
        <v>101</v>
      </c>
      <c r="D109" s="12">
        <v>706</v>
      </c>
      <c r="E109" s="12">
        <v>686</v>
      </c>
      <c r="F109" s="12">
        <v>0</v>
      </c>
      <c r="G109" s="13">
        <v>0</v>
      </c>
      <c r="H109" s="1">
        <f t="shared" si="8"/>
        <v>0</v>
      </c>
      <c r="I109" s="1">
        <f t="shared" si="9"/>
        <v>0</v>
      </c>
      <c r="J109" s="12">
        <v>0</v>
      </c>
      <c r="K109" s="13">
        <v>0</v>
      </c>
      <c r="L109" s="1">
        <f t="shared" si="10"/>
        <v>0</v>
      </c>
      <c r="M109" s="1">
        <f t="shared" si="11"/>
        <v>0</v>
      </c>
      <c r="N109" s="12">
        <v>595004</v>
      </c>
      <c r="O109" s="12">
        <v>595004</v>
      </c>
      <c r="P109" s="1">
        <f t="shared" si="12"/>
        <v>0</v>
      </c>
      <c r="Q109" s="1">
        <f t="shared" si="13"/>
        <v>0</v>
      </c>
      <c r="R109" s="12">
        <v>82199</v>
      </c>
      <c r="S109" s="12">
        <v>82199</v>
      </c>
      <c r="T109" s="1">
        <f t="shared" si="14"/>
        <v>0</v>
      </c>
      <c r="U109" s="1">
        <f t="shared" si="15"/>
        <v>0</v>
      </c>
    </row>
    <row r="110" spans="1:21" x14ac:dyDescent="0.25">
      <c r="A110" s="10">
        <v>300</v>
      </c>
      <c r="B110" s="10">
        <v>1</v>
      </c>
      <c r="C110" s="11" t="s">
        <v>102</v>
      </c>
      <c r="D110" s="12">
        <v>1265</v>
      </c>
      <c r="E110" s="12">
        <v>1248</v>
      </c>
      <c r="F110" s="12">
        <v>0</v>
      </c>
      <c r="G110" s="13">
        <v>0</v>
      </c>
      <c r="H110" s="1">
        <f t="shared" si="8"/>
        <v>0</v>
      </c>
      <c r="I110" s="1">
        <f t="shared" si="9"/>
        <v>0</v>
      </c>
      <c r="J110" s="12">
        <v>0</v>
      </c>
      <c r="K110" s="13">
        <v>0</v>
      </c>
      <c r="L110" s="1">
        <f t="shared" si="10"/>
        <v>0</v>
      </c>
      <c r="M110" s="1">
        <f t="shared" si="11"/>
        <v>0</v>
      </c>
      <c r="N110" s="12">
        <v>841567</v>
      </c>
      <c r="O110" s="12">
        <v>825979.72</v>
      </c>
      <c r="P110" s="1">
        <f t="shared" si="12"/>
        <v>-15587.280000000028</v>
      </c>
      <c r="Q110" s="1">
        <f t="shared" si="13"/>
        <v>-12.489807692307714</v>
      </c>
      <c r="R110" s="12">
        <v>161766</v>
      </c>
      <c r="S110" s="12">
        <v>162437.78</v>
      </c>
      <c r="T110" s="1">
        <f t="shared" si="14"/>
        <v>671.77999999999884</v>
      </c>
      <c r="U110" s="1">
        <f t="shared" si="15"/>
        <v>0.53828525641025549</v>
      </c>
    </row>
    <row r="111" spans="1:21" x14ac:dyDescent="0.25">
      <c r="A111" s="10">
        <v>306</v>
      </c>
      <c r="B111" s="10">
        <v>1</v>
      </c>
      <c r="C111" s="11" t="s">
        <v>103</v>
      </c>
      <c r="D111" s="12">
        <v>260</v>
      </c>
      <c r="E111" s="12">
        <v>261</v>
      </c>
      <c r="F111" s="12">
        <v>0</v>
      </c>
      <c r="G111" s="13">
        <v>0</v>
      </c>
      <c r="H111" s="1">
        <f t="shared" si="8"/>
        <v>0</v>
      </c>
      <c r="I111" s="1">
        <f t="shared" si="9"/>
        <v>0</v>
      </c>
      <c r="J111" s="12">
        <v>0</v>
      </c>
      <c r="K111" s="13">
        <v>0</v>
      </c>
      <c r="L111" s="1">
        <f t="shared" si="10"/>
        <v>0</v>
      </c>
      <c r="M111" s="1">
        <f t="shared" si="11"/>
        <v>0</v>
      </c>
      <c r="N111" s="12">
        <v>0</v>
      </c>
      <c r="O111" s="12">
        <v>0</v>
      </c>
      <c r="P111" s="1">
        <f t="shared" si="12"/>
        <v>0</v>
      </c>
      <c r="Q111" s="1">
        <f t="shared" si="13"/>
        <v>0</v>
      </c>
      <c r="R111" s="12">
        <v>39829.869767758471</v>
      </c>
      <c r="S111" s="12">
        <v>39829.869767758471</v>
      </c>
      <c r="T111" s="1">
        <f t="shared" si="14"/>
        <v>0</v>
      </c>
      <c r="U111" s="1">
        <f t="shared" si="15"/>
        <v>0</v>
      </c>
    </row>
    <row r="112" spans="1:21" x14ac:dyDescent="0.25">
      <c r="A112" s="10">
        <v>308</v>
      </c>
      <c r="B112" s="10">
        <v>1</v>
      </c>
      <c r="C112" s="11" t="s">
        <v>104</v>
      </c>
      <c r="D112" s="12">
        <v>522</v>
      </c>
      <c r="E112" s="12">
        <v>527</v>
      </c>
      <c r="F112" s="12">
        <v>0</v>
      </c>
      <c r="G112" s="13">
        <v>0</v>
      </c>
      <c r="H112" s="1">
        <f t="shared" si="8"/>
        <v>0</v>
      </c>
      <c r="I112" s="1">
        <f t="shared" si="9"/>
        <v>0</v>
      </c>
      <c r="J112" s="12">
        <v>0</v>
      </c>
      <c r="K112" s="13">
        <v>0</v>
      </c>
      <c r="L112" s="1">
        <f t="shared" si="10"/>
        <v>0</v>
      </c>
      <c r="M112" s="1">
        <f t="shared" si="11"/>
        <v>0</v>
      </c>
      <c r="N112" s="12">
        <v>41296</v>
      </c>
      <c r="O112" s="12">
        <v>41296</v>
      </c>
      <c r="P112" s="1">
        <f t="shared" si="12"/>
        <v>0</v>
      </c>
      <c r="Q112" s="1">
        <f t="shared" si="13"/>
        <v>0</v>
      </c>
      <c r="R112" s="12">
        <v>80178</v>
      </c>
      <c r="S112" s="12">
        <v>80178</v>
      </c>
      <c r="T112" s="1">
        <f t="shared" si="14"/>
        <v>0</v>
      </c>
      <c r="U112" s="1">
        <f t="shared" si="15"/>
        <v>0</v>
      </c>
    </row>
    <row r="113" spans="1:21" x14ac:dyDescent="0.25">
      <c r="A113" s="10">
        <v>309</v>
      </c>
      <c r="B113" s="10">
        <v>1</v>
      </c>
      <c r="C113" s="11" t="s">
        <v>105</v>
      </c>
      <c r="D113" s="12">
        <v>1531</v>
      </c>
      <c r="E113" s="12">
        <v>1522</v>
      </c>
      <c r="F113" s="12">
        <v>0</v>
      </c>
      <c r="G113" s="13">
        <v>0</v>
      </c>
      <c r="H113" s="1">
        <f t="shared" si="8"/>
        <v>0</v>
      </c>
      <c r="I113" s="1">
        <f t="shared" si="9"/>
        <v>0</v>
      </c>
      <c r="J113" s="12">
        <v>0</v>
      </c>
      <c r="K113" s="13">
        <v>0</v>
      </c>
      <c r="L113" s="1">
        <f t="shared" si="10"/>
        <v>0</v>
      </c>
      <c r="M113" s="1">
        <f t="shared" si="11"/>
        <v>0</v>
      </c>
      <c r="N113" s="12">
        <v>1131228</v>
      </c>
      <c r="O113" s="12">
        <v>1131228</v>
      </c>
      <c r="P113" s="1">
        <f t="shared" si="12"/>
        <v>0</v>
      </c>
      <c r="Q113" s="1">
        <f t="shared" si="13"/>
        <v>0</v>
      </c>
      <c r="R113" s="12">
        <v>187089</v>
      </c>
      <c r="S113" s="12">
        <v>187089</v>
      </c>
      <c r="T113" s="1">
        <f t="shared" si="14"/>
        <v>0</v>
      </c>
      <c r="U113" s="1">
        <f t="shared" si="15"/>
        <v>0</v>
      </c>
    </row>
    <row r="114" spans="1:21" x14ac:dyDescent="0.25">
      <c r="A114" s="10">
        <v>314</v>
      </c>
      <c r="B114" s="10">
        <v>1</v>
      </c>
      <c r="C114" s="11" t="s">
        <v>106</v>
      </c>
      <c r="D114" s="12">
        <v>936</v>
      </c>
      <c r="E114" s="12">
        <v>919</v>
      </c>
      <c r="F114" s="12">
        <v>0</v>
      </c>
      <c r="G114" s="13">
        <v>0</v>
      </c>
      <c r="H114" s="1">
        <f t="shared" si="8"/>
        <v>0</v>
      </c>
      <c r="I114" s="1">
        <f t="shared" si="9"/>
        <v>0</v>
      </c>
      <c r="J114" s="12">
        <v>0</v>
      </c>
      <c r="K114" s="13">
        <v>0</v>
      </c>
      <c r="L114" s="1">
        <f t="shared" si="10"/>
        <v>0</v>
      </c>
      <c r="M114" s="1">
        <f t="shared" si="11"/>
        <v>0</v>
      </c>
      <c r="N114" s="12">
        <v>511694</v>
      </c>
      <c r="O114" s="12">
        <v>511694</v>
      </c>
      <c r="P114" s="1">
        <f t="shared" si="12"/>
        <v>0</v>
      </c>
      <c r="Q114" s="1">
        <f t="shared" si="13"/>
        <v>0</v>
      </c>
      <c r="R114" s="12">
        <v>120931</v>
      </c>
      <c r="S114" s="12">
        <v>120931</v>
      </c>
      <c r="T114" s="1">
        <f t="shared" si="14"/>
        <v>0</v>
      </c>
      <c r="U114" s="1">
        <f t="shared" si="15"/>
        <v>0</v>
      </c>
    </row>
    <row r="115" spans="1:21" x14ac:dyDescent="0.25">
      <c r="A115" s="10">
        <v>316</v>
      </c>
      <c r="B115" s="10">
        <v>1</v>
      </c>
      <c r="C115" s="11" t="s">
        <v>107</v>
      </c>
      <c r="D115" s="12">
        <v>1075</v>
      </c>
      <c r="E115" s="12">
        <v>1062</v>
      </c>
      <c r="F115" s="12">
        <v>0</v>
      </c>
      <c r="G115" s="13">
        <v>0</v>
      </c>
      <c r="H115" s="1">
        <f t="shared" si="8"/>
        <v>0</v>
      </c>
      <c r="I115" s="1">
        <f t="shared" si="9"/>
        <v>0</v>
      </c>
      <c r="J115" s="12">
        <v>0</v>
      </c>
      <c r="K115" s="13">
        <v>0</v>
      </c>
      <c r="L115" s="1">
        <f t="shared" si="10"/>
        <v>0</v>
      </c>
      <c r="M115" s="1">
        <f t="shared" si="11"/>
        <v>0</v>
      </c>
      <c r="N115" s="12">
        <v>0</v>
      </c>
      <c r="O115" s="12">
        <v>0</v>
      </c>
      <c r="P115" s="1">
        <f t="shared" si="12"/>
        <v>0</v>
      </c>
      <c r="Q115" s="1">
        <f t="shared" si="13"/>
        <v>0</v>
      </c>
      <c r="R115" s="12">
        <v>172508</v>
      </c>
      <c r="S115" s="12">
        <v>172508</v>
      </c>
      <c r="T115" s="1">
        <f t="shared" si="14"/>
        <v>0</v>
      </c>
      <c r="U115" s="1">
        <f t="shared" si="15"/>
        <v>0</v>
      </c>
    </row>
    <row r="116" spans="1:21" x14ac:dyDescent="0.25">
      <c r="A116" s="10">
        <v>317</v>
      </c>
      <c r="B116" s="10">
        <v>1</v>
      </c>
      <c r="C116" s="11" t="s">
        <v>108</v>
      </c>
      <c r="D116" s="12">
        <v>813</v>
      </c>
      <c r="E116" s="12">
        <v>819</v>
      </c>
      <c r="F116" s="12">
        <v>0</v>
      </c>
      <c r="G116" s="13">
        <v>0</v>
      </c>
      <c r="H116" s="1">
        <f t="shared" si="8"/>
        <v>0</v>
      </c>
      <c r="I116" s="1">
        <f t="shared" si="9"/>
        <v>0</v>
      </c>
      <c r="J116" s="12">
        <v>0</v>
      </c>
      <c r="K116" s="13">
        <v>0</v>
      </c>
      <c r="L116" s="1">
        <f t="shared" si="10"/>
        <v>0</v>
      </c>
      <c r="M116" s="1">
        <f t="shared" si="11"/>
        <v>0</v>
      </c>
      <c r="N116" s="12">
        <v>0</v>
      </c>
      <c r="O116" s="12">
        <v>0</v>
      </c>
      <c r="P116" s="1">
        <f t="shared" si="12"/>
        <v>0</v>
      </c>
      <c r="Q116" s="1">
        <f t="shared" si="13"/>
        <v>0</v>
      </c>
      <c r="R116" s="12">
        <v>149711.25700824344</v>
      </c>
      <c r="S116" s="12">
        <v>149711.25700824344</v>
      </c>
      <c r="T116" s="1">
        <f t="shared" si="14"/>
        <v>0</v>
      </c>
      <c r="U116" s="1">
        <f t="shared" si="15"/>
        <v>0</v>
      </c>
    </row>
    <row r="117" spans="1:21" x14ac:dyDescent="0.25">
      <c r="A117" s="10">
        <v>318</v>
      </c>
      <c r="B117" s="10">
        <v>1</v>
      </c>
      <c r="C117" s="11" t="s">
        <v>109</v>
      </c>
      <c r="D117" s="12">
        <v>3805</v>
      </c>
      <c r="E117" s="12">
        <v>3824</v>
      </c>
      <c r="F117" s="12">
        <v>0</v>
      </c>
      <c r="G117" s="13">
        <v>0</v>
      </c>
      <c r="H117" s="1">
        <f t="shared" si="8"/>
        <v>0</v>
      </c>
      <c r="I117" s="1">
        <f t="shared" si="9"/>
        <v>0</v>
      </c>
      <c r="J117" s="12">
        <v>0</v>
      </c>
      <c r="K117" s="13">
        <v>0</v>
      </c>
      <c r="L117" s="1">
        <f t="shared" si="10"/>
        <v>0</v>
      </c>
      <c r="M117" s="1">
        <f t="shared" si="11"/>
        <v>0</v>
      </c>
      <c r="N117" s="12">
        <v>0</v>
      </c>
      <c r="O117" s="12">
        <v>0</v>
      </c>
      <c r="P117" s="1">
        <f t="shared" si="12"/>
        <v>0</v>
      </c>
      <c r="Q117" s="1">
        <f t="shared" si="13"/>
        <v>0</v>
      </c>
      <c r="R117" s="12">
        <v>359617</v>
      </c>
      <c r="S117" s="12">
        <v>359617</v>
      </c>
      <c r="T117" s="1">
        <f t="shared" si="14"/>
        <v>0</v>
      </c>
      <c r="U117" s="1">
        <f t="shared" si="15"/>
        <v>0</v>
      </c>
    </row>
    <row r="118" spans="1:21" x14ac:dyDescent="0.25">
      <c r="A118" s="10">
        <v>319</v>
      </c>
      <c r="B118" s="10">
        <v>1</v>
      </c>
      <c r="C118" s="11" t="s">
        <v>110</v>
      </c>
      <c r="D118" s="12">
        <v>526</v>
      </c>
      <c r="E118" s="12">
        <v>507</v>
      </c>
      <c r="F118" s="12">
        <v>0</v>
      </c>
      <c r="G118" s="13">
        <v>0</v>
      </c>
      <c r="H118" s="1">
        <f t="shared" si="8"/>
        <v>0</v>
      </c>
      <c r="I118" s="1">
        <f t="shared" si="9"/>
        <v>0</v>
      </c>
      <c r="J118" s="12">
        <v>0</v>
      </c>
      <c r="K118" s="13">
        <v>0</v>
      </c>
      <c r="L118" s="1">
        <f t="shared" si="10"/>
        <v>0</v>
      </c>
      <c r="M118" s="1">
        <f t="shared" si="11"/>
        <v>0</v>
      </c>
      <c r="N118" s="12">
        <v>395325</v>
      </c>
      <c r="O118" s="12">
        <v>395325</v>
      </c>
      <c r="P118" s="1">
        <f t="shared" si="12"/>
        <v>0</v>
      </c>
      <c r="Q118" s="1">
        <f t="shared" si="13"/>
        <v>0</v>
      </c>
      <c r="R118" s="12">
        <v>63105</v>
      </c>
      <c r="S118" s="12">
        <v>63105</v>
      </c>
      <c r="T118" s="1">
        <f t="shared" si="14"/>
        <v>0</v>
      </c>
      <c r="U118" s="1">
        <f t="shared" si="15"/>
        <v>0</v>
      </c>
    </row>
    <row r="119" spans="1:21" x14ac:dyDescent="0.25">
      <c r="A119" s="10">
        <v>323</v>
      </c>
      <c r="B119" s="10">
        <v>2</v>
      </c>
      <c r="C119" s="11" t="s">
        <v>111</v>
      </c>
      <c r="D119" s="12">
        <v>40</v>
      </c>
      <c r="E119" s="12">
        <v>40</v>
      </c>
      <c r="F119" s="12">
        <v>0</v>
      </c>
      <c r="G119" s="13">
        <v>0</v>
      </c>
      <c r="H119" s="1">
        <f t="shared" si="8"/>
        <v>0</v>
      </c>
      <c r="I119" s="1">
        <f t="shared" si="9"/>
        <v>0</v>
      </c>
      <c r="J119" s="12">
        <v>0</v>
      </c>
      <c r="K119" s="13">
        <v>0</v>
      </c>
      <c r="L119" s="1">
        <f t="shared" si="10"/>
        <v>0</v>
      </c>
      <c r="M119" s="1">
        <f t="shared" si="11"/>
        <v>0</v>
      </c>
      <c r="N119" s="12">
        <v>55308</v>
      </c>
      <c r="O119" s="12">
        <v>55308</v>
      </c>
      <c r="P119" s="1">
        <f t="shared" si="12"/>
        <v>0</v>
      </c>
      <c r="Q119" s="1">
        <f t="shared" si="13"/>
        <v>0</v>
      </c>
      <c r="R119" s="12">
        <v>4252</v>
      </c>
      <c r="S119" s="12">
        <v>4252</v>
      </c>
      <c r="T119" s="1">
        <f t="shared" si="14"/>
        <v>0</v>
      </c>
      <c r="U119" s="1">
        <f t="shared" si="15"/>
        <v>0</v>
      </c>
    </row>
    <row r="120" spans="1:21" x14ac:dyDescent="0.25">
      <c r="A120" s="10">
        <v>330</v>
      </c>
      <c r="B120" s="10">
        <v>1</v>
      </c>
      <c r="C120" s="11" t="s">
        <v>112</v>
      </c>
      <c r="D120" s="12">
        <v>285</v>
      </c>
      <c r="E120" s="12">
        <v>274</v>
      </c>
      <c r="F120" s="12">
        <v>0</v>
      </c>
      <c r="G120" s="13">
        <v>0</v>
      </c>
      <c r="H120" s="1">
        <f t="shared" si="8"/>
        <v>0</v>
      </c>
      <c r="I120" s="1">
        <f t="shared" si="9"/>
        <v>0</v>
      </c>
      <c r="J120" s="12">
        <v>0</v>
      </c>
      <c r="K120" s="13">
        <v>0</v>
      </c>
      <c r="L120" s="1">
        <f t="shared" si="10"/>
        <v>0</v>
      </c>
      <c r="M120" s="1">
        <f t="shared" si="11"/>
        <v>0</v>
      </c>
      <c r="N120" s="12">
        <v>571024</v>
      </c>
      <c r="O120" s="12">
        <v>571024</v>
      </c>
      <c r="P120" s="1">
        <f t="shared" si="12"/>
        <v>0</v>
      </c>
      <c r="Q120" s="1">
        <f t="shared" si="13"/>
        <v>0</v>
      </c>
      <c r="R120" s="12">
        <v>19224</v>
      </c>
      <c r="S120" s="12">
        <v>19224</v>
      </c>
      <c r="T120" s="1">
        <f t="shared" si="14"/>
        <v>0</v>
      </c>
      <c r="U120" s="1">
        <f t="shared" si="15"/>
        <v>0</v>
      </c>
    </row>
    <row r="121" spans="1:21" x14ac:dyDescent="0.25">
      <c r="A121" s="10">
        <v>332</v>
      </c>
      <c r="B121" s="10">
        <v>1</v>
      </c>
      <c r="C121" s="11" t="s">
        <v>113</v>
      </c>
      <c r="D121" s="12">
        <v>1730</v>
      </c>
      <c r="E121" s="12">
        <v>1730</v>
      </c>
      <c r="F121" s="12">
        <v>0</v>
      </c>
      <c r="G121" s="13">
        <v>0</v>
      </c>
      <c r="H121" s="1">
        <f t="shared" si="8"/>
        <v>0</v>
      </c>
      <c r="I121" s="1">
        <f t="shared" si="9"/>
        <v>0</v>
      </c>
      <c r="J121" s="12">
        <v>0</v>
      </c>
      <c r="K121" s="13">
        <v>0</v>
      </c>
      <c r="L121" s="1">
        <f t="shared" si="10"/>
        <v>0</v>
      </c>
      <c r="M121" s="1">
        <f t="shared" si="11"/>
        <v>0</v>
      </c>
      <c r="N121" s="12">
        <v>235341</v>
      </c>
      <c r="O121" s="12">
        <v>235341</v>
      </c>
      <c r="P121" s="1">
        <f t="shared" si="12"/>
        <v>0</v>
      </c>
      <c r="Q121" s="1">
        <f t="shared" si="13"/>
        <v>0</v>
      </c>
      <c r="R121" s="12">
        <v>257130</v>
      </c>
      <c r="S121" s="12">
        <v>257130</v>
      </c>
      <c r="T121" s="1">
        <f t="shared" si="14"/>
        <v>0</v>
      </c>
      <c r="U121" s="1">
        <f t="shared" si="15"/>
        <v>0</v>
      </c>
    </row>
    <row r="122" spans="1:21" x14ac:dyDescent="0.25">
      <c r="A122" s="10">
        <v>333</v>
      </c>
      <c r="B122" s="10">
        <v>1</v>
      </c>
      <c r="C122" s="11" t="s">
        <v>114</v>
      </c>
      <c r="D122" s="12">
        <v>546</v>
      </c>
      <c r="E122" s="12">
        <v>517</v>
      </c>
      <c r="F122" s="12">
        <v>0</v>
      </c>
      <c r="G122" s="13">
        <v>0</v>
      </c>
      <c r="H122" s="1">
        <f t="shared" si="8"/>
        <v>0</v>
      </c>
      <c r="I122" s="1">
        <f t="shared" si="9"/>
        <v>0</v>
      </c>
      <c r="J122" s="12">
        <v>0</v>
      </c>
      <c r="K122" s="13">
        <v>0</v>
      </c>
      <c r="L122" s="1">
        <f t="shared" si="10"/>
        <v>0</v>
      </c>
      <c r="M122" s="1">
        <f t="shared" si="11"/>
        <v>0</v>
      </c>
      <c r="N122" s="12">
        <v>0</v>
      </c>
      <c r="O122" s="12">
        <v>0</v>
      </c>
      <c r="P122" s="1">
        <f t="shared" si="12"/>
        <v>0</v>
      </c>
      <c r="Q122" s="1">
        <f t="shared" si="13"/>
        <v>0</v>
      </c>
      <c r="R122" s="12">
        <v>102868.27323506147</v>
      </c>
      <c r="S122" s="12">
        <v>102868.27323506147</v>
      </c>
      <c r="T122" s="1">
        <f t="shared" si="14"/>
        <v>0</v>
      </c>
      <c r="U122" s="1">
        <f t="shared" si="15"/>
        <v>0</v>
      </c>
    </row>
    <row r="123" spans="1:21" x14ac:dyDescent="0.25">
      <c r="A123" s="10">
        <v>345</v>
      </c>
      <c r="B123" s="10">
        <v>1</v>
      </c>
      <c r="C123" s="11" t="s">
        <v>115</v>
      </c>
      <c r="D123" s="12">
        <v>1428</v>
      </c>
      <c r="E123" s="12">
        <v>1388</v>
      </c>
      <c r="F123" s="12">
        <v>144286.91200000001</v>
      </c>
      <c r="G123" s="13">
        <v>151880.96000000002</v>
      </c>
      <c r="H123" s="1">
        <f t="shared" si="8"/>
        <v>7594.0480000000098</v>
      </c>
      <c r="I123" s="1">
        <f t="shared" si="9"/>
        <v>5.3179607843137324</v>
      </c>
      <c r="J123" s="12">
        <v>139531.47799999997</v>
      </c>
      <c r="K123" s="13">
        <v>146875.24</v>
      </c>
      <c r="L123" s="1">
        <f t="shared" si="10"/>
        <v>7343.762000000017</v>
      </c>
      <c r="M123" s="1">
        <f t="shared" si="11"/>
        <v>5.2908948126801274</v>
      </c>
      <c r="N123" s="12">
        <v>969582</v>
      </c>
      <c r="O123" s="12">
        <v>969582</v>
      </c>
      <c r="P123" s="1">
        <f t="shared" si="12"/>
        <v>0</v>
      </c>
      <c r="Q123" s="1">
        <f t="shared" si="13"/>
        <v>0</v>
      </c>
      <c r="R123" s="12">
        <v>174287</v>
      </c>
      <c r="S123" s="12">
        <v>174287</v>
      </c>
      <c r="T123" s="1">
        <f t="shared" si="14"/>
        <v>0</v>
      </c>
      <c r="U123" s="1">
        <f t="shared" si="15"/>
        <v>0</v>
      </c>
    </row>
    <row r="124" spans="1:21" x14ac:dyDescent="0.25">
      <c r="A124" s="10">
        <v>347</v>
      </c>
      <c r="B124" s="10">
        <v>1</v>
      </c>
      <c r="C124" s="11" t="s">
        <v>116</v>
      </c>
      <c r="D124" s="12">
        <v>4006</v>
      </c>
      <c r="E124" s="12">
        <v>4050</v>
      </c>
      <c r="F124" s="12">
        <v>564049.85549999995</v>
      </c>
      <c r="G124" s="13">
        <v>593736.68999999994</v>
      </c>
      <c r="H124" s="1">
        <f t="shared" si="8"/>
        <v>29686.834499999997</v>
      </c>
      <c r="I124" s="1">
        <f t="shared" si="9"/>
        <v>7.410592735896155</v>
      </c>
      <c r="J124" s="12">
        <v>570158.973</v>
      </c>
      <c r="K124" s="13">
        <v>599850</v>
      </c>
      <c r="L124" s="1">
        <f t="shared" si="10"/>
        <v>29691.027000000002</v>
      </c>
      <c r="M124" s="1">
        <f t="shared" si="11"/>
        <v>7.3311177777777781</v>
      </c>
      <c r="N124" s="12">
        <v>3273382</v>
      </c>
      <c r="O124" s="12">
        <v>3273382</v>
      </c>
      <c r="P124" s="1">
        <f t="shared" si="12"/>
        <v>0</v>
      </c>
      <c r="Q124" s="1">
        <f t="shared" si="13"/>
        <v>0</v>
      </c>
      <c r="R124" s="12">
        <v>483944</v>
      </c>
      <c r="S124" s="12">
        <v>483944</v>
      </c>
      <c r="T124" s="1">
        <f t="shared" si="14"/>
        <v>0</v>
      </c>
      <c r="U124" s="1">
        <f t="shared" si="15"/>
        <v>0</v>
      </c>
    </row>
    <row r="125" spans="1:21" x14ac:dyDescent="0.25">
      <c r="A125" s="10">
        <v>356</v>
      </c>
      <c r="B125" s="10">
        <v>1</v>
      </c>
      <c r="C125" s="11" t="s">
        <v>117</v>
      </c>
      <c r="D125" s="12">
        <v>166</v>
      </c>
      <c r="E125" s="12">
        <v>167</v>
      </c>
      <c r="F125" s="12">
        <v>0</v>
      </c>
      <c r="G125" s="13">
        <v>0</v>
      </c>
      <c r="H125" s="1">
        <f t="shared" si="8"/>
        <v>0</v>
      </c>
      <c r="I125" s="1">
        <f t="shared" si="9"/>
        <v>0</v>
      </c>
      <c r="J125" s="12">
        <v>0</v>
      </c>
      <c r="K125" s="13">
        <v>0</v>
      </c>
      <c r="L125" s="1">
        <f t="shared" si="10"/>
        <v>0</v>
      </c>
      <c r="M125" s="1">
        <f t="shared" si="11"/>
        <v>0</v>
      </c>
      <c r="N125" s="12">
        <v>370924</v>
      </c>
      <c r="O125" s="12">
        <v>370924</v>
      </c>
      <c r="P125" s="1">
        <f t="shared" si="12"/>
        <v>0</v>
      </c>
      <c r="Q125" s="1">
        <f t="shared" si="13"/>
        <v>0</v>
      </c>
      <c r="R125" s="12">
        <v>8987</v>
      </c>
      <c r="S125" s="12">
        <v>8987</v>
      </c>
      <c r="T125" s="1">
        <f t="shared" si="14"/>
        <v>0</v>
      </c>
      <c r="U125" s="1">
        <f t="shared" si="15"/>
        <v>0</v>
      </c>
    </row>
    <row r="126" spans="1:21" x14ac:dyDescent="0.25">
      <c r="A126" s="10">
        <v>361</v>
      </c>
      <c r="B126" s="10">
        <v>1</v>
      </c>
      <c r="C126" s="11" t="s">
        <v>118</v>
      </c>
      <c r="D126" s="12">
        <v>1189</v>
      </c>
      <c r="E126" s="12">
        <v>1160</v>
      </c>
      <c r="F126" s="12">
        <v>0</v>
      </c>
      <c r="G126" s="13">
        <v>0</v>
      </c>
      <c r="H126" s="1">
        <f t="shared" si="8"/>
        <v>0</v>
      </c>
      <c r="I126" s="1">
        <f t="shared" si="9"/>
        <v>0</v>
      </c>
      <c r="J126" s="12">
        <v>0</v>
      </c>
      <c r="K126" s="13">
        <v>0</v>
      </c>
      <c r="L126" s="1">
        <f t="shared" si="10"/>
        <v>0</v>
      </c>
      <c r="M126" s="1">
        <f t="shared" si="11"/>
        <v>0</v>
      </c>
      <c r="N126" s="12">
        <v>994089</v>
      </c>
      <c r="O126" s="12">
        <v>994089</v>
      </c>
      <c r="P126" s="1">
        <f t="shared" si="12"/>
        <v>0</v>
      </c>
      <c r="Q126" s="1">
        <f t="shared" si="13"/>
        <v>0</v>
      </c>
      <c r="R126" s="12">
        <v>139233</v>
      </c>
      <c r="S126" s="12">
        <v>139233</v>
      </c>
      <c r="T126" s="1">
        <f t="shared" si="14"/>
        <v>0</v>
      </c>
      <c r="U126" s="1">
        <f t="shared" si="15"/>
        <v>0</v>
      </c>
    </row>
    <row r="127" spans="1:21" x14ac:dyDescent="0.25">
      <c r="A127" s="10">
        <v>362</v>
      </c>
      <c r="B127" s="10">
        <v>1</v>
      </c>
      <c r="C127" s="11" t="s">
        <v>119</v>
      </c>
      <c r="D127" s="12">
        <v>292</v>
      </c>
      <c r="E127" s="12">
        <v>281</v>
      </c>
      <c r="F127" s="12">
        <v>0</v>
      </c>
      <c r="G127" s="13">
        <v>0</v>
      </c>
      <c r="H127" s="1">
        <f t="shared" si="8"/>
        <v>0</v>
      </c>
      <c r="I127" s="1">
        <f t="shared" si="9"/>
        <v>0</v>
      </c>
      <c r="J127" s="12">
        <v>0</v>
      </c>
      <c r="K127" s="13">
        <v>0</v>
      </c>
      <c r="L127" s="1">
        <f t="shared" si="10"/>
        <v>0</v>
      </c>
      <c r="M127" s="1">
        <f t="shared" si="11"/>
        <v>0</v>
      </c>
      <c r="N127" s="12">
        <v>257</v>
      </c>
      <c r="O127" s="12">
        <v>0</v>
      </c>
      <c r="P127" s="1">
        <f t="shared" si="12"/>
        <v>-257</v>
      </c>
      <c r="Q127" s="1">
        <f t="shared" si="13"/>
        <v>-0.91459074733096091</v>
      </c>
      <c r="R127" s="12">
        <v>68551.702016345633</v>
      </c>
      <c r="S127" s="12">
        <v>43672.639999999999</v>
      </c>
      <c r="T127" s="1">
        <f t="shared" si="14"/>
        <v>-24879.062016345633</v>
      </c>
      <c r="U127" s="1">
        <f t="shared" si="15"/>
        <v>-88.537587246781612</v>
      </c>
    </row>
    <row r="128" spans="1:21" x14ac:dyDescent="0.25">
      <c r="A128" s="10">
        <v>363</v>
      </c>
      <c r="B128" s="10">
        <v>1</v>
      </c>
      <c r="C128" s="11" t="s">
        <v>120</v>
      </c>
      <c r="D128" s="12">
        <v>347</v>
      </c>
      <c r="E128" s="12">
        <v>335</v>
      </c>
      <c r="F128" s="12">
        <v>0</v>
      </c>
      <c r="G128" s="13">
        <v>0</v>
      </c>
      <c r="H128" s="1">
        <f t="shared" si="8"/>
        <v>0</v>
      </c>
      <c r="I128" s="1">
        <f t="shared" si="9"/>
        <v>0</v>
      </c>
      <c r="J128" s="12">
        <v>0</v>
      </c>
      <c r="K128" s="13">
        <v>0</v>
      </c>
      <c r="L128" s="1">
        <f t="shared" si="10"/>
        <v>0</v>
      </c>
      <c r="M128" s="1">
        <f t="shared" si="11"/>
        <v>0</v>
      </c>
      <c r="N128" s="12">
        <v>200</v>
      </c>
      <c r="O128" s="12">
        <v>200</v>
      </c>
      <c r="P128" s="1">
        <f t="shared" si="12"/>
        <v>0</v>
      </c>
      <c r="Q128" s="1">
        <f t="shared" si="13"/>
        <v>0</v>
      </c>
      <c r="R128" s="12">
        <v>71191.37908672943</v>
      </c>
      <c r="S128" s="12">
        <v>71191.37908672943</v>
      </c>
      <c r="T128" s="1">
        <f t="shared" si="14"/>
        <v>0</v>
      </c>
      <c r="U128" s="1">
        <f t="shared" si="15"/>
        <v>0</v>
      </c>
    </row>
    <row r="129" spans="1:21" x14ac:dyDescent="0.25">
      <c r="A129" s="10">
        <v>378</v>
      </c>
      <c r="B129" s="10">
        <v>1</v>
      </c>
      <c r="C129" s="11" t="s">
        <v>121</v>
      </c>
      <c r="D129" s="12">
        <v>498</v>
      </c>
      <c r="E129" s="12">
        <v>481</v>
      </c>
      <c r="F129" s="12">
        <v>50782.021999999997</v>
      </c>
      <c r="G129" s="13">
        <v>51980</v>
      </c>
      <c r="H129" s="1">
        <f t="shared" si="8"/>
        <v>1197.9780000000028</v>
      </c>
      <c r="I129" s="1">
        <f t="shared" si="9"/>
        <v>2.4055783132530175</v>
      </c>
      <c r="J129" s="12">
        <v>49172.114000000001</v>
      </c>
      <c r="K129" s="13">
        <v>51760.12</v>
      </c>
      <c r="L129" s="1">
        <f t="shared" si="10"/>
        <v>2588.0060000000012</v>
      </c>
      <c r="M129" s="1">
        <f t="shared" si="11"/>
        <v>5.3804698544698573</v>
      </c>
      <c r="N129" s="12">
        <v>402530</v>
      </c>
      <c r="O129" s="12">
        <v>402530</v>
      </c>
      <c r="P129" s="1">
        <f t="shared" si="12"/>
        <v>0</v>
      </c>
      <c r="Q129" s="1">
        <f t="shared" si="13"/>
        <v>0</v>
      </c>
      <c r="R129" s="12">
        <v>58805</v>
      </c>
      <c r="S129" s="12">
        <v>58805</v>
      </c>
      <c r="T129" s="1">
        <f t="shared" si="14"/>
        <v>0</v>
      </c>
      <c r="U129" s="1">
        <f t="shared" si="15"/>
        <v>0</v>
      </c>
    </row>
    <row r="130" spans="1:21" x14ac:dyDescent="0.25">
      <c r="A130" s="10">
        <v>381</v>
      </c>
      <c r="B130" s="10">
        <v>1</v>
      </c>
      <c r="C130" s="11" t="s">
        <v>122</v>
      </c>
      <c r="D130" s="12">
        <v>1331</v>
      </c>
      <c r="E130" s="12">
        <v>1292</v>
      </c>
      <c r="F130" s="12">
        <v>0</v>
      </c>
      <c r="G130" s="13">
        <v>0</v>
      </c>
      <c r="H130" s="1">
        <f t="shared" si="8"/>
        <v>0</v>
      </c>
      <c r="I130" s="1">
        <f t="shared" si="9"/>
        <v>0</v>
      </c>
      <c r="J130" s="12">
        <v>0</v>
      </c>
      <c r="K130" s="13">
        <v>0</v>
      </c>
      <c r="L130" s="1">
        <f t="shared" si="10"/>
        <v>0</v>
      </c>
      <c r="M130" s="1">
        <f t="shared" si="11"/>
        <v>0</v>
      </c>
      <c r="N130" s="12">
        <v>0</v>
      </c>
      <c r="O130" s="12">
        <v>0</v>
      </c>
      <c r="P130" s="1">
        <f t="shared" si="12"/>
        <v>0</v>
      </c>
      <c r="Q130" s="1">
        <f t="shared" si="13"/>
        <v>0</v>
      </c>
      <c r="R130" s="12">
        <v>191322</v>
      </c>
      <c r="S130" s="12">
        <v>191322</v>
      </c>
      <c r="T130" s="1">
        <f t="shared" si="14"/>
        <v>0</v>
      </c>
      <c r="U130" s="1">
        <f t="shared" si="15"/>
        <v>0</v>
      </c>
    </row>
    <row r="131" spans="1:21" x14ac:dyDescent="0.25">
      <c r="A131" s="10">
        <v>390</v>
      </c>
      <c r="B131" s="10">
        <v>1</v>
      </c>
      <c r="C131" s="11" t="s">
        <v>123</v>
      </c>
      <c r="D131" s="12">
        <v>524</v>
      </c>
      <c r="E131" s="12">
        <v>510</v>
      </c>
      <c r="F131" s="12">
        <v>0</v>
      </c>
      <c r="G131" s="13">
        <v>0</v>
      </c>
      <c r="H131" s="1">
        <f t="shared" si="8"/>
        <v>0</v>
      </c>
      <c r="I131" s="1">
        <f t="shared" si="9"/>
        <v>0</v>
      </c>
      <c r="J131" s="12">
        <v>0</v>
      </c>
      <c r="K131" s="13">
        <v>0</v>
      </c>
      <c r="L131" s="1">
        <f t="shared" si="10"/>
        <v>0</v>
      </c>
      <c r="M131" s="1">
        <f t="shared" si="11"/>
        <v>0</v>
      </c>
      <c r="N131" s="12">
        <v>409409</v>
      </c>
      <c r="O131" s="12">
        <v>409409</v>
      </c>
      <c r="P131" s="1">
        <f t="shared" si="12"/>
        <v>0</v>
      </c>
      <c r="Q131" s="1">
        <f t="shared" si="13"/>
        <v>0</v>
      </c>
      <c r="R131" s="12">
        <v>61273</v>
      </c>
      <c r="S131" s="12">
        <v>61273</v>
      </c>
      <c r="T131" s="1">
        <f t="shared" si="14"/>
        <v>0</v>
      </c>
      <c r="U131" s="1">
        <f t="shared" si="15"/>
        <v>0</v>
      </c>
    </row>
    <row r="132" spans="1:21" x14ac:dyDescent="0.25">
      <c r="A132" s="10">
        <v>391</v>
      </c>
      <c r="B132" s="10">
        <v>1</v>
      </c>
      <c r="C132" s="11" t="s">
        <v>124</v>
      </c>
      <c r="D132" s="12">
        <v>410</v>
      </c>
      <c r="E132" s="12">
        <v>398</v>
      </c>
      <c r="F132" s="12">
        <v>41681.05999999999</v>
      </c>
      <c r="G132" s="13">
        <v>36800</v>
      </c>
      <c r="H132" s="1">
        <f t="shared" si="8"/>
        <v>-4881.0599999999904</v>
      </c>
      <c r="I132" s="1">
        <f t="shared" si="9"/>
        <v>-11.905024390243879</v>
      </c>
      <c r="J132" s="12">
        <v>40578.945999999996</v>
      </c>
      <c r="K132" s="13">
        <v>23000</v>
      </c>
      <c r="L132" s="1">
        <f t="shared" si="10"/>
        <v>-17578.945999999996</v>
      </c>
      <c r="M132" s="1">
        <f t="shared" si="11"/>
        <v>-44.168206030150742</v>
      </c>
      <c r="N132" s="12">
        <v>283840</v>
      </c>
      <c r="O132" s="12">
        <v>283840</v>
      </c>
      <c r="P132" s="1">
        <f t="shared" si="12"/>
        <v>0</v>
      </c>
      <c r="Q132" s="1">
        <f t="shared" si="13"/>
        <v>0</v>
      </c>
      <c r="R132" s="12">
        <v>50509</v>
      </c>
      <c r="S132" s="12">
        <v>50509</v>
      </c>
      <c r="T132" s="1">
        <f t="shared" si="14"/>
        <v>0</v>
      </c>
      <c r="U132" s="1">
        <f t="shared" si="15"/>
        <v>0</v>
      </c>
    </row>
    <row r="133" spans="1:21" x14ac:dyDescent="0.25">
      <c r="A133" s="10">
        <v>392</v>
      </c>
      <c r="B133" s="10">
        <v>1</v>
      </c>
      <c r="C133" s="11" t="s">
        <v>125</v>
      </c>
      <c r="D133" s="12">
        <v>641</v>
      </c>
      <c r="E133" s="12">
        <v>654</v>
      </c>
      <c r="F133" s="12">
        <v>89630.619000000006</v>
      </c>
      <c r="G133" s="13">
        <v>81625.710000000006</v>
      </c>
      <c r="H133" s="1">
        <f t="shared" si="8"/>
        <v>-8004.9089999999997</v>
      </c>
      <c r="I133" s="1">
        <f t="shared" si="9"/>
        <v>-12.488157566302652</v>
      </c>
      <c r="J133" s="12">
        <v>91347.544499999989</v>
      </c>
      <c r="K133" s="13">
        <v>81625</v>
      </c>
      <c r="L133" s="1">
        <f t="shared" si="10"/>
        <v>-9722.5444999999891</v>
      </c>
      <c r="M133" s="1">
        <f t="shared" si="11"/>
        <v>-14.866275993883775</v>
      </c>
      <c r="N133" s="12">
        <v>472969</v>
      </c>
      <c r="O133" s="12">
        <v>472969</v>
      </c>
      <c r="P133" s="1">
        <f t="shared" si="12"/>
        <v>0</v>
      </c>
      <c r="Q133" s="1">
        <f t="shared" si="13"/>
        <v>0</v>
      </c>
      <c r="R133" s="12">
        <v>79728</v>
      </c>
      <c r="S133" s="12">
        <v>79728</v>
      </c>
      <c r="T133" s="1">
        <f t="shared" si="14"/>
        <v>0</v>
      </c>
      <c r="U133" s="1">
        <f t="shared" si="15"/>
        <v>0</v>
      </c>
    </row>
    <row r="134" spans="1:21" x14ac:dyDescent="0.25">
      <c r="A134" s="10">
        <v>394</v>
      </c>
      <c r="B134" s="10">
        <v>1</v>
      </c>
      <c r="C134" s="11" t="s">
        <v>126</v>
      </c>
      <c r="D134" s="12">
        <v>1146</v>
      </c>
      <c r="E134" s="12">
        <v>1153</v>
      </c>
      <c r="F134" s="12">
        <v>78723.429999999993</v>
      </c>
      <c r="G134" s="13">
        <v>0</v>
      </c>
      <c r="H134" s="1">
        <f t="shared" si="8"/>
        <v>-78723.429999999993</v>
      </c>
      <c r="I134" s="1">
        <f t="shared" si="9"/>
        <v>-68.694092495636994</v>
      </c>
      <c r="J134" s="12">
        <v>115721.09599999999</v>
      </c>
      <c r="K134" s="13">
        <v>0</v>
      </c>
      <c r="L134" s="1">
        <f t="shared" si="10"/>
        <v>-115721.09599999999</v>
      </c>
      <c r="M134" s="1">
        <f t="shared" si="11"/>
        <v>-100.36521769297484</v>
      </c>
      <c r="N134" s="12">
        <v>655574</v>
      </c>
      <c r="O134" s="12">
        <v>655574</v>
      </c>
      <c r="P134" s="1">
        <f t="shared" si="12"/>
        <v>0</v>
      </c>
      <c r="Q134" s="1">
        <f t="shared" si="13"/>
        <v>0</v>
      </c>
      <c r="R134" s="12">
        <v>149486</v>
      </c>
      <c r="S134" s="12">
        <v>149486</v>
      </c>
      <c r="T134" s="1">
        <f t="shared" si="14"/>
        <v>0</v>
      </c>
      <c r="U134" s="1">
        <f t="shared" si="15"/>
        <v>0</v>
      </c>
    </row>
    <row r="135" spans="1:21" x14ac:dyDescent="0.25">
      <c r="A135" s="10">
        <v>402</v>
      </c>
      <c r="B135" s="10">
        <v>1</v>
      </c>
      <c r="C135" s="11" t="s">
        <v>127</v>
      </c>
      <c r="D135" s="12">
        <v>130</v>
      </c>
      <c r="E135" s="12">
        <v>134</v>
      </c>
      <c r="F135" s="12">
        <v>12702.716</v>
      </c>
      <c r="G135" s="13">
        <v>13000</v>
      </c>
      <c r="H135" s="1">
        <f t="shared" si="8"/>
        <v>297.28399999999965</v>
      </c>
      <c r="I135" s="1">
        <f t="shared" si="9"/>
        <v>2.2867999999999973</v>
      </c>
      <c r="J135" s="12">
        <v>13189.534</v>
      </c>
      <c r="K135" s="13">
        <v>13883.72</v>
      </c>
      <c r="L135" s="1">
        <f t="shared" si="10"/>
        <v>694.18599999999969</v>
      </c>
      <c r="M135" s="1">
        <f t="shared" si="11"/>
        <v>5.1804925373134303</v>
      </c>
      <c r="N135" s="12">
        <v>235498</v>
      </c>
      <c r="O135" s="12">
        <v>235498</v>
      </c>
      <c r="P135" s="1">
        <f t="shared" si="12"/>
        <v>0</v>
      </c>
      <c r="Q135" s="1">
        <f t="shared" si="13"/>
        <v>0</v>
      </c>
      <c r="R135" s="12">
        <v>10187</v>
      </c>
      <c r="S135" s="12">
        <v>10187</v>
      </c>
      <c r="T135" s="1">
        <f t="shared" si="14"/>
        <v>0</v>
      </c>
      <c r="U135" s="1">
        <f t="shared" si="15"/>
        <v>0</v>
      </c>
    </row>
    <row r="136" spans="1:21" x14ac:dyDescent="0.25">
      <c r="A136" s="10">
        <v>403</v>
      </c>
      <c r="B136" s="10">
        <v>1</v>
      </c>
      <c r="C136" s="11" t="s">
        <v>128</v>
      </c>
      <c r="D136" s="12">
        <v>162</v>
      </c>
      <c r="E136" s="12">
        <v>150</v>
      </c>
      <c r="F136" s="12">
        <v>16442.561999999998</v>
      </c>
      <c r="G136" s="13">
        <v>16744</v>
      </c>
      <c r="H136" s="1">
        <f t="shared" si="8"/>
        <v>301.43800000000192</v>
      </c>
      <c r="I136" s="1">
        <f t="shared" si="9"/>
        <v>1.8607283950617401</v>
      </c>
      <c r="J136" s="12">
        <v>15204.977999999999</v>
      </c>
      <c r="K136" s="13">
        <v>16005.24</v>
      </c>
      <c r="L136" s="1">
        <f t="shared" si="10"/>
        <v>800.26200000000063</v>
      </c>
      <c r="M136" s="1">
        <f t="shared" si="11"/>
        <v>5.335080000000004</v>
      </c>
      <c r="N136" s="12">
        <v>250716</v>
      </c>
      <c r="O136" s="12">
        <v>250716</v>
      </c>
      <c r="P136" s="1">
        <f t="shared" si="12"/>
        <v>0</v>
      </c>
      <c r="Q136" s="1">
        <f t="shared" si="13"/>
        <v>0</v>
      </c>
      <c r="R136" s="12">
        <v>13066</v>
      </c>
      <c r="S136" s="12">
        <v>13066</v>
      </c>
      <c r="T136" s="1">
        <f t="shared" si="14"/>
        <v>0</v>
      </c>
      <c r="U136" s="1">
        <f t="shared" si="15"/>
        <v>0</v>
      </c>
    </row>
    <row r="137" spans="1:21" x14ac:dyDescent="0.25">
      <c r="A137" s="10">
        <v>404</v>
      </c>
      <c r="B137" s="10">
        <v>1</v>
      </c>
      <c r="C137" s="11" t="s">
        <v>129</v>
      </c>
      <c r="D137" s="12">
        <v>167</v>
      </c>
      <c r="E137" s="12">
        <v>164</v>
      </c>
      <c r="F137" s="12">
        <v>0</v>
      </c>
      <c r="G137" s="13">
        <v>0</v>
      </c>
      <c r="H137" s="1">
        <f t="shared" si="8"/>
        <v>0</v>
      </c>
      <c r="I137" s="1">
        <f t="shared" si="9"/>
        <v>0</v>
      </c>
      <c r="J137" s="12">
        <v>0</v>
      </c>
      <c r="K137" s="13">
        <v>0</v>
      </c>
      <c r="L137" s="1">
        <f t="shared" si="10"/>
        <v>0</v>
      </c>
      <c r="M137" s="1">
        <f t="shared" si="11"/>
        <v>0</v>
      </c>
      <c r="N137" s="12">
        <v>382016</v>
      </c>
      <c r="O137" s="12">
        <v>382016</v>
      </c>
      <c r="P137" s="1">
        <f t="shared" si="12"/>
        <v>0</v>
      </c>
      <c r="Q137" s="1">
        <f t="shared" si="13"/>
        <v>0</v>
      </c>
      <c r="R137" s="12">
        <v>8626</v>
      </c>
      <c r="S137" s="12">
        <v>8626</v>
      </c>
      <c r="T137" s="1">
        <f t="shared" si="14"/>
        <v>0</v>
      </c>
      <c r="U137" s="1">
        <f t="shared" si="15"/>
        <v>0</v>
      </c>
    </row>
    <row r="138" spans="1:21" x14ac:dyDescent="0.25">
      <c r="A138" s="10">
        <v>413</v>
      </c>
      <c r="B138" s="10">
        <v>1</v>
      </c>
      <c r="C138" s="11" t="s">
        <v>130</v>
      </c>
      <c r="D138" s="12">
        <v>2160</v>
      </c>
      <c r="E138" s="12">
        <v>2199</v>
      </c>
      <c r="F138" s="12">
        <v>307545.35249999998</v>
      </c>
      <c r="G138" s="13">
        <v>317761.84000000003</v>
      </c>
      <c r="H138" s="1">
        <f t="shared" si="8"/>
        <v>10216.487500000047</v>
      </c>
      <c r="I138" s="1">
        <f t="shared" si="9"/>
        <v>4.7298553240740953</v>
      </c>
      <c r="J138" s="12">
        <v>313360.34999999998</v>
      </c>
      <c r="K138" s="13">
        <v>317762</v>
      </c>
      <c r="L138" s="1">
        <f t="shared" si="10"/>
        <v>4401.6500000000233</v>
      </c>
      <c r="M138" s="1">
        <f t="shared" si="11"/>
        <v>2.001659845384276</v>
      </c>
      <c r="N138" s="12">
        <v>1690153</v>
      </c>
      <c r="O138" s="12">
        <v>1690153</v>
      </c>
      <c r="P138" s="1">
        <f t="shared" si="12"/>
        <v>0</v>
      </c>
      <c r="Q138" s="1">
        <f t="shared" si="13"/>
        <v>0</v>
      </c>
      <c r="R138" s="12">
        <v>270617</v>
      </c>
      <c r="S138" s="12">
        <v>270617</v>
      </c>
      <c r="T138" s="1">
        <f t="shared" si="14"/>
        <v>0</v>
      </c>
      <c r="U138" s="1">
        <f t="shared" si="15"/>
        <v>0</v>
      </c>
    </row>
    <row r="139" spans="1:21" x14ac:dyDescent="0.25">
      <c r="A139" s="10">
        <v>414</v>
      </c>
      <c r="B139" s="10">
        <v>1</v>
      </c>
      <c r="C139" s="11" t="s">
        <v>131</v>
      </c>
      <c r="D139" s="12">
        <v>466</v>
      </c>
      <c r="E139" s="12">
        <v>468</v>
      </c>
      <c r="F139" s="12">
        <v>47098.111999999994</v>
      </c>
      <c r="G139" s="13">
        <v>47656.92</v>
      </c>
      <c r="H139" s="1">
        <f t="shared" si="8"/>
        <v>558.80800000000454</v>
      </c>
      <c r="I139" s="1">
        <f t="shared" si="9"/>
        <v>1.1991587982832717</v>
      </c>
      <c r="J139" s="12">
        <v>47794.69</v>
      </c>
      <c r="K139" s="13">
        <v>48700</v>
      </c>
      <c r="L139" s="1">
        <f t="shared" si="10"/>
        <v>905.30999999999767</v>
      </c>
      <c r="M139" s="1">
        <f t="shared" si="11"/>
        <v>1.9344230769230719</v>
      </c>
      <c r="N139" s="12">
        <v>375291</v>
      </c>
      <c r="O139" s="12">
        <v>375291</v>
      </c>
      <c r="P139" s="1">
        <f t="shared" si="12"/>
        <v>0</v>
      </c>
      <c r="Q139" s="1">
        <f t="shared" si="13"/>
        <v>0</v>
      </c>
      <c r="R139" s="12">
        <v>57286</v>
      </c>
      <c r="S139" s="12">
        <v>57286</v>
      </c>
      <c r="T139" s="1">
        <f t="shared" si="14"/>
        <v>0</v>
      </c>
      <c r="U139" s="1">
        <f t="shared" si="15"/>
        <v>0</v>
      </c>
    </row>
    <row r="140" spans="1:21" x14ac:dyDescent="0.25">
      <c r="A140" s="10">
        <v>415</v>
      </c>
      <c r="B140" s="10">
        <v>1</v>
      </c>
      <c r="C140" s="11" t="s">
        <v>132</v>
      </c>
      <c r="D140" s="12">
        <v>159</v>
      </c>
      <c r="E140" s="12">
        <v>159</v>
      </c>
      <c r="F140" s="12">
        <v>22430.326499999999</v>
      </c>
      <c r="G140" s="13">
        <v>23610.87</v>
      </c>
      <c r="H140" s="1">
        <f t="shared" si="8"/>
        <v>1180.5434999999998</v>
      </c>
      <c r="I140" s="1">
        <f t="shared" si="9"/>
        <v>7.4248018867924515</v>
      </c>
      <c r="J140" s="12">
        <v>22430.326499999999</v>
      </c>
      <c r="K140" s="13">
        <v>23610.87</v>
      </c>
      <c r="L140" s="1">
        <f t="shared" si="10"/>
        <v>1180.5434999999998</v>
      </c>
      <c r="M140" s="1">
        <f t="shared" si="11"/>
        <v>7.4248018867924515</v>
      </c>
      <c r="N140" s="12">
        <v>259251</v>
      </c>
      <c r="O140" s="12">
        <v>259251</v>
      </c>
      <c r="P140" s="1">
        <f t="shared" si="12"/>
        <v>0</v>
      </c>
      <c r="Q140" s="1">
        <f t="shared" si="13"/>
        <v>0</v>
      </c>
      <c r="R140" s="12">
        <v>13478</v>
      </c>
      <c r="S140" s="12">
        <v>13478</v>
      </c>
      <c r="T140" s="1">
        <f t="shared" si="14"/>
        <v>0</v>
      </c>
      <c r="U140" s="1">
        <f t="shared" si="15"/>
        <v>0</v>
      </c>
    </row>
    <row r="141" spans="1:21" x14ac:dyDescent="0.25">
      <c r="A141" s="10">
        <v>423</v>
      </c>
      <c r="B141" s="10">
        <v>1</v>
      </c>
      <c r="C141" s="11" t="s">
        <v>133</v>
      </c>
      <c r="D141" s="12">
        <v>2867</v>
      </c>
      <c r="E141" s="12">
        <v>2862</v>
      </c>
      <c r="F141" s="12">
        <v>0</v>
      </c>
      <c r="G141" s="13">
        <v>0</v>
      </c>
      <c r="H141" s="1">
        <f t="shared" ref="H141:H204" si="16">G141-F141</f>
        <v>0</v>
      </c>
      <c r="I141" s="1">
        <f t="shared" ref="I141:I204" si="17">IF(D141=0,0,H141/D141)</f>
        <v>0</v>
      </c>
      <c r="J141" s="12">
        <v>0</v>
      </c>
      <c r="K141" s="13">
        <v>0</v>
      </c>
      <c r="L141" s="1">
        <f t="shared" ref="L141:L204" si="18">K141-J141</f>
        <v>0</v>
      </c>
      <c r="M141" s="1">
        <f t="shared" ref="M141:M204" si="19">IF(E141=0,0,L141/E141)</f>
        <v>0</v>
      </c>
      <c r="N141" s="12">
        <v>2764263</v>
      </c>
      <c r="O141" s="12">
        <v>2764263</v>
      </c>
      <c r="P141" s="1">
        <f t="shared" ref="P141:P204" si="20">O141-N141</f>
        <v>0</v>
      </c>
      <c r="Q141" s="1">
        <f t="shared" ref="Q141:Q204" si="21">IF(E141=0,0,P141/E141)</f>
        <v>0</v>
      </c>
      <c r="R141" s="12">
        <v>325732</v>
      </c>
      <c r="S141" s="12">
        <v>325732</v>
      </c>
      <c r="T141" s="1">
        <f t="shared" ref="T141:T204" si="22">S141-R141</f>
        <v>0</v>
      </c>
      <c r="U141" s="1">
        <f t="shared" ref="U141:U204" si="23">IF(E141=0,0,T141/E141)</f>
        <v>0</v>
      </c>
    </row>
    <row r="142" spans="1:21" x14ac:dyDescent="0.25">
      <c r="A142" s="10">
        <v>424</v>
      </c>
      <c r="B142" s="10">
        <v>1</v>
      </c>
      <c r="C142" s="11" t="s">
        <v>134</v>
      </c>
      <c r="D142" s="12">
        <v>394</v>
      </c>
      <c r="E142" s="12">
        <v>393</v>
      </c>
      <c r="F142" s="12">
        <v>0</v>
      </c>
      <c r="G142" s="13">
        <v>0</v>
      </c>
      <c r="H142" s="1">
        <f t="shared" si="16"/>
        <v>0</v>
      </c>
      <c r="I142" s="1">
        <f t="shared" si="17"/>
        <v>0</v>
      </c>
      <c r="J142" s="12">
        <v>0</v>
      </c>
      <c r="K142" s="13">
        <v>0</v>
      </c>
      <c r="L142" s="1">
        <f t="shared" si="18"/>
        <v>0</v>
      </c>
      <c r="M142" s="1">
        <f t="shared" si="19"/>
        <v>0</v>
      </c>
      <c r="N142" s="12">
        <v>462554</v>
      </c>
      <c r="O142" s="12">
        <v>462554</v>
      </c>
      <c r="P142" s="1">
        <f t="shared" si="20"/>
        <v>0</v>
      </c>
      <c r="Q142" s="1">
        <f t="shared" si="21"/>
        <v>0</v>
      </c>
      <c r="R142" s="12">
        <v>40997</v>
      </c>
      <c r="S142" s="12">
        <v>40997</v>
      </c>
      <c r="T142" s="1">
        <f t="shared" si="22"/>
        <v>0</v>
      </c>
      <c r="U142" s="1">
        <f t="shared" si="23"/>
        <v>0</v>
      </c>
    </row>
    <row r="143" spans="1:21" x14ac:dyDescent="0.25">
      <c r="A143" s="10">
        <v>432</v>
      </c>
      <c r="B143" s="10">
        <v>1</v>
      </c>
      <c r="C143" s="11" t="s">
        <v>135</v>
      </c>
      <c r="D143" s="12">
        <v>610</v>
      </c>
      <c r="E143" s="12">
        <v>612</v>
      </c>
      <c r="F143" s="12">
        <v>0</v>
      </c>
      <c r="G143" s="13">
        <v>0</v>
      </c>
      <c r="H143" s="1">
        <f t="shared" si="16"/>
        <v>0</v>
      </c>
      <c r="I143" s="1">
        <f t="shared" si="17"/>
        <v>0</v>
      </c>
      <c r="J143" s="12">
        <v>0</v>
      </c>
      <c r="K143" s="13">
        <v>0</v>
      </c>
      <c r="L143" s="1">
        <f t="shared" si="18"/>
        <v>0</v>
      </c>
      <c r="M143" s="1">
        <f t="shared" si="19"/>
        <v>0</v>
      </c>
      <c r="N143" s="12">
        <v>0</v>
      </c>
      <c r="O143" s="12">
        <v>0</v>
      </c>
      <c r="P143" s="1">
        <f t="shared" si="20"/>
        <v>0</v>
      </c>
      <c r="Q143" s="1">
        <f t="shared" si="21"/>
        <v>0</v>
      </c>
      <c r="R143" s="12">
        <v>108227.51251084355</v>
      </c>
      <c r="S143" s="12">
        <v>108227.51251084355</v>
      </c>
      <c r="T143" s="1">
        <f t="shared" si="22"/>
        <v>0</v>
      </c>
      <c r="U143" s="1">
        <f t="shared" si="23"/>
        <v>0</v>
      </c>
    </row>
    <row r="144" spans="1:21" x14ac:dyDescent="0.25">
      <c r="A144" s="10">
        <v>435</v>
      </c>
      <c r="B144" s="10">
        <v>1</v>
      </c>
      <c r="C144" s="11" t="s">
        <v>136</v>
      </c>
      <c r="D144" s="12">
        <v>676</v>
      </c>
      <c r="E144" s="12">
        <v>684</v>
      </c>
      <c r="F144" s="12">
        <v>0</v>
      </c>
      <c r="G144" s="13">
        <v>0</v>
      </c>
      <c r="H144" s="1">
        <f t="shared" si="16"/>
        <v>0</v>
      </c>
      <c r="I144" s="1">
        <f t="shared" si="17"/>
        <v>0</v>
      </c>
      <c r="J144" s="12">
        <v>0</v>
      </c>
      <c r="K144" s="13">
        <v>0</v>
      </c>
      <c r="L144" s="1">
        <f t="shared" si="18"/>
        <v>0</v>
      </c>
      <c r="M144" s="1">
        <f t="shared" si="19"/>
        <v>0</v>
      </c>
      <c r="N144" s="12">
        <v>0</v>
      </c>
      <c r="O144" s="12">
        <v>0</v>
      </c>
      <c r="P144" s="1">
        <f t="shared" si="20"/>
        <v>0</v>
      </c>
      <c r="Q144" s="1">
        <f t="shared" si="21"/>
        <v>0</v>
      </c>
      <c r="R144" s="12">
        <v>121258.33842845152</v>
      </c>
      <c r="S144" s="12">
        <v>121258.33842845152</v>
      </c>
      <c r="T144" s="1">
        <f t="shared" si="22"/>
        <v>0</v>
      </c>
      <c r="U144" s="1">
        <f t="shared" si="23"/>
        <v>0</v>
      </c>
    </row>
    <row r="145" spans="1:21" x14ac:dyDescent="0.25">
      <c r="A145" s="10">
        <v>441</v>
      </c>
      <c r="B145" s="10">
        <v>1</v>
      </c>
      <c r="C145" s="11" t="s">
        <v>137</v>
      </c>
      <c r="D145" s="12">
        <v>383</v>
      </c>
      <c r="E145" s="12">
        <v>381</v>
      </c>
      <c r="F145" s="12">
        <v>0</v>
      </c>
      <c r="G145" s="13">
        <v>0</v>
      </c>
      <c r="H145" s="1">
        <f t="shared" si="16"/>
        <v>0</v>
      </c>
      <c r="I145" s="1">
        <f t="shared" si="17"/>
        <v>0</v>
      </c>
      <c r="J145" s="12">
        <v>0</v>
      </c>
      <c r="K145" s="13">
        <v>0</v>
      </c>
      <c r="L145" s="1">
        <f t="shared" si="18"/>
        <v>0</v>
      </c>
      <c r="M145" s="1">
        <f t="shared" si="19"/>
        <v>0</v>
      </c>
      <c r="N145" s="12">
        <v>292921</v>
      </c>
      <c r="O145" s="12">
        <v>292921</v>
      </c>
      <c r="P145" s="1">
        <f t="shared" si="20"/>
        <v>0</v>
      </c>
      <c r="Q145" s="1">
        <f t="shared" si="21"/>
        <v>0</v>
      </c>
      <c r="R145" s="12">
        <v>46955</v>
      </c>
      <c r="S145" s="12">
        <v>46955</v>
      </c>
      <c r="T145" s="1">
        <f t="shared" si="22"/>
        <v>0</v>
      </c>
      <c r="U145" s="1">
        <f t="shared" si="23"/>
        <v>0</v>
      </c>
    </row>
    <row r="146" spans="1:21" x14ac:dyDescent="0.25">
      <c r="A146" s="10">
        <v>447</v>
      </c>
      <c r="B146" s="10">
        <v>1</v>
      </c>
      <c r="C146" s="11" t="s">
        <v>138</v>
      </c>
      <c r="D146" s="12">
        <v>156</v>
      </c>
      <c r="E146" s="12">
        <v>159</v>
      </c>
      <c r="F146" s="12">
        <v>0</v>
      </c>
      <c r="G146" s="13">
        <v>0</v>
      </c>
      <c r="H146" s="1">
        <f t="shared" si="16"/>
        <v>0</v>
      </c>
      <c r="I146" s="1">
        <f t="shared" si="17"/>
        <v>0</v>
      </c>
      <c r="J146" s="12">
        <v>0</v>
      </c>
      <c r="K146" s="13">
        <v>0</v>
      </c>
      <c r="L146" s="1">
        <f t="shared" si="18"/>
        <v>0</v>
      </c>
      <c r="M146" s="1">
        <f t="shared" si="19"/>
        <v>0</v>
      </c>
      <c r="N146" s="12">
        <v>18456</v>
      </c>
      <c r="O146" s="12">
        <v>18456</v>
      </c>
      <c r="P146" s="1">
        <f t="shared" si="20"/>
        <v>0</v>
      </c>
      <c r="Q146" s="1">
        <f t="shared" si="21"/>
        <v>0</v>
      </c>
      <c r="R146" s="12">
        <v>23844</v>
      </c>
      <c r="S146" s="12">
        <v>23844</v>
      </c>
      <c r="T146" s="1">
        <f t="shared" si="22"/>
        <v>0</v>
      </c>
      <c r="U146" s="1">
        <f t="shared" si="23"/>
        <v>0</v>
      </c>
    </row>
    <row r="147" spans="1:21" x14ac:dyDescent="0.25">
      <c r="A147" s="10">
        <v>458</v>
      </c>
      <c r="B147" s="10">
        <v>1</v>
      </c>
      <c r="C147" s="11" t="s">
        <v>139</v>
      </c>
      <c r="D147" s="12">
        <v>272</v>
      </c>
      <c r="E147" s="12">
        <v>275</v>
      </c>
      <c r="F147" s="12">
        <v>27619.273999999998</v>
      </c>
      <c r="G147" s="13">
        <v>29072.92</v>
      </c>
      <c r="H147" s="1">
        <f t="shared" si="16"/>
        <v>1453.6460000000006</v>
      </c>
      <c r="I147" s="1">
        <f t="shared" si="17"/>
        <v>5.3442867647058847</v>
      </c>
      <c r="J147" s="12">
        <v>27985.479999999996</v>
      </c>
      <c r="K147" s="13">
        <v>29458.399999999998</v>
      </c>
      <c r="L147" s="1">
        <f t="shared" si="18"/>
        <v>1472.9200000000019</v>
      </c>
      <c r="M147" s="1">
        <f t="shared" si="19"/>
        <v>5.3560727272727338</v>
      </c>
      <c r="N147" s="12">
        <v>677650</v>
      </c>
      <c r="O147" s="12">
        <v>677650</v>
      </c>
      <c r="P147" s="1">
        <f t="shared" si="20"/>
        <v>0</v>
      </c>
      <c r="Q147" s="1">
        <f t="shared" si="21"/>
        <v>0</v>
      </c>
      <c r="R147" s="12">
        <v>14729</v>
      </c>
      <c r="S147" s="12">
        <v>14729</v>
      </c>
      <c r="T147" s="1">
        <f t="shared" si="22"/>
        <v>0</v>
      </c>
      <c r="U147" s="1">
        <f t="shared" si="23"/>
        <v>0</v>
      </c>
    </row>
    <row r="148" spans="1:21" x14ac:dyDescent="0.25">
      <c r="A148" s="10">
        <v>463</v>
      </c>
      <c r="B148" s="10">
        <v>1</v>
      </c>
      <c r="C148" s="11" t="s">
        <v>140</v>
      </c>
      <c r="D148" s="12">
        <v>880</v>
      </c>
      <c r="E148" s="12">
        <v>891</v>
      </c>
      <c r="F148" s="12">
        <v>0</v>
      </c>
      <c r="G148" s="13">
        <v>0</v>
      </c>
      <c r="H148" s="1">
        <f t="shared" si="16"/>
        <v>0</v>
      </c>
      <c r="I148" s="1">
        <f t="shared" si="17"/>
        <v>0</v>
      </c>
      <c r="J148" s="12">
        <v>0</v>
      </c>
      <c r="K148" s="13">
        <v>0</v>
      </c>
      <c r="L148" s="1">
        <f t="shared" si="18"/>
        <v>0</v>
      </c>
      <c r="M148" s="1">
        <f t="shared" si="19"/>
        <v>0</v>
      </c>
      <c r="N148" s="12">
        <v>625022</v>
      </c>
      <c r="O148" s="12">
        <v>625022</v>
      </c>
      <c r="P148" s="1">
        <f t="shared" si="20"/>
        <v>0</v>
      </c>
      <c r="Q148" s="1">
        <f t="shared" si="21"/>
        <v>0</v>
      </c>
      <c r="R148" s="12">
        <v>109997</v>
      </c>
      <c r="S148" s="12">
        <v>109997</v>
      </c>
      <c r="T148" s="1">
        <f t="shared" si="22"/>
        <v>0</v>
      </c>
      <c r="U148" s="1">
        <f t="shared" si="23"/>
        <v>0</v>
      </c>
    </row>
    <row r="149" spans="1:21" x14ac:dyDescent="0.25">
      <c r="A149" s="10">
        <v>465</v>
      </c>
      <c r="B149" s="10">
        <v>1</v>
      </c>
      <c r="C149" s="11" t="s">
        <v>141</v>
      </c>
      <c r="D149" s="12">
        <v>1776</v>
      </c>
      <c r="E149" s="12">
        <v>1759</v>
      </c>
      <c r="F149" s="12">
        <v>0</v>
      </c>
      <c r="G149" s="13">
        <v>0</v>
      </c>
      <c r="H149" s="1">
        <f t="shared" si="16"/>
        <v>0</v>
      </c>
      <c r="I149" s="1">
        <f t="shared" si="17"/>
        <v>0</v>
      </c>
      <c r="J149" s="12">
        <v>0</v>
      </c>
      <c r="K149" s="13">
        <v>0</v>
      </c>
      <c r="L149" s="1">
        <f t="shared" si="18"/>
        <v>0</v>
      </c>
      <c r="M149" s="1">
        <f t="shared" si="19"/>
        <v>0</v>
      </c>
      <c r="N149" s="12">
        <v>1279878</v>
      </c>
      <c r="O149" s="12">
        <v>1279878</v>
      </c>
      <c r="P149" s="1">
        <f t="shared" si="20"/>
        <v>0</v>
      </c>
      <c r="Q149" s="1">
        <f t="shared" si="21"/>
        <v>0</v>
      </c>
      <c r="R149" s="12">
        <v>217901</v>
      </c>
      <c r="S149" s="12">
        <v>217901</v>
      </c>
      <c r="T149" s="1">
        <f t="shared" si="22"/>
        <v>0</v>
      </c>
      <c r="U149" s="1">
        <f t="shared" si="23"/>
        <v>0</v>
      </c>
    </row>
    <row r="150" spans="1:21" x14ac:dyDescent="0.25">
      <c r="A150" s="10">
        <v>466</v>
      </c>
      <c r="B150" s="10">
        <v>1</v>
      </c>
      <c r="C150" s="11" t="s">
        <v>142</v>
      </c>
      <c r="D150" s="12">
        <v>2299</v>
      </c>
      <c r="E150" s="12">
        <v>2299</v>
      </c>
      <c r="F150" s="12">
        <v>0</v>
      </c>
      <c r="G150" s="13">
        <v>0</v>
      </c>
      <c r="H150" s="1">
        <f t="shared" si="16"/>
        <v>0</v>
      </c>
      <c r="I150" s="1">
        <f t="shared" si="17"/>
        <v>0</v>
      </c>
      <c r="J150" s="12">
        <v>0</v>
      </c>
      <c r="K150" s="13">
        <v>0</v>
      </c>
      <c r="L150" s="1">
        <f t="shared" si="18"/>
        <v>0</v>
      </c>
      <c r="M150" s="1">
        <f t="shared" si="19"/>
        <v>0</v>
      </c>
      <c r="N150" s="12">
        <v>1106283</v>
      </c>
      <c r="O150" s="12">
        <v>1106283</v>
      </c>
      <c r="P150" s="1">
        <f t="shared" si="20"/>
        <v>0</v>
      </c>
      <c r="Q150" s="1">
        <f t="shared" si="21"/>
        <v>0</v>
      </c>
      <c r="R150" s="12">
        <v>308128</v>
      </c>
      <c r="S150" s="12">
        <v>308128</v>
      </c>
      <c r="T150" s="1">
        <f t="shared" si="22"/>
        <v>0</v>
      </c>
      <c r="U150" s="1">
        <f t="shared" si="23"/>
        <v>0</v>
      </c>
    </row>
    <row r="151" spans="1:21" x14ac:dyDescent="0.25">
      <c r="A151" s="10">
        <v>473</v>
      </c>
      <c r="B151" s="10">
        <v>1</v>
      </c>
      <c r="C151" s="11" t="s">
        <v>143</v>
      </c>
      <c r="D151" s="12">
        <v>517</v>
      </c>
      <c r="E151" s="12">
        <v>492</v>
      </c>
      <c r="F151" s="12">
        <v>0</v>
      </c>
      <c r="G151" s="13">
        <v>0</v>
      </c>
      <c r="H151" s="1">
        <f t="shared" si="16"/>
        <v>0</v>
      </c>
      <c r="I151" s="1">
        <f t="shared" si="17"/>
        <v>0</v>
      </c>
      <c r="J151" s="12">
        <v>0</v>
      </c>
      <c r="K151" s="13">
        <v>0</v>
      </c>
      <c r="L151" s="1">
        <f t="shared" si="18"/>
        <v>0</v>
      </c>
      <c r="M151" s="1">
        <f t="shared" si="19"/>
        <v>0</v>
      </c>
      <c r="N151" s="12">
        <v>0</v>
      </c>
      <c r="O151" s="12">
        <v>0</v>
      </c>
      <c r="P151" s="1">
        <f t="shared" si="20"/>
        <v>0</v>
      </c>
      <c r="Q151" s="1">
        <f t="shared" si="21"/>
        <v>0</v>
      </c>
      <c r="R151" s="12">
        <v>78131.42053072383</v>
      </c>
      <c r="S151" s="12">
        <v>78131.42053072383</v>
      </c>
      <c r="T151" s="1">
        <f t="shared" si="22"/>
        <v>0</v>
      </c>
      <c r="U151" s="1">
        <f t="shared" si="23"/>
        <v>0</v>
      </c>
    </row>
    <row r="152" spans="1:21" x14ac:dyDescent="0.25">
      <c r="A152" s="10">
        <v>477</v>
      </c>
      <c r="B152" s="10">
        <v>1</v>
      </c>
      <c r="C152" s="11" t="s">
        <v>144</v>
      </c>
      <c r="D152" s="12">
        <v>3418</v>
      </c>
      <c r="E152" s="12">
        <v>3443</v>
      </c>
      <c r="F152" s="12">
        <v>0</v>
      </c>
      <c r="G152" s="13">
        <v>0</v>
      </c>
      <c r="H152" s="1">
        <f t="shared" si="16"/>
        <v>0</v>
      </c>
      <c r="I152" s="1">
        <f t="shared" si="17"/>
        <v>0</v>
      </c>
      <c r="J152" s="12">
        <v>0</v>
      </c>
      <c r="K152" s="13">
        <v>0</v>
      </c>
      <c r="L152" s="1">
        <f t="shared" si="18"/>
        <v>0</v>
      </c>
      <c r="M152" s="1">
        <f t="shared" si="19"/>
        <v>0</v>
      </c>
      <c r="N152" s="12">
        <v>1379846</v>
      </c>
      <c r="O152" s="12">
        <v>1379846</v>
      </c>
      <c r="P152" s="1">
        <f t="shared" si="20"/>
        <v>0</v>
      </c>
      <c r="Q152" s="1">
        <f t="shared" si="21"/>
        <v>0</v>
      </c>
      <c r="R152" s="12">
        <v>472516</v>
      </c>
      <c r="S152" s="12">
        <v>472516</v>
      </c>
      <c r="T152" s="1">
        <f t="shared" si="22"/>
        <v>0</v>
      </c>
      <c r="U152" s="1">
        <f t="shared" si="23"/>
        <v>0</v>
      </c>
    </row>
    <row r="153" spans="1:21" x14ac:dyDescent="0.25">
      <c r="A153" s="10">
        <v>480</v>
      </c>
      <c r="B153" s="10">
        <v>1</v>
      </c>
      <c r="C153" s="11" t="s">
        <v>145</v>
      </c>
      <c r="D153" s="12">
        <v>621</v>
      </c>
      <c r="E153" s="12">
        <v>616</v>
      </c>
      <c r="F153" s="12">
        <v>0</v>
      </c>
      <c r="G153" s="13">
        <v>0</v>
      </c>
      <c r="H153" s="1">
        <f t="shared" si="16"/>
        <v>0</v>
      </c>
      <c r="I153" s="1">
        <f t="shared" si="17"/>
        <v>0</v>
      </c>
      <c r="J153" s="12">
        <v>0</v>
      </c>
      <c r="K153" s="13">
        <v>0</v>
      </c>
      <c r="L153" s="1">
        <f t="shared" si="18"/>
        <v>0</v>
      </c>
      <c r="M153" s="1">
        <f t="shared" si="19"/>
        <v>0</v>
      </c>
      <c r="N153" s="12">
        <v>525020</v>
      </c>
      <c r="O153" s="12">
        <v>524205.5</v>
      </c>
      <c r="P153" s="1">
        <f t="shared" si="20"/>
        <v>-814.5</v>
      </c>
      <c r="Q153" s="1">
        <f t="shared" si="21"/>
        <v>-1.3222402597402598</v>
      </c>
      <c r="R153" s="12">
        <v>73086</v>
      </c>
      <c r="S153" s="12">
        <v>73117.66</v>
      </c>
      <c r="T153" s="1">
        <f t="shared" si="22"/>
        <v>31.660000000003492</v>
      </c>
      <c r="U153" s="1">
        <f t="shared" si="23"/>
        <v>5.1396103896109567E-2</v>
      </c>
    </row>
    <row r="154" spans="1:21" x14ac:dyDescent="0.25">
      <c r="A154" s="10">
        <v>482</v>
      </c>
      <c r="B154" s="10">
        <v>1</v>
      </c>
      <c r="C154" s="11" t="s">
        <v>146</v>
      </c>
      <c r="D154" s="12">
        <v>2287</v>
      </c>
      <c r="E154" s="12">
        <v>2245</v>
      </c>
      <c r="F154" s="12">
        <v>0</v>
      </c>
      <c r="G154" s="13">
        <v>0</v>
      </c>
      <c r="H154" s="1">
        <f t="shared" si="16"/>
        <v>0</v>
      </c>
      <c r="I154" s="1">
        <f t="shared" si="17"/>
        <v>0</v>
      </c>
      <c r="J154" s="12">
        <v>0</v>
      </c>
      <c r="K154" s="13">
        <v>0</v>
      </c>
      <c r="L154" s="1">
        <f t="shared" si="18"/>
        <v>0</v>
      </c>
      <c r="M154" s="1">
        <f t="shared" si="19"/>
        <v>0</v>
      </c>
      <c r="N154" s="12">
        <v>2382733</v>
      </c>
      <c r="O154" s="12">
        <v>2382733</v>
      </c>
      <c r="P154" s="1">
        <f t="shared" si="20"/>
        <v>0</v>
      </c>
      <c r="Q154" s="1">
        <f t="shared" si="21"/>
        <v>0</v>
      </c>
      <c r="R154" s="12">
        <v>248947</v>
      </c>
      <c r="S154" s="12">
        <v>248947</v>
      </c>
      <c r="T154" s="1">
        <f t="shared" si="22"/>
        <v>0</v>
      </c>
      <c r="U154" s="1">
        <f t="shared" si="23"/>
        <v>0</v>
      </c>
    </row>
    <row r="155" spans="1:21" x14ac:dyDescent="0.25">
      <c r="A155" s="10">
        <v>484</v>
      </c>
      <c r="B155" s="10">
        <v>1</v>
      </c>
      <c r="C155" s="11" t="s">
        <v>147</v>
      </c>
      <c r="D155" s="12">
        <v>1045</v>
      </c>
      <c r="E155" s="12">
        <v>1046</v>
      </c>
      <c r="F155" s="12">
        <v>0</v>
      </c>
      <c r="G155" s="13">
        <v>0</v>
      </c>
      <c r="H155" s="1">
        <f t="shared" si="16"/>
        <v>0</v>
      </c>
      <c r="I155" s="1">
        <f t="shared" si="17"/>
        <v>0</v>
      </c>
      <c r="J155" s="12">
        <v>0</v>
      </c>
      <c r="K155" s="13">
        <v>0</v>
      </c>
      <c r="L155" s="1">
        <f t="shared" si="18"/>
        <v>0</v>
      </c>
      <c r="M155" s="1">
        <f t="shared" si="19"/>
        <v>0</v>
      </c>
      <c r="N155" s="12">
        <v>696966</v>
      </c>
      <c r="O155" s="12">
        <v>696966</v>
      </c>
      <c r="P155" s="1">
        <f t="shared" si="20"/>
        <v>0</v>
      </c>
      <c r="Q155" s="1">
        <f t="shared" si="21"/>
        <v>0</v>
      </c>
      <c r="R155" s="12">
        <v>134637</v>
      </c>
      <c r="S155" s="12">
        <v>134637</v>
      </c>
      <c r="T155" s="1">
        <f t="shared" si="22"/>
        <v>0</v>
      </c>
      <c r="U155" s="1">
        <f t="shared" si="23"/>
        <v>0</v>
      </c>
    </row>
    <row r="156" spans="1:21" x14ac:dyDescent="0.25">
      <c r="A156" s="10">
        <v>485</v>
      </c>
      <c r="B156" s="10">
        <v>1</v>
      </c>
      <c r="C156" s="11" t="s">
        <v>148</v>
      </c>
      <c r="D156" s="12">
        <v>945</v>
      </c>
      <c r="E156" s="12">
        <v>1004</v>
      </c>
      <c r="F156" s="12">
        <v>0</v>
      </c>
      <c r="G156" s="13">
        <v>0</v>
      </c>
      <c r="H156" s="1">
        <f t="shared" si="16"/>
        <v>0</v>
      </c>
      <c r="I156" s="1">
        <f t="shared" si="17"/>
        <v>0</v>
      </c>
      <c r="J156" s="12">
        <v>0</v>
      </c>
      <c r="K156" s="13">
        <v>0</v>
      </c>
      <c r="L156" s="1">
        <f t="shared" si="18"/>
        <v>0</v>
      </c>
      <c r="M156" s="1">
        <f t="shared" si="19"/>
        <v>0</v>
      </c>
      <c r="N156" s="12">
        <v>0</v>
      </c>
      <c r="O156" s="12">
        <v>0</v>
      </c>
      <c r="P156" s="1">
        <f t="shared" si="20"/>
        <v>0</v>
      </c>
      <c r="Q156" s="1">
        <f t="shared" si="21"/>
        <v>0</v>
      </c>
      <c r="R156" s="12">
        <v>152741.81760622578</v>
      </c>
      <c r="S156" s="12">
        <v>152741.81760622578</v>
      </c>
      <c r="T156" s="1">
        <f t="shared" si="22"/>
        <v>0</v>
      </c>
      <c r="U156" s="1">
        <f t="shared" si="23"/>
        <v>0</v>
      </c>
    </row>
    <row r="157" spans="1:21" x14ac:dyDescent="0.25">
      <c r="A157" s="10">
        <v>486</v>
      </c>
      <c r="B157" s="10">
        <v>1</v>
      </c>
      <c r="C157" s="11" t="s">
        <v>149</v>
      </c>
      <c r="D157" s="12">
        <v>304</v>
      </c>
      <c r="E157" s="12">
        <v>290</v>
      </c>
      <c r="F157" s="12">
        <v>31019.133999999998</v>
      </c>
      <c r="G157" s="13">
        <v>0</v>
      </c>
      <c r="H157" s="1">
        <f t="shared" si="16"/>
        <v>-31019.133999999998</v>
      </c>
      <c r="I157" s="1">
        <f t="shared" si="17"/>
        <v>-102.036625</v>
      </c>
      <c r="J157" s="12">
        <v>29449.429999999997</v>
      </c>
      <c r="K157" s="13">
        <v>0</v>
      </c>
      <c r="L157" s="1">
        <f t="shared" si="18"/>
        <v>-29449.429999999997</v>
      </c>
      <c r="M157" s="1">
        <f t="shared" si="19"/>
        <v>-101.54975862068964</v>
      </c>
      <c r="N157" s="12">
        <v>310483</v>
      </c>
      <c r="O157" s="12">
        <v>310329.15000000002</v>
      </c>
      <c r="P157" s="1">
        <f t="shared" si="20"/>
        <v>-153.84999999997672</v>
      </c>
      <c r="Q157" s="1">
        <f t="shared" si="21"/>
        <v>-0.53051724137923006</v>
      </c>
      <c r="R157" s="12">
        <v>32475</v>
      </c>
      <c r="S157" s="12">
        <v>32481.05</v>
      </c>
      <c r="T157" s="1">
        <f t="shared" si="22"/>
        <v>6.0499999999992724</v>
      </c>
      <c r="U157" s="1">
        <f t="shared" si="23"/>
        <v>2.0862068965514732E-2</v>
      </c>
    </row>
    <row r="158" spans="1:21" x14ac:dyDescent="0.25">
      <c r="A158" s="10">
        <v>487</v>
      </c>
      <c r="B158" s="10">
        <v>1</v>
      </c>
      <c r="C158" s="11" t="s">
        <v>150</v>
      </c>
      <c r="D158" s="12">
        <v>367</v>
      </c>
      <c r="E158" s="12">
        <v>358</v>
      </c>
      <c r="F158" s="12">
        <v>37159.858</v>
      </c>
      <c r="G158" s="13">
        <v>0</v>
      </c>
      <c r="H158" s="1">
        <f t="shared" si="16"/>
        <v>-37159.858</v>
      </c>
      <c r="I158" s="1">
        <f t="shared" si="17"/>
        <v>-101.25301907356948</v>
      </c>
      <c r="J158" s="12">
        <v>35969.469999999994</v>
      </c>
      <c r="K158" s="13">
        <v>0</v>
      </c>
      <c r="L158" s="1">
        <f t="shared" si="18"/>
        <v>-35969.469999999994</v>
      </c>
      <c r="M158" s="1">
        <f t="shared" si="19"/>
        <v>-100.47337988826814</v>
      </c>
      <c r="N158" s="12">
        <v>160645</v>
      </c>
      <c r="O158" s="12">
        <v>160645</v>
      </c>
      <c r="P158" s="1">
        <f t="shared" si="20"/>
        <v>0</v>
      </c>
      <c r="Q158" s="1">
        <f t="shared" si="21"/>
        <v>0</v>
      </c>
      <c r="R158" s="12">
        <v>48722</v>
      </c>
      <c r="S158" s="12">
        <v>48722</v>
      </c>
      <c r="T158" s="1">
        <f t="shared" si="22"/>
        <v>0</v>
      </c>
      <c r="U158" s="1">
        <f t="shared" si="23"/>
        <v>0</v>
      </c>
    </row>
    <row r="159" spans="1:21" x14ac:dyDescent="0.25">
      <c r="A159" s="10">
        <v>492</v>
      </c>
      <c r="B159" s="10">
        <v>1</v>
      </c>
      <c r="C159" s="11" t="s">
        <v>151</v>
      </c>
      <c r="D159" s="12">
        <v>4465</v>
      </c>
      <c r="E159" s="12">
        <v>4511</v>
      </c>
      <c r="F159" s="12">
        <v>620088.29399999999</v>
      </c>
      <c r="G159" s="13">
        <v>639421.1</v>
      </c>
      <c r="H159" s="1">
        <f t="shared" si="16"/>
        <v>19332.805999999982</v>
      </c>
      <c r="I159" s="1">
        <f t="shared" si="17"/>
        <v>4.3298557670772633</v>
      </c>
      <c r="J159" s="12">
        <v>628835.91300000006</v>
      </c>
      <c r="K159" s="13">
        <v>661932.54</v>
      </c>
      <c r="L159" s="1">
        <f t="shared" si="18"/>
        <v>33096.626999999979</v>
      </c>
      <c r="M159" s="1">
        <f t="shared" si="19"/>
        <v>7.3368714254045617</v>
      </c>
      <c r="N159" s="12">
        <v>3760530</v>
      </c>
      <c r="O159" s="12">
        <v>3760530</v>
      </c>
      <c r="P159" s="1">
        <f t="shared" si="20"/>
        <v>0</v>
      </c>
      <c r="Q159" s="1">
        <f t="shared" si="21"/>
        <v>0</v>
      </c>
      <c r="R159" s="12">
        <v>527345</v>
      </c>
      <c r="S159" s="12">
        <v>527345</v>
      </c>
      <c r="T159" s="1">
        <f t="shared" si="22"/>
        <v>0</v>
      </c>
      <c r="U159" s="1">
        <f t="shared" si="23"/>
        <v>0</v>
      </c>
    </row>
    <row r="160" spans="1:21" x14ac:dyDescent="0.25">
      <c r="A160" s="10">
        <v>495</v>
      </c>
      <c r="B160" s="10">
        <v>1</v>
      </c>
      <c r="C160" s="11" t="s">
        <v>152</v>
      </c>
      <c r="D160" s="12">
        <v>381</v>
      </c>
      <c r="E160" s="12">
        <v>388</v>
      </c>
      <c r="F160" s="12">
        <v>0</v>
      </c>
      <c r="G160" s="13">
        <v>0</v>
      </c>
      <c r="H160" s="1">
        <f t="shared" si="16"/>
        <v>0</v>
      </c>
      <c r="I160" s="1">
        <f t="shared" si="17"/>
        <v>0</v>
      </c>
      <c r="J160" s="12">
        <v>0</v>
      </c>
      <c r="K160" s="13">
        <v>0</v>
      </c>
      <c r="L160" s="1">
        <f t="shared" si="18"/>
        <v>0</v>
      </c>
      <c r="M160" s="1">
        <f t="shared" si="19"/>
        <v>0</v>
      </c>
      <c r="N160" s="12">
        <v>519522</v>
      </c>
      <c r="O160" s="12">
        <v>519522</v>
      </c>
      <c r="P160" s="1">
        <f t="shared" si="20"/>
        <v>0</v>
      </c>
      <c r="Q160" s="1">
        <f t="shared" si="21"/>
        <v>0</v>
      </c>
      <c r="R160" s="12">
        <v>37157</v>
      </c>
      <c r="S160" s="12">
        <v>37157</v>
      </c>
      <c r="T160" s="1">
        <f t="shared" si="22"/>
        <v>0</v>
      </c>
      <c r="U160" s="1">
        <f t="shared" si="23"/>
        <v>0</v>
      </c>
    </row>
    <row r="161" spans="1:21" x14ac:dyDescent="0.25">
      <c r="A161" s="10">
        <v>497</v>
      </c>
      <c r="B161" s="10">
        <v>1</v>
      </c>
      <c r="C161" s="11" t="s">
        <v>153</v>
      </c>
      <c r="D161" s="12">
        <v>232</v>
      </c>
      <c r="E161" s="12">
        <v>231</v>
      </c>
      <c r="F161" s="12">
        <v>23068.356</v>
      </c>
      <c r="G161" s="13">
        <v>20240</v>
      </c>
      <c r="H161" s="1">
        <f t="shared" si="16"/>
        <v>-2828.3559999999998</v>
      </c>
      <c r="I161" s="1">
        <f t="shared" si="17"/>
        <v>-12.191189655172412</v>
      </c>
      <c r="J161" s="12">
        <v>23006.302000000003</v>
      </c>
      <c r="K161" s="13">
        <v>20240</v>
      </c>
      <c r="L161" s="1">
        <f t="shared" si="18"/>
        <v>-2766.3020000000033</v>
      </c>
      <c r="M161" s="1">
        <f t="shared" si="19"/>
        <v>-11.975333333333348</v>
      </c>
      <c r="N161" s="12">
        <v>165070</v>
      </c>
      <c r="O161" s="12">
        <v>165070</v>
      </c>
      <c r="P161" s="1">
        <f t="shared" si="20"/>
        <v>0</v>
      </c>
      <c r="Q161" s="1">
        <f t="shared" si="21"/>
        <v>0</v>
      </c>
      <c r="R161" s="12">
        <v>28260</v>
      </c>
      <c r="S161" s="12">
        <v>28260</v>
      </c>
      <c r="T161" s="1">
        <f t="shared" si="22"/>
        <v>0</v>
      </c>
      <c r="U161" s="1">
        <f t="shared" si="23"/>
        <v>0</v>
      </c>
    </row>
    <row r="162" spans="1:21" x14ac:dyDescent="0.25">
      <c r="A162" s="10">
        <v>499</v>
      </c>
      <c r="B162" s="10">
        <v>1</v>
      </c>
      <c r="C162" s="11" t="s">
        <v>154</v>
      </c>
      <c r="D162" s="12">
        <v>310</v>
      </c>
      <c r="E162" s="12">
        <v>307</v>
      </c>
      <c r="F162" s="12">
        <v>0</v>
      </c>
      <c r="G162" s="13">
        <v>0</v>
      </c>
      <c r="H162" s="1">
        <f t="shared" si="16"/>
        <v>0</v>
      </c>
      <c r="I162" s="1">
        <f t="shared" si="17"/>
        <v>0</v>
      </c>
      <c r="J162" s="12">
        <v>0</v>
      </c>
      <c r="K162" s="13">
        <v>0</v>
      </c>
      <c r="L162" s="1">
        <f t="shared" si="18"/>
        <v>0</v>
      </c>
      <c r="M162" s="1">
        <f t="shared" si="19"/>
        <v>0</v>
      </c>
      <c r="N162" s="12">
        <v>604822</v>
      </c>
      <c r="O162" s="12">
        <v>604822</v>
      </c>
      <c r="P162" s="1">
        <f t="shared" si="20"/>
        <v>0</v>
      </c>
      <c r="Q162" s="1">
        <f t="shared" si="21"/>
        <v>0</v>
      </c>
      <c r="R162" s="12">
        <v>21713</v>
      </c>
      <c r="S162" s="12">
        <v>21713</v>
      </c>
      <c r="T162" s="1">
        <f t="shared" si="22"/>
        <v>0</v>
      </c>
      <c r="U162" s="1">
        <f t="shared" si="23"/>
        <v>0</v>
      </c>
    </row>
    <row r="163" spans="1:21" x14ac:dyDescent="0.25">
      <c r="A163" s="10">
        <v>500</v>
      </c>
      <c r="B163" s="10">
        <v>1</v>
      </c>
      <c r="C163" s="11" t="s">
        <v>155</v>
      </c>
      <c r="D163" s="12">
        <v>519</v>
      </c>
      <c r="E163" s="12">
        <v>493</v>
      </c>
      <c r="F163" s="12">
        <v>53610.285999999993</v>
      </c>
      <c r="G163" s="13">
        <v>43707</v>
      </c>
      <c r="H163" s="1">
        <f t="shared" si="16"/>
        <v>-9903.2859999999928</v>
      </c>
      <c r="I163" s="1">
        <f t="shared" si="17"/>
        <v>-19.081475915221567</v>
      </c>
      <c r="J163" s="12">
        <v>50699.865999999995</v>
      </c>
      <c r="K163" s="13">
        <v>30125</v>
      </c>
      <c r="L163" s="1">
        <f t="shared" si="18"/>
        <v>-20574.865999999995</v>
      </c>
      <c r="M163" s="1">
        <f t="shared" si="19"/>
        <v>-41.734008113590249</v>
      </c>
      <c r="N163" s="12">
        <v>884903</v>
      </c>
      <c r="O163" s="12">
        <v>382136.63</v>
      </c>
      <c r="P163" s="1">
        <f t="shared" si="20"/>
        <v>-502766.37</v>
      </c>
      <c r="Q163" s="1">
        <f t="shared" si="21"/>
        <v>-1019.8100811359026</v>
      </c>
      <c r="R163" s="12">
        <v>41051</v>
      </c>
      <c r="S163" s="12">
        <v>62471.95</v>
      </c>
      <c r="T163" s="1">
        <f t="shared" si="22"/>
        <v>21420.949999999997</v>
      </c>
      <c r="U163" s="1">
        <f t="shared" si="23"/>
        <v>43.450202839756585</v>
      </c>
    </row>
    <row r="164" spans="1:21" x14ac:dyDescent="0.25">
      <c r="A164" s="10">
        <v>505</v>
      </c>
      <c r="B164" s="10">
        <v>1</v>
      </c>
      <c r="C164" s="11" t="s">
        <v>156</v>
      </c>
      <c r="D164" s="12">
        <v>340</v>
      </c>
      <c r="E164" s="12">
        <v>320</v>
      </c>
      <c r="F164" s="12">
        <v>35394.378000000004</v>
      </c>
      <c r="G164" s="13">
        <v>37257.240000000005</v>
      </c>
      <c r="H164" s="1">
        <f t="shared" si="16"/>
        <v>1862.862000000001</v>
      </c>
      <c r="I164" s="1">
        <f t="shared" si="17"/>
        <v>5.4790058823529444</v>
      </c>
      <c r="J164" s="12">
        <v>32811.707999999999</v>
      </c>
      <c r="K164" s="13">
        <v>34538.639999999999</v>
      </c>
      <c r="L164" s="1">
        <f t="shared" si="18"/>
        <v>1726.9320000000007</v>
      </c>
      <c r="M164" s="1">
        <f t="shared" si="19"/>
        <v>5.3966625000000024</v>
      </c>
      <c r="N164" s="12">
        <v>726975</v>
      </c>
      <c r="O164" s="12">
        <v>382220</v>
      </c>
      <c r="P164" s="1">
        <f t="shared" si="20"/>
        <v>-344755</v>
      </c>
      <c r="Q164" s="1">
        <f t="shared" si="21"/>
        <v>-1077.359375</v>
      </c>
      <c r="R164" s="12">
        <v>17582</v>
      </c>
      <c r="S164" s="12">
        <v>34931.089999999997</v>
      </c>
      <c r="T164" s="1">
        <f t="shared" si="22"/>
        <v>17349.089999999997</v>
      </c>
      <c r="U164" s="1">
        <f t="shared" si="23"/>
        <v>54.215906249999989</v>
      </c>
    </row>
    <row r="165" spans="1:21" x14ac:dyDescent="0.25">
      <c r="A165" s="10">
        <v>507</v>
      </c>
      <c r="B165" s="10">
        <v>1</v>
      </c>
      <c r="C165" s="11" t="s">
        <v>157</v>
      </c>
      <c r="D165" s="12">
        <v>333</v>
      </c>
      <c r="E165" s="12">
        <v>344</v>
      </c>
      <c r="F165" s="12">
        <v>32877.257999999994</v>
      </c>
      <c r="G165" s="13">
        <v>32766</v>
      </c>
      <c r="H165" s="1">
        <f t="shared" si="16"/>
        <v>-111.25799999999435</v>
      </c>
      <c r="I165" s="1">
        <f t="shared" si="17"/>
        <v>-0.33410810810809116</v>
      </c>
      <c r="J165" s="12">
        <v>33822.052000000003</v>
      </c>
      <c r="K165" s="13">
        <v>32000</v>
      </c>
      <c r="L165" s="1">
        <f t="shared" si="18"/>
        <v>-1822.0520000000033</v>
      </c>
      <c r="M165" s="1">
        <f t="shared" si="19"/>
        <v>-5.2966627906976838</v>
      </c>
      <c r="N165" s="12">
        <v>310648</v>
      </c>
      <c r="O165" s="12">
        <v>310648</v>
      </c>
      <c r="P165" s="1">
        <f t="shared" si="20"/>
        <v>0</v>
      </c>
      <c r="Q165" s="1">
        <f t="shared" si="21"/>
        <v>0</v>
      </c>
      <c r="R165" s="12">
        <v>38618</v>
      </c>
      <c r="S165" s="12">
        <v>38618</v>
      </c>
      <c r="T165" s="1">
        <f t="shared" si="22"/>
        <v>0</v>
      </c>
      <c r="U165" s="1">
        <f t="shared" si="23"/>
        <v>0</v>
      </c>
    </row>
    <row r="166" spans="1:21" x14ac:dyDescent="0.25">
      <c r="A166" s="10">
        <v>508</v>
      </c>
      <c r="B166" s="10">
        <v>1</v>
      </c>
      <c r="C166" s="11" t="s">
        <v>158</v>
      </c>
      <c r="D166" s="12">
        <v>1884</v>
      </c>
      <c r="E166" s="12">
        <v>1872</v>
      </c>
      <c r="F166" s="12">
        <v>0</v>
      </c>
      <c r="G166" s="13">
        <v>0</v>
      </c>
      <c r="H166" s="1">
        <f t="shared" si="16"/>
        <v>0</v>
      </c>
      <c r="I166" s="1">
        <f t="shared" si="17"/>
        <v>0</v>
      </c>
      <c r="J166" s="12">
        <v>0</v>
      </c>
      <c r="K166" s="13">
        <v>0</v>
      </c>
      <c r="L166" s="1">
        <f t="shared" si="18"/>
        <v>0</v>
      </c>
      <c r="M166" s="1">
        <f t="shared" si="19"/>
        <v>0</v>
      </c>
      <c r="N166" s="12">
        <v>1348330</v>
      </c>
      <c r="O166" s="12">
        <v>1348330</v>
      </c>
      <c r="P166" s="1">
        <f t="shared" si="20"/>
        <v>0</v>
      </c>
      <c r="Q166" s="1">
        <f t="shared" si="21"/>
        <v>0</v>
      </c>
      <c r="R166" s="12">
        <v>231268</v>
      </c>
      <c r="S166" s="12">
        <v>231268</v>
      </c>
      <c r="T166" s="1">
        <f t="shared" si="22"/>
        <v>0</v>
      </c>
      <c r="U166" s="1">
        <f t="shared" si="23"/>
        <v>0</v>
      </c>
    </row>
    <row r="167" spans="1:21" x14ac:dyDescent="0.25">
      <c r="A167" s="10">
        <v>511</v>
      </c>
      <c r="B167" s="10">
        <v>1</v>
      </c>
      <c r="C167" s="11" t="s">
        <v>159</v>
      </c>
      <c r="D167" s="12">
        <v>550</v>
      </c>
      <c r="E167" s="12">
        <v>555</v>
      </c>
      <c r="F167" s="12">
        <v>55485.89</v>
      </c>
      <c r="G167" s="13">
        <v>58406</v>
      </c>
      <c r="H167" s="1">
        <f t="shared" si="16"/>
        <v>2920.1100000000006</v>
      </c>
      <c r="I167" s="1">
        <f t="shared" si="17"/>
        <v>5.3092909090909099</v>
      </c>
      <c r="J167" s="12">
        <v>55996.305999999997</v>
      </c>
      <c r="K167" s="13">
        <v>58406</v>
      </c>
      <c r="L167" s="1">
        <f t="shared" si="18"/>
        <v>2409.6940000000031</v>
      </c>
      <c r="M167" s="1">
        <f t="shared" si="19"/>
        <v>4.3417909909909964</v>
      </c>
      <c r="N167" s="12">
        <v>593450</v>
      </c>
      <c r="O167" s="12">
        <v>593450</v>
      </c>
      <c r="P167" s="1">
        <f t="shared" si="20"/>
        <v>0</v>
      </c>
      <c r="Q167" s="1">
        <f t="shared" si="21"/>
        <v>0</v>
      </c>
      <c r="R167" s="12">
        <v>60565</v>
      </c>
      <c r="S167" s="12">
        <v>60565</v>
      </c>
      <c r="T167" s="1">
        <f t="shared" si="22"/>
        <v>0</v>
      </c>
      <c r="U167" s="1">
        <f t="shared" si="23"/>
        <v>0</v>
      </c>
    </row>
    <row r="168" spans="1:21" x14ac:dyDescent="0.25">
      <c r="A168" s="10">
        <v>513</v>
      </c>
      <c r="B168" s="10">
        <v>1</v>
      </c>
      <c r="C168" s="11" t="s">
        <v>160</v>
      </c>
      <c r="D168" s="12">
        <v>227</v>
      </c>
      <c r="E168" s="12">
        <v>232</v>
      </c>
      <c r="F168" s="12">
        <v>22684.670000000002</v>
      </c>
      <c r="G168" s="13">
        <v>23880</v>
      </c>
      <c r="H168" s="1">
        <f t="shared" si="16"/>
        <v>1195.3299999999981</v>
      </c>
      <c r="I168" s="1">
        <f t="shared" si="17"/>
        <v>5.2657709251101235</v>
      </c>
      <c r="J168" s="12">
        <v>23258.014000000003</v>
      </c>
      <c r="K168" s="13">
        <v>23300</v>
      </c>
      <c r="L168" s="1">
        <f t="shared" si="18"/>
        <v>41.985999999997148</v>
      </c>
      <c r="M168" s="1">
        <f t="shared" si="19"/>
        <v>0.18097413793102218</v>
      </c>
      <c r="N168" s="12">
        <v>322020</v>
      </c>
      <c r="O168" s="12">
        <v>322020</v>
      </c>
      <c r="P168" s="1">
        <f t="shared" si="20"/>
        <v>0</v>
      </c>
      <c r="Q168" s="1">
        <f t="shared" si="21"/>
        <v>0</v>
      </c>
      <c r="R168" s="12">
        <v>21937</v>
      </c>
      <c r="S168" s="12">
        <v>21937</v>
      </c>
      <c r="T168" s="1">
        <f t="shared" si="22"/>
        <v>0</v>
      </c>
      <c r="U168" s="1">
        <f t="shared" si="23"/>
        <v>0</v>
      </c>
    </row>
    <row r="169" spans="1:21" x14ac:dyDescent="0.25">
      <c r="A169" s="10">
        <v>514</v>
      </c>
      <c r="B169" s="10">
        <v>1</v>
      </c>
      <c r="C169" s="11" t="s">
        <v>161</v>
      </c>
      <c r="D169" s="12">
        <v>170</v>
      </c>
      <c r="E169" s="12">
        <v>154</v>
      </c>
      <c r="F169" s="12">
        <v>17371.623999999996</v>
      </c>
      <c r="G169" s="13">
        <v>18285.919999999998</v>
      </c>
      <c r="H169" s="1">
        <f t="shared" si="16"/>
        <v>914.2960000000021</v>
      </c>
      <c r="I169" s="1">
        <f t="shared" si="17"/>
        <v>5.3782117647058945</v>
      </c>
      <c r="J169" s="12">
        <v>16039.647999999999</v>
      </c>
      <c r="K169" s="13">
        <v>16883.84</v>
      </c>
      <c r="L169" s="1">
        <f t="shared" si="18"/>
        <v>844.19200000000092</v>
      </c>
      <c r="M169" s="1">
        <f t="shared" si="19"/>
        <v>5.4817662337662396</v>
      </c>
      <c r="N169" s="12">
        <v>197926</v>
      </c>
      <c r="O169" s="12">
        <v>197926</v>
      </c>
      <c r="P169" s="1">
        <f t="shared" si="20"/>
        <v>0</v>
      </c>
      <c r="Q169" s="1">
        <f t="shared" si="21"/>
        <v>0</v>
      </c>
      <c r="R169" s="12">
        <v>16628</v>
      </c>
      <c r="S169" s="12">
        <v>16628</v>
      </c>
      <c r="T169" s="1">
        <f t="shared" si="22"/>
        <v>0</v>
      </c>
      <c r="U169" s="1">
        <f t="shared" si="23"/>
        <v>0</v>
      </c>
    </row>
    <row r="170" spans="1:21" x14ac:dyDescent="0.25">
      <c r="A170" s="10">
        <v>516</v>
      </c>
      <c r="B170" s="10">
        <v>1</v>
      </c>
      <c r="C170" s="11" t="s">
        <v>162</v>
      </c>
      <c r="D170" s="12">
        <v>109</v>
      </c>
      <c r="E170" s="12">
        <v>109</v>
      </c>
      <c r="F170" s="12">
        <v>11033.376</v>
      </c>
      <c r="G170" s="13">
        <v>11614.08</v>
      </c>
      <c r="H170" s="1">
        <f t="shared" si="16"/>
        <v>580.70399999999972</v>
      </c>
      <c r="I170" s="1">
        <f t="shared" si="17"/>
        <v>5.3275596330275201</v>
      </c>
      <c r="J170" s="12">
        <v>11024.635999999999</v>
      </c>
      <c r="K170" s="13">
        <v>11604.88</v>
      </c>
      <c r="L170" s="1">
        <f t="shared" si="18"/>
        <v>580.2440000000006</v>
      </c>
      <c r="M170" s="1">
        <f t="shared" si="19"/>
        <v>5.3233394495412902</v>
      </c>
      <c r="N170" s="12">
        <v>209850</v>
      </c>
      <c r="O170" s="12">
        <v>209850</v>
      </c>
      <c r="P170" s="1">
        <f t="shared" si="20"/>
        <v>0</v>
      </c>
      <c r="Q170" s="1">
        <f t="shared" si="21"/>
        <v>0</v>
      </c>
      <c r="R170" s="12">
        <v>7963</v>
      </c>
      <c r="S170" s="12">
        <v>7963</v>
      </c>
      <c r="T170" s="1">
        <f t="shared" si="22"/>
        <v>0</v>
      </c>
      <c r="U170" s="1">
        <f t="shared" si="23"/>
        <v>0</v>
      </c>
    </row>
    <row r="171" spans="1:21" x14ac:dyDescent="0.25">
      <c r="A171" s="10">
        <v>518</v>
      </c>
      <c r="B171" s="10">
        <v>1</v>
      </c>
      <c r="C171" s="11" t="s">
        <v>163</v>
      </c>
      <c r="D171" s="12">
        <v>2593</v>
      </c>
      <c r="E171" s="12">
        <v>2548</v>
      </c>
      <c r="F171" s="12">
        <v>266115.67399999994</v>
      </c>
      <c r="G171" s="13">
        <v>385384.92</v>
      </c>
      <c r="H171" s="1">
        <f t="shared" si="16"/>
        <v>119269.24600000004</v>
      </c>
      <c r="I171" s="1">
        <f t="shared" si="17"/>
        <v>45.996623987659099</v>
      </c>
      <c r="J171" s="12">
        <v>359716.11300000001</v>
      </c>
      <c r="K171" s="13">
        <v>378648.54000000004</v>
      </c>
      <c r="L171" s="1">
        <f t="shared" si="18"/>
        <v>18932.427000000025</v>
      </c>
      <c r="M171" s="1">
        <f t="shared" si="19"/>
        <v>7.4303088697017365</v>
      </c>
      <c r="N171" s="12">
        <v>3005780</v>
      </c>
      <c r="O171" s="12">
        <v>3005780</v>
      </c>
      <c r="P171" s="1">
        <f t="shared" si="20"/>
        <v>0</v>
      </c>
      <c r="Q171" s="1">
        <f t="shared" si="21"/>
        <v>0</v>
      </c>
      <c r="R171" s="12">
        <v>266852</v>
      </c>
      <c r="S171" s="12">
        <v>266852</v>
      </c>
      <c r="T171" s="1">
        <f t="shared" si="22"/>
        <v>0</v>
      </c>
      <c r="U171" s="1">
        <f t="shared" si="23"/>
        <v>0</v>
      </c>
    </row>
    <row r="172" spans="1:21" x14ac:dyDescent="0.25">
      <c r="A172" s="10">
        <v>531</v>
      </c>
      <c r="B172" s="10">
        <v>1</v>
      </c>
      <c r="C172" s="11" t="s">
        <v>164</v>
      </c>
      <c r="D172" s="12">
        <v>1788</v>
      </c>
      <c r="E172" s="12">
        <v>1809</v>
      </c>
      <c r="F172" s="12">
        <v>180115.66800000001</v>
      </c>
      <c r="G172" s="13">
        <v>13085</v>
      </c>
      <c r="H172" s="1">
        <f t="shared" si="16"/>
        <v>-167030.66800000001</v>
      </c>
      <c r="I172" s="1">
        <f t="shared" si="17"/>
        <v>-93.41759955257271</v>
      </c>
      <c r="J172" s="12">
        <v>181860.17199999999</v>
      </c>
      <c r="K172" s="13">
        <v>13000</v>
      </c>
      <c r="L172" s="1">
        <f t="shared" si="18"/>
        <v>-168860.17199999999</v>
      </c>
      <c r="M172" s="1">
        <f t="shared" si="19"/>
        <v>-93.34448424543946</v>
      </c>
      <c r="N172" s="12">
        <v>216012</v>
      </c>
      <c r="O172" s="12">
        <v>216012</v>
      </c>
      <c r="P172" s="1">
        <f t="shared" si="20"/>
        <v>0</v>
      </c>
      <c r="Q172" s="1">
        <f t="shared" si="21"/>
        <v>0</v>
      </c>
      <c r="R172" s="12">
        <v>269620</v>
      </c>
      <c r="S172" s="12">
        <v>269620</v>
      </c>
      <c r="T172" s="1">
        <f t="shared" si="22"/>
        <v>0</v>
      </c>
      <c r="U172" s="1">
        <f t="shared" si="23"/>
        <v>0</v>
      </c>
    </row>
    <row r="173" spans="1:21" x14ac:dyDescent="0.25">
      <c r="A173" s="10">
        <v>533</v>
      </c>
      <c r="B173" s="10">
        <v>1</v>
      </c>
      <c r="C173" s="11" t="s">
        <v>165</v>
      </c>
      <c r="D173" s="12">
        <v>1236</v>
      </c>
      <c r="E173" s="12">
        <v>1257</v>
      </c>
      <c r="F173" s="12">
        <v>124556.36199999999</v>
      </c>
      <c r="G173" s="13">
        <v>50313</v>
      </c>
      <c r="H173" s="1">
        <f t="shared" si="16"/>
        <v>-74243.361999999994</v>
      </c>
      <c r="I173" s="1">
        <f t="shared" si="17"/>
        <v>-60.067444983818767</v>
      </c>
      <c r="J173" s="12">
        <v>126952.87</v>
      </c>
      <c r="K173" s="13">
        <v>50000</v>
      </c>
      <c r="L173" s="1">
        <f t="shared" si="18"/>
        <v>-76952.87</v>
      </c>
      <c r="M173" s="1">
        <f t="shared" si="19"/>
        <v>-61.21946698488464</v>
      </c>
      <c r="N173" s="12">
        <v>120464</v>
      </c>
      <c r="O173" s="12">
        <v>120464</v>
      </c>
      <c r="P173" s="1">
        <f t="shared" si="20"/>
        <v>0</v>
      </c>
      <c r="Q173" s="1">
        <f t="shared" si="21"/>
        <v>0</v>
      </c>
      <c r="R173" s="12">
        <v>189508</v>
      </c>
      <c r="S173" s="12">
        <v>189508</v>
      </c>
      <c r="T173" s="1">
        <f t="shared" si="22"/>
        <v>0</v>
      </c>
      <c r="U173" s="1">
        <f t="shared" si="23"/>
        <v>0</v>
      </c>
    </row>
    <row r="174" spans="1:21" x14ac:dyDescent="0.25">
      <c r="A174" s="10">
        <v>534</v>
      </c>
      <c r="B174" s="10">
        <v>1</v>
      </c>
      <c r="C174" s="11" t="s">
        <v>166</v>
      </c>
      <c r="D174" s="12">
        <v>1856</v>
      </c>
      <c r="E174" s="12">
        <v>1848</v>
      </c>
      <c r="F174" s="12">
        <v>186423.32599999997</v>
      </c>
      <c r="G174" s="13">
        <v>79000</v>
      </c>
      <c r="H174" s="1">
        <f t="shared" si="16"/>
        <v>-107423.32599999997</v>
      </c>
      <c r="I174" s="1">
        <f t="shared" si="17"/>
        <v>-57.878947198275846</v>
      </c>
      <c r="J174" s="12">
        <v>185372.77799999999</v>
      </c>
      <c r="K174" s="13">
        <v>79000</v>
      </c>
      <c r="L174" s="1">
        <f t="shared" si="18"/>
        <v>-106372.77799999999</v>
      </c>
      <c r="M174" s="1">
        <f t="shared" si="19"/>
        <v>-57.561027056277048</v>
      </c>
      <c r="N174" s="12">
        <v>1497811</v>
      </c>
      <c r="O174" s="12">
        <v>1497811</v>
      </c>
      <c r="P174" s="1">
        <f t="shared" si="20"/>
        <v>0</v>
      </c>
      <c r="Q174" s="1">
        <f t="shared" si="21"/>
        <v>0</v>
      </c>
      <c r="R174" s="12">
        <v>220756</v>
      </c>
      <c r="S174" s="12">
        <v>220756</v>
      </c>
      <c r="T174" s="1">
        <f t="shared" si="22"/>
        <v>0</v>
      </c>
      <c r="U174" s="1">
        <f t="shared" si="23"/>
        <v>0</v>
      </c>
    </row>
    <row r="175" spans="1:21" x14ac:dyDescent="0.25">
      <c r="A175" s="10">
        <v>535</v>
      </c>
      <c r="B175" s="10">
        <v>1</v>
      </c>
      <c r="C175" s="11" t="s">
        <v>167</v>
      </c>
      <c r="D175" s="12">
        <v>16105</v>
      </c>
      <c r="E175" s="12">
        <v>16395</v>
      </c>
      <c r="F175" s="12">
        <v>2257183.4985000002</v>
      </c>
      <c r="G175" s="13">
        <v>2374608</v>
      </c>
      <c r="H175" s="1">
        <f t="shared" si="16"/>
        <v>117424.50149999978</v>
      </c>
      <c r="I175" s="1">
        <f t="shared" si="17"/>
        <v>7.2911829556038361</v>
      </c>
      <c r="J175" s="12">
        <v>2292275.6909999996</v>
      </c>
      <c r="K175" s="13">
        <v>2372002</v>
      </c>
      <c r="L175" s="1">
        <f t="shared" si="18"/>
        <v>79726.309000000358</v>
      </c>
      <c r="M175" s="1">
        <f t="shared" si="19"/>
        <v>4.8628428789265241</v>
      </c>
      <c r="N175" s="12">
        <v>9275457</v>
      </c>
      <c r="O175" s="12">
        <v>9275457</v>
      </c>
      <c r="P175" s="1">
        <f t="shared" si="20"/>
        <v>0</v>
      </c>
      <c r="Q175" s="1">
        <f t="shared" si="21"/>
        <v>0</v>
      </c>
      <c r="R175" s="12">
        <v>2111198</v>
      </c>
      <c r="S175" s="12">
        <v>2111198</v>
      </c>
      <c r="T175" s="1">
        <f t="shared" si="22"/>
        <v>0</v>
      </c>
      <c r="U175" s="1">
        <f t="shared" si="23"/>
        <v>0</v>
      </c>
    </row>
    <row r="176" spans="1:21" x14ac:dyDescent="0.25">
      <c r="A176" s="10">
        <v>542</v>
      </c>
      <c r="B176" s="10">
        <v>1</v>
      </c>
      <c r="C176" s="11" t="s">
        <v>168</v>
      </c>
      <c r="D176" s="12">
        <v>463</v>
      </c>
      <c r="E176" s="12">
        <v>457</v>
      </c>
      <c r="F176" s="12">
        <v>47020.326000000001</v>
      </c>
      <c r="G176" s="13">
        <v>46644</v>
      </c>
      <c r="H176" s="1">
        <f t="shared" si="16"/>
        <v>-376.32600000000093</v>
      </c>
      <c r="I176" s="1">
        <f t="shared" si="17"/>
        <v>-0.81279913606911647</v>
      </c>
      <c r="J176" s="12">
        <v>46442.611999999994</v>
      </c>
      <c r="K176" s="13">
        <v>48886.96</v>
      </c>
      <c r="L176" s="1">
        <f t="shared" si="18"/>
        <v>2444.3480000000054</v>
      </c>
      <c r="M176" s="1">
        <f t="shared" si="19"/>
        <v>5.3486827133479329</v>
      </c>
      <c r="N176" s="12">
        <v>0</v>
      </c>
      <c r="O176" s="12">
        <v>0</v>
      </c>
      <c r="P176" s="1">
        <f t="shared" si="20"/>
        <v>0</v>
      </c>
      <c r="Q176" s="1">
        <f t="shared" si="21"/>
        <v>0</v>
      </c>
      <c r="R176" s="12">
        <v>85704.079023987579</v>
      </c>
      <c r="S176" s="12">
        <v>85704.079023987579</v>
      </c>
      <c r="T176" s="1">
        <f t="shared" si="22"/>
        <v>0</v>
      </c>
      <c r="U176" s="1">
        <f t="shared" si="23"/>
        <v>0</v>
      </c>
    </row>
    <row r="177" spans="1:21" x14ac:dyDescent="0.25">
      <c r="A177" s="10">
        <v>544</v>
      </c>
      <c r="B177" s="10">
        <v>1</v>
      </c>
      <c r="C177" s="11" t="s">
        <v>169</v>
      </c>
      <c r="D177" s="12">
        <v>2714</v>
      </c>
      <c r="E177" s="12">
        <v>2602</v>
      </c>
      <c r="F177" s="12">
        <v>279481.60199999996</v>
      </c>
      <c r="G177" s="13">
        <v>270000</v>
      </c>
      <c r="H177" s="1">
        <f t="shared" si="16"/>
        <v>-9481.6019999999553</v>
      </c>
      <c r="I177" s="1">
        <f t="shared" si="17"/>
        <v>-3.4935895357405879</v>
      </c>
      <c r="J177" s="12">
        <v>267564.61200000002</v>
      </c>
      <c r="K177" s="13">
        <v>270000</v>
      </c>
      <c r="L177" s="1">
        <f t="shared" si="18"/>
        <v>2435.3879999999772</v>
      </c>
      <c r="M177" s="1">
        <f t="shared" si="19"/>
        <v>0.9359677171406523</v>
      </c>
      <c r="N177" s="12">
        <v>1097740</v>
      </c>
      <c r="O177" s="12">
        <v>1097740</v>
      </c>
      <c r="P177" s="1">
        <f t="shared" si="20"/>
        <v>0</v>
      </c>
      <c r="Q177" s="1">
        <f t="shared" si="21"/>
        <v>0</v>
      </c>
      <c r="R177" s="12">
        <v>367650</v>
      </c>
      <c r="S177" s="12">
        <v>367650</v>
      </c>
      <c r="T177" s="1">
        <f t="shared" si="22"/>
        <v>0</v>
      </c>
      <c r="U177" s="1">
        <f t="shared" si="23"/>
        <v>0</v>
      </c>
    </row>
    <row r="178" spans="1:21" x14ac:dyDescent="0.25">
      <c r="A178" s="10">
        <v>545</v>
      </c>
      <c r="B178" s="10">
        <v>1</v>
      </c>
      <c r="C178" s="11" t="s">
        <v>170</v>
      </c>
      <c r="D178" s="12">
        <v>359</v>
      </c>
      <c r="E178" s="12">
        <v>351</v>
      </c>
      <c r="F178" s="12">
        <v>0</v>
      </c>
      <c r="G178" s="13">
        <v>0</v>
      </c>
      <c r="H178" s="1">
        <f t="shared" si="16"/>
        <v>0</v>
      </c>
      <c r="I178" s="1">
        <f t="shared" si="17"/>
        <v>0</v>
      </c>
      <c r="J178" s="12">
        <v>0</v>
      </c>
      <c r="K178" s="13">
        <v>0</v>
      </c>
      <c r="L178" s="1">
        <f t="shared" si="18"/>
        <v>0</v>
      </c>
      <c r="M178" s="1">
        <f t="shared" si="19"/>
        <v>0</v>
      </c>
      <c r="N178" s="12">
        <v>475776</v>
      </c>
      <c r="O178" s="12">
        <v>475776</v>
      </c>
      <c r="P178" s="1">
        <f t="shared" si="20"/>
        <v>0</v>
      </c>
      <c r="Q178" s="1">
        <f t="shared" si="21"/>
        <v>0</v>
      </c>
      <c r="R178" s="12">
        <v>34543</v>
      </c>
      <c r="S178" s="12">
        <v>34543</v>
      </c>
      <c r="T178" s="1">
        <f t="shared" si="22"/>
        <v>0</v>
      </c>
      <c r="U178" s="1">
        <f t="shared" si="23"/>
        <v>0</v>
      </c>
    </row>
    <row r="179" spans="1:21" x14ac:dyDescent="0.25">
      <c r="A179" s="10">
        <v>547</v>
      </c>
      <c r="B179" s="10">
        <v>1</v>
      </c>
      <c r="C179" s="11" t="s">
        <v>171</v>
      </c>
      <c r="D179" s="12">
        <v>520</v>
      </c>
      <c r="E179" s="12">
        <v>481</v>
      </c>
      <c r="F179" s="12">
        <v>0</v>
      </c>
      <c r="G179" s="13">
        <v>0</v>
      </c>
      <c r="H179" s="1">
        <f t="shared" si="16"/>
        <v>0</v>
      </c>
      <c r="I179" s="1">
        <f t="shared" si="17"/>
        <v>0</v>
      </c>
      <c r="J179" s="12">
        <v>0</v>
      </c>
      <c r="K179" s="13">
        <v>0</v>
      </c>
      <c r="L179" s="1">
        <f t="shared" si="18"/>
        <v>0</v>
      </c>
      <c r="M179" s="1">
        <f t="shared" si="19"/>
        <v>0</v>
      </c>
      <c r="N179" s="12">
        <v>617568</v>
      </c>
      <c r="O179" s="12">
        <v>617568</v>
      </c>
      <c r="P179" s="1">
        <f t="shared" si="20"/>
        <v>0</v>
      </c>
      <c r="Q179" s="1">
        <f t="shared" si="21"/>
        <v>0</v>
      </c>
      <c r="R179" s="12">
        <v>50882</v>
      </c>
      <c r="S179" s="12">
        <v>50882</v>
      </c>
      <c r="T179" s="1">
        <f t="shared" si="22"/>
        <v>0</v>
      </c>
      <c r="U179" s="1">
        <f t="shared" si="23"/>
        <v>0</v>
      </c>
    </row>
    <row r="180" spans="1:21" x14ac:dyDescent="0.25">
      <c r="A180" s="10">
        <v>548</v>
      </c>
      <c r="B180" s="10">
        <v>1</v>
      </c>
      <c r="C180" s="11" t="s">
        <v>172</v>
      </c>
      <c r="D180" s="12">
        <v>900</v>
      </c>
      <c r="E180" s="12">
        <v>884</v>
      </c>
      <c r="F180" s="12">
        <v>127982.64149999997</v>
      </c>
      <c r="G180" s="13">
        <v>133782</v>
      </c>
      <c r="H180" s="1">
        <f t="shared" si="16"/>
        <v>5799.3585000000312</v>
      </c>
      <c r="I180" s="1">
        <f t="shared" si="17"/>
        <v>6.4437316666667011</v>
      </c>
      <c r="J180" s="12">
        <v>125396.8365</v>
      </c>
      <c r="K180" s="13">
        <v>131996.67000000001</v>
      </c>
      <c r="L180" s="1">
        <f t="shared" si="18"/>
        <v>6599.8335000000079</v>
      </c>
      <c r="M180" s="1">
        <f t="shared" si="19"/>
        <v>7.4658750000000094</v>
      </c>
      <c r="N180" s="12">
        <v>0</v>
      </c>
      <c r="O180" s="12">
        <v>0</v>
      </c>
      <c r="P180" s="1">
        <f t="shared" si="20"/>
        <v>0</v>
      </c>
      <c r="Q180" s="1">
        <f t="shared" si="21"/>
        <v>0</v>
      </c>
      <c r="R180" s="12">
        <v>160657</v>
      </c>
      <c r="S180" s="12">
        <v>160657</v>
      </c>
      <c r="T180" s="1">
        <f t="shared" si="22"/>
        <v>0</v>
      </c>
      <c r="U180" s="1">
        <f t="shared" si="23"/>
        <v>0</v>
      </c>
    </row>
    <row r="181" spans="1:21" x14ac:dyDescent="0.25">
      <c r="A181" s="10">
        <v>549</v>
      </c>
      <c r="B181" s="10">
        <v>1</v>
      </c>
      <c r="C181" s="11" t="s">
        <v>173</v>
      </c>
      <c r="D181" s="12">
        <v>1394</v>
      </c>
      <c r="E181" s="12">
        <v>1260</v>
      </c>
      <c r="F181" s="12">
        <v>144015.098</v>
      </c>
      <c r="G181" s="13">
        <v>118398</v>
      </c>
      <c r="H181" s="1">
        <f t="shared" si="16"/>
        <v>-25617.097999999998</v>
      </c>
      <c r="I181" s="1">
        <f t="shared" si="17"/>
        <v>-18.376684361549497</v>
      </c>
      <c r="J181" s="12">
        <v>130780.98999999998</v>
      </c>
      <c r="K181" s="13">
        <v>137664.19999999998</v>
      </c>
      <c r="L181" s="1">
        <f t="shared" si="18"/>
        <v>6883.2100000000064</v>
      </c>
      <c r="M181" s="1">
        <f t="shared" si="19"/>
        <v>5.4628650793650841</v>
      </c>
      <c r="N181" s="12">
        <v>0</v>
      </c>
      <c r="O181" s="12">
        <v>0</v>
      </c>
      <c r="P181" s="1">
        <f t="shared" si="20"/>
        <v>0</v>
      </c>
      <c r="Q181" s="1">
        <f t="shared" si="21"/>
        <v>0</v>
      </c>
      <c r="R181" s="12">
        <v>190339</v>
      </c>
      <c r="S181" s="12">
        <v>190339</v>
      </c>
      <c r="T181" s="1">
        <f t="shared" si="22"/>
        <v>0</v>
      </c>
      <c r="U181" s="1">
        <f t="shared" si="23"/>
        <v>0</v>
      </c>
    </row>
    <row r="182" spans="1:21" x14ac:dyDescent="0.25">
      <c r="A182" s="10">
        <v>550</v>
      </c>
      <c r="B182" s="10">
        <v>1</v>
      </c>
      <c r="C182" s="11" t="s">
        <v>174</v>
      </c>
      <c r="D182" s="12">
        <v>544</v>
      </c>
      <c r="E182" s="12">
        <v>541</v>
      </c>
      <c r="F182" s="12">
        <v>55289.24</v>
      </c>
      <c r="G182" s="13">
        <v>41441</v>
      </c>
      <c r="H182" s="1">
        <f t="shared" si="16"/>
        <v>-13848.239999999998</v>
      </c>
      <c r="I182" s="1">
        <f t="shared" si="17"/>
        <v>-25.456323529411762</v>
      </c>
      <c r="J182" s="12">
        <v>54886.326000000001</v>
      </c>
      <c r="K182" s="13">
        <v>41441</v>
      </c>
      <c r="L182" s="1">
        <f t="shared" si="18"/>
        <v>-13445.326000000001</v>
      </c>
      <c r="M182" s="1">
        <f t="shared" si="19"/>
        <v>-24.852728280961184</v>
      </c>
      <c r="N182" s="12">
        <v>0</v>
      </c>
      <c r="O182" s="12">
        <v>0</v>
      </c>
      <c r="P182" s="1">
        <f t="shared" si="20"/>
        <v>0</v>
      </c>
      <c r="Q182" s="1">
        <f t="shared" si="21"/>
        <v>0</v>
      </c>
      <c r="R182" s="12">
        <v>66770.176615159624</v>
      </c>
      <c r="S182" s="12">
        <v>66770.176615159624</v>
      </c>
      <c r="T182" s="1">
        <f t="shared" si="22"/>
        <v>0</v>
      </c>
      <c r="U182" s="1">
        <f t="shared" si="23"/>
        <v>0</v>
      </c>
    </row>
    <row r="183" spans="1:21" x14ac:dyDescent="0.25">
      <c r="A183" s="10">
        <v>553</v>
      </c>
      <c r="B183" s="10">
        <v>1</v>
      </c>
      <c r="C183" s="11" t="s">
        <v>175</v>
      </c>
      <c r="D183" s="12">
        <v>708</v>
      </c>
      <c r="E183" s="12">
        <v>712</v>
      </c>
      <c r="F183" s="12">
        <v>0</v>
      </c>
      <c r="G183" s="13">
        <v>0</v>
      </c>
      <c r="H183" s="1">
        <f t="shared" si="16"/>
        <v>0</v>
      </c>
      <c r="I183" s="1">
        <f t="shared" si="17"/>
        <v>0</v>
      </c>
      <c r="J183" s="12">
        <v>0</v>
      </c>
      <c r="K183" s="13">
        <v>0</v>
      </c>
      <c r="L183" s="1">
        <f t="shared" si="18"/>
        <v>0</v>
      </c>
      <c r="M183" s="1">
        <f t="shared" si="19"/>
        <v>0</v>
      </c>
      <c r="N183" s="12">
        <v>292334</v>
      </c>
      <c r="O183" s="12">
        <v>292334</v>
      </c>
      <c r="P183" s="1">
        <f t="shared" si="20"/>
        <v>0</v>
      </c>
      <c r="Q183" s="1">
        <f t="shared" si="21"/>
        <v>0</v>
      </c>
      <c r="R183" s="12">
        <v>97062</v>
      </c>
      <c r="S183" s="12">
        <v>97062</v>
      </c>
      <c r="T183" s="1">
        <f t="shared" si="22"/>
        <v>0</v>
      </c>
      <c r="U183" s="1">
        <f t="shared" si="23"/>
        <v>0</v>
      </c>
    </row>
    <row r="184" spans="1:21" x14ac:dyDescent="0.25">
      <c r="A184" s="10">
        <v>561</v>
      </c>
      <c r="B184" s="10">
        <v>1</v>
      </c>
      <c r="C184" s="11" t="s">
        <v>176</v>
      </c>
      <c r="D184" s="12">
        <v>194</v>
      </c>
      <c r="E184" s="12">
        <v>191</v>
      </c>
      <c r="F184" s="12">
        <v>0</v>
      </c>
      <c r="G184" s="13">
        <v>0</v>
      </c>
      <c r="H184" s="1">
        <f t="shared" si="16"/>
        <v>0</v>
      </c>
      <c r="I184" s="1">
        <f t="shared" si="17"/>
        <v>0</v>
      </c>
      <c r="J184" s="12">
        <v>0</v>
      </c>
      <c r="K184" s="13">
        <v>0</v>
      </c>
      <c r="L184" s="1">
        <f t="shared" si="18"/>
        <v>0</v>
      </c>
      <c r="M184" s="1">
        <f t="shared" si="19"/>
        <v>0</v>
      </c>
      <c r="N184" s="12">
        <v>308064</v>
      </c>
      <c r="O184" s="12">
        <v>308064</v>
      </c>
      <c r="P184" s="1">
        <f t="shared" si="20"/>
        <v>0</v>
      </c>
      <c r="Q184" s="1">
        <f t="shared" si="21"/>
        <v>0</v>
      </c>
      <c r="R184" s="12">
        <v>16460</v>
      </c>
      <c r="S184" s="12">
        <v>16460</v>
      </c>
      <c r="T184" s="1">
        <f t="shared" si="22"/>
        <v>0</v>
      </c>
      <c r="U184" s="1">
        <f t="shared" si="23"/>
        <v>0</v>
      </c>
    </row>
    <row r="185" spans="1:21" x14ac:dyDescent="0.25">
      <c r="A185" s="10">
        <v>564</v>
      </c>
      <c r="B185" s="10">
        <v>1</v>
      </c>
      <c r="C185" s="11" t="s">
        <v>177</v>
      </c>
      <c r="D185" s="12">
        <v>1989</v>
      </c>
      <c r="E185" s="12">
        <v>1990</v>
      </c>
      <c r="F185" s="12">
        <v>0</v>
      </c>
      <c r="G185" s="13">
        <v>0</v>
      </c>
      <c r="H185" s="1">
        <f t="shared" si="16"/>
        <v>0</v>
      </c>
      <c r="I185" s="1">
        <f t="shared" si="17"/>
        <v>0</v>
      </c>
      <c r="J185" s="12">
        <v>0</v>
      </c>
      <c r="K185" s="13">
        <v>0</v>
      </c>
      <c r="L185" s="1">
        <f t="shared" si="18"/>
        <v>0</v>
      </c>
      <c r="M185" s="1">
        <f t="shared" si="19"/>
        <v>0</v>
      </c>
      <c r="N185" s="12">
        <v>1792371</v>
      </c>
      <c r="O185" s="12">
        <v>1487964.66</v>
      </c>
      <c r="P185" s="1">
        <f t="shared" si="20"/>
        <v>-304406.34000000008</v>
      </c>
      <c r="Q185" s="1">
        <f t="shared" si="21"/>
        <v>-152.96801005025131</v>
      </c>
      <c r="R185" s="12">
        <v>232719</v>
      </c>
      <c r="S185" s="12">
        <v>245684.49</v>
      </c>
      <c r="T185" s="1">
        <f t="shared" si="22"/>
        <v>12965.489999999991</v>
      </c>
      <c r="U185" s="1">
        <f t="shared" si="23"/>
        <v>6.5153216080401961</v>
      </c>
    </row>
    <row r="186" spans="1:21" x14ac:dyDescent="0.25">
      <c r="A186" s="10">
        <v>577</v>
      </c>
      <c r="B186" s="10">
        <v>1</v>
      </c>
      <c r="C186" s="11" t="s">
        <v>178</v>
      </c>
      <c r="D186" s="12">
        <v>420</v>
      </c>
      <c r="E186" s="12">
        <v>420</v>
      </c>
      <c r="F186" s="12">
        <v>0</v>
      </c>
      <c r="G186" s="13">
        <v>0</v>
      </c>
      <c r="H186" s="1">
        <f t="shared" si="16"/>
        <v>0</v>
      </c>
      <c r="I186" s="1">
        <f t="shared" si="17"/>
        <v>0</v>
      </c>
      <c r="J186" s="12">
        <v>0</v>
      </c>
      <c r="K186" s="13">
        <v>0</v>
      </c>
      <c r="L186" s="1">
        <f t="shared" si="18"/>
        <v>0</v>
      </c>
      <c r="M186" s="1">
        <f t="shared" si="19"/>
        <v>0</v>
      </c>
      <c r="N186" s="12">
        <v>69625</v>
      </c>
      <c r="O186" s="12">
        <v>69625</v>
      </c>
      <c r="P186" s="1">
        <f t="shared" si="20"/>
        <v>0</v>
      </c>
      <c r="Q186" s="1">
        <f t="shared" si="21"/>
        <v>0</v>
      </c>
      <c r="R186" s="12">
        <v>61685</v>
      </c>
      <c r="S186" s="12">
        <v>61685</v>
      </c>
      <c r="T186" s="1">
        <f t="shared" si="22"/>
        <v>0</v>
      </c>
      <c r="U186" s="1">
        <f t="shared" si="23"/>
        <v>0</v>
      </c>
    </row>
    <row r="187" spans="1:21" x14ac:dyDescent="0.25">
      <c r="A187" s="10">
        <v>578</v>
      </c>
      <c r="B187" s="10">
        <v>1</v>
      </c>
      <c r="C187" s="11" t="s">
        <v>179</v>
      </c>
      <c r="D187" s="12">
        <v>1571</v>
      </c>
      <c r="E187" s="12">
        <v>1551</v>
      </c>
      <c r="F187" s="12">
        <v>0</v>
      </c>
      <c r="G187" s="13">
        <v>0</v>
      </c>
      <c r="H187" s="1">
        <f t="shared" si="16"/>
        <v>0</v>
      </c>
      <c r="I187" s="1">
        <f t="shared" si="17"/>
        <v>0</v>
      </c>
      <c r="J187" s="12">
        <v>0</v>
      </c>
      <c r="K187" s="13">
        <v>0</v>
      </c>
      <c r="L187" s="1">
        <f t="shared" si="18"/>
        <v>0</v>
      </c>
      <c r="M187" s="1">
        <f t="shared" si="19"/>
        <v>0</v>
      </c>
      <c r="N187" s="12">
        <v>1511271</v>
      </c>
      <c r="O187" s="12">
        <v>1511271</v>
      </c>
      <c r="P187" s="1">
        <f t="shared" si="20"/>
        <v>0</v>
      </c>
      <c r="Q187" s="1">
        <f t="shared" si="21"/>
        <v>0</v>
      </c>
      <c r="R187" s="12">
        <v>176096</v>
      </c>
      <c r="S187" s="12">
        <v>176096</v>
      </c>
      <c r="T187" s="1">
        <f t="shared" si="22"/>
        <v>0</v>
      </c>
      <c r="U187" s="1">
        <f t="shared" si="23"/>
        <v>0</v>
      </c>
    </row>
    <row r="188" spans="1:21" x14ac:dyDescent="0.25">
      <c r="A188" s="10">
        <v>581</v>
      </c>
      <c r="B188" s="10">
        <v>1</v>
      </c>
      <c r="C188" s="11" t="s">
        <v>180</v>
      </c>
      <c r="D188" s="12">
        <v>316</v>
      </c>
      <c r="E188" s="12">
        <v>310</v>
      </c>
      <c r="F188" s="12">
        <v>0</v>
      </c>
      <c r="G188" s="13">
        <v>0</v>
      </c>
      <c r="H188" s="1">
        <f t="shared" si="16"/>
        <v>0</v>
      </c>
      <c r="I188" s="1">
        <f t="shared" si="17"/>
        <v>0</v>
      </c>
      <c r="J188" s="12">
        <v>0</v>
      </c>
      <c r="K188" s="13">
        <v>0</v>
      </c>
      <c r="L188" s="1">
        <f t="shared" si="18"/>
        <v>0</v>
      </c>
      <c r="M188" s="1">
        <f t="shared" si="19"/>
        <v>0</v>
      </c>
      <c r="N188" s="12">
        <v>306905</v>
      </c>
      <c r="O188" s="12">
        <v>306905</v>
      </c>
      <c r="P188" s="1">
        <f t="shared" si="20"/>
        <v>0</v>
      </c>
      <c r="Q188" s="1">
        <f t="shared" si="21"/>
        <v>0</v>
      </c>
      <c r="R188" s="12">
        <v>35243</v>
      </c>
      <c r="S188" s="12">
        <v>35243</v>
      </c>
      <c r="T188" s="1">
        <f t="shared" si="22"/>
        <v>0</v>
      </c>
      <c r="U188" s="1">
        <f t="shared" si="23"/>
        <v>0</v>
      </c>
    </row>
    <row r="189" spans="1:21" x14ac:dyDescent="0.25">
      <c r="A189" s="10">
        <v>592</v>
      </c>
      <c r="B189" s="10">
        <v>1</v>
      </c>
      <c r="C189" s="11" t="s">
        <v>181</v>
      </c>
      <c r="D189" s="12">
        <v>123</v>
      </c>
      <c r="E189" s="12">
        <v>121</v>
      </c>
      <c r="F189" s="12">
        <v>0</v>
      </c>
      <c r="G189" s="13">
        <v>0</v>
      </c>
      <c r="H189" s="1">
        <f t="shared" si="16"/>
        <v>0</v>
      </c>
      <c r="I189" s="1">
        <f t="shared" si="17"/>
        <v>0</v>
      </c>
      <c r="J189" s="12">
        <v>0</v>
      </c>
      <c r="K189" s="13">
        <v>0</v>
      </c>
      <c r="L189" s="1">
        <f t="shared" si="18"/>
        <v>0</v>
      </c>
      <c r="M189" s="1">
        <f t="shared" si="19"/>
        <v>0</v>
      </c>
      <c r="N189" s="12">
        <v>279347</v>
      </c>
      <c r="O189" s="12">
        <v>279347</v>
      </c>
      <c r="P189" s="1">
        <f t="shared" si="20"/>
        <v>0</v>
      </c>
      <c r="Q189" s="1">
        <f t="shared" si="21"/>
        <v>0</v>
      </c>
      <c r="R189" s="12">
        <v>6434</v>
      </c>
      <c r="S189" s="12">
        <v>6434</v>
      </c>
      <c r="T189" s="1">
        <f t="shared" si="22"/>
        <v>0</v>
      </c>
      <c r="U189" s="1">
        <f t="shared" si="23"/>
        <v>0</v>
      </c>
    </row>
    <row r="190" spans="1:21" x14ac:dyDescent="0.25">
      <c r="A190" s="10">
        <v>593</v>
      </c>
      <c r="B190" s="10">
        <v>1</v>
      </c>
      <c r="C190" s="11" t="s">
        <v>182</v>
      </c>
      <c r="D190" s="12">
        <v>1231</v>
      </c>
      <c r="E190" s="12">
        <v>1218</v>
      </c>
      <c r="F190" s="12">
        <v>0</v>
      </c>
      <c r="G190" s="13">
        <v>0</v>
      </c>
      <c r="H190" s="1">
        <f t="shared" si="16"/>
        <v>0</v>
      </c>
      <c r="I190" s="1">
        <f t="shared" si="17"/>
        <v>0</v>
      </c>
      <c r="J190" s="12">
        <v>0</v>
      </c>
      <c r="K190" s="13">
        <v>0</v>
      </c>
      <c r="L190" s="1">
        <f t="shared" si="18"/>
        <v>0</v>
      </c>
      <c r="M190" s="1">
        <f t="shared" si="19"/>
        <v>0</v>
      </c>
      <c r="N190" s="12">
        <v>886685</v>
      </c>
      <c r="O190" s="12">
        <v>886685</v>
      </c>
      <c r="P190" s="1">
        <f t="shared" si="20"/>
        <v>0</v>
      </c>
      <c r="Q190" s="1">
        <f t="shared" si="21"/>
        <v>0</v>
      </c>
      <c r="R190" s="12">
        <v>152115</v>
      </c>
      <c r="S190" s="12">
        <v>152115</v>
      </c>
      <c r="T190" s="1">
        <f t="shared" si="22"/>
        <v>0</v>
      </c>
      <c r="U190" s="1">
        <f t="shared" si="23"/>
        <v>0</v>
      </c>
    </row>
    <row r="191" spans="1:21" x14ac:dyDescent="0.25">
      <c r="A191" s="10">
        <v>595</v>
      </c>
      <c r="B191" s="10">
        <v>1</v>
      </c>
      <c r="C191" s="11" t="s">
        <v>183</v>
      </c>
      <c r="D191" s="12">
        <v>1718</v>
      </c>
      <c r="E191" s="12">
        <v>1690</v>
      </c>
      <c r="F191" s="12">
        <v>0</v>
      </c>
      <c r="G191" s="13">
        <v>0</v>
      </c>
      <c r="H191" s="1">
        <f t="shared" si="16"/>
        <v>0</v>
      </c>
      <c r="I191" s="1">
        <f t="shared" si="17"/>
        <v>0</v>
      </c>
      <c r="J191" s="12">
        <v>0</v>
      </c>
      <c r="K191" s="13">
        <v>0</v>
      </c>
      <c r="L191" s="1">
        <f t="shared" si="18"/>
        <v>0</v>
      </c>
      <c r="M191" s="1">
        <f t="shared" si="19"/>
        <v>0</v>
      </c>
      <c r="N191" s="12">
        <v>1113086</v>
      </c>
      <c r="O191" s="12">
        <v>1113086</v>
      </c>
      <c r="P191" s="1">
        <f t="shared" si="20"/>
        <v>0</v>
      </c>
      <c r="Q191" s="1">
        <f t="shared" si="21"/>
        <v>0</v>
      </c>
      <c r="R191" s="12">
        <v>214634</v>
      </c>
      <c r="S191" s="12">
        <v>214634</v>
      </c>
      <c r="T191" s="1">
        <f t="shared" si="22"/>
        <v>0</v>
      </c>
      <c r="U191" s="1">
        <f t="shared" si="23"/>
        <v>0</v>
      </c>
    </row>
    <row r="192" spans="1:21" x14ac:dyDescent="0.25">
      <c r="A192" s="10">
        <v>599</v>
      </c>
      <c r="B192" s="10">
        <v>1</v>
      </c>
      <c r="C192" s="11" t="s">
        <v>184</v>
      </c>
      <c r="D192" s="12">
        <v>463</v>
      </c>
      <c r="E192" s="12">
        <v>462</v>
      </c>
      <c r="F192" s="12">
        <v>0</v>
      </c>
      <c r="G192" s="13">
        <v>0</v>
      </c>
      <c r="H192" s="1">
        <f t="shared" si="16"/>
        <v>0</v>
      </c>
      <c r="I192" s="1">
        <f t="shared" si="17"/>
        <v>0</v>
      </c>
      <c r="J192" s="12">
        <v>0</v>
      </c>
      <c r="K192" s="13">
        <v>0</v>
      </c>
      <c r="L192" s="1">
        <f t="shared" si="18"/>
        <v>0</v>
      </c>
      <c r="M192" s="1">
        <f t="shared" si="19"/>
        <v>0</v>
      </c>
      <c r="N192" s="12">
        <v>560892</v>
      </c>
      <c r="O192" s="12">
        <v>560892</v>
      </c>
      <c r="P192" s="1">
        <f t="shared" si="20"/>
        <v>0</v>
      </c>
      <c r="Q192" s="1">
        <f t="shared" si="21"/>
        <v>0</v>
      </c>
      <c r="R192" s="12">
        <v>46982</v>
      </c>
      <c r="S192" s="12">
        <v>46982</v>
      </c>
      <c r="T192" s="1">
        <f t="shared" si="22"/>
        <v>0</v>
      </c>
      <c r="U192" s="1">
        <f t="shared" si="23"/>
        <v>0</v>
      </c>
    </row>
    <row r="193" spans="1:21" x14ac:dyDescent="0.25">
      <c r="A193" s="10">
        <v>600</v>
      </c>
      <c r="B193" s="10">
        <v>1</v>
      </c>
      <c r="C193" s="11" t="s">
        <v>185</v>
      </c>
      <c r="D193" s="12">
        <v>249</v>
      </c>
      <c r="E193" s="12">
        <v>253</v>
      </c>
      <c r="F193" s="12">
        <v>0</v>
      </c>
      <c r="G193" s="13">
        <v>0</v>
      </c>
      <c r="H193" s="1">
        <f t="shared" si="16"/>
        <v>0</v>
      </c>
      <c r="I193" s="1">
        <f t="shared" si="17"/>
        <v>0</v>
      </c>
      <c r="J193" s="12">
        <v>0</v>
      </c>
      <c r="K193" s="13">
        <v>0</v>
      </c>
      <c r="L193" s="1">
        <f t="shared" si="18"/>
        <v>0</v>
      </c>
      <c r="M193" s="1">
        <f t="shared" si="19"/>
        <v>0</v>
      </c>
      <c r="N193" s="12">
        <v>201240</v>
      </c>
      <c r="O193" s="12">
        <v>201240</v>
      </c>
      <c r="P193" s="1">
        <f t="shared" si="20"/>
        <v>0</v>
      </c>
      <c r="Q193" s="1">
        <f t="shared" si="21"/>
        <v>0</v>
      </c>
      <c r="R193" s="12">
        <v>30698</v>
      </c>
      <c r="S193" s="12">
        <v>30698</v>
      </c>
      <c r="T193" s="1">
        <f t="shared" si="22"/>
        <v>0</v>
      </c>
      <c r="U193" s="1">
        <f t="shared" si="23"/>
        <v>0</v>
      </c>
    </row>
    <row r="194" spans="1:21" x14ac:dyDescent="0.25">
      <c r="A194" s="10">
        <v>601</v>
      </c>
      <c r="B194" s="10">
        <v>1</v>
      </c>
      <c r="C194" s="11" t="s">
        <v>186</v>
      </c>
      <c r="D194" s="12">
        <v>630</v>
      </c>
      <c r="E194" s="12">
        <v>629</v>
      </c>
      <c r="F194" s="12">
        <v>0</v>
      </c>
      <c r="G194" s="13">
        <v>0</v>
      </c>
      <c r="H194" s="1">
        <f t="shared" si="16"/>
        <v>0</v>
      </c>
      <c r="I194" s="1">
        <f t="shared" si="17"/>
        <v>0</v>
      </c>
      <c r="J194" s="12">
        <v>0</v>
      </c>
      <c r="K194" s="13">
        <v>0</v>
      </c>
      <c r="L194" s="1">
        <f t="shared" si="18"/>
        <v>0</v>
      </c>
      <c r="M194" s="1">
        <f t="shared" si="19"/>
        <v>0</v>
      </c>
      <c r="N194" s="12">
        <v>524226</v>
      </c>
      <c r="O194" s="12">
        <v>444227</v>
      </c>
      <c r="P194" s="1">
        <f t="shared" si="20"/>
        <v>-79999</v>
      </c>
      <c r="Q194" s="1">
        <f t="shared" si="21"/>
        <v>-127.18441971383147</v>
      </c>
      <c r="R194" s="12">
        <v>75715</v>
      </c>
      <c r="S194" s="12">
        <v>79123.05</v>
      </c>
      <c r="T194" s="1">
        <f t="shared" si="22"/>
        <v>3408.0500000000029</v>
      </c>
      <c r="U194" s="1">
        <f t="shared" si="23"/>
        <v>5.4182034976152673</v>
      </c>
    </row>
    <row r="195" spans="1:21" x14ac:dyDescent="0.25">
      <c r="A195" s="10">
        <v>611</v>
      </c>
      <c r="B195" s="10">
        <v>1</v>
      </c>
      <c r="C195" s="11" t="s">
        <v>187</v>
      </c>
      <c r="D195" s="12">
        <v>41</v>
      </c>
      <c r="E195" s="12">
        <v>36</v>
      </c>
      <c r="F195" s="12">
        <v>0</v>
      </c>
      <c r="G195" s="13">
        <v>0</v>
      </c>
      <c r="H195" s="1">
        <f t="shared" si="16"/>
        <v>0</v>
      </c>
      <c r="I195" s="1">
        <f t="shared" si="17"/>
        <v>0</v>
      </c>
      <c r="J195" s="12">
        <v>0</v>
      </c>
      <c r="K195" s="13">
        <v>0</v>
      </c>
      <c r="L195" s="1">
        <f t="shared" si="18"/>
        <v>0</v>
      </c>
      <c r="M195" s="1">
        <f t="shared" si="19"/>
        <v>0</v>
      </c>
      <c r="N195" s="12">
        <v>46240</v>
      </c>
      <c r="O195" s="12">
        <v>46240</v>
      </c>
      <c r="P195" s="1">
        <f t="shared" si="20"/>
        <v>0</v>
      </c>
      <c r="Q195" s="1">
        <f t="shared" si="21"/>
        <v>0</v>
      </c>
      <c r="R195" s="12">
        <v>3722</v>
      </c>
      <c r="S195" s="12">
        <v>3722</v>
      </c>
      <c r="T195" s="1">
        <f t="shared" si="22"/>
        <v>0</v>
      </c>
      <c r="U195" s="1">
        <f t="shared" si="23"/>
        <v>0</v>
      </c>
    </row>
    <row r="196" spans="1:21" x14ac:dyDescent="0.25">
      <c r="A196" s="10">
        <v>621</v>
      </c>
      <c r="B196" s="10">
        <v>1</v>
      </c>
      <c r="C196" s="11" t="s">
        <v>188</v>
      </c>
      <c r="D196" s="12">
        <v>9726</v>
      </c>
      <c r="E196" s="12">
        <v>9357</v>
      </c>
      <c r="F196" s="12">
        <v>1383437.5379999999</v>
      </c>
      <c r="G196" s="13">
        <v>1450650</v>
      </c>
      <c r="H196" s="1">
        <f t="shared" si="16"/>
        <v>67212.462000000058</v>
      </c>
      <c r="I196" s="1">
        <f t="shared" si="17"/>
        <v>6.9105965453423872</v>
      </c>
      <c r="J196" s="12">
        <v>1324870.8930000002</v>
      </c>
      <c r="K196" s="13">
        <v>1394600.9400000002</v>
      </c>
      <c r="L196" s="1">
        <f t="shared" si="18"/>
        <v>69730.04700000002</v>
      </c>
      <c r="M196" s="1">
        <f t="shared" si="19"/>
        <v>7.4521798653414582</v>
      </c>
      <c r="N196" s="12">
        <v>16776229</v>
      </c>
      <c r="O196" s="12">
        <v>16776229</v>
      </c>
      <c r="P196" s="1">
        <f t="shared" si="20"/>
        <v>0</v>
      </c>
      <c r="Q196" s="1">
        <f t="shared" si="21"/>
        <v>0</v>
      </c>
      <c r="R196" s="12">
        <v>822913.5</v>
      </c>
      <c r="S196" s="12">
        <v>822913.5</v>
      </c>
      <c r="T196" s="1">
        <f t="shared" si="22"/>
        <v>0</v>
      </c>
      <c r="U196" s="1">
        <f t="shared" si="23"/>
        <v>0</v>
      </c>
    </row>
    <row r="197" spans="1:21" x14ac:dyDescent="0.25">
      <c r="A197" s="10">
        <v>622</v>
      </c>
      <c r="B197" s="10">
        <v>1</v>
      </c>
      <c r="C197" s="11" t="s">
        <v>189</v>
      </c>
      <c r="D197" s="12">
        <v>10963</v>
      </c>
      <c r="E197" s="12">
        <v>10414</v>
      </c>
      <c r="F197" s="12">
        <v>1662494.5784999998</v>
      </c>
      <c r="G197" s="13">
        <v>1734704.7</v>
      </c>
      <c r="H197" s="1">
        <f t="shared" si="16"/>
        <v>72210.121500000125</v>
      </c>
      <c r="I197" s="1">
        <f t="shared" si="17"/>
        <v>6.5867118033385132</v>
      </c>
      <c r="J197" s="12">
        <v>1578110.325</v>
      </c>
      <c r="K197" s="13">
        <v>1656526.2</v>
      </c>
      <c r="L197" s="1">
        <f t="shared" si="18"/>
        <v>78415.875</v>
      </c>
      <c r="M197" s="1">
        <f t="shared" si="19"/>
        <v>7.5298516420203576</v>
      </c>
      <c r="N197" s="12">
        <v>10316769</v>
      </c>
      <c r="O197" s="12">
        <v>10316769</v>
      </c>
      <c r="P197" s="1">
        <f t="shared" si="20"/>
        <v>0</v>
      </c>
      <c r="Q197" s="1">
        <f t="shared" si="21"/>
        <v>0</v>
      </c>
      <c r="R197" s="12">
        <v>1495781.25</v>
      </c>
      <c r="S197" s="12">
        <v>1495781.25</v>
      </c>
      <c r="T197" s="1">
        <f t="shared" si="22"/>
        <v>0</v>
      </c>
      <c r="U197" s="1">
        <f t="shared" si="23"/>
        <v>0</v>
      </c>
    </row>
    <row r="198" spans="1:21" x14ac:dyDescent="0.25">
      <c r="A198" s="10">
        <v>623</v>
      </c>
      <c r="B198" s="10">
        <v>1</v>
      </c>
      <c r="C198" s="11" t="s">
        <v>190</v>
      </c>
      <c r="D198" s="12">
        <v>6612</v>
      </c>
      <c r="E198" s="12">
        <v>6502</v>
      </c>
      <c r="F198" s="12">
        <v>996720.75300000003</v>
      </c>
      <c r="G198" s="13">
        <v>1086795</v>
      </c>
      <c r="H198" s="1">
        <f t="shared" si="16"/>
        <v>90074.246999999974</v>
      </c>
      <c r="I198" s="1">
        <f t="shared" si="17"/>
        <v>13.622844373865695</v>
      </c>
      <c r="J198" s="12">
        <v>977517.16799999983</v>
      </c>
      <c r="K198" s="13">
        <v>1066588.44</v>
      </c>
      <c r="L198" s="1">
        <f t="shared" si="18"/>
        <v>89071.272000000114</v>
      </c>
      <c r="M198" s="1">
        <f t="shared" si="19"/>
        <v>13.69905752076286</v>
      </c>
      <c r="N198" s="12">
        <v>11147110</v>
      </c>
      <c r="O198" s="12">
        <v>11147110</v>
      </c>
      <c r="P198" s="1">
        <f t="shared" si="20"/>
        <v>0</v>
      </c>
      <c r="Q198" s="1">
        <f t="shared" si="21"/>
        <v>0</v>
      </c>
      <c r="R198" s="12">
        <v>598221.25</v>
      </c>
      <c r="S198" s="12">
        <v>598221.25</v>
      </c>
      <c r="T198" s="1">
        <f t="shared" si="22"/>
        <v>0</v>
      </c>
      <c r="U198" s="1">
        <f t="shared" si="23"/>
        <v>0</v>
      </c>
    </row>
    <row r="199" spans="1:21" x14ac:dyDescent="0.25">
      <c r="A199" s="10">
        <v>624</v>
      </c>
      <c r="B199" s="10">
        <v>1</v>
      </c>
      <c r="C199" s="11" t="s">
        <v>191</v>
      </c>
      <c r="D199" s="12">
        <v>8108</v>
      </c>
      <c r="E199" s="12">
        <v>8028</v>
      </c>
      <c r="F199" s="12">
        <v>1163686.0094999999</v>
      </c>
      <c r="G199" s="13">
        <v>883582</v>
      </c>
      <c r="H199" s="1">
        <f t="shared" si="16"/>
        <v>-280104.00949999993</v>
      </c>
      <c r="I199" s="1">
        <f t="shared" si="17"/>
        <v>-34.546621793290569</v>
      </c>
      <c r="J199" s="12">
        <v>1150177.3229999999</v>
      </c>
      <c r="K199" s="13">
        <v>925000</v>
      </c>
      <c r="L199" s="1">
        <f t="shared" si="18"/>
        <v>-225177.32299999986</v>
      </c>
      <c r="M199" s="1">
        <f t="shared" si="19"/>
        <v>-28.048993896362713</v>
      </c>
      <c r="N199" s="12">
        <v>14692246</v>
      </c>
      <c r="O199" s="12">
        <v>14692246</v>
      </c>
      <c r="P199" s="1">
        <f t="shared" si="20"/>
        <v>0</v>
      </c>
      <c r="Q199" s="1">
        <f t="shared" si="21"/>
        <v>0</v>
      </c>
      <c r="R199" s="12">
        <v>666013.5</v>
      </c>
      <c r="S199" s="12">
        <v>666013.5</v>
      </c>
      <c r="T199" s="1">
        <f t="shared" si="22"/>
        <v>0</v>
      </c>
      <c r="U199" s="1">
        <f t="shared" si="23"/>
        <v>0</v>
      </c>
    </row>
    <row r="200" spans="1:21" x14ac:dyDescent="0.25">
      <c r="A200" s="10">
        <v>625</v>
      </c>
      <c r="B200" s="10">
        <v>1</v>
      </c>
      <c r="C200" s="11" t="s">
        <v>192</v>
      </c>
      <c r="D200" s="12">
        <v>36568</v>
      </c>
      <c r="E200" s="12">
        <v>36604</v>
      </c>
      <c r="F200" s="12">
        <v>18586043.550000001</v>
      </c>
      <c r="G200" s="13">
        <v>18586043.550000001</v>
      </c>
      <c r="H200" s="1">
        <f t="shared" si="16"/>
        <v>0</v>
      </c>
      <c r="I200" s="1">
        <f t="shared" si="17"/>
        <v>0</v>
      </c>
      <c r="J200" s="12">
        <v>18578158.149999999</v>
      </c>
      <c r="K200" s="13">
        <v>18578158.149999999</v>
      </c>
      <c r="L200" s="1">
        <f t="shared" si="18"/>
        <v>0</v>
      </c>
      <c r="M200" s="1">
        <f t="shared" si="19"/>
        <v>0</v>
      </c>
      <c r="N200" s="12">
        <v>30244772</v>
      </c>
      <c r="O200" s="12">
        <v>30244772</v>
      </c>
      <c r="P200" s="1">
        <f t="shared" si="20"/>
        <v>0</v>
      </c>
      <c r="Q200" s="1">
        <f t="shared" si="21"/>
        <v>0</v>
      </c>
      <c r="R200" s="12">
        <v>1920627</v>
      </c>
      <c r="S200" s="12">
        <v>1920627</v>
      </c>
      <c r="T200" s="1">
        <f t="shared" si="22"/>
        <v>0</v>
      </c>
      <c r="U200" s="1">
        <f t="shared" si="23"/>
        <v>0</v>
      </c>
    </row>
    <row r="201" spans="1:21" x14ac:dyDescent="0.25">
      <c r="A201" s="10">
        <v>627</v>
      </c>
      <c r="B201" s="10">
        <v>1</v>
      </c>
      <c r="C201" s="11" t="s">
        <v>193</v>
      </c>
      <c r="D201" s="12">
        <v>206</v>
      </c>
      <c r="E201" s="12">
        <v>208</v>
      </c>
      <c r="F201" s="12">
        <v>0</v>
      </c>
      <c r="G201" s="13">
        <v>0</v>
      </c>
      <c r="H201" s="1">
        <f t="shared" si="16"/>
        <v>0</v>
      </c>
      <c r="I201" s="1">
        <f t="shared" si="17"/>
        <v>0</v>
      </c>
      <c r="J201" s="12">
        <v>0</v>
      </c>
      <c r="K201" s="13">
        <v>0</v>
      </c>
      <c r="L201" s="1">
        <f t="shared" si="18"/>
        <v>0</v>
      </c>
      <c r="M201" s="1">
        <f t="shared" si="19"/>
        <v>0</v>
      </c>
      <c r="N201" s="12">
        <v>211310</v>
      </c>
      <c r="O201" s="12">
        <v>211310</v>
      </c>
      <c r="P201" s="1">
        <f t="shared" si="20"/>
        <v>0</v>
      </c>
      <c r="Q201" s="1">
        <f t="shared" si="21"/>
        <v>0</v>
      </c>
      <c r="R201" s="12">
        <v>23625</v>
      </c>
      <c r="S201" s="12">
        <v>23625</v>
      </c>
      <c r="T201" s="1">
        <f t="shared" si="22"/>
        <v>0</v>
      </c>
      <c r="U201" s="1">
        <f t="shared" si="23"/>
        <v>0</v>
      </c>
    </row>
    <row r="202" spans="1:21" x14ac:dyDescent="0.25">
      <c r="A202" s="10">
        <v>628</v>
      </c>
      <c r="B202" s="10">
        <v>1</v>
      </c>
      <c r="C202" s="11" t="s">
        <v>194</v>
      </c>
      <c r="D202" s="12">
        <v>173</v>
      </c>
      <c r="E202" s="12">
        <v>171</v>
      </c>
      <c r="F202" s="12">
        <v>0</v>
      </c>
      <c r="G202" s="13">
        <v>0</v>
      </c>
      <c r="H202" s="1">
        <f t="shared" si="16"/>
        <v>0</v>
      </c>
      <c r="I202" s="1">
        <f t="shared" si="17"/>
        <v>0</v>
      </c>
      <c r="J202" s="12">
        <v>0</v>
      </c>
      <c r="K202" s="13">
        <v>0</v>
      </c>
      <c r="L202" s="1">
        <f t="shared" si="18"/>
        <v>0</v>
      </c>
      <c r="M202" s="1">
        <f t="shared" si="19"/>
        <v>0</v>
      </c>
      <c r="N202" s="12">
        <v>231231</v>
      </c>
      <c r="O202" s="12">
        <v>231231</v>
      </c>
      <c r="P202" s="1">
        <f t="shared" si="20"/>
        <v>0</v>
      </c>
      <c r="Q202" s="1">
        <f t="shared" si="21"/>
        <v>0</v>
      </c>
      <c r="R202" s="12">
        <v>16134</v>
      </c>
      <c r="S202" s="12">
        <v>16134</v>
      </c>
      <c r="T202" s="1">
        <f t="shared" si="22"/>
        <v>0</v>
      </c>
      <c r="U202" s="1">
        <f t="shared" si="23"/>
        <v>0</v>
      </c>
    </row>
    <row r="203" spans="1:21" x14ac:dyDescent="0.25">
      <c r="A203" s="10">
        <v>630</v>
      </c>
      <c r="B203" s="10">
        <v>1</v>
      </c>
      <c r="C203" s="11" t="s">
        <v>195</v>
      </c>
      <c r="D203" s="12">
        <v>397</v>
      </c>
      <c r="E203" s="12">
        <v>385</v>
      </c>
      <c r="F203" s="12">
        <v>0</v>
      </c>
      <c r="G203" s="13">
        <v>0</v>
      </c>
      <c r="H203" s="1">
        <f t="shared" si="16"/>
        <v>0</v>
      </c>
      <c r="I203" s="1">
        <f t="shared" si="17"/>
        <v>0</v>
      </c>
      <c r="J203" s="12">
        <v>0</v>
      </c>
      <c r="K203" s="13">
        <v>0</v>
      </c>
      <c r="L203" s="1">
        <f t="shared" si="18"/>
        <v>0</v>
      </c>
      <c r="M203" s="1">
        <f t="shared" si="19"/>
        <v>0</v>
      </c>
      <c r="N203" s="12">
        <v>704592</v>
      </c>
      <c r="O203" s="12">
        <v>704592</v>
      </c>
      <c r="P203" s="1">
        <f t="shared" si="20"/>
        <v>0</v>
      </c>
      <c r="Q203" s="1">
        <f t="shared" si="21"/>
        <v>0</v>
      </c>
      <c r="R203" s="12">
        <v>30276</v>
      </c>
      <c r="S203" s="12">
        <v>30276</v>
      </c>
      <c r="T203" s="1">
        <f t="shared" si="22"/>
        <v>0</v>
      </c>
      <c r="U203" s="1">
        <f t="shared" si="23"/>
        <v>0</v>
      </c>
    </row>
    <row r="204" spans="1:21" x14ac:dyDescent="0.25">
      <c r="A204" s="10">
        <v>635</v>
      </c>
      <c r="B204" s="10">
        <v>1</v>
      </c>
      <c r="C204" s="11" t="s">
        <v>196</v>
      </c>
      <c r="D204" s="12">
        <v>68</v>
      </c>
      <c r="E204" s="12">
        <v>67</v>
      </c>
      <c r="F204" s="12">
        <v>7474.4479999999985</v>
      </c>
      <c r="G204" s="13">
        <v>7000</v>
      </c>
      <c r="H204" s="1">
        <f t="shared" si="16"/>
        <v>-474.4479999999985</v>
      </c>
      <c r="I204" s="1">
        <f t="shared" si="17"/>
        <v>-6.9771764705882129</v>
      </c>
      <c r="J204" s="12">
        <v>7360.8279999999995</v>
      </c>
      <c r="K204" s="13">
        <v>7000</v>
      </c>
      <c r="L204" s="1">
        <f t="shared" si="18"/>
        <v>-360.82799999999952</v>
      </c>
      <c r="M204" s="1">
        <f t="shared" si="19"/>
        <v>-5.3854925373134259</v>
      </c>
      <c r="N204" s="12">
        <v>142631</v>
      </c>
      <c r="O204" s="12">
        <v>142631</v>
      </c>
      <c r="P204" s="1">
        <f t="shared" si="20"/>
        <v>0</v>
      </c>
      <c r="Q204" s="1">
        <f t="shared" si="21"/>
        <v>0</v>
      </c>
      <c r="R204" s="12">
        <v>5248</v>
      </c>
      <c r="S204" s="12">
        <v>5248</v>
      </c>
      <c r="T204" s="1">
        <f t="shared" si="22"/>
        <v>0</v>
      </c>
      <c r="U204" s="1">
        <f t="shared" si="23"/>
        <v>0</v>
      </c>
    </row>
    <row r="205" spans="1:21" x14ac:dyDescent="0.25">
      <c r="A205" s="10">
        <v>640</v>
      </c>
      <c r="B205" s="10">
        <v>1</v>
      </c>
      <c r="C205" s="11" t="s">
        <v>197</v>
      </c>
      <c r="D205" s="12">
        <v>391</v>
      </c>
      <c r="E205" s="12">
        <v>360</v>
      </c>
      <c r="F205" s="12">
        <v>40733.643999999993</v>
      </c>
      <c r="G205" s="13">
        <v>40000</v>
      </c>
      <c r="H205" s="1">
        <f t="shared" ref="H205:H268" si="24">G205-F205</f>
        <v>-733.64399999999296</v>
      </c>
      <c r="I205" s="1">
        <f t="shared" ref="I205:I268" si="25">IF(D205=0,0,H205/D205)</f>
        <v>-1.8763273657288821</v>
      </c>
      <c r="J205" s="12">
        <v>37316.303999999996</v>
      </c>
      <c r="K205" s="13">
        <v>39280.32</v>
      </c>
      <c r="L205" s="1">
        <f t="shared" ref="L205:L268" si="26">K205-J205</f>
        <v>1964.0160000000033</v>
      </c>
      <c r="M205" s="1">
        <f t="shared" ref="M205:M268" si="27">IF(E205=0,0,L205/E205)</f>
        <v>5.4556000000000093</v>
      </c>
      <c r="N205" s="12">
        <v>385560</v>
      </c>
      <c r="O205" s="12">
        <v>385560</v>
      </c>
      <c r="P205" s="1">
        <f t="shared" ref="P205:P268" si="28">O205-N205</f>
        <v>0</v>
      </c>
      <c r="Q205" s="1">
        <f t="shared" ref="Q205:Q268" si="29">IF(E205=0,0,P205/E205)</f>
        <v>0</v>
      </c>
      <c r="R205" s="12">
        <v>41988</v>
      </c>
      <c r="S205" s="12">
        <v>41988</v>
      </c>
      <c r="T205" s="1">
        <f t="shared" ref="T205:T268" si="30">S205-R205</f>
        <v>0</v>
      </c>
      <c r="U205" s="1">
        <f t="shared" ref="U205:U268" si="31">IF(E205=0,0,T205/E205)</f>
        <v>0</v>
      </c>
    </row>
    <row r="206" spans="1:21" x14ac:dyDescent="0.25">
      <c r="A206" s="10">
        <v>656</v>
      </c>
      <c r="B206" s="10">
        <v>1</v>
      </c>
      <c r="C206" s="11" t="s">
        <v>198</v>
      </c>
      <c r="D206" s="12">
        <v>3790</v>
      </c>
      <c r="E206" s="12">
        <v>3755</v>
      </c>
      <c r="F206" s="12">
        <v>535294.72349999996</v>
      </c>
      <c r="G206" s="13">
        <v>494804</v>
      </c>
      <c r="H206" s="1">
        <f t="shared" si="24"/>
        <v>-40490.723499999964</v>
      </c>
      <c r="I206" s="1">
        <f t="shared" si="25"/>
        <v>-10.68356820580474</v>
      </c>
      <c r="J206" s="12">
        <v>531121.89600000007</v>
      </c>
      <c r="K206" s="13">
        <v>494804</v>
      </c>
      <c r="L206" s="1">
        <f t="shared" si="26"/>
        <v>-36317.896000000066</v>
      </c>
      <c r="M206" s="1">
        <f t="shared" si="27"/>
        <v>-9.6718764314247849</v>
      </c>
      <c r="N206" s="12">
        <v>1835237</v>
      </c>
      <c r="O206" s="12">
        <v>1835237</v>
      </c>
      <c r="P206" s="1">
        <f t="shared" si="28"/>
        <v>0</v>
      </c>
      <c r="Q206" s="1">
        <f t="shared" si="29"/>
        <v>0</v>
      </c>
      <c r="R206" s="12">
        <v>503591</v>
      </c>
      <c r="S206" s="12">
        <v>503591</v>
      </c>
      <c r="T206" s="1">
        <f t="shared" si="30"/>
        <v>0</v>
      </c>
      <c r="U206" s="1">
        <f t="shared" si="31"/>
        <v>0</v>
      </c>
    </row>
    <row r="207" spans="1:21" x14ac:dyDescent="0.25">
      <c r="A207" s="10">
        <v>659</v>
      </c>
      <c r="B207" s="10">
        <v>1</v>
      </c>
      <c r="C207" s="11" t="s">
        <v>199</v>
      </c>
      <c r="D207" s="12">
        <v>3760</v>
      </c>
      <c r="E207" s="12">
        <v>3655</v>
      </c>
      <c r="F207" s="12">
        <v>0</v>
      </c>
      <c r="G207" s="13">
        <v>0</v>
      </c>
      <c r="H207" s="1">
        <f t="shared" si="24"/>
        <v>0</v>
      </c>
      <c r="I207" s="1">
        <f t="shared" si="25"/>
        <v>0</v>
      </c>
      <c r="J207" s="12">
        <v>0</v>
      </c>
      <c r="K207" s="13">
        <v>0</v>
      </c>
      <c r="L207" s="1">
        <f t="shared" si="26"/>
        <v>0</v>
      </c>
      <c r="M207" s="1">
        <f t="shared" si="27"/>
        <v>0</v>
      </c>
      <c r="N207" s="12">
        <v>5484228</v>
      </c>
      <c r="O207" s="12">
        <v>5484228</v>
      </c>
      <c r="P207" s="1">
        <f t="shared" si="28"/>
        <v>0</v>
      </c>
      <c r="Q207" s="1">
        <f t="shared" si="29"/>
        <v>0</v>
      </c>
      <c r="R207" s="12">
        <v>395951</v>
      </c>
      <c r="S207" s="12">
        <v>395951</v>
      </c>
      <c r="T207" s="1">
        <f t="shared" si="30"/>
        <v>0</v>
      </c>
      <c r="U207" s="1">
        <f t="shared" si="31"/>
        <v>0</v>
      </c>
    </row>
    <row r="208" spans="1:21" x14ac:dyDescent="0.25">
      <c r="A208" s="10">
        <v>671</v>
      </c>
      <c r="B208" s="10">
        <v>1</v>
      </c>
      <c r="C208" s="11" t="s">
        <v>200</v>
      </c>
      <c r="D208" s="12">
        <v>375</v>
      </c>
      <c r="E208" s="12">
        <v>380</v>
      </c>
      <c r="F208" s="12">
        <v>0</v>
      </c>
      <c r="G208" s="13">
        <v>0</v>
      </c>
      <c r="H208" s="1">
        <f t="shared" si="24"/>
        <v>0</v>
      </c>
      <c r="I208" s="1">
        <f t="shared" si="25"/>
        <v>0</v>
      </c>
      <c r="J208" s="12">
        <v>0</v>
      </c>
      <c r="K208" s="13">
        <v>0</v>
      </c>
      <c r="L208" s="1">
        <f t="shared" si="26"/>
        <v>0</v>
      </c>
      <c r="M208" s="1">
        <f t="shared" si="27"/>
        <v>0</v>
      </c>
      <c r="N208" s="12">
        <v>361973</v>
      </c>
      <c r="O208" s="12">
        <v>361973</v>
      </c>
      <c r="P208" s="1">
        <f t="shared" si="28"/>
        <v>0</v>
      </c>
      <c r="Q208" s="1">
        <f t="shared" si="29"/>
        <v>0</v>
      </c>
      <c r="R208" s="12">
        <v>42043</v>
      </c>
      <c r="S208" s="12">
        <v>42043</v>
      </c>
      <c r="T208" s="1">
        <f t="shared" si="30"/>
        <v>0</v>
      </c>
      <c r="U208" s="1">
        <f t="shared" si="31"/>
        <v>0</v>
      </c>
    </row>
    <row r="209" spans="1:21" x14ac:dyDescent="0.25">
      <c r="A209" s="10">
        <v>676</v>
      </c>
      <c r="B209" s="10">
        <v>1</v>
      </c>
      <c r="C209" s="11" t="s">
        <v>201</v>
      </c>
      <c r="D209" s="12">
        <v>224</v>
      </c>
      <c r="E209" s="12">
        <v>220</v>
      </c>
      <c r="F209" s="12">
        <v>0</v>
      </c>
      <c r="G209" s="13">
        <v>0</v>
      </c>
      <c r="H209" s="1">
        <f t="shared" si="24"/>
        <v>0</v>
      </c>
      <c r="I209" s="1">
        <f t="shared" si="25"/>
        <v>0</v>
      </c>
      <c r="J209" s="12">
        <v>0</v>
      </c>
      <c r="K209" s="13">
        <v>0</v>
      </c>
      <c r="L209" s="1">
        <f t="shared" si="26"/>
        <v>0</v>
      </c>
      <c r="M209" s="1">
        <f t="shared" si="27"/>
        <v>0</v>
      </c>
      <c r="N209" s="12">
        <v>362280</v>
      </c>
      <c r="O209" s="12">
        <v>362280</v>
      </c>
      <c r="P209" s="1">
        <f t="shared" si="28"/>
        <v>0</v>
      </c>
      <c r="Q209" s="1">
        <f t="shared" si="29"/>
        <v>0</v>
      </c>
      <c r="R209" s="12">
        <v>19140</v>
      </c>
      <c r="S209" s="12">
        <v>19140</v>
      </c>
      <c r="T209" s="1">
        <f t="shared" si="30"/>
        <v>0</v>
      </c>
      <c r="U209" s="1">
        <f t="shared" si="31"/>
        <v>0</v>
      </c>
    </row>
    <row r="210" spans="1:21" x14ac:dyDescent="0.25">
      <c r="A210" s="10">
        <v>682</v>
      </c>
      <c r="B210" s="10">
        <v>1</v>
      </c>
      <c r="C210" s="11" t="s">
        <v>202</v>
      </c>
      <c r="D210" s="12">
        <v>1316</v>
      </c>
      <c r="E210" s="12">
        <v>1299</v>
      </c>
      <c r="F210" s="12">
        <v>0</v>
      </c>
      <c r="G210" s="13">
        <v>0</v>
      </c>
      <c r="H210" s="1">
        <f t="shared" si="24"/>
        <v>0</v>
      </c>
      <c r="I210" s="1">
        <f t="shared" si="25"/>
        <v>0</v>
      </c>
      <c r="J210" s="12">
        <v>0</v>
      </c>
      <c r="K210" s="13">
        <v>0</v>
      </c>
      <c r="L210" s="1">
        <f t="shared" si="26"/>
        <v>0</v>
      </c>
      <c r="M210" s="1">
        <f t="shared" si="27"/>
        <v>0</v>
      </c>
      <c r="N210" s="12">
        <v>753050</v>
      </c>
      <c r="O210" s="12">
        <v>753050</v>
      </c>
      <c r="P210" s="1">
        <f t="shared" si="28"/>
        <v>0</v>
      </c>
      <c r="Q210" s="1">
        <f t="shared" si="29"/>
        <v>0</v>
      </c>
      <c r="R210" s="12">
        <v>169729</v>
      </c>
      <c r="S210" s="12">
        <v>169729</v>
      </c>
      <c r="T210" s="1">
        <f t="shared" si="30"/>
        <v>0</v>
      </c>
      <c r="U210" s="1">
        <f t="shared" si="31"/>
        <v>0</v>
      </c>
    </row>
    <row r="211" spans="1:21" x14ac:dyDescent="0.25">
      <c r="A211" s="10">
        <v>690</v>
      </c>
      <c r="B211" s="10">
        <v>1</v>
      </c>
      <c r="C211" s="11" t="s">
        <v>203</v>
      </c>
      <c r="D211" s="12">
        <v>1077</v>
      </c>
      <c r="E211" s="12">
        <v>1051</v>
      </c>
      <c r="F211" s="12">
        <v>0</v>
      </c>
      <c r="G211" s="13">
        <v>0</v>
      </c>
      <c r="H211" s="1">
        <f t="shared" si="24"/>
        <v>0</v>
      </c>
      <c r="I211" s="1">
        <f t="shared" si="25"/>
        <v>0</v>
      </c>
      <c r="J211" s="12">
        <v>0</v>
      </c>
      <c r="K211" s="13">
        <v>0</v>
      </c>
      <c r="L211" s="1">
        <f t="shared" si="26"/>
        <v>0</v>
      </c>
      <c r="M211" s="1">
        <f t="shared" si="27"/>
        <v>0</v>
      </c>
      <c r="N211" s="12">
        <v>701772</v>
      </c>
      <c r="O211" s="12">
        <v>701772</v>
      </c>
      <c r="P211" s="1">
        <f t="shared" si="28"/>
        <v>0</v>
      </c>
      <c r="Q211" s="1">
        <f t="shared" si="29"/>
        <v>0</v>
      </c>
      <c r="R211" s="12">
        <v>132856</v>
      </c>
      <c r="S211" s="12">
        <v>132856</v>
      </c>
      <c r="T211" s="1">
        <f t="shared" si="30"/>
        <v>0</v>
      </c>
      <c r="U211" s="1">
        <f t="shared" si="31"/>
        <v>0</v>
      </c>
    </row>
    <row r="212" spans="1:21" x14ac:dyDescent="0.25">
      <c r="A212" s="10">
        <v>695</v>
      </c>
      <c r="B212" s="10">
        <v>1</v>
      </c>
      <c r="C212" s="11" t="s">
        <v>204</v>
      </c>
      <c r="D212" s="12">
        <v>721</v>
      </c>
      <c r="E212" s="12">
        <v>719</v>
      </c>
      <c r="F212" s="12">
        <v>0</v>
      </c>
      <c r="G212" s="13">
        <v>0</v>
      </c>
      <c r="H212" s="1">
        <f t="shared" si="24"/>
        <v>0</v>
      </c>
      <c r="I212" s="1">
        <f t="shared" si="25"/>
        <v>0</v>
      </c>
      <c r="J212" s="12">
        <v>0</v>
      </c>
      <c r="K212" s="13">
        <v>0</v>
      </c>
      <c r="L212" s="1">
        <f t="shared" si="26"/>
        <v>0</v>
      </c>
      <c r="M212" s="1">
        <f t="shared" si="27"/>
        <v>0</v>
      </c>
      <c r="N212" s="12">
        <v>775989</v>
      </c>
      <c r="O212" s="12">
        <v>775989</v>
      </c>
      <c r="P212" s="1">
        <f t="shared" si="28"/>
        <v>0</v>
      </c>
      <c r="Q212" s="1">
        <f t="shared" si="29"/>
        <v>0</v>
      </c>
      <c r="R212" s="12">
        <v>77237</v>
      </c>
      <c r="S212" s="12">
        <v>77237</v>
      </c>
      <c r="T212" s="1">
        <f t="shared" si="30"/>
        <v>0</v>
      </c>
      <c r="U212" s="1">
        <f t="shared" si="31"/>
        <v>0</v>
      </c>
    </row>
    <row r="213" spans="1:21" x14ac:dyDescent="0.25">
      <c r="A213" s="10">
        <v>696</v>
      </c>
      <c r="B213" s="10">
        <v>1</v>
      </c>
      <c r="C213" s="11" t="s">
        <v>205</v>
      </c>
      <c r="D213" s="12">
        <v>528</v>
      </c>
      <c r="E213" s="12">
        <v>521</v>
      </c>
      <c r="F213" s="12">
        <v>0</v>
      </c>
      <c r="G213" s="13">
        <v>0</v>
      </c>
      <c r="H213" s="1">
        <f t="shared" si="24"/>
        <v>0</v>
      </c>
      <c r="I213" s="1">
        <f t="shared" si="25"/>
        <v>0</v>
      </c>
      <c r="J213" s="12">
        <v>0</v>
      </c>
      <c r="K213" s="13">
        <v>0</v>
      </c>
      <c r="L213" s="1">
        <f t="shared" si="26"/>
        <v>0</v>
      </c>
      <c r="M213" s="1">
        <f t="shared" si="27"/>
        <v>0</v>
      </c>
      <c r="N213" s="12">
        <v>525575</v>
      </c>
      <c r="O213" s="12">
        <v>525575</v>
      </c>
      <c r="P213" s="1">
        <f t="shared" si="28"/>
        <v>0</v>
      </c>
      <c r="Q213" s="1">
        <f t="shared" si="29"/>
        <v>0</v>
      </c>
      <c r="R213" s="12">
        <v>58916</v>
      </c>
      <c r="S213" s="12">
        <v>58916</v>
      </c>
      <c r="T213" s="1">
        <f t="shared" si="30"/>
        <v>0</v>
      </c>
      <c r="U213" s="1">
        <f t="shared" si="31"/>
        <v>0</v>
      </c>
    </row>
    <row r="214" spans="1:21" x14ac:dyDescent="0.25">
      <c r="A214" s="10">
        <v>698</v>
      </c>
      <c r="B214" s="10">
        <v>1</v>
      </c>
      <c r="C214" s="11" t="s">
        <v>206</v>
      </c>
      <c r="D214" s="12">
        <v>328</v>
      </c>
      <c r="E214" s="12">
        <v>329</v>
      </c>
      <c r="F214" s="12">
        <v>0</v>
      </c>
      <c r="G214" s="13">
        <v>0</v>
      </c>
      <c r="H214" s="1">
        <f t="shared" si="24"/>
        <v>0</v>
      </c>
      <c r="I214" s="1">
        <f t="shared" si="25"/>
        <v>0</v>
      </c>
      <c r="J214" s="12">
        <v>0</v>
      </c>
      <c r="K214" s="13">
        <v>0</v>
      </c>
      <c r="L214" s="1">
        <f t="shared" si="26"/>
        <v>0</v>
      </c>
      <c r="M214" s="1">
        <f t="shared" si="27"/>
        <v>0</v>
      </c>
      <c r="N214" s="12">
        <v>0</v>
      </c>
      <c r="O214" s="12">
        <v>0</v>
      </c>
      <c r="P214" s="1">
        <f t="shared" si="28"/>
        <v>0</v>
      </c>
      <c r="Q214" s="1">
        <f t="shared" si="29"/>
        <v>0</v>
      </c>
      <c r="R214" s="12">
        <v>46907.388095079208</v>
      </c>
      <c r="S214" s="12">
        <v>46907.388095079208</v>
      </c>
      <c r="T214" s="1">
        <f t="shared" si="30"/>
        <v>0</v>
      </c>
      <c r="U214" s="1">
        <f t="shared" si="31"/>
        <v>0</v>
      </c>
    </row>
    <row r="215" spans="1:21" x14ac:dyDescent="0.25">
      <c r="A215" s="10">
        <v>700</v>
      </c>
      <c r="B215" s="10">
        <v>1</v>
      </c>
      <c r="C215" s="11" t="s">
        <v>207</v>
      </c>
      <c r="D215" s="12">
        <v>2061</v>
      </c>
      <c r="E215" s="12">
        <v>2049</v>
      </c>
      <c r="F215" s="12">
        <v>0</v>
      </c>
      <c r="G215" s="13">
        <v>0</v>
      </c>
      <c r="H215" s="1">
        <f t="shared" si="24"/>
        <v>0</v>
      </c>
      <c r="I215" s="1">
        <f t="shared" si="25"/>
        <v>0</v>
      </c>
      <c r="J215" s="12">
        <v>0</v>
      </c>
      <c r="K215" s="13">
        <v>0</v>
      </c>
      <c r="L215" s="1">
        <f t="shared" si="26"/>
        <v>0</v>
      </c>
      <c r="M215" s="1">
        <f t="shared" si="27"/>
        <v>0</v>
      </c>
      <c r="N215" s="12">
        <v>1999</v>
      </c>
      <c r="O215" s="12">
        <v>1999</v>
      </c>
      <c r="P215" s="1">
        <f t="shared" si="28"/>
        <v>0</v>
      </c>
      <c r="Q215" s="1">
        <f t="shared" si="29"/>
        <v>0</v>
      </c>
      <c r="R215" s="12">
        <v>418768</v>
      </c>
      <c r="S215" s="12">
        <v>418768</v>
      </c>
      <c r="T215" s="1">
        <f t="shared" si="30"/>
        <v>0</v>
      </c>
      <c r="U215" s="1">
        <f t="shared" si="31"/>
        <v>0</v>
      </c>
    </row>
    <row r="216" spans="1:21" x14ac:dyDescent="0.25">
      <c r="A216" s="10">
        <v>701</v>
      </c>
      <c r="B216" s="10">
        <v>1</v>
      </c>
      <c r="C216" s="11" t="s">
        <v>208</v>
      </c>
      <c r="D216" s="12">
        <v>2335</v>
      </c>
      <c r="E216" s="12">
        <v>2279</v>
      </c>
      <c r="F216" s="12">
        <v>0</v>
      </c>
      <c r="G216" s="13">
        <v>0</v>
      </c>
      <c r="H216" s="1">
        <f t="shared" si="24"/>
        <v>0</v>
      </c>
      <c r="I216" s="1">
        <f t="shared" si="25"/>
        <v>0</v>
      </c>
      <c r="J216" s="12">
        <v>0</v>
      </c>
      <c r="K216" s="13">
        <v>0</v>
      </c>
      <c r="L216" s="1">
        <f t="shared" si="26"/>
        <v>0</v>
      </c>
      <c r="M216" s="1">
        <f t="shared" si="27"/>
        <v>0</v>
      </c>
      <c r="N216" s="12">
        <v>1797754</v>
      </c>
      <c r="O216" s="12">
        <v>1797754</v>
      </c>
      <c r="P216" s="1">
        <f t="shared" si="28"/>
        <v>0</v>
      </c>
      <c r="Q216" s="1">
        <f t="shared" si="29"/>
        <v>0</v>
      </c>
      <c r="R216" s="12">
        <v>277839</v>
      </c>
      <c r="S216" s="12">
        <v>277839</v>
      </c>
      <c r="T216" s="1">
        <f t="shared" si="30"/>
        <v>0</v>
      </c>
      <c r="U216" s="1">
        <f t="shared" si="31"/>
        <v>0</v>
      </c>
    </row>
    <row r="217" spans="1:21" x14ac:dyDescent="0.25">
      <c r="A217" s="10">
        <v>704</v>
      </c>
      <c r="B217" s="10">
        <v>1</v>
      </c>
      <c r="C217" s="11" t="s">
        <v>209</v>
      </c>
      <c r="D217" s="12">
        <v>1653</v>
      </c>
      <c r="E217" s="12">
        <v>1640</v>
      </c>
      <c r="F217" s="12">
        <v>0</v>
      </c>
      <c r="G217" s="13">
        <v>11709</v>
      </c>
      <c r="H217" s="1">
        <f t="shared" si="24"/>
        <v>11709</v>
      </c>
      <c r="I217" s="1">
        <f t="shared" si="25"/>
        <v>7.0834845735027221</v>
      </c>
      <c r="J217" s="12">
        <v>0</v>
      </c>
      <c r="K217" s="13">
        <v>173955.44</v>
      </c>
      <c r="L217" s="1">
        <f t="shared" si="26"/>
        <v>173955.44</v>
      </c>
      <c r="M217" s="1">
        <f t="shared" si="27"/>
        <v>106.07039024390244</v>
      </c>
      <c r="N217" s="12">
        <v>2010</v>
      </c>
      <c r="O217" s="12">
        <v>2010</v>
      </c>
      <c r="P217" s="1">
        <f t="shared" si="28"/>
        <v>0</v>
      </c>
      <c r="Q217" s="1">
        <f t="shared" si="29"/>
        <v>0</v>
      </c>
      <c r="R217" s="12">
        <v>353780</v>
      </c>
      <c r="S217" s="12">
        <v>353780</v>
      </c>
      <c r="T217" s="1">
        <f t="shared" si="30"/>
        <v>0</v>
      </c>
      <c r="U217" s="1">
        <f t="shared" si="31"/>
        <v>0</v>
      </c>
    </row>
    <row r="218" spans="1:21" x14ac:dyDescent="0.25">
      <c r="A218" s="10">
        <v>706</v>
      </c>
      <c r="B218" s="10">
        <v>1</v>
      </c>
      <c r="C218" s="11" t="s">
        <v>210</v>
      </c>
      <c r="D218" s="12">
        <v>1584</v>
      </c>
      <c r="E218" s="12">
        <v>1565</v>
      </c>
      <c r="F218" s="12">
        <v>0</v>
      </c>
      <c r="G218" s="13">
        <v>0</v>
      </c>
      <c r="H218" s="1">
        <f t="shared" si="24"/>
        <v>0</v>
      </c>
      <c r="I218" s="1">
        <f t="shared" si="25"/>
        <v>0</v>
      </c>
      <c r="J218" s="12">
        <v>0</v>
      </c>
      <c r="K218" s="13">
        <v>0</v>
      </c>
      <c r="L218" s="1">
        <f t="shared" si="26"/>
        <v>0</v>
      </c>
      <c r="M218" s="1">
        <f t="shared" si="27"/>
        <v>0</v>
      </c>
      <c r="N218" s="12">
        <v>1229440</v>
      </c>
      <c r="O218" s="12">
        <v>1229440</v>
      </c>
      <c r="P218" s="1">
        <f t="shared" si="28"/>
        <v>0</v>
      </c>
      <c r="Q218" s="1">
        <f t="shared" si="29"/>
        <v>0</v>
      </c>
      <c r="R218" s="12">
        <v>190252</v>
      </c>
      <c r="S218" s="12">
        <v>190252</v>
      </c>
      <c r="T218" s="1">
        <f t="shared" si="30"/>
        <v>0</v>
      </c>
      <c r="U218" s="1">
        <f t="shared" si="31"/>
        <v>0</v>
      </c>
    </row>
    <row r="219" spans="1:21" x14ac:dyDescent="0.25">
      <c r="A219" s="10">
        <v>707</v>
      </c>
      <c r="B219" s="10">
        <v>1</v>
      </c>
      <c r="C219" s="11" t="s">
        <v>211</v>
      </c>
      <c r="D219" s="12">
        <v>130</v>
      </c>
      <c r="E219" s="12">
        <v>129</v>
      </c>
      <c r="F219" s="12">
        <v>0</v>
      </c>
      <c r="G219" s="13">
        <v>0</v>
      </c>
      <c r="H219" s="1">
        <f t="shared" si="24"/>
        <v>0</v>
      </c>
      <c r="I219" s="1">
        <f t="shared" si="25"/>
        <v>0</v>
      </c>
      <c r="J219" s="12">
        <v>0</v>
      </c>
      <c r="K219" s="13">
        <v>0</v>
      </c>
      <c r="L219" s="1">
        <f t="shared" si="26"/>
        <v>0</v>
      </c>
      <c r="M219" s="1">
        <f t="shared" si="27"/>
        <v>0</v>
      </c>
      <c r="N219" s="12">
        <v>74511</v>
      </c>
      <c r="O219" s="12">
        <v>0</v>
      </c>
      <c r="P219" s="1">
        <f t="shared" si="28"/>
        <v>-74511</v>
      </c>
      <c r="Q219" s="1">
        <f t="shared" si="29"/>
        <v>-577.60465116279067</v>
      </c>
      <c r="R219" s="12">
        <v>16619</v>
      </c>
      <c r="S219" s="12">
        <v>20854.97</v>
      </c>
      <c r="T219" s="1">
        <f t="shared" si="30"/>
        <v>4235.9700000000012</v>
      </c>
      <c r="U219" s="1">
        <f t="shared" si="31"/>
        <v>32.836976744186053</v>
      </c>
    </row>
    <row r="220" spans="1:21" x14ac:dyDescent="0.25">
      <c r="A220" s="10">
        <v>709</v>
      </c>
      <c r="B220" s="10">
        <v>1</v>
      </c>
      <c r="C220" s="11" t="s">
        <v>212</v>
      </c>
      <c r="D220" s="12">
        <v>8779</v>
      </c>
      <c r="E220" s="12">
        <v>8633</v>
      </c>
      <c r="F220" s="12">
        <v>2088551.6</v>
      </c>
      <c r="G220" s="13">
        <v>2088551.6</v>
      </c>
      <c r="H220" s="1">
        <f t="shared" si="24"/>
        <v>0</v>
      </c>
      <c r="I220" s="1">
        <f t="shared" si="25"/>
        <v>0</v>
      </c>
      <c r="J220" s="12">
        <v>2048284.7799999998</v>
      </c>
      <c r="K220" s="13">
        <v>2048284.7799999998</v>
      </c>
      <c r="L220" s="1">
        <f t="shared" si="26"/>
        <v>0</v>
      </c>
      <c r="M220" s="1">
        <f t="shared" si="27"/>
        <v>0</v>
      </c>
      <c r="N220" s="12">
        <v>4829578</v>
      </c>
      <c r="O220" s="12">
        <v>4829578</v>
      </c>
      <c r="P220" s="1">
        <f t="shared" si="28"/>
        <v>0</v>
      </c>
      <c r="Q220" s="1">
        <f t="shared" si="29"/>
        <v>0</v>
      </c>
      <c r="R220" s="12">
        <v>459452</v>
      </c>
      <c r="S220" s="12">
        <v>459452</v>
      </c>
      <c r="T220" s="1">
        <f t="shared" si="30"/>
        <v>0</v>
      </c>
      <c r="U220" s="1">
        <f t="shared" si="31"/>
        <v>0</v>
      </c>
    </row>
    <row r="221" spans="1:21" x14ac:dyDescent="0.25">
      <c r="A221" s="10">
        <v>712</v>
      </c>
      <c r="B221" s="10">
        <v>1</v>
      </c>
      <c r="C221" s="11" t="s">
        <v>213</v>
      </c>
      <c r="D221" s="12">
        <v>502</v>
      </c>
      <c r="E221" s="12">
        <v>486</v>
      </c>
      <c r="F221" s="12">
        <v>0</v>
      </c>
      <c r="G221" s="13">
        <v>0</v>
      </c>
      <c r="H221" s="1">
        <f t="shared" si="24"/>
        <v>0</v>
      </c>
      <c r="I221" s="1">
        <f t="shared" si="25"/>
        <v>0</v>
      </c>
      <c r="J221" s="12">
        <v>0</v>
      </c>
      <c r="K221" s="13">
        <v>0</v>
      </c>
      <c r="L221" s="1">
        <f t="shared" si="26"/>
        <v>0</v>
      </c>
      <c r="M221" s="1">
        <f t="shared" si="27"/>
        <v>0</v>
      </c>
      <c r="N221" s="12">
        <v>376597</v>
      </c>
      <c r="O221" s="12">
        <v>376597</v>
      </c>
      <c r="P221" s="1">
        <f t="shared" si="28"/>
        <v>0</v>
      </c>
      <c r="Q221" s="1">
        <f t="shared" si="29"/>
        <v>0</v>
      </c>
      <c r="R221" s="12">
        <v>59599</v>
      </c>
      <c r="S221" s="12">
        <v>59599</v>
      </c>
      <c r="T221" s="1">
        <f t="shared" si="30"/>
        <v>0</v>
      </c>
      <c r="U221" s="1">
        <f t="shared" si="31"/>
        <v>0</v>
      </c>
    </row>
    <row r="222" spans="1:21" x14ac:dyDescent="0.25">
      <c r="A222" s="10">
        <v>716</v>
      </c>
      <c r="B222" s="10">
        <v>1</v>
      </c>
      <c r="C222" s="11" t="s">
        <v>214</v>
      </c>
      <c r="D222" s="12">
        <v>1628</v>
      </c>
      <c r="E222" s="12">
        <v>1671</v>
      </c>
      <c r="F222" s="12">
        <v>164142.44399999999</v>
      </c>
      <c r="G222" s="13">
        <v>144750</v>
      </c>
      <c r="H222" s="1">
        <f t="shared" si="24"/>
        <v>-19392.443999999989</v>
      </c>
      <c r="I222" s="1">
        <f t="shared" si="25"/>
        <v>-11.911820638820632</v>
      </c>
      <c r="J222" s="12">
        <v>168399.69799999997</v>
      </c>
      <c r="K222" s="13">
        <v>60000</v>
      </c>
      <c r="L222" s="1">
        <f t="shared" si="26"/>
        <v>-108399.69799999997</v>
      </c>
      <c r="M222" s="1">
        <f t="shared" si="27"/>
        <v>-64.871153800119671</v>
      </c>
      <c r="N222" s="12">
        <v>605378</v>
      </c>
      <c r="O222" s="12">
        <v>605378</v>
      </c>
      <c r="P222" s="1">
        <f t="shared" si="28"/>
        <v>0</v>
      </c>
      <c r="Q222" s="1">
        <f t="shared" si="29"/>
        <v>0</v>
      </c>
      <c r="R222" s="12">
        <v>300576</v>
      </c>
      <c r="S222" s="12">
        <v>300576</v>
      </c>
      <c r="T222" s="1">
        <f t="shared" si="30"/>
        <v>0</v>
      </c>
      <c r="U222" s="1">
        <f t="shared" si="31"/>
        <v>0</v>
      </c>
    </row>
    <row r="223" spans="1:21" x14ac:dyDescent="0.25">
      <c r="A223" s="10">
        <v>717</v>
      </c>
      <c r="B223" s="10">
        <v>1</v>
      </c>
      <c r="C223" s="11" t="s">
        <v>215</v>
      </c>
      <c r="D223" s="12">
        <v>1711</v>
      </c>
      <c r="E223" s="12">
        <v>1721</v>
      </c>
      <c r="F223" s="12">
        <v>172589.65400000001</v>
      </c>
      <c r="G223" s="13">
        <v>12800</v>
      </c>
      <c r="H223" s="1">
        <f t="shared" si="24"/>
        <v>-159789.65400000001</v>
      </c>
      <c r="I223" s="1">
        <f t="shared" si="25"/>
        <v>-93.389628287551147</v>
      </c>
      <c r="J223" s="12">
        <v>173255.64199999999</v>
      </c>
      <c r="K223" s="13">
        <v>12800</v>
      </c>
      <c r="L223" s="1">
        <f t="shared" si="26"/>
        <v>-160455.64199999999</v>
      </c>
      <c r="M223" s="1">
        <f t="shared" si="27"/>
        <v>-93.233958163858219</v>
      </c>
      <c r="N223" s="12">
        <v>1156912</v>
      </c>
      <c r="O223" s="12">
        <v>1156912</v>
      </c>
      <c r="P223" s="1">
        <f t="shared" si="28"/>
        <v>0</v>
      </c>
      <c r="Q223" s="1">
        <f t="shared" si="29"/>
        <v>0</v>
      </c>
      <c r="R223" s="12">
        <v>273995.75</v>
      </c>
      <c r="S223" s="12">
        <v>273995.75</v>
      </c>
      <c r="T223" s="1">
        <f t="shared" si="30"/>
        <v>0</v>
      </c>
      <c r="U223" s="1">
        <f t="shared" si="31"/>
        <v>0</v>
      </c>
    </row>
    <row r="224" spans="1:21" x14ac:dyDescent="0.25">
      <c r="A224" s="10">
        <v>719</v>
      </c>
      <c r="B224" s="10">
        <v>1</v>
      </c>
      <c r="C224" s="11" t="s">
        <v>216</v>
      </c>
      <c r="D224" s="12">
        <v>6989</v>
      </c>
      <c r="E224" s="12">
        <v>6954</v>
      </c>
      <c r="F224" s="12">
        <v>708865.56599999999</v>
      </c>
      <c r="G224" s="13">
        <v>16225</v>
      </c>
      <c r="H224" s="1">
        <f t="shared" si="24"/>
        <v>-692640.56599999999</v>
      </c>
      <c r="I224" s="1">
        <f t="shared" si="25"/>
        <v>-99.104387752181992</v>
      </c>
      <c r="J224" s="12">
        <v>707361.41199999989</v>
      </c>
      <c r="K224" s="13">
        <v>18000</v>
      </c>
      <c r="L224" s="1">
        <f t="shared" si="26"/>
        <v>-689361.41199999989</v>
      </c>
      <c r="M224" s="1">
        <f t="shared" si="27"/>
        <v>-99.131638193845248</v>
      </c>
      <c r="N224" s="12">
        <v>8522083</v>
      </c>
      <c r="O224" s="12">
        <v>8522083</v>
      </c>
      <c r="P224" s="1">
        <f t="shared" si="28"/>
        <v>0</v>
      </c>
      <c r="Q224" s="1">
        <f t="shared" si="29"/>
        <v>0</v>
      </c>
      <c r="R224" s="12">
        <v>868661.75</v>
      </c>
      <c r="S224" s="12">
        <v>868661.75</v>
      </c>
      <c r="T224" s="1">
        <f t="shared" si="30"/>
        <v>0</v>
      </c>
      <c r="U224" s="1">
        <f t="shared" si="31"/>
        <v>0</v>
      </c>
    </row>
    <row r="225" spans="1:21" x14ac:dyDescent="0.25">
      <c r="A225" s="10">
        <v>720</v>
      </c>
      <c r="B225" s="10">
        <v>1</v>
      </c>
      <c r="C225" s="11" t="s">
        <v>217</v>
      </c>
      <c r="D225" s="12">
        <v>7411</v>
      </c>
      <c r="E225" s="12">
        <v>7702</v>
      </c>
      <c r="F225" s="12">
        <v>1036116.1319999998</v>
      </c>
      <c r="G225" s="13">
        <v>45000</v>
      </c>
      <c r="H225" s="1">
        <f t="shared" si="24"/>
        <v>-991116.13199999975</v>
      </c>
      <c r="I225" s="1">
        <f t="shared" si="25"/>
        <v>-133.73581594926458</v>
      </c>
      <c r="J225" s="12">
        <v>1079205.9375</v>
      </c>
      <c r="K225" s="13">
        <v>45000</v>
      </c>
      <c r="L225" s="1">
        <f t="shared" si="26"/>
        <v>-1034205.9375</v>
      </c>
      <c r="M225" s="1">
        <f t="shared" si="27"/>
        <v>-134.27758212152688</v>
      </c>
      <c r="N225" s="12">
        <v>4735276</v>
      </c>
      <c r="O225" s="12">
        <v>4735276</v>
      </c>
      <c r="P225" s="1">
        <f t="shared" si="28"/>
        <v>0</v>
      </c>
      <c r="Q225" s="1">
        <f t="shared" si="29"/>
        <v>0</v>
      </c>
      <c r="R225" s="12">
        <v>1243864.25</v>
      </c>
      <c r="S225" s="12">
        <v>1243864.25</v>
      </c>
      <c r="T225" s="1">
        <f t="shared" si="30"/>
        <v>0</v>
      </c>
      <c r="U225" s="1">
        <f t="shared" si="31"/>
        <v>0</v>
      </c>
    </row>
    <row r="226" spans="1:21" x14ac:dyDescent="0.25">
      <c r="A226" s="10">
        <v>721</v>
      </c>
      <c r="B226" s="10">
        <v>1</v>
      </c>
      <c r="C226" s="11" t="s">
        <v>218</v>
      </c>
      <c r="D226" s="12">
        <v>3779</v>
      </c>
      <c r="E226" s="12">
        <v>3837</v>
      </c>
      <c r="F226" s="12">
        <v>380940.76599999995</v>
      </c>
      <c r="G226" s="13">
        <v>0</v>
      </c>
      <c r="H226" s="1">
        <f t="shared" si="24"/>
        <v>-380940.76599999995</v>
      </c>
      <c r="I226" s="1">
        <f t="shared" si="25"/>
        <v>-100.80464831966127</v>
      </c>
      <c r="J226" s="12">
        <v>386886.58799999999</v>
      </c>
      <c r="K226" s="13">
        <v>0</v>
      </c>
      <c r="L226" s="1">
        <f t="shared" si="26"/>
        <v>-386886.58799999999</v>
      </c>
      <c r="M226" s="1">
        <f t="shared" si="27"/>
        <v>-100.83048944487881</v>
      </c>
      <c r="N226" s="12">
        <v>3086115</v>
      </c>
      <c r="O226" s="12">
        <v>3086115</v>
      </c>
      <c r="P226" s="1">
        <f t="shared" si="28"/>
        <v>0</v>
      </c>
      <c r="Q226" s="1">
        <f t="shared" si="29"/>
        <v>0</v>
      </c>
      <c r="R226" s="12">
        <v>578668.75</v>
      </c>
      <c r="S226" s="12">
        <v>578668.75</v>
      </c>
      <c r="T226" s="1">
        <f t="shared" si="30"/>
        <v>0</v>
      </c>
      <c r="U226" s="1">
        <f t="shared" si="31"/>
        <v>0</v>
      </c>
    </row>
    <row r="227" spans="1:21" x14ac:dyDescent="0.25">
      <c r="A227" s="10">
        <v>726</v>
      </c>
      <c r="B227" s="10">
        <v>1</v>
      </c>
      <c r="C227" s="11" t="s">
        <v>219</v>
      </c>
      <c r="D227" s="12">
        <v>2748</v>
      </c>
      <c r="E227" s="12">
        <v>2727</v>
      </c>
      <c r="F227" s="12">
        <v>278231.78200000001</v>
      </c>
      <c r="G227" s="13">
        <v>292500</v>
      </c>
      <c r="H227" s="1">
        <f t="shared" si="24"/>
        <v>14268.217999999993</v>
      </c>
      <c r="I227" s="1">
        <f t="shared" si="25"/>
        <v>5.1922190684133893</v>
      </c>
      <c r="J227" s="12">
        <v>276599.14999999997</v>
      </c>
      <c r="K227" s="13">
        <v>291157</v>
      </c>
      <c r="L227" s="1">
        <f t="shared" si="26"/>
        <v>14557.850000000035</v>
      </c>
      <c r="M227" s="1">
        <f t="shared" si="27"/>
        <v>5.3384121745508013</v>
      </c>
      <c r="N227" s="12">
        <v>2385227</v>
      </c>
      <c r="O227" s="12">
        <v>2385227</v>
      </c>
      <c r="P227" s="1">
        <f t="shared" si="28"/>
        <v>0</v>
      </c>
      <c r="Q227" s="1">
        <f t="shared" si="29"/>
        <v>0</v>
      </c>
      <c r="R227" s="12">
        <v>323014</v>
      </c>
      <c r="S227" s="12">
        <v>323014</v>
      </c>
      <c r="T227" s="1">
        <f t="shared" si="30"/>
        <v>0</v>
      </c>
      <c r="U227" s="1">
        <f t="shared" si="31"/>
        <v>0</v>
      </c>
    </row>
    <row r="228" spans="1:21" x14ac:dyDescent="0.25">
      <c r="A228" s="10">
        <v>727</v>
      </c>
      <c r="B228" s="10">
        <v>1</v>
      </c>
      <c r="C228" s="11" t="s">
        <v>220</v>
      </c>
      <c r="D228" s="12">
        <v>3550</v>
      </c>
      <c r="E228" s="12">
        <v>3585</v>
      </c>
      <c r="F228" s="12">
        <v>0</v>
      </c>
      <c r="G228" s="13">
        <v>0</v>
      </c>
      <c r="H228" s="1">
        <f t="shared" si="24"/>
        <v>0</v>
      </c>
      <c r="I228" s="1">
        <f t="shared" si="25"/>
        <v>0</v>
      </c>
      <c r="J228" s="12">
        <v>0</v>
      </c>
      <c r="K228" s="13">
        <v>0</v>
      </c>
      <c r="L228" s="1">
        <f t="shared" si="26"/>
        <v>0</v>
      </c>
      <c r="M228" s="1">
        <f t="shared" si="27"/>
        <v>0</v>
      </c>
      <c r="N228" s="12">
        <v>2181256</v>
      </c>
      <c r="O228" s="12">
        <v>2181256</v>
      </c>
      <c r="P228" s="1">
        <f t="shared" si="28"/>
        <v>0</v>
      </c>
      <c r="Q228" s="1">
        <f t="shared" si="29"/>
        <v>0</v>
      </c>
      <c r="R228" s="12">
        <v>460179</v>
      </c>
      <c r="S228" s="12">
        <v>460179</v>
      </c>
      <c r="T228" s="1">
        <f t="shared" si="30"/>
        <v>0</v>
      </c>
      <c r="U228" s="1">
        <f t="shared" si="31"/>
        <v>0</v>
      </c>
    </row>
    <row r="229" spans="1:21" x14ac:dyDescent="0.25">
      <c r="A229" s="10">
        <v>728</v>
      </c>
      <c r="B229" s="10">
        <v>1</v>
      </c>
      <c r="C229" s="11" t="s">
        <v>221</v>
      </c>
      <c r="D229" s="12">
        <v>12611</v>
      </c>
      <c r="E229" s="12">
        <v>12791</v>
      </c>
      <c r="F229" s="12">
        <v>1267182.01</v>
      </c>
      <c r="G229" s="13">
        <v>1333875.8</v>
      </c>
      <c r="H229" s="1">
        <f t="shared" si="24"/>
        <v>66693.790000000037</v>
      </c>
      <c r="I229" s="1">
        <f t="shared" si="25"/>
        <v>5.2885409563079877</v>
      </c>
      <c r="J229" s="12">
        <v>1286798.0659999999</v>
      </c>
      <c r="K229" s="13">
        <v>1340000</v>
      </c>
      <c r="L229" s="1">
        <f t="shared" si="26"/>
        <v>53201.934000000125</v>
      </c>
      <c r="M229" s="1">
        <f t="shared" si="27"/>
        <v>4.1593256195762747</v>
      </c>
      <c r="N229" s="12">
        <v>10972036</v>
      </c>
      <c r="O229" s="12">
        <v>10972036</v>
      </c>
      <c r="P229" s="1">
        <f t="shared" si="28"/>
        <v>0</v>
      </c>
      <c r="Q229" s="1">
        <f t="shared" si="29"/>
        <v>0</v>
      </c>
      <c r="R229" s="12">
        <v>1505352</v>
      </c>
      <c r="S229" s="12">
        <v>1505352</v>
      </c>
      <c r="T229" s="1">
        <f t="shared" si="30"/>
        <v>0</v>
      </c>
      <c r="U229" s="1">
        <f t="shared" si="31"/>
        <v>0</v>
      </c>
    </row>
    <row r="230" spans="1:21" x14ac:dyDescent="0.25">
      <c r="A230" s="10">
        <v>738</v>
      </c>
      <c r="B230" s="10">
        <v>1</v>
      </c>
      <c r="C230" s="11" t="s">
        <v>222</v>
      </c>
      <c r="D230" s="12">
        <v>985</v>
      </c>
      <c r="E230" s="12">
        <v>966</v>
      </c>
      <c r="F230" s="12">
        <v>100094.84999999998</v>
      </c>
      <c r="G230" s="13">
        <v>92072.98</v>
      </c>
      <c r="H230" s="1">
        <f t="shared" si="24"/>
        <v>-8021.8699999999808</v>
      </c>
      <c r="I230" s="1">
        <f t="shared" si="25"/>
        <v>-8.1440304568527715</v>
      </c>
      <c r="J230" s="12">
        <v>98528.641999999978</v>
      </c>
      <c r="K230" s="13">
        <v>92100</v>
      </c>
      <c r="L230" s="1">
        <f t="shared" si="26"/>
        <v>-6428.641999999978</v>
      </c>
      <c r="M230" s="1">
        <f t="shared" si="27"/>
        <v>-6.6549089026914885</v>
      </c>
      <c r="N230" s="12">
        <v>512830</v>
      </c>
      <c r="O230" s="12">
        <v>512830</v>
      </c>
      <c r="P230" s="1">
        <f t="shared" si="28"/>
        <v>0</v>
      </c>
      <c r="Q230" s="1">
        <f t="shared" si="29"/>
        <v>0</v>
      </c>
      <c r="R230" s="12">
        <v>129762</v>
      </c>
      <c r="S230" s="12">
        <v>129762</v>
      </c>
      <c r="T230" s="1">
        <f t="shared" si="30"/>
        <v>0</v>
      </c>
      <c r="U230" s="1">
        <f t="shared" si="31"/>
        <v>0</v>
      </c>
    </row>
    <row r="231" spans="1:21" x14ac:dyDescent="0.25">
      <c r="A231" s="10">
        <v>739</v>
      </c>
      <c r="B231" s="10">
        <v>1</v>
      </c>
      <c r="C231" s="11" t="s">
        <v>223</v>
      </c>
      <c r="D231" s="12">
        <v>680</v>
      </c>
      <c r="E231" s="12">
        <v>670</v>
      </c>
      <c r="F231" s="12">
        <v>69070.471999999994</v>
      </c>
      <c r="G231" s="13">
        <v>72705.759999999995</v>
      </c>
      <c r="H231" s="1">
        <f t="shared" si="24"/>
        <v>3635.2880000000005</v>
      </c>
      <c r="I231" s="1">
        <f t="shared" si="25"/>
        <v>5.3460117647058834</v>
      </c>
      <c r="J231" s="12">
        <v>67911.547999999995</v>
      </c>
      <c r="K231" s="13">
        <v>71485.84</v>
      </c>
      <c r="L231" s="1">
        <f t="shared" si="26"/>
        <v>3574.2920000000013</v>
      </c>
      <c r="M231" s="1">
        <f t="shared" si="27"/>
        <v>5.3347641791044795</v>
      </c>
      <c r="N231" s="12">
        <v>743003</v>
      </c>
      <c r="O231" s="12">
        <v>743003</v>
      </c>
      <c r="P231" s="1">
        <f t="shared" si="28"/>
        <v>0</v>
      </c>
      <c r="Q231" s="1">
        <f t="shared" si="29"/>
        <v>0</v>
      </c>
      <c r="R231" s="12">
        <v>72868</v>
      </c>
      <c r="S231" s="12">
        <v>72868</v>
      </c>
      <c r="T231" s="1">
        <f t="shared" si="30"/>
        <v>0</v>
      </c>
      <c r="U231" s="1">
        <f t="shared" si="31"/>
        <v>0</v>
      </c>
    </row>
    <row r="232" spans="1:21" x14ac:dyDescent="0.25">
      <c r="A232" s="10">
        <v>740</v>
      </c>
      <c r="B232" s="10">
        <v>1</v>
      </c>
      <c r="C232" s="11" t="s">
        <v>224</v>
      </c>
      <c r="D232" s="12">
        <v>1339</v>
      </c>
      <c r="E232" s="12">
        <v>1323</v>
      </c>
      <c r="F232" s="12">
        <v>138494.03999999998</v>
      </c>
      <c r="G232" s="13">
        <v>143060</v>
      </c>
      <c r="H232" s="1">
        <f t="shared" si="24"/>
        <v>4565.960000000021</v>
      </c>
      <c r="I232" s="1">
        <f t="shared" si="25"/>
        <v>3.4099775952203295</v>
      </c>
      <c r="J232" s="12">
        <v>137204.016</v>
      </c>
      <c r="K232" s="13">
        <v>137060</v>
      </c>
      <c r="L232" s="1">
        <f t="shared" si="26"/>
        <v>-144.01600000000326</v>
      </c>
      <c r="M232" s="1">
        <f t="shared" si="27"/>
        <v>-0.10885563114134789</v>
      </c>
      <c r="N232" s="12">
        <v>1101261</v>
      </c>
      <c r="O232" s="12">
        <v>1101261</v>
      </c>
      <c r="P232" s="1">
        <f t="shared" si="28"/>
        <v>0</v>
      </c>
      <c r="Q232" s="1">
        <f t="shared" si="29"/>
        <v>0</v>
      </c>
      <c r="R232" s="12">
        <v>163886</v>
      </c>
      <c r="S232" s="12">
        <v>163886</v>
      </c>
      <c r="T232" s="1">
        <f t="shared" si="30"/>
        <v>0</v>
      </c>
      <c r="U232" s="1">
        <f t="shared" si="31"/>
        <v>0</v>
      </c>
    </row>
    <row r="233" spans="1:21" x14ac:dyDescent="0.25">
      <c r="A233" s="10">
        <v>741</v>
      </c>
      <c r="B233" s="10">
        <v>1</v>
      </c>
      <c r="C233" s="11" t="s">
        <v>225</v>
      </c>
      <c r="D233" s="12">
        <v>1024</v>
      </c>
      <c r="E233" s="12">
        <v>1022</v>
      </c>
      <c r="F233" s="12">
        <v>0</v>
      </c>
      <c r="G233" s="13">
        <v>0</v>
      </c>
      <c r="H233" s="1">
        <f t="shared" si="24"/>
        <v>0</v>
      </c>
      <c r="I233" s="1">
        <f t="shared" si="25"/>
        <v>0</v>
      </c>
      <c r="J233" s="12">
        <v>0</v>
      </c>
      <c r="K233" s="13">
        <v>0</v>
      </c>
      <c r="L233" s="1">
        <f t="shared" si="26"/>
        <v>0</v>
      </c>
      <c r="M233" s="1">
        <f t="shared" si="27"/>
        <v>0</v>
      </c>
      <c r="N233" s="12">
        <v>472679</v>
      </c>
      <c r="O233" s="12">
        <v>472679</v>
      </c>
      <c r="P233" s="1">
        <f t="shared" si="28"/>
        <v>0</v>
      </c>
      <c r="Q233" s="1">
        <f t="shared" si="29"/>
        <v>0</v>
      </c>
      <c r="R233" s="12">
        <v>137885</v>
      </c>
      <c r="S233" s="12">
        <v>137885</v>
      </c>
      <c r="T233" s="1">
        <f t="shared" si="30"/>
        <v>0</v>
      </c>
      <c r="U233" s="1">
        <f t="shared" si="31"/>
        <v>0</v>
      </c>
    </row>
    <row r="234" spans="1:21" x14ac:dyDescent="0.25">
      <c r="A234" s="10">
        <v>742</v>
      </c>
      <c r="B234" s="10">
        <v>1</v>
      </c>
      <c r="C234" s="11" t="s">
        <v>226</v>
      </c>
      <c r="D234" s="12">
        <v>9012</v>
      </c>
      <c r="E234" s="12">
        <v>8983</v>
      </c>
      <c r="F234" s="12">
        <v>1268535.8834999998</v>
      </c>
      <c r="G234" s="13">
        <v>1321448</v>
      </c>
      <c r="H234" s="1">
        <f t="shared" si="24"/>
        <v>52912.116500000237</v>
      </c>
      <c r="I234" s="1">
        <f t="shared" si="25"/>
        <v>5.8712956613404614</v>
      </c>
      <c r="J234" s="12">
        <v>1262696.3759999999</v>
      </c>
      <c r="K234" s="13">
        <v>1321448</v>
      </c>
      <c r="L234" s="1">
        <f t="shared" si="26"/>
        <v>58751.624000000069</v>
      </c>
      <c r="M234" s="1">
        <f t="shared" si="27"/>
        <v>6.5403121451630932</v>
      </c>
      <c r="N234" s="12">
        <v>5724536</v>
      </c>
      <c r="O234" s="12">
        <v>5724536</v>
      </c>
      <c r="P234" s="1">
        <f t="shared" si="28"/>
        <v>0</v>
      </c>
      <c r="Q234" s="1">
        <f t="shared" si="29"/>
        <v>0</v>
      </c>
      <c r="R234" s="12">
        <v>1138207</v>
      </c>
      <c r="S234" s="12">
        <v>1138207</v>
      </c>
      <c r="T234" s="1">
        <f t="shared" si="30"/>
        <v>0</v>
      </c>
      <c r="U234" s="1">
        <f t="shared" si="31"/>
        <v>0</v>
      </c>
    </row>
    <row r="235" spans="1:21" x14ac:dyDescent="0.25">
      <c r="A235" s="10">
        <v>743</v>
      </c>
      <c r="B235" s="10">
        <v>1</v>
      </c>
      <c r="C235" s="11" t="s">
        <v>227</v>
      </c>
      <c r="D235" s="12">
        <v>954</v>
      </c>
      <c r="E235" s="12">
        <v>906</v>
      </c>
      <c r="F235" s="12">
        <v>99143.937999999995</v>
      </c>
      <c r="G235" s="13">
        <v>104362</v>
      </c>
      <c r="H235" s="1">
        <f t="shared" si="24"/>
        <v>5218.0620000000054</v>
      </c>
      <c r="I235" s="1">
        <f t="shared" si="25"/>
        <v>5.4696666666666722</v>
      </c>
      <c r="J235" s="12">
        <v>93659.587999999989</v>
      </c>
      <c r="K235" s="13">
        <v>98589.04</v>
      </c>
      <c r="L235" s="1">
        <f t="shared" si="26"/>
        <v>4929.4520000000048</v>
      </c>
      <c r="M235" s="1">
        <f t="shared" si="27"/>
        <v>5.440896247240623</v>
      </c>
      <c r="N235" s="12">
        <v>1141808</v>
      </c>
      <c r="O235" s="12">
        <v>1141808</v>
      </c>
      <c r="P235" s="1">
        <f t="shared" si="28"/>
        <v>0</v>
      </c>
      <c r="Q235" s="1">
        <f t="shared" si="29"/>
        <v>0</v>
      </c>
      <c r="R235" s="12">
        <v>96876</v>
      </c>
      <c r="S235" s="12">
        <v>96876</v>
      </c>
      <c r="T235" s="1">
        <f t="shared" si="30"/>
        <v>0</v>
      </c>
      <c r="U235" s="1">
        <f t="shared" si="31"/>
        <v>0</v>
      </c>
    </row>
    <row r="236" spans="1:21" x14ac:dyDescent="0.25">
      <c r="A236" s="10">
        <v>745</v>
      </c>
      <c r="B236" s="10">
        <v>1</v>
      </c>
      <c r="C236" s="11" t="s">
        <v>228</v>
      </c>
      <c r="D236" s="12">
        <v>1642</v>
      </c>
      <c r="E236" s="12">
        <v>1630</v>
      </c>
      <c r="F236" s="12">
        <v>0</v>
      </c>
      <c r="G236" s="13">
        <v>0</v>
      </c>
      <c r="H236" s="1">
        <f t="shared" si="24"/>
        <v>0</v>
      </c>
      <c r="I236" s="1">
        <f t="shared" si="25"/>
        <v>0</v>
      </c>
      <c r="J236" s="12">
        <v>0</v>
      </c>
      <c r="K236" s="13">
        <v>0</v>
      </c>
      <c r="L236" s="1">
        <f t="shared" si="26"/>
        <v>0</v>
      </c>
      <c r="M236" s="1">
        <f t="shared" si="27"/>
        <v>0</v>
      </c>
      <c r="N236" s="12">
        <v>719940</v>
      </c>
      <c r="O236" s="12">
        <v>719940</v>
      </c>
      <c r="P236" s="1">
        <f t="shared" si="28"/>
        <v>0</v>
      </c>
      <c r="Q236" s="1">
        <f t="shared" si="29"/>
        <v>0</v>
      </c>
      <c r="R236" s="12">
        <v>223791</v>
      </c>
      <c r="S236" s="12">
        <v>223791</v>
      </c>
      <c r="T236" s="1">
        <f t="shared" si="30"/>
        <v>0</v>
      </c>
      <c r="U236" s="1">
        <f t="shared" si="31"/>
        <v>0</v>
      </c>
    </row>
    <row r="237" spans="1:21" x14ac:dyDescent="0.25">
      <c r="A237" s="10">
        <v>748</v>
      </c>
      <c r="B237" s="10">
        <v>1</v>
      </c>
      <c r="C237" s="11" t="s">
        <v>229</v>
      </c>
      <c r="D237" s="12">
        <v>3622</v>
      </c>
      <c r="E237" s="12">
        <v>3715</v>
      </c>
      <c r="F237" s="12">
        <v>0</v>
      </c>
      <c r="G237" s="13">
        <v>0</v>
      </c>
      <c r="H237" s="1">
        <f t="shared" si="24"/>
        <v>0</v>
      </c>
      <c r="I237" s="1">
        <f t="shared" si="25"/>
        <v>0</v>
      </c>
      <c r="J237" s="12">
        <v>0</v>
      </c>
      <c r="K237" s="13">
        <v>0</v>
      </c>
      <c r="L237" s="1">
        <f t="shared" si="26"/>
        <v>0</v>
      </c>
      <c r="M237" s="1">
        <f t="shared" si="27"/>
        <v>0</v>
      </c>
      <c r="N237" s="12">
        <v>1255125</v>
      </c>
      <c r="O237" s="12">
        <v>1255125</v>
      </c>
      <c r="P237" s="1">
        <f t="shared" si="28"/>
        <v>0</v>
      </c>
      <c r="Q237" s="1">
        <f t="shared" si="29"/>
        <v>0</v>
      </c>
      <c r="R237" s="12">
        <v>519923</v>
      </c>
      <c r="S237" s="12">
        <v>519923</v>
      </c>
      <c r="T237" s="1">
        <f t="shared" si="30"/>
        <v>0</v>
      </c>
      <c r="U237" s="1">
        <f t="shared" si="31"/>
        <v>0</v>
      </c>
    </row>
    <row r="238" spans="1:21" x14ac:dyDescent="0.25">
      <c r="A238" s="10">
        <v>750</v>
      </c>
      <c r="B238" s="10">
        <v>1</v>
      </c>
      <c r="C238" s="11" t="s">
        <v>230</v>
      </c>
      <c r="D238" s="12">
        <v>2061</v>
      </c>
      <c r="E238" s="12">
        <v>1962</v>
      </c>
      <c r="F238" s="12">
        <v>0</v>
      </c>
      <c r="G238" s="13">
        <v>0</v>
      </c>
      <c r="H238" s="1">
        <f t="shared" si="24"/>
        <v>0</v>
      </c>
      <c r="I238" s="1">
        <f t="shared" si="25"/>
        <v>0</v>
      </c>
      <c r="J238" s="12">
        <v>0</v>
      </c>
      <c r="K238" s="13">
        <v>0</v>
      </c>
      <c r="L238" s="1">
        <f t="shared" si="26"/>
        <v>0</v>
      </c>
      <c r="M238" s="1">
        <f t="shared" si="27"/>
        <v>0</v>
      </c>
      <c r="N238" s="12">
        <v>1060915</v>
      </c>
      <c r="O238" s="12">
        <v>1060915</v>
      </c>
      <c r="P238" s="1">
        <f t="shared" si="28"/>
        <v>0</v>
      </c>
      <c r="Q238" s="1">
        <f t="shared" si="29"/>
        <v>0</v>
      </c>
      <c r="R238" s="12">
        <v>268836</v>
      </c>
      <c r="S238" s="12">
        <v>268836</v>
      </c>
      <c r="T238" s="1">
        <f t="shared" si="30"/>
        <v>0</v>
      </c>
      <c r="U238" s="1">
        <f t="shared" si="31"/>
        <v>0</v>
      </c>
    </row>
    <row r="239" spans="1:21" x14ac:dyDescent="0.25">
      <c r="A239" s="10">
        <v>756</v>
      </c>
      <c r="B239" s="10">
        <v>1</v>
      </c>
      <c r="C239" s="11" t="s">
        <v>231</v>
      </c>
      <c r="D239" s="12">
        <v>695</v>
      </c>
      <c r="E239" s="12">
        <v>681</v>
      </c>
      <c r="F239" s="12">
        <v>0</v>
      </c>
      <c r="G239" s="13">
        <v>0</v>
      </c>
      <c r="H239" s="1">
        <f t="shared" si="24"/>
        <v>0</v>
      </c>
      <c r="I239" s="1">
        <f t="shared" si="25"/>
        <v>0</v>
      </c>
      <c r="J239" s="12">
        <v>0</v>
      </c>
      <c r="K239" s="13">
        <v>0</v>
      </c>
      <c r="L239" s="1">
        <f t="shared" si="26"/>
        <v>0</v>
      </c>
      <c r="M239" s="1">
        <f t="shared" si="27"/>
        <v>0</v>
      </c>
      <c r="N239" s="12">
        <v>591177</v>
      </c>
      <c r="O239" s="12">
        <v>591177</v>
      </c>
      <c r="P239" s="1">
        <f t="shared" si="28"/>
        <v>0</v>
      </c>
      <c r="Q239" s="1">
        <f t="shared" si="29"/>
        <v>0</v>
      </c>
      <c r="R239" s="12">
        <v>81071</v>
      </c>
      <c r="S239" s="12">
        <v>81071</v>
      </c>
      <c r="T239" s="1">
        <f t="shared" si="30"/>
        <v>0</v>
      </c>
      <c r="U239" s="1">
        <f t="shared" si="31"/>
        <v>0</v>
      </c>
    </row>
    <row r="240" spans="1:21" x14ac:dyDescent="0.25">
      <c r="A240" s="10">
        <v>761</v>
      </c>
      <c r="B240" s="10">
        <v>1</v>
      </c>
      <c r="C240" s="11" t="s">
        <v>232</v>
      </c>
      <c r="D240" s="12">
        <v>4936</v>
      </c>
      <c r="E240" s="12">
        <v>4921</v>
      </c>
      <c r="F240" s="12">
        <v>0</v>
      </c>
      <c r="G240" s="13">
        <v>0</v>
      </c>
      <c r="H240" s="1">
        <f t="shared" si="24"/>
        <v>0</v>
      </c>
      <c r="I240" s="1">
        <f t="shared" si="25"/>
        <v>0</v>
      </c>
      <c r="J240" s="12">
        <v>0</v>
      </c>
      <c r="K240" s="13">
        <v>0</v>
      </c>
      <c r="L240" s="1">
        <f t="shared" si="26"/>
        <v>0</v>
      </c>
      <c r="M240" s="1">
        <f t="shared" si="27"/>
        <v>0</v>
      </c>
      <c r="N240" s="12">
        <v>4019192</v>
      </c>
      <c r="O240" s="12">
        <v>4019192</v>
      </c>
      <c r="P240" s="1">
        <f t="shared" si="28"/>
        <v>0</v>
      </c>
      <c r="Q240" s="1">
        <f t="shared" si="29"/>
        <v>0</v>
      </c>
      <c r="R240" s="12">
        <v>589979</v>
      </c>
      <c r="S240" s="12">
        <v>589979</v>
      </c>
      <c r="T240" s="1">
        <f t="shared" si="30"/>
        <v>0</v>
      </c>
      <c r="U240" s="1">
        <f t="shared" si="31"/>
        <v>0</v>
      </c>
    </row>
    <row r="241" spans="1:21" x14ac:dyDescent="0.25">
      <c r="A241" s="10">
        <v>763</v>
      </c>
      <c r="B241" s="10">
        <v>1</v>
      </c>
      <c r="C241" s="11" t="s">
        <v>233</v>
      </c>
      <c r="D241" s="12">
        <v>820</v>
      </c>
      <c r="E241" s="12">
        <v>820</v>
      </c>
      <c r="F241" s="12">
        <v>0</v>
      </c>
      <c r="G241" s="13">
        <v>0</v>
      </c>
      <c r="H241" s="1">
        <f t="shared" si="24"/>
        <v>0</v>
      </c>
      <c r="I241" s="1">
        <f t="shared" si="25"/>
        <v>0</v>
      </c>
      <c r="J241" s="12">
        <v>0</v>
      </c>
      <c r="K241" s="13">
        <v>0</v>
      </c>
      <c r="L241" s="1">
        <f t="shared" si="26"/>
        <v>0</v>
      </c>
      <c r="M241" s="1">
        <f t="shared" si="27"/>
        <v>0</v>
      </c>
      <c r="N241" s="12">
        <v>0</v>
      </c>
      <c r="O241" s="12">
        <v>0</v>
      </c>
      <c r="P241" s="1">
        <f t="shared" si="28"/>
        <v>0</v>
      </c>
      <c r="Q241" s="1">
        <f t="shared" si="29"/>
        <v>0</v>
      </c>
      <c r="R241" s="12">
        <v>121802.27528622193</v>
      </c>
      <c r="S241" s="12">
        <v>121802.27528622193</v>
      </c>
      <c r="T241" s="1">
        <f t="shared" si="30"/>
        <v>0</v>
      </c>
      <c r="U241" s="1">
        <f t="shared" si="31"/>
        <v>0</v>
      </c>
    </row>
    <row r="242" spans="1:21" x14ac:dyDescent="0.25">
      <c r="A242" s="10">
        <v>768</v>
      </c>
      <c r="B242" s="10">
        <v>1</v>
      </c>
      <c r="C242" s="11" t="s">
        <v>234</v>
      </c>
      <c r="D242" s="12">
        <v>271</v>
      </c>
      <c r="E242" s="12">
        <v>266</v>
      </c>
      <c r="F242" s="12">
        <v>0</v>
      </c>
      <c r="G242" s="13">
        <v>0</v>
      </c>
      <c r="H242" s="1">
        <f t="shared" si="24"/>
        <v>0</v>
      </c>
      <c r="I242" s="1">
        <f t="shared" si="25"/>
        <v>0</v>
      </c>
      <c r="J242" s="12">
        <v>0</v>
      </c>
      <c r="K242" s="13">
        <v>0</v>
      </c>
      <c r="L242" s="1">
        <f t="shared" si="26"/>
        <v>0</v>
      </c>
      <c r="M242" s="1">
        <f t="shared" si="27"/>
        <v>0</v>
      </c>
      <c r="N242" s="12">
        <v>270804</v>
      </c>
      <c r="O242" s="12">
        <v>270804</v>
      </c>
      <c r="P242" s="1">
        <f t="shared" si="28"/>
        <v>0</v>
      </c>
      <c r="Q242" s="1">
        <f t="shared" si="29"/>
        <v>0</v>
      </c>
      <c r="R242" s="12">
        <v>29563</v>
      </c>
      <c r="S242" s="12">
        <v>29563</v>
      </c>
      <c r="T242" s="1">
        <f t="shared" si="30"/>
        <v>0</v>
      </c>
      <c r="U242" s="1">
        <f t="shared" si="31"/>
        <v>0</v>
      </c>
    </row>
    <row r="243" spans="1:21" x14ac:dyDescent="0.25">
      <c r="A243" s="10">
        <v>769</v>
      </c>
      <c r="B243" s="10">
        <v>1</v>
      </c>
      <c r="C243" s="11" t="s">
        <v>235</v>
      </c>
      <c r="D243" s="12">
        <v>926</v>
      </c>
      <c r="E243" s="12">
        <v>941</v>
      </c>
      <c r="F243" s="12">
        <v>0</v>
      </c>
      <c r="G243" s="13">
        <v>0</v>
      </c>
      <c r="H243" s="1">
        <f t="shared" si="24"/>
        <v>0</v>
      </c>
      <c r="I243" s="1">
        <f t="shared" si="25"/>
        <v>0</v>
      </c>
      <c r="J243" s="12">
        <v>0</v>
      </c>
      <c r="K243" s="13">
        <v>0</v>
      </c>
      <c r="L243" s="1">
        <f t="shared" si="26"/>
        <v>0</v>
      </c>
      <c r="M243" s="1">
        <f t="shared" si="27"/>
        <v>0</v>
      </c>
      <c r="N243" s="12">
        <v>889034</v>
      </c>
      <c r="O243" s="12">
        <v>889034</v>
      </c>
      <c r="P243" s="1">
        <f t="shared" si="28"/>
        <v>0</v>
      </c>
      <c r="Q243" s="1">
        <f t="shared" si="29"/>
        <v>0</v>
      </c>
      <c r="R243" s="12">
        <v>109089</v>
      </c>
      <c r="S243" s="12">
        <v>109089</v>
      </c>
      <c r="T243" s="1">
        <f t="shared" si="30"/>
        <v>0</v>
      </c>
      <c r="U243" s="1">
        <f t="shared" si="31"/>
        <v>0</v>
      </c>
    </row>
    <row r="244" spans="1:21" x14ac:dyDescent="0.25">
      <c r="A244" s="10">
        <v>771</v>
      </c>
      <c r="B244" s="10">
        <v>1</v>
      </c>
      <c r="C244" s="11" t="s">
        <v>236</v>
      </c>
      <c r="D244" s="12">
        <v>151</v>
      </c>
      <c r="E244" s="12">
        <v>150</v>
      </c>
      <c r="F244" s="12">
        <v>0</v>
      </c>
      <c r="G244" s="13">
        <v>0</v>
      </c>
      <c r="H244" s="1">
        <f t="shared" si="24"/>
        <v>0</v>
      </c>
      <c r="I244" s="1">
        <f t="shared" si="25"/>
        <v>0</v>
      </c>
      <c r="J244" s="12">
        <v>0</v>
      </c>
      <c r="K244" s="13">
        <v>0</v>
      </c>
      <c r="L244" s="1">
        <f t="shared" si="26"/>
        <v>0</v>
      </c>
      <c r="M244" s="1">
        <f t="shared" si="27"/>
        <v>0</v>
      </c>
      <c r="N244" s="12">
        <v>526625</v>
      </c>
      <c r="O244" s="12">
        <v>526625</v>
      </c>
      <c r="P244" s="1">
        <f t="shared" si="28"/>
        <v>0</v>
      </c>
      <c r="Q244" s="1">
        <f t="shared" si="29"/>
        <v>0</v>
      </c>
      <c r="R244" s="12">
        <v>8045</v>
      </c>
      <c r="S244" s="12">
        <v>8045</v>
      </c>
      <c r="T244" s="1">
        <f t="shared" si="30"/>
        <v>0</v>
      </c>
      <c r="U244" s="1">
        <f t="shared" si="31"/>
        <v>0</v>
      </c>
    </row>
    <row r="245" spans="1:21" x14ac:dyDescent="0.25">
      <c r="A245" s="10">
        <v>775</v>
      </c>
      <c r="B245" s="10">
        <v>1</v>
      </c>
      <c r="C245" s="11" t="s">
        <v>237</v>
      </c>
      <c r="D245" s="12">
        <v>517</v>
      </c>
      <c r="E245" s="12">
        <v>515</v>
      </c>
      <c r="F245" s="12">
        <v>52240.728000000003</v>
      </c>
      <c r="G245" s="13">
        <v>54990.240000000005</v>
      </c>
      <c r="H245" s="1">
        <f t="shared" si="24"/>
        <v>2749.5120000000024</v>
      </c>
      <c r="I245" s="1">
        <f t="shared" si="25"/>
        <v>5.3182050290135443</v>
      </c>
      <c r="J245" s="12">
        <v>51781.004000000001</v>
      </c>
      <c r="K245" s="13">
        <v>54506.320000000007</v>
      </c>
      <c r="L245" s="1">
        <f t="shared" si="26"/>
        <v>2725.3160000000062</v>
      </c>
      <c r="M245" s="1">
        <f t="shared" si="27"/>
        <v>5.2918757281553521</v>
      </c>
      <c r="N245" s="12">
        <v>386872</v>
      </c>
      <c r="O245" s="12">
        <v>386872</v>
      </c>
      <c r="P245" s="1">
        <f t="shared" si="28"/>
        <v>0</v>
      </c>
      <c r="Q245" s="1">
        <f t="shared" si="29"/>
        <v>0</v>
      </c>
      <c r="R245" s="12">
        <v>63067</v>
      </c>
      <c r="S245" s="12">
        <v>63067</v>
      </c>
      <c r="T245" s="1">
        <f t="shared" si="30"/>
        <v>0</v>
      </c>
      <c r="U245" s="1">
        <f t="shared" si="31"/>
        <v>0</v>
      </c>
    </row>
    <row r="246" spans="1:21" x14ac:dyDescent="0.25">
      <c r="A246" s="10">
        <v>777</v>
      </c>
      <c r="B246" s="10">
        <v>1</v>
      </c>
      <c r="C246" s="11" t="s">
        <v>238</v>
      </c>
      <c r="D246" s="12">
        <v>903</v>
      </c>
      <c r="E246" s="12">
        <v>879</v>
      </c>
      <c r="F246" s="12">
        <v>0</v>
      </c>
      <c r="G246" s="13">
        <v>0</v>
      </c>
      <c r="H246" s="1">
        <f t="shared" si="24"/>
        <v>0</v>
      </c>
      <c r="I246" s="1">
        <f t="shared" si="25"/>
        <v>0</v>
      </c>
      <c r="J246" s="12">
        <v>0</v>
      </c>
      <c r="K246" s="13">
        <v>0</v>
      </c>
      <c r="L246" s="1">
        <f t="shared" si="26"/>
        <v>0</v>
      </c>
      <c r="M246" s="1">
        <f t="shared" si="27"/>
        <v>0</v>
      </c>
      <c r="N246" s="12">
        <v>589102</v>
      </c>
      <c r="O246" s="12">
        <v>589102</v>
      </c>
      <c r="P246" s="1">
        <f t="shared" si="28"/>
        <v>0</v>
      </c>
      <c r="Q246" s="1">
        <f t="shared" si="29"/>
        <v>0</v>
      </c>
      <c r="R246" s="12">
        <v>113020</v>
      </c>
      <c r="S246" s="12">
        <v>113020</v>
      </c>
      <c r="T246" s="1">
        <f t="shared" si="30"/>
        <v>0</v>
      </c>
      <c r="U246" s="1">
        <f t="shared" si="31"/>
        <v>0</v>
      </c>
    </row>
    <row r="247" spans="1:21" x14ac:dyDescent="0.25">
      <c r="A247" s="10">
        <v>786</v>
      </c>
      <c r="B247" s="10">
        <v>1</v>
      </c>
      <c r="C247" s="11" t="s">
        <v>239</v>
      </c>
      <c r="D247" s="12">
        <v>410</v>
      </c>
      <c r="E247" s="12">
        <v>400</v>
      </c>
      <c r="F247" s="12">
        <v>0</v>
      </c>
      <c r="G247" s="13">
        <v>0</v>
      </c>
      <c r="H247" s="1">
        <f t="shared" si="24"/>
        <v>0</v>
      </c>
      <c r="I247" s="1">
        <f t="shared" si="25"/>
        <v>0</v>
      </c>
      <c r="J247" s="12">
        <v>0</v>
      </c>
      <c r="K247" s="13">
        <v>0</v>
      </c>
      <c r="L247" s="1">
        <f t="shared" si="26"/>
        <v>0</v>
      </c>
      <c r="M247" s="1">
        <f t="shared" si="27"/>
        <v>0</v>
      </c>
      <c r="N247" s="12">
        <v>240011</v>
      </c>
      <c r="O247" s="12">
        <v>240011</v>
      </c>
      <c r="P247" s="1">
        <f t="shared" si="28"/>
        <v>0</v>
      </c>
      <c r="Q247" s="1">
        <f t="shared" si="29"/>
        <v>0</v>
      </c>
      <c r="R247" s="12">
        <v>52496</v>
      </c>
      <c r="S247" s="12">
        <v>52496</v>
      </c>
      <c r="T247" s="1">
        <f t="shared" si="30"/>
        <v>0</v>
      </c>
      <c r="U247" s="1">
        <f t="shared" si="31"/>
        <v>0</v>
      </c>
    </row>
    <row r="248" spans="1:21" x14ac:dyDescent="0.25">
      <c r="A248" s="10">
        <v>787</v>
      </c>
      <c r="B248" s="10">
        <v>1</v>
      </c>
      <c r="C248" s="11" t="s">
        <v>240</v>
      </c>
      <c r="D248" s="12">
        <v>420</v>
      </c>
      <c r="E248" s="12">
        <v>391</v>
      </c>
      <c r="F248" s="12">
        <v>43725.345999999998</v>
      </c>
      <c r="G248" s="13">
        <v>0</v>
      </c>
      <c r="H248" s="1">
        <f t="shared" si="24"/>
        <v>-43725.345999999998</v>
      </c>
      <c r="I248" s="1">
        <f t="shared" si="25"/>
        <v>-104.10796666666666</v>
      </c>
      <c r="J248" s="12">
        <v>40713.542000000001</v>
      </c>
      <c r="K248" s="13">
        <v>0</v>
      </c>
      <c r="L248" s="1">
        <f t="shared" si="26"/>
        <v>-40713.542000000001</v>
      </c>
      <c r="M248" s="1">
        <f t="shared" si="27"/>
        <v>-104.12670588235295</v>
      </c>
      <c r="N248" s="12">
        <v>38148</v>
      </c>
      <c r="O248" s="12">
        <v>38148</v>
      </c>
      <c r="P248" s="1">
        <f t="shared" si="28"/>
        <v>0</v>
      </c>
      <c r="Q248" s="1">
        <f t="shared" si="29"/>
        <v>0</v>
      </c>
      <c r="R248" s="12">
        <v>61858</v>
      </c>
      <c r="S248" s="12">
        <v>61858</v>
      </c>
      <c r="T248" s="1">
        <f t="shared" si="30"/>
        <v>0</v>
      </c>
      <c r="U248" s="1">
        <f t="shared" si="31"/>
        <v>0</v>
      </c>
    </row>
    <row r="249" spans="1:21" x14ac:dyDescent="0.25">
      <c r="A249" s="10">
        <v>801</v>
      </c>
      <c r="B249" s="10">
        <v>1</v>
      </c>
      <c r="C249" s="11" t="s">
        <v>241</v>
      </c>
      <c r="D249" s="12">
        <v>109</v>
      </c>
      <c r="E249" s="12">
        <v>108</v>
      </c>
      <c r="F249" s="12">
        <v>0</v>
      </c>
      <c r="G249" s="13">
        <v>0</v>
      </c>
      <c r="H249" s="1">
        <f t="shared" si="24"/>
        <v>0</v>
      </c>
      <c r="I249" s="1">
        <f t="shared" si="25"/>
        <v>0</v>
      </c>
      <c r="J249" s="12">
        <v>0</v>
      </c>
      <c r="K249" s="13">
        <v>0</v>
      </c>
      <c r="L249" s="1">
        <f t="shared" si="26"/>
        <v>0</v>
      </c>
      <c r="M249" s="1">
        <f t="shared" si="27"/>
        <v>0</v>
      </c>
      <c r="N249" s="12">
        <v>175984</v>
      </c>
      <c r="O249" s="12">
        <v>175984</v>
      </c>
      <c r="P249" s="1">
        <f t="shared" si="28"/>
        <v>0</v>
      </c>
      <c r="Q249" s="1">
        <f t="shared" si="29"/>
        <v>0</v>
      </c>
      <c r="R249" s="12">
        <v>8398</v>
      </c>
      <c r="S249" s="12">
        <v>8398</v>
      </c>
      <c r="T249" s="1">
        <f t="shared" si="30"/>
        <v>0</v>
      </c>
      <c r="U249" s="1">
        <f t="shared" si="31"/>
        <v>0</v>
      </c>
    </row>
    <row r="250" spans="1:21" x14ac:dyDescent="0.25">
      <c r="A250" s="10">
        <v>803</v>
      </c>
      <c r="B250" s="10">
        <v>1</v>
      </c>
      <c r="C250" s="11" t="s">
        <v>242</v>
      </c>
      <c r="D250" s="12">
        <v>370</v>
      </c>
      <c r="E250" s="12">
        <v>361</v>
      </c>
      <c r="F250" s="12">
        <v>0</v>
      </c>
      <c r="G250" s="13">
        <v>0</v>
      </c>
      <c r="H250" s="1">
        <f t="shared" si="24"/>
        <v>0</v>
      </c>
      <c r="I250" s="1">
        <f t="shared" si="25"/>
        <v>0</v>
      </c>
      <c r="J250" s="12">
        <v>0</v>
      </c>
      <c r="K250" s="13">
        <v>0</v>
      </c>
      <c r="L250" s="1">
        <f t="shared" si="26"/>
        <v>0</v>
      </c>
      <c r="M250" s="1">
        <f t="shared" si="27"/>
        <v>0</v>
      </c>
      <c r="N250" s="12">
        <v>329647</v>
      </c>
      <c r="O250" s="12">
        <v>329647</v>
      </c>
      <c r="P250" s="1">
        <f t="shared" si="28"/>
        <v>0</v>
      </c>
      <c r="Q250" s="1">
        <f t="shared" si="29"/>
        <v>0</v>
      </c>
      <c r="R250" s="12">
        <v>42215</v>
      </c>
      <c r="S250" s="12">
        <v>42215</v>
      </c>
      <c r="T250" s="1">
        <f t="shared" si="30"/>
        <v>0</v>
      </c>
      <c r="U250" s="1">
        <f t="shared" si="31"/>
        <v>0</v>
      </c>
    </row>
    <row r="251" spans="1:21" x14ac:dyDescent="0.25">
      <c r="A251" s="10">
        <v>811</v>
      </c>
      <c r="B251" s="10">
        <v>1</v>
      </c>
      <c r="C251" s="11" t="s">
        <v>243</v>
      </c>
      <c r="D251" s="12">
        <v>610</v>
      </c>
      <c r="E251" s="12">
        <v>600</v>
      </c>
      <c r="F251" s="12">
        <v>0</v>
      </c>
      <c r="G251" s="13">
        <v>0</v>
      </c>
      <c r="H251" s="1">
        <f t="shared" si="24"/>
        <v>0</v>
      </c>
      <c r="I251" s="1">
        <f t="shared" si="25"/>
        <v>0</v>
      </c>
      <c r="J251" s="12">
        <v>0</v>
      </c>
      <c r="K251" s="13">
        <v>0</v>
      </c>
      <c r="L251" s="1">
        <f t="shared" si="26"/>
        <v>0</v>
      </c>
      <c r="M251" s="1">
        <f t="shared" si="27"/>
        <v>0</v>
      </c>
      <c r="N251" s="12">
        <v>848811</v>
      </c>
      <c r="O251" s="12">
        <v>752352.08</v>
      </c>
      <c r="P251" s="1">
        <f t="shared" si="28"/>
        <v>-96458.920000000042</v>
      </c>
      <c r="Q251" s="1">
        <f t="shared" si="29"/>
        <v>-160.76486666666673</v>
      </c>
      <c r="R251" s="12">
        <v>59163</v>
      </c>
      <c r="S251" s="12">
        <v>63275.47</v>
      </c>
      <c r="T251" s="1">
        <f t="shared" si="30"/>
        <v>4112.4700000000012</v>
      </c>
      <c r="U251" s="1">
        <f t="shared" si="31"/>
        <v>6.8541166666666689</v>
      </c>
    </row>
    <row r="252" spans="1:21" x14ac:dyDescent="0.25">
      <c r="A252" s="10">
        <v>813</v>
      </c>
      <c r="B252" s="10">
        <v>1</v>
      </c>
      <c r="C252" s="11" t="s">
        <v>244</v>
      </c>
      <c r="D252" s="12">
        <v>1241</v>
      </c>
      <c r="E252" s="12">
        <v>1217</v>
      </c>
      <c r="F252" s="12">
        <v>0</v>
      </c>
      <c r="G252" s="13">
        <v>0</v>
      </c>
      <c r="H252" s="1">
        <f t="shared" si="24"/>
        <v>0</v>
      </c>
      <c r="I252" s="1">
        <f t="shared" si="25"/>
        <v>0</v>
      </c>
      <c r="J252" s="12">
        <v>0</v>
      </c>
      <c r="K252" s="13">
        <v>0</v>
      </c>
      <c r="L252" s="1">
        <f t="shared" si="26"/>
        <v>0</v>
      </c>
      <c r="M252" s="1">
        <f t="shared" si="27"/>
        <v>0</v>
      </c>
      <c r="N252" s="12">
        <v>1168871</v>
      </c>
      <c r="O252" s="12">
        <v>1168871</v>
      </c>
      <c r="P252" s="1">
        <f t="shared" si="28"/>
        <v>0</v>
      </c>
      <c r="Q252" s="1">
        <f t="shared" si="29"/>
        <v>0</v>
      </c>
      <c r="R252" s="12">
        <v>139269</v>
      </c>
      <c r="S252" s="12">
        <v>139269</v>
      </c>
      <c r="T252" s="1">
        <f t="shared" si="30"/>
        <v>0</v>
      </c>
      <c r="U252" s="1">
        <f t="shared" si="31"/>
        <v>0</v>
      </c>
    </row>
    <row r="253" spans="1:21" x14ac:dyDescent="0.25">
      <c r="A253" s="10">
        <v>815</v>
      </c>
      <c r="B253" s="10">
        <v>2</v>
      </c>
      <c r="C253" s="11" t="s">
        <v>245</v>
      </c>
      <c r="D253" s="12">
        <v>0</v>
      </c>
      <c r="E253" s="12">
        <v>0</v>
      </c>
      <c r="F253" s="12">
        <v>0</v>
      </c>
      <c r="G253" s="13">
        <v>0</v>
      </c>
      <c r="H253" s="1">
        <f t="shared" si="24"/>
        <v>0</v>
      </c>
      <c r="I253" s="1">
        <f t="shared" si="25"/>
        <v>0</v>
      </c>
      <c r="J253" s="12">
        <v>0</v>
      </c>
      <c r="K253" s="13">
        <v>0</v>
      </c>
      <c r="L253" s="1">
        <f t="shared" si="26"/>
        <v>0</v>
      </c>
      <c r="M253" s="1">
        <f t="shared" si="27"/>
        <v>0</v>
      </c>
      <c r="N253" s="12">
        <v>27318</v>
      </c>
      <c r="O253" s="12">
        <v>0</v>
      </c>
      <c r="P253" s="1">
        <f t="shared" si="28"/>
        <v>-27318</v>
      </c>
      <c r="Q253" s="1">
        <f t="shared" si="29"/>
        <v>0</v>
      </c>
      <c r="R253" s="12">
        <v>0</v>
      </c>
      <c r="S253" s="12">
        <v>2755.33</v>
      </c>
      <c r="T253" s="1">
        <f t="shared" si="30"/>
        <v>2755.33</v>
      </c>
      <c r="U253" s="1">
        <f t="shared" si="31"/>
        <v>0</v>
      </c>
    </row>
    <row r="254" spans="1:21" x14ac:dyDescent="0.25">
      <c r="A254" s="10">
        <v>818</v>
      </c>
      <c r="B254" s="10">
        <v>1</v>
      </c>
      <c r="C254" s="11" t="s">
        <v>246</v>
      </c>
      <c r="D254" s="12">
        <v>470</v>
      </c>
      <c r="E254" s="12">
        <v>451</v>
      </c>
      <c r="F254" s="12">
        <v>0</v>
      </c>
      <c r="G254" s="13">
        <v>0</v>
      </c>
      <c r="H254" s="1">
        <f t="shared" si="24"/>
        <v>0</v>
      </c>
      <c r="I254" s="1">
        <f t="shared" si="25"/>
        <v>0</v>
      </c>
      <c r="J254" s="12">
        <v>0</v>
      </c>
      <c r="K254" s="13">
        <v>0</v>
      </c>
      <c r="L254" s="1">
        <f t="shared" si="26"/>
        <v>0</v>
      </c>
      <c r="M254" s="1">
        <f t="shared" si="27"/>
        <v>0</v>
      </c>
      <c r="N254" s="12">
        <v>0</v>
      </c>
      <c r="O254" s="12">
        <v>0</v>
      </c>
      <c r="P254" s="1">
        <f t="shared" si="28"/>
        <v>0</v>
      </c>
      <c r="Q254" s="1">
        <f t="shared" si="29"/>
        <v>0</v>
      </c>
      <c r="R254" s="12">
        <v>59555.812662334298</v>
      </c>
      <c r="S254" s="12">
        <v>59555.812662334298</v>
      </c>
      <c r="T254" s="1">
        <f t="shared" si="30"/>
        <v>0</v>
      </c>
      <c r="U254" s="1">
        <f t="shared" si="31"/>
        <v>0</v>
      </c>
    </row>
    <row r="255" spans="1:21" x14ac:dyDescent="0.25">
      <c r="A255" s="10">
        <v>820</v>
      </c>
      <c r="B255" s="10">
        <v>1</v>
      </c>
      <c r="C255" s="11" t="s">
        <v>247</v>
      </c>
      <c r="D255" s="12">
        <v>517</v>
      </c>
      <c r="E255" s="12">
        <v>500</v>
      </c>
      <c r="F255" s="12">
        <v>0</v>
      </c>
      <c r="G255" s="13">
        <v>0</v>
      </c>
      <c r="H255" s="1">
        <f t="shared" si="24"/>
        <v>0</v>
      </c>
      <c r="I255" s="1">
        <f t="shared" si="25"/>
        <v>0</v>
      </c>
      <c r="J255" s="12">
        <v>0</v>
      </c>
      <c r="K255" s="13">
        <v>0</v>
      </c>
      <c r="L255" s="1">
        <f t="shared" si="26"/>
        <v>0</v>
      </c>
      <c r="M255" s="1">
        <f t="shared" si="27"/>
        <v>0</v>
      </c>
      <c r="N255" s="12">
        <v>476672</v>
      </c>
      <c r="O255" s="12">
        <v>476672</v>
      </c>
      <c r="P255" s="1">
        <f t="shared" si="28"/>
        <v>0</v>
      </c>
      <c r="Q255" s="1">
        <f t="shared" si="29"/>
        <v>0</v>
      </c>
      <c r="R255" s="12">
        <v>58045</v>
      </c>
      <c r="S255" s="12">
        <v>58045</v>
      </c>
      <c r="T255" s="1">
        <f t="shared" si="30"/>
        <v>0</v>
      </c>
      <c r="U255" s="1">
        <f t="shared" si="31"/>
        <v>0</v>
      </c>
    </row>
    <row r="256" spans="1:21" x14ac:dyDescent="0.25">
      <c r="A256" s="10">
        <v>821</v>
      </c>
      <c r="B256" s="10">
        <v>1</v>
      </c>
      <c r="C256" s="11" t="s">
        <v>248</v>
      </c>
      <c r="D256" s="12">
        <v>818</v>
      </c>
      <c r="E256" s="12">
        <v>863</v>
      </c>
      <c r="F256" s="12">
        <v>0</v>
      </c>
      <c r="G256" s="13">
        <v>0</v>
      </c>
      <c r="H256" s="1">
        <f t="shared" si="24"/>
        <v>0</v>
      </c>
      <c r="I256" s="1">
        <f t="shared" si="25"/>
        <v>0</v>
      </c>
      <c r="J256" s="12">
        <v>0</v>
      </c>
      <c r="K256" s="13">
        <v>0</v>
      </c>
      <c r="L256" s="1">
        <f t="shared" si="26"/>
        <v>0</v>
      </c>
      <c r="M256" s="1">
        <f t="shared" si="27"/>
        <v>0</v>
      </c>
      <c r="N256" s="12">
        <v>0</v>
      </c>
      <c r="O256" s="12">
        <v>0</v>
      </c>
      <c r="P256" s="1">
        <f t="shared" si="28"/>
        <v>0</v>
      </c>
      <c r="Q256" s="1">
        <f t="shared" si="29"/>
        <v>0</v>
      </c>
      <c r="R256" s="12">
        <v>127651.54613311878</v>
      </c>
      <c r="S256" s="12">
        <v>127651.54613311878</v>
      </c>
      <c r="T256" s="1">
        <f t="shared" si="30"/>
        <v>0</v>
      </c>
      <c r="U256" s="1">
        <f t="shared" si="31"/>
        <v>0</v>
      </c>
    </row>
    <row r="257" spans="1:21" x14ac:dyDescent="0.25">
      <c r="A257" s="10">
        <v>829</v>
      </c>
      <c r="B257" s="10">
        <v>1</v>
      </c>
      <c r="C257" s="11" t="s">
        <v>249</v>
      </c>
      <c r="D257" s="12">
        <v>1823</v>
      </c>
      <c r="E257" s="12">
        <v>1820</v>
      </c>
      <c r="F257" s="12">
        <v>0</v>
      </c>
      <c r="G257" s="13">
        <v>0</v>
      </c>
      <c r="H257" s="1">
        <f t="shared" si="24"/>
        <v>0</v>
      </c>
      <c r="I257" s="1">
        <f t="shared" si="25"/>
        <v>0</v>
      </c>
      <c r="J257" s="12">
        <v>0</v>
      </c>
      <c r="K257" s="13">
        <v>0</v>
      </c>
      <c r="L257" s="1">
        <f t="shared" si="26"/>
        <v>0</v>
      </c>
      <c r="M257" s="1">
        <f t="shared" si="27"/>
        <v>0</v>
      </c>
      <c r="N257" s="12">
        <v>0</v>
      </c>
      <c r="O257" s="12">
        <v>0</v>
      </c>
      <c r="P257" s="1">
        <f t="shared" si="28"/>
        <v>0</v>
      </c>
      <c r="Q257" s="1">
        <f t="shared" si="29"/>
        <v>0</v>
      </c>
      <c r="R257" s="12">
        <v>225493</v>
      </c>
      <c r="S257" s="12">
        <v>225493</v>
      </c>
      <c r="T257" s="1">
        <f t="shared" si="30"/>
        <v>0</v>
      </c>
      <c r="U257" s="1">
        <f t="shared" si="31"/>
        <v>0</v>
      </c>
    </row>
    <row r="258" spans="1:21" x14ac:dyDescent="0.25">
      <c r="A258" s="10">
        <v>831</v>
      </c>
      <c r="B258" s="10">
        <v>1</v>
      </c>
      <c r="C258" s="11" t="s">
        <v>250</v>
      </c>
      <c r="D258" s="12">
        <v>6935</v>
      </c>
      <c r="E258" s="12">
        <v>6875</v>
      </c>
      <c r="F258" s="12">
        <v>699647.48800000001</v>
      </c>
      <c r="G258" s="13">
        <v>736460</v>
      </c>
      <c r="H258" s="1">
        <f t="shared" si="24"/>
        <v>36812.511999999988</v>
      </c>
      <c r="I258" s="1">
        <f t="shared" si="25"/>
        <v>5.3082209084354703</v>
      </c>
      <c r="J258" s="12">
        <v>692830.28800000006</v>
      </c>
      <c r="K258" s="13">
        <v>729295.04</v>
      </c>
      <c r="L258" s="1">
        <f t="shared" si="26"/>
        <v>36464.751999999979</v>
      </c>
      <c r="M258" s="1">
        <f t="shared" si="27"/>
        <v>5.3039639272727239</v>
      </c>
      <c r="N258" s="12">
        <v>6151669</v>
      </c>
      <c r="O258" s="12">
        <v>6151669</v>
      </c>
      <c r="P258" s="1">
        <f t="shared" si="28"/>
        <v>0</v>
      </c>
      <c r="Q258" s="1">
        <f t="shared" si="29"/>
        <v>0</v>
      </c>
      <c r="R258" s="12">
        <v>998183</v>
      </c>
      <c r="S258" s="12">
        <v>998183</v>
      </c>
      <c r="T258" s="1">
        <f t="shared" si="30"/>
        <v>0</v>
      </c>
      <c r="U258" s="1">
        <f t="shared" si="31"/>
        <v>0</v>
      </c>
    </row>
    <row r="259" spans="1:21" x14ac:dyDescent="0.25">
      <c r="A259" s="10">
        <v>832</v>
      </c>
      <c r="B259" s="10">
        <v>1</v>
      </c>
      <c r="C259" s="11" t="s">
        <v>251</v>
      </c>
      <c r="D259" s="12">
        <v>3235</v>
      </c>
      <c r="E259" s="12">
        <v>3245</v>
      </c>
      <c r="F259" s="12">
        <v>333844.47200000001</v>
      </c>
      <c r="G259" s="13">
        <v>351325.76</v>
      </c>
      <c r="H259" s="1">
        <f t="shared" si="24"/>
        <v>17481.288</v>
      </c>
      <c r="I259" s="1">
        <f t="shared" si="25"/>
        <v>5.4037984544049458</v>
      </c>
      <c r="J259" s="12">
        <v>334818.98199999996</v>
      </c>
      <c r="K259" s="13">
        <v>352351.56</v>
      </c>
      <c r="L259" s="1">
        <f t="shared" si="26"/>
        <v>17532.578000000038</v>
      </c>
      <c r="M259" s="1">
        <f t="shared" si="27"/>
        <v>5.4029516178736632</v>
      </c>
      <c r="N259" s="12">
        <v>3136395</v>
      </c>
      <c r="O259" s="12">
        <v>3136395</v>
      </c>
      <c r="P259" s="1">
        <f t="shared" si="28"/>
        <v>0</v>
      </c>
      <c r="Q259" s="1">
        <f t="shared" si="29"/>
        <v>0</v>
      </c>
      <c r="R259" s="12">
        <v>466624.75</v>
      </c>
      <c r="S259" s="12">
        <v>466624.75</v>
      </c>
      <c r="T259" s="1">
        <f t="shared" si="30"/>
        <v>0</v>
      </c>
      <c r="U259" s="1">
        <f t="shared" si="31"/>
        <v>0</v>
      </c>
    </row>
    <row r="260" spans="1:21" x14ac:dyDescent="0.25">
      <c r="A260" s="10">
        <v>833</v>
      </c>
      <c r="B260" s="10">
        <v>1</v>
      </c>
      <c r="C260" s="11" t="s">
        <v>252</v>
      </c>
      <c r="D260" s="12">
        <v>17004</v>
      </c>
      <c r="E260" s="12">
        <v>17101</v>
      </c>
      <c r="F260" s="12">
        <v>2414611.301</v>
      </c>
      <c r="G260" s="13">
        <v>2550605.58</v>
      </c>
      <c r="H260" s="1">
        <f t="shared" si="24"/>
        <v>135994.2790000001</v>
      </c>
      <c r="I260" s="1">
        <f t="shared" si="25"/>
        <v>7.9977816396142138</v>
      </c>
      <c r="J260" s="12">
        <v>2429557.4989999998</v>
      </c>
      <c r="K260" s="13">
        <v>2566338.42</v>
      </c>
      <c r="L260" s="1">
        <f t="shared" si="26"/>
        <v>136780.92100000009</v>
      </c>
      <c r="M260" s="1">
        <f t="shared" si="27"/>
        <v>7.9984165253494002</v>
      </c>
      <c r="N260" s="12">
        <v>18577814</v>
      </c>
      <c r="O260" s="12">
        <v>18577814</v>
      </c>
      <c r="P260" s="1">
        <f t="shared" si="28"/>
        <v>0</v>
      </c>
      <c r="Q260" s="1">
        <f t="shared" si="29"/>
        <v>0</v>
      </c>
      <c r="R260" s="12">
        <v>2260740.5</v>
      </c>
      <c r="S260" s="12">
        <v>2260740.5</v>
      </c>
      <c r="T260" s="1">
        <f t="shared" si="30"/>
        <v>0</v>
      </c>
      <c r="U260" s="1">
        <f t="shared" si="31"/>
        <v>0</v>
      </c>
    </row>
    <row r="261" spans="1:21" x14ac:dyDescent="0.25">
      <c r="A261" s="10">
        <v>834</v>
      </c>
      <c r="B261" s="10">
        <v>1</v>
      </c>
      <c r="C261" s="11" t="s">
        <v>253</v>
      </c>
      <c r="D261" s="12">
        <v>8560</v>
      </c>
      <c r="E261" s="12">
        <v>8446</v>
      </c>
      <c r="F261" s="12">
        <v>873476.97600000002</v>
      </c>
      <c r="G261" s="13">
        <v>922805</v>
      </c>
      <c r="H261" s="1">
        <f t="shared" si="24"/>
        <v>49328.023999999976</v>
      </c>
      <c r="I261" s="1">
        <f t="shared" si="25"/>
        <v>5.7626196261682212</v>
      </c>
      <c r="J261" s="12">
        <v>862612.28200000001</v>
      </c>
      <c r="K261" s="13">
        <v>911390.56</v>
      </c>
      <c r="L261" s="1">
        <f t="shared" si="26"/>
        <v>48778.278000000049</v>
      </c>
      <c r="M261" s="1">
        <f t="shared" si="27"/>
        <v>5.7753111532086256</v>
      </c>
      <c r="N261" s="12">
        <v>10677816</v>
      </c>
      <c r="O261" s="12">
        <v>10677816</v>
      </c>
      <c r="P261" s="1">
        <f t="shared" si="28"/>
        <v>0</v>
      </c>
      <c r="Q261" s="1">
        <f t="shared" si="29"/>
        <v>0</v>
      </c>
      <c r="R261" s="12">
        <v>1037825.5</v>
      </c>
      <c r="S261" s="12">
        <v>1037825.5</v>
      </c>
      <c r="T261" s="1">
        <f t="shared" si="30"/>
        <v>0</v>
      </c>
      <c r="U261" s="1">
        <f t="shared" si="31"/>
        <v>0</v>
      </c>
    </row>
    <row r="262" spans="1:21" x14ac:dyDescent="0.25">
      <c r="A262" s="10">
        <v>836</v>
      </c>
      <c r="B262" s="10">
        <v>1</v>
      </c>
      <c r="C262" s="11" t="s">
        <v>254</v>
      </c>
      <c r="D262" s="12">
        <v>219</v>
      </c>
      <c r="E262" s="12">
        <v>212</v>
      </c>
      <c r="F262" s="12">
        <v>31534.565999999999</v>
      </c>
      <c r="G262" s="13">
        <v>29221</v>
      </c>
      <c r="H262" s="1">
        <f t="shared" si="24"/>
        <v>-2313.5659999999989</v>
      </c>
      <c r="I262" s="1">
        <f t="shared" si="25"/>
        <v>-10.564228310502278</v>
      </c>
      <c r="J262" s="12">
        <v>30539.46</v>
      </c>
      <c r="K262" s="13">
        <v>29221</v>
      </c>
      <c r="L262" s="1">
        <f t="shared" si="26"/>
        <v>-1318.4599999999991</v>
      </c>
      <c r="M262" s="1">
        <f t="shared" si="27"/>
        <v>-6.2191509433962224</v>
      </c>
      <c r="N262" s="12">
        <v>325557</v>
      </c>
      <c r="O262" s="12">
        <v>325557</v>
      </c>
      <c r="P262" s="1">
        <f t="shared" si="28"/>
        <v>0</v>
      </c>
      <c r="Q262" s="1">
        <f t="shared" si="29"/>
        <v>0</v>
      </c>
      <c r="R262" s="12">
        <v>19771</v>
      </c>
      <c r="S262" s="12">
        <v>19771</v>
      </c>
      <c r="T262" s="1">
        <f t="shared" si="30"/>
        <v>0</v>
      </c>
      <c r="U262" s="1">
        <f t="shared" si="31"/>
        <v>0</v>
      </c>
    </row>
    <row r="263" spans="1:21" x14ac:dyDescent="0.25">
      <c r="A263" s="10">
        <v>837</v>
      </c>
      <c r="B263" s="10">
        <v>1</v>
      </c>
      <c r="C263" s="11" t="s">
        <v>255</v>
      </c>
      <c r="D263" s="12">
        <v>550</v>
      </c>
      <c r="E263" s="12">
        <v>528</v>
      </c>
      <c r="F263" s="12">
        <v>78443.02949999999</v>
      </c>
      <c r="G263" s="13">
        <v>82571.61</v>
      </c>
      <c r="H263" s="1">
        <f t="shared" si="24"/>
        <v>4128.5805000000109</v>
      </c>
      <c r="I263" s="1">
        <f t="shared" si="25"/>
        <v>7.50651000000002</v>
      </c>
      <c r="J263" s="12">
        <v>75598.644</v>
      </c>
      <c r="K263" s="13">
        <v>78500</v>
      </c>
      <c r="L263" s="1">
        <f t="shared" si="26"/>
        <v>2901.3559999999998</v>
      </c>
      <c r="M263" s="1">
        <f t="shared" si="27"/>
        <v>5.4949924242424242</v>
      </c>
      <c r="N263" s="12">
        <v>435554</v>
      </c>
      <c r="O263" s="12">
        <v>435554</v>
      </c>
      <c r="P263" s="1">
        <f t="shared" si="28"/>
        <v>0</v>
      </c>
      <c r="Q263" s="1">
        <f t="shared" si="29"/>
        <v>0</v>
      </c>
      <c r="R263" s="12">
        <v>64818</v>
      </c>
      <c r="S263" s="12">
        <v>64818</v>
      </c>
      <c r="T263" s="1">
        <f t="shared" si="30"/>
        <v>0</v>
      </c>
      <c r="U263" s="1">
        <f t="shared" si="31"/>
        <v>0</v>
      </c>
    </row>
    <row r="264" spans="1:21" x14ac:dyDescent="0.25">
      <c r="A264" s="10">
        <v>840</v>
      </c>
      <c r="B264" s="10">
        <v>1</v>
      </c>
      <c r="C264" s="11" t="s">
        <v>256</v>
      </c>
      <c r="D264" s="12">
        <v>1051</v>
      </c>
      <c r="E264" s="12">
        <v>1037</v>
      </c>
      <c r="F264" s="12">
        <v>149073.49650000001</v>
      </c>
      <c r="G264" s="13">
        <v>156919.47</v>
      </c>
      <c r="H264" s="1">
        <f t="shared" si="24"/>
        <v>7845.9734999999928</v>
      </c>
      <c r="I264" s="1">
        <f t="shared" si="25"/>
        <v>7.4652459562321534</v>
      </c>
      <c r="J264" s="12">
        <v>146927.64600000001</v>
      </c>
      <c r="K264" s="13">
        <v>154660.68000000002</v>
      </c>
      <c r="L264" s="1">
        <f t="shared" si="26"/>
        <v>7733.0340000000142</v>
      </c>
      <c r="M264" s="1">
        <f t="shared" si="27"/>
        <v>7.4571205400193001</v>
      </c>
      <c r="N264" s="12">
        <v>1045604</v>
      </c>
      <c r="O264" s="12">
        <v>1045604</v>
      </c>
      <c r="P264" s="1">
        <f t="shared" si="28"/>
        <v>0</v>
      </c>
      <c r="Q264" s="1">
        <f t="shared" si="29"/>
        <v>0</v>
      </c>
      <c r="R264" s="12">
        <v>116640</v>
      </c>
      <c r="S264" s="12">
        <v>116640</v>
      </c>
      <c r="T264" s="1">
        <f t="shared" si="30"/>
        <v>0</v>
      </c>
      <c r="U264" s="1">
        <f t="shared" si="31"/>
        <v>0</v>
      </c>
    </row>
    <row r="265" spans="1:21" x14ac:dyDescent="0.25">
      <c r="A265" s="10">
        <v>846</v>
      </c>
      <c r="B265" s="10">
        <v>1</v>
      </c>
      <c r="C265" s="11" t="s">
        <v>257</v>
      </c>
      <c r="D265" s="12">
        <v>738</v>
      </c>
      <c r="E265" s="12">
        <v>693</v>
      </c>
      <c r="F265" s="12">
        <v>0</v>
      </c>
      <c r="G265" s="13">
        <v>0</v>
      </c>
      <c r="H265" s="1">
        <f t="shared" si="24"/>
        <v>0</v>
      </c>
      <c r="I265" s="1">
        <f t="shared" si="25"/>
        <v>0</v>
      </c>
      <c r="J265" s="12">
        <v>0</v>
      </c>
      <c r="K265" s="13">
        <v>0</v>
      </c>
      <c r="L265" s="1">
        <f t="shared" si="26"/>
        <v>0</v>
      </c>
      <c r="M265" s="1">
        <f t="shared" si="27"/>
        <v>0</v>
      </c>
      <c r="N265" s="12">
        <v>598157</v>
      </c>
      <c r="O265" s="12">
        <v>598157</v>
      </c>
      <c r="P265" s="1">
        <f t="shared" si="28"/>
        <v>0</v>
      </c>
      <c r="Q265" s="1">
        <f t="shared" si="29"/>
        <v>0</v>
      </c>
      <c r="R265" s="12">
        <v>85228</v>
      </c>
      <c r="S265" s="12">
        <v>85228</v>
      </c>
      <c r="T265" s="1">
        <f t="shared" si="30"/>
        <v>0</v>
      </c>
      <c r="U265" s="1">
        <f t="shared" si="31"/>
        <v>0</v>
      </c>
    </row>
    <row r="266" spans="1:21" x14ac:dyDescent="0.25">
      <c r="A266" s="10">
        <v>850</v>
      </c>
      <c r="B266" s="10">
        <v>1</v>
      </c>
      <c r="C266" s="11" t="s">
        <v>258</v>
      </c>
      <c r="D266" s="12">
        <v>225</v>
      </c>
      <c r="E266" s="12">
        <v>227</v>
      </c>
      <c r="F266" s="12">
        <v>0</v>
      </c>
      <c r="G266" s="13">
        <v>0</v>
      </c>
      <c r="H266" s="1">
        <f t="shared" si="24"/>
        <v>0</v>
      </c>
      <c r="I266" s="1">
        <f t="shared" si="25"/>
        <v>0</v>
      </c>
      <c r="J266" s="12">
        <v>0</v>
      </c>
      <c r="K266" s="13">
        <v>0</v>
      </c>
      <c r="L266" s="1">
        <f t="shared" si="26"/>
        <v>0</v>
      </c>
      <c r="M266" s="1">
        <f t="shared" si="27"/>
        <v>0</v>
      </c>
      <c r="N266" s="12">
        <v>387540</v>
      </c>
      <c r="O266" s="12">
        <v>387540</v>
      </c>
      <c r="P266" s="1">
        <f t="shared" si="28"/>
        <v>0</v>
      </c>
      <c r="Q266" s="1">
        <f t="shared" si="29"/>
        <v>0</v>
      </c>
      <c r="R266" s="12">
        <v>18533</v>
      </c>
      <c r="S266" s="12">
        <v>18533</v>
      </c>
      <c r="T266" s="1">
        <f t="shared" si="30"/>
        <v>0</v>
      </c>
      <c r="U266" s="1">
        <f t="shared" si="31"/>
        <v>0</v>
      </c>
    </row>
    <row r="267" spans="1:21" x14ac:dyDescent="0.25">
      <c r="A267" s="10">
        <v>852</v>
      </c>
      <c r="B267" s="10">
        <v>1</v>
      </c>
      <c r="C267" s="11" t="s">
        <v>259</v>
      </c>
      <c r="D267" s="12">
        <v>135</v>
      </c>
      <c r="E267" s="12">
        <v>131</v>
      </c>
      <c r="F267" s="12">
        <v>0</v>
      </c>
      <c r="G267" s="13">
        <v>0</v>
      </c>
      <c r="H267" s="1">
        <f t="shared" si="24"/>
        <v>0</v>
      </c>
      <c r="I267" s="1">
        <f t="shared" si="25"/>
        <v>0</v>
      </c>
      <c r="J267" s="12">
        <v>0</v>
      </c>
      <c r="K267" s="13">
        <v>0</v>
      </c>
      <c r="L267" s="1">
        <f t="shared" si="26"/>
        <v>0</v>
      </c>
      <c r="M267" s="1">
        <f t="shared" si="27"/>
        <v>0</v>
      </c>
      <c r="N267" s="12">
        <v>481068</v>
      </c>
      <c r="O267" s="12">
        <v>481068</v>
      </c>
      <c r="P267" s="1">
        <f t="shared" si="28"/>
        <v>0</v>
      </c>
      <c r="Q267" s="1">
        <f t="shared" si="29"/>
        <v>0</v>
      </c>
      <c r="R267" s="12">
        <v>7107</v>
      </c>
      <c r="S267" s="12">
        <v>7107</v>
      </c>
      <c r="T267" s="1">
        <f t="shared" si="30"/>
        <v>0</v>
      </c>
      <c r="U267" s="1">
        <f t="shared" si="31"/>
        <v>0</v>
      </c>
    </row>
    <row r="268" spans="1:21" x14ac:dyDescent="0.25">
      <c r="A268" s="10">
        <v>857</v>
      </c>
      <c r="B268" s="10">
        <v>1</v>
      </c>
      <c r="C268" s="11" t="s">
        <v>260</v>
      </c>
      <c r="D268" s="12">
        <v>748</v>
      </c>
      <c r="E268" s="12">
        <v>724</v>
      </c>
      <c r="F268" s="12">
        <v>0</v>
      </c>
      <c r="G268" s="13">
        <v>0</v>
      </c>
      <c r="H268" s="1">
        <f t="shared" si="24"/>
        <v>0</v>
      </c>
      <c r="I268" s="1">
        <f t="shared" si="25"/>
        <v>0</v>
      </c>
      <c r="J268" s="12">
        <v>0</v>
      </c>
      <c r="K268" s="13">
        <v>0</v>
      </c>
      <c r="L268" s="1">
        <f t="shared" si="26"/>
        <v>0</v>
      </c>
      <c r="M268" s="1">
        <f t="shared" si="27"/>
        <v>0</v>
      </c>
      <c r="N268" s="12">
        <v>559569</v>
      </c>
      <c r="O268" s="12">
        <v>559569</v>
      </c>
      <c r="P268" s="1">
        <f t="shared" si="28"/>
        <v>0</v>
      </c>
      <c r="Q268" s="1">
        <f t="shared" si="29"/>
        <v>0</v>
      </c>
      <c r="R268" s="12">
        <v>90219</v>
      </c>
      <c r="S268" s="12">
        <v>90219</v>
      </c>
      <c r="T268" s="1">
        <f t="shared" si="30"/>
        <v>0</v>
      </c>
      <c r="U268" s="1">
        <f t="shared" si="31"/>
        <v>0</v>
      </c>
    </row>
    <row r="269" spans="1:21" x14ac:dyDescent="0.25">
      <c r="A269" s="10">
        <v>858</v>
      </c>
      <c r="B269" s="10">
        <v>1</v>
      </c>
      <c r="C269" s="11" t="s">
        <v>261</v>
      </c>
      <c r="D269" s="12">
        <v>997</v>
      </c>
      <c r="E269" s="12">
        <v>984</v>
      </c>
      <c r="F269" s="12">
        <v>0</v>
      </c>
      <c r="G269" s="13">
        <v>0</v>
      </c>
      <c r="H269" s="1">
        <f t="shared" ref="H269:H332" si="32">G269-F269</f>
        <v>0</v>
      </c>
      <c r="I269" s="1">
        <f t="shared" ref="I269:I332" si="33">IF(D269=0,0,H269/D269)</f>
        <v>0</v>
      </c>
      <c r="J269" s="12">
        <v>0</v>
      </c>
      <c r="K269" s="13">
        <v>0</v>
      </c>
      <c r="L269" s="1">
        <f t="shared" ref="L269:L332" si="34">K269-J269</f>
        <v>0</v>
      </c>
      <c r="M269" s="1">
        <f t="shared" ref="M269:M332" si="35">IF(E269=0,0,L269/E269)</f>
        <v>0</v>
      </c>
      <c r="N269" s="12">
        <v>0</v>
      </c>
      <c r="O269" s="12">
        <v>0</v>
      </c>
      <c r="P269" s="1">
        <f t="shared" ref="P269:P332" si="36">O269-N269</f>
        <v>0</v>
      </c>
      <c r="Q269" s="1">
        <f t="shared" ref="Q269:Q332" si="37">IF(E269=0,0,P269/E269)</f>
        <v>0</v>
      </c>
      <c r="R269" s="12">
        <v>167386</v>
      </c>
      <c r="S269" s="12">
        <v>167386</v>
      </c>
      <c r="T269" s="1">
        <f t="shared" ref="T269:T332" si="38">S269-R269</f>
        <v>0</v>
      </c>
      <c r="U269" s="1">
        <f t="shared" ref="U269:U332" si="39">IF(E269=0,0,T269/E269)</f>
        <v>0</v>
      </c>
    </row>
    <row r="270" spans="1:21" x14ac:dyDescent="0.25">
      <c r="A270" s="10">
        <v>861</v>
      </c>
      <c r="B270" s="10">
        <v>1</v>
      </c>
      <c r="C270" s="11" t="s">
        <v>262</v>
      </c>
      <c r="D270" s="12">
        <v>3207</v>
      </c>
      <c r="E270" s="12">
        <v>3125</v>
      </c>
      <c r="F270" s="12">
        <v>0</v>
      </c>
      <c r="G270" s="13">
        <v>0</v>
      </c>
      <c r="H270" s="1">
        <f t="shared" si="32"/>
        <v>0</v>
      </c>
      <c r="I270" s="1">
        <f t="shared" si="33"/>
        <v>0</v>
      </c>
      <c r="J270" s="12">
        <v>0</v>
      </c>
      <c r="K270" s="13">
        <v>0</v>
      </c>
      <c r="L270" s="1">
        <f t="shared" si="34"/>
        <v>0</v>
      </c>
      <c r="M270" s="1">
        <f t="shared" si="35"/>
        <v>0</v>
      </c>
      <c r="N270" s="12">
        <v>6578650</v>
      </c>
      <c r="O270" s="12">
        <v>6578650</v>
      </c>
      <c r="P270" s="1">
        <f t="shared" si="36"/>
        <v>0</v>
      </c>
      <c r="Q270" s="1">
        <f t="shared" si="37"/>
        <v>0</v>
      </c>
      <c r="R270" s="12">
        <v>169035</v>
      </c>
      <c r="S270" s="12">
        <v>169035</v>
      </c>
      <c r="T270" s="1">
        <f t="shared" si="38"/>
        <v>0</v>
      </c>
      <c r="U270" s="1">
        <f t="shared" si="39"/>
        <v>0</v>
      </c>
    </row>
    <row r="271" spans="1:21" x14ac:dyDescent="0.25">
      <c r="A271" s="10">
        <v>876</v>
      </c>
      <c r="B271" s="10">
        <v>1</v>
      </c>
      <c r="C271" s="11" t="s">
        <v>263</v>
      </c>
      <c r="D271" s="12">
        <v>1648</v>
      </c>
      <c r="E271" s="12">
        <v>1607</v>
      </c>
      <c r="F271" s="12">
        <v>166080.10199999998</v>
      </c>
      <c r="G271" s="13">
        <v>171000</v>
      </c>
      <c r="H271" s="1">
        <f t="shared" si="32"/>
        <v>4919.8980000000156</v>
      </c>
      <c r="I271" s="1">
        <f t="shared" si="33"/>
        <v>2.9853750000000097</v>
      </c>
      <c r="J271" s="12">
        <v>163310.39599999998</v>
      </c>
      <c r="K271" s="13">
        <v>171000</v>
      </c>
      <c r="L271" s="1">
        <f t="shared" si="34"/>
        <v>7689.6040000000212</v>
      </c>
      <c r="M271" s="1">
        <f t="shared" si="35"/>
        <v>4.785067828251413</v>
      </c>
      <c r="N271" s="12">
        <v>1208987</v>
      </c>
      <c r="O271" s="12">
        <v>1208987</v>
      </c>
      <c r="P271" s="1">
        <f t="shared" si="36"/>
        <v>0</v>
      </c>
      <c r="Q271" s="1">
        <f t="shared" si="37"/>
        <v>0</v>
      </c>
      <c r="R271" s="12">
        <v>199844</v>
      </c>
      <c r="S271" s="12">
        <v>199844</v>
      </c>
      <c r="T271" s="1">
        <f t="shared" si="38"/>
        <v>0</v>
      </c>
      <c r="U271" s="1">
        <f t="shared" si="39"/>
        <v>0</v>
      </c>
    </row>
    <row r="272" spans="1:21" x14ac:dyDescent="0.25">
      <c r="A272" s="10">
        <v>877</v>
      </c>
      <c r="B272" s="10">
        <v>1</v>
      </c>
      <c r="C272" s="11" t="s">
        <v>264</v>
      </c>
      <c r="D272" s="12">
        <v>5806</v>
      </c>
      <c r="E272" s="12">
        <v>5823</v>
      </c>
      <c r="F272" s="12">
        <v>585798.5</v>
      </c>
      <c r="G272" s="13">
        <v>616630</v>
      </c>
      <c r="H272" s="1">
        <f t="shared" si="32"/>
        <v>30831.5</v>
      </c>
      <c r="I272" s="1">
        <f t="shared" si="33"/>
        <v>5.310282466414054</v>
      </c>
      <c r="J272" s="12">
        <v>585761.79200000002</v>
      </c>
      <c r="K272" s="13">
        <v>616591.35999999999</v>
      </c>
      <c r="L272" s="1">
        <f t="shared" si="34"/>
        <v>30829.56799999997</v>
      </c>
      <c r="M272" s="1">
        <f t="shared" si="35"/>
        <v>5.2944475356345473</v>
      </c>
      <c r="N272" s="12">
        <v>3376482</v>
      </c>
      <c r="O272" s="12">
        <v>3376482</v>
      </c>
      <c r="P272" s="1">
        <f t="shared" si="36"/>
        <v>0</v>
      </c>
      <c r="Q272" s="1">
        <f t="shared" si="37"/>
        <v>0</v>
      </c>
      <c r="R272" s="12">
        <v>754213</v>
      </c>
      <c r="S272" s="12">
        <v>754213</v>
      </c>
      <c r="T272" s="1">
        <f t="shared" si="38"/>
        <v>0</v>
      </c>
      <c r="U272" s="1">
        <f t="shared" si="39"/>
        <v>0</v>
      </c>
    </row>
    <row r="273" spans="1:21" x14ac:dyDescent="0.25">
      <c r="A273" s="10">
        <v>879</v>
      </c>
      <c r="B273" s="10">
        <v>1</v>
      </c>
      <c r="C273" s="11" t="s">
        <v>265</v>
      </c>
      <c r="D273" s="12">
        <v>2221</v>
      </c>
      <c r="E273" s="12">
        <v>2193</v>
      </c>
      <c r="F273" s="12">
        <v>0</v>
      </c>
      <c r="G273" s="13">
        <v>0</v>
      </c>
      <c r="H273" s="1">
        <f t="shared" si="32"/>
        <v>0</v>
      </c>
      <c r="I273" s="1">
        <f t="shared" si="33"/>
        <v>0</v>
      </c>
      <c r="J273" s="12">
        <v>0</v>
      </c>
      <c r="K273" s="13">
        <v>0</v>
      </c>
      <c r="L273" s="1">
        <f t="shared" si="34"/>
        <v>0</v>
      </c>
      <c r="M273" s="1">
        <f t="shared" si="35"/>
        <v>0</v>
      </c>
      <c r="N273" s="12">
        <v>1815615</v>
      </c>
      <c r="O273" s="12">
        <v>1815615</v>
      </c>
      <c r="P273" s="1">
        <f t="shared" si="36"/>
        <v>0</v>
      </c>
      <c r="Q273" s="1">
        <f t="shared" si="37"/>
        <v>0</v>
      </c>
      <c r="R273" s="12">
        <v>266020</v>
      </c>
      <c r="S273" s="12">
        <v>266020</v>
      </c>
      <c r="T273" s="1">
        <f t="shared" si="38"/>
        <v>0</v>
      </c>
      <c r="U273" s="1">
        <f t="shared" si="39"/>
        <v>0</v>
      </c>
    </row>
    <row r="274" spans="1:21" x14ac:dyDescent="0.25">
      <c r="A274" s="10">
        <v>881</v>
      </c>
      <c r="B274" s="10">
        <v>1</v>
      </c>
      <c r="C274" s="11" t="s">
        <v>266</v>
      </c>
      <c r="D274" s="12">
        <v>970</v>
      </c>
      <c r="E274" s="12">
        <v>970</v>
      </c>
      <c r="F274" s="12">
        <v>0</v>
      </c>
      <c r="G274" s="13">
        <v>0</v>
      </c>
      <c r="H274" s="1">
        <f t="shared" si="32"/>
        <v>0</v>
      </c>
      <c r="I274" s="1">
        <f t="shared" si="33"/>
        <v>0</v>
      </c>
      <c r="J274" s="12">
        <v>0</v>
      </c>
      <c r="K274" s="13">
        <v>0</v>
      </c>
      <c r="L274" s="1">
        <f t="shared" si="34"/>
        <v>0</v>
      </c>
      <c r="M274" s="1">
        <f t="shared" si="35"/>
        <v>0</v>
      </c>
      <c r="N274" s="12">
        <v>704531</v>
      </c>
      <c r="O274" s="12">
        <v>704531</v>
      </c>
      <c r="P274" s="1">
        <f t="shared" si="36"/>
        <v>0</v>
      </c>
      <c r="Q274" s="1">
        <f t="shared" si="37"/>
        <v>0</v>
      </c>
      <c r="R274" s="12">
        <v>121798</v>
      </c>
      <c r="S274" s="12">
        <v>121798</v>
      </c>
      <c r="T274" s="1">
        <f t="shared" si="38"/>
        <v>0</v>
      </c>
      <c r="U274" s="1">
        <f t="shared" si="39"/>
        <v>0</v>
      </c>
    </row>
    <row r="275" spans="1:21" x14ac:dyDescent="0.25">
      <c r="A275" s="10">
        <v>882</v>
      </c>
      <c r="B275" s="10">
        <v>1</v>
      </c>
      <c r="C275" s="11" t="s">
        <v>267</v>
      </c>
      <c r="D275" s="12">
        <v>3927</v>
      </c>
      <c r="E275" s="12">
        <v>3920</v>
      </c>
      <c r="F275" s="12">
        <v>0</v>
      </c>
      <c r="G275" s="13">
        <v>0</v>
      </c>
      <c r="H275" s="1">
        <f t="shared" si="32"/>
        <v>0</v>
      </c>
      <c r="I275" s="1">
        <f t="shared" si="33"/>
        <v>0</v>
      </c>
      <c r="J275" s="12">
        <v>0</v>
      </c>
      <c r="K275" s="13">
        <v>0</v>
      </c>
      <c r="L275" s="1">
        <f t="shared" si="34"/>
        <v>0</v>
      </c>
      <c r="M275" s="1">
        <f t="shared" si="35"/>
        <v>0</v>
      </c>
      <c r="N275" s="12">
        <v>4036064</v>
      </c>
      <c r="O275" s="12">
        <v>4036064</v>
      </c>
      <c r="P275" s="1">
        <f t="shared" si="36"/>
        <v>0</v>
      </c>
      <c r="Q275" s="1">
        <f t="shared" si="37"/>
        <v>0</v>
      </c>
      <c r="R275" s="12">
        <v>431994</v>
      </c>
      <c r="S275" s="12">
        <v>431994</v>
      </c>
      <c r="T275" s="1">
        <f t="shared" si="38"/>
        <v>0</v>
      </c>
      <c r="U275" s="1">
        <f t="shared" si="39"/>
        <v>0</v>
      </c>
    </row>
    <row r="276" spans="1:21" x14ac:dyDescent="0.25">
      <c r="A276" s="10">
        <v>883</v>
      </c>
      <c r="B276" s="10">
        <v>1</v>
      </c>
      <c r="C276" s="11" t="s">
        <v>268</v>
      </c>
      <c r="D276" s="12">
        <v>1521</v>
      </c>
      <c r="E276" s="12">
        <v>1512</v>
      </c>
      <c r="F276" s="12">
        <v>152900.182</v>
      </c>
      <c r="G276" s="13">
        <v>160724</v>
      </c>
      <c r="H276" s="1">
        <f t="shared" si="32"/>
        <v>7823.8179999999993</v>
      </c>
      <c r="I276" s="1">
        <f t="shared" si="33"/>
        <v>5.1438645627876394</v>
      </c>
      <c r="J276" s="12">
        <v>152087.36200000002</v>
      </c>
      <c r="K276" s="13">
        <v>160091.96000000002</v>
      </c>
      <c r="L276" s="1">
        <f t="shared" si="34"/>
        <v>8004.5979999999981</v>
      </c>
      <c r="M276" s="1">
        <f t="shared" si="35"/>
        <v>5.2940462962962949</v>
      </c>
      <c r="N276" s="12">
        <v>746511</v>
      </c>
      <c r="O276" s="12">
        <v>746511</v>
      </c>
      <c r="P276" s="1">
        <f t="shared" si="36"/>
        <v>0</v>
      </c>
      <c r="Q276" s="1">
        <f t="shared" si="37"/>
        <v>0</v>
      </c>
      <c r="R276" s="12">
        <v>201654</v>
      </c>
      <c r="S276" s="12">
        <v>201654</v>
      </c>
      <c r="T276" s="1">
        <f t="shared" si="38"/>
        <v>0</v>
      </c>
      <c r="U276" s="1">
        <f t="shared" si="39"/>
        <v>0</v>
      </c>
    </row>
    <row r="277" spans="1:21" x14ac:dyDescent="0.25">
      <c r="A277" s="10">
        <v>885</v>
      </c>
      <c r="B277" s="10">
        <v>1</v>
      </c>
      <c r="C277" s="11" t="s">
        <v>269</v>
      </c>
      <c r="D277" s="12">
        <v>5220</v>
      </c>
      <c r="E277" s="12">
        <v>5304</v>
      </c>
      <c r="F277" s="12">
        <v>0</v>
      </c>
      <c r="G277" s="13">
        <v>0</v>
      </c>
      <c r="H277" s="1">
        <f t="shared" si="32"/>
        <v>0</v>
      </c>
      <c r="I277" s="1">
        <f t="shared" si="33"/>
        <v>0</v>
      </c>
      <c r="J277" s="12">
        <v>0</v>
      </c>
      <c r="K277" s="13">
        <v>0</v>
      </c>
      <c r="L277" s="1">
        <f t="shared" si="34"/>
        <v>0</v>
      </c>
      <c r="M277" s="1">
        <f t="shared" si="35"/>
        <v>0</v>
      </c>
      <c r="N277" s="12">
        <v>2967535</v>
      </c>
      <c r="O277" s="12">
        <v>2967535</v>
      </c>
      <c r="P277" s="1">
        <f t="shared" si="36"/>
        <v>0</v>
      </c>
      <c r="Q277" s="1">
        <f t="shared" si="37"/>
        <v>0</v>
      </c>
      <c r="R277" s="12">
        <v>686979</v>
      </c>
      <c r="S277" s="12">
        <v>686979</v>
      </c>
      <c r="T277" s="1">
        <f t="shared" si="38"/>
        <v>0</v>
      </c>
      <c r="U277" s="1">
        <f t="shared" si="39"/>
        <v>0</v>
      </c>
    </row>
    <row r="278" spans="1:21" x14ac:dyDescent="0.25">
      <c r="A278" s="10">
        <v>891</v>
      </c>
      <c r="B278" s="10">
        <v>1</v>
      </c>
      <c r="C278" s="11" t="s">
        <v>270</v>
      </c>
      <c r="D278" s="12">
        <v>513</v>
      </c>
      <c r="E278" s="12">
        <v>527</v>
      </c>
      <c r="F278" s="12">
        <v>52085.156000000003</v>
      </c>
      <c r="G278" s="13">
        <v>54826.48</v>
      </c>
      <c r="H278" s="1">
        <f t="shared" si="32"/>
        <v>2741.3240000000005</v>
      </c>
      <c r="I278" s="1">
        <f t="shared" si="33"/>
        <v>5.3437115009746599</v>
      </c>
      <c r="J278" s="12">
        <v>53103.366000000002</v>
      </c>
      <c r="K278" s="13">
        <v>55898.280000000006</v>
      </c>
      <c r="L278" s="1">
        <f t="shared" si="34"/>
        <v>2794.9140000000043</v>
      </c>
      <c r="M278" s="1">
        <f t="shared" si="35"/>
        <v>5.3034421252371997</v>
      </c>
      <c r="N278" s="12">
        <v>415752</v>
      </c>
      <c r="O278" s="12">
        <v>415752</v>
      </c>
      <c r="P278" s="1">
        <f t="shared" si="36"/>
        <v>0</v>
      </c>
      <c r="Q278" s="1">
        <f t="shared" si="37"/>
        <v>0</v>
      </c>
      <c r="R278" s="12">
        <v>63701</v>
      </c>
      <c r="S278" s="12">
        <v>63701</v>
      </c>
      <c r="T278" s="1">
        <f t="shared" si="38"/>
        <v>0</v>
      </c>
      <c r="U278" s="1">
        <f t="shared" si="39"/>
        <v>0</v>
      </c>
    </row>
    <row r="279" spans="1:21" x14ac:dyDescent="0.25">
      <c r="A279" s="10">
        <v>911</v>
      </c>
      <c r="B279" s="10">
        <v>1</v>
      </c>
      <c r="C279" s="11" t="s">
        <v>271</v>
      </c>
      <c r="D279" s="12">
        <v>5311</v>
      </c>
      <c r="E279" s="12">
        <v>5302</v>
      </c>
      <c r="F279" s="12">
        <v>0</v>
      </c>
      <c r="G279" s="13">
        <v>0</v>
      </c>
      <c r="H279" s="1">
        <f t="shared" si="32"/>
        <v>0</v>
      </c>
      <c r="I279" s="1">
        <f t="shared" si="33"/>
        <v>0</v>
      </c>
      <c r="J279" s="12">
        <v>0</v>
      </c>
      <c r="K279" s="13">
        <v>0</v>
      </c>
      <c r="L279" s="1">
        <f t="shared" si="34"/>
        <v>0</v>
      </c>
      <c r="M279" s="1">
        <f t="shared" si="35"/>
        <v>0</v>
      </c>
      <c r="N279" s="12">
        <v>0</v>
      </c>
      <c r="O279" s="12">
        <v>0</v>
      </c>
      <c r="P279" s="1">
        <f t="shared" si="36"/>
        <v>0</v>
      </c>
      <c r="Q279" s="1">
        <f t="shared" si="37"/>
        <v>0</v>
      </c>
      <c r="R279" s="12">
        <v>461248</v>
      </c>
      <c r="S279" s="12">
        <v>461248</v>
      </c>
      <c r="T279" s="1">
        <f t="shared" si="38"/>
        <v>0</v>
      </c>
      <c r="U279" s="1">
        <f t="shared" si="39"/>
        <v>0</v>
      </c>
    </row>
    <row r="280" spans="1:21" x14ac:dyDescent="0.25">
      <c r="A280" s="10">
        <v>912</v>
      </c>
      <c r="B280" s="10">
        <v>1</v>
      </c>
      <c r="C280" s="11" t="s">
        <v>272</v>
      </c>
      <c r="D280" s="12">
        <v>1802</v>
      </c>
      <c r="E280" s="12">
        <v>1803</v>
      </c>
      <c r="F280" s="12">
        <v>0</v>
      </c>
      <c r="G280" s="13">
        <v>0</v>
      </c>
      <c r="H280" s="1">
        <f t="shared" si="32"/>
        <v>0</v>
      </c>
      <c r="I280" s="1">
        <f t="shared" si="33"/>
        <v>0</v>
      </c>
      <c r="J280" s="12">
        <v>0</v>
      </c>
      <c r="K280" s="13">
        <v>0</v>
      </c>
      <c r="L280" s="1">
        <f t="shared" si="34"/>
        <v>0</v>
      </c>
      <c r="M280" s="1">
        <f t="shared" si="35"/>
        <v>0</v>
      </c>
      <c r="N280" s="12">
        <v>2307</v>
      </c>
      <c r="O280" s="12">
        <v>2307</v>
      </c>
      <c r="P280" s="1">
        <f t="shared" si="36"/>
        <v>0</v>
      </c>
      <c r="Q280" s="1">
        <f t="shared" si="37"/>
        <v>0</v>
      </c>
      <c r="R280" s="12">
        <v>376399</v>
      </c>
      <c r="S280" s="12">
        <v>376399</v>
      </c>
      <c r="T280" s="1">
        <f t="shared" si="38"/>
        <v>0</v>
      </c>
      <c r="U280" s="1">
        <f t="shared" si="39"/>
        <v>0</v>
      </c>
    </row>
    <row r="281" spans="1:21" x14ac:dyDescent="0.25">
      <c r="A281" s="10">
        <v>914</v>
      </c>
      <c r="B281" s="10">
        <v>1</v>
      </c>
      <c r="C281" s="11" t="s">
        <v>273</v>
      </c>
      <c r="D281" s="12">
        <v>289</v>
      </c>
      <c r="E281" s="12">
        <v>282</v>
      </c>
      <c r="F281" s="12">
        <v>0</v>
      </c>
      <c r="G281" s="13">
        <v>0</v>
      </c>
      <c r="H281" s="1">
        <f t="shared" si="32"/>
        <v>0</v>
      </c>
      <c r="I281" s="1">
        <f t="shared" si="33"/>
        <v>0</v>
      </c>
      <c r="J281" s="12">
        <v>0</v>
      </c>
      <c r="K281" s="13">
        <v>0</v>
      </c>
      <c r="L281" s="1">
        <f t="shared" si="34"/>
        <v>0</v>
      </c>
      <c r="M281" s="1">
        <f t="shared" si="35"/>
        <v>0</v>
      </c>
      <c r="N281" s="12">
        <v>637417</v>
      </c>
      <c r="O281" s="12">
        <v>637417</v>
      </c>
      <c r="P281" s="1">
        <f t="shared" si="36"/>
        <v>0</v>
      </c>
      <c r="Q281" s="1">
        <f t="shared" si="37"/>
        <v>0</v>
      </c>
      <c r="R281" s="12">
        <v>15136</v>
      </c>
      <c r="S281" s="12">
        <v>15136</v>
      </c>
      <c r="T281" s="1">
        <f t="shared" si="38"/>
        <v>0</v>
      </c>
      <c r="U281" s="1">
        <f t="shared" si="39"/>
        <v>0</v>
      </c>
    </row>
    <row r="282" spans="1:21" x14ac:dyDescent="0.25">
      <c r="A282" s="10">
        <v>2071</v>
      </c>
      <c r="B282" s="10">
        <v>1</v>
      </c>
      <c r="C282" s="11" t="s">
        <v>274</v>
      </c>
      <c r="D282" s="12">
        <v>792</v>
      </c>
      <c r="E282" s="12">
        <v>799</v>
      </c>
      <c r="F282" s="12">
        <v>79995.471999999994</v>
      </c>
      <c r="G282" s="13">
        <v>73447.289999999994</v>
      </c>
      <c r="H282" s="1">
        <f t="shared" si="32"/>
        <v>-6548.1820000000007</v>
      </c>
      <c r="I282" s="1">
        <f t="shared" si="33"/>
        <v>-8.2679065656565669</v>
      </c>
      <c r="J282" s="12">
        <v>80717.395999999993</v>
      </c>
      <c r="K282" s="13">
        <v>72580.960000000006</v>
      </c>
      <c r="L282" s="1">
        <f t="shared" si="34"/>
        <v>-8136.435999999987</v>
      </c>
      <c r="M282" s="1">
        <f t="shared" si="35"/>
        <v>-10.183274092615754</v>
      </c>
      <c r="N282" s="12">
        <v>723395</v>
      </c>
      <c r="O282" s="12">
        <v>723395</v>
      </c>
      <c r="P282" s="1">
        <f t="shared" si="36"/>
        <v>0</v>
      </c>
      <c r="Q282" s="1">
        <f t="shared" si="37"/>
        <v>0</v>
      </c>
      <c r="R282" s="12">
        <v>92929</v>
      </c>
      <c r="S282" s="12">
        <v>92929</v>
      </c>
      <c r="T282" s="1">
        <f t="shared" si="38"/>
        <v>0</v>
      </c>
      <c r="U282" s="1">
        <f t="shared" si="39"/>
        <v>0</v>
      </c>
    </row>
    <row r="283" spans="1:21" x14ac:dyDescent="0.25">
      <c r="A283" s="10">
        <v>2125</v>
      </c>
      <c r="B283" s="10">
        <v>1</v>
      </c>
      <c r="C283" s="11" t="s">
        <v>275</v>
      </c>
      <c r="D283" s="12">
        <v>1139</v>
      </c>
      <c r="E283" s="12">
        <v>1160</v>
      </c>
      <c r="F283" s="12">
        <v>0</v>
      </c>
      <c r="G283" s="13">
        <v>0</v>
      </c>
      <c r="H283" s="1">
        <f t="shared" si="32"/>
        <v>0</v>
      </c>
      <c r="I283" s="1">
        <f t="shared" si="33"/>
        <v>0</v>
      </c>
      <c r="J283" s="12">
        <v>0</v>
      </c>
      <c r="K283" s="13">
        <v>0</v>
      </c>
      <c r="L283" s="1">
        <f t="shared" si="34"/>
        <v>0</v>
      </c>
      <c r="M283" s="1">
        <f t="shared" si="35"/>
        <v>0</v>
      </c>
      <c r="N283" s="12">
        <v>982856</v>
      </c>
      <c r="O283" s="12">
        <v>982856</v>
      </c>
      <c r="P283" s="1">
        <f t="shared" si="36"/>
        <v>0</v>
      </c>
      <c r="Q283" s="1">
        <f t="shared" si="37"/>
        <v>0</v>
      </c>
      <c r="R283" s="12">
        <v>135162</v>
      </c>
      <c r="S283" s="12">
        <v>135162</v>
      </c>
      <c r="T283" s="1">
        <f t="shared" si="38"/>
        <v>0</v>
      </c>
      <c r="U283" s="1">
        <f t="shared" si="39"/>
        <v>0</v>
      </c>
    </row>
    <row r="284" spans="1:21" x14ac:dyDescent="0.25">
      <c r="A284" s="10">
        <v>2134</v>
      </c>
      <c r="B284" s="10">
        <v>1</v>
      </c>
      <c r="C284" s="11" t="s">
        <v>276</v>
      </c>
      <c r="D284" s="12">
        <v>653</v>
      </c>
      <c r="E284" s="12">
        <v>635</v>
      </c>
      <c r="F284" s="12">
        <v>0</v>
      </c>
      <c r="G284" s="13">
        <v>0</v>
      </c>
      <c r="H284" s="1">
        <f t="shared" si="32"/>
        <v>0</v>
      </c>
      <c r="I284" s="1">
        <f t="shared" si="33"/>
        <v>0</v>
      </c>
      <c r="J284" s="12">
        <v>0</v>
      </c>
      <c r="K284" s="13">
        <v>0</v>
      </c>
      <c r="L284" s="1">
        <f t="shared" si="34"/>
        <v>0</v>
      </c>
      <c r="M284" s="1">
        <f t="shared" si="35"/>
        <v>0</v>
      </c>
      <c r="N284" s="12">
        <v>1166664</v>
      </c>
      <c r="O284" s="12">
        <v>1166664</v>
      </c>
      <c r="P284" s="1">
        <f t="shared" si="36"/>
        <v>0</v>
      </c>
      <c r="Q284" s="1">
        <f t="shared" si="37"/>
        <v>0</v>
      </c>
      <c r="R284" s="12">
        <v>50603</v>
      </c>
      <c r="S284" s="12">
        <v>50603</v>
      </c>
      <c r="T284" s="1">
        <f t="shared" si="38"/>
        <v>0</v>
      </c>
      <c r="U284" s="1">
        <f t="shared" si="39"/>
        <v>0</v>
      </c>
    </row>
    <row r="285" spans="1:21" x14ac:dyDescent="0.25">
      <c r="A285" s="10">
        <v>2135</v>
      </c>
      <c r="B285" s="10">
        <v>1</v>
      </c>
      <c r="C285" s="11" t="s">
        <v>277</v>
      </c>
      <c r="D285" s="12">
        <v>1059</v>
      </c>
      <c r="E285" s="12">
        <v>1059</v>
      </c>
      <c r="F285" s="12">
        <v>107415.47399999999</v>
      </c>
      <c r="G285" s="13">
        <v>113068.92</v>
      </c>
      <c r="H285" s="1">
        <f t="shared" si="32"/>
        <v>5653.4460000000108</v>
      </c>
      <c r="I285" s="1">
        <f t="shared" si="33"/>
        <v>5.3384759206798966</v>
      </c>
      <c r="J285" s="12">
        <v>107497.63</v>
      </c>
      <c r="K285" s="13">
        <v>113155.40000000001</v>
      </c>
      <c r="L285" s="1">
        <f t="shared" si="34"/>
        <v>5657.7700000000041</v>
      </c>
      <c r="M285" s="1">
        <f t="shared" si="35"/>
        <v>5.3425590179414577</v>
      </c>
      <c r="N285" s="12">
        <v>1013278</v>
      </c>
      <c r="O285" s="12">
        <v>1013278</v>
      </c>
      <c r="P285" s="1">
        <f t="shared" si="36"/>
        <v>0</v>
      </c>
      <c r="Q285" s="1">
        <f t="shared" si="37"/>
        <v>0</v>
      </c>
      <c r="R285" s="12">
        <v>121636</v>
      </c>
      <c r="S285" s="12">
        <v>121636</v>
      </c>
      <c r="T285" s="1">
        <f t="shared" si="38"/>
        <v>0</v>
      </c>
      <c r="U285" s="1">
        <f t="shared" si="39"/>
        <v>0</v>
      </c>
    </row>
    <row r="286" spans="1:21" x14ac:dyDescent="0.25">
      <c r="A286" s="10">
        <v>2137</v>
      </c>
      <c r="B286" s="10">
        <v>1</v>
      </c>
      <c r="C286" s="11" t="s">
        <v>278</v>
      </c>
      <c r="D286" s="12">
        <v>655</v>
      </c>
      <c r="E286" s="12">
        <v>654</v>
      </c>
      <c r="F286" s="12">
        <v>0</v>
      </c>
      <c r="G286" s="13">
        <v>0</v>
      </c>
      <c r="H286" s="1">
        <f t="shared" si="32"/>
        <v>0</v>
      </c>
      <c r="I286" s="1">
        <f t="shared" si="33"/>
        <v>0</v>
      </c>
      <c r="J286" s="12">
        <v>0</v>
      </c>
      <c r="K286" s="13">
        <v>0</v>
      </c>
      <c r="L286" s="1">
        <f t="shared" si="34"/>
        <v>0</v>
      </c>
      <c r="M286" s="1">
        <f t="shared" si="35"/>
        <v>0</v>
      </c>
      <c r="N286" s="12">
        <v>589169</v>
      </c>
      <c r="O286" s="12">
        <v>589169</v>
      </c>
      <c r="P286" s="1">
        <f t="shared" si="36"/>
        <v>0</v>
      </c>
      <c r="Q286" s="1">
        <f t="shared" si="37"/>
        <v>0</v>
      </c>
      <c r="R286" s="12">
        <v>75905</v>
      </c>
      <c r="S286" s="12">
        <v>75905</v>
      </c>
      <c r="T286" s="1">
        <f t="shared" si="38"/>
        <v>0</v>
      </c>
      <c r="U286" s="1">
        <f t="shared" si="39"/>
        <v>0</v>
      </c>
    </row>
    <row r="287" spans="1:21" x14ac:dyDescent="0.25">
      <c r="A287" s="10">
        <v>2142</v>
      </c>
      <c r="B287" s="10">
        <v>1</v>
      </c>
      <c r="C287" s="11" t="s">
        <v>279</v>
      </c>
      <c r="D287" s="12">
        <v>1718</v>
      </c>
      <c r="E287" s="12">
        <v>1717</v>
      </c>
      <c r="F287" s="12">
        <v>0</v>
      </c>
      <c r="G287" s="13">
        <v>0</v>
      </c>
      <c r="H287" s="1">
        <f t="shared" si="32"/>
        <v>0</v>
      </c>
      <c r="I287" s="1">
        <f t="shared" si="33"/>
        <v>0</v>
      </c>
      <c r="J287" s="12">
        <v>0</v>
      </c>
      <c r="K287" s="13">
        <v>0</v>
      </c>
      <c r="L287" s="1">
        <f t="shared" si="34"/>
        <v>0</v>
      </c>
      <c r="M287" s="1">
        <f t="shared" si="35"/>
        <v>0</v>
      </c>
      <c r="N287" s="12">
        <v>321544</v>
      </c>
      <c r="O287" s="12">
        <v>0</v>
      </c>
      <c r="P287" s="1">
        <f t="shared" si="36"/>
        <v>-321544</v>
      </c>
      <c r="Q287" s="1">
        <f t="shared" si="37"/>
        <v>-187.27082119976703</v>
      </c>
      <c r="R287" s="12">
        <v>251312</v>
      </c>
      <c r="S287" s="12">
        <v>216684.89</v>
      </c>
      <c r="T287" s="1">
        <f t="shared" si="38"/>
        <v>-34627.109999999986</v>
      </c>
      <c r="U287" s="1">
        <f t="shared" si="39"/>
        <v>-20.167216074548623</v>
      </c>
    </row>
    <row r="288" spans="1:21" x14ac:dyDescent="0.25">
      <c r="A288" s="10">
        <v>2143</v>
      </c>
      <c r="B288" s="10">
        <v>1</v>
      </c>
      <c r="C288" s="11" t="s">
        <v>280</v>
      </c>
      <c r="D288" s="12">
        <v>860</v>
      </c>
      <c r="E288" s="12">
        <v>853</v>
      </c>
      <c r="F288" s="12">
        <v>88113.183999999994</v>
      </c>
      <c r="G288" s="13">
        <v>92174</v>
      </c>
      <c r="H288" s="1">
        <f t="shared" si="32"/>
        <v>4060.8160000000062</v>
      </c>
      <c r="I288" s="1">
        <f t="shared" si="33"/>
        <v>4.7218790697674491</v>
      </c>
      <c r="J288" s="12">
        <v>87323.962</v>
      </c>
      <c r="K288" s="13">
        <v>91919.96</v>
      </c>
      <c r="L288" s="1">
        <f t="shared" si="34"/>
        <v>4595.9980000000069</v>
      </c>
      <c r="M288" s="1">
        <f t="shared" si="35"/>
        <v>5.3880398593200551</v>
      </c>
      <c r="N288" s="12">
        <v>1302060</v>
      </c>
      <c r="O288" s="12">
        <v>1302060</v>
      </c>
      <c r="P288" s="1">
        <f t="shared" si="36"/>
        <v>0</v>
      </c>
      <c r="Q288" s="1">
        <f t="shared" si="37"/>
        <v>0</v>
      </c>
      <c r="R288" s="12">
        <v>78679</v>
      </c>
      <c r="S288" s="12">
        <v>78679</v>
      </c>
      <c r="T288" s="1">
        <f t="shared" si="38"/>
        <v>0</v>
      </c>
      <c r="U288" s="1">
        <f t="shared" si="39"/>
        <v>0</v>
      </c>
    </row>
    <row r="289" spans="1:21" x14ac:dyDescent="0.25">
      <c r="A289" s="10">
        <v>2144</v>
      </c>
      <c r="B289" s="10">
        <v>1</v>
      </c>
      <c r="C289" s="11" t="s">
        <v>281</v>
      </c>
      <c r="D289" s="12">
        <v>3355</v>
      </c>
      <c r="E289" s="12">
        <v>3278</v>
      </c>
      <c r="F289" s="12">
        <v>0</v>
      </c>
      <c r="G289" s="13">
        <v>0</v>
      </c>
      <c r="H289" s="1">
        <f t="shared" si="32"/>
        <v>0</v>
      </c>
      <c r="I289" s="1">
        <f t="shared" si="33"/>
        <v>0</v>
      </c>
      <c r="J289" s="12">
        <v>0</v>
      </c>
      <c r="K289" s="13">
        <v>0</v>
      </c>
      <c r="L289" s="1">
        <f t="shared" si="34"/>
        <v>0</v>
      </c>
      <c r="M289" s="1">
        <f t="shared" si="35"/>
        <v>0</v>
      </c>
      <c r="N289" s="12">
        <v>1608844</v>
      </c>
      <c r="O289" s="12">
        <v>1608844</v>
      </c>
      <c r="P289" s="1">
        <f t="shared" si="36"/>
        <v>0</v>
      </c>
      <c r="Q289" s="1">
        <f t="shared" si="37"/>
        <v>0</v>
      </c>
      <c r="R289" s="12">
        <v>446501</v>
      </c>
      <c r="S289" s="12">
        <v>446501</v>
      </c>
      <c r="T289" s="1">
        <f t="shared" si="38"/>
        <v>0</v>
      </c>
      <c r="U289" s="1">
        <f t="shared" si="39"/>
        <v>0</v>
      </c>
    </row>
    <row r="290" spans="1:21" x14ac:dyDescent="0.25">
      <c r="A290" s="10">
        <v>2149</v>
      </c>
      <c r="B290" s="10">
        <v>1</v>
      </c>
      <c r="C290" s="11" t="s">
        <v>282</v>
      </c>
      <c r="D290" s="12">
        <v>1025</v>
      </c>
      <c r="E290" s="12">
        <v>1025</v>
      </c>
      <c r="F290" s="12">
        <v>0</v>
      </c>
      <c r="G290" s="13">
        <v>0</v>
      </c>
      <c r="H290" s="1">
        <f t="shared" si="32"/>
        <v>0</v>
      </c>
      <c r="I290" s="1">
        <f t="shared" si="33"/>
        <v>0</v>
      </c>
      <c r="J290" s="12">
        <v>0</v>
      </c>
      <c r="K290" s="13">
        <v>0</v>
      </c>
      <c r="L290" s="1">
        <f t="shared" si="34"/>
        <v>0</v>
      </c>
      <c r="M290" s="1">
        <f t="shared" si="35"/>
        <v>0</v>
      </c>
      <c r="N290" s="12">
        <v>821686</v>
      </c>
      <c r="O290" s="12">
        <v>821686</v>
      </c>
      <c r="P290" s="1">
        <f t="shared" si="36"/>
        <v>0</v>
      </c>
      <c r="Q290" s="1">
        <f t="shared" si="37"/>
        <v>0</v>
      </c>
      <c r="R290" s="12">
        <v>122775</v>
      </c>
      <c r="S290" s="12">
        <v>122775</v>
      </c>
      <c r="T290" s="1">
        <f t="shared" si="38"/>
        <v>0</v>
      </c>
      <c r="U290" s="1">
        <f t="shared" si="39"/>
        <v>0</v>
      </c>
    </row>
    <row r="291" spans="1:21" x14ac:dyDescent="0.25">
      <c r="A291" s="10">
        <v>2154</v>
      </c>
      <c r="B291" s="10">
        <v>1</v>
      </c>
      <c r="C291" s="11" t="s">
        <v>283</v>
      </c>
      <c r="D291" s="12">
        <v>1191</v>
      </c>
      <c r="E291" s="12">
        <v>1204</v>
      </c>
      <c r="F291" s="12">
        <v>0</v>
      </c>
      <c r="G291" s="13">
        <v>0</v>
      </c>
      <c r="H291" s="1">
        <f t="shared" si="32"/>
        <v>0</v>
      </c>
      <c r="I291" s="1">
        <f t="shared" si="33"/>
        <v>0</v>
      </c>
      <c r="J291" s="12">
        <v>0</v>
      </c>
      <c r="K291" s="13">
        <v>0</v>
      </c>
      <c r="L291" s="1">
        <f t="shared" si="34"/>
        <v>0</v>
      </c>
      <c r="M291" s="1">
        <f t="shared" si="35"/>
        <v>0</v>
      </c>
      <c r="N291" s="12">
        <v>467152</v>
      </c>
      <c r="O291" s="12">
        <v>467152</v>
      </c>
      <c r="P291" s="1">
        <f t="shared" si="36"/>
        <v>0</v>
      </c>
      <c r="Q291" s="1">
        <f t="shared" si="37"/>
        <v>0</v>
      </c>
      <c r="R291" s="12">
        <v>164125</v>
      </c>
      <c r="S291" s="12">
        <v>164125</v>
      </c>
      <c r="T291" s="1">
        <f t="shared" si="38"/>
        <v>0</v>
      </c>
      <c r="U291" s="1">
        <f t="shared" si="39"/>
        <v>0</v>
      </c>
    </row>
    <row r="292" spans="1:21" x14ac:dyDescent="0.25">
      <c r="A292" s="10">
        <v>2155</v>
      </c>
      <c r="B292" s="10">
        <v>1</v>
      </c>
      <c r="C292" s="11" t="s">
        <v>284</v>
      </c>
      <c r="D292" s="12">
        <v>951</v>
      </c>
      <c r="E292" s="12">
        <v>947</v>
      </c>
      <c r="F292" s="12">
        <v>0</v>
      </c>
      <c r="G292" s="13">
        <v>0</v>
      </c>
      <c r="H292" s="1">
        <f t="shared" si="32"/>
        <v>0</v>
      </c>
      <c r="I292" s="1">
        <f t="shared" si="33"/>
        <v>0</v>
      </c>
      <c r="J292" s="12">
        <v>0</v>
      </c>
      <c r="K292" s="13">
        <v>0</v>
      </c>
      <c r="L292" s="1">
        <f t="shared" si="34"/>
        <v>0</v>
      </c>
      <c r="M292" s="1">
        <f t="shared" si="35"/>
        <v>0</v>
      </c>
      <c r="N292" s="12">
        <v>916384</v>
      </c>
      <c r="O292" s="12">
        <v>916384</v>
      </c>
      <c r="P292" s="1">
        <f t="shared" si="36"/>
        <v>0</v>
      </c>
      <c r="Q292" s="1">
        <f t="shared" si="37"/>
        <v>0</v>
      </c>
      <c r="R292" s="12">
        <v>106794</v>
      </c>
      <c r="S292" s="12">
        <v>106794</v>
      </c>
      <c r="T292" s="1">
        <f t="shared" si="38"/>
        <v>0</v>
      </c>
      <c r="U292" s="1">
        <f t="shared" si="39"/>
        <v>0</v>
      </c>
    </row>
    <row r="293" spans="1:21" x14ac:dyDescent="0.25">
      <c r="A293" s="10">
        <v>2159</v>
      </c>
      <c r="B293" s="10">
        <v>1</v>
      </c>
      <c r="C293" s="11" t="s">
        <v>285</v>
      </c>
      <c r="D293" s="12">
        <v>565</v>
      </c>
      <c r="E293" s="12">
        <v>552</v>
      </c>
      <c r="F293" s="12">
        <v>0</v>
      </c>
      <c r="G293" s="13">
        <v>0</v>
      </c>
      <c r="H293" s="1">
        <f t="shared" si="32"/>
        <v>0</v>
      </c>
      <c r="I293" s="1">
        <f t="shared" si="33"/>
        <v>0</v>
      </c>
      <c r="J293" s="12">
        <v>0</v>
      </c>
      <c r="K293" s="13">
        <v>0</v>
      </c>
      <c r="L293" s="1">
        <f t="shared" si="34"/>
        <v>0</v>
      </c>
      <c r="M293" s="1">
        <f t="shared" si="35"/>
        <v>0</v>
      </c>
      <c r="N293" s="12">
        <v>556268</v>
      </c>
      <c r="O293" s="12">
        <v>556268</v>
      </c>
      <c r="P293" s="1">
        <f t="shared" si="36"/>
        <v>0</v>
      </c>
      <c r="Q293" s="1">
        <f t="shared" si="37"/>
        <v>0</v>
      </c>
      <c r="R293" s="12">
        <v>61901</v>
      </c>
      <c r="S293" s="12">
        <v>61901</v>
      </c>
      <c r="T293" s="1">
        <f t="shared" si="38"/>
        <v>0</v>
      </c>
      <c r="U293" s="1">
        <f t="shared" si="39"/>
        <v>0</v>
      </c>
    </row>
    <row r="294" spans="1:21" x14ac:dyDescent="0.25">
      <c r="A294" s="10">
        <v>2164</v>
      </c>
      <c r="B294" s="10">
        <v>1</v>
      </c>
      <c r="C294" s="11" t="s">
        <v>286</v>
      </c>
      <c r="D294" s="12">
        <v>1400</v>
      </c>
      <c r="E294" s="12">
        <v>1416</v>
      </c>
      <c r="F294" s="12">
        <v>0</v>
      </c>
      <c r="G294" s="13">
        <v>0</v>
      </c>
      <c r="H294" s="1">
        <f t="shared" si="32"/>
        <v>0</v>
      </c>
      <c r="I294" s="1">
        <f t="shared" si="33"/>
        <v>0</v>
      </c>
      <c r="J294" s="12">
        <v>0</v>
      </c>
      <c r="K294" s="13">
        <v>0</v>
      </c>
      <c r="L294" s="1">
        <f t="shared" si="34"/>
        <v>0</v>
      </c>
      <c r="M294" s="1">
        <f t="shared" si="35"/>
        <v>0</v>
      </c>
      <c r="N294" s="12">
        <v>642265</v>
      </c>
      <c r="O294" s="12">
        <v>642265</v>
      </c>
      <c r="P294" s="1">
        <f t="shared" si="36"/>
        <v>0</v>
      </c>
      <c r="Q294" s="1">
        <f t="shared" si="37"/>
        <v>0</v>
      </c>
      <c r="R294" s="12">
        <v>187459</v>
      </c>
      <c r="S294" s="12">
        <v>187459</v>
      </c>
      <c r="T294" s="1">
        <f t="shared" si="38"/>
        <v>0</v>
      </c>
      <c r="U294" s="1">
        <f t="shared" si="39"/>
        <v>0</v>
      </c>
    </row>
    <row r="295" spans="1:21" x14ac:dyDescent="0.25">
      <c r="A295" s="10">
        <v>2165</v>
      </c>
      <c r="B295" s="10">
        <v>1</v>
      </c>
      <c r="C295" s="11" t="s">
        <v>287</v>
      </c>
      <c r="D295" s="12">
        <v>1047</v>
      </c>
      <c r="E295" s="12">
        <v>1042</v>
      </c>
      <c r="F295" s="12">
        <v>0</v>
      </c>
      <c r="G295" s="13">
        <v>0</v>
      </c>
      <c r="H295" s="1">
        <f t="shared" si="32"/>
        <v>0</v>
      </c>
      <c r="I295" s="1">
        <f t="shared" si="33"/>
        <v>0</v>
      </c>
      <c r="J295" s="12">
        <v>0</v>
      </c>
      <c r="K295" s="13">
        <v>0</v>
      </c>
      <c r="L295" s="1">
        <f t="shared" si="34"/>
        <v>0</v>
      </c>
      <c r="M295" s="1">
        <f t="shared" si="35"/>
        <v>0</v>
      </c>
      <c r="N295" s="12">
        <v>359049</v>
      </c>
      <c r="O295" s="12">
        <v>359049</v>
      </c>
      <c r="P295" s="1">
        <f t="shared" si="36"/>
        <v>0</v>
      </c>
      <c r="Q295" s="1">
        <f t="shared" si="37"/>
        <v>0</v>
      </c>
      <c r="R295" s="12">
        <v>145075</v>
      </c>
      <c r="S295" s="12">
        <v>145075</v>
      </c>
      <c r="T295" s="1">
        <f t="shared" si="38"/>
        <v>0</v>
      </c>
      <c r="U295" s="1">
        <f t="shared" si="39"/>
        <v>0</v>
      </c>
    </row>
    <row r="296" spans="1:21" x14ac:dyDescent="0.25">
      <c r="A296" s="10">
        <v>2167</v>
      </c>
      <c r="B296" s="10">
        <v>1</v>
      </c>
      <c r="C296" s="11" t="s">
        <v>288</v>
      </c>
      <c r="D296" s="12">
        <v>581</v>
      </c>
      <c r="E296" s="12">
        <v>571</v>
      </c>
      <c r="F296" s="12">
        <v>58850.79</v>
      </c>
      <c r="G296" s="13">
        <v>59873</v>
      </c>
      <c r="H296" s="1">
        <f t="shared" si="32"/>
        <v>1022.2099999999991</v>
      </c>
      <c r="I296" s="1">
        <f t="shared" si="33"/>
        <v>1.7593975903614443</v>
      </c>
      <c r="J296" s="12">
        <v>58082.543999999994</v>
      </c>
      <c r="K296" s="13">
        <v>59873</v>
      </c>
      <c r="L296" s="1">
        <f t="shared" si="34"/>
        <v>1790.4560000000056</v>
      </c>
      <c r="M296" s="1">
        <f t="shared" si="35"/>
        <v>3.135649737302987</v>
      </c>
      <c r="N296" s="12">
        <v>455360</v>
      </c>
      <c r="O296" s="12">
        <v>455360</v>
      </c>
      <c r="P296" s="1">
        <f t="shared" si="36"/>
        <v>0</v>
      </c>
      <c r="Q296" s="1">
        <f t="shared" si="37"/>
        <v>0</v>
      </c>
      <c r="R296" s="12">
        <v>69918</v>
      </c>
      <c r="S296" s="12">
        <v>69918</v>
      </c>
      <c r="T296" s="1">
        <f t="shared" si="38"/>
        <v>0</v>
      </c>
      <c r="U296" s="1">
        <f t="shared" si="39"/>
        <v>0</v>
      </c>
    </row>
    <row r="297" spans="1:21" x14ac:dyDescent="0.25">
      <c r="A297" s="10">
        <v>2168</v>
      </c>
      <c r="B297" s="10">
        <v>1</v>
      </c>
      <c r="C297" s="11" t="s">
        <v>289</v>
      </c>
      <c r="D297" s="12">
        <v>935</v>
      </c>
      <c r="E297" s="12">
        <v>926</v>
      </c>
      <c r="F297" s="12">
        <v>0</v>
      </c>
      <c r="G297" s="13">
        <v>0</v>
      </c>
      <c r="H297" s="1">
        <f t="shared" si="32"/>
        <v>0</v>
      </c>
      <c r="I297" s="1">
        <f t="shared" si="33"/>
        <v>0</v>
      </c>
      <c r="J297" s="12">
        <v>0</v>
      </c>
      <c r="K297" s="13">
        <v>0</v>
      </c>
      <c r="L297" s="1">
        <f t="shared" si="34"/>
        <v>0</v>
      </c>
      <c r="M297" s="1">
        <f t="shared" si="35"/>
        <v>0</v>
      </c>
      <c r="N297" s="12">
        <v>457155</v>
      </c>
      <c r="O297" s="12">
        <v>457155</v>
      </c>
      <c r="P297" s="1">
        <f t="shared" si="36"/>
        <v>0</v>
      </c>
      <c r="Q297" s="1">
        <f t="shared" si="37"/>
        <v>0</v>
      </c>
      <c r="R297" s="12">
        <v>124695</v>
      </c>
      <c r="S297" s="12">
        <v>124695</v>
      </c>
      <c r="T297" s="1">
        <f t="shared" si="38"/>
        <v>0</v>
      </c>
      <c r="U297" s="1">
        <f t="shared" si="39"/>
        <v>0</v>
      </c>
    </row>
    <row r="298" spans="1:21" x14ac:dyDescent="0.25">
      <c r="A298" s="10">
        <v>2169</v>
      </c>
      <c r="B298" s="10">
        <v>1</v>
      </c>
      <c r="C298" s="11" t="s">
        <v>290</v>
      </c>
      <c r="D298" s="12">
        <v>751</v>
      </c>
      <c r="E298" s="12">
        <v>740</v>
      </c>
      <c r="F298" s="12">
        <v>75353.657999999996</v>
      </c>
      <c r="G298" s="13">
        <v>70000</v>
      </c>
      <c r="H298" s="1">
        <f t="shared" si="32"/>
        <v>-5353.6579999999958</v>
      </c>
      <c r="I298" s="1">
        <f t="shared" si="33"/>
        <v>-7.1287057256990627</v>
      </c>
      <c r="J298" s="12">
        <v>74078.491999999998</v>
      </c>
      <c r="K298" s="13">
        <v>70000</v>
      </c>
      <c r="L298" s="1">
        <f t="shared" si="34"/>
        <v>-4078.4919999999984</v>
      </c>
      <c r="M298" s="1">
        <f t="shared" si="35"/>
        <v>-5.5114756756756735</v>
      </c>
      <c r="N298" s="12">
        <v>1078396</v>
      </c>
      <c r="O298" s="12">
        <v>1078396</v>
      </c>
      <c r="P298" s="1">
        <f t="shared" si="36"/>
        <v>0</v>
      </c>
      <c r="Q298" s="1">
        <f t="shared" si="37"/>
        <v>0</v>
      </c>
      <c r="R298" s="12">
        <v>68073</v>
      </c>
      <c r="S298" s="12">
        <v>68073</v>
      </c>
      <c r="T298" s="1">
        <f t="shared" si="38"/>
        <v>0</v>
      </c>
      <c r="U298" s="1">
        <f t="shared" si="39"/>
        <v>0</v>
      </c>
    </row>
    <row r="299" spans="1:21" x14ac:dyDescent="0.25">
      <c r="A299" s="10">
        <v>2170</v>
      </c>
      <c r="B299" s="10">
        <v>1</v>
      </c>
      <c r="C299" s="11" t="s">
        <v>291</v>
      </c>
      <c r="D299" s="12">
        <v>1240</v>
      </c>
      <c r="E299" s="12">
        <v>1167</v>
      </c>
      <c r="F299" s="12">
        <v>0</v>
      </c>
      <c r="G299" s="13">
        <v>0</v>
      </c>
      <c r="H299" s="1">
        <f t="shared" si="32"/>
        <v>0</v>
      </c>
      <c r="I299" s="1">
        <f t="shared" si="33"/>
        <v>0</v>
      </c>
      <c r="J299" s="12">
        <v>0</v>
      </c>
      <c r="K299" s="13">
        <v>0</v>
      </c>
      <c r="L299" s="1">
        <f t="shared" si="34"/>
        <v>0</v>
      </c>
      <c r="M299" s="1">
        <f t="shared" si="35"/>
        <v>0</v>
      </c>
      <c r="N299" s="12">
        <v>803618</v>
      </c>
      <c r="O299" s="12">
        <v>803618</v>
      </c>
      <c r="P299" s="1">
        <f t="shared" si="36"/>
        <v>0</v>
      </c>
      <c r="Q299" s="1">
        <f t="shared" si="37"/>
        <v>0</v>
      </c>
      <c r="R299" s="12">
        <v>150158</v>
      </c>
      <c r="S299" s="12">
        <v>150158</v>
      </c>
      <c r="T299" s="1">
        <f t="shared" si="38"/>
        <v>0</v>
      </c>
      <c r="U299" s="1">
        <f t="shared" si="39"/>
        <v>0</v>
      </c>
    </row>
    <row r="300" spans="1:21" x14ac:dyDescent="0.25">
      <c r="A300" s="10">
        <v>2171</v>
      </c>
      <c r="B300" s="10">
        <v>1</v>
      </c>
      <c r="C300" s="11" t="s">
        <v>292</v>
      </c>
      <c r="D300" s="12">
        <v>263</v>
      </c>
      <c r="E300" s="12">
        <v>251</v>
      </c>
      <c r="F300" s="12">
        <v>0</v>
      </c>
      <c r="G300" s="13">
        <v>0</v>
      </c>
      <c r="H300" s="1">
        <f t="shared" si="32"/>
        <v>0</v>
      </c>
      <c r="I300" s="1">
        <f t="shared" si="33"/>
        <v>0</v>
      </c>
      <c r="J300" s="12">
        <v>0</v>
      </c>
      <c r="K300" s="13">
        <v>0</v>
      </c>
      <c r="L300" s="1">
        <f t="shared" si="34"/>
        <v>0</v>
      </c>
      <c r="M300" s="1">
        <f t="shared" si="35"/>
        <v>0</v>
      </c>
      <c r="N300" s="12">
        <v>769121</v>
      </c>
      <c r="O300" s="12">
        <v>769121</v>
      </c>
      <c r="P300" s="1">
        <f t="shared" si="36"/>
        <v>0</v>
      </c>
      <c r="Q300" s="1">
        <f t="shared" si="37"/>
        <v>0</v>
      </c>
      <c r="R300" s="12">
        <v>13840</v>
      </c>
      <c r="S300" s="12">
        <v>13840</v>
      </c>
      <c r="T300" s="1">
        <f t="shared" si="38"/>
        <v>0</v>
      </c>
      <c r="U300" s="1">
        <f t="shared" si="39"/>
        <v>0</v>
      </c>
    </row>
    <row r="301" spans="1:21" x14ac:dyDescent="0.25">
      <c r="A301" s="10">
        <v>2172</v>
      </c>
      <c r="B301" s="10">
        <v>1</v>
      </c>
      <c r="C301" s="11" t="s">
        <v>293</v>
      </c>
      <c r="D301" s="12">
        <v>847</v>
      </c>
      <c r="E301" s="12">
        <v>835</v>
      </c>
      <c r="F301" s="12">
        <v>0</v>
      </c>
      <c r="G301" s="13">
        <v>0</v>
      </c>
      <c r="H301" s="1">
        <f t="shared" si="32"/>
        <v>0</v>
      </c>
      <c r="I301" s="1">
        <f t="shared" si="33"/>
        <v>0</v>
      </c>
      <c r="J301" s="12">
        <v>0</v>
      </c>
      <c r="K301" s="13">
        <v>0</v>
      </c>
      <c r="L301" s="1">
        <f t="shared" si="34"/>
        <v>0</v>
      </c>
      <c r="M301" s="1">
        <f t="shared" si="35"/>
        <v>0</v>
      </c>
      <c r="N301" s="12">
        <v>776307</v>
      </c>
      <c r="O301" s="12">
        <v>776307</v>
      </c>
      <c r="P301" s="1">
        <f t="shared" si="36"/>
        <v>0</v>
      </c>
      <c r="Q301" s="1">
        <f t="shared" si="37"/>
        <v>0</v>
      </c>
      <c r="R301" s="12">
        <v>96641</v>
      </c>
      <c r="S301" s="12">
        <v>96641</v>
      </c>
      <c r="T301" s="1">
        <f t="shared" si="38"/>
        <v>0</v>
      </c>
      <c r="U301" s="1">
        <f t="shared" si="39"/>
        <v>0</v>
      </c>
    </row>
    <row r="302" spans="1:21" x14ac:dyDescent="0.25">
      <c r="A302" s="10">
        <v>2174</v>
      </c>
      <c r="B302" s="10">
        <v>1</v>
      </c>
      <c r="C302" s="11" t="s">
        <v>294</v>
      </c>
      <c r="D302" s="12">
        <v>852</v>
      </c>
      <c r="E302" s="12">
        <v>852</v>
      </c>
      <c r="F302" s="12">
        <v>0</v>
      </c>
      <c r="G302" s="13">
        <v>0</v>
      </c>
      <c r="H302" s="1">
        <f t="shared" si="32"/>
        <v>0</v>
      </c>
      <c r="I302" s="1">
        <f t="shared" si="33"/>
        <v>0</v>
      </c>
      <c r="J302" s="12">
        <v>0</v>
      </c>
      <c r="K302" s="13">
        <v>0</v>
      </c>
      <c r="L302" s="1">
        <f t="shared" si="34"/>
        <v>0</v>
      </c>
      <c r="M302" s="1">
        <f t="shared" si="35"/>
        <v>0</v>
      </c>
      <c r="N302" s="12">
        <v>1158</v>
      </c>
      <c r="O302" s="12">
        <v>1158</v>
      </c>
      <c r="P302" s="1">
        <f t="shared" si="36"/>
        <v>0</v>
      </c>
      <c r="Q302" s="1">
        <f t="shared" si="37"/>
        <v>0</v>
      </c>
      <c r="R302" s="12">
        <v>231698</v>
      </c>
      <c r="S302" s="12">
        <v>231698</v>
      </c>
      <c r="T302" s="1">
        <f t="shared" si="38"/>
        <v>0</v>
      </c>
      <c r="U302" s="1">
        <f t="shared" si="39"/>
        <v>0</v>
      </c>
    </row>
    <row r="303" spans="1:21" x14ac:dyDescent="0.25">
      <c r="A303" s="10">
        <v>2176</v>
      </c>
      <c r="B303" s="10">
        <v>1</v>
      </c>
      <c r="C303" s="11" t="s">
        <v>295</v>
      </c>
      <c r="D303" s="12">
        <v>428</v>
      </c>
      <c r="E303" s="12">
        <v>423</v>
      </c>
      <c r="F303" s="12">
        <v>0</v>
      </c>
      <c r="G303" s="13">
        <v>0</v>
      </c>
      <c r="H303" s="1">
        <f t="shared" si="32"/>
        <v>0</v>
      </c>
      <c r="I303" s="1">
        <f t="shared" si="33"/>
        <v>0</v>
      </c>
      <c r="J303" s="12">
        <v>0</v>
      </c>
      <c r="K303" s="13">
        <v>0</v>
      </c>
      <c r="L303" s="1">
        <f t="shared" si="34"/>
        <v>0</v>
      </c>
      <c r="M303" s="1">
        <f t="shared" si="35"/>
        <v>0</v>
      </c>
      <c r="N303" s="12">
        <v>860216</v>
      </c>
      <c r="O303" s="12">
        <v>860216</v>
      </c>
      <c r="P303" s="1">
        <f t="shared" si="36"/>
        <v>0</v>
      </c>
      <c r="Q303" s="1">
        <f t="shared" si="37"/>
        <v>0</v>
      </c>
      <c r="R303" s="12">
        <v>22482</v>
      </c>
      <c r="S303" s="12">
        <v>22482</v>
      </c>
      <c r="T303" s="1">
        <f t="shared" si="38"/>
        <v>0</v>
      </c>
      <c r="U303" s="1">
        <f t="shared" si="39"/>
        <v>0</v>
      </c>
    </row>
    <row r="304" spans="1:21" x14ac:dyDescent="0.25">
      <c r="A304" s="10">
        <v>2180</v>
      </c>
      <c r="B304" s="10">
        <v>1</v>
      </c>
      <c r="C304" s="11" t="s">
        <v>296</v>
      </c>
      <c r="D304" s="12">
        <v>695</v>
      </c>
      <c r="E304" s="12">
        <v>682</v>
      </c>
      <c r="F304" s="12">
        <v>70579.87</v>
      </c>
      <c r="G304" s="13">
        <v>74294.599999999991</v>
      </c>
      <c r="H304" s="1">
        <f t="shared" si="32"/>
        <v>3714.7299999999959</v>
      </c>
      <c r="I304" s="1">
        <f t="shared" si="33"/>
        <v>5.3449352517985549</v>
      </c>
      <c r="J304" s="12">
        <v>69246.145999999993</v>
      </c>
      <c r="K304" s="13">
        <v>68771</v>
      </c>
      <c r="L304" s="1">
        <f t="shared" si="34"/>
        <v>-475.14599999999336</v>
      </c>
      <c r="M304" s="1">
        <f t="shared" si="35"/>
        <v>-0.69669501466274686</v>
      </c>
      <c r="N304" s="12">
        <v>1335949</v>
      </c>
      <c r="O304" s="12">
        <v>1335949</v>
      </c>
      <c r="P304" s="1">
        <f t="shared" si="36"/>
        <v>0</v>
      </c>
      <c r="Q304" s="1">
        <f t="shared" si="37"/>
        <v>0</v>
      </c>
      <c r="R304" s="12">
        <v>49710</v>
      </c>
      <c r="S304" s="12">
        <v>49710</v>
      </c>
      <c r="T304" s="1">
        <f t="shared" si="38"/>
        <v>0</v>
      </c>
      <c r="U304" s="1">
        <f t="shared" si="39"/>
        <v>0</v>
      </c>
    </row>
    <row r="305" spans="1:21" x14ac:dyDescent="0.25">
      <c r="A305" s="10">
        <v>2184</v>
      </c>
      <c r="B305" s="10">
        <v>1</v>
      </c>
      <c r="C305" s="11" t="s">
        <v>297</v>
      </c>
      <c r="D305" s="12">
        <v>1185</v>
      </c>
      <c r="E305" s="12">
        <v>1179</v>
      </c>
      <c r="F305" s="12">
        <v>0</v>
      </c>
      <c r="G305" s="13">
        <v>0</v>
      </c>
      <c r="H305" s="1">
        <f t="shared" si="32"/>
        <v>0</v>
      </c>
      <c r="I305" s="1">
        <f t="shared" si="33"/>
        <v>0</v>
      </c>
      <c r="J305" s="12">
        <v>0</v>
      </c>
      <c r="K305" s="13">
        <v>0</v>
      </c>
      <c r="L305" s="1">
        <f t="shared" si="34"/>
        <v>0</v>
      </c>
      <c r="M305" s="1">
        <f t="shared" si="35"/>
        <v>0</v>
      </c>
      <c r="N305" s="12">
        <v>1476880</v>
      </c>
      <c r="O305" s="12">
        <v>1476880</v>
      </c>
      <c r="P305" s="1">
        <f t="shared" si="36"/>
        <v>0</v>
      </c>
      <c r="Q305" s="1">
        <f t="shared" si="37"/>
        <v>0</v>
      </c>
      <c r="R305" s="12">
        <v>119812</v>
      </c>
      <c r="S305" s="12">
        <v>119812</v>
      </c>
      <c r="T305" s="1">
        <f t="shared" si="38"/>
        <v>0</v>
      </c>
      <c r="U305" s="1">
        <f t="shared" si="39"/>
        <v>0</v>
      </c>
    </row>
    <row r="306" spans="1:21" x14ac:dyDescent="0.25">
      <c r="A306" s="10">
        <v>2190</v>
      </c>
      <c r="B306" s="10">
        <v>1</v>
      </c>
      <c r="C306" s="11" t="s">
        <v>298</v>
      </c>
      <c r="D306" s="12">
        <v>837</v>
      </c>
      <c r="E306" s="12">
        <v>814</v>
      </c>
      <c r="F306" s="12">
        <v>119793.85049999999</v>
      </c>
      <c r="G306" s="13">
        <v>126098.79</v>
      </c>
      <c r="H306" s="1">
        <f t="shared" si="32"/>
        <v>6304.9395000000077</v>
      </c>
      <c r="I306" s="1">
        <f t="shared" si="33"/>
        <v>7.5327831541218728</v>
      </c>
      <c r="J306" s="12">
        <v>116413.9215</v>
      </c>
      <c r="K306" s="13">
        <v>122540.96999999999</v>
      </c>
      <c r="L306" s="1">
        <f t="shared" si="34"/>
        <v>6127.0484999999899</v>
      </c>
      <c r="M306" s="1">
        <f t="shared" si="35"/>
        <v>7.5270866093365969</v>
      </c>
      <c r="N306" s="12">
        <v>1288546</v>
      </c>
      <c r="O306" s="12">
        <v>1288546</v>
      </c>
      <c r="P306" s="1">
        <f t="shared" si="36"/>
        <v>0</v>
      </c>
      <c r="Q306" s="1">
        <f t="shared" si="37"/>
        <v>0</v>
      </c>
      <c r="R306" s="12">
        <v>73232</v>
      </c>
      <c r="S306" s="12">
        <v>73232</v>
      </c>
      <c r="T306" s="1">
        <f t="shared" si="38"/>
        <v>0</v>
      </c>
      <c r="U306" s="1">
        <f t="shared" si="39"/>
        <v>0</v>
      </c>
    </row>
    <row r="307" spans="1:21" x14ac:dyDescent="0.25">
      <c r="A307" s="10">
        <v>2198</v>
      </c>
      <c r="B307" s="10">
        <v>1</v>
      </c>
      <c r="C307" s="14" t="s">
        <v>299</v>
      </c>
      <c r="D307" s="12">
        <v>505</v>
      </c>
      <c r="E307" s="12">
        <v>490</v>
      </c>
      <c r="F307" s="12">
        <v>0</v>
      </c>
      <c r="G307" s="13">
        <v>0</v>
      </c>
      <c r="H307" s="1">
        <f t="shared" si="32"/>
        <v>0</v>
      </c>
      <c r="I307" s="1">
        <f t="shared" si="33"/>
        <v>0</v>
      </c>
      <c r="J307" s="12">
        <v>0</v>
      </c>
      <c r="K307" s="13">
        <v>0</v>
      </c>
      <c r="L307" s="1">
        <f t="shared" si="34"/>
        <v>0</v>
      </c>
      <c r="M307" s="1">
        <f t="shared" si="35"/>
        <v>0</v>
      </c>
      <c r="N307" s="12">
        <v>705013</v>
      </c>
      <c r="O307" s="12">
        <v>705013</v>
      </c>
      <c r="P307" s="1">
        <f t="shared" si="36"/>
        <v>0</v>
      </c>
      <c r="Q307" s="1">
        <f t="shared" si="37"/>
        <v>0</v>
      </c>
      <c r="R307" s="12">
        <v>46416</v>
      </c>
      <c r="S307" s="12">
        <v>46416</v>
      </c>
      <c r="T307" s="1">
        <f t="shared" si="38"/>
        <v>0</v>
      </c>
      <c r="U307" s="1">
        <f t="shared" si="39"/>
        <v>0</v>
      </c>
    </row>
    <row r="308" spans="1:21" x14ac:dyDescent="0.25">
      <c r="A308" s="10">
        <v>2215</v>
      </c>
      <c r="B308" s="10">
        <v>1</v>
      </c>
      <c r="C308" s="14" t="s">
        <v>300</v>
      </c>
      <c r="D308" s="12">
        <v>303</v>
      </c>
      <c r="E308" s="12">
        <v>290</v>
      </c>
      <c r="F308" s="12">
        <v>0</v>
      </c>
      <c r="G308" s="13">
        <v>0</v>
      </c>
      <c r="H308" s="1">
        <f t="shared" si="32"/>
        <v>0</v>
      </c>
      <c r="I308" s="1">
        <f t="shared" si="33"/>
        <v>0</v>
      </c>
      <c r="J308" s="12">
        <v>0</v>
      </c>
      <c r="K308" s="13">
        <v>0</v>
      </c>
      <c r="L308" s="1">
        <f t="shared" si="34"/>
        <v>0</v>
      </c>
      <c r="M308" s="1">
        <f t="shared" si="35"/>
        <v>0</v>
      </c>
      <c r="N308" s="12">
        <v>679350</v>
      </c>
      <c r="O308" s="12">
        <v>679350</v>
      </c>
      <c r="P308" s="1">
        <f t="shared" si="36"/>
        <v>0</v>
      </c>
      <c r="Q308" s="1">
        <f t="shared" si="37"/>
        <v>0</v>
      </c>
      <c r="R308" s="12">
        <v>15608</v>
      </c>
      <c r="S308" s="12">
        <v>15608</v>
      </c>
      <c r="T308" s="1">
        <f t="shared" si="38"/>
        <v>0</v>
      </c>
      <c r="U308" s="1">
        <f t="shared" si="39"/>
        <v>0</v>
      </c>
    </row>
    <row r="309" spans="1:21" x14ac:dyDescent="0.25">
      <c r="A309" s="10">
        <v>2310</v>
      </c>
      <c r="B309" s="10">
        <v>1</v>
      </c>
      <c r="C309" s="14" t="s">
        <v>301</v>
      </c>
      <c r="D309" s="12">
        <v>1177</v>
      </c>
      <c r="E309" s="12">
        <v>1168</v>
      </c>
      <c r="F309" s="12">
        <v>165931.47449999998</v>
      </c>
      <c r="G309" s="13">
        <v>174664.71</v>
      </c>
      <c r="H309" s="1">
        <f t="shared" si="32"/>
        <v>8733.2355000000098</v>
      </c>
      <c r="I309" s="1">
        <f t="shared" si="33"/>
        <v>7.4199112149532791</v>
      </c>
      <c r="J309" s="12">
        <v>164893.47599999997</v>
      </c>
      <c r="K309" s="13">
        <v>173572.08</v>
      </c>
      <c r="L309" s="1">
        <f t="shared" si="34"/>
        <v>8678.6040000000212</v>
      </c>
      <c r="M309" s="1">
        <f t="shared" si="35"/>
        <v>7.4303116438356342</v>
      </c>
      <c r="N309" s="12">
        <v>823224</v>
      </c>
      <c r="O309" s="12">
        <v>823224</v>
      </c>
      <c r="P309" s="1">
        <f t="shared" si="36"/>
        <v>0</v>
      </c>
      <c r="Q309" s="1">
        <f t="shared" si="37"/>
        <v>0</v>
      </c>
      <c r="R309" s="12">
        <v>145482</v>
      </c>
      <c r="S309" s="12">
        <v>145482</v>
      </c>
      <c r="T309" s="1">
        <f t="shared" si="38"/>
        <v>0</v>
      </c>
      <c r="U309" s="1">
        <f t="shared" si="39"/>
        <v>0</v>
      </c>
    </row>
    <row r="310" spans="1:21" x14ac:dyDescent="0.25">
      <c r="A310" s="10">
        <v>2311</v>
      </c>
      <c r="B310" s="10">
        <v>1</v>
      </c>
      <c r="C310" s="11" t="s">
        <v>302</v>
      </c>
      <c r="D310" s="12">
        <v>467</v>
      </c>
      <c r="E310" s="12">
        <v>468</v>
      </c>
      <c r="F310" s="12">
        <v>0</v>
      </c>
      <c r="G310" s="13">
        <v>0</v>
      </c>
      <c r="H310" s="1">
        <f t="shared" si="32"/>
        <v>0</v>
      </c>
      <c r="I310" s="1">
        <f t="shared" si="33"/>
        <v>0</v>
      </c>
      <c r="J310" s="12">
        <v>0</v>
      </c>
      <c r="K310" s="13">
        <v>0</v>
      </c>
      <c r="L310" s="1">
        <f t="shared" si="34"/>
        <v>0</v>
      </c>
      <c r="M310" s="1">
        <f t="shared" si="35"/>
        <v>0</v>
      </c>
      <c r="N310" s="12">
        <v>324222</v>
      </c>
      <c r="O310" s="12">
        <v>324222</v>
      </c>
      <c r="P310" s="1">
        <f t="shared" si="36"/>
        <v>0</v>
      </c>
      <c r="Q310" s="1">
        <f t="shared" si="37"/>
        <v>0</v>
      </c>
      <c r="R310" s="12">
        <v>58594</v>
      </c>
      <c r="S310" s="12">
        <v>58594</v>
      </c>
      <c r="T310" s="1">
        <f t="shared" si="38"/>
        <v>0</v>
      </c>
      <c r="U310" s="1">
        <f t="shared" si="39"/>
        <v>0</v>
      </c>
    </row>
    <row r="311" spans="1:21" x14ac:dyDescent="0.25">
      <c r="A311" s="10">
        <v>2342</v>
      </c>
      <c r="B311" s="10">
        <v>1</v>
      </c>
      <c r="C311" s="11" t="s">
        <v>303</v>
      </c>
      <c r="D311" s="12">
        <v>732</v>
      </c>
      <c r="E311" s="12">
        <v>733</v>
      </c>
      <c r="F311" s="12">
        <v>0</v>
      </c>
      <c r="G311" s="13">
        <v>0</v>
      </c>
      <c r="H311" s="1">
        <f t="shared" si="32"/>
        <v>0</v>
      </c>
      <c r="I311" s="1">
        <f t="shared" si="33"/>
        <v>0</v>
      </c>
      <c r="J311" s="12">
        <v>0</v>
      </c>
      <c r="K311" s="13">
        <v>0</v>
      </c>
      <c r="L311" s="1">
        <f t="shared" si="34"/>
        <v>0</v>
      </c>
      <c r="M311" s="1">
        <f t="shared" si="35"/>
        <v>0</v>
      </c>
      <c r="N311" s="12">
        <v>1138333</v>
      </c>
      <c r="O311" s="12">
        <v>1138333</v>
      </c>
      <c r="P311" s="1">
        <f t="shared" si="36"/>
        <v>0</v>
      </c>
      <c r="Q311" s="1">
        <f t="shared" si="37"/>
        <v>0</v>
      </c>
      <c r="R311" s="12">
        <v>62979</v>
      </c>
      <c r="S311" s="12">
        <v>62979</v>
      </c>
      <c r="T311" s="1">
        <f t="shared" si="38"/>
        <v>0</v>
      </c>
      <c r="U311" s="1">
        <f t="shared" si="39"/>
        <v>0</v>
      </c>
    </row>
    <row r="312" spans="1:21" x14ac:dyDescent="0.25">
      <c r="A312" s="10">
        <v>2358</v>
      </c>
      <c r="B312" s="10">
        <v>1</v>
      </c>
      <c r="C312" s="11" t="s">
        <v>304</v>
      </c>
      <c r="D312" s="12">
        <v>226</v>
      </c>
      <c r="E312" s="12">
        <v>218</v>
      </c>
      <c r="F312" s="12">
        <v>0</v>
      </c>
      <c r="G312" s="13">
        <v>0</v>
      </c>
      <c r="H312" s="1">
        <f t="shared" si="32"/>
        <v>0</v>
      </c>
      <c r="I312" s="1">
        <f t="shared" si="33"/>
        <v>0</v>
      </c>
      <c r="J312" s="12">
        <v>0</v>
      </c>
      <c r="K312" s="13">
        <v>0</v>
      </c>
      <c r="L312" s="1">
        <f t="shared" si="34"/>
        <v>0</v>
      </c>
      <c r="M312" s="1">
        <f t="shared" si="35"/>
        <v>0</v>
      </c>
      <c r="N312" s="12">
        <v>224904</v>
      </c>
      <c r="O312" s="12">
        <v>224904</v>
      </c>
      <c r="P312" s="1">
        <f t="shared" si="36"/>
        <v>0</v>
      </c>
      <c r="Q312" s="1">
        <f t="shared" si="37"/>
        <v>0</v>
      </c>
      <c r="R312" s="12">
        <v>24896</v>
      </c>
      <c r="S312" s="12">
        <v>24896</v>
      </c>
      <c r="T312" s="1">
        <f t="shared" si="38"/>
        <v>0</v>
      </c>
      <c r="U312" s="1">
        <f t="shared" si="39"/>
        <v>0</v>
      </c>
    </row>
    <row r="313" spans="1:21" x14ac:dyDescent="0.25">
      <c r="A313" s="10">
        <v>2364</v>
      </c>
      <c r="B313" s="10">
        <v>1</v>
      </c>
      <c r="C313" s="11" t="s">
        <v>305</v>
      </c>
      <c r="D313" s="12">
        <v>677</v>
      </c>
      <c r="E313" s="12">
        <v>649</v>
      </c>
      <c r="F313" s="12">
        <v>0</v>
      </c>
      <c r="G313" s="13">
        <v>0</v>
      </c>
      <c r="H313" s="1">
        <f t="shared" si="32"/>
        <v>0</v>
      </c>
      <c r="I313" s="1">
        <f t="shared" si="33"/>
        <v>0</v>
      </c>
      <c r="J313" s="12">
        <v>0</v>
      </c>
      <c r="K313" s="13">
        <v>0</v>
      </c>
      <c r="L313" s="1">
        <f t="shared" si="34"/>
        <v>0</v>
      </c>
      <c r="M313" s="1">
        <f t="shared" si="35"/>
        <v>0</v>
      </c>
      <c r="N313" s="12">
        <v>631503</v>
      </c>
      <c r="O313" s="12">
        <v>631503</v>
      </c>
      <c r="P313" s="1">
        <f t="shared" si="36"/>
        <v>0</v>
      </c>
      <c r="Q313" s="1">
        <f t="shared" si="37"/>
        <v>0</v>
      </c>
      <c r="R313" s="12">
        <v>75150</v>
      </c>
      <c r="S313" s="12">
        <v>75150</v>
      </c>
      <c r="T313" s="1">
        <f t="shared" si="38"/>
        <v>0</v>
      </c>
      <c r="U313" s="1">
        <f t="shared" si="39"/>
        <v>0</v>
      </c>
    </row>
    <row r="314" spans="1:21" x14ac:dyDescent="0.25">
      <c r="A314" s="10">
        <v>2365</v>
      </c>
      <c r="B314" s="10">
        <v>1</v>
      </c>
      <c r="C314" s="11" t="s">
        <v>306</v>
      </c>
      <c r="D314" s="12">
        <v>773</v>
      </c>
      <c r="E314" s="12">
        <v>759</v>
      </c>
      <c r="F314" s="12">
        <v>78661.747999999992</v>
      </c>
      <c r="G314" s="13">
        <v>77547</v>
      </c>
      <c r="H314" s="1">
        <f t="shared" si="32"/>
        <v>-1114.7479999999923</v>
      </c>
      <c r="I314" s="1">
        <f t="shared" si="33"/>
        <v>-1.4421060802069758</v>
      </c>
      <c r="J314" s="12">
        <v>77213.53</v>
      </c>
      <c r="K314" s="13">
        <v>77547</v>
      </c>
      <c r="L314" s="1">
        <f t="shared" si="34"/>
        <v>333.47000000000116</v>
      </c>
      <c r="M314" s="1">
        <f t="shared" si="35"/>
        <v>0.43935441370224132</v>
      </c>
      <c r="N314" s="12">
        <v>460779</v>
      </c>
      <c r="O314" s="12">
        <v>460779</v>
      </c>
      <c r="P314" s="1">
        <f t="shared" si="36"/>
        <v>0</v>
      </c>
      <c r="Q314" s="1">
        <f t="shared" si="37"/>
        <v>0</v>
      </c>
      <c r="R314" s="12">
        <v>99258</v>
      </c>
      <c r="S314" s="12">
        <v>99258</v>
      </c>
      <c r="T314" s="1">
        <f t="shared" si="38"/>
        <v>0</v>
      </c>
      <c r="U314" s="1">
        <f t="shared" si="39"/>
        <v>0</v>
      </c>
    </row>
    <row r="315" spans="1:21" x14ac:dyDescent="0.25">
      <c r="A315" s="10">
        <v>2396</v>
      </c>
      <c r="B315" s="10">
        <v>1</v>
      </c>
      <c r="C315" s="11" t="s">
        <v>307</v>
      </c>
      <c r="D315" s="12">
        <v>814</v>
      </c>
      <c r="E315" s="12">
        <v>818</v>
      </c>
      <c r="F315" s="12">
        <v>81614.993999999992</v>
      </c>
      <c r="G315" s="13">
        <v>85910.51999999999</v>
      </c>
      <c r="H315" s="1">
        <f t="shared" si="32"/>
        <v>4295.525999999998</v>
      </c>
      <c r="I315" s="1">
        <f t="shared" si="33"/>
        <v>5.2770589680589657</v>
      </c>
      <c r="J315" s="12">
        <v>82008.29399999998</v>
      </c>
      <c r="K315" s="13">
        <v>85192</v>
      </c>
      <c r="L315" s="1">
        <f t="shared" si="34"/>
        <v>3183.7060000000201</v>
      </c>
      <c r="M315" s="1">
        <f t="shared" si="35"/>
        <v>3.892061124694401</v>
      </c>
      <c r="N315" s="12">
        <v>1096049</v>
      </c>
      <c r="O315" s="12">
        <v>1096049</v>
      </c>
      <c r="P315" s="1">
        <f t="shared" si="36"/>
        <v>0</v>
      </c>
      <c r="Q315" s="1">
        <f t="shared" si="37"/>
        <v>0</v>
      </c>
      <c r="R315" s="12">
        <v>79028</v>
      </c>
      <c r="S315" s="12">
        <v>79028</v>
      </c>
      <c r="T315" s="1">
        <f t="shared" si="38"/>
        <v>0</v>
      </c>
      <c r="U315" s="1">
        <f t="shared" si="39"/>
        <v>0</v>
      </c>
    </row>
    <row r="316" spans="1:21" x14ac:dyDescent="0.25">
      <c r="A316" s="10">
        <v>2397</v>
      </c>
      <c r="B316" s="10">
        <v>1</v>
      </c>
      <c r="C316" s="11" t="s">
        <v>308</v>
      </c>
      <c r="D316" s="12">
        <v>1106</v>
      </c>
      <c r="E316" s="12">
        <v>1112</v>
      </c>
      <c r="F316" s="12">
        <v>0</v>
      </c>
      <c r="G316" s="13">
        <v>0</v>
      </c>
      <c r="H316" s="1">
        <f t="shared" si="32"/>
        <v>0</v>
      </c>
      <c r="I316" s="1">
        <f t="shared" si="33"/>
        <v>0</v>
      </c>
      <c r="J316" s="12">
        <v>0</v>
      </c>
      <c r="K316" s="13">
        <v>0</v>
      </c>
      <c r="L316" s="1">
        <f t="shared" si="34"/>
        <v>0</v>
      </c>
      <c r="M316" s="1">
        <f t="shared" si="35"/>
        <v>0</v>
      </c>
      <c r="N316" s="12">
        <v>403149</v>
      </c>
      <c r="O316" s="12">
        <v>403149</v>
      </c>
      <c r="P316" s="1">
        <f t="shared" si="36"/>
        <v>0</v>
      </c>
      <c r="Q316" s="1">
        <f t="shared" si="37"/>
        <v>0</v>
      </c>
      <c r="R316" s="12">
        <v>152928</v>
      </c>
      <c r="S316" s="12">
        <v>152928</v>
      </c>
      <c r="T316" s="1">
        <f t="shared" si="38"/>
        <v>0</v>
      </c>
      <c r="U316" s="1">
        <f t="shared" si="39"/>
        <v>0</v>
      </c>
    </row>
    <row r="317" spans="1:21" x14ac:dyDescent="0.25">
      <c r="A317" s="10">
        <v>2448</v>
      </c>
      <c r="B317" s="10">
        <v>1</v>
      </c>
      <c r="C317" s="11" t="s">
        <v>309</v>
      </c>
      <c r="D317" s="12">
        <v>725</v>
      </c>
      <c r="E317" s="12">
        <v>715</v>
      </c>
      <c r="F317" s="12">
        <v>73221.097999999998</v>
      </c>
      <c r="G317" s="13">
        <v>35925</v>
      </c>
      <c r="H317" s="1">
        <f t="shared" si="32"/>
        <v>-37296.097999999998</v>
      </c>
      <c r="I317" s="1">
        <f t="shared" si="33"/>
        <v>-51.442893793103444</v>
      </c>
      <c r="J317" s="12">
        <v>72361.956000000006</v>
      </c>
      <c r="K317" s="13">
        <v>37150</v>
      </c>
      <c r="L317" s="1">
        <f t="shared" si="34"/>
        <v>-35211.956000000006</v>
      </c>
      <c r="M317" s="1">
        <f t="shared" si="35"/>
        <v>-49.247490909090914</v>
      </c>
      <c r="N317" s="12">
        <v>1147793</v>
      </c>
      <c r="O317" s="12">
        <v>1147793</v>
      </c>
      <c r="P317" s="1">
        <f t="shared" si="36"/>
        <v>0</v>
      </c>
      <c r="Q317" s="1">
        <f t="shared" si="37"/>
        <v>0</v>
      </c>
      <c r="R317" s="12">
        <v>62337</v>
      </c>
      <c r="S317" s="12">
        <v>62337</v>
      </c>
      <c r="T317" s="1">
        <f t="shared" si="38"/>
        <v>0</v>
      </c>
      <c r="U317" s="1">
        <f t="shared" si="39"/>
        <v>0</v>
      </c>
    </row>
    <row r="318" spans="1:21" x14ac:dyDescent="0.25">
      <c r="A318" s="10">
        <v>2527</v>
      </c>
      <c r="B318" s="10">
        <v>1</v>
      </c>
      <c r="C318" s="11" t="s">
        <v>310</v>
      </c>
      <c r="D318" s="12">
        <v>259</v>
      </c>
      <c r="E318" s="12">
        <v>252</v>
      </c>
      <c r="F318" s="12">
        <v>0</v>
      </c>
      <c r="G318" s="13">
        <v>0</v>
      </c>
      <c r="H318" s="1">
        <f t="shared" si="32"/>
        <v>0</v>
      </c>
      <c r="I318" s="1">
        <f t="shared" si="33"/>
        <v>0</v>
      </c>
      <c r="J318" s="12">
        <v>0</v>
      </c>
      <c r="K318" s="13">
        <v>0</v>
      </c>
      <c r="L318" s="1">
        <f t="shared" si="34"/>
        <v>0</v>
      </c>
      <c r="M318" s="1">
        <f t="shared" si="35"/>
        <v>0</v>
      </c>
      <c r="N318" s="12">
        <v>466692</v>
      </c>
      <c r="O318" s="12">
        <v>466692</v>
      </c>
      <c r="P318" s="1">
        <f t="shared" si="36"/>
        <v>0</v>
      </c>
      <c r="Q318" s="1">
        <f t="shared" si="37"/>
        <v>0</v>
      </c>
      <c r="R318" s="12">
        <v>19526</v>
      </c>
      <c r="S318" s="12">
        <v>19526</v>
      </c>
      <c r="T318" s="1">
        <f t="shared" si="38"/>
        <v>0</v>
      </c>
      <c r="U318" s="1">
        <f t="shared" si="39"/>
        <v>0</v>
      </c>
    </row>
    <row r="319" spans="1:21" x14ac:dyDescent="0.25">
      <c r="A319" s="10">
        <v>2534</v>
      </c>
      <c r="B319" s="10">
        <v>1</v>
      </c>
      <c r="C319" s="11" t="s">
        <v>311</v>
      </c>
      <c r="D319" s="12">
        <v>670</v>
      </c>
      <c r="E319" s="12">
        <v>656</v>
      </c>
      <c r="F319" s="12">
        <v>68591.51999999999</v>
      </c>
      <c r="G319" s="13">
        <v>72201.600000000006</v>
      </c>
      <c r="H319" s="1">
        <f t="shared" si="32"/>
        <v>3610.0800000000163</v>
      </c>
      <c r="I319" s="1">
        <f t="shared" si="33"/>
        <v>5.3881791044776364</v>
      </c>
      <c r="J319" s="12">
        <v>67113.585999999996</v>
      </c>
      <c r="K319" s="13">
        <v>35000</v>
      </c>
      <c r="L319" s="1">
        <f t="shared" si="34"/>
        <v>-32113.585999999996</v>
      </c>
      <c r="M319" s="1">
        <f t="shared" si="35"/>
        <v>-48.953637195121942</v>
      </c>
      <c r="N319" s="12">
        <v>563353</v>
      </c>
      <c r="O319" s="12">
        <v>563353</v>
      </c>
      <c r="P319" s="1">
        <f t="shared" si="36"/>
        <v>0</v>
      </c>
      <c r="Q319" s="1">
        <f t="shared" si="37"/>
        <v>0</v>
      </c>
      <c r="R319" s="12">
        <v>79413</v>
      </c>
      <c r="S319" s="12">
        <v>79413</v>
      </c>
      <c r="T319" s="1">
        <f t="shared" si="38"/>
        <v>0</v>
      </c>
      <c r="U319" s="1">
        <f t="shared" si="39"/>
        <v>0</v>
      </c>
    </row>
    <row r="320" spans="1:21" x14ac:dyDescent="0.25">
      <c r="A320" s="10">
        <v>2536</v>
      </c>
      <c r="B320" s="10">
        <v>1</v>
      </c>
      <c r="C320" s="11" t="s">
        <v>312</v>
      </c>
      <c r="D320" s="12">
        <v>220</v>
      </c>
      <c r="E320" s="12">
        <v>208</v>
      </c>
      <c r="F320" s="12">
        <v>0</v>
      </c>
      <c r="G320" s="13">
        <v>0</v>
      </c>
      <c r="H320" s="1">
        <f t="shared" si="32"/>
        <v>0</v>
      </c>
      <c r="I320" s="1">
        <f t="shared" si="33"/>
        <v>0</v>
      </c>
      <c r="J320" s="12">
        <v>0</v>
      </c>
      <c r="K320" s="13">
        <v>0</v>
      </c>
      <c r="L320" s="1">
        <f t="shared" si="34"/>
        <v>0</v>
      </c>
      <c r="M320" s="1">
        <f t="shared" si="35"/>
        <v>0</v>
      </c>
      <c r="N320" s="12">
        <v>538916</v>
      </c>
      <c r="O320" s="12">
        <v>538916</v>
      </c>
      <c r="P320" s="1">
        <f t="shared" si="36"/>
        <v>0</v>
      </c>
      <c r="Q320" s="1">
        <f t="shared" si="37"/>
        <v>0</v>
      </c>
      <c r="R320" s="12">
        <v>11241</v>
      </c>
      <c r="S320" s="12">
        <v>11241</v>
      </c>
      <c r="T320" s="1">
        <f t="shared" si="38"/>
        <v>0</v>
      </c>
      <c r="U320" s="1">
        <f t="shared" si="39"/>
        <v>0</v>
      </c>
    </row>
    <row r="321" spans="1:21" x14ac:dyDescent="0.25">
      <c r="A321" s="10">
        <v>2580</v>
      </c>
      <c r="B321" s="10">
        <v>1</v>
      </c>
      <c r="C321" s="11" t="s">
        <v>313</v>
      </c>
      <c r="D321" s="12">
        <v>676</v>
      </c>
      <c r="E321" s="12">
        <v>660</v>
      </c>
      <c r="F321" s="12">
        <v>0</v>
      </c>
      <c r="G321" s="13">
        <v>0</v>
      </c>
      <c r="H321" s="1">
        <f t="shared" si="32"/>
        <v>0</v>
      </c>
      <c r="I321" s="1">
        <f t="shared" si="33"/>
        <v>0</v>
      </c>
      <c r="J321" s="12">
        <v>0</v>
      </c>
      <c r="K321" s="13">
        <v>0</v>
      </c>
      <c r="L321" s="1">
        <f t="shared" si="34"/>
        <v>0</v>
      </c>
      <c r="M321" s="1">
        <f t="shared" si="35"/>
        <v>0</v>
      </c>
      <c r="N321" s="12">
        <v>107701</v>
      </c>
      <c r="O321" s="12">
        <v>107701</v>
      </c>
      <c r="P321" s="1">
        <f t="shared" si="36"/>
        <v>0</v>
      </c>
      <c r="Q321" s="1">
        <f t="shared" si="37"/>
        <v>0</v>
      </c>
      <c r="R321" s="12">
        <v>98125</v>
      </c>
      <c r="S321" s="12">
        <v>98125</v>
      </c>
      <c r="T321" s="1">
        <f t="shared" si="38"/>
        <v>0</v>
      </c>
      <c r="U321" s="1">
        <f t="shared" si="39"/>
        <v>0</v>
      </c>
    </row>
    <row r="322" spans="1:21" x14ac:dyDescent="0.25">
      <c r="A322" s="10">
        <v>2609</v>
      </c>
      <c r="B322" s="10">
        <v>1</v>
      </c>
      <c r="C322" s="11" t="s">
        <v>314</v>
      </c>
      <c r="D322" s="12">
        <v>419</v>
      </c>
      <c r="E322" s="12">
        <v>409</v>
      </c>
      <c r="F322" s="12">
        <v>0</v>
      </c>
      <c r="G322" s="13">
        <v>0</v>
      </c>
      <c r="H322" s="1">
        <f t="shared" si="32"/>
        <v>0</v>
      </c>
      <c r="I322" s="1">
        <f t="shared" si="33"/>
        <v>0</v>
      </c>
      <c r="J322" s="12">
        <v>0</v>
      </c>
      <c r="K322" s="13">
        <v>0</v>
      </c>
      <c r="L322" s="1">
        <f t="shared" si="34"/>
        <v>0</v>
      </c>
      <c r="M322" s="1">
        <f t="shared" si="35"/>
        <v>0</v>
      </c>
      <c r="N322" s="12">
        <v>460958</v>
      </c>
      <c r="O322" s="12">
        <v>460958</v>
      </c>
      <c r="P322" s="1">
        <f t="shared" si="36"/>
        <v>0</v>
      </c>
      <c r="Q322" s="1">
        <f t="shared" si="37"/>
        <v>0</v>
      </c>
      <c r="R322" s="12">
        <v>44491</v>
      </c>
      <c r="S322" s="12">
        <v>44491</v>
      </c>
      <c r="T322" s="1">
        <f t="shared" si="38"/>
        <v>0</v>
      </c>
      <c r="U322" s="1">
        <f t="shared" si="39"/>
        <v>0</v>
      </c>
    </row>
    <row r="323" spans="1:21" x14ac:dyDescent="0.25">
      <c r="A323" s="10">
        <v>2683</v>
      </c>
      <c r="B323" s="10">
        <v>1</v>
      </c>
      <c r="C323" s="11" t="s">
        <v>315</v>
      </c>
      <c r="D323" s="12">
        <v>413</v>
      </c>
      <c r="E323" s="12">
        <v>402</v>
      </c>
      <c r="F323" s="12">
        <v>0</v>
      </c>
      <c r="G323" s="13">
        <v>0</v>
      </c>
      <c r="H323" s="1">
        <f t="shared" si="32"/>
        <v>0</v>
      </c>
      <c r="I323" s="1">
        <f t="shared" si="33"/>
        <v>0</v>
      </c>
      <c r="J323" s="12">
        <v>0</v>
      </c>
      <c r="K323" s="13">
        <v>0</v>
      </c>
      <c r="L323" s="1">
        <f t="shared" si="34"/>
        <v>0</v>
      </c>
      <c r="M323" s="1">
        <f t="shared" si="35"/>
        <v>0</v>
      </c>
      <c r="N323" s="12">
        <v>304967</v>
      </c>
      <c r="O323" s="12">
        <v>304967</v>
      </c>
      <c r="P323" s="1">
        <f t="shared" si="36"/>
        <v>0</v>
      </c>
      <c r="Q323" s="1">
        <f t="shared" si="37"/>
        <v>0</v>
      </c>
      <c r="R323" s="12">
        <v>50788</v>
      </c>
      <c r="S323" s="12">
        <v>50788</v>
      </c>
      <c r="T323" s="1">
        <f t="shared" si="38"/>
        <v>0</v>
      </c>
      <c r="U323" s="1">
        <f t="shared" si="39"/>
        <v>0</v>
      </c>
    </row>
    <row r="324" spans="1:21" x14ac:dyDescent="0.25">
      <c r="A324" s="10">
        <v>2687</v>
      </c>
      <c r="B324" s="10">
        <v>1</v>
      </c>
      <c r="C324" s="11" t="s">
        <v>316</v>
      </c>
      <c r="D324" s="12">
        <v>1055</v>
      </c>
      <c r="E324" s="12">
        <v>1067</v>
      </c>
      <c r="F324" s="12">
        <v>0</v>
      </c>
      <c r="G324" s="13">
        <v>0</v>
      </c>
      <c r="H324" s="1">
        <f t="shared" si="32"/>
        <v>0</v>
      </c>
      <c r="I324" s="1">
        <f t="shared" si="33"/>
        <v>0</v>
      </c>
      <c r="J324" s="12">
        <v>0</v>
      </c>
      <c r="K324" s="13">
        <v>0</v>
      </c>
      <c r="L324" s="1">
        <f t="shared" si="34"/>
        <v>0</v>
      </c>
      <c r="M324" s="1">
        <f t="shared" si="35"/>
        <v>0</v>
      </c>
      <c r="N324" s="12">
        <v>800019</v>
      </c>
      <c r="O324" s="12">
        <v>800019</v>
      </c>
      <c r="P324" s="1">
        <f t="shared" si="36"/>
        <v>0</v>
      </c>
      <c r="Q324" s="1">
        <f t="shared" si="37"/>
        <v>0</v>
      </c>
      <c r="R324" s="12">
        <v>127832</v>
      </c>
      <c r="S324" s="12">
        <v>127832</v>
      </c>
      <c r="T324" s="1">
        <f t="shared" si="38"/>
        <v>0</v>
      </c>
      <c r="U324" s="1">
        <f t="shared" si="39"/>
        <v>0</v>
      </c>
    </row>
    <row r="325" spans="1:21" x14ac:dyDescent="0.25">
      <c r="A325" s="10">
        <v>2689</v>
      </c>
      <c r="B325" s="10">
        <v>1</v>
      </c>
      <c r="C325" s="11" t="s">
        <v>317</v>
      </c>
      <c r="D325" s="12">
        <v>1120</v>
      </c>
      <c r="E325" s="12">
        <v>1086</v>
      </c>
      <c r="F325" s="12">
        <v>0</v>
      </c>
      <c r="G325" s="13">
        <v>0</v>
      </c>
      <c r="H325" s="1">
        <f t="shared" si="32"/>
        <v>0</v>
      </c>
      <c r="I325" s="1">
        <f t="shared" si="33"/>
        <v>0</v>
      </c>
      <c r="J325" s="12">
        <v>0</v>
      </c>
      <c r="K325" s="13">
        <v>0</v>
      </c>
      <c r="L325" s="1">
        <f t="shared" si="34"/>
        <v>0</v>
      </c>
      <c r="M325" s="1">
        <f t="shared" si="35"/>
        <v>0</v>
      </c>
      <c r="N325" s="12">
        <v>1439492</v>
      </c>
      <c r="O325" s="12">
        <v>1439492</v>
      </c>
      <c r="P325" s="1">
        <f t="shared" si="36"/>
        <v>0</v>
      </c>
      <c r="Q325" s="1">
        <f t="shared" si="37"/>
        <v>0</v>
      </c>
      <c r="R325" s="12">
        <v>108246</v>
      </c>
      <c r="S325" s="12">
        <v>108246</v>
      </c>
      <c r="T325" s="1">
        <f t="shared" si="38"/>
        <v>0</v>
      </c>
      <c r="U325" s="1">
        <f t="shared" si="39"/>
        <v>0</v>
      </c>
    </row>
    <row r="326" spans="1:21" x14ac:dyDescent="0.25">
      <c r="A326" s="10">
        <v>2711</v>
      </c>
      <c r="B326" s="10">
        <v>1</v>
      </c>
      <c r="C326" s="11" t="s">
        <v>318</v>
      </c>
      <c r="D326" s="12">
        <v>879</v>
      </c>
      <c r="E326" s="12">
        <v>880</v>
      </c>
      <c r="F326" s="12">
        <v>0</v>
      </c>
      <c r="G326" s="13">
        <v>0</v>
      </c>
      <c r="H326" s="1">
        <f t="shared" si="32"/>
        <v>0</v>
      </c>
      <c r="I326" s="1">
        <f t="shared" si="33"/>
        <v>0</v>
      </c>
      <c r="J326" s="12">
        <v>0</v>
      </c>
      <c r="K326" s="13">
        <v>0</v>
      </c>
      <c r="L326" s="1">
        <f t="shared" si="34"/>
        <v>0</v>
      </c>
      <c r="M326" s="1">
        <f t="shared" si="35"/>
        <v>0</v>
      </c>
      <c r="N326" s="12">
        <v>0</v>
      </c>
      <c r="O326" s="12">
        <v>0</v>
      </c>
      <c r="P326" s="1">
        <f t="shared" si="36"/>
        <v>0</v>
      </c>
      <c r="Q326" s="1">
        <f t="shared" si="37"/>
        <v>0</v>
      </c>
      <c r="R326" s="12">
        <v>160074</v>
      </c>
      <c r="S326" s="12">
        <v>160074</v>
      </c>
      <c r="T326" s="1">
        <f t="shared" si="38"/>
        <v>0</v>
      </c>
      <c r="U326" s="1">
        <f t="shared" si="39"/>
        <v>0</v>
      </c>
    </row>
    <row r="327" spans="1:21" x14ac:dyDescent="0.25">
      <c r="A327" s="10">
        <v>2752</v>
      </c>
      <c r="B327" s="10">
        <v>1</v>
      </c>
      <c r="C327" s="11" t="s">
        <v>319</v>
      </c>
      <c r="D327" s="12">
        <v>1769</v>
      </c>
      <c r="E327" s="12">
        <v>1748</v>
      </c>
      <c r="F327" s="12">
        <v>0</v>
      </c>
      <c r="G327" s="13">
        <v>0</v>
      </c>
      <c r="H327" s="1">
        <f t="shared" si="32"/>
        <v>0</v>
      </c>
      <c r="I327" s="1">
        <f t="shared" si="33"/>
        <v>0</v>
      </c>
      <c r="J327" s="12">
        <v>0</v>
      </c>
      <c r="K327" s="13">
        <v>0</v>
      </c>
      <c r="L327" s="1">
        <f t="shared" si="34"/>
        <v>0</v>
      </c>
      <c r="M327" s="1">
        <f t="shared" si="35"/>
        <v>0</v>
      </c>
      <c r="N327" s="12">
        <v>1022305</v>
      </c>
      <c r="O327" s="12">
        <v>1022305</v>
      </c>
      <c r="P327" s="1">
        <f t="shared" si="36"/>
        <v>0</v>
      </c>
      <c r="Q327" s="1">
        <f t="shared" si="37"/>
        <v>0</v>
      </c>
      <c r="R327" s="12">
        <v>229095</v>
      </c>
      <c r="S327" s="12">
        <v>229095</v>
      </c>
      <c r="T327" s="1">
        <f t="shared" si="38"/>
        <v>0</v>
      </c>
      <c r="U327" s="1">
        <f t="shared" si="39"/>
        <v>0</v>
      </c>
    </row>
    <row r="328" spans="1:21" x14ac:dyDescent="0.25">
      <c r="A328" s="10">
        <v>2753</v>
      </c>
      <c r="B328" s="10">
        <v>1</v>
      </c>
      <c r="C328" s="11" t="s">
        <v>320</v>
      </c>
      <c r="D328" s="12">
        <v>985</v>
      </c>
      <c r="E328" s="12">
        <v>967</v>
      </c>
      <c r="F328" s="12">
        <v>140384.7015</v>
      </c>
      <c r="G328" s="13">
        <v>144609</v>
      </c>
      <c r="H328" s="1">
        <f t="shared" si="32"/>
        <v>4224.2985000000044</v>
      </c>
      <c r="I328" s="1">
        <f t="shared" si="33"/>
        <v>4.2886279187817307</v>
      </c>
      <c r="J328" s="12">
        <v>137406.7365</v>
      </c>
      <c r="K328" s="13">
        <v>144638.67000000001</v>
      </c>
      <c r="L328" s="1">
        <f t="shared" si="34"/>
        <v>7231.9335000000137</v>
      </c>
      <c r="M328" s="1">
        <f t="shared" si="35"/>
        <v>7.4787316442606144</v>
      </c>
      <c r="N328" s="12">
        <v>934892</v>
      </c>
      <c r="O328" s="12">
        <v>934892</v>
      </c>
      <c r="P328" s="1">
        <f t="shared" si="36"/>
        <v>0</v>
      </c>
      <c r="Q328" s="1">
        <f t="shared" si="37"/>
        <v>0</v>
      </c>
      <c r="R328" s="12">
        <v>111157</v>
      </c>
      <c r="S328" s="12">
        <v>111157</v>
      </c>
      <c r="T328" s="1">
        <f t="shared" si="38"/>
        <v>0</v>
      </c>
      <c r="U328" s="1">
        <f t="shared" si="39"/>
        <v>0</v>
      </c>
    </row>
    <row r="329" spans="1:21" x14ac:dyDescent="0.25">
      <c r="A329" s="10">
        <v>2754</v>
      </c>
      <c r="B329" s="10">
        <v>1</v>
      </c>
      <c r="C329" s="11" t="s">
        <v>321</v>
      </c>
      <c r="D329" s="12">
        <v>480</v>
      </c>
      <c r="E329" s="12">
        <v>489</v>
      </c>
      <c r="F329" s="12">
        <v>48792.797999999995</v>
      </c>
      <c r="G329" s="13">
        <v>42000</v>
      </c>
      <c r="H329" s="1">
        <f t="shared" si="32"/>
        <v>-6792.7979999999952</v>
      </c>
      <c r="I329" s="1">
        <f t="shared" si="33"/>
        <v>-14.15166249999999</v>
      </c>
      <c r="J329" s="12">
        <v>49883.55</v>
      </c>
      <c r="K329" s="13">
        <v>42000</v>
      </c>
      <c r="L329" s="1">
        <f t="shared" si="34"/>
        <v>-7883.5500000000029</v>
      </c>
      <c r="M329" s="1">
        <f t="shared" si="35"/>
        <v>-16.121779141104302</v>
      </c>
      <c r="N329" s="12">
        <v>337358</v>
      </c>
      <c r="O329" s="12">
        <v>337358</v>
      </c>
      <c r="P329" s="1">
        <f t="shared" si="36"/>
        <v>0</v>
      </c>
      <c r="Q329" s="1">
        <f t="shared" si="37"/>
        <v>0</v>
      </c>
      <c r="R329" s="12">
        <v>62105</v>
      </c>
      <c r="S329" s="12">
        <v>62105</v>
      </c>
      <c r="T329" s="1">
        <f t="shared" si="38"/>
        <v>0</v>
      </c>
      <c r="U329" s="1">
        <f t="shared" si="39"/>
        <v>0</v>
      </c>
    </row>
    <row r="330" spans="1:21" x14ac:dyDescent="0.25">
      <c r="A330" s="10">
        <v>2759</v>
      </c>
      <c r="B330" s="10">
        <v>1</v>
      </c>
      <c r="C330" s="11" t="s">
        <v>322</v>
      </c>
      <c r="D330" s="12">
        <v>295</v>
      </c>
      <c r="E330" s="12">
        <v>302</v>
      </c>
      <c r="F330" s="12">
        <v>29866.328000000001</v>
      </c>
      <c r="G330" s="13">
        <v>31000</v>
      </c>
      <c r="H330" s="1">
        <f t="shared" si="32"/>
        <v>1133.6719999999987</v>
      </c>
      <c r="I330" s="1">
        <f t="shared" si="33"/>
        <v>3.8429559322033855</v>
      </c>
      <c r="J330" s="12">
        <v>29405.729999999996</v>
      </c>
      <c r="K330" s="13">
        <v>0</v>
      </c>
      <c r="L330" s="1">
        <f t="shared" si="34"/>
        <v>-29405.729999999996</v>
      </c>
      <c r="M330" s="1">
        <f t="shared" si="35"/>
        <v>-97.369966887417206</v>
      </c>
      <c r="N330" s="12">
        <v>352912</v>
      </c>
      <c r="O330" s="12">
        <v>352912</v>
      </c>
      <c r="P330" s="1">
        <f t="shared" si="36"/>
        <v>0</v>
      </c>
      <c r="Q330" s="1">
        <f t="shared" si="37"/>
        <v>0</v>
      </c>
      <c r="R330" s="12">
        <v>30208</v>
      </c>
      <c r="S330" s="12">
        <v>30208</v>
      </c>
      <c r="T330" s="1">
        <f t="shared" si="38"/>
        <v>0</v>
      </c>
      <c r="U330" s="1">
        <f t="shared" si="39"/>
        <v>0</v>
      </c>
    </row>
    <row r="331" spans="1:21" x14ac:dyDescent="0.25">
      <c r="A331" s="10">
        <v>2805</v>
      </c>
      <c r="B331" s="10">
        <v>1</v>
      </c>
      <c r="C331" s="11" t="s">
        <v>323</v>
      </c>
      <c r="D331" s="12">
        <v>1092</v>
      </c>
      <c r="E331" s="12">
        <v>1091</v>
      </c>
      <c r="F331" s="12">
        <v>109156.482</v>
      </c>
      <c r="G331" s="13">
        <v>58140</v>
      </c>
      <c r="H331" s="1">
        <f t="shared" si="32"/>
        <v>-51016.482000000004</v>
      </c>
      <c r="I331" s="1">
        <f t="shared" si="33"/>
        <v>-46.718390109890116</v>
      </c>
      <c r="J331" s="12">
        <v>109050.728</v>
      </c>
      <c r="K331" s="13">
        <v>40000</v>
      </c>
      <c r="L331" s="1">
        <f t="shared" si="34"/>
        <v>-69050.728000000003</v>
      </c>
      <c r="M331" s="1">
        <f t="shared" si="35"/>
        <v>-63.291226397800187</v>
      </c>
      <c r="N331" s="12">
        <v>1172053</v>
      </c>
      <c r="O331" s="12">
        <v>1172053</v>
      </c>
      <c r="P331" s="1">
        <f t="shared" si="36"/>
        <v>0</v>
      </c>
      <c r="Q331" s="1">
        <f t="shared" si="37"/>
        <v>0</v>
      </c>
      <c r="R331" s="12">
        <v>117288</v>
      </c>
      <c r="S331" s="12">
        <v>117288</v>
      </c>
      <c r="T331" s="1">
        <f t="shared" si="38"/>
        <v>0</v>
      </c>
      <c r="U331" s="1">
        <f t="shared" si="39"/>
        <v>0</v>
      </c>
    </row>
    <row r="332" spans="1:21" x14ac:dyDescent="0.25">
      <c r="A332" s="10">
        <v>2835</v>
      </c>
      <c r="B332" s="10">
        <v>1</v>
      </c>
      <c r="C332" s="14" t="s">
        <v>324</v>
      </c>
      <c r="D332" s="12">
        <v>539</v>
      </c>
      <c r="E332" s="12">
        <v>532</v>
      </c>
      <c r="F332" s="12">
        <v>0</v>
      </c>
      <c r="G332" s="13">
        <v>0</v>
      </c>
      <c r="H332" s="1">
        <f t="shared" si="32"/>
        <v>0</v>
      </c>
      <c r="I332" s="1">
        <f t="shared" si="33"/>
        <v>0</v>
      </c>
      <c r="J332" s="12">
        <v>0</v>
      </c>
      <c r="K332" s="13">
        <v>0</v>
      </c>
      <c r="L332" s="1">
        <f t="shared" si="34"/>
        <v>0</v>
      </c>
      <c r="M332" s="1">
        <f t="shared" si="35"/>
        <v>0</v>
      </c>
      <c r="N332" s="12">
        <v>459483</v>
      </c>
      <c r="O332" s="12">
        <v>459483</v>
      </c>
      <c r="P332" s="1">
        <f t="shared" si="36"/>
        <v>0</v>
      </c>
      <c r="Q332" s="1">
        <f t="shared" si="37"/>
        <v>0</v>
      </c>
      <c r="R332" s="12">
        <v>63216</v>
      </c>
      <c r="S332" s="12">
        <v>63216</v>
      </c>
      <c r="T332" s="1">
        <f t="shared" si="38"/>
        <v>0</v>
      </c>
      <c r="U332" s="1">
        <f t="shared" si="39"/>
        <v>0</v>
      </c>
    </row>
    <row r="333" spans="1:21" x14ac:dyDescent="0.25">
      <c r="A333" s="10">
        <v>2853</v>
      </c>
      <c r="B333" s="10">
        <v>1</v>
      </c>
      <c r="C333" s="11" t="s">
        <v>325</v>
      </c>
      <c r="D333" s="12">
        <v>778</v>
      </c>
      <c r="E333" s="12">
        <v>767</v>
      </c>
      <c r="F333" s="12">
        <v>0</v>
      </c>
      <c r="G333" s="13">
        <v>0</v>
      </c>
      <c r="H333" s="1">
        <f t="shared" ref="H333:H396" si="40">G333-F333</f>
        <v>0</v>
      </c>
      <c r="I333" s="1">
        <f t="shared" ref="I333:I396" si="41">IF(D333=0,0,H333/D333)</f>
        <v>0</v>
      </c>
      <c r="J333" s="12">
        <v>0</v>
      </c>
      <c r="K333" s="13">
        <v>0</v>
      </c>
      <c r="L333" s="1">
        <f t="shared" ref="L333:L396" si="42">K333-J333</f>
        <v>0</v>
      </c>
      <c r="M333" s="1">
        <f t="shared" ref="M333:M396" si="43">IF(E333=0,0,L333/E333)</f>
        <v>0</v>
      </c>
      <c r="N333" s="12">
        <v>1105005</v>
      </c>
      <c r="O333" s="12">
        <v>1105005</v>
      </c>
      <c r="P333" s="1">
        <f t="shared" ref="P333:P396" si="44">O333-N333</f>
        <v>0</v>
      </c>
      <c r="Q333" s="1">
        <f t="shared" ref="Q333:Q396" si="45">IF(E333=0,0,P333/E333)</f>
        <v>0</v>
      </c>
      <c r="R333" s="12">
        <v>72013</v>
      </c>
      <c r="S333" s="12">
        <v>72013</v>
      </c>
      <c r="T333" s="1">
        <f t="shared" ref="T333:T396" si="46">S333-R333</f>
        <v>0</v>
      </c>
      <c r="U333" s="1">
        <f t="shared" ref="U333:U396" si="47">IF(E333=0,0,T333/E333)</f>
        <v>0</v>
      </c>
    </row>
    <row r="334" spans="1:21" x14ac:dyDescent="0.25">
      <c r="A334" s="10">
        <v>2854</v>
      </c>
      <c r="B334" s="10">
        <v>1</v>
      </c>
      <c r="C334" s="11" t="s">
        <v>326</v>
      </c>
      <c r="D334" s="12">
        <v>532</v>
      </c>
      <c r="E334" s="12">
        <v>521</v>
      </c>
      <c r="F334" s="12">
        <v>0</v>
      </c>
      <c r="G334" s="13">
        <v>0</v>
      </c>
      <c r="H334" s="1">
        <f t="shared" si="40"/>
        <v>0</v>
      </c>
      <c r="I334" s="1">
        <f t="shared" si="41"/>
        <v>0</v>
      </c>
      <c r="J334" s="12">
        <v>0</v>
      </c>
      <c r="K334" s="13">
        <v>0</v>
      </c>
      <c r="L334" s="1">
        <f t="shared" si="42"/>
        <v>0</v>
      </c>
      <c r="M334" s="1">
        <f t="shared" si="43"/>
        <v>0</v>
      </c>
      <c r="N334" s="12">
        <v>452730</v>
      </c>
      <c r="O334" s="12">
        <v>452730</v>
      </c>
      <c r="P334" s="1">
        <f t="shared" si="44"/>
        <v>0</v>
      </c>
      <c r="Q334" s="1">
        <f t="shared" si="45"/>
        <v>0</v>
      </c>
      <c r="R334" s="12">
        <v>61827</v>
      </c>
      <c r="S334" s="12">
        <v>61827</v>
      </c>
      <c r="T334" s="1">
        <f t="shared" si="46"/>
        <v>0</v>
      </c>
      <c r="U334" s="1">
        <f t="shared" si="47"/>
        <v>0</v>
      </c>
    </row>
    <row r="335" spans="1:21" x14ac:dyDescent="0.25">
      <c r="A335" s="10">
        <v>2856</v>
      </c>
      <c r="B335" s="10">
        <v>1</v>
      </c>
      <c r="C335" s="11" t="s">
        <v>327</v>
      </c>
      <c r="D335" s="12">
        <v>341</v>
      </c>
      <c r="E335" s="12">
        <v>329</v>
      </c>
      <c r="F335" s="12">
        <v>0</v>
      </c>
      <c r="G335" s="13">
        <v>0</v>
      </c>
      <c r="H335" s="1">
        <f t="shared" si="40"/>
        <v>0</v>
      </c>
      <c r="I335" s="1">
        <f t="shared" si="41"/>
        <v>0</v>
      </c>
      <c r="J335" s="12">
        <v>0</v>
      </c>
      <c r="K335" s="13">
        <v>0</v>
      </c>
      <c r="L335" s="1">
        <f t="shared" si="42"/>
        <v>0</v>
      </c>
      <c r="M335" s="1">
        <f t="shared" si="43"/>
        <v>0</v>
      </c>
      <c r="N335" s="12">
        <v>387140</v>
      </c>
      <c r="O335" s="12">
        <v>387140</v>
      </c>
      <c r="P335" s="1">
        <f t="shared" si="44"/>
        <v>0</v>
      </c>
      <c r="Q335" s="1">
        <f t="shared" si="45"/>
        <v>0</v>
      </c>
      <c r="R335" s="12">
        <v>35380</v>
      </c>
      <c r="S335" s="12">
        <v>35380</v>
      </c>
      <c r="T335" s="1">
        <f t="shared" si="46"/>
        <v>0</v>
      </c>
      <c r="U335" s="1">
        <f t="shared" si="47"/>
        <v>0</v>
      </c>
    </row>
    <row r="336" spans="1:21" x14ac:dyDescent="0.25">
      <c r="A336" s="10">
        <v>2859</v>
      </c>
      <c r="B336" s="10">
        <v>1</v>
      </c>
      <c r="C336" s="11" t="s">
        <v>328</v>
      </c>
      <c r="D336" s="12">
        <v>1716</v>
      </c>
      <c r="E336" s="12">
        <v>1741</v>
      </c>
      <c r="F336" s="12">
        <v>0</v>
      </c>
      <c r="G336" s="13">
        <v>0</v>
      </c>
      <c r="H336" s="1">
        <f t="shared" si="40"/>
        <v>0</v>
      </c>
      <c r="I336" s="1">
        <f t="shared" si="41"/>
        <v>0</v>
      </c>
      <c r="J336" s="12">
        <v>0</v>
      </c>
      <c r="K336" s="13">
        <v>0</v>
      </c>
      <c r="L336" s="1">
        <f t="shared" si="42"/>
        <v>0</v>
      </c>
      <c r="M336" s="1">
        <f t="shared" si="43"/>
        <v>0</v>
      </c>
      <c r="N336" s="12">
        <v>1628212</v>
      </c>
      <c r="O336" s="12">
        <v>1628212</v>
      </c>
      <c r="P336" s="1">
        <f t="shared" si="44"/>
        <v>0</v>
      </c>
      <c r="Q336" s="1">
        <f t="shared" si="45"/>
        <v>0</v>
      </c>
      <c r="R336" s="12">
        <v>201796</v>
      </c>
      <c r="S336" s="12">
        <v>201796</v>
      </c>
      <c r="T336" s="1">
        <f t="shared" si="46"/>
        <v>0</v>
      </c>
      <c r="U336" s="1">
        <f t="shared" si="47"/>
        <v>0</v>
      </c>
    </row>
    <row r="337" spans="1:21" x14ac:dyDescent="0.25">
      <c r="A337" s="10">
        <v>2860</v>
      </c>
      <c r="B337" s="10">
        <v>1</v>
      </c>
      <c r="C337" s="11" t="s">
        <v>329</v>
      </c>
      <c r="D337" s="12">
        <v>1202</v>
      </c>
      <c r="E337" s="12">
        <v>1180</v>
      </c>
      <c r="F337" s="12">
        <v>0</v>
      </c>
      <c r="G337" s="13">
        <v>0</v>
      </c>
      <c r="H337" s="1">
        <f t="shared" si="40"/>
        <v>0</v>
      </c>
      <c r="I337" s="1">
        <f t="shared" si="41"/>
        <v>0</v>
      </c>
      <c r="J337" s="12">
        <v>0</v>
      </c>
      <c r="K337" s="13">
        <v>0</v>
      </c>
      <c r="L337" s="1">
        <f t="shared" si="42"/>
        <v>0</v>
      </c>
      <c r="M337" s="1">
        <f t="shared" si="43"/>
        <v>0</v>
      </c>
      <c r="N337" s="12">
        <v>893633</v>
      </c>
      <c r="O337" s="12">
        <v>893633</v>
      </c>
      <c r="P337" s="1">
        <f t="shared" si="44"/>
        <v>0</v>
      </c>
      <c r="Q337" s="1">
        <f t="shared" si="45"/>
        <v>0</v>
      </c>
      <c r="R337" s="12">
        <v>146584</v>
      </c>
      <c r="S337" s="12">
        <v>146584</v>
      </c>
      <c r="T337" s="1">
        <f t="shared" si="46"/>
        <v>0</v>
      </c>
      <c r="U337" s="1">
        <f t="shared" si="47"/>
        <v>0</v>
      </c>
    </row>
    <row r="338" spans="1:21" x14ac:dyDescent="0.25">
      <c r="A338" s="10">
        <v>2884</v>
      </c>
      <c r="B338" s="10">
        <v>1</v>
      </c>
      <c r="C338" s="11" t="s">
        <v>330</v>
      </c>
      <c r="D338" s="12">
        <v>403</v>
      </c>
      <c r="E338" s="12">
        <v>393</v>
      </c>
      <c r="F338" s="12">
        <v>41095.479999999996</v>
      </c>
      <c r="G338" s="13">
        <v>43258.400000000001</v>
      </c>
      <c r="H338" s="1">
        <f t="shared" si="40"/>
        <v>2162.9200000000055</v>
      </c>
      <c r="I338" s="1">
        <f t="shared" si="41"/>
        <v>5.3670471464019984</v>
      </c>
      <c r="J338" s="12">
        <v>40148.063999999998</v>
      </c>
      <c r="K338" s="13">
        <v>42261.120000000003</v>
      </c>
      <c r="L338" s="1">
        <f t="shared" si="42"/>
        <v>2113.0560000000041</v>
      </c>
      <c r="M338" s="1">
        <f t="shared" si="43"/>
        <v>5.3767328244274912</v>
      </c>
      <c r="N338" s="12">
        <v>694713</v>
      </c>
      <c r="O338" s="12">
        <v>694713</v>
      </c>
      <c r="P338" s="1">
        <f t="shared" si="44"/>
        <v>0</v>
      </c>
      <c r="Q338" s="1">
        <f t="shared" si="45"/>
        <v>0</v>
      </c>
      <c r="R338" s="12">
        <v>32285</v>
      </c>
      <c r="S338" s="12">
        <v>32285</v>
      </c>
      <c r="T338" s="1">
        <f t="shared" si="46"/>
        <v>0</v>
      </c>
      <c r="U338" s="1">
        <f t="shared" si="47"/>
        <v>0</v>
      </c>
    </row>
    <row r="339" spans="1:21" x14ac:dyDescent="0.25">
      <c r="A339" s="10">
        <v>2886</v>
      </c>
      <c r="B339" s="10">
        <v>1</v>
      </c>
      <c r="C339" s="11" t="s">
        <v>331</v>
      </c>
      <c r="D339" s="12">
        <v>361</v>
      </c>
      <c r="E339" s="12">
        <v>346</v>
      </c>
      <c r="F339" s="12">
        <v>36672.9545</v>
      </c>
      <c r="G339" s="13">
        <v>0</v>
      </c>
      <c r="H339" s="1">
        <f t="shared" si="40"/>
        <v>-36672.9545</v>
      </c>
      <c r="I339" s="1">
        <f t="shared" si="41"/>
        <v>-101.58713157894736</v>
      </c>
      <c r="J339" s="12">
        <v>35067.577999999994</v>
      </c>
      <c r="K339" s="13">
        <v>0</v>
      </c>
      <c r="L339" s="1">
        <f t="shared" si="42"/>
        <v>-35067.577999999994</v>
      </c>
      <c r="M339" s="1">
        <f t="shared" si="43"/>
        <v>-101.35138150289016</v>
      </c>
      <c r="N339" s="12">
        <v>358479</v>
      </c>
      <c r="O339" s="12">
        <v>358479</v>
      </c>
      <c r="P339" s="1">
        <f t="shared" si="44"/>
        <v>0</v>
      </c>
      <c r="Q339" s="1">
        <f t="shared" si="45"/>
        <v>0</v>
      </c>
      <c r="R339" s="12">
        <v>39653</v>
      </c>
      <c r="S339" s="12">
        <v>39653</v>
      </c>
      <c r="T339" s="1">
        <f t="shared" si="46"/>
        <v>0</v>
      </c>
      <c r="U339" s="1">
        <f t="shared" si="47"/>
        <v>0</v>
      </c>
    </row>
    <row r="340" spans="1:21" x14ac:dyDescent="0.25">
      <c r="A340" s="10">
        <v>2888</v>
      </c>
      <c r="B340" s="10">
        <v>1</v>
      </c>
      <c r="C340" s="11" t="s">
        <v>332</v>
      </c>
      <c r="D340" s="12">
        <v>366</v>
      </c>
      <c r="E340" s="12">
        <v>367</v>
      </c>
      <c r="F340" s="12">
        <v>0</v>
      </c>
      <c r="G340" s="13">
        <v>0</v>
      </c>
      <c r="H340" s="1">
        <f t="shared" si="40"/>
        <v>0</v>
      </c>
      <c r="I340" s="1">
        <f t="shared" si="41"/>
        <v>0</v>
      </c>
      <c r="J340" s="12">
        <v>0</v>
      </c>
      <c r="K340" s="13">
        <v>0</v>
      </c>
      <c r="L340" s="1">
        <f t="shared" si="42"/>
        <v>0</v>
      </c>
      <c r="M340" s="1">
        <f t="shared" si="43"/>
        <v>0</v>
      </c>
      <c r="N340" s="12">
        <v>513843</v>
      </c>
      <c r="O340" s="12">
        <v>455013</v>
      </c>
      <c r="P340" s="1">
        <f t="shared" si="44"/>
        <v>-58830</v>
      </c>
      <c r="Q340" s="1">
        <f t="shared" si="45"/>
        <v>-160.29972752043597</v>
      </c>
      <c r="R340" s="12">
        <v>34783</v>
      </c>
      <c r="S340" s="12">
        <v>37289.919999999998</v>
      </c>
      <c r="T340" s="1">
        <f t="shared" si="46"/>
        <v>2506.9199999999983</v>
      </c>
      <c r="U340" s="1">
        <f t="shared" si="47"/>
        <v>6.8308446866484962</v>
      </c>
    </row>
    <row r="341" spans="1:21" x14ac:dyDescent="0.25">
      <c r="A341" s="10">
        <v>2889</v>
      </c>
      <c r="B341" s="10">
        <v>1</v>
      </c>
      <c r="C341" s="11" t="s">
        <v>333</v>
      </c>
      <c r="D341" s="12">
        <v>624</v>
      </c>
      <c r="E341" s="12">
        <v>626</v>
      </c>
      <c r="F341" s="12">
        <v>62578.399999999994</v>
      </c>
      <c r="G341" s="13">
        <v>51908</v>
      </c>
      <c r="H341" s="1">
        <f t="shared" si="40"/>
        <v>-10670.399999999994</v>
      </c>
      <c r="I341" s="1">
        <f t="shared" si="41"/>
        <v>-17.099999999999991</v>
      </c>
      <c r="J341" s="12">
        <v>62776.797999999995</v>
      </c>
      <c r="K341" s="13">
        <v>32631.5</v>
      </c>
      <c r="L341" s="1">
        <f t="shared" si="42"/>
        <v>-30145.297999999995</v>
      </c>
      <c r="M341" s="1">
        <f t="shared" si="43"/>
        <v>-48.155428115015965</v>
      </c>
      <c r="N341" s="12">
        <v>538703</v>
      </c>
      <c r="O341" s="12">
        <v>538703</v>
      </c>
      <c r="P341" s="1">
        <f t="shared" si="44"/>
        <v>0</v>
      </c>
      <c r="Q341" s="1">
        <f t="shared" si="45"/>
        <v>0</v>
      </c>
      <c r="R341" s="12">
        <v>73293</v>
      </c>
      <c r="S341" s="12">
        <v>73293</v>
      </c>
      <c r="T341" s="1">
        <f t="shared" si="46"/>
        <v>0</v>
      </c>
      <c r="U341" s="1">
        <f t="shared" si="47"/>
        <v>0</v>
      </c>
    </row>
    <row r="342" spans="1:21" x14ac:dyDescent="0.25">
      <c r="A342" s="10">
        <v>2890</v>
      </c>
      <c r="B342" s="10">
        <v>1</v>
      </c>
      <c r="C342" s="11" t="s">
        <v>334</v>
      </c>
      <c r="D342" s="12">
        <v>464</v>
      </c>
      <c r="E342" s="12">
        <v>464</v>
      </c>
      <c r="F342" s="12">
        <v>65688.025499999989</v>
      </c>
      <c r="G342" s="13">
        <v>49313.84</v>
      </c>
      <c r="H342" s="1">
        <f t="shared" si="40"/>
        <v>-16374.185499999992</v>
      </c>
      <c r="I342" s="1">
        <f t="shared" si="41"/>
        <v>-35.289192887931016</v>
      </c>
      <c r="J342" s="12">
        <v>65887.781999999992</v>
      </c>
      <c r="K342" s="13">
        <v>54000</v>
      </c>
      <c r="L342" s="1">
        <f t="shared" si="42"/>
        <v>-11887.781999999992</v>
      </c>
      <c r="M342" s="1">
        <f t="shared" si="43"/>
        <v>-25.62021982758619</v>
      </c>
      <c r="N342" s="12">
        <v>1269396</v>
      </c>
      <c r="O342" s="12">
        <v>1269396</v>
      </c>
      <c r="P342" s="1">
        <f t="shared" si="44"/>
        <v>0</v>
      </c>
      <c r="Q342" s="1">
        <f t="shared" si="45"/>
        <v>0</v>
      </c>
      <c r="R342" s="12">
        <v>24731</v>
      </c>
      <c r="S342" s="12">
        <v>24731</v>
      </c>
      <c r="T342" s="1">
        <f t="shared" si="46"/>
        <v>0</v>
      </c>
      <c r="U342" s="1">
        <f t="shared" si="47"/>
        <v>0</v>
      </c>
    </row>
    <row r="343" spans="1:21" x14ac:dyDescent="0.25">
      <c r="A343" s="10">
        <v>2895</v>
      </c>
      <c r="B343" s="10">
        <v>1</v>
      </c>
      <c r="C343" s="11" t="s">
        <v>335</v>
      </c>
      <c r="D343" s="12">
        <v>1167</v>
      </c>
      <c r="E343" s="12">
        <v>1160</v>
      </c>
      <c r="F343" s="12">
        <v>117611.55799999999</v>
      </c>
      <c r="G343" s="13">
        <v>120000</v>
      </c>
      <c r="H343" s="1">
        <f t="shared" si="40"/>
        <v>2388.44200000001</v>
      </c>
      <c r="I343" s="1">
        <f t="shared" si="41"/>
        <v>2.046651242502151</v>
      </c>
      <c r="J343" s="12">
        <v>117144.84199999998</v>
      </c>
      <c r="K343" s="13">
        <v>120000</v>
      </c>
      <c r="L343" s="1">
        <f t="shared" si="42"/>
        <v>2855.1580000000249</v>
      </c>
      <c r="M343" s="1">
        <f t="shared" si="43"/>
        <v>2.4613431034482973</v>
      </c>
      <c r="N343" s="12">
        <v>1375330</v>
      </c>
      <c r="O343" s="12">
        <v>1306247.17</v>
      </c>
      <c r="P343" s="1">
        <f t="shared" si="44"/>
        <v>-69082.830000000075</v>
      </c>
      <c r="Q343" s="1">
        <f t="shared" si="45"/>
        <v>-59.554163793103513</v>
      </c>
      <c r="R343" s="12">
        <v>121164</v>
      </c>
      <c r="S343" s="12">
        <v>124107.72</v>
      </c>
      <c r="T343" s="1">
        <f t="shared" si="46"/>
        <v>2943.7200000000012</v>
      </c>
      <c r="U343" s="1">
        <f t="shared" si="47"/>
        <v>2.5376896551724148</v>
      </c>
    </row>
    <row r="344" spans="1:21" x14ac:dyDescent="0.25">
      <c r="A344" s="10">
        <v>2897</v>
      </c>
      <c r="B344" s="10">
        <v>1</v>
      </c>
      <c r="C344" s="11" t="s">
        <v>336</v>
      </c>
      <c r="D344" s="12">
        <v>1160</v>
      </c>
      <c r="E344" s="12">
        <v>1154</v>
      </c>
      <c r="F344" s="12">
        <v>0</v>
      </c>
      <c r="G344" s="13">
        <v>166000</v>
      </c>
      <c r="H344" s="1">
        <f t="shared" si="40"/>
        <v>166000</v>
      </c>
      <c r="I344" s="1">
        <f t="shared" si="41"/>
        <v>143.10344827586206</v>
      </c>
      <c r="J344" s="12">
        <v>0</v>
      </c>
      <c r="K344" s="13">
        <v>165000</v>
      </c>
      <c r="L344" s="1">
        <f t="shared" si="42"/>
        <v>165000</v>
      </c>
      <c r="M344" s="1">
        <f t="shared" si="43"/>
        <v>142.98093587521663</v>
      </c>
      <c r="N344" s="12">
        <v>763880</v>
      </c>
      <c r="O344" s="12">
        <v>763880</v>
      </c>
      <c r="P344" s="1">
        <f t="shared" si="44"/>
        <v>0</v>
      </c>
      <c r="Q344" s="1">
        <f t="shared" si="45"/>
        <v>0</v>
      </c>
      <c r="R344" s="12">
        <v>145268</v>
      </c>
      <c r="S344" s="12">
        <v>145268</v>
      </c>
      <c r="T344" s="1">
        <f t="shared" si="46"/>
        <v>0</v>
      </c>
      <c r="U344" s="1">
        <f t="shared" si="47"/>
        <v>0</v>
      </c>
    </row>
    <row r="345" spans="1:21" x14ac:dyDescent="0.25">
      <c r="A345" s="10">
        <v>2898</v>
      </c>
      <c r="B345" s="10">
        <v>1</v>
      </c>
      <c r="C345" s="11" t="s">
        <v>337</v>
      </c>
      <c r="D345" s="12">
        <v>443</v>
      </c>
      <c r="E345" s="12">
        <v>426</v>
      </c>
      <c r="F345" s="12">
        <v>63559.331999999995</v>
      </c>
      <c r="G345" s="13">
        <v>50000</v>
      </c>
      <c r="H345" s="1">
        <f t="shared" si="40"/>
        <v>-13559.331999999995</v>
      </c>
      <c r="I345" s="1">
        <f t="shared" si="41"/>
        <v>-30.60797291196387</v>
      </c>
      <c r="J345" s="12">
        <v>61059.311999999998</v>
      </c>
      <c r="K345" s="13">
        <v>50000</v>
      </c>
      <c r="L345" s="1">
        <f t="shared" si="42"/>
        <v>-11059.311999999998</v>
      </c>
      <c r="M345" s="1">
        <f t="shared" si="43"/>
        <v>-25.960826291079808</v>
      </c>
      <c r="N345" s="12">
        <v>357819</v>
      </c>
      <c r="O345" s="12">
        <v>357819</v>
      </c>
      <c r="P345" s="1">
        <f t="shared" si="44"/>
        <v>0</v>
      </c>
      <c r="Q345" s="1">
        <f t="shared" si="45"/>
        <v>0</v>
      </c>
      <c r="R345" s="12">
        <v>52145</v>
      </c>
      <c r="S345" s="12">
        <v>52145</v>
      </c>
      <c r="T345" s="1">
        <f t="shared" si="46"/>
        <v>0</v>
      </c>
      <c r="U345" s="1">
        <f t="shared" si="47"/>
        <v>0</v>
      </c>
    </row>
    <row r="346" spans="1:21" x14ac:dyDescent="0.25">
      <c r="A346" s="10">
        <v>2899</v>
      </c>
      <c r="B346" s="10">
        <v>1</v>
      </c>
      <c r="C346" s="11" t="s">
        <v>338</v>
      </c>
      <c r="D346" s="12">
        <v>1474</v>
      </c>
      <c r="E346" s="12">
        <v>1434</v>
      </c>
      <c r="F346" s="12">
        <v>149780.87599999999</v>
      </c>
      <c r="G346" s="13">
        <v>80060</v>
      </c>
      <c r="H346" s="1">
        <f t="shared" si="40"/>
        <v>-69720.875999999989</v>
      </c>
      <c r="I346" s="1">
        <f t="shared" si="41"/>
        <v>-47.30045861601085</v>
      </c>
      <c r="J346" s="12">
        <v>145101.47999999998</v>
      </c>
      <c r="K346" s="13">
        <v>80000</v>
      </c>
      <c r="L346" s="1">
        <f t="shared" si="42"/>
        <v>-65101.479999999981</v>
      </c>
      <c r="M346" s="1">
        <f t="shared" si="43"/>
        <v>-45.398521617852147</v>
      </c>
      <c r="N346" s="12">
        <v>481790</v>
      </c>
      <c r="O346" s="12">
        <v>481790</v>
      </c>
      <c r="P346" s="1">
        <f t="shared" si="44"/>
        <v>0</v>
      </c>
      <c r="Q346" s="1">
        <f t="shared" si="45"/>
        <v>0</v>
      </c>
      <c r="R346" s="12">
        <v>203586</v>
      </c>
      <c r="S346" s="12">
        <v>203586</v>
      </c>
      <c r="T346" s="1">
        <f t="shared" si="46"/>
        <v>0</v>
      </c>
      <c r="U346" s="1">
        <f t="shared" si="47"/>
        <v>0</v>
      </c>
    </row>
    <row r="347" spans="1:21" x14ac:dyDescent="0.25">
      <c r="A347" s="10">
        <v>2902</v>
      </c>
      <c r="B347" s="10">
        <v>1</v>
      </c>
      <c r="C347" s="11" t="s">
        <v>339</v>
      </c>
      <c r="D347" s="12">
        <v>550</v>
      </c>
      <c r="E347" s="12">
        <v>553</v>
      </c>
      <c r="F347" s="12">
        <v>55367.025999999998</v>
      </c>
      <c r="G347" s="13">
        <v>58281.08</v>
      </c>
      <c r="H347" s="1">
        <f t="shared" si="40"/>
        <v>2914.0540000000037</v>
      </c>
      <c r="I347" s="1">
        <f t="shared" si="41"/>
        <v>5.2982800000000072</v>
      </c>
      <c r="J347" s="12">
        <v>55959.597999999991</v>
      </c>
      <c r="K347" s="13">
        <v>58904.84</v>
      </c>
      <c r="L347" s="1">
        <f t="shared" si="42"/>
        <v>2945.2420000000056</v>
      </c>
      <c r="M347" s="1">
        <f t="shared" si="43"/>
        <v>5.3259349005425056</v>
      </c>
      <c r="N347" s="12">
        <v>438100</v>
      </c>
      <c r="O347" s="12">
        <v>438100</v>
      </c>
      <c r="P347" s="1">
        <f t="shared" si="44"/>
        <v>0</v>
      </c>
      <c r="Q347" s="1">
        <f t="shared" si="45"/>
        <v>0</v>
      </c>
      <c r="R347" s="12">
        <v>67128</v>
      </c>
      <c r="S347" s="12">
        <v>67128</v>
      </c>
      <c r="T347" s="1">
        <f t="shared" si="46"/>
        <v>0</v>
      </c>
      <c r="U347" s="1">
        <f t="shared" si="47"/>
        <v>0</v>
      </c>
    </row>
    <row r="348" spans="1:21" x14ac:dyDescent="0.25">
      <c r="A348" s="10">
        <v>2903</v>
      </c>
      <c r="B348" s="10">
        <v>1</v>
      </c>
      <c r="C348" s="11" t="s">
        <v>340</v>
      </c>
      <c r="D348" s="12">
        <v>505</v>
      </c>
      <c r="E348" s="12">
        <v>486</v>
      </c>
      <c r="F348" s="12">
        <v>0</v>
      </c>
      <c r="G348" s="13">
        <v>0</v>
      </c>
      <c r="H348" s="1">
        <f t="shared" si="40"/>
        <v>0</v>
      </c>
      <c r="I348" s="1">
        <f t="shared" si="41"/>
        <v>0</v>
      </c>
      <c r="J348" s="12">
        <v>0</v>
      </c>
      <c r="K348" s="13">
        <v>0</v>
      </c>
      <c r="L348" s="1">
        <f t="shared" si="42"/>
        <v>0</v>
      </c>
      <c r="M348" s="1">
        <f t="shared" si="43"/>
        <v>0</v>
      </c>
      <c r="N348" s="12">
        <v>605314</v>
      </c>
      <c r="O348" s="12">
        <v>605314</v>
      </c>
      <c r="P348" s="1">
        <f t="shared" si="44"/>
        <v>0</v>
      </c>
      <c r="Q348" s="1">
        <f t="shared" si="45"/>
        <v>0</v>
      </c>
      <c r="R348" s="12">
        <v>50963</v>
      </c>
      <c r="S348" s="12">
        <v>50963</v>
      </c>
      <c r="T348" s="1">
        <f t="shared" si="46"/>
        <v>0</v>
      </c>
      <c r="U348" s="1">
        <f t="shared" si="47"/>
        <v>0</v>
      </c>
    </row>
    <row r="349" spans="1:21" x14ac:dyDescent="0.25">
      <c r="A349" s="10">
        <v>2904</v>
      </c>
      <c r="B349" s="10">
        <v>1</v>
      </c>
      <c r="C349" s="11" t="s">
        <v>341</v>
      </c>
      <c r="D349" s="12">
        <v>748</v>
      </c>
      <c r="E349" s="12">
        <v>748</v>
      </c>
      <c r="F349" s="12">
        <v>75925.254000000001</v>
      </c>
      <c r="G349" s="13">
        <v>79921.320000000007</v>
      </c>
      <c r="H349" s="1">
        <f t="shared" si="40"/>
        <v>3996.0660000000062</v>
      </c>
      <c r="I349" s="1">
        <f t="shared" si="41"/>
        <v>5.3423342245989387</v>
      </c>
      <c r="J349" s="12">
        <v>75883.301999999996</v>
      </c>
      <c r="K349" s="13">
        <v>79877.16</v>
      </c>
      <c r="L349" s="1">
        <f t="shared" si="42"/>
        <v>3993.8580000000075</v>
      </c>
      <c r="M349" s="1">
        <f t="shared" si="43"/>
        <v>5.3393823529411861</v>
      </c>
      <c r="N349" s="12">
        <v>846508</v>
      </c>
      <c r="O349" s="12">
        <v>846508</v>
      </c>
      <c r="P349" s="1">
        <f t="shared" si="44"/>
        <v>0</v>
      </c>
      <c r="Q349" s="1">
        <f t="shared" si="45"/>
        <v>0</v>
      </c>
      <c r="R349" s="12">
        <v>80286</v>
      </c>
      <c r="S349" s="12">
        <v>80286</v>
      </c>
      <c r="T349" s="1">
        <f t="shared" si="46"/>
        <v>0</v>
      </c>
      <c r="U349" s="1">
        <f t="shared" si="47"/>
        <v>0</v>
      </c>
    </row>
    <row r="350" spans="1:21" x14ac:dyDescent="0.25">
      <c r="A350" s="10">
        <v>2887</v>
      </c>
      <c r="B350" s="10">
        <v>1</v>
      </c>
      <c r="C350" s="11" t="s">
        <v>342</v>
      </c>
      <c r="D350" s="12">
        <v>0</v>
      </c>
      <c r="E350" s="12">
        <v>0</v>
      </c>
      <c r="F350" s="12">
        <v>0</v>
      </c>
      <c r="G350" s="13">
        <v>0</v>
      </c>
      <c r="H350" s="1">
        <f t="shared" si="40"/>
        <v>0</v>
      </c>
      <c r="I350" s="1">
        <f t="shared" si="41"/>
        <v>0</v>
      </c>
      <c r="J350" s="12">
        <v>0</v>
      </c>
      <c r="K350" s="13">
        <v>0</v>
      </c>
      <c r="L350" s="1">
        <f t="shared" si="42"/>
        <v>0</v>
      </c>
      <c r="M350" s="1">
        <f t="shared" si="43"/>
        <v>0</v>
      </c>
      <c r="N350" s="12">
        <v>0</v>
      </c>
      <c r="O350" s="12">
        <v>0</v>
      </c>
      <c r="P350" s="1">
        <f t="shared" si="44"/>
        <v>0</v>
      </c>
      <c r="Q350" s="1">
        <f t="shared" si="45"/>
        <v>0</v>
      </c>
      <c r="R350" s="12">
        <v>0</v>
      </c>
      <c r="S350" s="12">
        <v>0</v>
      </c>
      <c r="T350" s="1">
        <f t="shared" si="46"/>
        <v>0</v>
      </c>
      <c r="U350" s="1">
        <f t="shared" si="47"/>
        <v>0</v>
      </c>
    </row>
    <row r="351" spans="1:21" x14ac:dyDescent="0.25">
      <c r="A351" s="15">
        <v>3000</v>
      </c>
      <c r="B351" s="15">
        <v>1</v>
      </c>
      <c r="C351" s="16" t="s">
        <v>343</v>
      </c>
      <c r="D351" s="12">
        <v>0</v>
      </c>
      <c r="E351" s="12">
        <v>0</v>
      </c>
      <c r="F351" s="12">
        <v>0</v>
      </c>
      <c r="G351" s="13">
        <v>0</v>
      </c>
      <c r="H351" s="1">
        <f t="shared" si="40"/>
        <v>0</v>
      </c>
      <c r="I351" s="1">
        <f t="shared" si="41"/>
        <v>0</v>
      </c>
      <c r="J351" s="12">
        <v>0</v>
      </c>
      <c r="K351" s="13">
        <v>0</v>
      </c>
      <c r="L351" s="1">
        <f t="shared" si="42"/>
        <v>0</v>
      </c>
      <c r="M351" s="1">
        <f t="shared" si="43"/>
        <v>0</v>
      </c>
      <c r="N351" s="12">
        <v>58616000</v>
      </c>
      <c r="O351" s="12">
        <v>26949213.078445002</v>
      </c>
      <c r="P351" s="1">
        <f t="shared" si="44"/>
        <v>-31666786.921554998</v>
      </c>
      <c r="Q351" s="1">
        <f t="shared" si="45"/>
        <v>0</v>
      </c>
      <c r="R351" s="12">
        <v>0</v>
      </c>
      <c r="S351" s="12">
        <v>0</v>
      </c>
      <c r="T351" s="1">
        <f t="shared" si="46"/>
        <v>0</v>
      </c>
      <c r="U351" s="1">
        <f t="shared" si="47"/>
        <v>0</v>
      </c>
    </row>
    <row r="352" spans="1:21" x14ac:dyDescent="0.25">
      <c r="A352" s="15">
        <v>3999</v>
      </c>
      <c r="B352" s="15">
        <v>1</v>
      </c>
      <c r="C352" s="16" t="s">
        <v>344</v>
      </c>
      <c r="D352" s="12">
        <v>6127.49</v>
      </c>
      <c r="E352" s="12">
        <v>13683.16</v>
      </c>
      <c r="F352" s="12">
        <v>1602122.1839999892</v>
      </c>
      <c r="G352" s="13">
        <v>1279800.6458904445</v>
      </c>
      <c r="H352" s="1">
        <f t="shared" si="40"/>
        <v>-322321.53810954466</v>
      </c>
      <c r="I352" s="1">
        <f t="shared" si="41"/>
        <v>-52.602540046502675</v>
      </c>
      <c r="J352" s="12">
        <v>2539880.2990000099</v>
      </c>
      <c r="K352" s="13">
        <v>2516604.0374831855</v>
      </c>
      <c r="L352" s="1">
        <f t="shared" si="42"/>
        <v>-23276.261516824365</v>
      </c>
      <c r="M352" s="1">
        <f t="shared" si="43"/>
        <v>-1.7010881636131101</v>
      </c>
      <c r="N352" s="12">
        <v>35991185</v>
      </c>
      <c r="O352" s="12">
        <v>35991185</v>
      </c>
      <c r="P352" s="1">
        <f t="shared" si="44"/>
        <v>0</v>
      </c>
      <c r="Q352" s="1">
        <f t="shared" si="45"/>
        <v>0</v>
      </c>
      <c r="R352" s="12">
        <v>1339656</v>
      </c>
      <c r="S352" s="12">
        <v>1339656</v>
      </c>
      <c r="T352" s="1">
        <f t="shared" si="46"/>
        <v>0</v>
      </c>
      <c r="U352" s="1">
        <f t="shared" si="47"/>
        <v>0</v>
      </c>
    </row>
    <row r="353" spans="1:21" x14ac:dyDescent="0.25">
      <c r="A353" s="15">
        <v>4000</v>
      </c>
      <c r="B353" s="15">
        <v>7</v>
      </c>
      <c r="C353" s="16" t="s">
        <v>345</v>
      </c>
      <c r="D353" s="12">
        <v>110</v>
      </c>
      <c r="E353" s="12">
        <v>65</v>
      </c>
      <c r="F353" s="12">
        <v>0</v>
      </c>
      <c r="G353" s="13">
        <v>0</v>
      </c>
      <c r="H353" s="1">
        <f t="shared" si="40"/>
        <v>0</v>
      </c>
      <c r="I353" s="1">
        <f t="shared" si="41"/>
        <v>0</v>
      </c>
      <c r="J353" s="12">
        <v>0</v>
      </c>
      <c r="K353" s="13">
        <v>0</v>
      </c>
      <c r="L353" s="1">
        <f t="shared" si="42"/>
        <v>0</v>
      </c>
      <c r="M353" s="1">
        <f t="shared" si="43"/>
        <v>0</v>
      </c>
      <c r="N353" s="12">
        <v>0</v>
      </c>
      <c r="O353" s="12">
        <v>0</v>
      </c>
      <c r="P353" s="1">
        <f t="shared" si="44"/>
        <v>0</v>
      </c>
      <c r="Q353" s="1">
        <f t="shared" si="45"/>
        <v>0</v>
      </c>
      <c r="R353" s="12">
        <v>9647</v>
      </c>
      <c r="S353" s="12">
        <v>9647</v>
      </c>
      <c r="T353" s="1">
        <f t="shared" si="46"/>
        <v>0</v>
      </c>
      <c r="U353" s="1">
        <f t="shared" si="47"/>
        <v>0</v>
      </c>
    </row>
    <row r="354" spans="1:21" x14ac:dyDescent="0.25">
      <c r="A354" s="15">
        <v>4001</v>
      </c>
      <c r="B354" s="15">
        <v>7</v>
      </c>
      <c r="C354" s="16" t="s">
        <v>346</v>
      </c>
      <c r="D354" s="12">
        <v>211</v>
      </c>
      <c r="E354" s="12">
        <v>214</v>
      </c>
      <c r="F354" s="12">
        <v>0</v>
      </c>
      <c r="G354" s="13">
        <v>0</v>
      </c>
      <c r="H354" s="1">
        <f t="shared" si="40"/>
        <v>0</v>
      </c>
      <c r="I354" s="1">
        <f t="shared" si="41"/>
        <v>0</v>
      </c>
      <c r="J354" s="12">
        <v>0</v>
      </c>
      <c r="K354" s="13">
        <v>0</v>
      </c>
      <c r="L354" s="1">
        <f t="shared" si="42"/>
        <v>0</v>
      </c>
      <c r="M354" s="1">
        <f t="shared" si="43"/>
        <v>0</v>
      </c>
      <c r="N354" s="12">
        <v>0</v>
      </c>
      <c r="O354" s="12">
        <v>0</v>
      </c>
      <c r="P354" s="1">
        <f t="shared" si="44"/>
        <v>0</v>
      </c>
      <c r="Q354" s="1">
        <f t="shared" si="45"/>
        <v>0</v>
      </c>
      <c r="R354" s="12">
        <v>22754</v>
      </c>
      <c r="S354" s="12">
        <v>22754</v>
      </c>
      <c r="T354" s="1">
        <f t="shared" si="46"/>
        <v>0</v>
      </c>
      <c r="U354" s="1">
        <f t="shared" si="47"/>
        <v>0</v>
      </c>
    </row>
    <row r="355" spans="1:21" x14ac:dyDescent="0.25">
      <c r="A355" s="15">
        <v>4003</v>
      </c>
      <c r="B355" s="15">
        <v>7</v>
      </c>
      <c r="C355" s="16" t="s">
        <v>347</v>
      </c>
      <c r="D355" s="12">
        <v>131</v>
      </c>
      <c r="E355" s="12">
        <v>134</v>
      </c>
      <c r="F355" s="12">
        <v>0</v>
      </c>
      <c r="G355" s="13">
        <v>0</v>
      </c>
      <c r="H355" s="1">
        <f t="shared" si="40"/>
        <v>0</v>
      </c>
      <c r="I355" s="1">
        <f t="shared" si="41"/>
        <v>0</v>
      </c>
      <c r="J355" s="12">
        <v>0</v>
      </c>
      <c r="K355" s="13">
        <v>0</v>
      </c>
      <c r="L355" s="1">
        <f t="shared" si="42"/>
        <v>0</v>
      </c>
      <c r="M355" s="1">
        <f t="shared" si="43"/>
        <v>0</v>
      </c>
      <c r="N355" s="12">
        <v>0</v>
      </c>
      <c r="O355" s="12">
        <v>0</v>
      </c>
      <c r="P355" s="1">
        <f t="shared" si="44"/>
        <v>0</v>
      </c>
      <c r="Q355" s="1">
        <f t="shared" si="45"/>
        <v>0</v>
      </c>
      <c r="R355" s="12">
        <v>15963</v>
      </c>
      <c r="S355" s="12">
        <v>15963</v>
      </c>
      <c r="T355" s="1">
        <f t="shared" si="46"/>
        <v>0</v>
      </c>
      <c r="U355" s="1">
        <f t="shared" si="47"/>
        <v>0</v>
      </c>
    </row>
    <row r="356" spans="1:21" x14ac:dyDescent="0.25">
      <c r="A356" s="15">
        <v>4004</v>
      </c>
      <c r="B356" s="15">
        <v>7</v>
      </c>
      <c r="C356" s="16" t="s">
        <v>348</v>
      </c>
      <c r="D356" s="12">
        <v>150</v>
      </c>
      <c r="E356" s="12">
        <v>160</v>
      </c>
      <c r="F356" s="12">
        <v>0</v>
      </c>
      <c r="G356" s="13">
        <v>0</v>
      </c>
      <c r="H356" s="1">
        <f t="shared" si="40"/>
        <v>0</v>
      </c>
      <c r="I356" s="1">
        <f t="shared" si="41"/>
        <v>0</v>
      </c>
      <c r="J356" s="12">
        <v>0</v>
      </c>
      <c r="K356" s="13">
        <v>0</v>
      </c>
      <c r="L356" s="1">
        <f t="shared" si="42"/>
        <v>0</v>
      </c>
      <c r="M356" s="1">
        <f t="shared" si="43"/>
        <v>0</v>
      </c>
      <c r="N356" s="12">
        <v>0</v>
      </c>
      <c r="O356" s="12">
        <v>0</v>
      </c>
      <c r="P356" s="1">
        <f t="shared" si="44"/>
        <v>0</v>
      </c>
      <c r="Q356" s="1">
        <f t="shared" si="45"/>
        <v>0</v>
      </c>
      <c r="R356" s="12">
        <v>16900</v>
      </c>
      <c r="S356" s="12">
        <v>16900</v>
      </c>
      <c r="T356" s="1">
        <f t="shared" si="46"/>
        <v>0</v>
      </c>
      <c r="U356" s="1">
        <f t="shared" si="47"/>
        <v>0</v>
      </c>
    </row>
    <row r="357" spans="1:21" x14ac:dyDescent="0.25">
      <c r="A357" s="15">
        <v>4005</v>
      </c>
      <c r="B357" s="15">
        <v>7</v>
      </c>
      <c r="C357" s="16" t="s">
        <v>349</v>
      </c>
      <c r="D357" s="12">
        <v>13</v>
      </c>
      <c r="E357" s="12">
        <v>12</v>
      </c>
      <c r="F357" s="12">
        <v>0</v>
      </c>
      <c r="G357" s="13">
        <v>0</v>
      </c>
      <c r="H357" s="1">
        <f t="shared" si="40"/>
        <v>0</v>
      </c>
      <c r="I357" s="1">
        <f t="shared" si="41"/>
        <v>0</v>
      </c>
      <c r="J357" s="12">
        <v>0</v>
      </c>
      <c r="K357" s="13">
        <v>0</v>
      </c>
      <c r="L357" s="1">
        <f t="shared" si="42"/>
        <v>0</v>
      </c>
      <c r="M357" s="1">
        <f t="shared" si="43"/>
        <v>0</v>
      </c>
      <c r="N357" s="12">
        <v>0</v>
      </c>
      <c r="O357" s="12">
        <v>0</v>
      </c>
      <c r="P357" s="1">
        <f t="shared" si="44"/>
        <v>0</v>
      </c>
      <c r="Q357" s="1">
        <f t="shared" si="45"/>
        <v>0</v>
      </c>
      <c r="R357" s="12">
        <v>1410</v>
      </c>
      <c r="S357" s="12">
        <v>1410</v>
      </c>
      <c r="T357" s="1">
        <f t="shared" si="46"/>
        <v>0</v>
      </c>
      <c r="U357" s="1">
        <f t="shared" si="47"/>
        <v>0</v>
      </c>
    </row>
    <row r="358" spans="1:21" x14ac:dyDescent="0.25">
      <c r="A358" s="15">
        <v>4006</v>
      </c>
      <c r="B358" s="15">
        <v>7</v>
      </c>
      <c r="C358" s="16" t="s">
        <v>350</v>
      </c>
      <c r="D358" s="12">
        <v>0</v>
      </c>
      <c r="E358" s="12">
        <v>0</v>
      </c>
      <c r="F358" s="12">
        <v>0</v>
      </c>
      <c r="G358" s="13">
        <v>0</v>
      </c>
      <c r="H358" s="1">
        <f t="shared" si="40"/>
        <v>0</v>
      </c>
      <c r="I358" s="1">
        <f t="shared" si="41"/>
        <v>0</v>
      </c>
      <c r="J358" s="12">
        <v>0</v>
      </c>
      <c r="K358" s="13">
        <v>0</v>
      </c>
      <c r="L358" s="1">
        <f t="shared" si="42"/>
        <v>0</v>
      </c>
      <c r="M358" s="1">
        <f t="shared" si="43"/>
        <v>0</v>
      </c>
      <c r="N358" s="12">
        <v>0</v>
      </c>
      <c r="O358" s="12">
        <v>0</v>
      </c>
      <c r="P358" s="1">
        <f t="shared" si="44"/>
        <v>0</v>
      </c>
      <c r="Q358" s="1">
        <f t="shared" si="45"/>
        <v>0</v>
      </c>
      <c r="R358" s="12">
        <v>0</v>
      </c>
      <c r="S358" s="12">
        <v>0</v>
      </c>
      <c r="T358" s="1">
        <f t="shared" si="46"/>
        <v>0</v>
      </c>
      <c r="U358" s="1">
        <f t="shared" si="47"/>
        <v>0</v>
      </c>
    </row>
    <row r="359" spans="1:21" x14ac:dyDescent="0.25">
      <c r="A359" s="15">
        <v>4007</v>
      </c>
      <c r="B359" s="15">
        <v>7</v>
      </c>
      <c r="C359" s="16" t="s">
        <v>351</v>
      </c>
      <c r="D359" s="12">
        <v>109</v>
      </c>
      <c r="E359" s="12">
        <v>100</v>
      </c>
      <c r="F359" s="12">
        <v>0</v>
      </c>
      <c r="G359" s="13">
        <v>0</v>
      </c>
      <c r="H359" s="1">
        <f t="shared" si="40"/>
        <v>0</v>
      </c>
      <c r="I359" s="1">
        <f t="shared" si="41"/>
        <v>0</v>
      </c>
      <c r="J359" s="12">
        <v>0</v>
      </c>
      <c r="K359" s="13">
        <v>0</v>
      </c>
      <c r="L359" s="1">
        <f t="shared" si="42"/>
        <v>0</v>
      </c>
      <c r="M359" s="1">
        <f t="shared" si="43"/>
        <v>0</v>
      </c>
      <c r="N359" s="12">
        <v>0</v>
      </c>
      <c r="O359" s="12">
        <v>0</v>
      </c>
      <c r="P359" s="1">
        <f t="shared" si="44"/>
        <v>0</v>
      </c>
      <c r="Q359" s="1">
        <f t="shared" si="45"/>
        <v>0</v>
      </c>
      <c r="R359" s="12">
        <v>12925</v>
      </c>
      <c r="S359" s="12">
        <v>12925</v>
      </c>
      <c r="T359" s="1">
        <f t="shared" si="46"/>
        <v>0</v>
      </c>
      <c r="U359" s="1">
        <f t="shared" si="47"/>
        <v>0</v>
      </c>
    </row>
    <row r="360" spans="1:21" x14ac:dyDescent="0.25">
      <c r="A360" s="15">
        <v>4008</v>
      </c>
      <c r="B360" s="15">
        <v>7</v>
      </c>
      <c r="C360" s="16" t="s">
        <v>352</v>
      </c>
      <c r="D360" s="12">
        <v>612</v>
      </c>
      <c r="E360" s="12">
        <v>612</v>
      </c>
      <c r="F360" s="12">
        <v>0</v>
      </c>
      <c r="G360" s="13">
        <v>0</v>
      </c>
      <c r="H360" s="1">
        <f t="shared" si="40"/>
        <v>0</v>
      </c>
      <c r="I360" s="1">
        <f t="shared" si="41"/>
        <v>0</v>
      </c>
      <c r="J360" s="12">
        <v>0</v>
      </c>
      <c r="K360" s="13">
        <v>0</v>
      </c>
      <c r="L360" s="1">
        <f t="shared" si="42"/>
        <v>0</v>
      </c>
      <c r="M360" s="1">
        <f t="shared" si="43"/>
        <v>0</v>
      </c>
      <c r="N360" s="12">
        <v>0</v>
      </c>
      <c r="O360" s="12">
        <v>0</v>
      </c>
      <c r="P360" s="1">
        <f t="shared" si="44"/>
        <v>0</v>
      </c>
      <c r="Q360" s="1">
        <f t="shared" si="45"/>
        <v>0</v>
      </c>
      <c r="R360" s="12">
        <v>69326</v>
      </c>
      <c r="S360" s="12">
        <v>69326</v>
      </c>
      <c r="T360" s="1">
        <f t="shared" si="46"/>
        <v>0</v>
      </c>
      <c r="U360" s="1">
        <f t="shared" si="47"/>
        <v>0</v>
      </c>
    </row>
    <row r="361" spans="1:21" x14ac:dyDescent="0.25">
      <c r="A361" s="15">
        <v>4011</v>
      </c>
      <c r="B361" s="15">
        <v>7</v>
      </c>
      <c r="C361" s="16" t="s">
        <v>353</v>
      </c>
      <c r="D361" s="12">
        <v>222</v>
      </c>
      <c r="E361" s="12">
        <v>234</v>
      </c>
      <c r="F361" s="12">
        <v>0</v>
      </c>
      <c r="G361" s="13">
        <v>0</v>
      </c>
      <c r="H361" s="1">
        <f t="shared" si="40"/>
        <v>0</v>
      </c>
      <c r="I361" s="1">
        <f t="shared" si="41"/>
        <v>0</v>
      </c>
      <c r="J361" s="12">
        <v>0</v>
      </c>
      <c r="K361" s="13">
        <v>0</v>
      </c>
      <c r="L361" s="1">
        <f t="shared" si="42"/>
        <v>0</v>
      </c>
      <c r="M361" s="1">
        <f t="shared" si="43"/>
        <v>0</v>
      </c>
      <c r="N361" s="12">
        <v>0</v>
      </c>
      <c r="O361" s="12">
        <v>0</v>
      </c>
      <c r="P361" s="1">
        <f t="shared" si="44"/>
        <v>0</v>
      </c>
      <c r="Q361" s="1">
        <f t="shared" si="45"/>
        <v>0</v>
      </c>
      <c r="R361" s="12">
        <v>24757</v>
      </c>
      <c r="S361" s="12">
        <v>24757</v>
      </c>
      <c r="T361" s="1">
        <f t="shared" si="46"/>
        <v>0</v>
      </c>
      <c r="U361" s="1">
        <f t="shared" si="47"/>
        <v>0</v>
      </c>
    </row>
    <row r="362" spans="1:21" x14ac:dyDescent="0.25">
      <c r="A362" s="15">
        <v>4012</v>
      </c>
      <c r="B362" s="15">
        <v>7</v>
      </c>
      <c r="C362" s="16" t="s">
        <v>354</v>
      </c>
      <c r="D362" s="12">
        <v>0</v>
      </c>
      <c r="E362" s="12">
        <v>0</v>
      </c>
      <c r="F362" s="12">
        <v>0</v>
      </c>
      <c r="G362" s="13">
        <v>0</v>
      </c>
      <c r="H362" s="1">
        <f t="shared" si="40"/>
        <v>0</v>
      </c>
      <c r="I362" s="1">
        <f t="shared" si="41"/>
        <v>0</v>
      </c>
      <c r="J362" s="12">
        <v>0</v>
      </c>
      <c r="K362" s="13">
        <v>0</v>
      </c>
      <c r="L362" s="1">
        <f t="shared" si="42"/>
        <v>0</v>
      </c>
      <c r="M362" s="1">
        <f t="shared" si="43"/>
        <v>0</v>
      </c>
      <c r="N362" s="12">
        <v>0</v>
      </c>
      <c r="O362" s="12">
        <v>0</v>
      </c>
      <c r="P362" s="1">
        <f t="shared" si="44"/>
        <v>0</v>
      </c>
      <c r="Q362" s="1">
        <f t="shared" si="45"/>
        <v>0</v>
      </c>
      <c r="R362" s="12">
        <v>0</v>
      </c>
      <c r="S362" s="12">
        <v>0</v>
      </c>
      <c r="T362" s="1">
        <f t="shared" si="46"/>
        <v>0</v>
      </c>
      <c r="U362" s="1">
        <f t="shared" si="47"/>
        <v>0</v>
      </c>
    </row>
    <row r="363" spans="1:21" x14ac:dyDescent="0.25">
      <c r="A363" s="15">
        <v>4015</v>
      </c>
      <c r="B363" s="15">
        <v>7</v>
      </c>
      <c r="C363" s="16" t="s">
        <v>355</v>
      </c>
      <c r="D363" s="12">
        <v>725</v>
      </c>
      <c r="E363" s="12">
        <v>727</v>
      </c>
      <c r="F363" s="12">
        <v>0</v>
      </c>
      <c r="G363" s="13">
        <v>0</v>
      </c>
      <c r="H363" s="1">
        <f t="shared" si="40"/>
        <v>0</v>
      </c>
      <c r="I363" s="1">
        <f t="shared" si="41"/>
        <v>0</v>
      </c>
      <c r="J363" s="12">
        <v>0</v>
      </c>
      <c r="K363" s="13">
        <v>0</v>
      </c>
      <c r="L363" s="1">
        <f t="shared" si="42"/>
        <v>0</v>
      </c>
      <c r="M363" s="1">
        <f t="shared" si="43"/>
        <v>0</v>
      </c>
      <c r="N363" s="12">
        <v>0</v>
      </c>
      <c r="O363" s="12">
        <v>0</v>
      </c>
      <c r="P363" s="1">
        <f t="shared" si="44"/>
        <v>0</v>
      </c>
      <c r="Q363" s="1">
        <f t="shared" si="45"/>
        <v>0</v>
      </c>
      <c r="R363" s="12">
        <v>84037</v>
      </c>
      <c r="S363" s="12">
        <v>84037</v>
      </c>
      <c r="T363" s="1">
        <f t="shared" si="46"/>
        <v>0</v>
      </c>
      <c r="U363" s="1">
        <f t="shared" si="47"/>
        <v>0</v>
      </c>
    </row>
    <row r="364" spans="1:21" x14ac:dyDescent="0.25">
      <c r="A364" s="15">
        <v>4016</v>
      </c>
      <c r="B364" s="15">
        <v>7</v>
      </c>
      <c r="C364" s="16" t="s">
        <v>356</v>
      </c>
      <c r="D364" s="12">
        <v>209</v>
      </c>
      <c r="E364" s="12">
        <v>213</v>
      </c>
      <c r="F364" s="12">
        <v>0</v>
      </c>
      <c r="G364" s="13">
        <v>0</v>
      </c>
      <c r="H364" s="1">
        <f t="shared" si="40"/>
        <v>0</v>
      </c>
      <c r="I364" s="1">
        <f t="shared" si="41"/>
        <v>0</v>
      </c>
      <c r="J364" s="12">
        <v>0</v>
      </c>
      <c r="K364" s="13">
        <v>0</v>
      </c>
      <c r="L364" s="1">
        <f t="shared" si="42"/>
        <v>0</v>
      </c>
      <c r="M364" s="1">
        <f t="shared" si="43"/>
        <v>0</v>
      </c>
      <c r="N364" s="12">
        <v>0</v>
      </c>
      <c r="O364" s="12">
        <v>0</v>
      </c>
      <c r="P364" s="1">
        <f t="shared" si="44"/>
        <v>0</v>
      </c>
      <c r="Q364" s="1">
        <f t="shared" si="45"/>
        <v>0</v>
      </c>
      <c r="R364" s="12">
        <v>23891</v>
      </c>
      <c r="S364" s="12">
        <v>23891</v>
      </c>
      <c r="T364" s="1">
        <f t="shared" si="46"/>
        <v>0</v>
      </c>
      <c r="U364" s="1">
        <f t="shared" si="47"/>
        <v>0</v>
      </c>
    </row>
    <row r="365" spans="1:21" x14ac:dyDescent="0.25">
      <c r="A365" s="15">
        <v>4017</v>
      </c>
      <c r="B365" s="15">
        <v>7</v>
      </c>
      <c r="C365" s="16" t="s">
        <v>357</v>
      </c>
      <c r="D365" s="12">
        <v>2940</v>
      </c>
      <c r="E365" s="12">
        <v>2897</v>
      </c>
      <c r="F365" s="12">
        <v>0</v>
      </c>
      <c r="G365" s="13">
        <v>0</v>
      </c>
      <c r="H365" s="1">
        <f t="shared" si="40"/>
        <v>0</v>
      </c>
      <c r="I365" s="1">
        <f t="shared" si="41"/>
        <v>0</v>
      </c>
      <c r="J365" s="12">
        <v>0</v>
      </c>
      <c r="K365" s="13">
        <v>0</v>
      </c>
      <c r="L365" s="1">
        <f t="shared" si="42"/>
        <v>0</v>
      </c>
      <c r="M365" s="1">
        <f t="shared" si="43"/>
        <v>0</v>
      </c>
      <c r="N365" s="12">
        <v>0</v>
      </c>
      <c r="O365" s="12">
        <v>0</v>
      </c>
      <c r="P365" s="1">
        <f t="shared" si="44"/>
        <v>0</v>
      </c>
      <c r="Q365" s="1">
        <f t="shared" si="45"/>
        <v>0</v>
      </c>
      <c r="R365" s="12">
        <v>352866</v>
      </c>
      <c r="S365" s="12">
        <v>352866</v>
      </c>
      <c r="T365" s="1">
        <f t="shared" si="46"/>
        <v>0</v>
      </c>
      <c r="U365" s="1">
        <f t="shared" si="47"/>
        <v>0</v>
      </c>
    </row>
    <row r="366" spans="1:21" x14ac:dyDescent="0.25">
      <c r="A366" s="15">
        <v>4018</v>
      </c>
      <c r="B366" s="15">
        <v>7</v>
      </c>
      <c r="C366" s="16" t="s">
        <v>358</v>
      </c>
      <c r="D366" s="12">
        <v>426</v>
      </c>
      <c r="E366" s="12">
        <v>429</v>
      </c>
      <c r="F366" s="12">
        <v>0</v>
      </c>
      <c r="G366" s="13">
        <v>0</v>
      </c>
      <c r="H366" s="1">
        <f t="shared" si="40"/>
        <v>0</v>
      </c>
      <c r="I366" s="1">
        <f t="shared" si="41"/>
        <v>0</v>
      </c>
      <c r="J366" s="12">
        <v>0</v>
      </c>
      <c r="K366" s="13">
        <v>0</v>
      </c>
      <c r="L366" s="1">
        <f t="shared" si="42"/>
        <v>0</v>
      </c>
      <c r="M366" s="1">
        <f t="shared" si="43"/>
        <v>0</v>
      </c>
      <c r="N366" s="12">
        <v>0</v>
      </c>
      <c r="O366" s="12">
        <v>0</v>
      </c>
      <c r="P366" s="1">
        <f t="shared" si="44"/>
        <v>0</v>
      </c>
      <c r="Q366" s="1">
        <f t="shared" si="45"/>
        <v>0</v>
      </c>
      <c r="R366" s="12">
        <v>45641</v>
      </c>
      <c r="S366" s="12">
        <v>45641</v>
      </c>
      <c r="T366" s="1">
        <f t="shared" si="46"/>
        <v>0</v>
      </c>
      <c r="U366" s="1">
        <f t="shared" si="47"/>
        <v>0</v>
      </c>
    </row>
    <row r="367" spans="1:21" x14ac:dyDescent="0.25">
      <c r="A367" s="15">
        <v>4019</v>
      </c>
      <c r="B367" s="15">
        <v>7</v>
      </c>
      <c r="C367" s="16" t="s">
        <v>359</v>
      </c>
      <c r="D367" s="12">
        <v>0</v>
      </c>
      <c r="E367" s="12">
        <v>0</v>
      </c>
      <c r="F367" s="12">
        <v>0</v>
      </c>
      <c r="G367" s="13">
        <v>0</v>
      </c>
      <c r="H367" s="1">
        <f t="shared" si="40"/>
        <v>0</v>
      </c>
      <c r="I367" s="1">
        <f t="shared" si="41"/>
        <v>0</v>
      </c>
      <c r="J367" s="12">
        <v>0</v>
      </c>
      <c r="K367" s="13">
        <v>0</v>
      </c>
      <c r="L367" s="1">
        <f t="shared" si="42"/>
        <v>0</v>
      </c>
      <c r="M367" s="1">
        <f t="shared" si="43"/>
        <v>0</v>
      </c>
      <c r="N367" s="12">
        <v>0</v>
      </c>
      <c r="O367" s="12">
        <v>0</v>
      </c>
      <c r="P367" s="1">
        <f t="shared" si="44"/>
        <v>0</v>
      </c>
      <c r="Q367" s="1">
        <f t="shared" si="45"/>
        <v>0</v>
      </c>
      <c r="R367" s="12">
        <v>0</v>
      </c>
      <c r="S367" s="12">
        <v>0</v>
      </c>
      <c r="T367" s="1">
        <f t="shared" si="46"/>
        <v>0</v>
      </c>
      <c r="U367" s="1">
        <f t="shared" si="47"/>
        <v>0</v>
      </c>
    </row>
    <row r="368" spans="1:21" x14ac:dyDescent="0.25">
      <c r="A368" s="15">
        <v>4020</v>
      </c>
      <c r="B368" s="15">
        <v>7</v>
      </c>
      <c r="C368" s="16" t="s">
        <v>360</v>
      </c>
      <c r="D368" s="12">
        <v>1125</v>
      </c>
      <c r="E368" s="12">
        <v>1160</v>
      </c>
      <c r="F368" s="12">
        <v>0</v>
      </c>
      <c r="G368" s="13">
        <v>0</v>
      </c>
      <c r="H368" s="1">
        <f t="shared" si="40"/>
        <v>0</v>
      </c>
      <c r="I368" s="1">
        <f t="shared" si="41"/>
        <v>0</v>
      </c>
      <c r="J368" s="12">
        <v>0</v>
      </c>
      <c r="K368" s="13">
        <v>0</v>
      </c>
      <c r="L368" s="1">
        <f t="shared" si="42"/>
        <v>0</v>
      </c>
      <c r="M368" s="1">
        <f t="shared" si="43"/>
        <v>0</v>
      </c>
      <c r="N368" s="12">
        <v>0</v>
      </c>
      <c r="O368" s="12">
        <v>0</v>
      </c>
      <c r="P368" s="1">
        <f t="shared" si="44"/>
        <v>0</v>
      </c>
      <c r="Q368" s="1">
        <f t="shared" si="45"/>
        <v>0</v>
      </c>
      <c r="R368" s="12">
        <v>122377</v>
      </c>
      <c r="S368" s="12">
        <v>122377</v>
      </c>
      <c r="T368" s="1">
        <f t="shared" si="46"/>
        <v>0</v>
      </c>
      <c r="U368" s="1">
        <f t="shared" si="47"/>
        <v>0</v>
      </c>
    </row>
    <row r="369" spans="1:21" x14ac:dyDescent="0.25">
      <c r="A369" s="15">
        <v>4021</v>
      </c>
      <c r="B369" s="15">
        <v>7</v>
      </c>
      <c r="C369" s="16" t="s">
        <v>361</v>
      </c>
      <c r="D369" s="12">
        <v>0</v>
      </c>
      <c r="E369" s="12">
        <v>0</v>
      </c>
      <c r="F369" s="12">
        <v>0</v>
      </c>
      <c r="G369" s="13">
        <v>0</v>
      </c>
      <c r="H369" s="1">
        <f t="shared" si="40"/>
        <v>0</v>
      </c>
      <c r="I369" s="1">
        <f t="shared" si="41"/>
        <v>0</v>
      </c>
      <c r="J369" s="12">
        <v>0</v>
      </c>
      <c r="K369" s="13">
        <v>0</v>
      </c>
      <c r="L369" s="1">
        <f t="shared" si="42"/>
        <v>0</v>
      </c>
      <c r="M369" s="1">
        <f t="shared" si="43"/>
        <v>0</v>
      </c>
      <c r="N369" s="12">
        <v>0</v>
      </c>
      <c r="O369" s="12">
        <v>0</v>
      </c>
      <c r="P369" s="1">
        <f t="shared" si="44"/>
        <v>0</v>
      </c>
      <c r="Q369" s="1">
        <f t="shared" si="45"/>
        <v>0</v>
      </c>
      <c r="R369" s="12">
        <v>0</v>
      </c>
      <c r="S369" s="12">
        <v>0</v>
      </c>
      <c r="T369" s="1">
        <f t="shared" si="46"/>
        <v>0</v>
      </c>
      <c r="U369" s="1">
        <f t="shared" si="47"/>
        <v>0</v>
      </c>
    </row>
    <row r="370" spans="1:21" x14ac:dyDescent="0.25">
      <c r="A370" s="15">
        <v>4025</v>
      </c>
      <c r="B370" s="15">
        <v>7</v>
      </c>
      <c r="C370" s="16" t="s">
        <v>362</v>
      </c>
      <c r="D370" s="12">
        <v>134</v>
      </c>
      <c r="E370" s="12">
        <v>128</v>
      </c>
      <c r="F370" s="12">
        <v>0</v>
      </c>
      <c r="G370" s="13">
        <v>0</v>
      </c>
      <c r="H370" s="1">
        <f t="shared" si="40"/>
        <v>0</v>
      </c>
      <c r="I370" s="1">
        <f t="shared" si="41"/>
        <v>0</v>
      </c>
      <c r="J370" s="12">
        <v>0</v>
      </c>
      <c r="K370" s="13">
        <v>0</v>
      </c>
      <c r="L370" s="1">
        <f t="shared" si="42"/>
        <v>0</v>
      </c>
      <c r="M370" s="1">
        <f t="shared" si="43"/>
        <v>0</v>
      </c>
      <c r="N370" s="12">
        <v>0</v>
      </c>
      <c r="O370" s="12">
        <v>0</v>
      </c>
      <c r="P370" s="1">
        <f t="shared" si="44"/>
        <v>0</v>
      </c>
      <c r="Q370" s="1">
        <f t="shared" si="45"/>
        <v>0</v>
      </c>
      <c r="R370" s="12">
        <v>14850</v>
      </c>
      <c r="S370" s="12">
        <v>14850</v>
      </c>
      <c r="T370" s="1">
        <f t="shared" si="46"/>
        <v>0</v>
      </c>
      <c r="U370" s="1">
        <f t="shared" si="47"/>
        <v>0</v>
      </c>
    </row>
    <row r="371" spans="1:21" x14ac:dyDescent="0.25">
      <c r="A371" s="15">
        <v>4026</v>
      </c>
      <c r="B371" s="15">
        <v>7</v>
      </c>
      <c r="C371" s="16" t="s">
        <v>363</v>
      </c>
      <c r="D371" s="12">
        <v>172</v>
      </c>
      <c r="E371" s="12">
        <v>164</v>
      </c>
      <c r="F371" s="12">
        <v>0</v>
      </c>
      <c r="G371" s="13">
        <v>0</v>
      </c>
      <c r="H371" s="1">
        <f t="shared" si="40"/>
        <v>0</v>
      </c>
      <c r="I371" s="1">
        <f t="shared" si="41"/>
        <v>0</v>
      </c>
      <c r="J371" s="12">
        <v>0</v>
      </c>
      <c r="K371" s="13">
        <v>0</v>
      </c>
      <c r="L371" s="1">
        <f t="shared" si="42"/>
        <v>0</v>
      </c>
      <c r="M371" s="1">
        <f t="shared" si="43"/>
        <v>0</v>
      </c>
      <c r="N371" s="12">
        <v>0</v>
      </c>
      <c r="O371" s="12">
        <v>0</v>
      </c>
      <c r="P371" s="1">
        <f t="shared" si="44"/>
        <v>0</v>
      </c>
      <c r="Q371" s="1">
        <f t="shared" si="45"/>
        <v>0</v>
      </c>
      <c r="R371" s="12">
        <v>19117</v>
      </c>
      <c r="S371" s="12">
        <v>19117</v>
      </c>
      <c r="T371" s="1">
        <f t="shared" si="46"/>
        <v>0</v>
      </c>
      <c r="U371" s="1">
        <f t="shared" si="47"/>
        <v>0</v>
      </c>
    </row>
    <row r="372" spans="1:21" x14ac:dyDescent="0.25">
      <c r="A372" s="15">
        <v>4027</v>
      </c>
      <c r="B372" s="15">
        <v>7</v>
      </c>
      <c r="C372" s="16" t="s">
        <v>364</v>
      </c>
      <c r="D372" s="12">
        <v>676</v>
      </c>
      <c r="E372" s="12">
        <v>684</v>
      </c>
      <c r="F372" s="12">
        <v>0</v>
      </c>
      <c r="G372" s="13">
        <v>0</v>
      </c>
      <c r="H372" s="1">
        <f t="shared" si="40"/>
        <v>0</v>
      </c>
      <c r="I372" s="1">
        <f t="shared" si="41"/>
        <v>0</v>
      </c>
      <c r="J372" s="12">
        <v>0</v>
      </c>
      <c r="K372" s="13">
        <v>0</v>
      </c>
      <c r="L372" s="1">
        <f t="shared" si="42"/>
        <v>0</v>
      </c>
      <c r="M372" s="1">
        <f t="shared" si="43"/>
        <v>0</v>
      </c>
      <c r="N372" s="12">
        <v>0</v>
      </c>
      <c r="O372" s="12">
        <v>0</v>
      </c>
      <c r="P372" s="1">
        <f t="shared" si="44"/>
        <v>0</v>
      </c>
      <c r="Q372" s="1">
        <f t="shared" si="45"/>
        <v>0</v>
      </c>
      <c r="R372" s="12">
        <v>75030</v>
      </c>
      <c r="S372" s="12">
        <v>75030</v>
      </c>
      <c r="T372" s="1">
        <f t="shared" si="46"/>
        <v>0</v>
      </c>
      <c r="U372" s="1">
        <f t="shared" si="47"/>
        <v>0</v>
      </c>
    </row>
    <row r="373" spans="1:21" x14ac:dyDescent="0.25">
      <c r="A373" s="15">
        <v>4028</v>
      </c>
      <c r="B373" s="15">
        <v>7</v>
      </c>
      <c r="C373" s="16" t="s">
        <v>365</v>
      </c>
      <c r="D373" s="12">
        <v>0</v>
      </c>
      <c r="E373" s="12">
        <v>0</v>
      </c>
      <c r="F373" s="12">
        <v>0</v>
      </c>
      <c r="G373" s="13">
        <v>0</v>
      </c>
      <c r="H373" s="1">
        <f t="shared" si="40"/>
        <v>0</v>
      </c>
      <c r="I373" s="1">
        <f t="shared" si="41"/>
        <v>0</v>
      </c>
      <c r="J373" s="12">
        <v>0</v>
      </c>
      <c r="K373" s="13">
        <v>0</v>
      </c>
      <c r="L373" s="1">
        <f t="shared" si="42"/>
        <v>0</v>
      </c>
      <c r="M373" s="1">
        <f t="shared" si="43"/>
        <v>0</v>
      </c>
      <c r="N373" s="12">
        <v>0</v>
      </c>
      <c r="O373" s="12">
        <v>0</v>
      </c>
      <c r="P373" s="1">
        <f t="shared" si="44"/>
        <v>0</v>
      </c>
      <c r="Q373" s="1">
        <f t="shared" si="45"/>
        <v>0</v>
      </c>
      <c r="R373" s="12">
        <v>0</v>
      </c>
      <c r="S373" s="12">
        <v>0</v>
      </c>
      <c r="T373" s="1">
        <f t="shared" si="46"/>
        <v>0</v>
      </c>
      <c r="U373" s="1">
        <f t="shared" si="47"/>
        <v>0</v>
      </c>
    </row>
    <row r="374" spans="1:21" x14ac:dyDescent="0.25">
      <c r="A374" s="15">
        <v>4029</v>
      </c>
      <c r="B374" s="15">
        <v>7</v>
      </c>
      <c r="C374" s="16" t="s">
        <v>366</v>
      </c>
      <c r="D374" s="12">
        <v>351</v>
      </c>
      <c r="E374" s="12">
        <v>375</v>
      </c>
      <c r="F374" s="12">
        <v>0</v>
      </c>
      <c r="G374" s="13">
        <v>0</v>
      </c>
      <c r="H374" s="1">
        <f t="shared" si="40"/>
        <v>0</v>
      </c>
      <c r="I374" s="1">
        <f t="shared" si="41"/>
        <v>0</v>
      </c>
      <c r="J374" s="12">
        <v>0</v>
      </c>
      <c r="K374" s="13">
        <v>0</v>
      </c>
      <c r="L374" s="1">
        <f t="shared" si="42"/>
        <v>0</v>
      </c>
      <c r="M374" s="1">
        <f t="shared" si="43"/>
        <v>0</v>
      </c>
      <c r="N374" s="12">
        <v>0</v>
      </c>
      <c r="O374" s="12">
        <v>0</v>
      </c>
      <c r="P374" s="1">
        <f t="shared" si="44"/>
        <v>0</v>
      </c>
      <c r="Q374" s="1">
        <f t="shared" si="45"/>
        <v>0</v>
      </c>
      <c r="R374" s="12">
        <v>39874</v>
      </c>
      <c r="S374" s="12">
        <v>39874</v>
      </c>
      <c r="T374" s="1">
        <f t="shared" si="46"/>
        <v>0</v>
      </c>
      <c r="U374" s="1">
        <f t="shared" si="47"/>
        <v>0</v>
      </c>
    </row>
    <row r="375" spans="1:21" x14ac:dyDescent="0.25">
      <c r="A375" s="15">
        <v>4030</v>
      </c>
      <c r="B375" s="15">
        <v>7</v>
      </c>
      <c r="C375" s="16" t="s">
        <v>367</v>
      </c>
      <c r="D375" s="12">
        <v>273</v>
      </c>
      <c r="E375" s="12">
        <v>306</v>
      </c>
      <c r="F375" s="12">
        <v>0</v>
      </c>
      <c r="G375" s="13">
        <v>0</v>
      </c>
      <c r="H375" s="1">
        <f t="shared" si="40"/>
        <v>0</v>
      </c>
      <c r="I375" s="1">
        <f t="shared" si="41"/>
        <v>0</v>
      </c>
      <c r="J375" s="12">
        <v>0</v>
      </c>
      <c r="K375" s="13">
        <v>0</v>
      </c>
      <c r="L375" s="1">
        <f t="shared" si="42"/>
        <v>0</v>
      </c>
      <c r="M375" s="1">
        <f t="shared" si="43"/>
        <v>0</v>
      </c>
      <c r="N375" s="12">
        <v>0</v>
      </c>
      <c r="O375" s="12">
        <v>0</v>
      </c>
      <c r="P375" s="1">
        <f t="shared" si="44"/>
        <v>0</v>
      </c>
      <c r="Q375" s="1">
        <f t="shared" si="45"/>
        <v>0</v>
      </c>
      <c r="R375" s="12">
        <v>31622</v>
      </c>
      <c r="S375" s="12">
        <v>31622</v>
      </c>
      <c r="T375" s="1">
        <f t="shared" si="46"/>
        <v>0</v>
      </c>
      <c r="U375" s="1">
        <f t="shared" si="47"/>
        <v>0</v>
      </c>
    </row>
    <row r="376" spans="1:21" x14ac:dyDescent="0.25">
      <c r="A376" s="15">
        <v>4031</v>
      </c>
      <c r="B376" s="15">
        <v>7</v>
      </c>
      <c r="C376" s="16" t="s">
        <v>368</v>
      </c>
      <c r="D376" s="12">
        <v>92</v>
      </c>
      <c r="E376" s="12">
        <v>92</v>
      </c>
      <c r="F376" s="12">
        <v>0</v>
      </c>
      <c r="G376" s="13">
        <v>0</v>
      </c>
      <c r="H376" s="1">
        <f t="shared" si="40"/>
        <v>0</v>
      </c>
      <c r="I376" s="1">
        <f t="shared" si="41"/>
        <v>0</v>
      </c>
      <c r="J376" s="12">
        <v>0</v>
      </c>
      <c r="K376" s="13">
        <v>0</v>
      </c>
      <c r="L376" s="1">
        <f t="shared" si="42"/>
        <v>0</v>
      </c>
      <c r="M376" s="1">
        <f t="shared" si="43"/>
        <v>0</v>
      </c>
      <c r="N376" s="12">
        <v>0</v>
      </c>
      <c r="O376" s="12">
        <v>0</v>
      </c>
      <c r="P376" s="1">
        <f t="shared" si="44"/>
        <v>0</v>
      </c>
      <c r="Q376" s="1">
        <f t="shared" si="45"/>
        <v>0</v>
      </c>
      <c r="R376" s="12">
        <v>11778</v>
      </c>
      <c r="S376" s="12">
        <v>11778</v>
      </c>
      <c r="T376" s="1">
        <f t="shared" si="46"/>
        <v>0</v>
      </c>
      <c r="U376" s="1">
        <f t="shared" si="47"/>
        <v>0</v>
      </c>
    </row>
    <row r="377" spans="1:21" x14ac:dyDescent="0.25">
      <c r="A377" s="15">
        <v>4032</v>
      </c>
      <c r="B377" s="15">
        <v>7</v>
      </c>
      <c r="C377" s="16" t="s">
        <v>369</v>
      </c>
      <c r="D377" s="12">
        <v>408</v>
      </c>
      <c r="E377" s="12">
        <v>417</v>
      </c>
      <c r="F377" s="12">
        <v>0</v>
      </c>
      <c r="G377" s="13">
        <v>0</v>
      </c>
      <c r="H377" s="1">
        <f t="shared" si="40"/>
        <v>0</v>
      </c>
      <c r="I377" s="1">
        <f t="shared" si="41"/>
        <v>0</v>
      </c>
      <c r="J377" s="12">
        <v>0</v>
      </c>
      <c r="K377" s="13">
        <v>0</v>
      </c>
      <c r="L377" s="1">
        <f t="shared" si="42"/>
        <v>0</v>
      </c>
      <c r="M377" s="1">
        <f t="shared" si="43"/>
        <v>0</v>
      </c>
      <c r="N377" s="12">
        <v>0</v>
      </c>
      <c r="O377" s="12">
        <v>0</v>
      </c>
      <c r="P377" s="1">
        <f t="shared" si="44"/>
        <v>0</v>
      </c>
      <c r="Q377" s="1">
        <f t="shared" si="45"/>
        <v>0</v>
      </c>
      <c r="R377" s="12">
        <v>41037</v>
      </c>
      <c r="S377" s="12">
        <v>41037</v>
      </c>
      <c r="T377" s="1">
        <f t="shared" si="46"/>
        <v>0</v>
      </c>
      <c r="U377" s="1">
        <f t="shared" si="47"/>
        <v>0</v>
      </c>
    </row>
    <row r="378" spans="1:21" x14ac:dyDescent="0.25">
      <c r="A378" s="15">
        <v>4035</v>
      </c>
      <c r="B378" s="15">
        <v>7</v>
      </c>
      <c r="C378" s="16" t="s">
        <v>370</v>
      </c>
      <c r="D378" s="12">
        <v>330</v>
      </c>
      <c r="E378" s="12">
        <v>350</v>
      </c>
      <c r="F378" s="12">
        <v>0</v>
      </c>
      <c r="G378" s="13">
        <v>0</v>
      </c>
      <c r="H378" s="1">
        <f t="shared" si="40"/>
        <v>0</v>
      </c>
      <c r="I378" s="1">
        <f t="shared" si="41"/>
        <v>0</v>
      </c>
      <c r="J378" s="12">
        <v>0</v>
      </c>
      <c r="K378" s="13">
        <v>0</v>
      </c>
      <c r="L378" s="1">
        <f t="shared" si="42"/>
        <v>0</v>
      </c>
      <c r="M378" s="1">
        <f t="shared" si="43"/>
        <v>0</v>
      </c>
      <c r="N378" s="12">
        <v>0</v>
      </c>
      <c r="O378" s="12">
        <v>0</v>
      </c>
      <c r="P378" s="1">
        <f t="shared" si="44"/>
        <v>0</v>
      </c>
      <c r="Q378" s="1">
        <f t="shared" si="45"/>
        <v>0</v>
      </c>
      <c r="R378" s="12">
        <v>36450</v>
      </c>
      <c r="S378" s="12">
        <v>36450</v>
      </c>
      <c r="T378" s="1">
        <f t="shared" si="46"/>
        <v>0</v>
      </c>
      <c r="U378" s="1">
        <f t="shared" si="47"/>
        <v>0</v>
      </c>
    </row>
    <row r="379" spans="1:21" x14ac:dyDescent="0.25">
      <c r="A379" s="15">
        <v>4036</v>
      </c>
      <c r="B379" s="15">
        <v>7</v>
      </c>
      <c r="C379" s="16" t="s">
        <v>371</v>
      </c>
      <c r="D379" s="12">
        <v>67</v>
      </c>
      <c r="E379" s="12">
        <v>68</v>
      </c>
      <c r="F379" s="12">
        <v>0</v>
      </c>
      <c r="G379" s="13">
        <v>0</v>
      </c>
      <c r="H379" s="1">
        <f t="shared" si="40"/>
        <v>0</v>
      </c>
      <c r="I379" s="1">
        <f t="shared" si="41"/>
        <v>0</v>
      </c>
      <c r="J379" s="12">
        <v>0</v>
      </c>
      <c r="K379" s="13">
        <v>0</v>
      </c>
      <c r="L379" s="1">
        <f t="shared" si="42"/>
        <v>0</v>
      </c>
      <c r="M379" s="1">
        <f t="shared" si="43"/>
        <v>0</v>
      </c>
      <c r="N379" s="12">
        <v>0</v>
      </c>
      <c r="O379" s="12">
        <v>0</v>
      </c>
      <c r="P379" s="1">
        <f t="shared" si="44"/>
        <v>0</v>
      </c>
      <c r="Q379" s="1">
        <f t="shared" si="45"/>
        <v>0</v>
      </c>
      <c r="R379" s="12">
        <v>8705</v>
      </c>
      <c r="S379" s="12">
        <v>8705</v>
      </c>
      <c r="T379" s="1">
        <f t="shared" si="46"/>
        <v>0</v>
      </c>
      <c r="U379" s="1">
        <f t="shared" si="47"/>
        <v>0</v>
      </c>
    </row>
    <row r="380" spans="1:21" x14ac:dyDescent="0.25">
      <c r="A380" s="15">
        <v>4038</v>
      </c>
      <c r="B380" s="15">
        <v>7</v>
      </c>
      <c r="C380" s="16" t="s">
        <v>372</v>
      </c>
      <c r="D380" s="12">
        <v>280</v>
      </c>
      <c r="E380" s="12">
        <v>302</v>
      </c>
      <c r="F380" s="12">
        <v>0</v>
      </c>
      <c r="G380" s="13">
        <v>0</v>
      </c>
      <c r="H380" s="1">
        <f t="shared" si="40"/>
        <v>0</v>
      </c>
      <c r="I380" s="1">
        <f t="shared" si="41"/>
        <v>0</v>
      </c>
      <c r="J380" s="12">
        <v>0</v>
      </c>
      <c r="K380" s="13">
        <v>0</v>
      </c>
      <c r="L380" s="1">
        <f t="shared" si="42"/>
        <v>0</v>
      </c>
      <c r="M380" s="1">
        <f t="shared" si="43"/>
        <v>0</v>
      </c>
      <c r="N380" s="12">
        <v>0</v>
      </c>
      <c r="O380" s="12">
        <v>0</v>
      </c>
      <c r="P380" s="1">
        <f t="shared" si="44"/>
        <v>0</v>
      </c>
      <c r="Q380" s="1">
        <f t="shared" si="45"/>
        <v>0</v>
      </c>
      <c r="R380" s="12">
        <v>31285</v>
      </c>
      <c r="S380" s="12">
        <v>31285</v>
      </c>
      <c r="T380" s="1">
        <f t="shared" si="46"/>
        <v>0</v>
      </c>
      <c r="U380" s="1">
        <f t="shared" si="47"/>
        <v>0</v>
      </c>
    </row>
    <row r="381" spans="1:21" x14ac:dyDescent="0.25">
      <c r="A381" s="15">
        <v>4039</v>
      </c>
      <c r="B381" s="15">
        <v>7</v>
      </c>
      <c r="C381" s="16" t="s">
        <v>373</v>
      </c>
      <c r="D381" s="12">
        <v>200</v>
      </c>
      <c r="E381" s="12">
        <v>200</v>
      </c>
      <c r="F381" s="12">
        <v>0</v>
      </c>
      <c r="G381" s="13">
        <v>0</v>
      </c>
      <c r="H381" s="1">
        <f t="shared" si="40"/>
        <v>0</v>
      </c>
      <c r="I381" s="1">
        <f t="shared" si="41"/>
        <v>0</v>
      </c>
      <c r="J381" s="12">
        <v>0</v>
      </c>
      <c r="K381" s="13">
        <v>0</v>
      </c>
      <c r="L381" s="1">
        <f t="shared" si="42"/>
        <v>0</v>
      </c>
      <c r="M381" s="1">
        <f t="shared" si="43"/>
        <v>0</v>
      </c>
      <c r="N381" s="12">
        <v>0</v>
      </c>
      <c r="O381" s="12">
        <v>0</v>
      </c>
      <c r="P381" s="1">
        <f t="shared" si="44"/>
        <v>0</v>
      </c>
      <c r="Q381" s="1">
        <f t="shared" si="45"/>
        <v>0</v>
      </c>
      <c r="R381" s="12">
        <v>25603</v>
      </c>
      <c r="S381" s="12">
        <v>25603</v>
      </c>
      <c r="T381" s="1">
        <f t="shared" si="46"/>
        <v>0</v>
      </c>
      <c r="U381" s="1">
        <f t="shared" si="47"/>
        <v>0</v>
      </c>
    </row>
    <row r="382" spans="1:21" x14ac:dyDescent="0.25">
      <c r="A382" s="15">
        <v>4040</v>
      </c>
      <c r="B382" s="15">
        <v>7</v>
      </c>
      <c r="C382" s="16" t="s">
        <v>374</v>
      </c>
      <c r="D382" s="12">
        <v>0</v>
      </c>
      <c r="E382" s="12">
        <v>0</v>
      </c>
      <c r="F382" s="12">
        <v>0</v>
      </c>
      <c r="G382" s="13">
        <v>0</v>
      </c>
      <c r="H382" s="1">
        <f t="shared" si="40"/>
        <v>0</v>
      </c>
      <c r="I382" s="1">
        <f t="shared" si="41"/>
        <v>0</v>
      </c>
      <c r="J382" s="12">
        <v>0</v>
      </c>
      <c r="K382" s="13">
        <v>0</v>
      </c>
      <c r="L382" s="1">
        <f t="shared" si="42"/>
        <v>0</v>
      </c>
      <c r="M382" s="1">
        <f t="shared" si="43"/>
        <v>0</v>
      </c>
      <c r="N382" s="12">
        <v>0</v>
      </c>
      <c r="O382" s="12">
        <v>0</v>
      </c>
      <c r="P382" s="1">
        <f t="shared" si="44"/>
        <v>0</v>
      </c>
      <c r="Q382" s="1">
        <f t="shared" si="45"/>
        <v>0</v>
      </c>
      <c r="R382" s="12">
        <v>0</v>
      </c>
      <c r="S382" s="12">
        <v>0</v>
      </c>
      <c r="T382" s="1">
        <f t="shared" si="46"/>
        <v>0</v>
      </c>
      <c r="U382" s="1">
        <f t="shared" si="47"/>
        <v>0</v>
      </c>
    </row>
    <row r="383" spans="1:21" x14ac:dyDescent="0.25">
      <c r="A383" s="15">
        <v>4042</v>
      </c>
      <c r="B383" s="15">
        <v>7</v>
      </c>
      <c r="C383" s="16" t="s">
        <v>375</v>
      </c>
      <c r="D383" s="12">
        <v>215</v>
      </c>
      <c r="E383" s="12">
        <v>210</v>
      </c>
      <c r="F383" s="12">
        <v>0</v>
      </c>
      <c r="G383" s="13">
        <v>0</v>
      </c>
      <c r="H383" s="1">
        <f t="shared" si="40"/>
        <v>0</v>
      </c>
      <c r="I383" s="1">
        <f t="shared" si="41"/>
        <v>0</v>
      </c>
      <c r="J383" s="12">
        <v>0</v>
      </c>
      <c r="K383" s="13">
        <v>0</v>
      </c>
      <c r="L383" s="1">
        <f t="shared" si="42"/>
        <v>0</v>
      </c>
      <c r="M383" s="1">
        <f t="shared" si="43"/>
        <v>0</v>
      </c>
      <c r="N383" s="12">
        <v>0</v>
      </c>
      <c r="O383" s="12">
        <v>0</v>
      </c>
      <c r="P383" s="1">
        <f t="shared" si="44"/>
        <v>0</v>
      </c>
      <c r="Q383" s="1">
        <f t="shared" si="45"/>
        <v>0</v>
      </c>
      <c r="R383" s="12">
        <v>25377</v>
      </c>
      <c r="S383" s="12">
        <v>25377</v>
      </c>
      <c r="T383" s="1">
        <f t="shared" si="46"/>
        <v>0</v>
      </c>
      <c r="U383" s="1">
        <f t="shared" si="47"/>
        <v>0</v>
      </c>
    </row>
    <row r="384" spans="1:21" x14ac:dyDescent="0.25">
      <c r="A384" s="15">
        <v>4043</v>
      </c>
      <c r="B384" s="15">
        <v>7</v>
      </c>
      <c r="C384" s="16" t="s">
        <v>376</v>
      </c>
      <c r="D384" s="12">
        <v>322</v>
      </c>
      <c r="E384" s="12">
        <v>322</v>
      </c>
      <c r="F384" s="12">
        <v>0</v>
      </c>
      <c r="G384" s="13">
        <v>0</v>
      </c>
      <c r="H384" s="1">
        <f t="shared" si="40"/>
        <v>0</v>
      </c>
      <c r="I384" s="1">
        <f t="shared" si="41"/>
        <v>0</v>
      </c>
      <c r="J384" s="12">
        <v>0</v>
      </c>
      <c r="K384" s="13">
        <v>0</v>
      </c>
      <c r="L384" s="1">
        <f t="shared" si="42"/>
        <v>0</v>
      </c>
      <c r="M384" s="1">
        <f t="shared" si="43"/>
        <v>0</v>
      </c>
      <c r="N384" s="12">
        <v>0</v>
      </c>
      <c r="O384" s="12">
        <v>0</v>
      </c>
      <c r="P384" s="1">
        <f t="shared" si="44"/>
        <v>0</v>
      </c>
      <c r="Q384" s="1">
        <f t="shared" si="45"/>
        <v>0</v>
      </c>
      <c r="R384" s="12">
        <v>39236</v>
      </c>
      <c r="S384" s="12">
        <v>39236</v>
      </c>
      <c r="T384" s="1">
        <f t="shared" si="46"/>
        <v>0</v>
      </c>
      <c r="U384" s="1">
        <f t="shared" si="47"/>
        <v>0</v>
      </c>
    </row>
    <row r="385" spans="1:21" x14ac:dyDescent="0.25">
      <c r="A385" s="15">
        <v>4044</v>
      </c>
      <c r="B385" s="15">
        <v>7</v>
      </c>
      <c r="C385" s="16" t="s">
        <v>377</v>
      </c>
      <c r="D385" s="12">
        <v>0</v>
      </c>
      <c r="E385" s="12">
        <v>0</v>
      </c>
      <c r="F385" s="12">
        <v>0</v>
      </c>
      <c r="G385" s="13">
        <v>0</v>
      </c>
      <c r="H385" s="1">
        <f t="shared" si="40"/>
        <v>0</v>
      </c>
      <c r="I385" s="1">
        <f t="shared" si="41"/>
        <v>0</v>
      </c>
      <c r="J385" s="12">
        <v>0</v>
      </c>
      <c r="K385" s="13">
        <v>0</v>
      </c>
      <c r="L385" s="1">
        <f t="shared" si="42"/>
        <v>0</v>
      </c>
      <c r="M385" s="1">
        <f t="shared" si="43"/>
        <v>0</v>
      </c>
      <c r="N385" s="12">
        <v>0</v>
      </c>
      <c r="O385" s="12">
        <v>0</v>
      </c>
      <c r="P385" s="1">
        <f t="shared" si="44"/>
        <v>0</v>
      </c>
      <c r="Q385" s="1">
        <f t="shared" si="45"/>
        <v>0</v>
      </c>
      <c r="R385" s="12">
        <v>0</v>
      </c>
      <c r="S385" s="12">
        <v>0</v>
      </c>
      <c r="T385" s="1">
        <f t="shared" si="46"/>
        <v>0</v>
      </c>
      <c r="U385" s="1">
        <f t="shared" si="47"/>
        <v>0</v>
      </c>
    </row>
    <row r="386" spans="1:21" x14ac:dyDescent="0.25">
      <c r="A386" s="15">
        <v>4045</v>
      </c>
      <c r="B386" s="15">
        <v>7</v>
      </c>
      <c r="C386" s="16" t="s">
        <v>378</v>
      </c>
      <c r="D386" s="12">
        <v>70</v>
      </c>
      <c r="E386" s="12">
        <v>80</v>
      </c>
      <c r="F386" s="12">
        <v>0</v>
      </c>
      <c r="G386" s="13">
        <v>0</v>
      </c>
      <c r="H386" s="1">
        <f t="shared" si="40"/>
        <v>0</v>
      </c>
      <c r="I386" s="1">
        <f t="shared" si="41"/>
        <v>0</v>
      </c>
      <c r="J386" s="12">
        <v>0</v>
      </c>
      <c r="K386" s="13">
        <v>0</v>
      </c>
      <c r="L386" s="1">
        <f t="shared" si="42"/>
        <v>0</v>
      </c>
      <c r="M386" s="1">
        <f t="shared" si="43"/>
        <v>0</v>
      </c>
      <c r="N386" s="12">
        <v>0</v>
      </c>
      <c r="O386" s="12">
        <v>0</v>
      </c>
      <c r="P386" s="1">
        <f t="shared" si="44"/>
        <v>0</v>
      </c>
      <c r="Q386" s="1">
        <f t="shared" si="45"/>
        <v>0</v>
      </c>
      <c r="R386" s="12">
        <v>10241</v>
      </c>
      <c r="S386" s="12">
        <v>10241</v>
      </c>
      <c r="T386" s="1">
        <f t="shared" si="46"/>
        <v>0</v>
      </c>
      <c r="U386" s="1">
        <f t="shared" si="47"/>
        <v>0</v>
      </c>
    </row>
    <row r="387" spans="1:21" x14ac:dyDescent="0.25">
      <c r="A387" s="15">
        <v>4046</v>
      </c>
      <c r="B387" s="15">
        <v>7</v>
      </c>
      <c r="C387" s="16" t="s">
        <v>379</v>
      </c>
      <c r="D387" s="12">
        <v>97</v>
      </c>
      <c r="E387" s="12">
        <v>90</v>
      </c>
      <c r="F387" s="12">
        <v>0</v>
      </c>
      <c r="G387" s="13">
        <v>0</v>
      </c>
      <c r="H387" s="1">
        <f t="shared" si="40"/>
        <v>0</v>
      </c>
      <c r="I387" s="1">
        <f t="shared" si="41"/>
        <v>0</v>
      </c>
      <c r="J387" s="12">
        <v>0</v>
      </c>
      <c r="K387" s="13">
        <v>0</v>
      </c>
      <c r="L387" s="1">
        <f t="shared" si="42"/>
        <v>0</v>
      </c>
      <c r="M387" s="1">
        <f t="shared" si="43"/>
        <v>0</v>
      </c>
      <c r="N387" s="12">
        <v>0</v>
      </c>
      <c r="O387" s="12">
        <v>0</v>
      </c>
      <c r="P387" s="1">
        <f t="shared" si="44"/>
        <v>0</v>
      </c>
      <c r="Q387" s="1">
        <f t="shared" si="45"/>
        <v>0</v>
      </c>
      <c r="R387" s="12">
        <v>11727</v>
      </c>
      <c r="S387" s="12">
        <v>11727</v>
      </c>
      <c r="T387" s="1">
        <f t="shared" si="46"/>
        <v>0</v>
      </c>
      <c r="U387" s="1">
        <f t="shared" si="47"/>
        <v>0</v>
      </c>
    </row>
    <row r="388" spans="1:21" x14ac:dyDescent="0.25">
      <c r="A388" s="15">
        <v>4048</v>
      </c>
      <c r="B388" s="15">
        <v>7</v>
      </c>
      <c r="C388" s="16" t="s">
        <v>380</v>
      </c>
      <c r="D388" s="12">
        <v>43</v>
      </c>
      <c r="E388" s="12">
        <v>43</v>
      </c>
      <c r="F388" s="12">
        <v>0</v>
      </c>
      <c r="G388" s="13">
        <v>0</v>
      </c>
      <c r="H388" s="1">
        <f t="shared" si="40"/>
        <v>0</v>
      </c>
      <c r="I388" s="1">
        <f t="shared" si="41"/>
        <v>0</v>
      </c>
      <c r="J388" s="12">
        <v>0</v>
      </c>
      <c r="K388" s="13">
        <v>0</v>
      </c>
      <c r="L388" s="1">
        <f t="shared" si="42"/>
        <v>0</v>
      </c>
      <c r="M388" s="1">
        <f t="shared" si="43"/>
        <v>0</v>
      </c>
      <c r="N388" s="12">
        <v>0</v>
      </c>
      <c r="O388" s="12">
        <v>0</v>
      </c>
      <c r="P388" s="1">
        <f t="shared" si="44"/>
        <v>0</v>
      </c>
      <c r="Q388" s="1">
        <f t="shared" si="45"/>
        <v>0</v>
      </c>
      <c r="R388" s="12">
        <v>5505</v>
      </c>
      <c r="S388" s="12">
        <v>5505</v>
      </c>
      <c r="T388" s="1">
        <f t="shared" si="46"/>
        <v>0</v>
      </c>
      <c r="U388" s="1">
        <f t="shared" si="47"/>
        <v>0</v>
      </c>
    </row>
    <row r="389" spans="1:21" x14ac:dyDescent="0.25">
      <c r="A389" s="15">
        <v>4049</v>
      </c>
      <c r="B389" s="15">
        <v>7</v>
      </c>
      <c r="C389" s="16" t="s">
        <v>381</v>
      </c>
      <c r="D389" s="12">
        <v>220</v>
      </c>
      <c r="E389" s="12">
        <v>220</v>
      </c>
      <c r="F389" s="12">
        <v>0</v>
      </c>
      <c r="G389" s="13">
        <v>0</v>
      </c>
      <c r="H389" s="1">
        <f t="shared" si="40"/>
        <v>0</v>
      </c>
      <c r="I389" s="1">
        <f t="shared" si="41"/>
        <v>0</v>
      </c>
      <c r="J389" s="12">
        <v>0</v>
      </c>
      <c r="K389" s="13">
        <v>0</v>
      </c>
      <c r="L389" s="1">
        <f t="shared" si="42"/>
        <v>0</v>
      </c>
      <c r="M389" s="1">
        <f t="shared" si="43"/>
        <v>0</v>
      </c>
      <c r="N389" s="12">
        <v>0</v>
      </c>
      <c r="O389" s="12">
        <v>0</v>
      </c>
      <c r="P389" s="1">
        <f t="shared" si="44"/>
        <v>0</v>
      </c>
      <c r="Q389" s="1">
        <f t="shared" si="45"/>
        <v>0</v>
      </c>
      <c r="R389" s="12">
        <v>28164</v>
      </c>
      <c r="S389" s="12">
        <v>28164</v>
      </c>
      <c r="T389" s="1">
        <f t="shared" si="46"/>
        <v>0</v>
      </c>
      <c r="U389" s="1">
        <f t="shared" si="47"/>
        <v>0</v>
      </c>
    </row>
    <row r="390" spans="1:21" x14ac:dyDescent="0.25">
      <c r="A390" s="15">
        <v>4050</v>
      </c>
      <c r="B390" s="15">
        <v>7</v>
      </c>
      <c r="C390" s="16" t="s">
        <v>382</v>
      </c>
      <c r="D390" s="12">
        <v>75</v>
      </c>
      <c r="E390" s="12">
        <v>80</v>
      </c>
      <c r="F390" s="12">
        <v>0</v>
      </c>
      <c r="G390" s="13">
        <v>0</v>
      </c>
      <c r="H390" s="1">
        <f t="shared" si="40"/>
        <v>0</v>
      </c>
      <c r="I390" s="1">
        <f t="shared" si="41"/>
        <v>0</v>
      </c>
      <c r="J390" s="12">
        <v>0</v>
      </c>
      <c r="K390" s="13">
        <v>0</v>
      </c>
      <c r="L390" s="1">
        <f t="shared" si="42"/>
        <v>0</v>
      </c>
      <c r="M390" s="1">
        <f t="shared" si="43"/>
        <v>0</v>
      </c>
      <c r="N390" s="12">
        <v>0</v>
      </c>
      <c r="O390" s="12">
        <v>0</v>
      </c>
      <c r="P390" s="1">
        <f t="shared" si="44"/>
        <v>0</v>
      </c>
      <c r="Q390" s="1">
        <f t="shared" si="45"/>
        <v>0</v>
      </c>
      <c r="R390" s="12">
        <v>8348</v>
      </c>
      <c r="S390" s="12">
        <v>8348</v>
      </c>
      <c r="T390" s="1">
        <f t="shared" si="46"/>
        <v>0</v>
      </c>
      <c r="U390" s="1">
        <f t="shared" si="47"/>
        <v>0</v>
      </c>
    </row>
    <row r="391" spans="1:21" x14ac:dyDescent="0.25">
      <c r="A391" s="15">
        <v>4051</v>
      </c>
      <c r="B391" s="15">
        <v>7</v>
      </c>
      <c r="C391" s="16" t="s">
        <v>383</v>
      </c>
      <c r="D391" s="12">
        <v>0</v>
      </c>
      <c r="E391" s="12">
        <v>0</v>
      </c>
      <c r="F391" s="12">
        <v>0</v>
      </c>
      <c r="G391" s="13">
        <v>0</v>
      </c>
      <c r="H391" s="1">
        <f t="shared" si="40"/>
        <v>0</v>
      </c>
      <c r="I391" s="1">
        <f t="shared" si="41"/>
        <v>0</v>
      </c>
      <c r="J391" s="12">
        <v>0</v>
      </c>
      <c r="K391" s="13">
        <v>0</v>
      </c>
      <c r="L391" s="1">
        <f t="shared" si="42"/>
        <v>0</v>
      </c>
      <c r="M391" s="1">
        <f t="shared" si="43"/>
        <v>0</v>
      </c>
      <c r="N391" s="12">
        <v>0</v>
      </c>
      <c r="O391" s="12">
        <v>0</v>
      </c>
      <c r="P391" s="1">
        <f t="shared" si="44"/>
        <v>0</v>
      </c>
      <c r="Q391" s="1">
        <f t="shared" si="45"/>
        <v>0</v>
      </c>
      <c r="R391" s="12">
        <v>0</v>
      </c>
      <c r="S391" s="12">
        <v>0</v>
      </c>
      <c r="T391" s="1">
        <f t="shared" si="46"/>
        <v>0</v>
      </c>
      <c r="U391" s="1">
        <f t="shared" si="47"/>
        <v>0</v>
      </c>
    </row>
    <row r="392" spans="1:21" x14ac:dyDescent="0.25">
      <c r="A392" s="15">
        <v>4052</v>
      </c>
      <c r="B392" s="15">
        <v>7</v>
      </c>
      <c r="C392" s="16" t="s">
        <v>384</v>
      </c>
      <c r="D392" s="12">
        <v>95</v>
      </c>
      <c r="E392" s="12">
        <v>96</v>
      </c>
      <c r="F392" s="12">
        <v>0</v>
      </c>
      <c r="G392" s="13">
        <v>0</v>
      </c>
      <c r="H392" s="1">
        <f t="shared" si="40"/>
        <v>0</v>
      </c>
      <c r="I392" s="1">
        <f t="shared" si="41"/>
        <v>0</v>
      </c>
      <c r="J392" s="12">
        <v>0</v>
      </c>
      <c r="K392" s="13">
        <v>0</v>
      </c>
      <c r="L392" s="1">
        <f t="shared" si="42"/>
        <v>0</v>
      </c>
      <c r="M392" s="1">
        <f t="shared" si="43"/>
        <v>0</v>
      </c>
      <c r="N392" s="12">
        <v>0</v>
      </c>
      <c r="O392" s="12">
        <v>0</v>
      </c>
      <c r="P392" s="1">
        <f t="shared" si="44"/>
        <v>0</v>
      </c>
      <c r="Q392" s="1">
        <f t="shared" si="45"/>
        <v>0</v>
      </c>
      <c r="R392" s="12">
        <v>12290</v>
      </c>
      <c r="S392" s="12">
        <v>12290</v>
      </c>
      <c r="T392" s="1">
        <f t="shared" si="46"/>
        <v>0</v>
      </c>
      <c r="U392" s="1">
        <f t="shared" si="47"/>
        <v>0</v>
      </c>
    </row>
    <row r="393" spans="1:21" x14ac:dyDescent="0.25">
      <c r="A393" s="15">
        <v>4053</v>
      </c>
      <c r="B393" s="15">
        <v>7</v>
      </c>
      <c r="C393" s="16" t="s">
        <v>385</v>
      </c>
      <c r="D393" s="12">
        <v>422</v>
      </c>
      <c r="E393" s="12">
        <v>432</v>
      </c>
      <c r="F393" s="12">
        <v>0</v>
      </c>
      <c r="G393" s="13">
        <v>0</v>
      </c>
      <c r="H393" s="1">
        <f t="shared" si="40"/>
        <v>0</v>
      </c>
      <c r="I393" s="1">
        <f t="shared" si="41"/>
        <v>0</v>
      </c>
      <c r="J393" s="12">
        <v>0</v>
      </c>
      <c r="K393" s="13">
        <v>0</v>
      </c>
      <c r="L393" s="1">
        <f t="shared" si="42"/>
        <v>0</v>
      </c>
      <c r="M393" s="1">
        <f t="shared" si="43"/>
        <v>0</v>
      </c>
      <c r="N393" s="12">
        <v>0</v>
      </c>
      <c r="O393" s="12">
        <v>0</v>
      </c>
      <c r="P393" s="1">
        <f t="shared" si="44"/>
        <v>0</v>
      </c>
      <c r="Q393" s="1">
        <f t="shared" si="45"/>
        <v>0</v>
      </c>
      <c r="R393" s="12">
        <v>53413</v>
      </c>
      <c r="S393" s="12">
        <v>53413</v>
      </c>
      <c r="T393" s="1">
        <f t="shared" si="46"/>
        <v>0</v>
      </c>
      <c r="U393" s="1">
        <f t="shared" si="47"/>
        <v>0</v>
      </c>
    </row>
    <row r="394" spans="1:21" x14ac:dyDescent="0.25">
      <c r="A394" s="15">
        <v>4054</v>
      </c>
      <c r="B394" s="15">
        <v>7</v>
      </c>
      <c r="C394" s="16" t="s">
        <v>386</v>
      </c>
      <c r="D394" s="12">
        <v>54</v>
      </c>
      <c r="E394" s="12">
        <v>60</v>
      </c>
      <c r="F394" s="12">
        <v>0</v>
      </c>
      <c r="G394" s="13">
        <v>0</v>
      </c>
      <c r="H394" s="1">
        <f t="shared" si="40"/>
        <v>0</v>
      </c>
      <c r="I394" s="1">
        <f t="shared" si="41"/>
        <v>0</v>
      </c>
      <c r="J394" s="12">
        <v>0</v>
      </c>
      <c r="K394" s="13">
        <v>0</v>
      </c>
      <c r="L394" s="1">
        <f t="shared" si="42"/>
        <v>0</v>
      </c>
      <c r="M394" s="1">
        <f t="shared" si="43"/>
        <v>0</v>
      </c>
      <c r="N394" s="12">
        <v>0</v>
      </c>
      <c r="O394" s="12">
        <v>0</v>
      </c>
      <c r="P394" s="1">
        <f t="shared" si="44"/>
        <v>0</v>
      </c>
      <c r="Q394" s="1">
        <f t="shared" si="45"/>
        <v>0</v>
      </c>
      <c r="R394" s="12">
        <v>6316</v>
      </c>
      <c r="S394" s="12">
        <v>6316</v>
      </c>
      <c r="T394" s="1">
        <f t="shared" si="46"/>
        <v>0</v>
      </c>
      <c r="U394" s="1">
        <f t="shared" si="47"/>
        <v>0</v>
      </c>
    </row>
    <row r="395" spans="1:21" x14ac:dyDescent="0.25">
      <c r="A395" s="15">
        <v>4055</v>
      </c>
      <c r="B395" s="15">
        <v>7</v>
      </c>
      <c r="C395" s="16" t="s">
        <v>387</v>
      </c>
      <c r="D395" s="12">
        <v>154</v>
      </c>
      <c r="E395" s="12">
        <v>154</v>
      </c>
      <c r="F395" s="12">
        <v>0</v>
      </c>
      <c r="G395" s="13">
        <v>0</v>
      </c>
      <c r="H395" s="1">
        <f t="shared" si="40"/>
        <v>0</v>
      </c>
      <c r="I395" s="1">
        <f t="shared" si="41"/>
        <v>0</v>
      </c>
      <c r="J395" s="12">
        <v>0</v>
      </c>
      <c r="K395" s="13">
        <v>0</v>
      </c>
      <c r="L395" s="1">
        <f t="shared" si="42"/>
        <v>0</v>
      </c>
      <c r="M395" s="1">
        <f t="shared" si="43"/>
        <v>0</v>
      </c>
      <c r="N395" s="12">
        <v>0</v>
      </c>
      <c r="O395" s="12">
        <v>0</v>
      </c>
      <c r="P395" s="1">
        <f t="shared" si="44"/>
        <v>0</v>
      </c>
      <c r="Q395" s="1">
        <f t="shared" si="45"/>
        <v>0</v>
      </c>
      <c r="R395" s="12">
        <v>15439</v>
      </c>
      <c r="S395" s="12">
        <v>15439</v>
      </c>
      <c r="T395" s="1">
        <f t="shared" si="46"/>
        <v>0</v>
      </c>
      <c r="U395" s="1">
        <f t="shared" si="47"/>
        <v>0</v>
      </c>
    </row>
    <row r="396" spans="1:21" x14ac:dyDescent="0.25">
      <c r="A396" s="15">
        <v>4056</v>
      </c>
      <c r="B396" s="15">
        <v>7</v>
      </c>
      <c r="C396" s="16" t="s">
        <v>388</v>
      </c>
      <c r="D396" s="12">
        <v>113</v>
      </c>
      <c r="E396" s="12">
        <v>100</v>
      </c>
      <c r="F396" s="12">
        <v>0</v>
      </c>
      <c r="G396" s="13">
        <v>0</v>
      </c>
      <c r="H396" s="1">
        <f t="shared" si="40"/>
        <v>0</v>
      </c>
      <c r="I396" s="1">
        <f t="shared" si="41"/>
        <v>0</v>
      </c>
      <c r="J396" s="12">
        <v>0</v>
      </c>
      <c r="K396" s="13">
        <v>0</v>
      </c>
      <c r="L396" s="1">
        <f t="shared" si="42"/>
        <v>0</v>
      </c>
      <c r="M396" s="1">
        <f t="shared" si="43"/>
        <v>0</v>
      </c>
      <c r="N396" s="12">
        <v>0</v>
      </c>
      <c r="O396" s="12">
        <v>0</v>
      </c>
      <c r="P396" s="1">
        <f t="shared" si="44"/>
        <v>0</v>
      </c>
      <c r="Q396" s="1">
        <f t="shared" si="45"/>
        <v>0</v>
      </c>
      <c r="R396" s="12">
        <v>13185</v>
      </c>
      <c r="S396" s="12">
        <v>13185</v>
      </c>
      <c r="T396" s="1">
        <f t="shared" si="46"/>
        <v>0</v>
      </c>
      <c r="U396" s="1">
        <f t="shared" si="47"/>
        <v>0</v>
      </c>
    </row>
    <row r="397" spans="1:21" x14ac:dyDescent="0.25">
      <c r="A397" s="15">
        <v>4057</v>
      </c>
      <c r="B397" s="15">
        <v>7</v>
      </c>
      <c r="C397" s="16" t="s">
        <v>389</v>
      </c>
      <c r="D397" s="12">
        <v>95</v>
      </c>
      <c r="E397" s="12">
        <v>90</v>
      </c>
      <c r="F397" s="12">
        <v>0</v>
      </c>
      <c r="G397" s="13">
        <v>0</v>
      </c>
      <c r="H397" s="1">
        <f t="shared" ref="H397:H460" si="48">G397-F397</f>
        <v>0</v>
      </c>
      <c r="I397" s="1">
        <f t="shared" ref="I397:I460" si="49">IF(D397=0,0,H397/D397)</f>
        <v>0</v>
      </c>
      <c r="J397" s="12">
        <v>0</v>
      </c>
      <c r="K397" s="13">
        <v>0</v>
      </c>
      <c r="L397" s="1">
        <f t="shared" ref="L397:L460" si="50">K397-J397</f>
        <v>0</v>
      </c>
      <c r="M397" s="1">
        <f t="shared" ref="M397:M460" si="51">IF(E397=0,0,L397/E397)</f>
        <v>0</v>
      </c>
      <c r="N397" s="12">
        <v>0</v>
      </c>
      <c r="O397" s="12">
        <v>0</v>
      </c>
      <c r="P397" s="1">
        <f t="shared" ref="P397:P460" si="52">O397-N397</f>
        <v>0</v>
      </c>
      <c r="Q397" s="1">
        <f t="shared" ref="Q397:Q460" si="53">IF(E397=0,0,P397/E397)</f>
        <v>0</v>
      </c>
      <c r="R397" s="12">
        <v>11669</v>
      </c>
      <c r="S397" s="12">
        <v>11669</v>
      </c>
      <c r="T397" s="1">
        <f t="shared" ref="T397:T460" si="54">S397-R397</f>
        <v>0</v>
      </c>
      <c r="U397" s="1">
        <f t="shared" ref="U397:U460" si="55">IF(E397=0,0,T397/E397)</f>
        <v>0</v>
      </c>
    </row>
    <row r="398" spans="1:21" x14ac:dyDescent="0.25">
      <c r="A398" s="15">
        <v>4058</v>
      </c>
      <c r="B398" s="15">
        <v>7</v>
      </c>
      <c r="C398" s="16" t="s">
        <v>390</v>
      </c>
      <c r="D398" s="12">
        <v>179</v>
      </c>
      <c r="E398" s="12">
        <v>180</v>
      </c>
      <c r="F398" s="12">
        <v>0</v>
      </c>
      <c r="G398" s="13">
        <v>0</v>
      </c>
      <c r="H398" s="1">
        <f t="shared" si="48"/>
        <v>0</v>
      </c>
      <c r="I398" s="1">
        <f t="shared" si="49"/>
        <v>0</v>
      </c>
      <c r="J398" s="12">
        <v>0</v>
      </c>
      <c r="K398" s="13">
        <v>0</v>
      </c>
      <c r="L398" s="1">
        <f t="shared" si="50"/>
        <v>0</v>
      </c>
      <c r="M398" s="1">
        <f t="shared" si="51"/>
        <v>0</v>
      </c>
      <c r="N398" s="12">
        <v>0</v>
      </c>
      <c r="O398" s="12">
        <v>0</v>
      </c>
      <c r="P398" s="1">
        <f t="shared" si="52"/>
        <v>0</v>
      </c>
      <c r="Q398" s="1">
        <f t="shared" si="53"/>
        <v>0</v>
      </c>
      <c r="R398" s="12">
        <v>19139</v>
      </c>
      <c r="S398" s="12">
        <v>19139</v>
      </c>
      <c r="T398" s="1">
        <f t="shared" si="54"/>
        <v>0</v>
      </c>
      <c r="U398" s="1">
        <f t="shared" si="55"/>
        <v>0</v>
      </c>
    </row>
    <row r="399" spans="1:21" x14ac:dyDescent="0.25">
      <c r="A399" s="15">
        <v>4059</v>
      </c>
      <c r="B399" s="15">
        <v>7</v>
      </c>
      <c r="C399" s="16" t="s">
        <v>391</v>
      </c>
      <c r="D399" s="12">
        <v>135</v>
      </c>
      <c r="E399" s="12">
        <v>140</v>
      </c>
      <c r="F399" s="12">
        <v>0</v>
      </c>
      <c r="G399" s="13">
        <v>0</v>
      </c>
      <c r="H399" s="1">
        <f t="shared" si="48"/>
        <v>0</v>
      </c>
      <c r="I399" s="1">
        <f t="shared" si="49"/>
        <v>0</v>
      </c>
      <c r="J399" s="12">
        <v>0</v>
      </c>
      <c r="K399" s="13">
        <v>0</v>
      </c>
      <c r="L399" s="1">
        <f t="shared" si="50"/>
        <v>0</v>
      </c>
      <c r="M399" s="1">
        <f t="shared" si="51"/>
        <v>0</v>
      </c>
      <c r="N399" s="12">
        <v>0</v>
      </c>
      <c r="O399" s="12">
        <v>0</v>
      </c>
      <c r="P399" s="1">
        <f t="shared" si="52"/>
        <v>0</v>
      </c>
      <c r="Q399" s="1">
        <f t="shared" si="53"/>
        <v>0</v>
      </c>
      <c r="R399" s="12">
        <v>14618</v>
      </c>
      <c r="S399" s="12">
        <v>14618</v>
      </c>
      <c r="T399" s="1">
        <f t="shared" si="54"/>
        <v>0</v>
      </c>
      <c r="U399" s="1">
        <f t="shared" si="55"/>
        <v>0</v>
      </c>
    </row>
    <row r="400" spans="1:21" x14ac:dyDescent="0.25">
      <c r="A400" s="15">
        <v>4060</v>
      </c>
      <c r="B400" s="15">
        <v>7</v>
      </c>
      <c r="C400" s="16" t="s">
        <v>392</v>
      </c>
      <c r="D400" s="12">
        <v>0</v>
      </c>
      <c r="E400" s="12">
        <v>0</v>
      </c>
      <c r="F400" s="12">
        <v>0</v>
      </c>
      <c r="G400" s="13">
        <v>0</v>
      </c>
      <c r="H400" s="1">
        <f t="shared" si="48"/>
        <v>0</v>
      </c>
      <c r="I400" s="1">
        <f t="shared" si="49"/>
        <v>0</v>
      </c>
      <c r="J400" s="12">
        <v>0</v>
      </c>
      <c r="K400" s="13">
        <v>0</v>
      </c>
      <c r="L400" s="1">
        <f t="shared" si="50"/>
        <v>0</v>
      </c>
      <c r="M400" s="1">
        <f t="shared" si="51"/>
        <v>0</v>
      </c>
      <c r="N400" s="12">
        <v>0</v>
      </c>
      <c r="O400" s="12">
        <v>0</v>
      </c>
      <c r="P400" s="1">
        <f t="shared" si="52"/>
        <v>0</v>
      </c>
      <c r="Q400" s="1">
        <f t="shared" si="53"/>
        <v>0</v>
      </c>
      <c r="R400" s="12">
        <v>0</v>
      </c>
      <c r="S400" s="12">
        <v>0</v>
      </c>
      <c r="T400" s="1">
        <f t="shared" si="54"/>
        <v>0</v>
      </c>
      <c r="U400" s="1">
        <f t="shared" si="55"/>
        <v>0</v>
      </c>
    </row>
    <row r="401" spans="1:21" x14ac:dyDescent="0.25">
      <c r="A401" s="15">
        <v>4061</v>
      </c>
      <c r="B401" s="15">
        <v>7</v>
      </c>
      <c r="C401" s="16" t="s">
        <v>393</v>
      </c>
      <c r="D401" s="12">
        <v>118</v>
      </c>
      <c r="E401" s="12">
        <v>118</v>
      </c>
      <c r="F401" s="12">
        <v>0</v>
      </c>
      <c r="G401" s="13">
        <v>0</v>
      </c>
      <c r="H401" s="1">
        <f t="shared" si="48"/>
        <v>0</v>
      </c>
      <c r="I401" s="1">
        <f t="shared" si="49"/>
        <v>0</v>
      </c>
      <c r="J401" s="12">
        <v>0</v>
      </c>
      <c r="K401" s="13">
        <v>0</v>
      </c>
      <c r="L401" s="1">
        <f t="shared" si="50"/>
        <v>0</v>
      </c>
      <c r="M401" s="1">
        <f t="shared" si="51"/>
        <v>0</v>
      </c>
      <c r="N401" s="12">
        <v>0</v>
      </c>
      <c r="O401" s="12">
        <v>0</v>
      </c>
      <c r="P401" s="1">
        <f t="shared" si="52"/>
        <v>0</v>
      </c>
      <c r="Q401" s="1">
        <f t="shared" si="53"/>
        <v>0</v>
      </c>
      <c r="R401" s="12">
        <v>15106</v>
      </c>
      <c r="S401" s="12">
        <v>15106</v>
      </c>
      <c r="T401" s="1">
        <f t="shared" si="54"/>
        <v>0</v>
      </c>
      <c r="U401" s="1">
        <f t="shared" si="55"/>
        <v>0</v>
      </c>
    </row>
    <row r="402" spans="1:21" x14ac:dyDescent="0.25">
      <c r="A402" s="15">
        <v>4062</v>
      </c>
      <c r="B402" s="15">
        <v>7</v>
      </c>
      <c r="C402" s="16" t="s">
        <v>394</v>
      </c>
      <c r="D402" s="12">
        <v>0</v>
      </c>
      <c r="E402" s="12">
        <v>0</v>
      </c>
      <c r="F402" s="12">
        <v>0</v>
      </c>
      <c r="G402" s="13">
        <v>0</v>
      </c>
      <c r="H402" s="1">
        <f t="shared" si="48"/>
        <v>0</v>
      </c>
      <c r="I402" s="1">
        <f t="shared" si="49"/>
        <v>0</v>
      </c>
      <c r="J402" s="12">
        <v>0</v>
      </c>
      <c r="K402" s="13">
        <v>0</v>
      </c>
      <c r="L402" s="1">
        <f t="shared" si="50"/>
        <v>0</v>
      </c>
      <c r="M402" s="1">
        <f t="shared" si="51"/>
        <v>0</v>
      </c>
      <c r="N402" s="12">
        <v>0</v>
      </c>
      <c r="O402" s="12">
        <v>0</v>
      </c>
      <c r="P402" s="1">
        <f t="shared" si="52"/>
        <v>0</v>
      </c>
      <c r="Q402" s="1">
        <f t="shared" si="53"/>
        <v>0</v>
      </c>
      <c r="R402" s="12">
        <v>0</v>
      </c>
      <c r="S402" s="12">
        <v>0</v>
      </c>
      <c r="T402" s="1">
        <f t="shared" si="54"/>
        <v>0</v>
      </c>
      <c r="U402" s="1">
        <f t="shared" si="55"/>
        <v>0</v>
      </c>
    </row>
    <row r="403" spans="1:21" x14ac:dyDescent="0.25">
      <c r="A403" s="15">
        <v>4064</v>
      </c>
      <c r="B403" s="15">
        <v>7</v>
      </c>
      <c r="C403" s="16" t="s">
        <v>395</v>
      </c>
      <c r="D403" s="12">
        <v>102</v>
      </c>
      <c r="E403" s="12">
        <v>105</v>
      </c>
      <c r="F403" s="12">
        <v>0</v>
      </c>
      <c r="G403" s="13">
        <v>0</v>
      </c>
      <c r="H403" s="1">
        <f t="shared" si="48"/>
        <v>0</v>
      </c>
      <c r="I403" s="1">
        <f t="shared" si="49"/>
        <v>0</v>
      </c>
      <c r="J403" s="12">
        <v>0</v>
      </c>
      <c r="K403" s="13">
        <v>0</v>
      </c>
      <c r="L403" s="1">
        <f t="shared" si="50"/>
        <v>0</v>
      </c>
      <c r="M403" s="1">
        <f t="shared" si="51"/>
        <v>0</v>
      </c>
      <c r="N403" s="12">
        <v>0</v>
      </c>
      <c r="O403" s="12">
        <v>0</v>
      </c>
      <c r="P403" s="1">
        <f t="shared" si="52"/>
        <v>0</v>
      </c>
      <c r="Q403" s="1">
        <f t="shared" si="53"/>
        <v>0</v>
      </c>
      <c r="R403" s="12">
        <v>11852</v>
      </c>
      <c r="S403" s="12">
        <v>11852</v>
      </c>
      <c r="T403" s="1">
        <f t="shared" si="54"/>
        <v>0</v>
      </c>
      <c r="U403" s="1">
        <f t="shared" si="55"/>
        <v>0</v>
      </c>
    </row>
    <row r="404" spans="1:21" x14ac:dyDescent="0.25">
      <c r="A404" s="15">
        <v>4065</v>
      </c>
      <c r="B404" s="15">
        <v>7</v>
      </c>
      <c r="C404" s="16" t="s">
        <v>396</v>
      </c>
      <c r="D404" s="12">
        <v>0</v>
      </c>
      <c r="E404" s="12">
        <v>0</v>
      </c>
      <c r="F404" s="12">
        <v>0</v>
      </c>
      <c r="G404" s="13">
        <v>0</v>
      </c>
      <c r="H404" s="1">
        <f t="shared" si="48"/>
        <v>0</v>
      </c>
      <c r="I404" s="1">
        <f t="shared" si="49"/>
        <v>0</v>
      </c>
      <c r="J404" s="12">
        <v>0</v>
      </c>
      <c r="K404" s="13">
        <v>0</v>
      </c>
      <c r="L404" s="1">
        <f t="shared" si="50"/>
        <v>0</v>
      </c>
      <c r="M404" s="1">
        <f t="shared" si="51"/>
        <v>0</v>
      </c>
      <c r="N404" s="12">
        <v>0</v>
      </c>
      <c r="O404" s="12">
        <v>0</v>
      </c>
      <c r="P404" s="1">
        <f t="shared" si="52"/>
        <v>0</v>
      </c>
      <c r="Q404" s="1">
        <f t="shared" si="53"/>
        <v>0</v>
      </c>
      <c r="R404" s="12">
        <v>0</v>
      </c>
      <c r="S404" s="12">
        <v>0</v>
      </c>
      <c r="T404" s="1">
        <f t="shared" si="54"/>
        <v>0</v>
      </c>
      <c r="U404" s="1">
        <f t="shared" si="55"/>
        <v>0</v>
      </c>
    </row>
    <row r="405" spans="1:21" x14ac:dyDescent="0.25">
      <c r="A405" s="15">
        <v>4066</v>
      </c>
      <c r="B405" s="15">
        <v>7</v>
      </c>
      <c r="C405" s="16" t="s">
        <v>397</v>
      </c>
      <c r="D405" s="12">
        <v>85</v>
      </c>
      <c r="E405" s="12">
        <v>85</v>
      </c>
      <c r="F405" s="12">
        <v>0</v>
      </c>
      <c r="G405" s="13">
        <v>0</v>
      </c>
      <c r="H405" s="1">
        <f t="shared" si="48"/>
        <v>0</v>
      </c>
      <c r="I405" s="1">
        <f t="shared" si="49"/>
        <v>0</v>
      </c>
      <c r="J405" s="12">
        <v>0</v>
      </c>
      <c r="K405" s="13">
        <v>0</v>
      </c>
      <c r="L405" s="1">
        <f t="shared" si="50"/>
        <v>0</v>
      </c>
      <c r="M405" s="1">
        <f t="shared" si="51"/>
        <v>0</v>
      </c>
      <c r="N405" s="12">
        <v>0</v>
      </c>
      <c r="O405" s="12">
        <v>0</v>
      </c>
      <c r="P405" s="1">
        <f t="shared" si="52"/>
        <v>0</v>
      </c>
      <c r="Q405" s="1">
        <f t="shared" si="53"/>
        <v>0</v>
      </c>
      <c r="R405" s="12">
        <v>10756</v>
      </c>
      <c r="S405" s="12">
        <v>10756</v>
      </c>
      <c r="T405" s="1">
        <f t="shared" si="54"/>
        <v>0</v>
      </c>
      <c r="U405" s="1">
        <f t="shared" si="55"/>
        <v>0</v>
      </c>
    </row>
    <row r="406" spans="1:21" x14ac:dyDescent="0.25">
      <c r="A406" s="15">
        <v>4067</v>
      </c>
      <c r="B406" s="15">
        <v>7</v>
      </c>
      <c r="C406" s="16" t="s">
        <v>398</v>
      </c>
      <c r="D406" s="12">
        <v>331</v>
      </c>
      <c r="E406" s="12">
        <v>336</v>
      </c>
      <c r="F406" s="12">
        <v>0</v>
      </c>
      <c r="G406" s="13">
        <v>0</v>
      </c>
      <c r="H406" s="1">
        <f t="shared" si="48"/>
        <v>0</v>
      </c>
      <c r="I406" s="1">
        <f t="shared" si="49"/>
        <v>0</v>
      </c>
      <c r="J406" s="12">
        <v>0</v>
      </c>
      <c r="K406" s="13">
        <v>0</v>
      </c>
      <c r="L406" s="1">
        <f t="shared" si="50"/>
        <v>0</v>
      </c>
      <c r="M406" s="1">
        <f t="shared" si="51"/>
        <v>0</v>
      </c>
      <c r="N406" s="12">
        <v>0</v>
      </c>
      <c r="O406" s="12">
        <v>0</v>
      </c>
      <c r="P406" s="1">
        <f t="shared" si="52"/>
        <v>0</v>
      </c>
      <c r="Q406" s="1">
        <f t="shared" si="53"/>
        <v>0</v>
      </c>
      <c r="R406" s="12">
        <v>35716</v>
      </c>
      <c r="S406" s="12">
        <v>35716</v>
      </c>
      <c r="T406" s="1">
        <f t="shared" si="54"/>
        <v>0</v>
      </c>
      <c r="U406" s="1">
        <f t="shared" si="55"/>
        <v>0</v>
      </c>
    </row>
    <row r="407" spans="1:21" x14ac:dyDescent="0.25">
      <c r="A407" s="15">
        <v>4068</v>
      </c>
      <c r="B407" s="15">
        <v>7</v>
      </c>
      <c r="C407" s="16" t="s">
        <v>399</v>
      </c>
      <c r="D407" s="12">
        <v>602</v>
      </c>
      <c r="E407" s="12">
        <v>637</v>
      </c>
      <c r="F407" s="12">
        <v>0</v>
      </c>
      <c r="G407" s="13">
        <v>0</v>
      </c>
      <c r="H407" s="1">
        <f t="shared" si="48"/>
        <v>0</v>
      </c>
      <c r="I407" s="1">
        <f t="shared" si="49"/>
        <v>0</v>
      </c>
      <c r="J407" s="12">
        <v>0</v>
      </c>
      <c r="K407" s="13">
        <v>0</v>
      </c>
      <c r="L407" s="1">
        <f t="shared" si="50"/>
        <v>0</v>
      </c>
      <c r="M407" s="1">
        <f t="shared" si="51"/>
        <v>0</v>
      </c>
      <c r="N407" s="12">
        <v>0</v>
      </c>
      <c r="O407" s="12">
        <v>0</v>
      </c>
      <c r="P407" s="1">
        <f t="shared" si="52"/>
        <v>0</v>
      </c>
      <c r="Q407" s="1">
        <f t="shared" si="53"/>
        <v>0</v>
      </c>
      <c r="R407" s="12">
        <v>66619</v>
      </c>
      <c r="S407" s="12">
        <v>66619</v>
      </c>
      <c r="T407" s="1">
        <f t="shared" si="54"/>
        <v>0</v>
      </c>
      <c r="U407" s="1">
        <f t="shared" si="55"/>
        <v>0</v>
      </c>
    </row>
    <row r="408" spans="1:21" x14ac:dyDescent="0.25">
      <c r="A408" s="15">
        <v>4069</v>
      </c>
      <c r="B408" s="15">
        <v>7</v>
      </c>
      <c r="C408" s="16" t="s">
        <v>400</v>
      </c>
      <c r="D408" s="12">
        <v>0</v>
      </c>
      <c r="E408" s="12">
        <v>0</v>
      </c>
      <c r="F408" s="12">
        <v>0</v>
      </c>
      <c r="G408" s="13">
        <v>0</v>
      </c>
      <c r="H408" s="1">
        <f t="shared" si="48"/>
        <v>0</v>
      </c>
      <c r="I408" s="1">
        <f t="shared" si="49"/>
        <v>0</v>
      </c>
      <c r="J408" s="12">
        <v>0</v>
      </c>
      <c r="K408" s="13">
        <v>0</v>
      </c>
      <c r="L408" s="1">
        <f t="shared" si="50"/>
        <v>0</v>
      </c>
      <c r="M408" s="1">
        <f t="shared" si="51"/>
        <v>0</v>
      </c>
      <c r="N408" s="12">
        <v>0</v>
      </c>
      <c r="O408" s="12">
        <v>0</v>
      </c>
      <c r="P408" s="1">
        <f t="shared" si="52"/>
        <v>0</v>
      </c>
      <c r="Q408" s="1">
        <f t="shared" si="53"/>
        <v>0</v>
      </c>
      <c r="R408" s="12">
        <v>0</v>
      </c>
      <c r="S408" s="12">
        <v>0</v>
      </c>
      <c r="T408" s="1">
        <f t="shared" si="54"/>
        <v>0</v>
      </c>
      <c r="U408" s="1">
        <f t="shared" si="55"/>
        <v>0</v>
      </c>
    </row>
    <row r="409" spans="1:21" x14ac:dyDescent="0.25">
      <c r="A409" s="15">
        <v>4070</v>
      </c>
      <c r="B409" s="15">
        <v>7</v>
      </c>
      <c r="C409" s="16" t="s">
        <v>401</v>
      </c>
      <c r="D409" s="12">
        <v>474</v>
      </c>
      <c r="E409" s="12">
        <v>491</v>
      </c>
      <c r="F409" s="12">
        <v>0</v>
      </c>
      <c r="G409" s="13">
        <v>0</v>
      </c>
      <c r="H409" s="1">
        <f t="shared" si="48"/>
        <v>0</v>
      </c>
      <c r="I409" s="1">
        <f t="shared" si="49"/>
        <v>0</v>
      </c>
      <c r="J409" s="12">
        <v>0</v>
      </c>
      <c r="K409" s="13">
        <v>0</v>
      </c>
      <c r="L409" s="1">
        <f t="shared" si="50"/>
        <v>0</v>
      </c>
      <c r="M409" s="1">
        <f t="shared" si="51"/>
        <v>0</v>
      </c>
      <c r="N409" s="12">
        <v>0</v>
      </c>
      <c r="O409" s="12">
        <v>0</v>
      </c>
      <c r="P409" s="1">
        <f t="shared" si="52"/>
        <v>0</v>
      </c>
      <c r="Q409" s="1">
        <f t="shared" si="53"/>
        <v>0</v>
      </c>
      <c r="R409" s="12">
        <v>51351</v>
      </c>
      <c r="S409" s="12">
        <v>51351</v>
      </c>
      <c r="T409" s="1">
        <f t="shared" si="54"/>
        <v>0</v>
      </c>
      <c r="U409" s="1">
        <f t="shared" si="55"/>
        <v>0</v>
      </c>
    </row>
    <row r="410" spans="1:21" x14ac:dyDescent="0.25">
      <c r="A410" s="15">
        <v>4071</v>
      </c>
      <c r="B410" s="15">
        <v>7</v>
      </c>
      <c r="C410" s="16" t="s">
        <v>402</v>
      </c>
      <c r="D410" s="12">
        <v>0</v>
      </c>
      <c r="E410" s="12">
        <v>0</v>
      </c>
      <c r="F410" s="12">
        <v>0</v>
      </c>
      <c r="G410" s="13">
        <v>0</v>
      </c>
      <c r="H410" s="1">
        <f t="shared" si="48"/>
        <v>0</v>
      </c>
      <c r="I410" s="1">
        <f t="shared" si="49"/>
        <v>0</v>
      </c>
      <c r="J410" s="12">
        <v>0</v>
      </c>
      <c r="K410" s="13">
        <v>0</v>
      </c>
      <c r="L410" s="1">
        <f t="shared" si="50"/>
        <v>0</v>
      </c>
      <c r="M410" s="1">
        <f t="shared" si="51"/>
        <v>0</v>
      </c>
      <c r="N410" s="12">
        <v>0</v>
      </c>
      <c r="O410" s="12">
        <v>0</v>
      </c>
      <c r="P410" s="1">
        <f t="shared" si="52"/>
        <v>0</v>
      </c>
      <c r="Q410" s="1">
        <f t="shared" si="53"/>
        <v>0</v>
      </c>
      <c r="R410" s="12">
        <v>0</v>
      </c>
      <c r="S410" s="12">
        <v>0</v>
      </c>
      <c r="T410" s="1">
        <f t="shared" si="54"/>
        <v>0</v>
      </c>
      <c r="U410" s="1">
        <f t="shared" si="55"/>
        <v>0</v>
      </c>
    </row>
    <row r="411" spans="1:21" x14ac:dyDescent="0.25">
      <c r="A411" s="15">
        <v>4072</v>
      </c>
      <c r="B411" s="15">
        <v>7</v>
      </c>
      <c r="C411" s="16" t="s">
        <v>403</v>
      </c>
      <c r="D411" s="12">
        <v>0</v>
      </c>
      <c r="E411" s="12">
        <v>0</v>
      </c>
      <c r="F411" s="12">
        <v>0</v>
      </c>
      <c r="G411" s="13">
        <v>0</v>
      </c>
      <c r="H411" s="1">
        <f t="shared" si="48"/>
        <v>0</v>
      </c>
      <c r="I411" s="1">
        <f t="shared" si="49"/>
        <v>0</v>
      </c>
      <c r="J411" s="12">
        <v>0</v>
      </c>
      <c r="K411" s="13">
        <v>0</v>
      </c>
      <c r="L411" s="1">
        <f t="shared" si="50"/>
        <v>0</v>
      </c>
      <c r="M411" s="1">
        <f t="shared" si="51"/>
        <v>0</v>
      </c>
      <c r="N411" s="12">
        <v>0</v>
      </c>
      <c r="O411" s="12">
        <v>0</v>
      </c>
      <c r="P411" s="1">
        <f t="shared" si="52"/>
        <v>0</v>
      </c>
      <c r="Q411" s="1">
        <f t="shared" si="53"/>
        <v>0</v>
      </c>
      <c r="R411" s="12">
        <v>0</v>
      </c>
      <c r="S411" s="12">
        <v>0</v>
      </c>
      <c r="T411" s="1">
        <f t="shared" si="54"/>
        <v>0</v>
      </c>
      <c r="U411" s="1">
        <f t="shared" si="55"/>
        <v>0</v>
      </c>
    </row>
    <row r="412" spans="1:21" x14ac:dyDescent="0.25">
      <c r="A412" s="15">
        <v>4073</v>
      </c>
      <c r="B412" s="15">
        <v>7</v>
      </c>
      <c r="C412" s="16" t="s">
        <v>404</v>
      </c>
      <c r="D412" s="12">
        <v>346</v>
      </c>
      <c r="E412" s="12">
        <v>346</v>
      </c>
      <c r="F412" s="12">
        <v>0</v>
      </c>
      <c r="G412" s="13">
        <v>0</v>
      </c>
      <c r="H412" s="1">
        <f t="shared" si="48"/>
        <v>0</v>
      </c>
      <c r="I412" s="1">
        <f t="shared" si="49"/>
        <v>0</v>
      </c>
      <c r="J412" s="12">
        <v>0</v>
      </c>
      <c r="K412" s="13">
        <v>0</v>
      </c>
      <c r="L412" s="1">
        <f t="shared" si="50"/>
        <v>0</v>
      </c>
      <c r="M412" s="1">
        <f t="shared" si="51"/>
        <v>0</v>
      </c>
      <c r="N412" s="12">
        <v>0</v>
      </c>
      <c r="O412" s="12">
        <v>0</v>
      </c>
      <c r="P412" s="1">
        <f t="shared" si="52"/>
        <v>0</v>
      </c>
      <c r="Q412" s="1">
        <f t="shared" si="53"/>
        <v>0</v>
      </c>
      <c r="R412" s="12">
        <v>34437</v>
      </c>
      <c r="S412" s="12">
        <v>34437</v>
      </c>
      <c r="T412" s="1">
        <f t="shared" si="54"/>
        <v>0</v>
      </c>
      <c r="U412" s="1">
        <f t="shared" si="55"/>
        <v>0</v>
      </c>
    </row>
    <row r="413" spans="1:21" x14ac:dyDescent="0.25">
      <c r="A413" s="15">
        <v>4074</v>
      </c>
      <c r="B413" s="15">
        <v>7</v>
      </c>
      <c r="C413" s="16" t="s">
        <v>405</v>
      </c>
      <c r="D413" s="12">
        <v>240</v>
      </c>
      <c r="E413" s="12">
        <v>240</v>
      </c>
      <c r="F413" s="12">
        <v>0</v>
      </c>
      <c r="G413" s="13">
        <v>0</v>
      </c>
      <c r="H413" s="1">
        <f t="shared" si="48"/>
        <v>0</v>
      </c>
      <c r="I413" s="1">
        <f t="shared" si="49"/>
        <v>0</v>
      </c>
      <c r="J413" s="12">
        <v>0</v>
      </c>
      <c r="K413" s="13">
        <v>0</v>
      </c>
      <c r="L413" s="1">
        <f t="shared" si="50"/>
        <v>0</v>
      </c>
      <c r="M413" s="1">
        <f t="shared" si="51"/>
        <v>0</v>
      </c>
      <c r="N413" s="12">
        <v>0</v>
      </c>
      <c r="O413" s="12">
        <v>0</v>
      </c>
      <c r="P413" s="1">
        <f t="shared" si="52"/>
        <v>0</v>
      </c>
      <c r="Q413" s="1">
        <f t="shared" si="53"/>
        <v>0</v>
      </c>
      <c r="R413" s="12">
        <v>30724</v>
      </c>
      <c r="S413" s="12">
        <v>30724</v>
      </c>
      <c r="T413" s="1">
        <f t="shared" si="54"/>
        <v>0</v>
      </c>
      <c r="U413" s="1">
        <f t="shared" si="55"/>
        <v>0</v>
      </c>
    </row>
    <row r="414" spans="1:21" x14ac:dyDescent="0.25">
      <c r="A414" s="15">
        <v>4075</v>
      </c>
      <c r="B414" s="15">
        <v>7</v>
      </c>
      <c r="C414" s="16" t="s">
        <v>406</v>
      </c>
      <c r="D414" s="12">
        <v>180</v>
      </c>
      <c r="E414" s="12">
        <v>180</v>
      </c>
      <c r="F414" s="12">
        <v>0</v>
      </c>
      <c r="G414" s="13">
        <v>0</v>
      </c>
      <c r="H414" s="1">
        <f t="shared" si="48"/>
        <v>0</v>
      </c>
      <c r="I414" s="1">
        <f t="shared" si="49"/>
        <v>0</v>
      </c>
      <c r="J414" s="12">
        <v>0</v>
      </c>
      <c r="K414" s="13">
        <v>0</v>
      </c>
      <c r="L414" s="1">
        <f t="shared" si="50"/>
        <v>0</v>
      </c>
      <c r="M414" s="1">
        <f t="shared" si="51"/>
        <v>0</v>
      </c>
      <c r="N414" s="12">
        <v>0</v>
      </c>
      <c r="O414" s="12">
        <v>0</v>
      </c>
      <c r="P414" s="1">
        <f t="shared" si="52"/>
        <v>0</v>
      </c>
      <c r="Q414" s="1">
        <f t="shared" si="53"/>
        <v>0</v>
      </c>
      <c r="R414" s="12">
        <v>23043</v>
      </c>
      <c r="S414" s="12">
        <v>23043</v>
      </c>
      <c r="T414" s="1">
        <f t="shared" si="54"/>
        <v>0</v>
      </c>
      <c r="U414" s="1">
        <f t="shared" si="55"/>
        <v>0</v>
      </c>
    </row>
    <row r="415" spans="1:21" x14ac:dyDescent="0.25">
      <c r="A415" s="15">
        <v>4076</v>
      </c>
      <c r="B415" s="15">
        <v>7</v>
      </c>
      <c r="C415" s="16" t="s">
        <v>407</v>
      </c>
      <c r="D415" s="12">
        <v>0</v>
      </c>
      <c r="E415" s="12">
        <v>0</v>
      </c>
      <c r="F415" s="12">
        <v>0</v>
      </c>
      <c r="G415" s="13">
        <v>0</v>
      </c>
      <c r="H415" s="1">
        <f t="shared" si="48"/>
        <v>0</v>
      </c>
      <c r="I415" s="1">
        <f t="shared" si="49"/>
        <v>0</v>
      </c>
      <c r="J415" s="12">
        <v>0</v>
      </c>
      <c r="K415" s="13">
        <v>0</v>
      </c>
      <c r="L415" s="1">
        <f t="shared" si="50"/>
        <v>0</v>
      </c>
      <c r="M415" s="1">
        <f t="shared" si="51"/>
        <v>0</v>
      </c>
      <c r="N415" s="12">
        <v>0</v>
      </c>
      <c r="O415" s="12">
        <v>0</v>
      </c>
      <c r="P415" s="1">
        <f t="shared" si="52"/>
        <v>0</v>
      </c>
      <c r="Q415" s="1">
        <f t="shared" si="53"/>
        <v>0</v>
      </c>
      <c r="R415" s="12">
        <v>0</v>
      </c>
      <c r="S415" s="12">
        <v>0</v>
      </c>
      <c r="T415" s="1">
        <f t="shared" si="54"/>
        <v>0</v>
      </c>
      <c r="U415" s="1">
        <f t="shared" si="55"/>
        <v>0</v>
      </c>
    </row>
    <row r="416" spans="1:21" x14ac:dyDescent="0.25">
      <c r="A416" s="15">
        <v>4077</v>
      </c>
      <c r="B416" s="15">
        <v>7</v>
      </c>
      <c r="C416" s="16" t="s">
        <v>408</v>
      </c>
      <c r="D416" s="12">
        <v>581</v>
      </c>
      <c r="E416" s="12">
        <v>582</v>
      </c>
      <c r="F416" s="12">
        <v>0</v>
      </c>
      <c r="G416" s="13">
        <v>0</v>
      </c>
      <c r="H416" s="1">
        <f t="shared" si="48"/>
        <v>0</v>
      </c>
      <c r="I416" s="1">
        <f t="shared" si="49"/>
        <v>0</v>
      </c>
      <c r="J416" s="12">
        <v>0</v>
      </c>
      <c r="K416" s="13">
        <v>0</v>
      </c>
      <c r="L416" s="1">
        <f t="shared" si="50"/>
        <v>0</v>
      </c>
      <c r="M416" s="1">
        <f t="shared" si="51"/>
        <v>0</v>
      </c>
      <c r="N416" s="12">
        <v>0</v>
      </c>
      <c r="O416" s="12">
        <v>0</v>
      </c>
      <c r="P416" s="1">
        <f t="shared" si="52"/>
        <v>0</v>
      </c>
      <c r="Q416" s="1">
        <f t="shared" si="53"/>
        <v>0</v>
      </c>
      <c r="R416" s="12">
        <v>57574</v>
      </c>
      <c r="S416" s="12">
        <v>57574</v>
      </c>
      <c r="T416" s="1">
        <f t="shared" si="54"/>
        <v>0</v>
      </c>
      <c r="U416" s="1">
        <f t="shared" si="55"/>
        <v>0</v>
      </c>
    </row>
    <row r="417" spans="1:21" x14ac:dyDescent="0.25">
      <c r="A417" s="15">
        <v>4078</v>
      </c>
      <c r="B417" s="15">
        <v>7</v>
      </c>
      <c r="C417" s="16" t="s">
        <v>409</v>
      </c>
      <c r="D417" s="12">
        <v>345</v>
      </c>
      <c r="E417" s="12">
        <v>355</v>
      </c>
      <c r="F417" s="12">
        <v>0</v>
      </c>
      <c r="G417" s="13">
        <v>0</v>
      </c>
      <c r="H417" s="1">
        <f t="shared" si="48"/>
        <v>0</v>
      </c>
      <c r="I417" s="1">
        <f t="shared" si="49"/>
        <v>0</v>
      </c>
      <c r="J417" s="12">
        <v>0</v>
      </c>
      <c r="K417" s="13">
        <v>0</v>
      </c>
      <c r="L417" s="1">
        <f t="shared" si="50"/>
        <v>0</v>
      </c>
      <c r="M417" s="1">
        <f t="shared" si="51"/>
        <v>0</v>
      </c>
      <c r="N417" s="12">
        <v>0</v>
      </c>
      <c r="O417" s="12">
        <v>0</v>
      </c>
      <c r="P417" s="1">
        <f t="shared" si="52"/>
        <v>0</v>
      </c>
      <c r="Q417" s="1">
        <f t="shared" si="53"/>
        <v>0</v>
      </c>
      <c r="R417" s="12">
        <v>41192</v>
      </c>
      <c r="S417" s="12">
        <v>41192</v>
      </c>
      <c r="T417" s="1">
        <f t="shared" si="54"/>
        <v>0</v>
      </c>
      <c r="U417" s="1">
        <f t="shared" si="55"/>
        <v>0</v>
      </c>
    </row>
    <row r="418" spans="1:21" x14ac:dyDescent="0.25">
      <c r="A418" s="15">
        <v>4079</v>
      </c>
      <c r="B418" s="15">
        <v>7</v>
      </c>
      <c r="C418" s="16" t="s">
        <v>410</v>
      </c>
      <c r="D418" s="12">
        <v>134</v>
      </c>
      <c r="E418" s="12">
        <v>149</v>
      </c>
      <c r="F418" s="12">
        <v>0</v>
      </c>
      <c r="G418" s="13">
        <v>0</v>
      </c>
      <c r="H418" s="1">
        <f t="shared" si="48"/>
        <v>0</v>
      </c>
      <c r="I418" s="1">
        <f t="shared" si="49"/>
        <v>0</v>
      </c>
      <c r="J418" s="12">
        <v>0</v>
      </c>
      <c r="K418" s="13">
        <v>0</v>
      </c>
      <c r="L418" s="1">
        <f t="shared" si="50"/>
        <v>0</v>
      </c>
      <c r="M418" s="1">
        <f t="shared" si="51"/>
        <v>0</v>
      </c>
      <c r="N418" s="12">
        <v>0</v>
      </c>
      <c r="O418" s="12">
        <v>0</v>
      </c>
      <c r="P418" s="1">
        <f t="shared" si="52"/>
        <v>0</v>
      </c>
      <c r="Q418" s="1">
        <f t="shared" si="53"/>
        <v>0</v>
      </c>
      <c r="R418" s="12">
        <v>14609</v>
      </c>
      <c r="S418" s="12">
        <v>14609</v>
      </c>
      <c r="T418" s="1">
        <f t="shared" si="54"/>
        <v>0</v>
      </c>
      <c r="U418" s="1">
        <f t="shared" si="55"/>
        <v>0</v>
      </c>
    </row>
    <row r="419" spans="1:21" x14ac:dyDescent="0.25">
      <c r="A419" s="15">
        <v>4080</v>
      </c>
      <c r="B419" s="15">
        <v>7</v>
      </c>
      <c r="C419" s="16" t="s">
        <v>411</v>
      </c>
      <c r="D419" s="12">
        <v>42</v>
      </c>
      <c r="E419" s="12">
        <v>40</v>
      </c>
      <c r="F419" s="12">
        <v>0</v>
      </c>
      <c r="G419" s="13">
        <v>0</v>
      </c>
      <c r="H419" s="1">
        <f t="shared" si="48"/>
        <v>0</v>
      </c>
      <c r="I419" s="1">
        <f t="shared" si="49"/>
        <v>0</v>
      </c>
      <c r="J419" s="12">
        <v>0</v>
      </c>
      <c r="K419" s="13">
        <v>0</v>
      </c>
      <c r="L419" s="1">
        <f t="shared" si="50"/>
        <v>0</v>
      </c>
      <c r="M419" s="1">
        <f t="shared" si="51"/>
        <v>0</v>
      </c>
      <c r="N419" s="12">
        <v>0</v>
      </c>
      <c r="O419" s="12">
        <v>0</v>
      </c>
      <c r="P419" s="1">
        <f t="shared" si="52"/>
        <v>0</v>
      </c>
      <c r="Q419" s="1">
        <f t="shared" si="53"/>
        <v>0</v>
      </c>
      <c r="R419" s="12">
        <v>5180</v>
      </c>
      <c r="S419" s="12">
        <v>5180</v>
      </c>
      <c r="T419" s="1">
        <f t="shared" si="54"/>
        <v>0</v>
      </c>
      <c r="U419" s="1">
        <f t="shared" si="55"/>
        <v>0</v>
      </c>
    </row>
    <row r="420" spans="1:21" x14ac:dyDescent="0.25">
      <c r="A420" s="15">
        <v>4081</v>
      </c>
      <c r="B420" s="15">
        <v>7</v>
      </c>
      <c r="C420" s="16" t="s">
        <v>412</v>
      </c>
      <c r="D420" s="12">
        <v>61</v>
      </c>
      <c r="E420" s="12">
        <v>62</v>
      </c>
      <c r="F420" s="12">
        <v>0</v>
      </c>
      <c r="G420" s="13">
        <v>0</v>
      </c>
      <c r="H420" s="1">
        <f t="shared" si="48"/>
        <v>0</v>
      </c>
      <c r="I420" s="1">
        <f t="shared" si="49"/>
        <v>0</v>
      </c>
      <c r="J420" s="12">
        <v>0</v>
      </c>
      <c r="K420" s="13">
        <v>0</v>
      </c>
      <c r="L420" s="1">
        <f t="shared" si="50"/>
        <v>0</v>
      </c>
      <c r="M420" s="1">
        <f t="shared" si="51"/>
        <v>0</v>
      </c>
      <c r="N420" s="12">
        <v>0</v>
      </c>
      <c r="O420" s="12">
        <v>0</v>
      </c>
      <c r="P420" s="1">
        <f t="shared" si="52"/>
        <v>0</v>
      </c>
      <c r="Q420" s="1">
        <f t="shared" si="53"/>
        <v>0</v>
      </c>
      <c r="R420" s="12">
        <v>7866</v>
      </c>
      <c r="S420" s="12">
        <v>7866</v>
      </c>
      <c r="T420" s="1">
        <f t="shared" si="54"/>
        <v>0</v>
      </c>
      <c r="U420" s="1">
        <f t="shared" si="55"/>
        <v>0</v>
      </c>
    </row>
    <row r="421" spans="1:21" x14ac:dyDescent="0.25">
      <c r="A421" s="15">
        <v>4082</v>
      </c>
      <c r="B421" s="15">
        <v>7</v>
      </c>
      <c r="C421" s="16" t="s">
        <v>413</v>
      </c>
      <c r="D421" s="12">
        <v>700</v>
      </c>
      <c r="E421" s="12">
        <v>700</v>
      </c>
      <c r="F421" s="12">
        <v>0</v>
      </c>
      <c r="G421" s="13">
        <v>0</v>
      </c>
      <c r="H421" s="1">
        <f t="shared" si="48"/>
        <v>0</v>
      </c>
      <c r="I421" s="1">
        <f t="shared" si="49"/>
        <v>0</v>
      </c>
      <c r="J421" s="12">
        <v>0</v>
      </c>
      <c r="K421" s="13">
        <v>0</v>
      </c>
      <c r="L421" s="1">
        <f t="shared" si="50"/>
        <v>0</v>
      </c>
      <c r="M421" s="1">
        <f t="shared" si="51"/>
        <v>0</v>
      </c>
      <c r="N421" s="12">
        <v>0</v>
      </c>
      <c r="O421" s="12">
        <v>0</v>
      </c>
      <c r="P421" s="1">
        <f t="shared" si="52"/>
        <v>0</v>
      </c>
      <c r="Q421" s="1">
        <f t="shared" si="53"/>
        <v>0</v>
      </c>
      <c r="R421" s="12">
        <v>89612</v>
      </c>
      <c r="S421" s="12">
        <v>89612</v>
      </c>
      <c r="T421" s="1">
        <f t="shared" si="54"/>
        <v>0</v>
      </c>
      <c r="U421" s="1">
        <f t="shared" si="55"/>
        <v>0</v>
      </c>
    </row>
    <row r="422" spans="1:21" x14ac:dyDescent="0.25">
      <c r="A422" s="15">
        <v>4083</v>
      </c>
      <c r="B422" s="15">
        <v>7</v>
      </c>
      <c r="C422" s="16" t="s">
        <v>414</v>
      </c>
      <c r="D422" s="12">
        <v>90</v>
      </c>
      <c r="E422" s="12">
        <v>91</v>
      </c>
      <c r="F422" s="12">
        <v>0</v>
      </c>
      <c r="G422" s="13">
        <v>0</v>
      </c>
      <c r="H422" s="1">
        <f t="shared" si="48"/>
        <v>0</v>
      </c>
      <c r="I422" s="1">
        <f t="shared" si="49"/>
        <v>0</v>
      </c>
      <c r="J422" s="12">
        <v>0</v>
      </c>
      <c r="K422" s="13">
        <v>0</v>
      </c>
      <c r="L422" s="1">
        <f t="shared" si="50"/>
        <v>0</v>
      </c>
      <c r="M422" s="1">
        <f t="shared" si="51"/>
        <v>0</v>
      </c>
      <c r="N422" s="12">
        <v>0</v>
      </c>
      <c r="O422" s="12">
        <v>0</v>
      </c>
      <c r="P422" s="1">
        <f t="shared" si="52"/>
        <v>0</v>
      </c>
      <c r="Q422" s="1">
        <f t="shared" si="53"/>
        <v>0</v>
      </c>
      <c r="R422" s="12">
        <v>9119</v>
      </c>
      <c r="S422" s="12">
        <v>9119</v>
      </c>
      <c r="T422" s="1">
        <f t="shared" si="54"/>
        <v>0</v>
      </c>
      <c r="U422" s="1">
        <f t="shared" si="55"/>
        <v>0</v>
      </c>
    </row>
    <row r="423" spans="1:21" x14ac:dyDescent="0.25">
      <c r="A423" s="15">
        <v>4084</v>
      </c>
      <c r="B423" s="15">
        <v>7</v>
      </c>
      <c r="C423" s="16" t="s">
        <v>415</v>
      </c>
      <c r="D423" s="12">
        <v>327</v>
      </c>
      <c r="E423" s="12">
        <v>327</v>
      </c>
      <c r="F423" s="12">
        <v>0</v>
      </c>
      <c r="G423" s="13">
        <v>0</v>
      </c>
      <c r="H423" s="1">
        <f t="shared" si="48"/>
        <v>0</v>
      </c>
      <c r="I423" s="1">
        <f t="shared" si="49"/>
        <v>0</v>
      </c>
      <c r="J423" s="12">
        <v>0</v>
      </c>
      <c r="K423" s="13">
        <v>0</v>
      </c>
      <c r="L423" s="1">
        <f t="shared" si="50"/>
        <v>0</v>
      </c>
      <c r="M423" s="1">
        <f t="shared" si="51"/>
        <v>0</v>
      </c>
      <c r="N423" s="12">
        <v>0</v>
      </c>
      <c r="O423" s="12">
        <v>0</v>
      </c>
      <c r="P423" s="1">
        <f t="shared" si="52"/>
        <v>0</v>
      </c>
      <c r="Q423" s="1">
        <f t="shared" si="53"/>
        <v>0</v>
      </c>
      <c r="R423" s="12">
        <v>32696</v>
      </c>
      <c r="S423" s="12">
        <v>32696</v>
      </c>
      <c r="T423" s="1">
        <f t="shared" si="54"/>
        <v>0</v>
      </c>
      <c r="U423" s="1">
        <f t="shared" si="55"/>
        <v>0</v>
      </c>
    </row>
    <row r="424" spans="1:21" x14ac:dyDescent="0.25">
      <c r="A424" s="15">
        <v>4085</v>
      </c>
      <c r="B424" s="15">
        <v>7</v>
      </c>
      <c r="C424" s="16" t="s">
        <v>416</v>
      </c>
      <c r="D424" s="12">
        <v>208</v>
      </c>
      <c r="E424" s="12">
        <v>208</v>
      </c>
      <c r="F424" s="12">
        <v>0</v>
      </c>
      <c r="G424" s="13">
        <v>0</v>
      </c>
      <c r="H424" s="1">
        <f t="shared" si="48"/>
        <v>0</v>
      </c>
      <c r="I424" s="1">
        <f t="shared" si="49"/>
        <v>0</v>
      </c>
      <c r="J424" s="12">
        <v>0</v>
      </c>
      <c r="K424" s="13">
        <v>0</v>
      </c>
      <c r="L424" s="1">
        <f t="shared" si="50"/>
        <v>0</v>
      </c>
      <c r="M424" s="1">
        <f t="shared" si="51"/>
        <v>0</v>
      </c>
      <c r="N424" s="12">
        <v>0</v>
      </c>
      <c r="O424" s="12">
        <v>0</v>
      </c>
      <c r="P424" s="1">
        <f t="shared" si="52"/>
        <v>0</v>
      </c>
      <c r="Q424" s="1">
        <f t="shared" si="53"/>
        <v>0</v>
      </c>
      <c r="R424" s="12">
        <v>26628</v>
      </c>
      <c r="S424" s="12">
        <v>26628</v>
      </c>
      <c r="T424" s="1">
        <f t="shared" si="54"/>
        <v>0</v>
      </c>
      <c r="U424" s="1">
        <f t="shared" si="55"/>
        <v>0</v>
      </c>
    </row>
    <row r="425" spans="1:21" x14ac:dyDescent="0.25">
      <c r="A425" s="15">
        <v>4086</v>
      </c>
      <c r="B425" s="15">
        <v>7</v>
      </c>
      <c r="C425" s="16" t="s">
        <v>417</v>
      </c>
      <c r="D425" s="12">
        <v>390</v>
      </c>
      <c r="E425" s="12">
        <v>380</v>
      </c>
      <c r="F425" s="12">
        <v>0</v>
      </c>
      <c r="G425" s="13">
        <v>0</v>
      </c>
      <c r="H425" s="1">
        <f t="shared" si="48"/>
        <v>0</v>
      </c>
      <c r="I425" s="1">
        <f t="shared" si="49"/>
        <v>0</v>
      </c>
      <c r="J425" s="12">
        <v>0</v>
      </c>
      <c r="K425" s="13">
        <v>0</v>
      </c>
      <c r="L425" s="1">
        <f t="shared" si="50"/>
        <v>0</v>
      </c>
      <c r="M425" s="1">
        <f t="shared" si="51"/>
        <v>0</v>
      </c>
      <c r="N425" s="12">
        <v>0</v>
      </c>
      <c r="O425" s="12">
        <v>0</v>
      </c>
      <c r="P425" s="1">
        <f t="shared" si="52"/>
        <v>0</v>
      </c>
      <c r="Q425" s="1">
        <f t="shared" si="53"/>
        <v>0</v>
      </c>
      <c r="R425" s="12">
        <v>40999</v>
      </c>
      <c r="S425" s="12">
        <v>40999</v>
      </c>
      <c r="T425" s="1">
        <f t="shared" si="54"/>
        <v>0</v>
      </c>
      <c r="U425" s="1">
        <f t="shared" si="55"/>
        <v>0</v>
      </c>
    </row>
    <row r="426" spans="1:21" x14ac:dyDescent="0.25">
      <c r="A426" s="15">
        <v>4087</v>
      </c>
      <c r="B426" s="15">
        <v>7</v>
      </c>
      <c r="C426" s="16" t="s">
        <v>418</v>
      </c>
      <c r="D426" s="12">
        <v>82</v>
      </c>
      <c r="E426" s="12">
        <v>84</v>
      </c>
      <c r="F426" s="12">
        <v>0</v>
      </c>
      <c r="G426" s="13">
        <v>0</v>
      </c>
      <c r="H426" s="1">
        <f t="shared" si="48"/>
        <v>0</v>
      </c>
      <c r="I426" s="1">
        <f t="shared" si="49"/>
        <v>0</v>
      </c>
      <c r="J426" s="12">
        <v>0</v>
      </c>
      <c r="K426" s="13">
        <v>0</v>
      </c>
      <c r="L426" s="1">
        <f t="shared" si="50"/>
        <v>0</v>
      </c>
      <c r="M426" s="1">
        <f t="shared" si="51"/>
        <v>0</v>
      </c>
      <c r="N426" s="12">
        <v>0</v>
      </c>
      <c r="O426" s="12">
        <v>0</v>
      </c>
      <c r="P426" s="1">
        <f t="shared" si="52"/>
        <v>0</v>
      </c>
      <c r="Q426" s="1">
        <f t="shared" si="53"/>
        <v>0</v>
      </c>
      <c r="R426" s="12">
        <v>10753</v>
      </c>
      <c r="S426" s="12">
        <v>10753</v>
      </c>
      <c r="T426" s="1">
        <f t="shared" si="54"/>
        <v>0</v>
      </c>
      <c r="U426" s="1">
        <f t="shared" si="55"/>
        <v>0</v>
      </c>
    </row>
    <row r="427" spans="1:21" x14ac:dyDescent="0.25">
      <c r="A427" s="15">
        <v>4088</v>
      </c>
      <c r="B427" s="15">
        <v>7</v>
      </c>
      <c r="C427" s="16" t="s">
        <v>419</v>
      </c>
      <c r="D427" s="12">
        <v>290</v>
      </c>
      <c r="E427" s="12">
        <v>285</v>
      </c>
      <c r="F427" s="12">
        <v>0</v>
      </c>
      <c r="G427" s="13">
        <v>0</v>
      </c>
      <c r="H427" s="1">
        <f t="shared" si="48"/>
        <v>0</v>
      </c>
      <c r="I427" s="1">
        <f t="shared" si="49"/>
        <v>0</v>
      </c>
      <c r="J427" s="12">
        <v>0</v>
      </c>
      <c r="K427" s="13">
        <v>0</v>
      </c>
      <c r="L427" s="1">
        <f t="shared" si="50"/>
        <v>0</v>
      </c>
      <c r="M427" s="1">
        <f t="shared" si="51"/>
        <v>0</v>
      </c>
      <c r="N427" s="12">
        <v>0</v>
      </c>
      <c r="O427" s="12">
        <v>0</v>
      </c>
      <c r="P427" s="1">
        <f t="shared" si="52"/>
        <v>0</v>
      </c>
      <c r="Q427" s="1">
        <f t="shared" si="53"/>
        <v>0</v>
      </c>
      <c r="R427" s="12">
        <v>28961</v>
      </c>
      <c r="S427" s="12">
        <v>28961</v>
      </c>
      <c r="T427" s="1">
        <f t="shared" si="54"/>
        <v>0</v>
      </c>
      <c r="U427" s="1">
        <f t="shared" si="55"/>
        <v>0</v>
      </c>
    </row>
    <row r="428" spans="1:21" x14ac:dyDescent="0.25">
      <c r="A428" s="15">
        <v>4089</v>
      </c>
      <c r="B428" s="15">
        <v>7</v>
      </c>
      <c r="C428" s="16" t="s">
        <v>420</v>
      </c>
      <c r="D428" s="12">
        <v>120</v>
      </c>
      <c r="E428" s="12">
        <v>119</v>
      </c>
      <c r="F428" s="12">
        <v>0</v>
      </c>
      <c r="G428" s="13">
        <v>0</v>
      </c>
      <c r="H428" s="1">
        <f t="shared" si="48"/>
        <v>0</v>
      </c>
      <c r="I428" s="1">
        <f t="shared" si="49"/>
        <v>0</v>
      </c>
      <c r="J428" s="12">
        <v>0</v>
      </c>
      <c r="K428" s="13">
        <v>0</v>
      </c>
      <c r="L428" s="1">
        <f t="shared" si="50"/>
        <v>0</v>
      </c>
      <c r="M428" s="1">
        <f t="shared" si="51"/>
        <v>0</v>
      </c>
      <c r="N428" s="12">
        <v>0</v>
      </c>
      <c r="O428" s="12">
        <v>0</v>
      </c>
      <c r="P428" s="1">
        <f t="shared" si="52"/>
        <v>0</v>
      </c>
      <c r="Q428" s="1">
        <f t="shared" si="53"/>
        <v>0</v>
      </c>
      <c r="R428" s="12">
        <v>12653</v>
      </c>
      <c r="S428" s="12">
        <v>12653</v>
      </c>
      <c r="T428" s="1">
        <f t="shared" si="54"/>
        <v>0</v>
      </c>
      <c r="U428" s="1">
        <f t="shared" si="55"/>
        <v>0</v>
      </c>
    </row>
    <row r="429" spans="1:21" x14ac:dyDescent="0.25">
      <c r="A429" s="15">
        <v>4090</v>
      </c>
      <c r="B429" s="15">
        <v>7</v>
      </c>
      <c r="C429" s="16" t="s">
        <v>421</v>
      </c>
      <c r="D429" s="12">
        <v>180</v>
      </c>
      <c r="E429" s="12">
        <v>180</v>
      </c>
      <c r="F429" s="12">
        <v>0</v>
      </c>
      <c r="G429" s="13">
        <v>0</v>
      </c>
      <c r="H429" s="1">
        <f t="shared" si="48"/>
        <v>0</v>
      </c>
      <c r="I429" s="1">
        <f t="shared" si="49"/>
        <v>0</v>
      </c>
      <c r="J429" s="12">
        <v>0</v>
      </c>
      <c r="K429" s="13">
        <v>0</v>
      </c>
      <c r="L429" s="1">
        <f t="shared" si="50"/>
        <v>0</v>
      </c>
      <c r="M429" s="1">
        <f t="shared" si="51"/>
        <v>0</v>
      </c>
      <c r="N429" s="12">
        <v>0</v>
      </c>
      <c r="O429" s="12">
        <v>0</v>
      </c>
      <c r="P429" s="1">
        <f t="shared" si="52"/>
        <v>0</v>
      </c>
      <c r="Q429" s="1">
        <f t="shared" si="53"/>
        <v>0</v>
      </c>
      <c r="R429" s="12">
        <v>17953</v>
      </c>
      <c r="S429" s="12">
        <v>17953</v>
      </c>
      <c r="T429" s="1">
        <f t="shared" si="54"/>
        <v>0</v>
      </c>
      <c r="U429" s="1">
        <f t="shared" si="55"/>
        <v>0</v>
      </c>
    </row>
    <row r="430" spans="1:21" x14ac:dyDescent="0.25">
      <c r="A430" s="15">
        <v>4091</v>
      </c>
      <c r="B430" s="15">
        <v>7</v>
      </c>
      <c r="C430" s="16" t="s">
        <v>422</v>
      </c>
      <c r="D430" s="12">
        <v>126</v>
      </c>
      <c r="E430" s="12">
        <v>126</v>
      </c>
      <c r="F430" s="12">
        <v>0</v>
      </c>
      <c r="G430" s="13">
        <v>0</v>
      </c>
      <c r="H430" s="1">
        <f t="shared" si="48"/>
        <v>0</v>
      </c>
      <c r="I430" s="1">
        <f t="shared" si="49"/>
        <v>0</v>
      </c>
      <c r="J430" s="12">
        <v>0</v>
      </c>
      <c r="K430" s="13">
        <v>0</v>
      </c>
      <c r="L430" s="1">
        <f t="shared" si="50"/>
        <v>0</v>
      </c>
      <c r="M430" s="1">
        <f t="shared" si="51"/>
        <v>0</v>
      </c>
      <c r="N430" s="12">
        <v>0</v>
      </c>
      <c r="O430" s="12">
        <v>0</v>
      </c>
      <c r="P430" s="1">
        <f t="shared" si="52"/>
        <v>0</v>
      </c>
      <c r="Q430" s="1">
        <f t="shared" si="53"/>
        <v>0</v>
      </c>
      <c r="R430" s="12">
        <v>15705</v>
      </c>
      <c r="S430" s="12">
        <v>15705</v>
      </c>
      <c r="T430" s="1">
        <f t="shared" si="54"/>
        <v>0</v>
      </c>
      <c r="U430" s="1">
        <f t="shared" si="55"/>
        <v>0</v>
      </c>
    </row>
    <row r="431" spans="1:21" x14ac:dyDescent="0.25">
      <c r="A431" s="15">
        <v>4092</v>
      </c>
      <c r="B431" s="15">
        <v>7</v>
      </c>
      <c r="C431" s="16" t="s">
        <v>423</v>
      </c>
      <c r="D431" s="12">
        <v>132</v>
      </c>
      <c r="E431" s="12">
        <v>116</v>
      </c>
      <c r="F431" s="12">
        <v>0</v>
      </c>
      <c r="G431" s="13">
        <v>0</v>
      </c>
      <c r="H431" s="1">
        <f t="shared" si="48"/>
        <v>0</v>
      </c>
      <c r="I431" s="1">
        <f t="shared" si="49"/>
        <v>0</v>
      </c>
      <c r="J431" s="12">
        <v>0</v>
      </c>
      <c r="K431" s="13">
        <v>0</v>
      </c>
      <c r="L431" s="1">
        <f t="shared" si="50"/>
        <v>0</v>
      </c>
      <c r="M431" s="1">
        <f t="shared" si="51"/>
        <v>0</v>
      </c>
      <c r="N431" s="12">
        <v>0</v>
      </c>
      <c r="O431" s="12">
        <v>0</v>
      </c>
      <c r="P431" s="1">
        <f t="shared" si="52"/>
        <v>0</v>
      </c>
      <c r="Q431" s="1">
        <f t="shared" si="53"/>
        <v>0</v>
      </c>
      <c r="R431" s="12">
        <v>15321</v>
      </c>
      <c r="S431" s="12">
        <v>15321</v>
      </c>
      <c r="T431" s="1">
        <f t="shared" si="54"/>
        <v>0</v>
      </c>
      <c r="U431" s="1">
        <f t="shared" si="55"/>
        <v>0</v>
      </c>
    </row>
    <row r="432" spans="1:21" x14ac:dyDescent="0.25">
      <c r="A432" s="15">
        <v>4093</v>
      </c>
      <c r="B432" s="15">
        <v>7</v>
      </c>
      <c r="C432" s="16" t="s">
        <v>424</v>
      </c>
      <c r="D432" s="12">
        <v>150</v>
      </c>
      <c r="E432" s="12">
        <v>150</v>
      </c>
      <c r="F432" s="12">
        <v>0</v>
      </c>
      <c r="G432" s="13">
        <v>0</v>
      </c>
      <c r="H432" s="1">
        <f t="shared" si="48"/>
        <v>0</v>
      </c>
      <c r="I432" s="1">
        <f t="shared" si="49"/>
        <v>0</v>
      </c>
      <c r="J432" s="12">
        <v>0</v>
      </c>
      <c r="K432" s="13">
        <v>0</v>
      </c>
      <c r="L432" s="1">
        <f t="shared" si="50"/>
        <v>0</v>
      </c>
      <c r="M432" s="1">
        <f t="shared" si="51"/>
        <v>0</v>
      </c>
      <c r="N432" s="12">
        <v>0</v>
      </c>
      <c r="O432" s="12">
        <v>0</v>
      </c>
      <c r="P432" s="1">
        <f t="shared" si="52"/>
        <v>0</v>
      </c>
      <c r="Q432" s="1">
        <f t="shared" si="53"/>
        <v>0</v>
      </c>
      <c r="R432" s="12">
        <v>19203</v>
      </c>
      <c r="S432" s="12">
        <v>19203</v>
      </c>
      <c r="T432" s="1">
        <f t="shared" si="54"/>
        <v>0</v>
      </c>
      <c r="U432" s="1">
        <f t="shared" si="55"/>
        <v>0</v>
      </c>
    </row>
    <row r="433" spans="1:21" x14ac:dyDescent="0.25">
      <c r="A433" s="15">
        <v>4095</v>
      </c>
      <c r="B433" s="15">
        <v>7</v>
      </c>
      <c r="C433" s="16" t="s">
        <v>425</v>
      </c>
      <c r="D433" s="12">
        <v>154</v>
      </c>
      <c r="E433" s="12">
        <v>100</v>
      </c>
      <c r="F433" s="12">
        <v>0</v>
      </c>
      <c r="G433" s="13">
        <v>0</v>
      </c>
      <c r="H433" s="1">
        <f t="shared" si="48"/>
        <v>0</v>
      </c>
      <c r="I433" s="1">
        <f t="shared" si="49"/>
        <v>0</v>
      </c>
      <c r="J433" s="12">
        <v>0</v>
      </c>
      <c r="K433" s="13">
        <v>0</v>
      </c>
      <c r="L433" s="1">
        <f t="shared" si="50"/>
        <v>0</v>
      </c>
      <c r="M433" s="1">
        <f t="shared" si="51"/>
        <v>0</v>
      </c>
      <c r="N433" s="12">
        <v>0</v>
      </c>
      <c r="O433" s="12">
        <v>0</v>
      </c>
      <c r="P433" s="1">
        <f t="shared" si="52"/>
        <v>0</v>
      </c>
      <c r="Q433" s="1">
        <f t="shared" si="53"/>
        <v>0</v>
      </c>
      <c r="R433" s="12">
        <v>14392</v>
      </c>
      <c r="S433" s="12">
        <v>14392</v>
      </c>
      <c r="T433" s="1">
        <f t="shared" si="54"/>
        <v>0</v>
      </c>
      <c r="U433" s="1">
        <f t="shared" si="55"/>
        <v>0</v>
      </c>
    </row>
    <row r="434" spans="1:21" x14ac:dyDescent="0.25">
      <c r="A434" s="15">
        <v>4096</v>
      </c>
      <c r="B434" s="15">
        <v>7</v>
      </c>
      <c r="C434" s="16" t="s">
        <v>426</v>
      </c>
      <c r="D434" s="12">
        <v>0</v>
      </c>
      <c r="E434" s="12">
        <v>0</v>
      </c>
      <c r="F434" s="12">
        <v>0</v>
      </c>
      <c r="G434" s="13">
        <v>0</v>
      </c>
      <c r="H434" s="1">
        <f t="shared" si="48"/>
        <v>0</v>
      </c>
      <c r="I434" s="1">
        <f t="shared" si="49"/>
        <v>0</v>
      </c>
      <c r="J434" s="12">
        <v>0</v>
      </c>
      <c r="K434" s="13">
        <v>0</v>
      </c>
      <c r="L434" s="1">
        <f t="shared" si="50"/>
        <v>0</v>
      </c>
      <c r="M434" s="1">
        <f t="shared" si="51"/>
        <v>0</v>
      </c>
      <c r="N434" s="12">
        <v>0</v>
      </c>
      <c r="O434" s="12">
        <v>0</v>
      </c>
      <c r="P434" s="1">
        <f t="shared" si="52"/>
        <v>0</v>
      </c>
      <c r="Q434" s="1">
        <f t="shared" si="53"/>
        <v>0</v>
      </c>
      <c r="R434" s="12">
        <v>0</v>
      </c>
      <c r="S434" s="12">
        <v>0</v>
      </c>
      <c r="T434" s="1">
        <f t="shared" si="54"/>
        <v>0</v>
      </c>
      <c r="U434" s="1">
        <f t="shared" si="55"/>
        <v>0</v>
      </c>
    </row>
    <row r="435" spans="1:21" x14ac:dyDescent="0.25">
      <c r="A435" s="15">
        <v>4097</v>
      </c>
      <c r="B435" s="15">
        <v>7</v>
      </c>
      <c r="C435" s="16" t="s">
        <v>427</v>
      </c>
      <c r="D435" s="12">
        <v>261</v>
      </c>
      <c r="E435" s="12">
        <v>305</v>
      </c>
      <c r="F435" s="12">
        <v>0</v>
      </c>
      <c r="G435" s="13">
        <v>0</v>
      </c>
      <c r="H435" s="1">
        <f t="shared" si="48"/>
        <v>0</v>
      </c>
      <c r="I435" s="1">
        <f t="shared" si="49"/>
        <v>0</v>
      </c>
      <c r="J435" s="12">
        <v>0</v>
      </c>
      <c r="K435" s="13">
        <v>0</v>
      </c>
      <c r="L435" s="1">
        <f t="shared" si="50"/>
        <v>0</v>
      </c>
      <c r="M435" s="1">
        <f t="shared" si="51"/>
        <v>0</v>
      </c>
      <c r="N435" s="12">
        <v>0</v>
      </c>
      <c r="O435" s="12">
        <v>0</v>
      </c>
      <c r="P435" s="1">
        <f t="shared" si="52"/>
        <v>0</v>
      </c>
      <c r="Q435" s="1">
        <f t="shared" si="53"/>
        <v>0</v>
      </c>
      <c r="R435" s="12">
        <v>30605</v>
      </c>
      <c r="S435" s="12">
        <v>30605</v>
      </c>
      <c r="T435" s="1">
        <f t="shared" si="54"/>
        <v>0</v>
      </c>
      <c r="U435" s="1">
        <f t="shared" si="55"/>
        <v>0</v>
      </c>
    </row>
    <row r="436" spans="1:21" x14ac:dyDescent="0.25">
      <c r="A436" s="15">
        <v>4098</v>
      </c>
      <c r="B436" s="15">
        <v>7</v>
      </c>
      <c r="C436" s="16" t="s">
        <v>428</v>
      </c>
      <c r="D436" s="12">
        <v>677</v>
      </c>
      <c r="E436" s="12">
        <v>717</v>
      </c>
      <c r="F436" s="12">
        <v>0</v>
      </c>
      <c r="G436" s="13">
        <v>0</v>
      </c>
      <c r="H436" s="1">
        <f t="shared" si="48"/>
        <v>0</v>
      </c>
      <c r="I436" s="1">
        <f t="shared" si="49"/>
        <v>0</v>
      </c>
      <c r="J436" s="12">
        <v>0</v>
      </c>
      <c r="K436" s="13">
        <v>0</v>
      </c>
      <c r="L436" s="1">
        <f t="shared" si="50"/>
        <v>0</v>
      </c>
      <c r="M436" s="1">
        <f t="shared" si="51"/>
        <v>0</v>
      </c>
      <c r="N436" s="12">
        <v>0</v>
      </c>
      <c r="O436" s="12">
        <v>0</v>
      </c>
      <c r="P436" s="1">
        <f t="shared" si="52"/>
        <v>0</v>
      </c>
      <c r="Q436" s="1">
        <f t="shared" si="53"/>
        <v>0</v>
      </c>
      <c r="R436" s="12">
        <v>78584</v>
      </c>
      <c r="S436" s="12">
        <v>78584</v>
      </c>
      <c r="T436" s="1">
        <f t="shared" si="54"/>
        <v>0</v>
      </c>
      <c r="U436" s="1">
        <f t="shared" si="55"/>
        <v>0</v>
      </c>
    </row>
    <row r="437" spans="1:21" x14ac:dyDescent="0.25">
      <c r="A437" s="15">
        <v>4099</v>
      </c>
      <c r="B437" s="15">
        <v>7</v>
      </c>
      <c r="C437" s="16" t="s">
        <v>429</v>
      </c>
      <c r="D437" s="12">
        <v>671</v>
      </c>
      <c r="E437" s="12">
        <v>726</v>
      </c>
      <c r="F437" s="12">
        <v>0</v>
      </c>
      <c r="G437" s="13">
        <v>0</v>
      </c>
      <c r="H437" s="1">
        <f t="shared" si="48"/>
        <v>0</v>
      </c>
      <c r="I437" s="1">
        <f t="shared" si="49"/>
        <v>0</v>
      </c>
      <c r="J437" s="12">
        <v>0</v>
      </c>
      <c r="K437" s="13">
        <v>0</v>
      </c>
      <c r="L437" s="1">
        <f t="shared" si="50"/>
        <v>0</v>
      </c>
      <c r="M437" s="1">
        <f t="shared" si="51"/>
        <v>0</v>
      </c>
      <c r="N437" s="12">
        <v>0</v>
      </c>
      <c r="O437" s="12">
        <v>0</v>
      </c>
      <c r="P437" s="1">
        <f t="shared" si="52"/>
        <v>0</v>
      </c>
      <c r="Q437" s="1">
        <f t="shared" si="53"/>
        <v>0</v>
      </c>
      <c r="R437" s="12">
        <v>78754</v>
      </c>
      <c r="S437" s="12">
        <v>78754</v>
      </c>
      <c r="T437" s="1">
        <f t="shared" si="54"/>
        <v>0</v>
      </c>
      <c r="U437" s="1">
        <f t="shared" si="55"/>
        <v>0</v>
      </c>
    </row>
    <row r="438" spans="1:21" x14ac:dyDescent="0.25">
      <c r="A438" s="15">
        <v>4100</v>
      </c>
      <c r="B438" s="15">
        <v>7</v>
      </c>
      <c r="C438" s="16" t="s">
        <v>430</v>
      </c>
      <c r="D438" s="12">
        <v>64</v>
      </c>
      <c r="E438" s="12">
        <v>68</v>
      </c>
      <c r="F438" s="12">
        <v>0</v>
      </c>
      <c r="G438" s="13">
        <v>0</v>
      </c>
      <c r="H438" s="1">
        <f t="shared" si="48"/>
        <v>0</v>
      </c>
      <c r="I438" s="1">
        <f t="shared" si="49"/>
        <v>0</v>
      </c>
      <c r="J438" s="12">
        <v>0</v>
      </c>
      <c r="K438" s="13">
        <v>0</v>
      </c>
      <c r="L438" s="1">
        <f t="shared" si="50"/>
        <v>0</v>
      </c>
      <c r="M438" s="1">
        <f t="shared" si="51"/>
        <v>0</v>
      </c>
      <c r="N438" s="12">
        <v>0</v>
      </c>
      <c r="O438" s="12">
        <v>0</v>
      </c>
      <c r="P438" s="1">
        <f t="shared" si="52"/>
        <v>0</v>
      </c>
      <c r="Q438" s="1">
        <f t="shared" si="53"/>
        <v>0</v>
      </c>
      <c r="R438" s="12">
        <v>7258</v>
      </c>
      <c r="S438" s="12">
        <v>7258</v>
      </c>
      <c r="T438" s="1">
        <f t="shared" si="54"/>
        <v>0</v>
      </c>
      <c r="U438" s="1">
        <f t="shared" si="55"/>
        <v>0</v>
      </c>
    </row>
    <row r="439" spans="1:21" x14ac:dyDescent="0.25">
      <c r="A439" s="15">
        <v>4101</v>
      </c>
      <c r="B439" s="15">
        <v>7</v>
      </c>
      <c r="C439" s="16" t="s">
        <v>431</v>
      </c>
      <c r="D439" s="12">
        <v>0</v>
      </c>
      <c r="E439" s="12">
        <v>0</v>
      </c>
      <c r="F439" s="12">
        <v>0</v>
      </c>
      <c r="G439" s="13">
        <v>0</v>
      </c>
      <c r="H439" s="1">
        <f t="shared" si="48"/>
        <v>0</v>
      </c>
      <c r="I439" s="1">
        <f t="shared" si="49"/>
        <v>0</v>
      </c>
      <c r="J439" s="12">
        <v>0</v>
      </c>
      <c r="K439" s="13">
        <v>0</v>
      </c>
      <c r="L439" s="1">
        <f t="shared" si="50"/>
        <v>0</v>
      </c>
      <c r="M439" s="1">
        <f t="shared" si="51"/>
        <v>0</v>
      </c>
      <c r="N439" s="12">
        <v>0</v>
      </c>
      <c r="O439" s="12">
        <v>0</v>
      </c>
      <c r="P439" s="1">
        <f t="shared" si="52"/>
        <v>0</v>
      </c>
      <c r="Q439" s="1">
        <f t="shared" si="53"/>
        <v>0</v>
      </c>
      <c r="R439" s="12">
        <v>0</v>
      </c>
      <c r="S439" s="12">
        <v>0</v>
      </c>
      <c r="T439" s="1">
        <f t="shared" si="54"/>
        <v>0</v>
      </c>
      <c r="U439" s="1">
        <f t="shared" si="55"/>
        <v>0</v>
      </c>
    </row>
    <row r="440" spans="1:21" x14ac:dyDescent="0.25">
      <c r="A440" s="15">
        <v>4102</v>
      </c>
      <c r="B440" s="15">
        <v>7</v>
      </c>
      <c r="C440" s="16" t="s">
        <v>432</v>
      </c>
      <c r="D440" s="12">
        <v>305</v>
      </c>
      <c r="E440" s="12">
        <v>330</v>
      </c>
      <c r="F440" s="12">
        <v>0</v>
      </c>
      <c r="G440" s="13">
        <v>0</v>
      </c>
      <c r="H440" s="1">
        <f t="shared" si="48"/>
        <v>0</v>
      </c>
      <c r="I440" s="1">
        <f t="shared" si="49"/>
        <v>0</v>
      </c>
      <c r="J440" s="12">
        <v>0</v>
      </c>
      <c r="K440" s="13">
        <v>0</v>
      </c>
      <c r="L440" s="1">
        <f t="shared" si="50"/>
        <v>0</v>
      </c>
      <c r="M440" s="1">
        <f t="shared" si="51"/>
        <v>0</v>
      </c>
      <c r="N440" s="12">
        <v>0</v>
      </c>
      <c r="O440" s="12">
        <v>0</v>
      </c>
      <c r="P440" s="1">
        <f t="shared" si="52"/>
        <v>0</v>
      </c>
      <c r="Q440" s="1">
        <f t="shared" si="53"/>
        <v>0</v>
      </c>
      <c r="R440" s="12">
        <v>42246</v>
      </c>
      <c r="S440" s="12">
        <v>42246</v>
      </c>
      <c r="T440" s="1">
        <f t="shared" si="54"/>
        <v>0</v>
      </c>
      <c r="U440" s="1">
        <f t="shared" si="55"/>
        <v>0</v>
      </c>
    </row>
    <row r="441" spans="1:21" x14ac:dyDescent="0.25">
      <c r="A441" s="15">
        <v>4103</v>
      </c>
      <c r="B441" s="15">
        <v>7</v>
      </c>
      <c r="C441" s="16" t="s">
        <v>433</v>
      </c>
      <c r="D441" s="12">
        <v>705</v>
      </c>
      <c r="E441" s="12">
        <v>730</v>
      </c>
      <c r="F441" s="12">
        <v>0</v>
      </c>
      <c r="G441" s="13">
        <v>0</v>
      </c>
      <c r="H441" s="1">
        <f t="shared" si="48"/>
        <v>0</v>
      </c>
      <c r="I441" s="1">
        <f t="shared" si="49"/>
        <v>0</v>
      </c>
      <c r="J441" s="12">
        <v>0</v>
      </c>
      <c r="K441" s="13">
        <v>0</v>
      </c>
      <c r="L441" s="1">
        <f t="shared" si="50"/>
        <v>0</v>
      </c>
      <c r="M441" s="1">
        <f t="shared" si="51"/>
        <v>0</v>
      </c>
      <c r="N441" s="12">
        <v>0</v>
      </c>
      <c r="O441" s="12">
        <v>0</v>
      </c>
      <c r="P441" s="1">
        <f t="shared" si="52"/>
        <v>0</v>
      </c>
      <c r="Q441" s="1">
        <f t="shared" si="53"/>
        <v>0</v>
      </c>
      <c r="R441" s="12">
        <v>87438</v>
      </c>
      <c r="S441" s="12">
        <v>87438</v>
      </c>
      <c r="T441" s="1">
        <f t="shared" si="54"/>
        <v>0</v>
      </c>
      <c r="U441" s="1">
        <f t="shared" si="55"/>
        <v>0</v>
      </c>
    </row>
    <row r="442" spans="1:21" x14ac:dyDescent="0.25">
      <c r="A442" s="15">
        <v>4104</v>
      </c>
      <c r="B442" s="15">
        <v>7</v>
      </c>
      <c r="C442" s="16" t="s">
        <v>434</v>
      </c>
      <c r="D442" s="12">
        <v>150</v>
      </c>
      <c r="E442" s="12">
        <v>150</v>
      </c>
      <c r="F442" s="12">
        <v>0</v>
      </c>
      <c r="G442" s="13">
        <v>0</v>
      </c>
      <c r="H442" s="1">
        <f t="shared" si="48"/>
        <v>0</v>
      </c>
      <c r="I442" s="1">
        <f t="shared" si="49"/>
        <v>0</v>
      </c>
      <c r="J442" s="12">
        <v>0</v>
      </c>
      <c r="K442" s="13">
        <v>0</v>
      </c>
      <c r="L442" s="1">
        <f t="shared" si="50"/>
        <v>0</v>
      </c>
      <c r="M442" s="1">
        <f t="shared" si="51"/>
        <v>0</v>
      </c>
      <c r="N442" s="12">
        <v>0</v>
      </c>
      <c r="O442" s="12">
        <v>0</v>
      </c>
      <c r="P442" s="1">
        <f t="shared" si="52"/>
        <v>0</v>
      </c>
      <c r="Q442" s="1">
        <f t="shared" si="53"/>
        <v>0</v>
      </c>
      <c r="R442" s="12">
        <v>19203</v>
      </c>
      <c r="S442" s="12">
        <v>19203</v>
      </c>
      <c r="T442" s="1">
        <f t="shared" si="54"/>
        <v>0</v>
      </c>
      <c r="U442" s="1">
        <f t="shared" si="55"/>
        <v>0</v>
      </c>
    </row>
    <row r="443" spans="1:21" x14ac:dyDescent="0.25">
      <c r="A443" s="15">
        <v>4105</v>
      </c>
      <c r="B443" s="15">
        <v>7</v>
      </c>
      <c r="C443" s="16" t="s">
        <v>435</v>
      </c>
      <c r="D443" s="12">
        <v>265</v>
      </c>
      <c r="E443" s="12">
        <v>270</v>
      </c>
      <c r="F443" s="12">
        <v>0</v>
      </c>
      <c r="G443" s="13">
        <v>0</v>
      </c>
      <c r="H443" s="1">
        <f t="shared" si="48"/>
        <v>0</v>
      </c>
      <c r="I443" s="1">
        <f t="shared" si="49"/>
        <v>0</v>
      </c>
      <c r="J443" s="12">
        <v>0</v>
      </c>
      <c r="K443" s="13">
        <v>0</v>
      </c>
      <c r="L443" s="1">
        <f t="shared" si="50"/>
        <v>0</v>
      </c>
      <c r="M443" s="1">
        <f t="shared" si="51"/>
        <v>0</v>
      </c>
      <c r="N443" s="12">
        <v>0</v>
      </c>
      <c r="O443" s="12">
        <v>0</v>
      </c>
      <c r="P443" s="1">
        <f t="shared" si="52"/>
        <v>0</v>
      </c>
      <c r="Q443" s="1">
        <f t="shared" si="53"/>
        <v>0</v>
      </c>
      <c r="R443" s="12">
        <v>34565</v>
      </c>
      <c r="S443" s="12">
        <v>34565</v>
      </c>
      <c r="T443" s="1">
        <f t="shared" si="54"/>
        <v>0</v>
      </c>
      <c r="U443" s="1">
        <f t="shared" si="55"/>
        <v>0</v>
      </c>
    </row>
    <row r="444" spans="1:21" x14ac:dyDescent="0.25">
      <c r="A444" s="15">
        <v>4106</v>
      </c>
      <c r="B444" s="15">
        <v>7</v>
      </c>
      <c r="C444" s="16" t="s">
        <v>436</v>
      </c>
      <c r="D444" s="12">
        <v>160</v>
      </c>
      <c r="E444" s="12">
        <v>150</v>
      </c>
      <c r="F444" s="12">
        <v>0</v>
      </c>
      <c r="G444" s="13">
        <v>0</v>
      </c>
      <c r="H444" s="1">
        <f t="shared" si="48"/>
        <v>0</v>
      </c>
      <c r="I444" s="1">
        <f t="shared" si="49"/>
        <v>0</v>
      </c>
      <c r="J444" s="12">
        <v>0</v>
      </c>
      <c r="K444" s="13">
        <v>0</v>
      </c>
      <c r="L444" s="1">
        <f t="shared" si="50"/>
        <v>0</v>
      </c>
      <c r="M444" s="1">
        <f t="shared" si="51"/>
        <v>0</v>
      </c>
      <c r="N444" s="12">
        <v>0</v>
      </c>
      <c r="O444" s="12">
        <v>0</v>
      </c>
      <c r="P444" s="1">
        <f t="shared" si="52"/>
        <v>0</v>
      </c>
      <c r="Q444" s="1">
        <f t="shared" si="53"/>
        <v>0</v>
      </c>
      <c r="R444" s="12">
        <v>19497</v>
      </c>
      <c r="S444" s="12">
        <v>19497</v>
      </c>
      <c r="T444" s="1">
        <f t="shared" si="54"/>
        <v>0</v>
      </c>
      <c r="U444" s="1">
        <f t="shared" si="55"/>
        <v>0</v>
      </c>
    </row>
    <row r="445" spans="1:21" x14ac:dyDescent="0.25">
      <c r="A445" s="15">
        <v>4107</v>
      </c>
      <c r="B445" s="15">
        <v>7</v>
      </c>
      <c r="C445" s="16" t="s">
        <v>437</v>
      </c>
      <c r="D445" s="12">
        <v>65</v>
      </c>
      <c r="E445" s="12">
        <v>52</v>
      </c>
      <c r="F445" s="12">
        <v>0</v>
      </c>
      <c r="G445" s="13">
        <v>0</v>
      </c>
      <c r="H445" s="1">
        <f t="shared" si="48"/>
        <v>0</v>
      </c>
      <c r="I445" s="1">
        <f t="shared" si="49"/>
        <v>0</v>
      </c>
      <c r="J445" s="12">
        <v>0</v>
      </c>
      <c r="K445" s="13">
        <v>0</v>
      </c>
      <c r="L445" s="1">
        <f t="shared" si="50"/>
        <v>0</v>
      </c>
      <c r="M445" s="1">
        <f t="shared" si="51"/>
        <v>0</v>
      </c>
      <c r="N445" s="12">
        <v>0</v>
      </c>
      <c r="O445" s="12">
        <v>0</v>
      </c>
      <c r="P445" s="1">
        <f t="shared" si="52"/>
        <v>0</v>
      </c>
      <c r="Q445" s="1">
        <f t="shared" si="53"/>
        <v>0</v>
      </c>
      <c r="R445" s="12">
        <v>7040</v>
      </c>
      <c r="S445" s="12">
        <v>7040</v>
      </c>
      <c r="T445" s="1">
        <f t="shared" si="54"/>
        <v>0</v>
      </c>
      <c r="U445" s="1">
        <f t="shared" si="55"/>
        <v>0</v>
      </c>
    </row>
    <row r="446" spans="1:21" x14ac:dyDescent="0.25">
      <c r="A446" s="15">
        <v>4108</v>
      </c>
      <c r="B446" s="15">
        <v>7</v>
      </c>
      <c r="C446" s="16" t="s">
        <v>438</v>
      </c>
      <c r="D446" s="12">
        <v>135</v>
      </c>
      <c r="E446" s="12">
        <v>140</v>
      </c>
      <c r="F446" s="12">
        <v>0</v>
      </c>
      <c r="G446" s="13">
        <v>0</v>
      </c>
      <c r="H446" s="1">
        <f t="shared" si="48"/>
        <v>0</v>
      </c>
      <c r="I446" s="1">
        <f t="shared" si="49"/>
        <v>0</v>
      </c>
      <c r="J446" s="12">
        <v>0</v>
      </c>
      <c r="K446" s="13">
        <v>0</v>
      </c>
      <c r="L446" s="1">
        <f t="shared" si="50"/>
        <v>0</v>
      </c>
      <c r="M446" s="1">
        <f t="shared" si="51"/>
        <v>0</v>
      </c>
      <c r="N446" s="12">
        <v>0</v>
      </c>
      <c r="O446" s="12">
        <v>0</v>
      </c>
      <c r="P446" s="1">
        <f t="shared" si="52"/>
        <v>0</v>
      </c>
      <c r="Q446" s="1">
        <f t="shared" si="53"/>
        <v>0</v>
      </c>
      <c r="R446" s="12">
        <v>17922</v>
      </c>
      <c r="S446" s="12">
        <v>17922</v>
      </c>
      <c r="T446" s="1">
        <f t="shared" si="54"/>
        <v>0</v>
      </c>
      <c r="U446" s="1">
        <f t="shared" si="55"/>
        <v>0</v>
      </c>
    </row>
    <row r="447" spans="1:21" x14ac:dyDescent="0.25">
      <c r="A447" s="15">
        <v>4109</v>
      </c>
      <c r="B447" s="15">
        <v>7</v>
      </c>
      <c r="C447" s="16" t="s">
        <v>439</v>
      </c>
      <c r="D447" s="12">
        <v>95</v>
      </c>
      <c r="E447" s="12">
        <v>100</v>
      </c>
      <c r="F447" s="12">
        <v>0</v>
      </c>
      <c r="G447" s="13">
        <v>0</v>
      </c>
      <c r="H447" s="1">
        <f t="shared" si="48"/>
        <v>0</v>
      </c>
      <c r="I447" s="1">
        <f t="shared" si="49"/>
        <v>0</v>
      </c>
      <c r="J447" s="12">
        <v>0</v>
      </c>
      <c r="K447" s="13">
        <v>0</v>
      </c>
      <c r="L447" s="1">
        <f t="shared" si="50"/>
        <v>0</v>
      </c>
      <c r="M447" s="1">
        <f t="shared" si="51"/>
        <v>0</v>
      </c>
      <c r="N447" s="12">
        <v>0</v>
      </c>
      <c r="O447" s="12">
        <v>0</v>
      </c>
      <c r="P447" s="1">
        <f t="shared" si="52"/>
        <v>0</v>
      </c>
      <c r="Q447" s="1">
        <f t="shared" si="53"/>
        <v>0</v>
      </c>
      <c r="R447" s="12">
        <v>12802</v>
      </c>
      <c r="S447" s="12">
        <v>12802</v>
      </c>
      <c r="T447" s="1">
        <f t="shared" si="54"/>
        <v>0</v>
      </c>
      <c r="U447" s="1">
        <f t="shared" si="55"/>
        <v>0</v>
      </c>
    </row>
    <row r="448" spans="1:21" x14ac:dyDescent="0.25">
      <c r="A448" s="15">
        <v>4110</v>
      </c>
      <c r="B448" s="15">
        <v>7</v>
      </c>
      <c r="C448" s="16" t="s">
        <v>440</v>
      </c>
      <c r="D448" s="12">
        <v>257</v>
      </c>
      <c r="E448" s="12">
        <v>270</v>
      </c>
      <c r="F448" s="12">
        <v>0</v>
      </c>
      <c r="G448" s="13">
        <v>0</v>
      </c>
      <c r="H448" s="1">
        <f t="shared" si="48"/>
        <v>0</v>
      </c>
      <c r="I448" s="1">
        <f t="shared" si="49"/>
        <v>0</v>
      </c>
      <c r="J448" s="12">
        <v>0</v>
      </c>
      <c r="K448" s="13">
        <v>0</v>
      </c>
      <c r="L448" s="1">
        <f t="shared" si="50"/>
        <v>0</v>
      </c>
      <c r="M448" s="1">
        <f t="shared" si="51"/>
        <v>0</v>
      </c>
      <c r="N448" s="12">
        <v>0</v>
      </c>
      <c r="O448" s="12">
        <v>0</v>
      </c>
      <c r="P448" s="1">
        <f t="shared" si="52"/>
        <v>0</v>
      </c>
      <c r="Q448" s="1">
        <f t="shared" si="53"/>
        <v>0</v>
      </c>
      <c r="R448" s="12">
        <v>34565</v>
      </c>
      <c r="S448" s="12">
        <v>34565</v>
      </c>
      <c r="T448" s="1">
        <f t="shared" si="54"/>
        <v>0</v>
      </c>
      <c r="U448" s="1">
        <f t="shared" si="55"/>
        <v>0</v>
      </c>
    </row>
    <row r="449" spans="1:21" x14ac:dyDescent="0.25">
      <c r="A449" s="15">
        <v>4111</v>
      </c>
      <c r="B449" s="15">
        <v>7</v>
      </c>
      <c r="C449" s="16" t="s">
        <v>441</v>
      </c>
      <c r="D449" s="12">
        <v>180</v>
      </c>
      <c r="E449" s="12">
        <v>170</v>
      </c>
      <c r="F449" s="12">
        <v>0</v>
      </c>
      <c r="G449" s="13">
        <v>0</v>
      </c>
      <c r="H449" s="1">
        <f t="shared" si="48"/>
        <v>0</v>
      </c>
      <c r="I449" s="1">
        <f t="shared" si="49"/>
        <v>0</v>
      </c>
      <c r="J449" s="12">
        <v>0</v>
      </c>
      <c r="K449" s="13">
        <v>0</v>
      </c>
      <c r="L449" s="1">
        <f t="shared" si="50"/>
        <v>0</v>
      </c>
      <c r="M449" s="1">
        <f t="shared" si="51"/>
        <v>0</v>
      </c>
      <c r="N449" s="12">
        <v>0</v>
      </c>
      <c r="O449" s="12">
        <v>0</v>
      </c>
      <c r="P449" s="1">
        <f t="shared" si="52"/>
        <v>0</v>
      </c>
      <c r="Q449" s="1">
        <f t="shared" si="53"/>
        <v>0</v>
      </c>
      <c r="R449" s="12">
        <v>22057</v>
      </c>
      <c r="S449" s="12">
        <v>22057</v>
      </c>
      <c r="T449" s="1">
        <f t="shared" si="54"/>
        <v>0</v>
      </c>
      <c r="U449" s="1">
        <f t="shared" si="55"/>
        <v>0</v>
      </c>
    </row>
    <row r="450" spans="1:21" x14ac:dyDescent="0.25">
      <c r="A450" s="15">
        <v>4112</v>
      </c>
      <c r="B450" s="15">
        <v>7</v>
      </c>
      <c r="C450" s="16" t="s">
        <v>442</v>
      </c>
      <c r="D450" s="12">
        <v>550</v>
      </c>
      <c r="E450" s="12">
        <v>600</v>
      </c>
      <c r="F450" s="12">
        <v>0</v>
      </c>
      <c r="G450" s="13">
        <v>0</v>
      </c>
      <c r="H450" s="1">
        <f t="shared" si="48"/>
        <v>0</v>
      </c>
      <c r="I450" s="1">
        <f t="shared" si="49"/>
        <v>0</v>
      </c>
      <c r="J450" s="12">
        <v>0</v>
      </c>
      <c r="K450" s="13">
        <v>0</v>
      </c>
      <c r="L450" s="1">
        <f t="shared" si="50"/>
        <v>0</v>
      </c>
      <c r="M450" s="1">
        <f t="shared" si="51"/>
        <v>0</v>
      </c>
      <c r="N450" s="12">
        <v>0</v>
      </c>
      <c r="O450" s="12">
        <v>0</v>
      </c>
      <c r="P450" s="1">
        <f t="shared" si="52"/>
        <v>0</v>
      </c>
      <c r="Q450" s="1">
        <f t="shared" si="53"/>
        <v>0</v>
      </c>
      <c r="R450" s="12">
        <v>76810</v>
      </c>
      <c r="S450" s="12">
        <v>76810</v>
      </c>
      <c r="T450" s="1">
        <f t="shared" si="54"/>
        <v>0</v>
      </c>
      <c r="U450" s="1">
        <f t="shared" si="55"/>
        <v>0</v>
      </c>
    </row>
    <row r="451" spans="1:21" x14ac:dyDescent="0.25">
      <c r="A451" s="15">
        <v>4113</v>
      </c>
      <c r="B451" s="15">
        <v>7</v>
      </c>
      <c r="C451" s="16" t="s">
        <v>443</v>
      </c>
      <c r="D451" s="12">
        <v>80</v>
      </c>
      <c r="E451" s="12">
        <v>80</v>
      </c>
      <c r="F451" s="12">
        <v>0</v>
      </c>
      <c r="G451" s="13">
        <v>0</v>
      </c>
      <c r="H451" s="1">
        <f t="shared" si="48"/>
        <v>0</v>
      </c>
      <c r="I451" s="1">
        <f t="shared" si="49"/>
        <v>0</v>
      </c>
      <c r="J451" s="12">
        <v>0</v>
      </c>
      <c r="K451" s="13">
        <v>0</v>
      </c>
      <c r="L451" s="1">
        <f t="shared" si="50"/>
        <v>0</v>
      </c>
      <c r="M451" s="1">
        <f t="shared" si="51"/>
        <v>0</v>
      </c>
      <c r="N451" s="12">
        <v>0</v>
      </c>
      <c r="O451" s="12">
        <v>0</v>
      </c>
      <c r="P451" s="1">
        <f t="shared" si="52"/>
        <v>0</v>
      </c>
      <c r="Q451" s="1">
        <f t="shared" si="53"/>
        <v>0</v>
      </c>
      <c r="R451" s="12">
        <v>8418</v>
      </c>
      <c r="S451" s="12">
        <v>8418</v>
      </c>
      <c r="T451" s="1">
        <f t="shared" si="54"/>
        <v>0</v>
      </c>
      <c r="U451" s="1">
        <f t="shared" si="55"/>
        <v>0</v>
      </c>
    </row>
    <row r="452" spans="1:21" x14ac:dyDescent="0.25">
      <c r="A452" s="15">
        <v>4114</v>
      </c>
      <c r="B452" s="15">
        <v>7</v>
      </c>
      <c r="C452" s="16" t="s">
        <v>444</v>
      </c>
      <c r="D452" s="12">
        <v>74</v>
      </c>
      <c r="E452" s="12">
        <v>80</v>
      </c>
      <c r="F452" s="12">
        <v>0</v>
      </c>
      <c r="G452" s="13">
        <v>0</v>
      </c>
      <c r="H452" s="1">
        <f t="shared" si="48"/>
        <v>0</v>
      </c>
      <c r="I452" s="1">
        <f t="shared" si="49"/>
        <v>0</v>
      </c>
      <c r="J452" s="12">
        <v>0</v>
      </c>
      <c r="K452" s="13">
        <v>0</v>
      </c>
      <c r="L452" s="1">
        <f t="shared" si="50"/>
        <v>0</v>
      </c>
      <c r="M452" s="1">
        <f t="shared" si="51"/>
        <v>0</v>
      </c>
      <c r="N452" s="12">
        <v>0</v>
      </c>
      <c r="O452" s="12">
        <v>0</v>
      </c>
      <c r="P452" s="1">
        <f t="shared" si="52"/>
        <v>0</v>
      </c>
      <c r="Q452" s="1">
        <f t="shared" si="53"/>
        <v>0</v>
      </c>
      <c r="R452" s="12">
        <v>10241</v>
      </c>
      <c r="S452" s="12">
        <v>10241</v>
      </c>
      <c r="T452" s="1">
        <f t="shared" si="54"/>
        <v>0</v>
      </c>
      <c r="U452" s="1">
        <f t="shared" si="55"/>
        <v>0</v>
      </c>
    </row>
    <row r="453" spans="1:21" x14ac:dyDescent="0.25">
      <c r="A453" s="15">
        <v>4115</v>
      </c>
      <c r="B453" s="15">
        <v>7</v>
      </c>
      <c r="C453" s="16" t="s">
        <v>445</v>
      </c>
      <c r="D453" s="12">
        <v>140</v>
      </c>
      <c r="E453" s="12">
        <v>125</v>
      </c>
      <c r="F453" s="12">
        <v>0</v>
      </c>
      <c r="G453" s="13">
        <v>0</v>
      </c>
      <c r="H453" s="1">
        <f t="shared" si="48"/>
        <v>0</v>
      </c>
      <c r="I453" s="1">
        <f t="shared" si="49"/>
        <v>0</v>
      </c>
      <c r="J453" s="12">
        <v>0</v>
      </c>
      <c r="K453" s="13">
        <v>0</v>
      </c>
      <c r="L453" s="1">
        <f t="shared" si="50"/>
        <v>0</v>
      </c>
      <c r="M453" s="1">
        <f t="shared" si="51"/>
        <v>0</v>
      </c>
      <c r="N453" s="12">
        <v>0</v>
      </c>
      <c r="O453" s="12">
        <v>0</v>
      </c>
      <c r="P453" s="1">
        <f t="shared" si="52"/>
        <v>0</v>
      </c>
      <c r="Q453" s="1">
        <f t="shared" si="53"/>
        <v>0</v>
      </c>
      <c r="R453" s="12">
        <v>15207</v>
      </c>
      <c r="S453" s="12">
        <v>15207</v>
      </c>
      <c r="T453" s="1">
        <f t="shared" si="54"/>
        <v>0</v>
      </c>
      <c r="U453" s="1">
        <f t="shared" si="55"/>
        <v>0</v>
      </c>
    </row>
    <row r="454" spans="1:21" x14ac:dyDescent="0.25">
      <c r="A454" s="15">
        <v>4116</v>
      </c>
      <c r="B454" s="15">
        <v>7</v>
      </c>
      <c r="C454" s="16" t="s">
        <v>446</v>
      </c>
      <c r="D454" s="12">
        <v>592</v>
      </c>
      <c r="E454" s="12">
        <v>594</v>
      </c>
      <c r="F454" s="12">
        <v>0</v>
      </c>
      <c r="G454" s="13">
        <v>0</v>
      </c>
      <c r="H454" s="1">
        <f t="shared" si="48"/>
        <v>0</v>
      </c>
      <c r="I454" s="1">
        <f t="shared" si="49"/>
        <v>0</v>
      </c>
      <c r="J454" s="12">
        <v>0</v>
      </c>
      <c r="K454" s="13">
        <v>0</v>
      </c>
      <c r="L454" s="1">
        <f t="shared" si="50"/>
        <v>0</v>
      </c>
      <c r="M454" s="1">
        <f t="shared" si="51"/>
        <v>0</v>
      </c>
      <c r="N454" s="12">
        <v>0</v>
      </c>
      <c r="O454" s="12">
        <v>0</v>
      </c>
      <c r="P454" s="1">
        <f t="shared" si="52"/>
        <v>0</v>
      </c>
      <c r="Q454" s="1">
        <f t="shared" si="53"/>
        <v>0</v>
      </c>
      <c r="R454" s="12">
        <v>59049</v>
      </c>
      <c r="S454" s="12">
        <v>59049</v>
      </c>
      <c r="T454" s="1">
        <f t="shared" si="54"/>
        <v>0</v>
      </c>
      <c r="U454" s="1">
        <f t="shared" si="55"/>
        <v>0</v>
      </c>
    </row>
    <row r="455" spans="1:21" x14ac:dyDescent="0.25">
      <c r="A455" s="15">
        <v>4118</v>
      </c>
      <c r="B455" s="15">
        <v>7</v>
      </c>
      <c r="C455" s="16" t="s">
        <v>447</v>
      </c>
      <c r="D455" s="12">
        <v>432</v>
      </c>
      <c r="E455" s="12">
        <v>424</v>
      </c>
      <c r="F455" s="12">
        <v>0</v>
      </c>
      <c r="G455" s="13">
        <v>0</v>
      </c>
      <c r="H455" s="1">
        <f t="shared" si="48"/>
        <v>0</v>
      </c>
      <c r="I455" s="1">
        <f t="shared" si="49"/>
        <v>0</v>
      </c>
      <c r="J455" s="12">
        <v>0</v>
      </c>
      <c r="K455" s="13">
        <v>0</v>
      </c>
      <c r="L455" s="1">
        <f t="shared" si="50"/>
        <v>0</v>
      </c>
      <c r="M455" s="1">
        <f t="shared" si="51"/>
        <v>0</v>
      </c>
      <c r="N455" s="12">
        <v>0</v>
      </c>
      <c r="O455" s="12">
        <v>0</v>
      </c>
      <c r="P455" s="1">
        <f t="shared" si="52"/>
        <v>0</v>
      </c>
      <c r="Q455" s="1">
        <f t="shared" si="53"/>
        <v>0</v>
      </c>
      <c r="R455" s="12">
        <v>45654</v>
      </c>
      <c r="S455" s="12">
        <v>45654</v>
      </c>
      <c r="T455" s="1">
        <f t="shared" si="54"/>
        <v>0</v>
      </c>
      <c r="U455" s="1">
        <f t="shared" si="55"/>
        <v>0</v>
      </c>
    </row>
    <row r="456" spans="1:21" x14ac:dyDescent="0.25">
      <c r="A456" s="15">
        <v>4119</v>
      </c>
      <c r="B456" s="15">
        <v>7</v>
      </c>
      <c r="C456" s="16" t="s">
        <v>448</v>
      </c>
      <c r="D456" s="12">
        <v>49</v>
      </c>
      <c r="E456" s="12">
        <v>33</v>
      </c>
      <c r="F456" s="12">
        <v>0</v>
      </c>
      <c r="G456" s="13">
        <v>0</v>
      </c>
      <c r="H456" s="1">
        <f t="shared" si="48"/>
        <v>0</v>
      </c>
      <c r="I456" s="1">
        <f t="shared" si="49"/>
        <v>0</v>
      </c>
      <c r="J456" s="12">
        <v>0</v>
      </c>
      <c r="K456" s="13">
        <v>0</v>
      </c>
      <c r="L456" s="1">
        <f t="shared" si="50"/>
        <v>0</v>
      </c>
      <c r="M456" s="1">
        <f t="shared" si="51"/>
        <v>0</v>
      </c>
      <c r="N456" s="12">
        <v>0</v>
      </c>
      <c r="O456" s="12">
        <v>0</v>
      </c>
      <c r="P456" s="1">
        <f t="shared" si="52"/>
        <v>0</v>
      </c>
      <c r="Q456" s="1">
        <f t="shared" si="53"/>
        <v>0</v>
      </c>
      <c r="R456" s="12">
        <v>4695</v>
      </c>
      <c r="S456" s="12">
        <v>4695</v>
      </c>
      <c r="T456" s="1">
        <f t="shared" si="54"/>
        <v>0</v>
      </c>
      <c r="U456" s="1">
        <f t="shared" si="55"/>
        <v>0</v>
      </c>
    </row>
    <row r="457" spans="1:21" x14ac:dyDescent="0.25">
      <c r="A457" s="15">
        <v>4120</v>
      </c>
      <c r="B457" s="15">
        <v>7</v>
      </c>
      <c r="C457" s="16" t="s">
        <v>449</v>
      </c>
      <c r="D457" s="12">
        <v>1056</v>
      </c>
      <c r="E457" s="12">
        <v>1116</v>
      </c>
      <c r="F457" s="12">
        <v>0</v>
      </c>
      <c r="G457" s="13">
        <v>0</v>
      </c>
      <c r="H457" s="1">
        <f t="shared" si="48"/>
        <v>0</v>
      </c>
      <c r="I457" s="1">
        <f t="shared" si="49"/>
        <v>0</v>
      </c>
      <c r="J457" s="12">
        <v>0</v>
      </c>
      <c r="K457" s="13">
        <v>0</v>
      </c>
      <c r="L457" s="1">
        <f t="shared" si="50"/>
        <v>0</v>
      </c>
      <c r="M457" s="1">
        <f t="shared" si="51"/>
        <v>0</v>
      </c>
      <c r="N457" s="12">
        <v>0</v>
      </c>
      <c r="O457" s="12">
        <v>0</v>
      </c>
      <c r="P457" s="1">
        <f t="shared" si="52"/>
        <v>0</v>
      </c>
      <c r="Q457" s="1">
        <f t="shared" si="53"/>
        <v>0</v>
      </c>
      <c r="R457" s="12">
        <v>126049</v>
      </c>
      <c r="S457" s="12">
        <v>126049</v>
      </c>
      <c r="T457" s="1">
        <f t="shared" si="54"/>
        <v>0</v>
      </c>
      <c r="U457" s="1">
        <f t="shared" si="55"/>
        <v>0</v>
      </c>
    </row>
    <row r="458" spans="1:21" x14ac:dyDescent="0.25">
      <c r="A458" s="15">
        <v>4121</v>
      </c>
      <c r="B458" s="15">
        <v>7</v>
      </c>
      <c r="C458" s="16" t="s">
        <v>450</v>
      </c>
      <c r="D458" s="12">
        <v>240</v>
      </c>
      <c r="E458" s="12">
        <v>260</v>
      </c>
      <c r="F458" s="12">
        <v>0</v>
      </c>
      <c r="G458" s="13">
        <v>0</v>
      </c>
      <c r="H458" s="1">
        <f t="shared" si="48"/>
        <v>0</v>
      </c>
      <c r="I458" s="1">
        <f t="shared" si="49"/>
        <v>0</v>
      </c>
      <c r="J458" s="12">
        <v>0</v>
      </c>
      <c r="K458" s="13">
        <v>0</v>
      </c>
      <c r="L458" s="1">
        <f t="shared" si="50"/>
        <v>0</v>
      </c>
      <c r="M458" s="1">
        <f t="shared" si="51"/>
        <v>0</v>
      </c>
      <c r="N458" s="12">
        <v>0</v>
      </c>
      <c r="O458" s="12">
        <v>0</v>
      </c>
      <c r="P458" s="1">
        <f t="shared" si="52"/>
        <v>0</v>
      </c>
      <c r="Q458" s="1">
        <f t="shared" si="53"/>
        <v>0</v>
      </c>
      <c r="R458" s="12">
        <v>33284</v>
      </c>
      <c r="S458" s="12">
        <v>33284</v>
      </c>
      <c r="T458" s="1">
        <f t="shared" si="54"/>
        <v>0</v>
      </c>
      <c r="U458" s="1">
        <f t="shared" si="55"/>
        <v>0</v>
      </c>
    </row>
    <row r="459" spans="1:21" x14ac:dyDescent="0.25">
      <c r="A459" s="15">
        <v>4122</v>
      </c>
      <c r="B459" s="15">
        <v>7</v>
      </c>
      <c r="C459" s="16" t="s">
        <v>451</v>
      </c>
      <c r="D459" s="12">
        <v>713</v>
      </c>
      <c r="E459" s="12">
        <v>738</v>
      </c>
      <c r="F459" s="12">
        <v>0</v>
      </c>
      <c r="G459" s="13">
        <v>0</v>
      </c>
      <c r="H459" s="1">
        <f t="shared" si="48"/>
        <v>0</v>
      </c>
      <c r="I459" s="1">
        <f t="shared" si="49"/>
        <v>0</v>
      </c>
      <c r="J459" s="12">
        <v>0</v>
      </c>
      <c r="K459" s="13">
        <v>0</v>
      </c>
      <c r="L459" s="1">
        <f t="shared" si="50"/>
        <v>0</v>
      </c>
      <c r="M459" s="1">
        <f t="shared" si="51"/>
        <v>0</v>
      </c>
      <c r="N459" s="12">
        <v>0</v>
      </c>
      <c r="O459" s="12">
        <v>0</v>
      </c>
      <c r="P459" s="1">
        <f t="shared" si="52"/>
        <v>0</v>
      </c>
      <c r="Q459" s="1">
        <f t="shared" si="53"/>
        <v>0</v>
      </c>
      <c r="R459" s="12">
        <v>83114</v>
      </c>
      <c r="S459" s="12">
        <v>83114</v>
      </c>
      <c r="T459" s="1">
        <f t="shared" si="54"/>
        <v>0</v>
      </c>
      <c r="U459" s="1">
        <f t="shared" si="55"/>
        <v>0</v>
      </c>
    </row>
    <row r="460" spans="1:21" x14ac:dyDescent="0.25">
      <c r="A460" s="15">
        <v>4123</v>
      </c>
      <c r="B460" s="15">
        <v>7</v>
      </c>
      <c r="C460" s="16" t="s">
        <v>452</v>
      </c>
      <c r="D460" s="12">
        <v>38</v>
      </c>
      <c r="E460" s="12">
        <v>41</v>
      </c>
      <c r="F460" s="12">
        <v>0</v>
      </c>
      <c r="G460" s="13">
        <v>0</v>
      </c>
      <c r="H460" s="1">
        <f t="shared" si="48"/>
        <v>0</v>
      </c>
      <c r="I460" s="1">
        <f t="shared" si="49"/>
        <v>0</v>
      </c>
      <c r="J460" s="12">
        <v>0</v>
      </c>
      <c r="K460" s="13">
        <v>0</v>
      </c>
      <c r="L460" s="1">
        <f t="shared" si="50"/>
        <v>0</v>
      </c>
      <c r="M460" s="1">
        <f t="shared" si="51"/>
        <v>0</v>
      </c>
      <c r="N460" s="12">
        <v>0</v>
      </c>
      <c r="O460" s="12">
        <v>0</v>
      </c>
      <c r="P460" s="1">
        <f t="shared" si="52"/>
        <v>0</v>
      </c>
      <c r="Q460" s="1">
        <f t="shared" si="53"/>
        <v>0</v>
      </c>
      <c r="R460" s="12">
        <v>4068</v>
      </c>
      <c r="S460" s="12">
        <v>4068</v>
      </c>
      <c r="T460" s="1">
        <f t="shared" si="54"/>
        <v>0</v>
      </c>
      <c r="U460" s="1">
        <f t="shared" si="55"/>
        <v>0</v>
      </c>
    </row>
    <row r="461" spans="1:21" x14ac:dyDescent="0.25">
      <c r="A461" s="15">
        <v>4124</v>
      </c>
      <c r="B461" s="15">
        <v>7</v>
      </c>
      <c r="C461" s="16" t="s">
        <v>453</v>
      </c>
      <c r="D461" s="12">
        <v>415</v>
      </c>
      <c r="E461" s="12">
        <v>415</v>
      </c>
      <c r="F461" s="12">
        <v>0</v>
      </c>
      <c r="G461" s="13">
        <v>0</v>
      </c>
      <c r="H461" s="1">
        <f t="shared" ref="H461:H524" si="56">G461-F461</f>
        <v>0</v>
      </c>
      <c r="I461" s="1">
        <f t="shared" ref="I461:I524" si="57">IF(D461=0,0,H461/D461)</f>
        <v>0</v>
      </c>
      <c r="J461" s="12">
        <v>0</v>
      </c>
      <c r="K461" s="13">
        <v>0</v>
      </c>
      <c r="L461" s="1">
        <f t="shared" ref="L461:L524" si="58">K461-J461</f>
        <v>0</v>
      </c>
      <c r="M461" s="1">
        <f t="shared" ref="M461:M524" si="59">IF(E461=0,0,L461/E461)</f>
        <v>0</v>
      </c>
      <c r="N461" s="12">
        <v>0</v>
      </c>
      <c r="O461" s="12">
        <v>0</v>
      </c>
      <c r="P461" s="1">
        <f t="shared" ref="P461:P524" si="60">O461-N461</f>
        <v>0</v>
      </c>
      <c r="Q461" s="1">
        <f t="shared" ref="Q461:Q524" si="61">IF(E461=0,0,P461/E461)</f>
        <v>0</v>
      </c>
      <c r="R461" s="12">
        <v>44435</v>
      </c>
      <c r="S461" s="12">
        <v>44435</v>
      </c>
      <c r="T461" s="1">
        <f t="shared" ref="T461:T524" si="62">S461-R461</f>
        <v>0</v>
      </c>
      <c r="U461" s="1">
        <f t="shared" ref="U461:U524" si="63">IF(E461=0,0,T461/E461)</f>
        <v>0</v>
      </c>
    </row>
    <row r="462" spans="1:21" x14ac:dyDescent="0.25">
      <c r="A462" s="15">
        <v>4125</v>
      </c>
      <c r="B462" s="15">
        <v>7</v>
      </c>
      <c r="C462" s="16" t="s">
        <v>454</v>
      </c>
      <c r="D462" s="12">
        <v>0</v>
      </c>
      <c r="E462" s="12">
        <v>0</v>
      </c>
      <c r="F462" s="12">
        <v>0</v>
      </c>
      <c r="G462" s="13">
        <v>0</v>
      </c>
      <c r="H462" s="1">
        <f t="shared" si="56"/>
        <v>0</v>
      </c>
      <c r="I462" s="1">
        <f t="shared" si="57"/>
        <v>0</v>
      </c>
      <c r="J462" s="12">
        <v>0</v>
      </c>
      <c r="K462" s="13">
        <v>0</v>
      </c>
      <c r="L462" s="1">
        <f t="shared" si="58"/>
        <v>0</v>
      </c>
      <c r="M462" s="1">
        <f t="shared" si="59"/>
        <v>0</v>
      </c>
      <c r="N462" s="12">
        <v>0</v>
      </c>
      <c r="O462" s="12">
        <v>0</v>
      </c>
      <c r="P462" s="1">
        <f t="shared" si="60"/>
        <v>0</v>
      </c>
      <c r="Q462" s="1">
        <f t="shared" si="61"/>
        <v>0</v>
      </c>
      <c r="R462" s="12">
        <v>0</v>
      </c>
      <c r="S462" s="12">
        <v>0</v>
      </c>
      <c r="T462" s="1">
        <f t="shared" si="62"/>
        <v>0</v>
      </c>
      <c r="U462" s="1">
        <f t="shared" si="63"/>
        <v>0</v>
      </c>
    </row>
    <row r="463" spans="1:21" x14ac:dyDescent="0.25">
      <c r="A463" s="15">
        <v>4126</v>
      </c>
      <c r="B463" s="15">
        <v>7</v>
      </c>
      <c r="C463" s="16" t="s">
        <v>455</v>
      </c>
      <c r="D463" s="12">
        <v>665</v>
      </c>
      <c r="E463" s="12">
        <v>676</v>
      </c>
      <c r="F463" s="12">
        <v>0</v>
      </c>
      <c r="G463" s="13">
        <v>0</v>
      </c>
      <c r="H463" s="1">
        <f t="shared" si="56"/>
        <v>0</v>
      </c>
      <c r="I463" s="1">
        <f t="shared" si="57"/>
        <v>0</v>
      </c>
      <c r="J463" s="12">
        <v>0</v>
      </c>
      <c r="K463" s="13">
        <v>0</v>
      </c>
      <c r="L463" s="1">
        <f t="shared" si="58"/>
        <v>0</v>
      </c>
      <c r="M463" s="1">
        <f t="shared" si="59"/>
        <v>0</v>
      </c>
      <c r="N463" s="12">
        <v>0</v>
      </c>
      <c r="O463" s="12">
        <v>0</v>
      </c>
      <c r="P463" s="1">
        <f t="shared" si="60"/>
        <v>0</v>
      </c>
      <c r="Q463" s="1">
        <f t="shared" si="61"/>
        <v>0</v>
      </c>
      <c r="R463" s="12">
        <v>76894</v>
      </c>
      <c r="S463" s="12">
        <v>76894</v>
      </c>
      <c r="T463" s="1">
        <f t="shared" si="62"/>
        <v>0</v>
      </c>
      <c r="U463" s="1">
        <f t="shared" si="63"/>
        <v>0</v>
      </c>
    </row>
    <row r="464" spans="1:21" x14ac:dyDescent="0.25">
      <c r="A464" s="15">
        <v>4127</v>
      </c>
      <c r="B464" s="15">
        <v>7</v>
      </c>
      <c r="C464" s="16" t="s">
        <v>456</v>
      </c>
      <c r="D464" s="12">
        <v>194</v>
      </c>
      <c r="E464" s="12">
        <v>205</v>
      </c>
      <c r="F464" s="12">
        <v>0</v>
      </c>
      <c r="G464" s="13">
        <v>0</v>
      </c>
      <c r="H464" s="1">
        <f t="shared" si="56"/>
        <v>0</v>
      </c>
      <c r="I464" s="1">
        <f t="shared" si="57"/>
        <v>0</v>
      </c>
      <c r="J464" s="12">
        <v>0</v>
      </c>
      <c r="K464" s="13">
        <v>0</v>
      </c>
      <c r="L464" s="1">
        <f t="shared" si="58"/>
        <v>0</v>
      </c>
      <c r="M464" s="1">
        <f t="shared" si="59"/>
        <v>0</v>
      </c>
      <c r="N464" s="12">
        <v>0</v>
      </c>
      <c r="O464" s="12">
        <v>0</v>
      </c>
      <c r="P464" s="1">
        <f t="shared" si="60"/>
        <v>0</v>
      </c>
      <c r="Q464" s="1">
        <f t="shared" si="61"/>
        <v>0</v>
      </c>
      <c r="R464" s="12">
        <v>21658</v>
      </c>
      <c r="S464" s="12">
        <v>21658</v>
      </c>
      <c r="T464" s="1">
        <f t="shared" si="62"/>
        <v>0</v>
      </c>
      <c r="U464" s="1">
        <f t="shared" si="63"/>
        <v>0</v>
      </c>
    </row>
    <row r="465" spans="1:21" x14ac:dyDescent="0.25">
      <c r="A465" s="15">
        <v>4128</v>
      </c>
      <c r="B465" s="15">
        <v>7</v>
      </c>
      <c r="C465" s="16" t="s">
        <v>457</v>
      </c>
      <c r="D465" s="12">
        <v>0</v>
      </c>
      <c r="E465" s="12">
        <v>0</v>
      </c>
      <c r="F465" s="12">
        <v>0</v>
      </c>
      <c r="G465" s="13">
        <v>0</v>
      </c>
      <c r="H465" s="1">
        <f t="shared" si="56"/>
        <v>0</v>
      </c>
      <c r="I465" s="1">
        <f t="shared" si="57"/>
        <v>0</v>
      </c>
      <c r="J465" s="12">
        <v>0</v>
      </c>
      <c r="K465" s="13">
        <v>0</v>
      </c>
      <c r="L465" s="1">
        <f t="shared" si="58"/>
        <v>0</v>
      </c>
      <c r="M465" s="1">
        <f t="shared" si="59"/>
        <v>0</v>
      </c>
      <c r="N465" s="12">
        <v>0</v>
      </c>
      <c r="O465" s="12">
        <v>0</v>
      </c>
      <c r="P465" s="1">
        <f t="shared" si="60"/>
        <v>0</v>
      </c>
      <c r="Q465" s="1">
        <f t="shared" si="61"/>
        <v>0</v>
      </c>
      <c r="R465" s="12">
        <v>0</v>
      </c>
      <c r="S465" s="12">
        <v>0</v>
      </c>
      <c r="T465" s="1">
        <f t="shared" si="62"/>
        <v>0</v>
      </c>
      <c r="U465" s="1">
        <f t="shared" si="63"/>
        <v>0</v>
      </c>
    </row>
    <row r="466" spans="1:21" x14ac:dyDescent="0.25">
      <c r="A466" s="15">
        <v>4129</v>
      </c>
      <c r="B466" s="15">
        <v>7</v>
      </c>
      <c r="C466" s="16" t="s">
        <v>458</v>
      </c>
      <c r="D466" s="12">
        <v>0</v>
      </c>
      <c r="E466" s="12">
        <v>0</v>
      </c>
      <c r="F466" s="12">
        <v>0</v>
      </c>
      <c r="G466" s="13">
        <v>0</v>
      </c>
      <c r="H466" s="1">
        <f t="shared" si="56"/>
        <v>0</v>
      </c>
      <c r="I466" s="1">
        <f t="shared" si="57"/>
        <v>0</v>
      </c>
      <c r="J466" s="12">
        <v>0</v>
      </c>
      <c r="K466" s="13">
        <v>0</v>
      </c>
      <c r="L466" s="1">
        <f t="shared" si="58"/>
        <v>0</v>
      </c>
      <c r="M466" s="1">
        <f t="shared" si="59"/>
        <v>0</v>
      </c>
      <c r="N466" s="12">
        <v>0</v>
      </c>
      <c r="O466" s="12">
        <v>0</v>
      </c>
      <c r="P466" s="1">
        <f t="shared" si="60"/>
        <v>0</v>
      </c>
      <c r="Q466" s="1">
        <f t="shared" si="61"/>
        <v>0</v>
      </c>
      <c r="R466" s="12">
        <v>0</v>
      </c>
      <c r="S466" s="12">
        <v>0</v>
      </c>
      <c r="T466" s="1">
        <f t="shared" si="62"/>
        <v>0</v>
      </c>
      <c r="U466" s="1">
        <f t="shared" si="63"/>
        <v>0</v>
      </c>
    </row>
    <row r="467" spans="1:21" x14ac:dyDescent="0.25">
      <c r="A467" s="15">
        <v>4131</v>
      </c>
      <c r="B467" s="15">
        <v>7</v>
      </c>
      <c r="C467" s="16" t="s">
        <v>459</v>
      </c>
      <c r="D467" s="12">
        <v>180</v>
      </c>
      <c r="E467" s="12">
        <v>180</v>
      </c>
      <c r="F467" s="12">
        <v>0</v>
      </c>
      <c r="G467" s="13">
        <v>0</v>
      </c>
      <c r="H467" s="1">
        <f t="shared" si="56"/>
        <v>0</v>
      </c>
      <c r="I467" s="1">
        <f t="shared" si="57"/>
        <v>0</v>
      </c>
      <c r="J467" s="12">
        <v>0</v>
      </c>
      <c r="K467" s="13">
        <v>0</v>
      </c>
      <c r="L467" s="1">
        <f t="shared" si="58"/>
        <v>0</v>
      </c>
      <c r="M467" s="1">
        <f t="shared" si="59"/>
        <v>0</v>
      </c>
      <c r="N467" s="12">
        <v>0</v>
      </c>
      <c r="O467" s="12">
        <v>0</v>
      </c>
      <c r="P467" s="1">
        <f t="shared" si="60"/>
        <v>0</v>
      </c>
      <c r="Q467" s="1">
        <f t="shared" si="61"/>
        <v>0</v>
      </c>
      <c r="R467" s="12">
        <v>23043</v>
      </c>
      <c r="S467" s="12">
        <v>23043</v>
      </c>
      <c r="T467" s="1">
        <f t="shared" si="62"/>
        <v>0</v>
      </c>
      <c r="U467" s="1">
        <f t="shared" si="63"/>
        <v>0</v>
      </c>
    </row>
    <row r="468" spans="1:21" x14ac:dyDescent="0.25">
      <c r="A468" s="15">
        <v>4132</v>
      </c>
      <c r="B468" s="15">
        <v>7</v>
      </c>
      <c r="C468" s="16" t="s">
        <v>460</v>
      </c>
      <c r="D468" s="12">
        <v>174</v>
      </c>
      <c r="E468" s="12">
        <v>185</v>
      </c>
      <c r="F468" s="12">
        <v>0</v>
      </c>
      <c r="G468" s="13">
        <v>0</v>
      </c>
      <c r="H468" s="1">
        <f t="shared" si="56"/>
        <v>0</v>
      </c>
      <c r="I468" s="1">
        <f t="shared" si="57"/>
        <v>0</v>
      </c>
      <c r="J468" s="12">
        <v>0</v>
      </c>
      <c r="K468" s="13">
        <v>0</v>
      </c>
      <c r="L468" s="1">
        <f t="shared" si="58"/>
        <v>0</v>
      </c>
      <c r="M468" s="1">
        <f t="shared" si="59"/>
        <v>0</v>
      </c>
      <c r="N468" s="12">
        <v>0</v>
      </c>
      <c r="O468" s="12">
        <v>0</v>
      </c>
      <c r="P468" s="1">
        <f t="shared" si="60"/>
        <v>0</v>
      </c>
      <c r="Q468" s="1">
        <f t="shared" si="61"/>
        <v>0</v>
      </c>
      <c r="R468" s="12">
        <v>23683</v>
      </c>
      <c r="S468" s="12">
        <v>23683</v>
      </c>
      <c r="T468" s="1">
        <f t="shared" si="62"/>
        <v>0</v>
      </c>
      <c r="U468" s="1">
        <f t="shared" si="63"/>
        <v>0</v>
      </c>
    </row>
    <row r="469" spans="1:21" x14ac:dyDescent="0.25">
      <c r="A469" s="15">
        <v>4133</v>
      </c>
      <c r="B469" s="15">
        <v>7</v>
      </c>
      <c r="C469" s="16" t="s">
        <v>461</v>
      </c>
      <c r="D469" s="12">
        <v>165</v>
      </c>
      <c r="E469" s="12">
        <v>165</v>
      </c>
      <c r="F469" s="12">
        <v>0</v>
      </c>
      <c r="G469" s="13">
        <v>0</v>
      </c>
      <c r="H469" s="1">
        <f t="shared" si="56"/>
        <v>0</v>
      </c>
      <c r="I469" s="1">
        <f t="shared" si="57"/>
        <v>0</v>
      </c>
      <c r="J469" s="12">
        <v>0</v>
      </c>
      <c r="K469" s="13">
        <v>0</v>
      </c>
      <c r="L469" s="1">
        <f t="shared" si="58"/>
        <v>0</v>
      </c>
      <c r="M469" s="1">
        <f t="shared" si="59"/>
        <v>0</v>
      </c>
      <c r="N469" s="12">
        <v>0</v>
      </c>
      <c r="O469" s="12">
        <v>0</v>
      </c>
      <c r="P469" s="1">
        <f t="shared" si="60"/>
        <v>0</v>
      </c>
      <c r="Q469" s="1">
        <f t="shared" si="61"/>
        <v>0</v>
      </c>
      <c r="R469" s="12">
        <v>19823</v>
      </c>
      <c r="S469" s="12">
        <v>19823</v>
      </c>
      <c r="T469" s="1">
        <f t="shared" si="62"/>
        <v>0</v>
      </c>
      <c r="U469" s="1">
        <f t="shared" si="63"/>
        <v>0</v>
      </c>
    </row>
    <row r="470" spans="1:21" x14ac:dyDescent="0.25">
      <c r="A470" s="15">
        <v>4135</v>
      </c>
      <c r="B470" s="15">
        <v>7</v>
      </c>
      <c r="C470" s="16" t="s">
        <v>462</v>
      </c>
      <c r="D470" s="12">
        <v>225</v>
      </c>
      <c r="E470" s="12">
        <v>225</v>
      </c>
      <c r="F470" s="12">
        <v>0</v>
      </c>
      <c r="G470" s="13">
        <v>0</v>
      </c>
      <c r="H470" s="1">
        <f t="shared" si="56"/>
        <v>0</v>
      </c>
      <c r="I470" s="1">
        <f t="shared" si="57"/>
        <v>0</v>
      </c>
      <c r="J470" s="12">
        <v>0</v>
      </c>
      <c r="K470" s="13">
        <v>0</v>
      </c>
      <c r="L470" s="1">
        <f t="shared" si="58"/>
        <v>0</v>
      </c>
      <c r="M470" s="1">
        <f t="shared" si="59"/>
        <v>0</v>
      </c>
      <c r="N470" s="12">
        <v>0</v>
      </c>
      <c r="O470" s="12">
        <v>0</v>
      </c>
      <c r="P470" s="1">
        <f t="shared" si="60"/>
        <v>0</v>
      </c>
      <c r="Q470" s="1">
        <f t="shared" si="61"/>
        <v>0</v>
      </c>
      <c r="R470" s="12">
        <v>23972</v>
      </c>
      <c r="S470" s="12">
        <v>23972</v>
      </c>
      <c r="T470" s="1">
        <f t="shared" si="62"/>
        <v>0</v>
      </c>
      <c r="U470" s="1">
        <f t="shared" si="63"/>
        <v>0</v>
      </c>
    </row>
    <row r="471" spans="1:21" x14ac:dyDescent="0.25">
      <c r="A471" s="15">
        <v>4136</v>
      </c>
      <c r="B471" s="15">
        <v>7</v>
      </c>
      <c r="C471" s="16" t="s">
        <v>463</v>
      </c>
      <c r="D471" s="12">
        <v>0</v>
      </c>
      <c r="E471" s="12">
        <v>0</v>
      </c>
      <c r="F471" s="12">
        <v>0</v>
      </c>
      <c r="G471" s="13">
        <v>0</v>
      </c>
      <c r="H471" s="1">
        <f t="shared" si="56"/>
        <v>0</v>
      </c>
      <c r="I471" s="1">
        <f t="shared" si="57"/>
        <v>0</v>
      </c>
      <c r="J471" s="12">
        <v>0</v>
      </c>
      <c r="K471" s="13">
        <v>0</v>
      </c>
      <c r="L471" s="1">
        <f t="shared" si="58"/>
        <v>0</v>
      </c>
      <c r="M471" s="1">
        <f t="shared" si="59"/>
        <v>0</v>
      </c>
      <c r="N471" s="12">
        <v>0</v>
      </c>
      <c r="O471" s="12">
        <v>0</v>
      </c>
      <c r="P471" s="1">
        <f t="shared" si="60"/>
        <v>0</v>
      </c>
      <c r="Q471" s="1">
        <f t="shared" si="61"/>
        <v>0</v>
      </c>
      <c r="R471" s="12">
        <v>0</v>
      </c>
      <c r="S471" s="12">
        <v>0</v>
      </c>
      <c r="T471" s="1">
        <f t="shared" si="62"/>
        <v>0</v>
      </c>
      <c r="U471" s="1">
        <f t="shared" si="63"/>
        <v>0</v>
      </c>
    </row>
    <row r="472" spans="1:21" x14ac:dyDescent="0.25">
      <c r="A472" s="15">
        <v>4137</v>
      </c>
      <c r="B472" s="15">
        <v>7</v>
      </c>
      <c r="C472" s="16" t="s">
        <v>464</v>
      </c>
      <c r="D472" s="12">
        <v>146</v>
      </c>
      <c r="E472" s="12">
        <v>147</v>
      </c>
      <c r="F472" s="12">
        <v>0</v>
      </c>
      <c r="G472" s="13">
        <v>0</v>
      </c>
      <c r="H472" s="1">
        <f t="shared" si="56"/>
        <v>0</v>
      </c>
      <c r="I472" s="1">
        <f t="shared" si="57"/>
        <v>0</v>
      </c>
      <c r="J472" s="12">
        <v>0</v>
      </c>
      <c r="K472" s="13">
        <v>0</v>
      </c>
      <c r="L472" s="1">
        <f t="shared" si="58"/>
        <v>0</v>
      </c>
      <c r="M472" s="1">
        <f t="shared" si="59"/>
        <v>0</v>
      </c>
      <c r="N472" s="12">
        <v>0</v>
      </c>
      <c r="O472" s="12">
        <v>0</v>
      </c>
      <c r="P472" s="1">
        <f t="shared" si="60"/>
        <v>0</v>
      </c>
      <c r="Q472" s="1">
        <f t="shared" si="61"/>
        <v>0</v>
      </c>
      <c r="R472" s="12">
        <v>14670</v>
      </c>
      <c r="S472" s="12">
        <v>14670</v>
      </c>
      <c r="T472" s="1">
        <f t="shared" si="62"/>
        <v>0</v>
      </c>
      <c r="U472" s="1">
        <f t="shared" si="63"/>
        <v>0</v>
      </c>
    </row>
    <row r="473" spans="1:21" x14ac:dyDescent="0.25">
      <c r="A473" s="15">
        <v>4138</v>
      </c>
      <c r="B473" s="15">
        <v>7</v>
      </c>
      <c r="C473" s="16" t="s">
        <v>465</v>
      </c>
      <c r="D473" s="12">
        <v>52</v>
      </c>
      <c r="E473" s="12">
        <v>51</v>
      </c>
      <c r="F473" s="12">
        <v>0</v>
      </c>
      <c r="G473" s="13">
        <v>0</v>
      </c>
      <c r="H473" s="1">
        <f t="shared" si="56"/>
        <v>0</v>
      </c>
      <c r="I473" s="1">
        <f t="shared" si="57"/>
        <v>0</v>
      </c>
      <c r="J473" s="12">
        <v>0</v>
      </c>
      <c r="K473" s="13">
        <v>0</v>
      </c>
      <c r="L473" s="1">
        <f t="shared" si="58"/>
        <v>0</v>
      </c>
      <c r="M473" s="1">
        <f t="shared" si="59"/>
        <v>0</v>
      </c>
      <c r="N473" s="12">
        <v>0</v>
      </c>
      <c r="O473" s="12">
        <v>0</v>
      </c>
      <c r="P473" s="1">
        <f t="shared" si="60"/>
        <v>0</v>
      </c>
      <c r="Q473" s="1">
        <f t="shared" si="61"/>
        <v>0</v>
      </c>
      <c r="R473" s="12">
        <v>5194</v>
      </c>
      <c r="S473" s="12">
        <v>5194</v>
      </c>
      <c r="T473" s="1">
        <f t="shared" si="62"/>
        <v>0</v>
      </c>
      <c r="U473" s="1">
        <f t="shared" si="63"/>
        <v>0</v>
      </c>
    </row>
    <row r="474" spans="1:21" x14ac:dyDescent="0.25">
      <c r="A474" s="15">
        <v>4139</v>
      </c>
      <c r="B474" s="15">
        <v>7</v>
      </c>
      <c r="C474" s="16" t="s">
        <v>466</v>
      </c>
      <c r="D474" s="12">
        <v>250</v>
      </c>
      <c r="E474" s="12">
        <v>280</v>
      </c>
      <c r="F474" s="12">
        <v>0</v>
      </c>
      <c r="G474" s="13">
        <v>0</v>
      </c>
      <c r="H474" s="1">
        <f t="shared" si="56"/>
        <v>0</v>
      </c>
      <c r="I474" s="1">
        <f t="shared" si="57"/>
        <v>0</v>
      </c>
      <c r="J474" s="12">
        <v>0</v>
      </c>
      <c r="K474" s="13">
        <v>0</v>
      </c>
      <c r="L474" s="1">
        <f t="shared" si="58"/>
        <v>0</v>
      </c>
      <c r="M474" s="1">
        <f t="shared" si="59"/>
        <v>0</v>
      </c>
      <c r="N474" s="12">
        <v>0</v>
      </c>
      <c r="O474" s="12">
        <v>0</v>
      </c>
      <c r="P474" s="1">
        <f t="shared" si="60"/>
        <v>0</v>
      </c>
      <c r="Q474" s="1">
        <f t="shared" si="61"/>
        <v>0</v>
      </c>
      <c r="R474" s="12">
        <v>28772</v>
      </c>
      <c r="S474" s="12">
        <v>28772</v>
      </c>
      <c r="T474" s="1">
        <f t="shared" si="62"/>
        <v>0</v>
      </c>
      <c r="U474" s="1">
        <f t="shared" si="63"/>
        <v>0</v>
      </c>
    </row>
    <row r="475" spans="1:21" x14ac:dyDescent="0.25">
      <c r="A475" s="15">
        <v>4140</v>
      </c>
      <c r="B475" s="15">
        <v>7</v>
      </c>
      <c r="C475" s="16" t="s">
        <v>467</v>
      </c>
      <c r="D475" s="12">
        <v>457</v>
      </c>
      <c r="E475" s="12">
        <v>522</v>
      </c>
      <c r="F475" s="12">
        <v>0</v>
      </c>
      <c r="G475" s="13">
        <v>0</v>
      </c>
      <c r="H475" s="1">
        <f t="shared" si="56"/>
        <v>0</v>
      </c>
      <c r="I475" s="1">
        <f t="shared" si="57"/>
        <v>0</v>
      </c>
      <c r="J475" s="12">
        <v>0</v>
      </c>
      <c r="K475" s="13">
        <v>0</v>
      </c>
      <c r="L475" s="1">
        <f t="shared" si="58"/>
        <v>0</v>
      </c>
      <c r="M475" s="1">
        <f t="shared" si="59"/>
        <v>0</v>
      </c>
      <c r="N475" s="12">
        <v>0</v>
      </c>
      <c r="O475" s="12">
        <v>0</v>
      </c>
      <c r="P475" s="1">
        <f t="shared" si="60"/>
        <v>0</v>
      </c>
      <c r="Q475" s="1">
        <f t="shared" si="61"/>
        <v>0</v>
      </c>
      <c r="R475" s="12">
        <v>53853</v>
      </c>
      <c r="S475" s="12">
        <v>53853</v>
      </c>
      <c r="T475" s="1">
        <f t="shared" si="62"/>
        <v>0</v>
      </c>
      <c r="U475" s="1">
        <f t="shared" si="63"/>
        <v>0</v>
      </c>
    </row>
    <row r="476" spans="1:21" x14ac:dyDescent="0.25">
      <c r="A476" s="15">
        <v>4141</v>
      </c>
      <c r="B476" s="15">
        <v>7</v>
      </c>
      <c r="C476" s="16" t="s">
        <v>468</v>
      </c>
      <c r="D476" s="12">
        <v>382</v>
      </c>
      <c r="E476" s="12">
        <v>382</v>
      </c>
      <c r="F476" s="12">
        <v>0</v>
      </c>
      <c r="G476" s="13">
        <v>0</v>
      </c>
      <c r="H476" s="1">
        <f t="shared" si="56"/>
        <v>0</v>
      </c>
      <c r="I476" s="1">
        <f t="shared" si="57"/>
        <v>0</v>
      </c>
      <c r="J476" s="12">
        <v>0</v>
      </c>
      <c r="K476" s="13">
        <v>0</v>
      </c>
      <c r="L476" s="1">
        <f t="shared" si="58"/>
        <v>0</v>
      </c>
      <c r="M476" s="1">
        <f t="shared" si="59"/>
        <v>0</v>
      </c>
      <c r="N476" s="12">
        <v>0</v>
      </c>
      <c r="O476" s="12">
        <v>0</v>
      </c>
      <c r="P476" s="1">
        <f t="shared" si="60"/>
        <v>0</v>
      </c>
      <c r="Q476" s="1">
        <f t="shared" si="61"/>
        <v>0</v>
      </c>
      <c r="R476" s="12">
        <v>40444</v>
      </c>
      <c r="S476" s="12">
        <v>40444</v>
      </c>
      <c r="T476" s="1">
        <f t="shared" si="62"/>
        <v>0</v>
      </c>
      <c r="U476" s="1">
        <f t="shared" si="63"/>
        <v>0</v>
      </c>
    </row>
    <row r="477" spans="1:21" x14ac:dyDescent="0.25">
      <c r="A477" s="15">
        <v>4142</v>
      </c>
      <c r="B477" s="15">
        <v>7</v>
      </c>
      <c r="C477" s="16" t="s">
        <v>469</v>
      </c>
      <c r="D477" s="12">
        <v>402</v>
      </c>
      <c r="E477" s="12">
        <v>424</v>
      </c>
      <c r="F477" s="12">
        <v>0</v>
      </c>
      <c r="G477" s="13">
        <v>0</v>
      </c>
      <c r="H477" s="1">
        <f t="shared" si="56"/>
        <v>0</v>
      </c>
      <c r="I477" s="1">
        <f t="shared" si="57"/>
        <v>0</v>
      </c>
      <c r="J477" s="12">
        <v>0</v>
      </c>
      <c r="K477" s="13">
        <v>0</v>
      </c>
      <c r="L477" s="1">
        <f t="shared" si="58"/>
        <v>0</v>
      </c>
      <c r="M477" s="1">
        <f t="shared" si="59"/>
        <v>0</v>
      </c>
      <c r="N477" s="12">
        <v>0</v>
      </c>
      <c r="O477" s="12">
        <v>0</v>
      </c>
      <c r="P477" s="1">
        <f t="shared" si="60"/>
        <v>0</v>
      </c>
      <c r="Q477" s="1">
        <f t="shared" si="61"/>
        <v>0</v>
      </c>
      <c r="R477" s="12">
        <v>44715</v>
      </c>
      <c r="S477" s="12">
        <v>44715</v>
      </c>
      <c r="T477" s="1">
        <f t="shared" si="62"/>
        <v>0</v>
      </c>
      <c r="U477" s="1">
        <f t="shared" si="63"/>
        <v>0</v>
      </c>
    </row>
    <row r="478" spans="1:21" x14ac:dyDescent="0.25">
      <c r="A478" s="15">
        <v>4143</v>
      </c>
      <c r="B478" s="15">
        <v>7</v>
      </c>
      <c r="C478" s="16" t="s">
        <v>470</v>
      </c>
      <c r="D478" s="12">
        <v>365</v>
      </c>
      <c r="E478" s="12">
        <v>375</v>
      </c>
      <c r="F478" s="12">
        <v>0</v>
      </c>
      <c r="G478" s="13">
        <v>0</v>
      </c>
      <c r="H478" s="1">
        <f t="shared" si="56"/>
        <v>0</v>
      </c>
      <c r="I478" s="1">
        <f t="shared" si="57"/>
        <v>0</v>
      </c>
      <c r="J478" s="12">
        <v>0</v>
      </c>
      <c r="K478" s="13">
        <v>0</v>
      </c>
      <c r="L478" s="1">
        <f t="shared" si="58"/>
        <v>0</v>
      </c>
      <c r="M478" s="1">
        <f t="shared" si="59"/>
        <v>0</v>
      </c>
      <c r="N478" s="12">
        <v>0</v>
      </c>
      <c r="O478" s="12">
        <v>0</v>
      </c>
      <c r="P478" s="1">
        <f t="shared" si="60"/>
        <v>0</v>
      </c>
      <c r="Q478" s="1">
        <f t="shared" si="61"/>
        <v>0</v>
      </c>
      <c r="R478" s="12">
        <v>39947</v>
      </c>
      <c r="S478" s="12">
        <v>39947</v>
      </c>
      <c r="T478" s="1">
        <f t="shared" si="62"/>
        <v>0</v>
      </c>
      <c r="U478" s="1">
        <f t="shared" si="63"/>
        <v>0</v>
      </c>
    </row>
    <row r="479" spans="1:21" x14ac:dyDescent="0.25">
      <c r="A479" s="15">
        <v>4144</v>
      </c>
      <c r="B479" s="15">
        <v>7</v>
      </c>
      <c r="C479" s="16" t="s">
        <v>471</v>
      </c>
      <c r="D479" s="12">
        <v>78</v>
      </c>
      <c r="E479" s="12">
        <v>80</v>
      </c>
      <c r="F479" s="12">
        <v>0</v>
      </c>
      <c r="G479" s="13">
        <v>0</v>
      </c>
      <c r="H479" s="1">
        <f t="shared" si="56"/>
        <v>0</v>
      </c>
      <c r="I479" s="1">
        <f t="shared" si="57"/>
        <v>0</v>
      </c>
      <c r="J479" s="12">
        <v>0</v>
      </c>
      <c r="K479" s="13">
        <v>0</v>
      </c>
      <c r="L479" s="1">
        <f t="shared" si="58"/>
        <v>0</v>
      </c>
      <c r="M479" s="1">
        <f t="shared" si="59"/>
        <v>0</v>
      </c>
      <c r="N479" s="12">
        <v>0</v>
      </c>
      <c r="O479" s="12">
        <v>0</v>
      </c>
      <c r="P479" s="1">
        <f t="shared" si="60"/>
        <v>0</v>
      </c>
      <c r="Q479" s="1">
        <f t="shared" si="61"/>
        <v>0</v>
      </c>
      <c r="R479" s="12">
        <v>8010</v>
      </c>
      <c r="S479" s="12">
        <v>8010</v>
      </c>
      <c r="T479" s="1">
        <f t="shared" si="62"/>
        <v>0</v>
      </c>
      <c r="U479" s="1">
        <f t="shared" si="63"/>
        <v>0</v>
      </c>
    </row>
    <row r="480" spans="1:21" x14ac:dyDescent="0.25">
      <c r="A480" s="15">
        <v>4145</v>
      </c>
      <c r="B480" s="15">
        <v>7</v>
      </c>
      <c r="C480" s="16" t="s">
        <v>472</v>
      </c>
      <c r="D480" s="12">
        <v>34</v>
      </c>
      <c r="E480" s="12">
        <v>34</v>
      </c>
      <c r="F480" s="12">
        <v>0</v>
      </c>
      <c r="G480" s="13">
        <v>0</v>
      </c>
      <c r="H480" s="1">
        <f t="shared" si="56"/>
        <v>0</v>
      </c>
      <c r="I480" s="1">
        <f t="shared" si="57"/>
        <v>0</v>
      </c>
      <c r="J480" s="12">
        <v>0</v>
      </c>
      <c r="K480" s="13">
        <v>0</v>
      </c>
      <c r="L480" s="1">
        <f t="shared" si="58"/>
        <v>0</v>
      </c>
      <c r="M480" s="1">
        <f t="shared" si="59"/>
        <v>0</v>
      </c>
      <c r="N480" s="12">
        <v>0</v>
      </c>
      <c r="O480" s="12">
        <v>0</v>
      </c>
      <c r="P480" s="1">
        <f t="shared" si="60"/>
        <v>0</v>
      </c>
      <c r="Q480" s="1">
        <f t="shared" si="61"/>
        <v>0</v>
      </c>
      <c r="R480" s="12">
        <v>3421</v>
      </c>
      <c r="S480" s="12">
        <v>3421</v>
      </c>
      <c r="T480" s="1">
        <f t="shared" si="62"/>
        <v>0</v>
      </c>
      <c r="U480" s="1">
        <f t="shared" si="63"/>
        <v>0</v>
      </c>
    </row>
    <row r="481" spans="1:21" x14ac:dyDescent="0.25">
      <c r="A481" s="15">
        <v>4146</v>
      </c>
      <c r="B481" s="15">
        <v>7</v>
      </c>
      <c r="C481" s="16" t="s">
        <v>473</v>
      </c>
      <c r="D481" s="12">
        <v>96</v>
      </c>
      <c r="E481" s="12">
        <v>83</v>
      </c>
      <c r="F481" s="12">
        <v>0</v>
      </c>
      <c r="G481" s="13">
        <v>0</v>
      </c>
      <c r="H481" s="1">
        <f t="shared" si="56"/>
        <v>0</v>
      </c>
      <c r="I481" s="1">
        <f t="shared" si="57"/>
        <v>0</v>
      </c>
      <c r="J481" s="12">
        <v>0</v>
      </c>
      <c r="K481" s="13">
        <v>0</v>
      </c>
      <c r="L481" s="1">
        <f t="shared" si="58"/>
        <v>0</v>
      </c>
      <c r="M481" s="1">
        <f t="shared" si="59"/>
        <v>0</v>
      </c>
      <c r="N481" s="12">
        <v>0</v>
      </c>
      <c r="O481" s="12">
        <v>0</v>
      </c>
      <c r="P481" s="1">
        <f t="shared" si="60"/>
        <v>0</v>
      </c>
      <c r="Q481" s="1">
        <f t="shared" si="61"/>
        <v>0</v>
      </c>
      <c r="R481" s="12">
        <v>10843</v>
      </c>
      <c r="S481" s="12">
        <v>10843</v>
      </c>
      <c r="T481" s="1">
        <f t="shared" si="62"/>
        <v>0</v>
      </c>
      <c r="U481" s="1">
        <f t="shared" si="63"/>
        <v>0</v>
      </c>
    </row>
    <row r="482" spans="1:21" x14ac:dyDescent="0.25">
      <c r="A482" s="15">
        <v>4148</v>
      </c>
      <c r="B482" s="15">
        <v>7</v>
      </c>
      <c r="C482" s="16" t="s">
        <v>474</v>
      </c>
      <c r="D482" s="12">
        <v>0</v>
      </c>
      <c r="E482" s="12">
        <v>0</v>
      </c>
      <c r="F482" s="12">
        <v>0</v>
      </c>
      <c r="G482" s="13">
        <v>0</v>
      </c>
      <c r="H482" s="1">
        <f t="shared" si="56"/>
        <v>0</v>
      </c>
      <c r="I482" s="1">
        <f t="shared" si="57"/>
        <v>0</v>
      </c>
      <c r="J482" s="12">
        <v>0</v>
      </c>
      <c r="K482" s="13">
        <v>0</v>
      </c>
      <c r="L482" s="1">
        <f t="shared" si="58"/>
        <v>0</v>
      </c>
      <c r="M482" s="1">
        <f t="shared" si="59"/>
        <v>0</v>
      </c>
      <c r="N482" s="12">
        <v>0</v>
      </c>
      <c r="O482" s="12">
        <v>0</v>
      </c>
      <c r="P482" s="1">
        <f t="shared" si="60"/>
        <v>0</v>
      </c>
      <c r="Q482" s="1">
        <f t="shared" si="61"/>
        <v>0</v>
      </c>
      <c r="R482" s="12">
        <v>0</v>
      </c>
      <c r="S482" s="12">
        <v>0</v>
      </c>
      <c r="T482" s="1">
        <f t="shared" si="62"/>
        <v>0</v>
      </c>
      <c r="U482" s="1">
        <f t="shared" si="63"/>
        <v>0</v>
      </c>
    </row>
    <row r="483" spans="1:21" x14ac:dyDescent="0.25">
      <c r="A483" s="15">
        <v>4149</v>
      </c>
      <c r="B483" s="15">
        <v>7</v>
      </c>
      <c r="C483" s="16" t="s">
        <v>475</v>
      </c>
      <c r="D483" s="12">
        <v>0</v>
      </c>
      <c r="E483" s="12">
        <v>0</v>
      </c>
      <c r="F483" s="12">
        <v>0</v>
      </c>
      <c r="G483" s="13">
        <v>0</v>
      </c>
      <c r="H483" s="1">
        <f t="shared" si="56"/>
        <v>0</v>
      </c>
      <c r="I483" s="1">
        <f t="shared" si="57"/>
        <v>0</v>
      </c>
      <c r="J483" s="12">
        <v>0</v>
      </c>
      <c r="K483" s="13">
        <v>0</v>
      </c>
      <c r="L483" s="1">
        <f t="shared" si="58"/>
        <v>0</v>
      </c>
      <c r="M483" s="1">
        <f t="shared" si="59"/>
        <v>0</v>
      </c>
      <c r="N483" s="12">
        <v>0</v>
      </c>
      <c r="O483" s="12">
        <v>0</v>
      </c>
      <c r="P483" s="1">
        <f t="shared" si="60"/>
        <v>0</v>
      </c>
      <c r="Q483" s="1">
        <f t="shared" si="61"/>
        <v>0</v>
      </c>
      <c r="R483" s="12">
        <v>0</v>
      </c>
      <c r="S483" s="12">
        <v>0</v>
      </c>
      <c r="T483" s="1">
        <f t="shared" si="62"/>
        <v>0</v>
      </c>
      <c r="U483" s="1">
        <f t="shared" si="63"/>
        <v>0</v>
      </c>
    </row>
    <row r="484" spans="1:21" x14ac:dyDescent="0.25">
      <c r="A484" s="15">
        <v>4150</v>
      </c>
      <c r="B484" s="15">
        <v>7</v>
      </c>
      <c r="C484" s="16" t="s">
        <v>476</v>
      </c>
      <c r="D484" s="12">
        <v>140</v>
      </c>
      <c r="E484" s="12">
        <v>151</v>
      </c>
      <c r="F484" s="12">
        <v>0</v>
      </c>
      <c r="G484" s="13">
        <v>0</v>
      </c>
      <c r="H484" s="1">
        <f t="shared" si="56"/>
        <v>0</v>
      </c>
      <c r="I484" s="1">
        <f t="shared" si="57"/>
        <v>0</v>
      </c>
      <c r="J484" s="12">
        <v>0</v>
      </c>
      <c r="K484" s="13">
        <v>0</v>
      </c>
      <c r="L484" s="1">
        <f t="shared" si="58"/>
        <v>0</v>
      </c>
      <c r="M484" s="1">
        <f t="shared" si="59"/>
        <v>0</v>
      </c>
      <c r="N484" s="12">
        <v>0</v>
      </c>
      <c r="O484" s="12">
        <v>0</v>
      </c>
      <c r="P484" s="1">
        <f t="shared" si="60"/>
        <v>0</v>
      </c>
      <c r="Q484" s="1">
        <f t="shared" si="61"/>
        <v>0</v>
      </c>
      <c r="R484" s="12">
        <v>19331</v>
      </c>
      <c r="S484" s="12">
        <v>19331</v>
      </c>
      <c r="T484" s="1">
        <f t="shared" si="62"/>
        <v>0</v>
      </c>
      <c r="U484" s="1">
        <f t="shared" si="63"/>
        <v>0</v>
      </c>
    </row>
    <row r="485" spans="1:21" x14ac:dyDescent="0.25">
      <c r="A485" s="15">
        <v>4151</v>
      </c>
      <c r="B485" s="15">
        <v>7</v>
      </c>
      <c r="C485" s="16" t="s">
        <v>477</v>
      </c>
      <c r="D485" s="12">
        <v>86</v>
      </c>
      <c r="E485" s="12">
        <v>82</v>
      </c>
      <c r="F485" s="12">
        <v>0</v>
      </c>
      <c r="G485" s="13">
        <v>0</v>
      </c>
      <c r="H485" s="1">
        <f t="shared" si="56"/>
        <v>0</v>
      </c>
      <c r="I485" s="1">
        <f t="shared" si="57"/>
        <v>0</v>
      </c>
      <c r="J485" s="12">
        <v>0</v>
      </c>
      <c r="K485" s="13">
        <v>0</v>
      </c>
      <c r="L485" s="1">
        <f t="shared" si="58"/>
        <v>0</v>
      </c>
      <c r="M485" s="1">
        <f t="shared" si="59"/>
        <v>0</v>
      </c>
      <c r="N485" s="12">
        <v>0</v>
      </c>
      <c r="O485" s="12">
        <v>0</v>
      </c>
      <c r="P485" s="1">
        <f t="shared" si="60"/>
        <v>0</v>
      </c>
      <c r="Q485" s="1">
        <f t="shared" si="61"/>
        <v>0</v>
      </c>
      <c r="R485" s="12">
        <v>10616</v>
      </c>
      <c r="S485" s="12">
        <v>10616</v>
      </c>
      <c r="T485" s="1">
        <f t="shared" si="62"/>
        <v>0</v>
      </c>
      <c r="U485" s="1">
        <f t="shared" si="63"/>
        <v>0</v>
      </c>
    </row>
    <row r="486" spans="1:21" x14ac:dyDescent="0.25">
      <c r="A486" s="15">
        <v>4152</v>
      </c>
      <c r="B486" s="15">
        <v>7</v>
      </c>
      <c r="C486" s="16" t="s">
        <v>478</v>
      </c>
      <c r="D486" s="12">
        <v>287</v>
      </c>
      <c r="E486" s="12">
        <v>335</v>
      </c>
      <c r="F486" s="12">
        <v>0</v>
      </c>
      <c r="G486" s="13">
        <v>0</v>
      </c>
      <c r="H486" s="1">
        <f t="shared" si="56"/>
        <v>0</v>
      </c>
      <c r="I486" s="1">
        <f t="shared" si="57"/>
        <v>0</v>
      </c>
      <c r="J486" s="12">
        <v>0</v>
      </c>
      <c r="K486" s="13">
        <v>0</v>
      </c>
      <c r="L486" s="1">
        <f t="shared" si="58"/>
        <v>0</v>
      </c>
      <c r="M486" s="1">
        <f t="shared" si="59"/>
        <v>0</v>
      </c>
      <c r="N486" s="12">
        <v>0</v>
      </c>
      <c r="O486" s="12">
        <v>0</v>
      </c>
      <c r="P486" s="1">
        <f t="shared" si="60"/>
        <v>0</v>
      </c>
      <c r="Q486" s="1">
        <f t="shared" si="61"/>
        <v>0</v>
      </c>
      <c r="R486" s="12">
        <v>34442</v>
      </c>
      <c r="S486" s="12">
        <v>34442</v>
      </c>
      <c r="T486" s="1">
        <f t="shared" si="62"/>
        <v>0</v>
      </c>
      <c r="U486" s="1">
        <f t="shared" si="63"/>
        <v>0</v>
      </c>
    </row>
    <row r="487" spans="1:21" x14ac:dyDescent="0.25">
      <c r="A487" s="15">
        <v>4153</v>
      </c>
      <c r="B487" s="15">
        <v>7</v>
      </c>
      <c r="C487" s="16" t="s">
        <v>479</v>
      </c>
      <c r="D487" s="12">
        <v>282</v>
      </c>
      <c r="E487" s="12">
        <v>307</v>
      </c>
      <c r="F487" s="12">
        <v>0</v>
      </c>
      <c r="G487" s="13">
        <v>0</v>
      </c>
      <c r="H487" s="1">
        <f t="shared" si="56"/>
        <v>0</v>
      </c>
      <c r="I487" s="1">
        <f t="shared" si="57"/>
        <v>0</v>
      </c>
      <c r="J487" s="12">
        <v>0</v>
      </c>
      <c r="K487" s="13">
        <v>0</v>
      </c>
      <c r="L487" s="1">
        <f t="shared" si="58"/>
        <v>0</v>
      </c>
      <c r="M487" s="1">
        <f t="shared" si="59"/>
        <v>0</v>
      </c>
      <c r="N487" s="12">
        <v>0</v>
      </c>
      <c r="O487" s="12">
        <v>0</v>
      </c>
      <c r="P487" s="1">
        <f t="shared" si="60"/>
        <v>0</v>
      </c>
      <c r="Q487" s="1">
        <f t="shared" si="61"/>
        <v>0</v>
      </c>
      <c r="R487" s="12">
        <v>32826</v>
      </c>
      <c r="S487" s="12">
        <v>32826</v>
      </c>
      <c r="T487" s="1">
        <f t="shared" si="62"/>
        <v>0</v>
      </c>
      <c r="U487" s="1">
        <f t="shared" si="63"/>
        <v>0</v>
      </c>
    </row>
    <row r="488" spans="1:21" x14ac:dyDescent="0.25">
      <c r="A488" s="15">
        <v>4154</v>
      </c>
      <c r="B488" s="15">
        <v>7</v>
      </c>
      <c r="C488" s="16" t="s">
        <v>480</v>
      </c>
      <c r="D488" s="12">
        <v>0</v>
      </c>
      <c r="E488" s="12">
        <v>0</v>
      </c>
      <c r="F488" s="12">
        <v>0</v>
      </c>
      <c r="G488" s="13">
        <v>0</v>
      </c>
      <c r="H488" s="1">
        <f t="shared" si="56"/>
        <v>0</v>
      </c>
      <c r="I488" s="1">
        <f t="shared" si="57"/>
        <v>0</v>
      </c>
      <c r="J488" s="12">
        <v>0</v>
      </c>
      <c r="K488" s="13">
        <v>0</v>
      </c>
      <c r="L488" s="1">
        <f t="shared" si="58"/>
        <v>0</v>
      </c>
      <c r="M488" s="1">
        <f t="shared" si="59"/>
        <v>0</v>
      </c>
      <c r="N488" s="12">
        <v>0</v>
      </c>
      <c r="O488" s="12">
        <v>0</v>
      </c>
      <c r="P488" s="1">
        <f t="shared" si="60"/>
        <v>0</v>
      </c>
      <c r="Q488" s="1">
        <f t="shared" si="61"/>
        <v>0</v>
      </c>
      <c r="R488" s="12">
        <v>0</v>
      </c>
      <c r="S488" s="12">
        <v>0</v>
      </c>
      <c r="T488" s="1">
        <f t="shared" si="62"/>
        <v>0</v>
      </c>
      <c r="U488" s="1">
        <f t="shared" si="63"/>
        <v>0</v>
      </c>
    </row>
    <row r="489" spans="1:21" x14ac:dyDescent="0.25">
      <c r="A489" s="15">
        <v>4155</v>
      </c>
      <c r="B489" s="15">
        <v>7</v>
      </c>
      <c r="C489" s="16" t="s">
        <v>481</v>
      </c>
      <c r="D489" s="12">
        <v>119</v>
      </c>
      <c r="E489" s="12">
        <v>124</v>
      </c>
      <c r="F489" s="12">
        <v>0</v>
      </c>
      <c r="G489" s="13">
        <v>0</v>
      </c>
      <c r="H489" s="1">
        <f t="shared" si="56"/>
        <v>0</v>
      </c>
      <c r="I489" s="1">
        <f t="shared" si="57"/>
        <v>0</v>
      </c>
      <c r="J489" s="12">
        <v>0</v>
      </c>
      <c r="K489" s="13">
        <v>0</v>
      </c>
      <c r="L489" s="1">
        <f t="shared" si="58"/>
        <v>0</v>
      </c>
      <c r="M489" s="1">
        <f t="shared" si="59"/>
        <v>0</v>
      </c>
      <c r="N489" s="12">
        <v>0</v>
      </c>
      <c r="O489" s="12">
        <v>0</v>
      </c>
      <c r="P489" s="1">
        <f t="shared" si="60"/>
        <v>0</v>
      </c>
      <c r="Q489" s="1">
        <f t="shared" si="61"/>
        <v>0</v>
      </c>
      <c r="R489" s="12">
        <v>12548</v>
      </c>
      <c r="S489" s="12">
        <v>12548</v>
      </c>
      <c r="T489" s="1">
        <f t="shared" si="62"/>
        <v>0</v>
      </c>
      <c r="U489" s="1">
        <f t="shared" si="63"/>
        <v>0</v>
      </c>
    </row>
    <row r="490" spans="1:21" x14ac:dyDescent="0.25">
      <c r="A490" s="15">
        <v>4157</v>
      </c>
      <c r="B490" s="15">
        <v>7</v>
      </c>
      <c r="C490" s="16" t="s">
        <v>482</v>
      </c>
      <c r="D490" s="12">
        <v>0</v>
      </c>
      <c r="E490" s="12">
        <v>0</v>
      </c>
      <c r="F490" s="12">
        <v>0</v>
      </c>
      <c r="G490" s="13">
        <v>0</v>
      </c>
      <c r="H490" s="1">
        <f t="shared" si="56"/>
        <v>0</v>
      </c>
      <c r="I490" s="1">
        <f t="shared" si="57"/>
        <v>0</v>
      </c>
      <c r="J490" s="12">
        <v>0</v>
      </c>
      <c r="K490" s="13">
        <v>0</v>
      </c>
      <c r="L490" s="1">
        <f t="shared" si="58"/>
        <v>0</v>
      </c>
      <c r="M490" s="1">
        <f t="shared" si="59"/>
        <v>0</v>
      </c>
      <c r="N490" s="12">
        <v>0</v>
      </c>
      <c r="O490" s="12">
        <v>0</v>
      </c>
      <c r="P490" s="1">
        <f t="shared" si="60"/>
        <v>0</v>
      </c>
      <c r="Q490" s="1">
        <f t="shared" si="61"/>
        <v>0</v>
      </c>
      <c r="R490" s="12">
        <v>0</v>
      </c>
      <c r="S490" s="12">
        <v>0</v>
      </c>
      <c r="T490" s="1">
        <f t="shared" si="62"/>
        <v>0</v>
      </c>
      <c r="U490" s="1">
        <f t="shared" si="63"/>
        <v>0</v>
      </c>
    </row>
    <row r="491" spans="1:21" x14ac:dyDescent="0.25">
      <c r="A491" s="15">
        <v>4158</v>
      </c>
      <c r="B491" s="15">
        <v>7</v>
      </c>
      <c r="C491" s="16" t="s">
        <v>483</v>
      </c>
      <c r="D491" s="12">
        <v>0</v>
      </c>
      <c r="E491" s="12">
        <v>0</v>
      </c>
      <c r="F491" s="12">
        <v>0</v>
      </c>
      <c r="G491" s="13">
        <v>0</v>
      </c>
      <c r="H491" s="1">
        <f t="shared" si="56"/>
        <v>0</v>
      </c>
      <c r="I491" s="1">
        <f t="shared" si="57"/>
        <v>0</v>
      </c>
      <c r="J491" s="12">
        <v>0</v>
      </c>
      <c r="K491" s="13">
        <v>0</v>
      </c>
      <c r="L491" s="1">
        <f t="shared" si="58"/>
        <v>0</v>
      </c>
      <c r="M491" s="1">
        <f t="shared" si="59"/>
        <v>0</v>
      </c>
      <c r="N491" s="12">
        <v>0</v>
      </c>
      <c r="O491" s="12">
        <v>0</v>
      </c>
      <c r="P491" s="1">
        <f t="shared" si="60"/>
        <v>0</v>
      </c>
      <c r="Q491" s="1">
        <f t="shared" si="61"/>
        <v>0</v>
      </c>
      <c r="R491" s="12">
        <v>0</v>
      </c>
      <c r="S491" s="12">
        <v>0</v>
      </c>
      <c r="T491" s="1">
        <f t="shared" si="62"/>
        <v>0</v>
      </c>
      <c r="U491" s="1">
        <f t="shared" si="63"/>
        <v>0</v>
      </c>
    </row>
    <row r="492" spans="1:21" x14ac:dyDescent="0.25">
      <c r="A492" s="15">
        <v>4159</v>
      </c>
      <c r="B492" s="15">
        <v>7</v>
      </c>
      <c r="C492" s="16" t="s">
        <v>484</v>
      </c>
      <c r="D492" s="12">
        <v>438</v>
      </c>
      <c r="E492" s="12">
        <v>438</v>
      </c>
      <c r="F492" s="12">
        <v>0</v>
      </c>
      <c r="G492" s="13">
        <v>0</v>
      </c>
      <c r="H492" s="1">
        <f t="shared" si="56"/>
        <v>0</v>
      </c>
      <c r="I492" s="1">
        <f t="shared" si="57"/>
        <v>0</v>
      </c>
      <c r="J492" s="12">
        <v>0</v>
      </c>
      <c r="K492" s="13">
        <v>0</v>
      </c>
      <c r="L492" s="1">
        <f t="shared" si="58"/>
        <v>0</v>
      </c>
      <c r="M492" s="1">
        <f t="shared" si="59"/>
        <v>0</v>
      </c>
      <c r="N492" s="12">
        <v>0</v>
      </c>
      <c r="O492" s="12">
        <v>0</v>
      </c>
      <c r="P492" s="1">
        <f t="shared" si="60"/>
        <v>0</v>
      </c>
      <c r="Q492" s="1">
        <f t="shared" si="61"/>
        <v>0</v>
      </c>
      <c r="R492" s="12">
        <v>44010</v>
      </c>
      <c r="S492" s="12">
        <v>44010</v>
      </c>
      <c r="T492" s="1">
        <f t="shared" si="62"/>
        <v>0</v>
      </c>
      <c r="U492" s="1">
        <f t="shared" si="63"/>
        <v>0</v>
      </c>
    </row>
    <row r="493" spans="1:21" x14ac:dyDescent="0.25">
      <c r="A493" s="15">
        <v>4160</v>
      </c>
      <c r="B493" s="15">
        <v>7</v>
      </c>
      <c r="C493" s="16" t="s">
        <v>485</v>
      </c>
      <c r="D493" s="12">
        <v>240</v>
      </c>
      <c r="E493" s="12">
        <v>260</v>
      </c>
      <c r="F493" s="12">
        <v>0</v>
      </c>
      <c r="G493" s="13">
        <v>0</v>
      </c>
      <c r="H493" s="1">
        <f t="shared" si="56"/>
        <v>0</v>
      </c>
      <c r="I493" s="1">
        <f t="shared" si="57"/>
        <v>0</v>
      </c>
      <c r="J493" s="12">
        <v>0</v>
      </c>
      <c r="K493" s="13">
        <v>0</v>
      </c>
      <c r="L493" s="1">
        <f t="shared" si="58"/>
        <v>0</v>
      </c>
      <c r="M493" s="1">
        <f t="shared" si="59"/>
        <v>0</v>
      </c>
      <c r="N493" s="12">
        <v>0</v>
      </c>
      <c r="O493" s="12">
        <v>0</v>
      </c>
      <c r="P493" s="1">
        <f t="shared" si="60"/>
        <v>0</v>
      </c>
      <c r="Q493" s="1">
        <f t="shared" si="61"/>
        <v>0</v>
      </c>
      <c r="R493" s="12">
        <v>33284</v>
      </c>
      <c r="S493" s="12">
        <v>33284</v>
      </c>
      <c r="T493" s="1">
        <f t="shared" si="62"/>
        <v>0</v>
      </c>
      <c r="U493" s="1">
        <f t="shared" si="63"/>
        <v>0</v>
      </c>
    </row>
    <row r="494" spans="1:21" x14ac:dyDescent="0.25">
      <c r="A494" s="15">
        <v>4161</v>
      </c>
      <c r="B494" s="15">
        <v>7</v>
      </c>
      <c r="C494" s="16" t="s">
        <v>486</v>
      </c>
      <c r="D494" s="12">
        <v>186</v>
      </c>
      <c r="E494" s="12">
        <v>186</v>
      </c>
      <c r="F494" s="12">
        <v>0</v>
      </c>
      <c r="G494" s="13">
        <v>0</v>
      </c>
      <c r="H494" s="1">
        <f t="shared" si="56"/>
        <v>0</v>
      </c>
      <c r="I494" s="1">
        <f t="shared" si="57"/>
        <v>0</v>
      </c>
      <c r="J494" s="12">
        <v>0</v>
      </c>
      <c r="K494" s="13">
        <v>0</v>
      </c>
      <c r="L494" s="1">
        <f t="shared" si="58"/>
        <v>0</v>
      </c>
      <c r="M494" s="1">
        <f t="shared" si="59"/>
        <v>0</v>
      </c>
      <c r="N494" s="12">
        <v>0</v>
      </c>
      <c r="O494" s="12">
        <v>0</v>
      </c>
      <c r="P494" s="1">
        <f t="shared" si="60"/>
        <v>0</v>
      </c>
      <c r="Q494" s="1">
        <f t="shared" si="61"/>
        <v>0</v>
      </c>
      <c r="R494" s="12">
        <v>18872</v>
      </c>
      <c r="S494" s="12">
        <v>18872</v>
      </c>
      <c r="T494" s="1">
        <f t="shared" si="62"/>
        <v>0</v>
      </c>
      <c r="U494" s="1">
        <f t="shared" si="63"/>
        <v>0</v>
      </c>
    </row>
    <row r="495" spans="1:21" x14ac:dyDescent="0.25">
      <c r="A495" s="15">
        <v>4162</v>
      </c>
      <c r="B495" s="15">
        <v>7</v>
      </c>
      <c r="C495" s="16" t="s">
        <v>487</v>
      </c>
      <c r="D495" s="12">
        <v>107</v>
      </c>
      <c r="E495" s="12">
        <v>113</v>
      </c>
      <c r="F495" s="12">
        <v>0</v>
      </c>
      <c r="G495" s="13">
        <v>0</v>
      </c>
      <c r="H495" s="1">
        <f t="shared" si="56"/>
        <v>0</v>
      </c>
      <c r="I495" s="1">
        <f t="shared" si="57"/>
        <v>0</v>
      </c>
      <c r="J495" s="12">
        <v>0</v>
      </c>
      <c r="K495" s="13">
        <v>0</v>
      </c>
      <c r="L495" s="1">
        <f t="shared" si="58"/>
        <v>0</v>
      </c>
      <c r="M495" s="1">
        <f t="shared" si="59"/>
        <v>0</v>
      </c>
      <c r="N495" s="12">
        <v>0</v>
      </c>
      <c r="O495" s="12">
        <v>0</v>
      </c>
      <c r="P495" s="1">
        <f t="shared" si="60"/>
        <v>0</v>
      </c>
      <c r="Q495" s="1">
        <f t="shared" si="61"/>
        <v>0</v>
      </c>
      <c r="R495" s="12">
        <v>12024</v>
      </c>
      <c r="S495" s="12">
        <v>12024</v>
      </c>
      <c r="T495" s="1">
        <f t="shared" si="62"/>
        <v>0</v>
      </c>
      <c r="U495" s="1">
        <f t="shared" si="63"/>
        <v>0</v>
      </c>
    </row>
    <row r="496" spans="1:21" x14ac:dyDescent="0.25">
      <c r="A496" s="15">
        <v>4163</v>
      </c>
      <c r="B496" s="15">
        <v>7</v>
      </c>
      <c r="C496" s="16" t="s">
        <v>488</v>
      </c>
      <c r="D496" s="12">
        <v>269</v>
      </c>
      <c r="E496" s="12">
        <v>274</v>
      </c>
      <c r="F496" s="12">
        <v>0</v>
      </c>
      <c r="G496" s="13">
        <v>0</v>
      </c>
      <c r="H496" s="1">
        <f t="shared" si="56"/>
        <v>0</v>
      </c>
      <c r="I496" s="1">
        <f t="shared" si="57"/>
        <v>0</v>
      </c>
      <c r="J496" s="12">
        <v>0</v>
      </c>
      <c r="K496" s="13">
        <v>0</v>
      </c>
      <c r="L496" s="1">
        <f t="shared" si="58"/>
        <v>0</v>
      </c>
      <c r="M496" s="1">
        <f t="shared" si="59"/>
        <v>0</v>
      </c>
      <c r="N496" s="12">
        <v>0</v>
      </c>
      <c r="O496" s="12">
        <v>0</v>
      </c>
      <c r="P496" s="1">
        <f t="shared" si="60"/>
        <v>0</v>
      </c>
      <c r="Q496" s="1">
        <f t="shared" si="61"/>
        <v>0</v>
      </c>
      <c r="R496" s="12">
        <v>31033</v>
      </c>
      <c r="S496" s="12">
        <v>31033</v>
      </c>
      <c r="T496" s="1">
        <f t="shared" si="62"/>
        <v>0</v>
      </c>
      <c r="U496" s="1">
        <f t="shared" si="63"/>
        <v>0</v>
      </c>
    </row>
    <row r="497" spans="1:21" x14ac:dyDescent="0.25">
      <c r="A497" s="15">
        <v>4164</v>
      </c>
      <c r="B497" s="15">
        <v>7</v>
      </c>
      <c r="C497" s="16" t="s">
        <v>489</v>
      </c>
      <c r="D497" s="12">
        <v>220</v>
      </c>
      <c r="E497" s="12">
        <v>216</v>
      </c>
      <c r="F497" s="12">
        <v>0</v>
      </c>
      <c r="G497" s="13">
        <v>0</v>
      </c>
      <c r="H497" s="1">
        <f t="shared" si="56"/>
        <v>0</v>
      </c>
      <c r="I497" s="1">
        <f t="shared" si="57"/>
        <v>0</v>
      </c>
      <c r="J497" s="12">
        <v>0</v>
      </c>
      <c r="K497" s="13">
        <v>0</v>
      </c>
      <c r="L497" s="1">
        <f t="shared" si="58"/>
        <v>0</v>
      </c>
      <c r="M497" s="1">
        <f t="shared" si="59"/>
        <v>0</v>
      </c>
      <c r="N497" s="12">
        <v>0</v>
      </c>
      <c r="O497" s="12">
        <v>0</v>
      </c>
      <c r="P497" s="1">
        <f t="shared" si="60"/>
        <v>0</v>
      </c>
      <c r="Q497" s="1">
        <f t="shared" si="61"/>
        <v>0</v>
      </c>
      <c r="R497" s="12">
        <v>25217</v>
      </c>
      <c r="S497" s="12">
        <v>25217</v>
      </c>
      <c r="T497" s="1">
        <f t="shared" si="62"/>
        <v>0</v>
      </c>
      <c r="U497" s="1">
        <f t="shared" si="63"/>
        <v>0</v>
      </c>
    </row>
    <row r="498" spans="1:21" x14ac:dyDescent="0.25">
      <c r="A498" s="15">
        <v>4165</v>
      </c>
      <c r="B498" s="15">
        <v>7</v>
      </c>
      <c r="C498" s="16" t="s">
        <v>490</v>
      </c>
      <c r="D498" s="12">
        <v>0</v>
      </c>
      <c r="E498" s="12">
        <v>0</v>
      </c>
      <c r="F498" s="12">
        <v>0</v>
      </c>
      <c r="G498" s="13">
        <v>0</v>
      </c>
      <c r="H498" s="1">
        <f t="shared" si="56"/>
        <v>0</v>
      </c>
      <c r="I498" s="1">
        <f t="shared" si="57"/>
        <v>0</v>
      </c>
      <c r="J498" s="12">
        <v>0</v>
      </c>
      <c r="K498" s="13">
        <v>0</v>
      </c>
      <c r="L498" s="1">
        <f t="shared" si="58"/>
        <v>0</v>
      </c>
      <c r="M498" s="1">
        <f t="shared" si="59"/>
        <v>0</v>
      </c>
      <c r="N498" s="12">
        <v>0</v>
      </c>
      <c r="O498" s="12">
        <v>0</v>
      </c>
      <c r="P498" s="1">
        <f t="shared" si="60"/>
        <v>0</v>
      </c>
      <c r="Q498" s="1">
        <f t="shared" si="61"/>
        <v>0</v>
      </c>
      <c r="R498" s="12">
        <v>0</v>
      </c>
      <c r="S498" s="12">
        <v>0</v>
      </c>
      <c r="T498" s="1">
        <f t="shared" si="62"/>
        <v>0</v>
      </c>
      <c r="U498" s="1">
        <f t="shared" si="63"/>
        <v>0</v>
      </c>
    </row>
    <row r="499" spans="1:21" x14ac:dyDescent="0.25">
      <c r="A499" s="15">
        <v>4166</v>
      </c>
      <c r="B499" s="15">
        <v>7</v>
      </c>
      <c r="C499" s="16" t="s">
        <v>491</v>
      </c>
      <c r="D499" s="12">
        <v>120</v>
      </c>
      <c r="E499" s="12">
        <v>120</v>
      </c>
      <c r="F499" s="12">
        <v>0</v>
      </c>
      <c r="G499" s="13">
        <v>0</v>
      </c>
      <c r="H499" s="1">
        <f t="shared" si="56"/>
        <v>0</v>
      </c>
      <c r="I499" s="1">
        <f t="shared" si="57"/>
        <v>0</v>
      </c>
      <c r="J499" s="12">
        <v>0</v>
      </c>
      <c r="K499" s="13">
        <v>0</v>
      </c>
      <c r="L499" s="1">
        <f t="shared" si="58"/>
        <v>0</v>
      </c>
      <c r="M499" s="1">
        <f t="shared" si="59"/>
        <v>0</v>
      </c>
      <c r="N499" s="12">
        <v>0</v>
      </c>
      <c r="O499" s="12">
        <v>0</v>
      </c>
      <c r="P499" s="1">
        <f t="shared" si="60"/>
        <v>0</v>
      </c>
      <c r="Q499" s="1">
        <f t="shared" si="61"/>
        <v>0</v>
      </c>
      <c r="R499" s="12">
        <v>15362</v>
      </c>
      <c r="S499" s="12">
        <v>15362</v>
      </c>
      <c r="T499" s="1">
        <f t="shared" si="62"/>
        <v>0</v>
      </c>
      <c r="U499" s="1">
        <f t="shared" si="63"/>
        <v>0</v>
      </c>
    </row>
    <row r="500" spans="1:21" x14ac:dyDescent="0.25">
      <c r="A500" s="15">
        <v>4167</v>
      </c>
      <c r="B500" s="15">
        <v>7</v>
      </c>
      <c r="C500" s="16" t="s">
        <v>492</v>
      </c>
      <c r="D500" s="12">
        <v>255</v>
      </c>
      <c r="E500" s="12">
        <v>287</v>
      </c>
      <c r="F500" s="12">
        <v>0</v>
      </c>
      <c r="G500" s="13">
        <v>0</v>
      </c>
      <c r="H500" s="1">
        <f t="shared" si="56"/>
        <v>0</v>
      </c>
      <c r="I500" s="1">
        <f t="shared" si="57"/>
        <v>0</v>
      </c>
      <c r="J500" s="12">
        <v>0</v>
      </c>
      <c r="K500" s="13">
        <v>0</v>
      </c>
      <c r="L500" s="1">
        <f t="shared" si="58"/>
        <v>0</v>
      </c>
      <c r="M500" s="1">
        <f t="shared" si="59"/>
        <v>0</v>
      </c>
      <c r="N500" s="12">
        <v>0</v>
      </c>
      <c r="O500" s="12">
        <v>0</v>
      </c>
      <c r="P500" s="1">
        <f t="shared" si="60"/>
        <v>0</v>
      </c>
      <c r="Q500" s="1">
        <f t="shared" si="61"/>
        <v>0</v>
      </c>
      <c r="R500" s="12">
        <v>28543</v>
      </c>
      <c r="S500" s="12">
        <v>28543</v>
      </c>
      <c r="T500" s="1">
        <f t="shared" si="62"/>
        <v>0</v>
      </c>
      <c r="U500" s="1">
        <f t="shared" si="63"/>
        <v>0</v>
      </c>
    </row>
    <row r="501" spans="1:21" x14ac:dyDescent="0.25">
      <c r="A501" s="15">
        <v>4168</v>
      </c>
      <c r="B501" s="15">
        <v>7</v>
      </c>
      <c r="C501" s="16" t="s">
        <v>493</v>
      </c>
      <c r="D501" s="12">
        <v>98</v>
      </c>
      <c r="E501" s="12">
        <v>104</v>
      </c>
      <c r="F501" s="12">
        <v>0</v>
      </c>
      <c r="G501" s="13">
        <v>0</v>
      </c>
      <c r="H501" s="1">
        <f t="shared" si="56"/>
        <v>0</v>
      </c>
      <c r="I501" s="1">
        <f t="shared" si="57"/>
        <v>0</v>
      </c>
      <c r="J501" s="12">
        <v>0</v>
      </c>
      <c r="K501" s="13">
        <v>0</v>
      </c>
      <c r="L501" s="1">
        <f t="shared" si="58"/>
        <v>0</v>
      </c>
      <c r="M501" s="1">
        <f t="shared" si="59"/>
        <v>0</v>
      </c>
      <c r="N501" s="12">
        <v>0</v>
      </c>
      <c r="O501" s="12">
        <v>0</v>
      </c>
      <c r="P501" s="1">
        <f t="shared" si="60"/>
        <v>0</v>
      </c>
      <c r="Q501" s="1">
        <f t="shared" si="61"/>
        <v>0</v>
      </c>
      <c r="R501" s="12">
        <v>10431</v>
      </c>
      <c r="S501" s="12">
        <v>10431</v>
      </c>
      <c r="T501" s="1">
        <f t="shared" si="62"/>
        <v>0</v>
      </c>
      <c r="U501" s="1">
        <f t="shared" si="63"/>
        <v>0</v>
      </c>
    </row>
    <row r="502" spans="1:21" x14ac:dyDescent="0.25">
      <c r="A502" s="15">
        <v>4169</v>
      </c>
      <c r="B502" s="15">
        <v>7</v>
      </c>
      <c r="C502" s="16" t="s">
        <v>494</v>
      </c>
      <c r="D502" s="12">
        <v>212</v>
      </c>
      <c r="E502" s="12">
        <v>238</v>
      </c>
      <c r="F502" s="12">
        <v>0</v>
      </c>
      <c r="G502" s="13">
        <v>0</v>
      </c>
      <c r="H502" s="1">
        <f t="shared" si="56"/>
        <v>0</v>
      </c>
      <c r="I502" s="1">
        <f t="shared" si="57"/>
        <v>0</v>
      </c>
      <c r="J502" s="12">
        <v>0</v>
      </c>
      <c r="K502" s="13">
        <v>0</v>
      </c>
      <c r="L502" s="1">
        <f t="shared" si="58"/>
        <v>0</v>
      </c>
      <c r="M502" s="1">
        <f t="shared" si="59"/>
        <v>0</v>
      </c>
      <c r="N502" s="12">
        <v>0</v>
      </c>
      <c r="O502" s="12">
        <v>0</v>
      </c>
      <c r="P502" s="1">
        <f t="shared" si="60"/>
        <v>0</v>
      </c>
      <c r="Q502" s="1">
        <f t="shared" si="61"/>
        <v>0</v>
      </c>
      <c r="R502" s="12">
        <v>23506</v>
      </c>
      <c r="S502" s="12">
        <v>23506</v>
      </c>
      <c r="T502" s="1">
        <f t="shared" si="62"/>
        <v>0</v>
      </c>
      <c r="U502" s="1">
        <f t="shared" si="63"/>
        <v>0</v>
      </c>
    </row>
    <row r="503" spans="1:21" x14ac:dyDescent="0.25">
      <c r="A503" s="15">
        <v>4170</v>
      </c>
      <c r="B503" s="15">
        <v>7</v>
      </c>
      <c r="C503" s="16" t="s">
        <v>495</v>
      </c>
      <c r="D503" s="12">
        <v>460</v>
      </c>
      <c r="E503" s="12">
        <v>510</v>
      </c>
      <c r="F503" s="12">
        <v>0</v>
      </c>
      <c r="G503" s="13">
        <v>0</v>
      </c>
      <c r="H503" s="1">
        <f t="shared" si="56"/>
        <v>0</v>
      </c>
      <c r="I503" s="1">
        <f t="shared" si="57"/>
        <v>0</v>
      </c>
      <c r="J503" s="12">
        <v>0</v>
      </c>
      <c r="K503" s="13">
        <v>0</v>
      </c>
      <c r="L503" s="1">
        <f t="shared" si="58"/>
        <v>0</v>
      </c>
      <c r="M503" s="1">
        <f t="shared" si="59"/>
        <v>0</v>
      </c>
      <c r="N503" s="12">
        <v>0</v>
      </c>
      <c r="O503" s="12">
        <v>0</v>
      </c>
      <c r="P503" s="1">
        <f t="shared" si="60"/>
        <v>0</v>
      </c>
      <c r="Q503" s="1">
        <f t="shared" si="61"/>
        <v>0</v>
      </c>
      <c r="R503" s="12">
        <v>50259</v>
      </c>
      <c r="S503" s="12">
        <v>50259</v>
      </c>
      <c r="T503" s="1">
        <f t="shared" si="62"/>
        <v>0</v>
      </c>
      <c r="U503" s="1">
        <f t="shared" si="63"/>
        <v>0</v>
      </c>
    </row>
    <row r="504" spans="1:21" x14ac:dyDescent="0.25">
      <c r="A504" s="15">
        <v>4171</v>
      </c>
      <c r="B504" s="15">
        <v>7</v>
      </c>
      <c r="C504" s="16" t="s">
        <v>496</v>
      </c>
      <c r="D504" s="12">
        <v>530</v>
      </c>
      <c r="E504" s="12">
        <v>556</v>
      </c>
      <c r="F504" s="12">
        <v>0</v>
      </c>
      <c r="G504" s="13">
        <v>0</v>
      </c>
      <c r="H504" s="1">
        <f t="shared" si="56"/>
        <v>0</v>
      </c>
      <c r="I504" s="1">
        <f t="shared" si="57"/>
        <v>0</v>
      </c>
      <c r="J504" s="12">
        <v>0</v>
      </c>
      <c r="K504" s="13">
        <v>0</v>
      </c>
      <c r="L504" s="1">
        <f t="shared" si="58"/>
        <v>0</v>
      </c>
      <c r="M504" s="1">
        <f t="shared" si="59"/>
        <v>0</v>
      </c>
      <c r="N504" s="12">
        <v>0</v>
      </c>
      <c r="O504" s="12">
        <v>0</v>
      </c>
      <c r="P504" s="1">
        <f t="shared" si="60"/>
        <v>0</v>
      </c>
      <c r="Q504" s="1">
        <f t="shared" si="61"/>
        <v>0</v>
      </c>
      <c r="R504" s="12">
        <v>58334</v>
      </c>
      <c r="S504" s="12">
        <v>58334</v>
      </c>
      <c r="T504" s="1">
        <f t="shared" si="62"/>
        <v>0</v>
      </c>
      <c r="U504" s="1">
        <f t="shared" si="63"/>
        <v>0</v>
      </c>
    </row>
    <row r="505" spans="1:21" x14ac:dyDescent="0.25">
      <c r="A505" s="15">
        <v>4172</v>
      </c>
      <c r="B505" s="15">
        <v>7</v>
      </c>
      <c r="C505" s="16" t="s">
        <v>497</v>
      </c>
      <c r="D505" s="12">
        <v>83</v>
      </c>
      <c r="E505" s="12">
        <v>92</v>
      </c>
      <c r="F505" s="12">
        <v>0</v>
      </c>
      <c r="G505" s="13">
        <v>0</v>
      </c>
      <c r="H505" s="1">
        <f t="shared" si="56"/>
        <v>0</v>
      </c>
      <c r="I505" s="1">
        <f t="shared" si="57"/>
        <v>0</v>
      </c>
      <c r="J505" s="12">
        <v>0</v>
      </c>
      <c r="K505" s="13">
        <v>0</v>
      </c>
      <c r="L505" s="1">
        <f t="shared" si="58"/>
        <v>0</v>
      </c>
      <c r="M505" s="1">
        <f t="shared" si="59"/>
        <v>0</v>
      </c>
      <c r="N505" s="12">
        <v>0</v>
      </c>
      <c r="O505" s="12">
        <v>0</v>
      </c>
      <c r="P505" s="1">
        <f t="shared" si="60"/>
        <v>0</v>
      </c>
      <c r="Q505" s="1">
        <f t="shared" si="61"/>
        <v>0</v>
      </c>
      <c r="R505" s="12">
        <v>9186</v>
      </c>
      <c r="S505" s="12">
        <v>9186</v>
      </c>
      <c r="T505" s="1">
        <f t="shared" si="62"/>
        <v>0</v>
      </c>
      <c r="U505" s="1">
        <f t="shared" si="63"/>
        <v>0</v>
      </c>
    </row>
    <row r="506" spans="1:21" x14ac:dyDescent="0.25">
      <c r="A506" s="15">
        <v>4173</v>
      </c>
      <c r="B506" s="15">
        <v>7</v>
      </c>
      <c r="C506" s="16" t="s">
        <v>498</v>
      </c>
      <c r="D506" s="12">
        <v>300</v>
      </c>
      <c r="E506" s="12">
        <v>358</v>
      </c>
      <c r="F506" s="12">
        <v>0</v>
      </c>
      <c r="G506" s="13">
        <v>0</v>
      </c>
      <c r="H506" s="1">
        <f t="shared" si="56"/>
        <v>0</v>
      </c>
      <c r="I506" s="1">
        <f t="shared" si="57"/>
        <v>0</v>
      </c>
      <c r="J506" s="12">
        <v>0</v>
      </c>
      <c r="K506" s="13">
        <v>0</v>
      </c>
      <c r="L506" s="1">
        <f t="shared" si="58"/>
        <v>0</v>
      </c>
      <c r="M506" s="1">
        <f t="shared" si="59"/>
        <v>0</v>
      </c>
      <c r="N506" s="12">
        <v>0</v>
      </c>
      <c r="O506" s="12">
        <v>0</v>
      </c>
      <c r="P506" s="1">
        <f t="shared" si="60"/>
        <v>0</v>
      </c>
      <c r="Q506" s="1">
        <f t="shared" si="61"/>
        <v>0</v>
      </c>
      <c r="R506" s="12">
        <v>45830</v>
      </c>
      <c r="S506" s="12">
        <v>45830</v>
      </c>
      <c r="T506" s="1">
        <f t="shared" si="62"/>
        <v>0</v>
      </c>
      <c r="U506" s="1">
        <f t="shared" si="63"/>
        <v>0</v>
      </c>
    </row>
    <row r="507" spans="1:21" x14ac:dyDescent="0.25">
      <c r="A507" s="15">
        <v>4174</v>
      </c>
      <c r="B507" s="15">
        <v>7</v>
      </c>
      <c r="C507" s="16" t="s">
        <v>499</v>
      </c>
      <c r="D507" s="12">
        <v>39</v>
      </c>
      <c r="E507" s="12">
        <v>47</v>
      </c>
      <c r="F507" s="12">
        <v>0</v>
      </c>
      <c r="G507" s="13">
        <v>0</v>
      </c>
      <c r="H507" s="1">
        <f t="shared" si="56"/>
        <v>0</v>
      </c>
      <c r="I507" s="1">
        <f t="shared" si="57"/>
        <v>0</v>
      </c>
      <c r="J507" s="12">
        <v>0</v>
      </c>
      <c r="K507" s="13">
        <v>0</v>
      </c>
      <c r="L507" s="1">
        <f t="shared" si="58"/>
        <v>0</v>
      </c>
      <c r="M507" s="1">
        <f t="shared" si="59"/>
        <v>0</v>
      </c>
      <c r="N507" s="12">
        <v>0</v>
      </c>
      <c r="O507" s="12">
        <v>0</v>
      </c>
      <c r="P507" s="1">
        <f t="shared" si="60"/>
        <v>0</v>
      </c>
      <c r="Q507" s="1">
        <f t="shared" si="61"/>
        <v>0</v>
      </c>
      <c r="R507" s="12">
        <v>4670</v>
      </c>
      <c r="S507" s="12">
        <v>4670</v>
      </c>
      <c r="T507" s="1">
        <f t="shared" si="62"/>
        <v>0</v>
      </c>
      <c r="U507" s="1">
        <f t="shared" si="63"/>
        <v>0</v>
      </c>
    </row>
    <row r="508" spans="1:21" x14ac:dyDescent="0.25">
      <c r="A508" s="15">
        <v>4175</v>
      </c>
      <c r="B508" s="15">
        <v>7</v>
      </c>
      <c r="C508" s="16" t="s">
        <v>500</v>
      </c>
      <c r="D508" s="12">
        <v>115</v>
      </c>
      <c r="E508" s="12">
        <v>120</v>
      </c>
      <c r="F508" s="12">
        <v>0</v>
      </c>
      <c r="G508" s="13">
        <v>0</v>
      </c>
      <c r="H508" s="1">
        <f t="shared" si="56"/>
        <v>0</v>
      </c>
      <c r="I508" s="1">
        <f t="shared" si="57"/>
        <v>0</v>
      </c>
      <c r="J508" s="12">
        <v>0</v>
      </c>
      <c r="K508" s="13">
        <v>0</v>
      </c>
      <c r="L508" s="1">
        <f t="shared" si="58"/>
        <v>0</v>
      </c>
      <c r="M508" s="1">
        <f t="shared" si="59"/>
        <v>0</v>
      </c>
      <c r="N508" s="12">
        <v>0</v>
      </c>
      <c r="O508" s="12">
        <v>0</v>
      </c>
      <c r="P508" s="1">
        <f t="shared" si="60"/>
        <v>0</v>
      </c>
      <c r="Q508" s="1">
        <f t="shared" si="61"/>
        <v>0</v>
      </c>
      <c r="R508" s="12">
        <v>15362</v>
      </c>
      <c r="S508" s="12">
        <v>15362</v>
      </c>
      <c r="T508" s="1">
        <f t="shared" si="62"/>
        <v>0</v>
      </c>
      <c r="U508" s="1">
        <f t="shared" si="63"/>
        <v>0</v>
      </c>
    </row>
    <row r="509" spans="1:21" x14ac:dyDescent="0.25">
      <c r="A509" s="15">
        <v>4176</v>
      </c>
      <c r="B509" s="15">
        <v>7</v>
      </c>
      <c r="C509" s="16" t="s">
        <v>501</v>
      </c>
      <c r="D509" s="12">
        <v>0</v>
      </c>
      <c r="E509" s="12">
        <v>0</v>
      </c>
      <c r="F509" s="12">
        <v>0</v>
      </c>
      <c r="G509" s="13">
        <v>0</v>
      </c>
      <c r="H509" s="1">
        <f t="shared" si="56"/>
        <v>0</v>
      </c>
      <c r="I509" s="1">
        <f t="shared" si="57"/>
        <v>0</v>
      </c>
      <c r="J509" s="12">
        <v>0</v>
      </c>
      <c r="K509" s="13">
        <v>0</v>
      </c>
      <c r="L509" s="1">
        <f t="shared" si="58"/>
        <v>0</v>
      </c>
      <c r="M509" s="1">
        <f t="shared" si="59"/>
        <v>0</v>
      </c>
      <c r="N509" s="12">
        <v>0</v>
      </c>
      <c r="O509" s="12">
        <v>0</v>
      </c>
      <c r="P509" s="1">
        <f t="shared" si="60"/>
        <v>0</v>
      </c>
      <c r="Q509" s="1">
        <f t="shared" si="61"/>
        <v>0</v>
      </c>
      <c r="R509" s="12">
        <v>0</v>
      </c>
      <c r="S509" s="12">
        <v>0</v>
      </c>
      <c r="T509" s="1">
        <f t="shared" si="62"/>
        <v>0</v>
      </c>
      <c r="U509" s="1">
        <f t="shared" si="63"/>
        <v>0</v>
      </c>
    </row>
    <row r="510" spans="1:21" x14ac:dyDescent="0.25">
      <c r="A510" s="15">
        <v>4177</v>
      </c>
      <c r="B510" s="15">
        <v>7</v>
      </c>
      <c r="C510" s="16" t="s">
        <v>502</v>
      </c>
      <c r="D510" s="12">
        <v>52</v>
      </c>
      <c r="E510" s="12">
        <v>53</v>
      </c>
      <c r="F510" s="12">
        <v>0</v>
      </c>
      <c r="G510" s="13">
        <v>0</v>
      </c>
      <c r="H510" s="1">
        <f t="shared" si="56"/>
        <v>0</v>
      </c>
      <c r="I510" s="1">
        <f t="shared" si="57"/>
        <v>0</v>
      </c>
      <c r="J510" s="12">
        <v>0</v>
      </c>
      <c r="K510" s="13">
        <v>0</v>
      </c>
      <c r="L510" s="1">
        <f t="shared" si="58"/>
        <v>0</v>
      </c>
      <c r="M510" s="1">
        <f t="shared" si="59"/>
        <v>0</v>
      </c>
      <c r="N510" s="12">
        <v>0</v>
      </c>
      <c r="O510" s="12">
        <v>0</v>
      </c>
      <c r="P510" s="1">
        <f t="shared" si="60"/>
        <v>0</v>
      </c>
      <c r="Q510" s="1">
        <f t="shared" si="61"/>
        <v>0</v>
      </c>
      <c r="R510" s="12">
        <v>5941</v>
      </c>
      <c r="S510" s="12">
        <v>5941</v>
      </c>
      <c r="T510" s="1">
        <f t="shared" si="62"/>
        <v>0</v>
      </c>
      <c r="U510" s="1">
        <f t="shared" si="63"/>
        <v>0</v>
      </c>
    </row>
    <row r="511" spans="1:21" x14ac:dyDescent="0.25">
      <c r="A511" s="15">
        <v>4178</v>
      </c>
      <c r="B511" s="15">
        <v>7</v>
      </c>
      <c r="C511" s="16" t="s">
        <v>503</v>
      </c>
      <c r="D511" s="12">
        <v>130</v>
      </c>
      <c r="E511" s="12">
        <v>145</v>
      </c>
      <c r="F511" s="12">
        <v>0</v>
      </c>
      <c r="G511" s="13">
        <v>0</v>
      </c>
      <c r="H511" s="1">
        <f t="shared" si="56"/>
        <v>0</v>
      </c>
      <c r="I511" s="1">
        <f t="shared" si="57"/>
        <v>0</v>
      </c>
      <c r="J511" s="12">
        <v>0</v>
      </c>
      <c r="K511" s="13">
        <v>0</v>
      </c>
      <c r="L511" s="1">
        <f t="shared" si="58"/>
        <v>0</v>
      </c>
      <c r="M511" s="1">
        <f t="shared" si="59"/>
        <v>0</v>
      </c>
      <c r="N511" s="12">
        <v>0</v>
      </c>
      <c r="O511" s="12">
        <v>0</v>
      </c>
      <c r="P511" s="1">
        <f t="shared" si="60"/>
        <v>0</v>
      </c>
      <c r="Q511" s="1">
        <f t="shared" si="61"/>
        <v>0</v>
      </c>
      <c r="R511" s="12">
        <v>18562</v>
      </c>
      <c r="S511" s="12">
        <v>18562</v>
      </c>
      <c r="T511" s="1">
        <f t="shared" si="62"/>
        <v>0</v>
      </c>
      <c r="U511" s="1">
        <f t="shared" si="63"/>
        <v>0</v>
      </c>
    </row>
    <row r="512" spans="1:21" x14ac:dyDescent="0.25">
      <c r="A512" s="15">
        <v>4180</v>
      </c>
      <c r="B512" s="15">
        <v>7</v>
      </c>
      <c r="C512" s="16" t="s">
        <v>504</v>
      </c>
      <c r="D512" s="12">
        <v>211</v>
      </c>
      <c r="E512" s="12">
        <v>229</v>
      </c>
      <c r="F512" s="12">
        <v>0</v>
      </c>
      <c r="G512" s="13">
        <v>0</v>
      </c>
      <c r="H512" s="1">
        <f t="shared" si="56"/>
        <v>0</v>
      </c>
      <c r="I512" s="1">
        <f t="shared" si="57"/>
        <v>0</v>
      </c>
      <c r="J512" s="12">
        <v>0</v>
      </c>
      <c r="K512" s="13">
        <v>0</v>
      </c>
      <c r="L512" s="1">
        <f t="shared" si="58"/>
        <v>0</v>
      </c>
      <c r="M512" s="1">
        <f t="shared" si="59"/>
        <v>0</v>
      </c>
      <c r="N512" s="12">
        <v>0</v>
      </c>
      <c r="O512" s="12">
        <v>0</v>
      </c>
      <c r="P512" s="1">
        <f t="shared" si="60"/>
        <v>0</v>
      </c>
      <c r="Q512" s="1">
        <f t="shared" si="61"/>
        <v>0</v>
      </c>
      <c r="R512" s="12">
        <v>23125</v>
      </c>
      <c r="S512" s="12">
        <v>23125</v>
      </c>
      <c r="T512" s="1">
        <f t="shared" si="62"/>
        <v>0</v>
      </c>
      <c r="U512" s="1">
        <f t="shared" si="63"/>
        <v>0</v>
      </c>
    </row>
    <row r="513" spans="1:21" x14ac:dyDescent="0.25">
      <c r="A513" s="15">
        <v>4181</v>
      </c>
      <c r="B513" s="15">
        <v>7</v>
      </c>
      <c r="C513" s="16" t="s">
        <v>505</v>
      </c>
      <c r="D513" s="12">
        <v>580</v>
      </c>
      <c r="E513" s="12">
        <v>605</v>
      </c>
      <c r="F513" s="12">
        <v>0</v>
      </c>
      <c r="G513" s="13">
        <v>0</v>
      </c>
      <c r="H513" s="1">
        <f t="shared" si="56"/>
        <v>0</v>
      </c>
      <c r="I513" s="1">
        <f t="shared" si="57"/>
        <v>0</v>
      </c>
      <c r="J513" s="12">
        <v>0</v>
      </c>
      <c r="K513" s="13">
        <v>0</v>
      </c>
      <c r="L513" s="1">
        <f t="shared" si="58"/>
        <v>0</v>
      </c>
      <c r="M513" s="1">
        <f t="shared" si="59"/>
        <v>0</v>
      </c>
      <c r="N513" s="12">
        <v>0</v>
      </c>
      <c r="O513" s="12">
        <v>0</v>
      </c>
      <c r="P513" s="1">
        <f t="shared" si="60"/>
        <v>0</v>
      </c>
      <c r="Q513" s="1">
        <f t="shared" si="61"/>
        <v>0</v>
      </c>
      <c r="R513" s="12">
        <v>65595</v>
      </c>
      <c r="S513" s="12">
        <v>65595</v>
      </c>
      <c r="T513" s="1">
        <f t="shared" si="62"/>
        <v>0</v>
      </c>
      <c r="U513" s="1">
        <f t="shared" si="63"/>
        <v>0</v>
      </c>
    </row>
    <row r="514" spans="1:21" x14ac:dyDescent="0.25">
      <c r="A514" s="15">
        <v>4182</v>
      </c>
      <c r="B514" s="15">
        <v>7</v>
      </c>
      <c r="C514" s="16" t="s">
        <v>506</v>
      </c>
      <c r="D514" s="12">
        <v>132</v>
      </c>
      <c r="E514" s="12">
        <v>133</v>
      </c>
      <c r="F514" s="12">
        <v>0</v>
      </c>
      <c r="G514" s="13">
        <v>0</v>
      </c>
      <c r="H514" s="1">
        <f t="shared" si="56"/>
        <v>0</v>
      </c>
      <c r="I514" s="1">
        <f t="shared" si="57"/>
        <v>0</v>
      </c>
      <c r="J514" s="12">
        <v>0</v>
      </c>
      <c r="K514" s="13">
        <v>0</v>
      </c>
      <c r="L514" s="1">
        <f t="shared" si="58"/>
        <v>0</v>
      </c>
      <c r="M514" s="1">
        <f t="shared" si="59"/>
        <v>0</v>
      </c>
      <c r="N514" s="12">
        <v>0</v>
      </c>
      <c r="O514" s="12">
        <v>0</v>
      </c>
      <c r="P514" s="1">
        <f t="shared" si="60"/>
        <v>0</v>
      </c>
      <c r="Q514" s="1">
        <f t="shared" si="61"/>
        <v>0</v>
      </c>
      <c r="R514" s="12">
        <v>16270</v>
      </c>
      <c r="S514" s="12">
        <v>16270</v>
      </c>
      <c r="T514" s="1">
        <f t="shared" si="62"/>
        <v>0</v>
      </c>
      <c r="U514" s="1">
        <f t="shared" si="63"/>
        <v>0</v>
      </c>
    </row>
    <row r="515" spans="1:21" x14ac:dyDescent="0.25">
      <c r="A515" s="15">
        <v>4183</v>
      </c>
      <c r="B515" s="15">
        <v>7</v>
      </c>
      <c r="C515" s="16" t="s">
        <v>507</v>
      </c>
      <c r="D515" s="12">
        <v>109</v>
      </c>
      <c r="E515" s="12">
        <v>106</v>
      </c>
      <c r="F515" s="12">
        <v>0</v>
      </c>
      <c r="G515" s="13">
        <v>0</v>
      </c>
      <c r="H515" s="1">
        <f t="shared" si="56"/>
        <v>0</v>
      </c>
      <c r="I515" s="1">
        <f t="shared" si="57"/>
        <v>0</v>
      </c>
      <c r="J515" s="12">
        <v>0</v>
      </c>
      <c r="K515" s="13">
        <v>0</v>
      </c>
      <c r="L515" s="1">
        <f t="shared" si="58"/>
        <v>0</v>
      </c>
      <c r="M515" s="1">
        <f t="shared" si="59"/>
        <v>0</v>
      </c>
      <c r="N515" s="12">
        <v>0</v>
      </c>
      <c r="O515" s="12">
        <v>0</v>
      </c>
      <c r="P515" s="1">
        <f t="shared" si="60"/>
        <v>0</v>
      </c>
      <c r="Q515" s="1">
        <f t="shared" si="61"/>
        <v>0</v>
      </c>
      <c r="R515" s="12">
        <v>13658</v>
      </c>
      <c r="S515" s="12">
        <v>13658</v>
      </c>
      <c r="T515" s="1">
        <f t="shared" si="62"/>
        <v>0</v>
      </c>
      <c r="U515" s="1">
        <f t="shared" si="63"/>
        <v>0</v>
      </c>
    </row>
    <row r="516" spans="1:21" x14ac:dyDescent="0.25">
      <c r="A516" s="15">
        <v>4184</v>
      </c>
      <c r="B516" s="15">
        <v>7</v>
      </c>
      <c r="C516" s="16" t="s">
        <v>508</v>
      </c>
      <c r="D516" s="12">
        <v>256</v>
      </c>
      <c r="E516" s="12">
        <v>266</v>
      </c>
      <c r="F516" s="12">
        <v>0</v>
      </c>
      <c r="G516" s="13">
        <v>0</v>
      </c>
      <c r="H516" s="1">
        <f t="shared" si="56"/>
        <v>0</v>
      </c>
      <c r="I516" s="1">
        <f t="shared" si="57"/>
        <v>0</v>
      </c>
      <c r="J516" s="12">
        <v>0</v>
      </c>
      <c r="K516" s="13">
        <v>0</v>
      </c>
      <c r="L516" s="1">
        <f t="shared" si="58"/>
        <v>0</v>
      </c>
      <c r="M516" s="1">
        <f t="shared" si="59"/>
        <v>0</v>
      </c>
      <c r="N516" s="12">
        <v>0</v>
      </c>
      <c r="O516" s="12">
        <v>0</v>
      </c>
      <c r="P516" s="1">
        <f t="shared" si="60"/>
        <v>0</v>
      </c>
      <c r="Q516" s="1">
        <f t="shared" si="61"/>
        <v>0</v>
      </c>
      <c r="R516" s="12">
        <v>26484</v>
      </c>
      <c r="S516" s="12">
        <v>26484</v>
      </c>
      <c r="T516" s="1">
        <f t="shared" si="62"/>
        <v>0</v>
      </c>
      <c r="U516" s="1">
        <f t="shared" si="63"/>
        <v>0</v>
      </c>
    </row>
    <row r="517" spans="1:21" x14ac:dyDescent="0.25">
      <c r="A517" s="15">
        <v>4185</v>
      </c>
      <c r="B517" s="15">
        <v>7</v>
      </c>
      <c r="C517" s="16" t="s">
        <v>509</v>
      </c>
      <c r="D517" s="12">
        <v>322</v>
      </c>
      <c r="E517" s="12">
        <v>333</v>
      </c>
      <c r="F517" s="12">
        <v>0</v>
      </c>
      <c r="G517" s="13">
        <v>0</v>
      </c>
      <c r="H517" s="1">
        <f t="shared" si="56"/>
        <v>0</v>
      </c>
      <c r="I517" s="1">
        <f t="shared" si="57"/>
        <v>0</v>
      </c>
      <c r="J517" s="12">
        <v>0</v>
      </c>
      <c r="K517" s="13">
        <v>0</v>
      </c>
      <c r="L517" s="1">
        <f t="shared" si="58"/>
        <v>0</v>
      </c>
      <c r="M517" s="1">
        <f t="shared" si="59"/>
        <v>0</v>
      </c>
      <c r="N517" s="12">
        <v>0</v>
      </c>
      <c r="O517" s="12">
        <v>0</v>
      </c>
      <c r="P517" s="1">
        <f t="shared" si="60"/>
        <v>0</v>
      </c>
      <c r="Q517" s="1">
        <f t="shared" si="61"/>
        <v>0</v>
      </c>
      <c r="R517" s="12">
        <v>35014</v>
      </c>
      <c r="S517" s="12">
        <v>35014</v>
      </c>
      <c r="T517" s="1">
        <f t="shared" si="62"/>
        <v>0</v>
      </c>
      <c r="U517" s="1">
        <f t="shared" si="63"/>
        <v>0</v>
      </c>
    </row>
    <row r="518" spans="1:21" x14ac:dyDescent="0.25">
      <c r="A518" s="15">
        <v>4186</v>
      </c>
      <c r="B518" s="15">
        <v>7</v>
      </c>
      <c r="C518" s="16" t="s">
        <v>510</v>
      </c>
      <c r="D518" s="12">
        <v>402</v>
      </c>
      <c r="E518" s="12">
        <v>418</v>
      </c>
      <c r="F518" s="12">
        <v>0</v>
      </c>
      <c r="G518" s="13">
        <v>0</v>
      </c>
      <c r="H518" s="1">
        <f t="shared" si="56"/>
        <v>0</v>
      </c>
      <c r="I518" s="1">
        <f t="shared" si="57"/>
        <v>0</v>
      </c>
      <c r="J518" s="12">
        <v>0</v>
      </c>
      <c r="K518" s="13">
        <v>0</v>
      </c>
      <c r="L518" s="1">
        <f t="shared" si="58"/>
        <v>0</v>
      </c>
      <c r="M518" s="1">
        <f t="shared" si="59"/>
        <v>0</v>
      </c>
      <c r="N518" s="12">
        <v>0</v>
      </c>
      <c r="O518" s="12">
        <v>0</v>
      </c>
      <c r="P518" s="1">
        <f t="shared" si="60"/>
        <v>0</v>
      </c>
      <c r="Q518" s="1">
        <f t="shared" si="61"/>
        <v>0</v>
      </c>
      <c r="R518" s="12">
        <v>44720</v>
      </c>
      <c r="S518" s="12">
        <v>44720</v>
      </c>
      <c r="T518" s="1">
        <f t="shared" si="62"/>
        <v>0</v>
      </c>
      <c r="U518" s="1">
        <f t="shared" si="63"/>
        <v>0</v>
      </c>
    </row>
    <row r="519" spans="1:21" x14ac:dyDescent="0.25">
      <c r="A519" s="15">
        <v>4187</v>
      </c>
      <c r="B519" s="15">
        <v>7</v>
      </c>
      <c r="C519" s="16" t="s">
        <v>511</v>
      </c>
      <c r="D519" s="12">
        <v>100</v>
      </c>
      <c r="E519" s="12">
        <v>110</v>
      </c>
      <c r="F519" s="12">
        <v>0</v>
      </c>
      <c r="G519" s="13">
        <v>0</v>
      </c>
      <c r="H519" s="1">
        <f t="shared" si="56"/>
        <v>0</v>
      </c>
      <c r="I519" s="1">
        <f t="shared" si="57"/>
        <v>0</v>
      </c>
      <c r="J519" s="12">
        <v>0</v>
      </c>
      <c r="K519" s="13">
        <v>0</v>
      </c>
      <c r="L519" s="1">
        <f t="shared" si="58"/>
        <v>0</v>
      </c>
      <c r="M519" s="1">
        <f t="shared" si="59"/>
        <v>0</v>
      </c>
      <c r="N519" s="12">
        <v>0</v>
      </c>
      <c r="O519" s="12">
        <v>0</v>
      </c>
      <c r="P519" s="1">
        <f t="shared" si="60"/>
        <v>0</v>
      </c>
      <c r="Q519" s="1">
        <f t="shared" si="61"/>
        <v>0</v>
      </c>
      <c r="R519" s="12">
        <v>10925</v>
      </c>
      <c r="S519" s="12">
        <v>10925</v>
      </c>
      <c r="T519" s="1">
        <f t="shared" si="62"/>
        <v>0</v>
      </c>
      <c r="U519" s="1">
        <f t="shared" si="63"/>
        <v>0</v>
      </c>
    </row>
    <row r="520" spans="1:21" x14ac:dyDescent="0.25">
      <c r="A520" s="15">
        <v>4188</v>
      </c>
      <c r="B520" s="15">
        <v>7</v>
      </c>
      <c r="C520" s="16" t="s">
        <v>512</v>
      </c>
      <c r="D520" s="12">
        <v>247</v>
      </c>
      <c r="E520" s="12">
        <v>272</v>
      </c>
      <c r="F520" s="12">
        <v>0</v>
      </c>
      <c r="G520" s="13">
        <v>0</v>
      </c>
      <c r="H520" s="1">
        <f t="shared" si="56"/>
        <v>0</v>
      </c>
      <c r="I520" s="1">
        <f t="shared" si="57"/>
        <v>0</v>
      </c>
      <c r="J520" s="12">
        <v>0</v>
      </c>
      <c r="K520" s="13">
        <v>0</v>
      </c>
      <c r="L520" s="1">
        <f t="shared" si="58"/>
        <v>0</v>
      </c>
      <c r="M520" s="1">
        <f t="shared" si="59"/>
        <v>0</v>
      </c>
      <c r="N520" s="12">
        <v>0</v>
      </c>
      <c r="O520" s="12">
        <v>0</v>
      </c>
      <c r="P520" s="1">
        <f t="shared" si="60"/>
        <v>0</v>
      </c>
      <c r="Q520" s="1">
        <f t="shared" si="61"/>
        <v>0</v>
      </c>
      <c r="R520" s="12">
        <v>28240</v>
      </c>
      <c r="S520" s="12">
        <v>28240</v>
      </c>
      <c r="T520" s="1">
        <f t="shared" si="62"/>
        <v>0</v>
      </c>
      <c r="U520" s="1">
        <f t="shared" si="63"/>
        <v>0</v>
      </c>
    </row>
    <row r="521" spans="1:21" x14ac:dyDescent="0.25">
      <c r="A521" s="15">
        <v>4189</v>
      </c>
      <c r="B521" s="15">
        <v>7</v>
      </c>
      <c r="C521" s="16" t="s">
        <v>513</v>
      </c>
      <c r="D521" s="12">
        <v>104</v>
      </c>
      <c r="E521" s="12">
        <v>116</v>
      </c>
      <c r="F521" s="12">
        <v>0</v>
      </c>
      <c r="G521" s="13">
        <v>0</v>
      </c>
      <c r="H521" s="1">
        <f t="shared" si="56"/>
        <v>0</v>
      </c>
      <c r="I521" s="1">
        <f t="shared" si="57"/>
        <v>0</v>
      </c>
      <c r="J521" s="12">
        <v>0</v>
      </c>
      <c r="K521" s="13">
        <v>0</v>
      </c>
      <c r="L521" s="1">
        <f t="shared" si="58"/>
        <v>0</v>
      </c>
      <c r="M521" s="1">
        <f t="shared" si="59"/>
        <v>0</v>
      </c>
      <c r="N521" s="12">
        <v>0</v>
      </c>
      <c r="O521" s="12">
        <v>0</v>
      </c>
      <c r="P521" s="1">
        <f t="shared" si="60"/>
        <v>0</v>
      </c>
      <c r="Q521" s="1">
        <f t="shared" si="61"/>
        <v>0</v>
      </c>
      <c r="R521" s="12">
        <v>11452</v>
      </c>
      <c r="S521" s="12">
        <v>11452</v>
      </c>
      <c r="T521" s="1">
        <f t="shared" si="62"/>
        <v>0</v>
      </c>
      <c r="U521" s="1">
        <f t="shared" si="63"/>
        <v>0</v>
      </c>
    </row>
    <row r="522" spans="1:21" x14ac:dyDescent="0.25">
      <c r="A522" s="18">
        <v>4190</v>
      </c>
      <c r="B522" s="18">
        <v>7</v>
      </c>
      <c r="C522" s="11" t="s">
        <v>514</v>
      </c>
      <c r="D522" s="12">
        <v>85</v>
      </c>
      <c r="E522" s="12">
        <v>70</v>
      </c>
      <c r="F522" s="12">
        <v>0</v>
      </c>
      <c r="G522" s="13">
        <v>0</v>
      </c>
      <c r="H522" s="1">
        <f t="shared" si="56"/>
        <v>0</v>
      </c>
      <c r="I522" s="1">
        <f t="shared" si="57"/>
        <v>0</v>
      </c>
      <c r="J522" s="12">
        <v>0</v>
      </c>
      <c r="K522" s="13">
        <v>0</v>
      </c>
      <c r="L522" s="1">
        <f t="shared" si="58"/>
        <v>0</v>
      </c>
      <c r="M522" s="1">
        <f t="shared" si="59"/>
        <v>0</v>
      </c>
      <c r="N522" s="12">
        <v>0</v>
      </c>
      <c r="O522" s="12">
        <v>0</v>
      </c>
      <c r="P522" s="1">
        <f t="shared" si="60"/>
        <v>0</v>
      </c>
      <c r="Q522" s="1">
        <f t="shared" si="61"/>
        <v>0</v>
      </c>
      <c r="R522" s="12">
        <v>9403</v>
      </c>
      <c r="S522" s="12">
        <v>9403</v>
      </c>
      <c r="T522" s="1">
        <f t="shared" si="62"/>
        <v>0</v>
      </c>
      <c r="U522" s="1">
        <f t="shared" si="63"/>
        <v>0</v>
      </c>
    </row>
    <row r="523" spans="1:21" x14ac:dyDescent="0.25">
      <c r="A523" s="15">
        <v>4191</v>
      </c>
      <c r="B523" s="15">
        <v>7</v>
      </c>
      <c r="C523" s="16" t="s">
        <v>515</v>
      </c>
      <c r="D523" s="12">
        <v>330</v>
      </c>
      <c r="E523" s="12">
        <v>350</v>
      </c>
      <c r="F523" s="12">
        <v>0</v>
      </c>
      <c r="G523" s="13">
        <v>0</v>
      </c>
      <c r="H523" s="1">
        <f t="shared" si="56"/>
        <v>0</v>
      </c>
      <c r="I523" s="1">
        <f t="shared" si="57"/>
        <v>0</v>
      </c>
      <c r="J523" s="12">
        <v>0</v>
      </c>
      <c r="K523" s="13">
        <v>0</v>
      </c>
      <c r="L523" s="1">
        <f t="shared" si="58"/>
        <v>0</v>
      </c>
      <c r="M523" s="1">
        <f t="shared" si="59"/>
        <v>0</v>
      </c>
      <c r="N523" s="12">
        <v>0</v>
      </c>
      <c r="O523" s="12">
        <v>0</v>
      </c>
      <c r="P523" s="1">
        <f t="shared" si="60"/>
        <v>0</v>
      </c>
      <c r="Q523" s="1">
        <f t="shared" si="61"/>
        <v>0</v>
      </c>
      <c r="R523" s="12">
        <v>40552</v>
      </c>
      <c r="S523" s="12">
        <v>40552</v>
      </c>
      <c r="T523" s="1">
        <f t="shared" si="62"/>
        <v>0</v>
      </c>
      <c r="U523" s="1">
        <f t="shared" si="63"/>
        <v>0</v>
      </c>
    </row>
    <row r="524" spans="1:21" x14ac:dyDescent="0.25">
      <c r="A524" s="15">
        <v>4192</v>
      </c>
      <c r="B524" s="15">
        <v>7</v>
      </c>
      <c r="C524" s="16" t="s">
        <v>516</v>
      </c>
      <c r="D524" s="12">
        <v>325</v>
      </c>
      <c r="E524" s="12">
        <v>345</v>
      </c>
      <c r="F524" s="12">
        <v>0</v>
      </c>
      <c r="G524" s="13">
        <v>0</v>
      </c>
      <c r="H524" s="1">
        <f t="shared" si="56"/>
        <v>0</v>
      </c>
      <c r="I524" s="1">
        <f t="shared" si="57"/>
        <v>0</v>
      </c>
      <c r="J524" s="12">
        <v>0</v>
      </c>
      <c r="K524" s="13">
        <v>0</v>
      </c>
      <c r="L524" s="1">
        <f t="shared" si="58"/>
        <v>0</v>
      </c>
      <c r="M524" s="1">
        <f t="shared" si="59"/>
        <v>0</v>
      </c>
      <c r="N524" s="12">
        <v>0</v>
      </c>
      <c r="O524" s="12">
        <v>0</v>
      </c>
      <c r="P524" s="1">
        <f t="shared" si="60"/>
        <v>0</v>
      </c>
      <c r="Q524" s="1">
        <f t="shared" si="61"/>
        <v>0</v>
      </c>
      <c r="R524" s="12">
        <v>36464</v>
      </c>
      <c r="S524" s="12">
        <v>36464</v>
      </c>
      <c r="T524" s="1">
        <f t="shared" si="62"/>
        <v>0</v>
      </c>
      <c r="U524" s="1">
        <f t="shared" si="63"/>
        <v>0</v>
      </c>
    </row>
    <row r="525" spans="1:21" x14ac:dyDescent="0.25">
      <c r="A525" s="18">
        <v>4193</v>
      </c>
      <c r="B525" s="18">
        <v>7</v>
      </c>
      <c r="C525" s="11" t="s">
        <v>517</v>
      </c>
      <c r="D525" s="12">
        <v>200</v>
      </c>
      <c r="E525" s="12">
        <v>220</v>
      </c>
      <c r="F525" s="12">
        <v>0</v>
      </c>
      <c r="G525" s="13">
        <v>0</v>
      </c>
      <c r="H525" s="1">
        <f t="shared" ref="H525:H530" si="64">G525-F525</f>
        <v>0</v>
      </c>
      <c r="I525" s="1">
        <f t="shared" ref="I525:I530" si="65">IF(D525=0,0,H525/D525)</f>
        <v>0</v>
      </c>
      <c r="J525" s="12">
        <v>0</v>
      </c>
      <c r="K525" s="13">
        <v>0</v>
      </c>
      <c r="L525" s="1">
        <f t="shared" ref="L525:L530" si="66">K525-J525</f>
        <v>0</v>
      </c>
      <c r="M525" s="1">
        <f t="shared" ref="M525:M530" si="67">IF(E525=0,0,L525/E525)</f>
        <v>0</v>
      </c>
      <c r="N525" s="12">
        <v>0</v>
      </c>
      <c r="O525" s="12">
        <v>0</v>
      </c>
      <c r="P525" s="1">
        <f t="shared" ref="P525:P530" si="68">O525-N525</f>
        <v>0</v>
      </c>
      <c r="Q525" s="1">
        <f t="shared" ref="Q525:Q530" si="69">IF(E525=0,0,P525/E525)</f>
        <v>0</v>
      </c>
      <c r="R525" s="12">
        <v>21850</v>
      </c>
      <c r="S525" s="12">
        <v>21850</v>
      </c>
      <c r="T525" s="1">
        <f t="shared" ref="T525:T530" si="70">S525-R525</f>
        <v>0</v>
      </c>
      <c r="U525" s="1">
        <f t="shared" ref="U525:U530" si="71">IF(E525=0,0,T525/E525)</f>
        <v>0</v>
      </c>
    </row>
    <row r="526" spans="1:21" x14ac:dyDescent="0.25">
      <c r="A526" s="18">
        <v>4194</v>
      </c>
      <c r="B526" s="18">
        <v>7</v>
      </c>
      <c r="C526" s="11" t="s">
        <v>518</v>
      </c>
      <c r="D526" s="12">
        <v>239</v>
      </c>
      <c r="E526" s="12">
        <v>254</v>
      </c>
      <c r="F526" s="12">
        <v>0</v>
      </c>
      <c r="G526" s="13">
        <v>0</v>
      </c>
      <c r="H526" s="1">
        <f t="shared" si="64"/>
        <v>0</v>
      </c>
      <c r="I526" s="1">
        <f t="shared" si="65"/>
        <v>0</v>
      </c>
      <c r="J526" s="12">
        <v>0</v>
      </c>
      <c r="K526" s="13">
        <v>0</v>
      </c>
      <c r="L526" s="1">
        <f t="shared" si="66"/>
        <v>0</v>
      </c>
      <c r="M526" s="1">
        <f t="shared" si="67"/>
        <v>0</v>
      </c>
      <c r="N526" s="12">
        <v>0</v>
      </c>
      <c r="O526" s="12">
        <v>0</v>
      </c>
      <c r="P526" s="1">
        <f t="shared" si="68"/>
        <v>0</v>
      </c>
      <c r="Q526" s="1">
        <f t="shared" si="69"/>
        <v>0</v>
      </c>
      <c r="R526" s="12">
        <v>26472</v>
      </c>
      <c r="S526" s="12">
        <v>26472</v>
      </c>
      <c r="T526" s="1">
        <f t="shared" si="70"/>
        <v>0</v>
      </c>
      <c r="U526" s="1">
        <f t="shared" si="71"/>
        <v>0</v>
      </c>
    </row>
    <row r="527" spans="1:21" x14ac:dyDescent="0.25">
      <c r="A527" s="18">
        <v>4195</v>
      </c>
      <c r="B527" s="18">
        <v>7</v>
      </c>
      <c r="C527" s="11" t="s">
        <v>519</v>
      </c>
      <c r="D527" s="12">
        <v>47</v>
      </c>
      <c r="E527" s="12">
        <v>58</v>
      </c>
      <c r="F527" s="12">
        <v>0</v>
      </c>
      <c r="G527" s="13">
        <v>0</v>
      </c>
      <c r="H527" s="1">
        <f t="shared" si="64"/>
        <v>0</v>
      </c>
      <c r="I527" s="1">
        <f t="shared" si="65"/>
        <v>0</v>
      </c>
      <c r="J527" s="12">
        <v>0</v>
      </c>
      <c r="K527" s="13">
        <v>0</v>
      </c>
      <c r="L527" s="1">
        <f t="shared" si="66"/>
        <v>0</v>
      </c>
      <c r="M527" s="1">
        <f t="shared" si="67"/>
        <v>0</v>
      </c>
      <c r="N527" s="12">
        <v>0</v>
      </c>
      <c r="O527" s="12">
        <v>0</v>
      </c>
      <c r="P527" s="1">
        <f t="shared" si="68"/>
        <v>0</v>
      </c>
      <c r="Q527" s="1">
        <f t="shared" si="69"/>
        <v>0</v>
      </c>
      <c r="R527" s="12">
        <v>5593</v>
      </c>
      <c r="S527" s="12">
        <v>5593</v>
      </c>
      <c r="T527" s="1">
        <f t="shared" si="70"/>
        <v>0</v>
      </c>
      <c r="U527" s="1">
        <f t="shared" si="71"/>
        <v>0</v>
      </c>
    </row>
    <row r="528" spans="1:21" x14ac:dyDescent="0.25">
      <c r="A528" s="18">
        <v>4196</v>
      </c>
      <c r="B528" s="18">
        <v>7</v>
      </c>
      <c r="C528" s="11" t="s">
        <v>520</v>
      </c>
      <c r="D528" s="12">
        <v>75</v>
      </c>
      <c r="E528" s="12">
        <v>75</v>
      </c>
      <c r="F528" s="12">
        <v>0</v>
      </c>
      <c r="G528" s="13">
        <v>0</v>
      </c>
      <c r="H528" s="1">
        <f t="shared" si="64"/>
        <v>0</v>
      </c>
      <c r="I528" s="1">
        <f t="shared" si="65"/>
        <v>0</v>
      </c>
      <c r="J528" s="12">
        <v>0</v>
      </c>
      <c r="K528" s="13">
        <v>0</v>
      </c>
      <c r="L528" s="1">
        <f t="shared" si="66"/>
        <v>0</v>
      </c>
      <c r="M528" s="1">
        <f t="shared" si="67"/>
        <v>0</v>
      </c>
      <c r="N528" s="12">
        <v>0</v>
      </c>
      <c r="O528" s="12">
        <v>0</v>
      </c>
      <c r="P528" s="1">
        <f t="shared" si="68"/>
        <v>0</v>
      </c>
      <c r="Q528" s="1">
        <f t="shared" si="69"/>
        <v>0</v>
      </c>
      <c r="R528" s="12">
        <v>9010</v>
      </c>
      <c r="S528" s="12">
        <v>9010</v>
      </c>
      <c r="T528" s="1">
        <f t="shared" si="70"/>
        <v>0</v>
      </c>
      <c r="U528" s="1">
        <f t="shared" si="71"/>
        <v>0</v>
      </c>
    </row>
    <row r="529" spans="1:21" x14ac:dyDescent="0.25">
      <c r="A529" s="18">
        <v>4197</v>
      </c>
      <c r="B529" s="18">
        <v>7</v>
      </c>
      <c r="C529" s="11" t="s">
        <v>521</v>
      </c>
      <c r="D529" s="12">
        <v>113</v>
      </c>
      <c r="E529" s="12">
        <v>113</v>
      </c>
      <c r="F529" s="12">
        <v>0</v>
      </c>
      <c r="G529" s="13">
        <v>0</v>
      </c>
      <c r="H529" s="1">
        <f t="shared" si="64"/>
        <v>0</v>
      </c>
      <c r="I529" s="1">
        <f t="shared" si="65"/>
        <v>0</v>
      </c>
      <c r="J529" s="12">
        <v>0</v>
      </c>
      <c r="K529" s="13">
        <v>0</v>
      </c>
      <c r="L529" s="1">
        <f t="shared" si="66"/>
        <v>0</v>
      </c>
      <c r="M529" s="1">
        <f t="shared" si="67"/>
        <v>0</v>
      </c>
      <c r="N529" s="12">
        <v>0</v>
      </c>
      <c r="O529" s="12">
        <v>0</v>
      </c>
      <c r="P529" s="1">
        <f t="shared" si="68"/>
        <v>0</v>
      </c>
      <c r="Q529" s="1">
        <f t="shared" si="69"/>
        <v>0</v>
      </c>
      <c r="R529" s="12">
        <v>10202</v>
      </c>
      <c r="S529" s="12">
        <v>10202</v>
      </c>
      <c r="T529" s="1">
        <f t="shared" si="70"/>
        <v>0</v>
      </c>
      <c r="U529" s="1">
        <f t="shared" si="71"/>
        <v>0</v>
      </c>
    </row>
    <row r="530" spans="1:21" x14ac:dyDescent="0.25">
      <c r="A530" s="15">
        <v>4999</v>
      </c>
      <c r="B530" s="15">
        <v>7</v>
      </c>
      <c r="C530" s="16" t="s">
        <v>522</v>
      </c>
      <c r="D530" s="12">
        <v>1746.39</v>
      </c>
      <c r="E530" s="12">
        <v>4931.68</v>
      </c>
      <c r="F530" s="12">
        <v>0</v>
      </c>
      <c r="G530" s="13">
        <v>0</v>
      </c>
      <c r="H530" s="1">
        <f t="shared" si="64"/>
        <v>0</v>
      </c>
      <c r="I530" s="1">
        <f t="shared" si="65"/>
        <v>0</v>
      </c>
      <c r="J530" s="12">
        <v>0</v>
      </c>
      <c r="K530" s="13">
        <v>0</v>
      </c>
      <c r="L530" s="1">
        <f t="shared" si="66"/>
        <v>0</v>
      </c>
      <c r="M530" s="1">
        <f t="shared" si="67"/>
        <v>0</v>
      </c>
      <c r="N530" s="12">
        <v>0</v>
      </c>
      <c r="O530" s="12">
        <v>0</v>
      </c>
      <c r="P530" s="1">
        <f t="shared" si="68"/>
        <v>0</v>
      </c>
      <c r="Q530" s="1">
        <f t="shared" si="69"/>
        <v>0</v>
      </c>
      <c r="R530" s="12">
        <v>535115</v>
      </c>
      <c r="S530" s="12">
        <v>535115</v>
      </c>
      <c r="T530" s="1">
        <f t="shared" si="70"/>
        <v>0</v>
      </c>
      <c r="U530" s="1">
        <f t="shared" si="71"/>
        <v>0</v>
      </c>
    </row>
    <row r="531" spans="1:21" x14ac:dyDescent="0.25">
      <c r="A531" s="18"/>
      <c r="B531" s="18"/>
      <c r="C531" s="18"/>
      <c r="D531" s="12"/>
      <c r="E531" s="12"/>
      <c r="F531" s="12"/>
      <c r="G531" s="17"/>
      <c r="J531" s="12"/>
      <c r="K531" s="1"/>
      <c r="N531" s="12"/>
      <c r="O531" s="12"/>
      <c r="R531" s="12"/>
      <c r="S531" s="12"/>
    </row>
    <row r="532" spans="1:21" x14ac:dyDescent="0.25">
      <c r="A532" s="18"/>
      <c r="B532" s="18"/>
      <c r="C532" s="18"/>
      <c r="D532" s="12"/>
      <c r="E532" s="12"/>
      <c r="F532" s="12"/>
      <c r="G532" s="17"/>
      <c r="J532" s="12"/>
      <c r="K532" s="1"/>
      <c r="N532" s="12"/>
      <c r="O532" s="12"/>
      <c r="R532" s="12"/>
      <c r="S532" s="12"/>
    </row>
    <row r="533" spans="1:21" x14ac:dyDescent="0.25">
      <c r="A533" s="18"/>
      <c r="B533" s="18"/>
      <c r="C533" s="18"/>
      <c r="D533" s="12"/>
      <c r="E533" s="12"/>
      <c r="F533" s="12"/>
      <c r="G533" s="17"/>
      <c r="J533" s="12"/>
      <c r="K533" s="1"/>
      <c r="N533" s="12"/>
      <c r="O533" s="12"/>
      <c r="R533" s="12"/>
      <c r="S533" s="12"/>
    </row>
    <row r="534" spans="1:21" x14ac:dyDescent="0.25">
      <c r="A534" s="18"/>
      <c r="B534" s="18"/>
      <c r="C534" s="18"/>
      <c r="D534" s="19"/>
      <c r="E534" s="19"/>
      <c r="F534" s="19"/>
      <c r="G534" s="19"/>
      <c r="J534" s="19"/>
      <c r="K534" s="19"/>
      <c r="N534" s="19"/>
      <c r="O534" s="19"/>
      <c r="R534" s="19"/>
      <c r="S534" s="19"/>
    </row>
    <row r="535" spans="1:21" x14ac:dyDescent="0.25">
      <c r="A535" s="18"/>
      <c r="B535" s="18"/>
      <c r="C535" s="18"/>
      <c r="D535" s="19"/>
      <c r="E535" s="19"/>
      <c r="F535" s="19"/>
      <c r="G535" s="19"/>
      <c r="J535" s="19"/>
      <c r="K535" s="19"/>
      <c r="N535" s="19"/>
      <c r="O535" s="19"/>
      <c r="R535" s="19"/>
      <c r="S535" s="19"/>
    </row>
    <row r="536" spans="1:21" x14ac:dyDescent="0.25">
      <c r="A536" s="18"/>
      <c r="B536" s="18"/>
      <c r="C536" s="18"/>
      <c r="D536" s="19"/>
      <c r="E536" s="19"/>
      <c r="F536" s="19"/>
      <c r="G536" s="19"/>
      <c r="J536" s="19"/>
      <c r="K536" s="19"/>
      <c r="N536" s="19"/>
      <c r="O536" s="19"/>
      <c r="R536" s="19"/>
      <c r="S536" s="19"/>
    </row>
    <row r="537" spans="1:21" x14ac:dyDescent="0.25">
      <c r="A537" s="18"/>
      <c r="B537" s="18"/>
      <c r="C537" s="18"/>
      <c r="D537" s="19"/>
      <c r="E537" s="19"/>
      <c r="F537" s="19"/>
      <c r="G537" s="19"/>
      <c r="J537" s="19"/>
      <c r="K537" s="19"/>
      <c r="N537" s="19"/>
      <c r="O537" s="19"/>
      <c r="R537" s="19"/>
      <c r="S537" s="19"/>
    </row>
    <row r="538" spans="1:21" x14ac:dyDescent="0.25">
      <c r="A538" s="18"/>
      <c r="B538" s="18"/>
      <c r="C538" s="18"/>
      <c r="D538" s="19"/>
      <c r="E538" s="19"/>
      <c r="F538" s="19"/>
      <c r="G538" s="19"/>
      <c r="J538" s="19"/>
      <c r="K538" s="19"/>
      <c r="N538" s="19"/>
      <c r="O538" s="19"/>
      <c r="R538" s="19"/>
      <c r="S538" s="19"/>
    </row>
    <row r="539" spans="1:21" x14ac:dyDescent="0.25">
      <c r="A539" s="18"/>
      <c r="B539" s="18"/>
      <c r="C539" s="18"/>
      <c r="D539" s="19"/>
      <c r="E539" s="19"/>
      <c r="F539" s="19"/>
      <c r="G539" s="19"/>
      <c r="J539" s="19"/>
      <c r="K539" s="19"/>
      <c r="N539" s="19"/>
      <c r="O539" s="19"/>
      <c r="R539" s="19"/>
      <c r="S539" s="19"/>
    </row>
    <row r="540" spans="1:21" x14ac:dyDescent="0.25">
      <c r="A540" s="18"/>
      <c r="B540" s="18"/>
      <c r="C540" s="18"/>
      <c r="D540" s="19"/>
      <c r="E540" s="19"/>
      <c r="F540" s="19"/>
      <c r="G540" s="19"/>
      <c r="J540" s="19"/>
      <c r="K540" s="19"/>
      <c r="N540" s="19"/>
      <c r="O540" s="19"/>
      <c r="R540" s="19"/>
      <c r="S540" s="19"/>
    </row>
    <row r="541" spans="1:21" x14ac:dyDescent="0.25">
      <c r="A541" s="18"/>
      <c r="B541" s="18"/>
      <c r="C541" s="18"/>
      <c r="D541" s="19"/>
      <c r="E541" s="19"/>
      <c r="F541" s="19"/>
      <c r="G541" s="19"/>
      <c r="J541" s="19"/>
      <c r="K541" s="19"/>
      <c r="N541" s="19"/>
      <c r="O541" s="19"/>
      <c r="R541" s="19"/>
      <c r="S541" s="19"/>
    </row>
    <row r="542" spans="1:21" x14ac:dyDescent="0.25">
      <c r="A542" s="18"/>
      <c r="B542" s="18"/>
      <c r="C542" s="18"/>
      <c r="D542" s="20"/>
      <c r="E542" s="20"/>
      <c r="F542" s="20"/>
      <c r="G542" s="20"/>
      <c r="J542" s="20"/>
      <c r="K542" s="20"/>
      <c r="N542" s="20"/>
      <c r="O542" s="20"/>
      <c r="R542" s="20"/>
      <c r="S542" s="20"/>
    </row>
    <row r="543" spans="1:21" x14ac:dyDescent="0.25">
      <c r="A543" s="18"/>
      <c r="B543" s="18"/>
      <c r="C543" s="18"/>
      <c r="D543" s="21"/>
      <c r="G543" s="21"/>
    </row>
    <row r="544" spans="1:21" x14ac:dyDescent="0.25">
      <c r="A544" s="10"/>
      <c r="B544" s="10"/>
      <c r="C544" s="11"/>
    </row>
    <row r="545" spans="1:3" x14ac:dyDescent="0.25">
      <c r="A545" s="10"/>
      <c r="B545" s="10"/>
      <c r="C545" s="11"/>
    </row>
    <row r="546" spans="1:3" x14ac:dyDescent="0.25">
      <c r="A546" s="10"/>
      <c r="B546" s="10"/>
      <c r="C546" s="11"/>
    </row>
    <row r="547" spans="1:3" x14ac:dyDescent="0.25">
      <c r="A547" s="10"/>
      <c r="B547" s="10"/>
      <c r="C547" s="11"/>
    </row>
    <row r="548" spans="1:3" x14ac:dyDescent="0.25">
      <c r="A548" s="10"/>
      <c r="B548" s="10"/>
      <c r="C548" s="11"/>
    </row>
    <row r="549" spans="1:3" x14ac:dyDescent="0.25">
      <c r="A549" s="10"/>
      <c r="B549" s="10"/>
      <c r="C549" s="11"/>
    </row>
    <row r="550" spans="1:3" x14ac:dyDescent="0.25">
      <c r="A550" s="10"/>
      <c r="B550" s="10"/>
      <c r="C550" s="11"/>
    </row>
    <row r="551" spans="1:3" x14ac:dyDescent="0.25">
      <c r="A551" s="10"/>
      <c r="B551" s="10"/>
      <c r="C551" s="11"/>
    </row>
    <row r="552" spans="1:3" x14ac:dyDescent="0.25">
      <c r="A552" s="10"/>
      <c r="B552" s="10"/>
      <c r="C552" s="11"/>
    </row>
    <row r="553" spans="1:3" x14ac:dyDescent="0.25">
      <c r="A553" s="10"/>
      <c r="B553" s="10"/>
      <c r="C553" s="11"/>
    </row>
    <row r="554" spans="1:3" x14ac:dyDescent="0.25">
      <c r="A554" s="10"/>
      <c r="B554" s="10"/>
      <c r="C554" s="11"/>
    </row>
    <row r="555" spans="1:3" x14ac:dyDescent="0.25">
      <c r="A555" s="10"/>
      <c r="B555" s="10"/>
      <c r="C555" s="11"/>
    </row>
    <row r="556" spans="1:3" x14ac:dyDescent="0.25">
      <c r="A556" s="10"/>
      <c r="B556" s="10"/>
      <c r="C556" s="11"/>
    </row>
    <row r="557" spans="1:3" x14ac:dyDescent="0.25">
      <c r="A557" s="10"/>
      <c r="B557" s="10"/>
      <c r="C557" s="11"/>
    </row>
    <row r="558" spans="1:3" x14ac:dyDescent="0.25">
      <c r="A558" s="10"/>
      <c r="B558" s="10"/>
      <c r="C558" s="11"/>
    </row>
    <row r="559" spans="1:3" x14ac:dyDescent="0.25">
      <c r="A559" s="10"/>
      <c r="B559" s="10"/>
      <c r="C559" s="11"/>
    </row>
    <row r="560" spans="1:3" x14ac:dyDescent="0.25">
      <c r="A560" s="10"/>
      <c r="B560" s="10"/>
      <c r="C560" s="11"/>
    </row>
    <row r="561" spans="1:3" x14ac:dyDescent="0.25">
      <c r="A561" s="10"/>
      <c r="B561" s="10"/>
      <c r="C561" s="11"/>
    </row>
    <row r="562" spans="1:3" x14ac:dyDescent="0.25">
      <c r="A562" s="10"/>
      <c r="B562" s="10"/>
      <c r="C562" s="11"/>
    </row>
    <row r="563" spans="1:3" x14ac:dyDescent="0.25">
      <c r="A563" s="10"/>
      <c r="B563" s="10"/>
      <c r="C563" s="11"/>
    </row>
    <row r="564" spans="1:3" x14ac:dyDescent="0.25">
      <c r="A564" s="10"/>
      <c r="B564" s="10"/>
      <c r="C564" s="11"/>
    </row>
    <row r="565" spans="1:3" x14ac:dyDescent="0.25">
      <c r="A565" s="10"/>
      <c r="B565" s="10"/>
      <c r="C565" s="11"/>
    </row>
    <row r="566" spans="1:3" x14ac:dyDescent="0.25">
      <c r="A566" s="10"/>
      <c r="B566" s="10"/>
      <c r="C566" s="11"/>
    </row>
    <row r="567" spans="1:3" x14ac:dyDescent="0.25">
      <c r="A567" s="10"/>
      <c r="B567" s="10"/>
      <c r="C567" s="11"/>
    </row>
    <row r="568" spans="1:3" x14ac:dyDescent="0.25">
      <c r="A568" s="10"/>
      <c r="B568" s="10"/>
      <c r="C568" s="11"/>
    </row>
    <row r="569" spans="1:3" x14ac:dyDescent="0.25">
      <c r="A569" s="10"/>
      <c r="B569" s="10"/>
      <c r="C569" s="11"/>
    </row>
    <row r="570" spans="1:3" x14ac:dyDescent="0.25">
      <c r="A570" s="10"/>
      <c r="B570" s="10"/>
      <c r="C570" s="11"/>
    </row>
    <row r="571" spans="1:3" x14ac:dyDescent="0.25">
      <c r="A571" s="10"/>
      <c r="B571" s="10"/>
      <c r="C571" s="11"/>
    </row>
    <row r="572" spans="1:3" x14ac:dyDescent="0.25">
      <c r="A572" s="10"/>
      <c r="B572" s="10"/>
      <c r="C572" s="11"/>
    </row>
    <row r="573" spans="1:3" x14ac:dyDescent="0.25">
      <c r="A573" s="10"/>
      <c r="B573" s="10"/>
      <c r="C573" s="11"/>
    </row>
    <row r="574" spans="1:3" x14ac:dyDescent="0.25">
      <c r="A574" s="10"/>
      <c r="B574" s="10"/>
      <c r="C574" s="11"/>
    </row>
    <row r="575" spans="1:3" x14ac:dyDescent="0.25">
      <c r="A575" s="10"/>
      <c r="B575" s="10"/>
      <c r="C575" s="11"/>
    </row>
    <row r="576" spans="1:3" x14ac:dyDescent="0.25">
      <c r="A576" s="10"/>
      <c r="B576" s="10"/>
      <c r="C576" s="11"/>
    </row>
    <row r="577" spans="1:3" x14ac:dyDescent="0.25">
      <c r="A577" s="10"/>
      <c r="B577" s="10"/>
      <c r="C577" s="11"/>
    </row>
    <row r="578" spans="1:3" x14ac:dyDescent="0.25">
      <c r="A578" s="10"/>
      <c r="B578" s="10"/>
      <c r="C578" s="11"/>
    </row>
    <row r="579" spans="1:3" x14ac:dyDescent="0.25">
      <c r="A579" s="10"/>
      <c r="B579" s="10"/>
      <c r="C579" s="11"/>
    </row>
    <row r="580" spans="1:3" x14ac:dyDescent="0.25">
      <c r="A580" s="10"/>
      <c r="B580" s="10"/>
      <c r="C580" s="11"/>
    </row>
    <row r="581" spans="1:3" x14ac:dyDescent="0.25">
      <c r="A581" s="10"/>
      <c r="B581" s="10"/>
      <c r="C581" s="11"/>
    </row>
    <row r="582" spans="1:3" x14ac:dyDescent="0.25">
      <c r="A582" s="10"/>
      <c r="B582" s="10"/>
      <c r="C582" s="11"/>
    </row>
    <row r="583" spans="1:3" x14ac:dyDescent="0.25">
      <c r="A583" s="10"/>
      <c r="B583" s="10"/>
      <c r="C583" s="11"/>
    </row>
    <row r="584" spans="1:3" x14ac:dyDescent="0.25">
      <c r="A584" s="10"/>
      <c r="B584" s="10"/>
      <c r="C584" s="11"/>
    </row>
    <row r="585" spans="1:3" x14ac:dyDescent="0.25">
      <c r="A585" s="10"/>
      <c r="B585" s="10"/>
      <c r="C585" s="11"/>
    </row>
    <row r="586" spans="1:3" x14ac:dyDescent="0.25">
      <c r="A586" s="10"/>
      <c r="B586" s="10"/>
      <c r="C586" s="11"/>
    </row>
    <row r="587" spans="1:3" x14ac:dyDescent="0.25">
      <c r="A587" s="10"/>
      <c r="B587" s="10"/>
      <c r="C587" s="11"/>
    </row>
    <row r="588" spans="1:3" x14ac:dyDescent="0.25">
      <c r="A588" s="10"/>
      <c r="B588" s="10"/>
      <c r="C588" s="11"/>
    </row>
    <row r="589" spans="1:3" x14ac:dyDescent="0.25">
      <c r="A589" s="10"/>
      <c r="B589" s="10"/>
      <c r="C589" s="11"/>
    </row>
    <row r="590" spans="1:3" x14ac:dyDescent="0.25">
      <c r="A590" s="10"/>
      <c r="B590" s="10"/>
      <c r="C590" s="11"/>
    </row>
    <row r="591" spans="1:3" x14ac:dyDescent="0.25">
      <c r="A591" s="10"/>
      <c r="B591" s="10"/>
      <c r="C591" s="11"/>
    </row>
    <row r="592" spans="1:3" x14ac:dyDescent="0.25">
      <c r="A592" s="10"/>
      <c r="B592" s="10"/>
      <c r="C592" s="11"/>
    </row>
    <row r="593" spans="1:3" x14ac:dyDescent="0.25">
      <c r="A593" s="10"/>
      <c r="B593" s="10"/>
      <c r="C593" s="11"/>
    </row>
    <row r="594" spans="1:3" x14ac:dyDescent="0.25">
      <c r="A594" s="10"/>
      <c r="B594" s="10"/>
      <c r="C594" s="11"/>
    </row>
    <row r="595" spans="1:3" x14ac:dyDescent="0.25">
      <c r="A595" s="10"/>
      <c r="B595" s="10"/>
      <c r="C595" s="11"/>
    </row>
    <row r="596" spans="1:3" x14ac:dyDescent="0.25">
      <c r="A596" s="10"/>
      <c r="B596" s="10"/>
      <c r="C596" s="11"/>
    </row>
    <row r="597" spans="1:3" x14ac:dyDescent="0.25">
      <c r="A597" s="10"/>
      <c r="B597" s="10"/>
      <c r="C597" s="11"/>
    </row>
    <row r="598" spans="1:3" x14ac:dyDescent="0.25">
      <c r="A598" s="10"/>
      <c r="B598" s="10"/>
      <c r="C598" s="11"/>
    </row>
    <row r="599" spans="1:3" x14ac:dyDescent="0.25">
      <c r="A599" s="10"/>
      <c r="B599" s="10"/>
      <c r="C599" s="11"/>
    </row>
    <row r="600" spans="1:3" x14ac:dyDescent="0.25">
      <c r="A600" s="10"/>
      <c r="B600" s="10"/>
      <c r="C600" s="11"/>
    </row>
    <row r="601" spans="1:3" x14ac:dyDescent="0.25">
      <c r="A601" s="10"/>
      <c r="B601" s="10"/>
      <c r="C601" s="11"/>
    </row>
    <row r="602" spans="1:3" x14ac:dyDescent="0.25">
      <c r="A602" s="10"/>
      <c r="B602" s="10"/>
      <c r="C602" s="11"/>
    </row>
    <row r="603" spans="1:3" x14ac:dyDescent="0.25">
      <c r="A603" s="10"/>
      <c r="B603" s="10"/>
      <c r="C603" s="11"/>
    </row>
    <row r="604" spans="1:3" x14ac:dyDescent="0.25">
      <c r="A604" s="10"/>
      <c r="B604" s="10"/>
      <c r="C604" s="11"/>
    </row>
    <row r="605" spans="1:3" x14ac:dyDescent="0.25">
      <c r="A605" s="10"/>
      <c r="B605" s="10"/>
      <c r="C605" s="11"/>
    </row>
    <row r="606" spans="1:3" x14ac:dyDescent="0.25">
      <c r="A606" s="10"/>
      <c r="B606" s="10"/>
      <c r="C606" s="11"/>
    </row>
    <row r="607" spans="1:3" x14ac:dyDescent="0.25">
      <c r="A607" s="10"/>
      <c r="B607" s="10"/>
      <c r="C607" s="11"/>
    </row>
    <row r="608" spans="1:3" x14ac:dyDescent="0.25">
      <c r="A608" s="10"/>
      <c r="B608" s="10"/>
      <c r="C608" s="11"/>
    </row>
    <row r="609" spans="1:3" x14ac:dyDescent="0.25">
      <c r="A609" s="10"/>
      <c r="B609" s="10"/>
      <c r="C609" s="11"/>
    </row>
    <row r="610" spans="1:3" x14ac:dyDescent="0.25">
      <c r="A610" s="10"/>
      <c r="B610" s="10"/>
      <c r="C610" s="11"/>
    </row>
    <row r="611" spans="1:3" x14ac:dyDescent="0.25">
      <c r="A611" s="10"/>
      <c r="B611" s="10"/>
      <c r="C611" s="11"/>
    </row>
    <row r="612" spans="1:3" x14ac:dyDescent="0.25">
      <c r="A612" s="10"/>
      <c r="B612" s="10"/>
      <c r="C612" s="11"/>
    </row>
    <row r="613" spans="1:3" x14ac:dyDescent="0.25">
      <c r="A613" s="10"/>
      <c r="B613" s="10"/>
      <c r="C613" s="11"/>
    </row>
    <row r="614" spans="1:3" x14ac:dyDescent="0.25">
      <c r="A614" s="10"/>
      <c r="B614" s="10"/>
      <c r="C614" s="11"/>
    </row>
    <row r="615" spans="1:3" x14ac:dyDescent="0.25">
      <c r="A615" s="10"/>
      <c r="B615" s="10"/>
      <c r="C615" s="11"/>
    </row>
    <row r="616" spans="1:3" x14ac:dyDescent="0.25">
      <c r="A616" s="10"/>
      <c r="B616" s="10"/>
      <c r="C616" s="11"/>
    </row>
    <row r="617" spans="1:3" x14ac:dyDescent="0.25">
      <c r="A617" s="10"/>
      <c r="B617" s="10"/>
      <c r="C617" s="11"/>
    </row>
    <row r="618" spans="1:3" x14ac:dyDescent="0.25">
      <c r="A618" s="10"/>
      <c r="B618" s="10"/>
      <c r="C618" s="11"/>
    </row>
    <row r="619" spans="1:3" x14ac:dyDescent="0.25">
      <c r="A619" s="10"/>
      <c r="B619" s="10"/>
      <c r="C619" s="11"/>
    </row>
    <row r="620" spans="1:3" x14ac:dyDescent="0.25">
      <c r="A620" s="10"/>
      <c r="B620" s="10"/>
      <c r="C620" s="11"/>
    </row>
    <row r="621" spans="1:3" x14ac:dyDescent="0.25">
      <c r="A621" s="10"/>
      <c r="B621" s="10"/>
      <c r="C621" s="11"/>
    </row>
    <row r="622" spans="1:3" x14ac:dyDescent="0.25">
      <c r="A622" s="10"/>
      <c r="B622" s="10"/>
      <c r="C622" s="11"/>
    </row>
    <row r="623" spans="1:3" x14ac:dyDescent="0.25">
      <c r="A623" s="10"/>
      <c r="B623" s="10"/>
      <c r="C623" s="11"/>
    </row>
    <row r="624" spans="1:3" x14ac:dyDescent="0.25">
      <c r="A624" s="10"/>
      <c r="B624" s="10"/>
      <c r="C624" s="11"/>
    </row>
    <row r="625" spans="1:3" x14ac:dyDescent="0.25">
      <c r="A625" s="10"/>
      <c r="B625" s="10"/>
      <c r="C625" s="11"/>
    </row>
    <row r="626" spans="1:3" x14ac:dyDescent="0.25">
      <c r="A626" s="10"/>
      <c r="B626" s="10"/>
      <c r="C626" s="11"/>
    </row>
    <row r="627" spans="1:3" x14ac:dyDescent="0.25">
      <c r="A627" s="10"/>
      <c r="B627" s="10"/>
      <c r="C627" s="11"/>
    </row>
    <row r="628" spans="1:3" x14ac:dyDescent="0.25">
      <c r="A628" s="10"/>
      <c r="B628" s="10"/>
      <c r="C628" s="11"/>
    </row>
    <row r="629" spans="1:3" x14ac:dyDescent="0.25">
      <c r="A629" s="10"/>
      <c r="B629" s="10"/>
      <c r="C629" s="11"/>
    </row>
    <row r="630" spans="1:3" x14ac:dyDescent="0.25">
      <c r="A630" s="10"/>
      <c r="B630" s="10"/>
      <c r="C630" s="11"/>
    </row>
    <row r="631" spans="1:3" x14ac:dyDescent="0.25">
      <c r="A631" s="10"/>
      <c r="B631" s="10"/>
      <c r="C631" s="11"/>
    </row>
    <row r="632" spans="1:3" x14ac:dyDescent="0.25">
      <c r="A632" s="10"/>
      <c r="B632" s="10"/>
      <c r="C632" s="11"/>
    </row>
    <row r="633" spans="1:3" x14ac:dyDescent="0.25">
      <c r="A633" s="10"/>
      <c r="B633" s="10"/>
      <c r="C633" s="11"/>
    </row>
    <row r="634" spans="1:3" x14ac:dyDescent="0.25">
      <c r="A634" s="10"/>
      <c r="B634" s="10"/>
      <c r="C634" s="11"/>
    </row>
    <row r="635" spans="1:3" x14ac:dyDescent="0.25">
      <c r="A635" s="10"/>
      <c r="B635" s="10"/>
      <c r="C635" s="11"/>
    </row>
    <row r="636" spans="1:3" x14ac:dyDescent="0.25">
      <c r="A636" s="10"/>
      <c r="B636" s="10"/>
      <c r="C636" s="11"/>
    </row>
    <row r="637" spans="1:3" x14ac:dyDescent="0.25">
      <c r="A637" s="10"/>
      <c r="B637" s="10"/>
      <c r="C637" s="11"/>
    </row>
    <row r="638" spans="1:3" x14ac:dyDescent="0.25">
      <c r="A638" s="10"/>
      <c r="B638" s="10"/>
      <c r="C638" s="11"/>
    </row>
    <row r="639" spans="1:3" x14ac:dyDescent="0.25">
      <c r="A639" s="10"/>
      <c r="B639" s="10"/>
      <c r="C639" s="11"/>
    </row>
    <row r="640" spans="1:3" x14ac:dyDescent="0.25">
      <c r="A640" s="10"/>
      <c r="B640" s="10"/>
      <c r="C640" s="11"/>
    </row>
    <row r="641" spans="1:3" x14ac:dyDescent="0.25">
      <c r="A641" s="10"/>
      <c r="B641" s="10"/>
      <c r="C641" s="11"/>
    </row>
    <row r="642" spans="1:3" x14ac:dyDescent="0.25">
      <c r="A642" s="10"/>
      <c r="B642" s="10"/>
      <c r="C642" s="11"/>
    </row>
    <row r="643" spans="1:3" x14ac:dyDescent="0.25">
      <c r="A643" s="10"/>
      <c r="B643" s="10"/>
      <c r="C643" s="11"/>
    </row>
    <row r="644" spans="1:3" x14ac:dyDescent="0.25">
      <c r="A644" s="10"/>
      <c r="B644" s="10"/>
      <c r="C644" s="11"/>
    </row>
    <row r="645" spans="1:3" x14ac:dyDescent="0.25">
      <c r="A645" s="10"/>
      <c r="B645" s="10"/>
      <c r="C645" s="11"/>
    </row>
    <row r="646" spans="1:3" x14ac:dyDescent="0.25">
      <c r="A646" s="10"/>
      <c r="B646" s="10"/>
      <c r="C646" s="11"/>
    </row>
    <row r="647" spans="1:3" x14ac:dyDescent="0.25">
      <c r="A647" s="10"/>
      <c r="B647" s="10"/>
      <c r="C647" s="11"/>
    </row>
    <row r="648" spans="1:3" x14ac:dyDescent="0.25">
      <c r="A648" s="10"/>
      <c r="B648" s="10"/>
      <c r="C648" s="11"/>
    </row>
    <row r="649" spans="1:3" x14ac:dyDescent="0.25">
      <c r="A649" s="10"/>
      <c r="B649" s="10"/>
      <c r="C649" s="11"/>
    </row>
    <row r="650" spans="1:3" x14ac:dyDescent="0.25">
      <c r="A650" s="10"/>
      <c r="B650" s="10"/>
      <c r="C650" s="11"/>
    </row>
    <row r="651" spans="1:3" x14ac:dyDescent="0.25">
      <c r="A651" s="10"/>
      <c r="B651" s="10"/>
      <c r="C651" s="11"/>
    </row>
    <row r="652" spans="1:3" x14ac:dyDescent="0.25">
      <c r="A652" s="10"/>
      <c r="B652" s="10"/>
      <c r="C652" s="11"/>
    </row>
    <row r="653" spans="1:3" x14ac:dyDescent="0.25">
      <c r="A653" s="10"/>
      <c r="B653" s="10"/>
      <c r="C653" s="11"/>
    </row>
    <row r="654" spans="1:3" x14ac:dyDescent="0.25">
      <c r="A654" s="10"/>
      <c r="B654" s="10"/>
      <c r="C654" s="11"/>
    </row>
    <row r="655" spans="1:3" x14ac:dyDescent="0.25">
      <c r="A655" s="10"/>
      <c r="B655" s="10"/>
      <c r="C655" s="11"/>
    </row>
    <row r="656" spans="1:3" x14ac:dyDescent="0.25">
      <c r="A656" s="10"/>
      <c r="B656" s="10"/>
      <c r="C656" s="11"/>
    </row>
    <row r="657" spans="1:3" x14ac:dyDescent="0.25">
      <c r="A657" s="10"/>
      <c r="B657" s="10"/>
      <c r="C657" s="11"/>
    </row>
    <row r="658" spans="1:3" x14ac:dyDescent="0.25">
      <c r="A658" s="10"/>
      <c r="B658" s="10"/>
      <c r="C658" s="11"/>
    </row>
    <row r="659" spans="1:3" x14ac:dyDescent="0.25">
      <c r="A659" s="10"/>
      <c r="B659" s="10"/>
      <c r="C659" s="11"/>
    </row>
    <row r="660" spans="1:3" x14ac:dyDescent="0.25">
      <c r="A660" s="10"/>
      <c r="B660" s="10"/>
      <c r="C660" s="11"/>
    </row>
    <row r="661" spans="1:3" x14ac:dyDescent="0.25">
      <c r="A661" s="10"/>
      <c r="B661" s="10"/>
      <c r="C661" s="11"/>
    </row>
    <row r="662" spans="1:3" x14ac:dyDescent="0.25">
      <c r="A662" s="10"/>
      <c r="B662" s="10"/>
      <c r="C662" s="11"/>
    </row>
    <row r="663" spans="1:3" x14ac:dyDescent="0.25">
      <c r="A663" s="10"/>
      <c r="B663" s="10"/>
      <c r="C663" s="11"/>
    </row>
    <row r="664" spans="1:3" x14ac:dyDescent="0.25">
      <c r="A664" s="10"/>
      <c r="B664" s="10"/>
      <c r="C664" s="11"/>
    </row>
    <row r="665" spans="1:3" x14ac:dyDescent="0.25">
      <c r="A665" s="10"/>
      <c r="B665" s="10"/>
      <c r="C665" s="11"/>
    </row>
    <row r="666" spans="1:3" x14ac:dyDescent="0.25">
      <c r="A666" s="10"/>
      <c r="B666" s="10"/>
      <c r="C666" s="11"/>
    </row>
    <row r="667" spans="1:3" x14ac:dyDescent="0.25">
      <c r="A667" s="10"/>
      <c r="B667" s="10"/>
      <c r="C667" s="11"/>
    </row>
    <row r="668" spans="1:3" x14ac:dyDescent="0.25">
      <c r="A668" s="10"/>
      <c r="B668" s="10"/>
      <c r="C668" s="11"/>
    </row>
    <row r="669" spans="1:3" x14ac:dyDescent="0.25">
      <c r="A669" s="10"/>
      <c r="B669" s="10"/>
      <c r="C669" s="11"/>
    </row>
    <row r="670" spans="1:3" x14ac:dyDescent="0.25">
      <c r="A670" s="10"/>
      <c r="B670" s="10"/>
      <c r="C670" s="11"/>
    </row>
    <row r="671" spans="1:3" x14ac:dyDescent="0.25">
      <c r="A671" s="10"/>
      <c r="B671" s="10"/>
      <c r="C671" s="11"/>
    </row>
    <row r="672" spans="1:3" x14ac:dyDescent="0.25">
      <c r="A672" s="10"/>
      <c r="B672" s="10"/>
      <c r="C672" s="11"/>
    </row>
    <row r="673" spans="1:3" x14ac:dyDescent="0.25">
      <c r="A673" s="10"/>
      <c r="B673" s="10"/>
      <c r="C673" s="11"/>
    </row>
    <row r="674" spans="1:3" x14ac:dyDescent="0.25">
      <c r="A674" s="10"/>
      <c r="B674" s="10"/>
      <c r="C674" s="11"/>
    </row>
    <row r="675" spans="1:3" x14ac:dyDescent="0.25">
      <c r="A675" s="10"/>
      <c r="B675" s="10"/>
      <c r="C675" s="11"/>
    </row>
    <row r="676" spans="1:3" x14ac:dyDescent="0.25">
      <c r="A676" s="10"/>
      <c r="B676" s="10"/>
      <c r="C676" s="11"/>
    </row>
    <row r="677" spans="1:3" x14ac:dyDescent="0.25">
      <c r="A677" s="10"/>
      <c r="B677" s="10"/>
      <c r="C677" s="11"/>
    </row>
    <row r="678" spans="1:3" x14ac:dyDescent="0.25">
      <c r="A678" s="10"/>
      <c r="B678" s="10"/>
      <c r="C678" s="11"/>
    </row>
    <row r="679" spans="1:3" x14ac:dyDescent="0.25">
      <c r="A679" s="10"/>
      <c r="B679" s="10"/>
      <c r="C679" s="11"/>
    </row>
    <row r="680" spans="1:3" x14ac:dyDescent="0.25">
      <c r="A680" s="10"/>
      <c r="B680" s="10"/>
      <c r="C680" s="11"/>
    </row>
    <row r="681" spans="1:3" x14ac:dyDescent="0.25">
      <c r="A681" s="10"/>
      <c r="B681" s="10"/>
      <c r="C681" s="11"/>
    </row>
    <row r="682" spans="1:3" x14ac:dyDescent="0.25">
      <c r="A682" s="10"/>
      <c r="B682" s="10"/>
      <c r="C682" s="11"/>
    </row>
    <row r="683" spans="1:3" x14ac:dyDescent="0.25">
      <c r="A683" s="10"/>
      <c r="B683" s="10"/>
      <c r="C683" s="11"/>
    </row>
    <row r="684" spans="1:3" x14ac:dyDescent="0.25">
      <c r="A684" s="10"/>
      <c r="B684" s="10"/>
      <c r="C684" s="11"/>
    </row>
    <row r="685" spans="1:3" x14ac:dyDescent="0.25">
      <c r="A685" s="10"/>
      <c r="B685" s="10"/>
      <c r="C685" s="11"/>
    </row>
    <row r="686" spans="1:3" x14ac:dyDescent="0.25">
      <c r="A686" s="10"/>
      <c r="B686" s="10"/>
      <c r="C686" s="11"/>
    </row>
    <row r="687" spans="1:3" x14ac:dyDescent="0.25">
      <c r="A687" s="10"/>
      <c r="B687" s="10"/>
      <c r="C687" s="11"/>
    </row>
    <row r="688" spans="1:3" x14ac:dyDescent="0.25">
      <c r="A688" s="10"/>
      <c r="B688" s="10"/>
      <c r="C688" s="11"/>
    </row>
    <row r="689" spans="1:3" x14ac:dyDescent="0.25">
      <c r="A689" s="10"/>
      <c r="B689" s="10"/>
      <c r="C689" s="11"/>
    </row>
    <row r="690" spans="1:3" x14ac:dyDescent="0.25">
      <c r="A690" s="10"/>
      <c r="B690" s="10"/>
      <c r="C690" s="11"/>
    </row>
    <row r="691" spans="1:3" x14ac:dyDescent="0.25">
      <c r="A691" s="10"/>
      <c r="B691" s="10"/>
      <c r="C691" s="11"/>
    </row>
    <row r="692" spans="1:3" x14ac:dyDescent="0.25">
      <c r="A692" s="10"/>
      <c r="B692" s="10"/>
      <c r="C692" s="11"/>
    </row>
    <row r="693" spans="1:3" x14ac:dyDescent="0.25">
      <c r="A693" s="10"/>
      <c r="B693" s="10"/>
      <c r="C693" s="11"/>
    </row>
    <row r="694" spans="1:3" x14ac:dyDescent="0.25">
      <c r="A694" s="10"/>
      <c r="B694" s="10"/>
      <c r="C694" s="11"/>
    </row>
    <row r="695" spans="1:3" x14ac:dyDescent="0.25">
      <c r="A695" s="10"/>
      <c r="B695" s="10"/>
      <c r="C695" s="11"/>
    </row>
    <row r="696" spans="1:3" x14ac:dyDescent="0.25">
      <c r="A696" s="10"/>
      <c r="B696" s="10"/>
      <c r="C696" s="11"/>
    </row>
    <row r="697" spans="1:3" x14ac:dyDescent="0.25">
      <c r="A697" s="10"/>
      <c r="B697" s="10"/>
      <c r="C697" s="11"/>
    </row>
    <row r="698" spans="1:3" x14ac:dyDescent="0.25">
      <c r="A698" s="10"/>
      <c r="B698" s="10"/>
      <c r="C698" s="11"/>
    </row>
    <row r="699" spans="1:3" x14ac:dyDescent="0.25">
      <c r="A699" s="10"/>
      <c r="B699" s="10"/>
      <c r="C699" s="11"/>
    </row>
    <row r="700" spans="1:3" x14ac:dyDescent="0.25">
      <c r="A700" s="10"/>
      <c r="B700" s="10"/>
      <c r="C700" s="11"/>
    </row>
    <row r="701" spans="1:3" x14ac:dyDescent="0.25">
      <c r="A701" s="10"/>
      <c r="B701" s="10"/>
      <c r="C701" s="11"/>
    </row>
    <row r="702" spans="1:3" x14ac:dyDescent="0.25">
      <c r="A702" s="10"/>
      <c r="B702" s="10"/>
      <c r="C702" s="11"/>
    </row>
    <row r="703" spans="1:3" x14ac:dyDescent="0.25">
      <c r="A703" s="10"/>
      <c r="B703" s="10"/>
      <c r="C703" s="11"/>
    </row>
    <row r="704" spans="1:3" x14ac:dyDescent="0.25">
      <c r="A704" s="10"/>
      <c r="B704" s="10"/>
      <c r="C704" s="11"/>
    </row>
    <row r="705" spans="1:3" x14ac:dyDescent="0.25">
      <c r="A705" s="10"/>
      <c r="B705" s="10"/>
      <c r="C705" s="11"/>
    </row>
    <row r="706" spans="1:3" x14ac:dyDescent="0.25">
      <c r="A706" s="10"/>
      <c r="B706" s="10"/>
      <c r="C706" s="11"/>
    </row>
    <row r="707" spans="1:3" x14ac:dyDescent="0.25">
      <c r="A707" s="10"/>
      <c r="B707" s="10"/>
      <c r="C707" s="11"/>
    </row>
    <row r="708" spans="1:3" x14ac:dyDescent="0.25">
      <c r="A708" s="10"/>
      <c r="B708" s="10"/>
      <c r="C708" s="11"/>
    </row>
    <row r="709" spans="1:3" x14ac:dyDescent="0.25">
      <c r="A709" s="10"/>
      <c r="B709" s="10"/>
      <c r="C709" s="11"/>
    </row>
    <row r="710" spans="1:3" x14ac:dyDescent="0.25">
      <c r="A710" s="10"/>
      <c r="B710" s="10"/>
      <c r="C710" s="11"/>
    </row>
    <row r="711" spans="1:3" x14ac:dyDescent="0.25">
      <c r="A711" s="10"/>
      <c r="B711" s="10"/>
      <c r="C711" s="11"/>
    </row>
    <row r="712" spans="1:3" x14ac:dyDescent="0.25">
      <c r="A712" s="10"/>
      <c r="B712" s="10"/>
      <c r="C712" s="11"/>
    </row>
    <row r="713" spans="1:3" x14ac:dyDescent="0.25">
      <c r="A713" s="10"/>
      <c r="B713" s="10"/>
      <c r="C713" s="11"/>
    </row>
    <row r="714" spans="1:3" x14ac:dyDescent="0.25">
      <c r="A714" s="10"/>
      <c r="B714" s="10"/>
      <c r="C714" s="11"/>
    </row>
    <row r="715" spans="1:3" x14ac:dyDescent="0.25">
      <c r="A715" s="10"/>
      <c r="B715" s="10"/>
      <c r="C715" s="11"/>
    </row>
    <row r="716" spans="1:3" x14ac:dyDescent="0.25">
      <c r="A716" s="10"/>
      <c r="B716" s="10"/>
      <c r="C716" s="11"/>
    </row>
    <row r="717" spans="1:3" x14ac:dyDescent="0.25">
      <c r="A717" s="10"/>
      <c r="B717" s="10"/>
      <c r="C717" s="11"/>
    </row>
    <row r="718" spans="1:3" x14ac:dyDescent="0.25">
      <c r="A718" s="10"/>
      <c r="B718" s="10"/>
      <c r="C718" s="11"/>
    </row>
    <row r="719" spans="1:3" x14ac:dyDescent="0.25">
      <c r="A719" s="10"/>
      <c r="B719" s="10"/>
      <c r="C719" s="11"/>
    </row>
    <row r="720" spans="1:3" x14ac:dyDescent="0.25">
      <c r="A720" s="10"/>
      <c r="B720" s="10"/>
      <c r="C720" s="11"/>
    </row>
    <row r="721" spans="1:3" x14ac:dyDescent="0.25">
      <c r="A721" s="10"/>
      <c r="B721" s="10"/>
      <c r="C721" s="11"/>
    </row>
    <row r="722" spans="1:3" x14ac:dyDescent="0.25">
      <c r="A722" s="10"/>
      <c r="B722" s="10"/>
      <c r="C722" s="11"/>
    </row>
    <row r="723" spans="1:3" x14ac:dyDescent="0.25">
      <c r="A723" s="10"/>
      <c r="B723" s="10"/>
      <c r="C723" s="11"/>
    </row>
    <row r="724" spans="1:3" x14ac:dyDescent="0.25">
      <c r="A724" s="10"/>
      <c r="B724" s="10"/>
      <c r="C724" s="11"/>
    </row>
    <row r="725" spans="1:3" x14ac:dyDescent="0.25">
      <c r="A725" s="10"/>
      <c r="B725" s="10"/>
      <c r="C725" s="11"/>
    </row>
    <row r="726" spans="1:3" x14ac:dyDescent="0.25">
      <c r="A726" s="10"/>
      <c r="B726" s="10"/>
      <c r="C726" s="11"/>
    </row>
    <row r="727" spans="1:3" x14ac:dyDescent="0.25">
      <c r="A727" s="10"/>
      <c r="B727" s="10"/>
      <c r="C727" s="11"/>
    </row>
    <row r="728" spans="1:3" x14ac:dyDescent="0.25">
      <c r="A728" s="10"/>
      <c r="B728" s="10"/>
      <c r="C728" s="11"/>
    </row>
    <row r="729" spans="1:3" x14ac:dyDescent="0.25">
      <c r="A729" s="10"/>
      <c r="B729" s="10"/>
      <c r="C729" s="11"/>
    </row>
    <row r="730" spans="1:3" x14ac:dyDescent="0.25">
      <c r="A730" s="10"/>
      <c r="B730" s="10"/>
      <c r="C730" s="11"/>
    </row>
    <row r="731" spans="1:3" x14ac:dyDescent="0.25">
      <c r="A731" s="10"/>
      <c r="B731" s="10"/>
      <c r="C731" s="11"/>
    </row>
    <row r="732" spans="1:3" x14ac:dyDescent="0.25">
      <c r="A732" s="10"/>
      <c r="B732" s="10"/>
      <c r="C732" s="11"/>
    </row>
    <row r="733" spans="1:3" x14ac:dyDescent="0.25">
      <c r="A733" s="10"/>
      <c r="B733" s="10"/>
      <c r="C733" s="11"/>
    </row>
    <row r="734" spans="1:3" x14ac:dyDescent="0.25">
      <c r="A734" s="10"/>
      <c r="B734" s="10"/>
      <c r="C734" s="11"/>
    </row>
    <row r="735" spans="1:3" x14ac:dyDescent="0.25">
      <c r="A735" s="10"/>
      <c r="B735" s="10"/>
      <c r="C735" s="11"/>
    </row>
    <row r="736" spans="1:3" x14ac:dyDescent="0.25">
      <c r="A736" s="10"/>
      <c r="B736" s="10"/>
      <c r="C736" s="11"/>
    </row>
    <row r="737" spans="1:3" x14ac:dyDescent="0.25">
      <c r="A737" s="10"/>
      <c r="B737" s="10"/>
      <c r="C737" s="11"/>
    </row>
    <row r="738" spans="1:3" x14ac:dyDescent="0.25">
      <c r="A738" s="10"/>
      <c r="B738" s="10"/>
      <c r="C738" s="11"/>
    </row>
    <row r="739" spans="1:3" x14ac:dyDescent="0.25">
      <c r="A739" s="10"/>
      <c r="B739" s="10"/>
      <c r="C739" s="11"/>
    </row>
    <row r="740" spans="1:3" x14ac:dyDescent="0.25">
      <c r="A740" s="10"/>
      <c r="B740" s="10"/>
      <c r="C740" s="11"/>
    </row>
    <row r="741" spans="1:3" x14ac:dyDescent="0.25">
      <c r="A741" s="10"/>
      <c r="B741" s="10"/>
      <c r="C741" s="11"/>
    </row>
    <row r="742" spans="1:3" x14ac:dyDescent="0.25">
      <c r="A742" s="10"/>
      <c r="B742" s="10"/>
      <c r="C742" s="11"/>
    </row>
    <row r="743" spans="1:3" x14ac:dyDescent="0.25">
      <c r="A743" s="10"/>
      <c r="B743" s="10"/>
      <c r="C743" s="11"/>
    </row>
    <row r="744" spans="1:3" x14ac:dyDescent="0.25">
      <c r="A744" s="10"/>
      <c r="B744" s="10"/>
      <c r="C744" s="11"/>
    </row>
    <row r="745" spans="1:3" x14ac:dyDescent="0.25">
      <c r="A745" s="10"/>
      <c r="B745" s="10"/>
      <c r="C745" s="11"/>
    </row>
    <row r="746" spans="1:3" x14ac:dyDescent="0.25">
      <c r="A746" s="10"/>
      <c r="B746" s="10"/>
      <c r="C746" s="11"/>
    </row>
    <row r="747" spans="1:3" x14ac:dyDescent="0.25">
      <c r="A747" s="10"/>
      <c r="B747" s="10"/>
      <c r="C747" s="11"/>
    </row>
    <row r="748" spans="1:3" x14ac:dyDescent="0.25">
      <c r="A748" s="10"/>
      <c r="B748" s="10"/>
      <c r="C748" s="11"/>
    </row>
    <row r="749" spans="1:3" x14ac:dyDescent="0.25">
      <c r="A749" s="10"/>
      <c r="B749" s="10"/>
      <c r="C749" s="11"/>
    </row>
    <row r="750" spans="1:3" x14ac:dyDescent="0.25">
      <c r="A750" s="10"/>
      <c r="B750" s="10"/>
      <c r="C750" s="11"/>
    </row>
    <row r="751" spans="1:3" x14ac:dyDescent="0.25">
      <c r="A751" s="10"/>
      <c r="B751" s="10"/>
      <c r="C751" s="11"/>
    </row>
    <row r="752" spans="1:3" x14ac:dyDescent="0.25">
      <c r="A752" s="10"/>
      <c r="B752" s="10"/>
      <c r="C752" s="11"/>
    </row>
    <row r="753" spans="1:3" x14ac:dyDescent="0.25">
      <c r="A753" s="10"/>
      <c r="B753" s="10"/>
      <c r="C753" s="11"/>
    </row>
    <row r="754" spans="1:3" x14ac:dyDescent="0.25">
      <c r="A754" s="10"/>
      <c r="B754" s="10"/>
      <c r="C754" s="11"/>
    </row>
    <row r="755" spans="1:3" x14ac:dyDescent="0.25">
      <c r="A755" s="10"/>
      <c r="B755" s="10"/>
      <c r="C755" s="11"/>
    </row>
    <row r="756" spans="1:3" x14ac:dyDescent="0.25">
      <c r="A756" s="10"/>
      <c r="B756" s="10"/>
      <c r="C756" s="11"/>
    </row>
    <row r="757" spans="1:3" x14ac:dyDescent="0.25">
      <c r="A757" s="10"/>
      <c r="B757" s="10"/>
      <c r="C757" s="11"/>
    </row>
    <row r="758" spans="1:3" x14ac:dyDescent="0.25">
      <c r="A758" s="10"/>
      <c r="B758" s="10"/>
      <c r="C758" s="11"/>
    </row>
    <row r="759" spans="1:3" x14ac:dyDescent="0.25">
      <c r="A759" s="10"/>
      <c r="B759" s="10"/>
      <c r="C759" s="11"/>
    </row>
    <row r="760" spans="1:3" x14ac:dyDescent="0.25">
      <c r="A760" s="10"/>
      <c r="B760" s="10"/>
      <c r="C760" s="11"/>
    </row>
    <row r="761" spans="1:3" x14ac:dyDescent="0.25">
      <c r="A761" s="10"/>
      <c r="B761" s="10"/>
      <c r="C761" s="11"/>
    </row>
    <row r="762" spans="1:3" x14ac:dyDescent="0.25">
      <c r="A762" s="10"/>
      <c r="B762" s="10"/>
      <c r="C762" s="11"/>
    </row>
    <row r="763" spans="1:3" x14ac:dyDescent="0.25">
      <c r="A763" s="10"/>
      <c r="B763" s="10"/>
      <c r="C763" s="11"/>
    </row>
    <row r="764" spans="1:3" x14ac:dyDescent="0.25">
      <c r="A764" s="10"/>
      <c r="B764" s="10"/>
      <c r="C764" s="11"/>
    </row>
    <row r="765" spans="1:3" x14ac:dyDescent="0.25">
      <c r="A765" s="10"/>
      <c r="B765" s="10"/>
      <c r="C765" s="11"/>
    </row>
    <row r="766" spans="1:3" x14ac:dyDescent="0.25">
      <c r="A766" s="10"/>
      <c r="B766" s="10"/>
      <c r="C766" s="11"/>
    </row>
    <row r="767" spans="1:3" x14ac:dyDescent="0.25">
      <c r="A767" s="10"/>
      <c r="B767" s="10"/>
      <c r="C767" s="11"/>
    </row>
    <row r="768" spans="1:3" x14ac:dyDescent="0.25">
      <c r="A768" s="10"/>
      <c r="B768" s="10"/>
      <c r="C768" s="11"/>
    </row>
    <row r="769" spans="1:3" x14ac:dyDescent="0.25">
      <c r="A769" s="10"/>
      <c r="B769" s="10"/>
      <c r="C769" s="11"/>
    </row>
    <row r="770" spans="1:3" x14ac:dyDescent="0.25">
      <c r="A770" s="10"/>
      <c r="B770" s="10"/>
      <c r="C770" s="11"/>
    </row>
    <row r="771" spans="1:3" x14ac:dyDescent="0.25">
      <c r="A771" s="10"/>
      <c r="B771" s="10"/>
      <c r="C771" s="11"/>
    </row>
    <row r="772" spans="1:3" x14ac:dyDescent="0.25">
      <c r="A772" s="10"/>
      <c r="B772" s="10"/>
      <c r="C772" s="11"/>
    </row>
    <row r="773" spans="1:3" x14ac:dyDescent="0.25">
      <c r="A773" s="10"/>
      <c r="B773" s="10"/>
      <c r="C773" s="11"/>
    </row>
    <row r="774" spans="1:3" x14ac:dyDescent="0.25">
      <c r="A774" s="10"/>
      <c r="B774" s="10"/>
      <c r="C774" s="11"/>
    </row>
    <row r="775" spans="1:3" x14ac:dyDescent="0.25">
      <c r="A775" s="10"/>
      <c r="B775" s="10"/>
      <c r="C775" s="11"/>
    </row>
    <row r="776" spans="1:3" x14ac:dyDescent="0.25">
      <c r="A776" s="10"/>
      <c r="B776" s="10"/>
      <c r="C776" s="11"/>
    </row>
    <row r="777" spans="1:3" x14ac:dyDescent="0.25">
      <c r="A777" s="10"/>
      <c r="B777" s="10"/>
      <c r="C777" s="11"/>
    </row>
    <row r="778" spans="1:3" x14ac:dyDescent="0.25">
      <c r="A778" s="10"/>
      <c r="B778" s="10"/>
      <c r="C778" s="11"/>
    </row>
    <row r="779" spans="1:3" x14ac:dyDescent="0.25">
      <c r="A779" s="10"/>
      <c r="B779" s="10"/>
      <c r="C779" s="11"/>
    </row>
    <row r="780" spans="1:3" x14ac:dyDescent="0.25">
      <c r="A780" s="10"/>
      <c r="B780" s="10"/>
      <c r="C780" s="11"/>
    </row>
    <row r="781" spans="1:3" x14ac:dyDescent="0.25">
      <c r="A781" s="10"/>
      <c r="B781" s="10"/>
      <c r="C781" s="11"/>
    </row>
    <row r="782" spans="1:3" x14ac:dyDescent="0.25">
      <c r="A782" s="10"/>
      <c r="B782" s="10"/>
      <c r="C782" s="11"/>
    </row>
    <row r="783" spans="1:3" x14ac:dyDescent="0.25">
      <c r="A783" s="10"/>
      <c r="B783" s="10"/>
      <c r="C783" s="11"/>
    </row>
    <row r="784" spans="1:3" x14ac:dyDescent="0.25">
      <c r="A784" s="10"/>
      <c r="B784" s="10"/>
      <c r="C784" s="11"/>
    </row>
    <row r="785" spans="1:3" x14ac:dyDescent="0.25">
      <c r="A785" s="10"/>
      <c r="B785" s="10"/>
      <c r="C785" s="11"/>
    </row>
    <row r="786" spans="1:3" x14ac:dyDescent="0.25">
      <c r="A786" s="10"/>
      <c r="B786" s="10"/>
      <c r="C786" s="11"/>
    </row>
    <row r="787" spans="1:3" x14ac:dyDescent="0.25">
      <c r="A787" s="10"/>
      <c r="B787" s="10"/>
      <c r="C787" s="11"/>
    </row>
    <row r="788" spans="1:3" x14ac:dyDescent="0.25">
      <c r="A788" s="10"/>
      <c r="B788" s="10"/>
      <c r="C788" s="11"/>
    </row>
    <row r="789" spans="1:3" x14ac:dyDescent="0.25">
      <c r="A789" s="10"/>
      <c r="B789" s="10"/>
      <c r="C789" s="11"/>
    </row>
    <row r="790" spans="1:3" x14ac:dyDescent="0.25">
      <c r="A790" s="10"/>
      <c r="B790" s="10"/>
      <c r="C790" s="11"/>
    </row>
    <row r="791" spans="1:3" x14ac:dyDescent="0.25">
      <c r="A791" s="10"/>
      <c r="B791" s="10"/>
      <c r="C791" s="11"/>
    </row>
    <row r="792" spans="1:3" x14ac:dyDescent="0.25">
      <c r="A792" s="10"/>
      <c r="B792" s="10"/>
      <c r="C792" s="11"/>
    </row>
    <row r="793" spans="1:3" x14ac:dyDescent="0.25">
      <c r="A793" s="10"/>
      <c r="B793" s="10"/>
      <c r="C793" s="11"/>
    </row>
    <row r="794" spans="1:3" x14ac:dyDescent="0.25">
      <c r="A794" s="10"/>
      <c r="B794" s="10"/>
      <c r="C794" s="11"/>
    </row>
    <row r="795" spans="1:3" x14ac:dyDescent="0.25">
      <c r="A795" s="10"/>
      <c r="B795" s="10"/>
      <c r="C795" s="11"/>
    </row>
    <row r="796" spans="1:3" x14ac:dyDescent="0.25">
      <c r="A796" s="10"/>
      <c r="B796" s="10"/>
      <c r="C796" s="11"/>
    </row>
    <row r="797" spans="1:3" x14ac:dyDescent="0.25">
      <c r="A797" s="10"/>
      <c r="B797" s="10"/>
      <c r="C797" s="11"/>
    </row>
    <row r="798" spans="1:3" x14ac:dyDescent="0.25">
      <c r="A798" s="10"/>
      <c r="B798" s="10"/>
      <c r="C798" s="11"/>
    </row>
    <row r="799" spans="1:3" x14ac:dyDescent="0.25">
      <c r="A799" s="10"/>
      <c r="B799" s="10"/>
      <c r="C799" s="11"/>
    </row>
    <row r="800" spans="1:3" x14ac:dyDescent="0.25">
      <c r="A800" s="10"/>
      <c r="B800" s="10"/>
      <c r="C800" s="11"/>
    </row>
    <row r="801" spans="1:3" x14ac:dyDescent="0.25">
      <c r="A801" s="10"/>
      <c r="B801" s="10"/>
      <c r="C801" s="11"/>
    </row>
    <row r="802" spans="1:3" x14ac:dyDescent="0.25">
      <c r="A802" s="10"/>
      <c r="B802" s="10"/>
      <c r="C802" s="11"/>
    </row>
    <row r="803" spans="1:3" x14ac:dyDescent="0.25">
      <c r="A803" s="10"/>
      <c r="B803" s="10"/>
      <c r="C803" s="11"/>
    </row>
    <row r="804" spans="1:3" x14ac:dyDescent="0.25">
      <c r="A804" s="10"/>
      <c r="B804" s="10"/>
      <c r="C804" s="11"/>
    </row>
    <row r="805" spans="1:3" x14ac:dyDescent="0.25">
      <c r="A805" s="10"/>
      <c r="B805" s="10"/>
      <c r="C805" s="11"/>
    </row>
    <row r="806" spans="1:3" x14ac:dyDescent="0.25">
      <c r="A806" s="10"/>
      <c r="B806" s="10"/>
      <c r="C806" s="11"/>
    </row>
    <row r="807" spans="1:3" x14ac:dyDescent="0.25">
      <c r="A807" s="10"/>
      <c r="B807" s="10"/>
      <c r="C807" s="11"/>
    </row>
    <row r="808" spans="1:3" x14ac:dyDescent="0.25">
      <c r="A808" s="10"/>
      <c r="B808" s="10"/>
      <c r="C808" s="11"/>
    </row>
    <row r="809" spans="1:3" x14ac:dyDescent="0.25">
      <c r="A809" s="10"/>
      <c r="B809" s="10"/>
      <c r="C809" s="11"/>
    </row>
    <row r="810" spans="1:3" x14ac:dyDescent="0.25">
      <c r="A810" s="10"/>
      <c r="B810" s="10"/>
      <c r="C810" s="11"/>
    </row>
    <row r="811" spans="1:3" x14ac:dyDescent="0.25">
      <c r="A811" s="10"/>
      <c r="B811" s="10"/>
      <c r="C811" s="11"/>
    </row>
    <row r="812" spans="1:3" x14ac:dyDescent="0.25">
      <c r="A812" s="10"/>
      <c r="B812" s="10"/>
      <c r="C812" s="11"/>
    </row>
    <row r="813" spans="1:3" x14ac:dyDescent="0.25">
      <c r="A813" s="10"/>
      <c r="B813" s="10"/>
      <c r="C813" s="11"/>
    </row>
    <row r="814" spans="1:3" x14ac:dyDescent="0.25">
      <c r="A814" s="10"/>
      <c r="B814" s="10"/>
      <c r="C814" s="11"/>
    </row>
    <row r="815" spans="1:3" x14ac:dyDescent="0.25">
      <c r="A815" s="10"/>
      <c r="B815" s="10"/>
      <c r="C815" s="11"/>
    </row>
    <row r="816" spans="1:3" x14ac:dyDescent="0.25">
      <c r="A816" s="10"/>
      <c r="B816" s="10"/>
      <c r="C816" s="11"/>
    </row>
    <row r="817" spans="1:3" x14ac:dyDescent="0.25">
      <c r="A817" s="10"/>
      <c r="B817" s="10"/>
      <c r="C817" s="11"/>
    </row>
    <row r="818" spans="1:3" x14ac:dyDescent="0.25">
      <c r="A818" s="10"/>
      <c r="B818" s="10"/>
      <c r="C818" s="11"/>
    </row>
    <row r="819" spans="1:3" x14ac:dyDescent="0.25">
      <c r="A819" s="10"/>
      <c r="B819" s="10"/>
      <c r="C819" s="11"/>
    </row>
    <row r="820" spans="1:3" x14ac:dyDescent="0.25">
      <c r="A820" s="10"/>
      <c r="B820" s="10"/>
      <c r="C820" s="11"/>
    </row>
    <row r="821" spans="1:3" x14ac:dyDescent="0.25">
      <c r="A821" s="10"/>
      <c r="B821" s="10"/>
      <c r="C821" s="11"/>
    </row>
    <row r="822" spans="1:3" x14ac:dyDescent="0.25">
      <c r="A822" s="10"/>
      <c r="B822" s="10"/>
      <c r="C822" s="11"/>
    </row>
    <row r="823" spans="1:3" x14ac:dyDescent="0.25">
      <c r="A823" s="10"/>
      <c r="B823" s="10"/>
      <c r="C823" s="11"/>
    </row>
    <row r="824" spans="1:3" x14ac:dyDescent="0.25">
      <c r="A824" s="10"/>
      <c r="B824" s="10"/>
      <c r="C824" s="11"/>
    </row>
    <row r="825" spans="1:3" x14ac:dyDescent="0.25">
      <c r="A825" s="10"/>
      <c r="B825" s="10"/>
      <c r="C825" s="11"/>
    </row>
    <row r="826" spans="1:3" x14ac:dyDescent="0.25">
      <c r="A826" s="10"/>
      <c r="B826" s="10"/>
      <c r="C826" s="11"/>
    </row>
    <row r="827" spans="1:3" x14ac:dyDescent="0.25">
      <c r="A827" s="10"/>
      <c r="B827" s="10"/>
      <c r="C827" s="11"/>
    </row>
    <row r="828" spans="1:3" x14ac:dyDescent="0.25">
      <c r="A828" s="10"/>
      <c r="B828" s="10"/>
      <c r="C828" s="11"/>
    </row>
    <row r="829" spans="1:3" x14ac:dyDescent="0.25">
      <c r="A829" s="10"/>
      <c r="B829" s="10"/>
      <c r="C829" s="11"/>
    </row>
    <row r="830" spans="1:3" x14ac:dyDescent="0.25">
      <c r="A830" s="10"/>
      <c r="B830" s="10"/>
      <c r="C830" s="11"/>
    </row>
    <row r="831" spans="1:3" x14ac:dyDescent="0.25">
      <c r="A831" s="10"/>
      <c r="B831" s="10"/>
      <c r="C831" s="11"/>
    </row>
    <row r="832" spans="1:3" x14ac:dyDescent="0.25">
      <c r="A832" s="10"/>
      <c r="B832" s="10"/>
      <c r="C832" s="11"/>
    </row>
    <row r="833" spans="1:3" x14ac:dyDescent="0.25">
      <c r="A833" s="10"/>
      <c r="B833" s="10"/>
      <c r="C833" s="11"/>
    </row>
    <row r="834" spans="1:3" x14ac:dyDescent="0.25">
      <c r="A834" s="10"/>
      <c r="B834" s="10"/>
      <c r="C834" s="11"/>
    </row>
    <row r="835" spans="1:3" x14ac:dyDescent="0.25">
      <c r="A835" s="10"/>
      <c r="B835" s="10"/>
      <c r="C835" s="11"/>
    </row>
    <row r="836" spans="1:3" x14ac:dyDescent="0.25">
      <c r="A836" s="10"/>
      <c r="B836" s="10"/>
      <c r="C836" s="11"/>
    </row>
    <row r="837" spans="1:3" x14ac:dyDescent="0.25">
      <c r="A837" s="10"/>
      <c r="B837" s="10"/>
      <c r="C837" s="11"/>
    </row>
    <row r="838" spans="1:3" x14ac:dyDescent="0.25">
      <c r="A838" s="10"/>
      <c r="B838" s="10"/>
      <c r="C838" s="14"/>
    </row>
    <row r="839" spans="1:3" x14ac:dyDescent="0.25">
      <c r="A839" s="10"/>
      <c r="B839" s="10"/>
      <c r="C839" s="14"/>
    </row>
    <row r="840" spans="1:3" x14ac:dyDescent="0.25">
      <c r="A840" s="10"/>
      <c r="B840" s="10"/>
      <c r="C840" s="14"/>
    </row>
    <row r="841" spans="1:3" x14ac:dyDescent="0.25">
      <c r="A841" s="10"/>
      <c r="B841" s="10"/>
      <c r="C841" s="11"/>
    </row>
    <row r="842" spans="1:3" x14ac:dyDescent="0.25">
      <c r="A842" s="10"/>
      <c r="B842" s="10"/>
      <c r="C842" s="11"/>
    </row>
    <row r="843" spans="1:3" x14ac:dyDescent="0.25">
      <c r="A843" s="10"/>
      <c r="B843" s="10"/>
      <c r="C843" s="11"/>
    </row>
    <row r="844" spans="1:3" x14ac:dyDescent="0.25">
      <c r="A844" s="10"/>
      <c r="B844" s="10"/>
      <c r="C844" s="11"/>
    </row>
    <row r="845" spans="1:3" x14ac:dyDescent="0.25">
      <c r="A845" s="10"/>
      <c r="B845" s="10"/>
      <c r="C845" s="11"/>
    </row>
    <row r="846" spans="1:3" x14ac:dyDescent="0.25">
      <c r="A846" s="10"/>
      <c r="B846" s="10"/>
      <c r="C846" s="11"/>
    </row>
    <row r="847" spans="1:3" x14ac:dyDescent="0.25">
      <c r="A847" s="10"/>
      <c r="B847" s="10"/>
      <c r="C847" s="11"/>
    </row>
    <row r="848" spans="1:3" x14ac:dyDescent="0.25">
      <c r="A848" s="10"/>
      <c r="B848" s="10"/>
      <c r="C848" s="11"/>
    </row>
    <row r="849" spans="1:3" x14ac:dyDescent="0.25">
      <c r="A849" s="10"/>
      <c r="B849" s="10"/>
      <c r="C849" s="11"/>
    </row>
    <row r="850" spans="1:3" x14ac:dyDescent="0.25">
      <c r="A850" s="10"/>
      <c r="B850" s="10"/>
      <c r="C850" s="11"/>
    </row>
    <row r="851" spans="1:3" x14ac:dyDescent="0.25">
      <c r="A851" s="10"/>
      <c r="B851" s="10"/>
      <c r="C851" s="11"/>
    </row>
    <row r="852" spans="1:3" x14ac:dyDescent="0.25">
      <c r="A852" s="10"/>
      <c r="B852" s="10"/>
      <c r="C852" s="11"/>
    </row>
    <row r="853" spans="1:3" x14ac:dyDescent="0.25">
      <c r="A853" s="10"/>
      <c r="B853" s="10"/>
      <c r="C853" s="11"/>
    </row>
    <row r="854" spans="1:3" x14ac:dyDescent="0.25">
      <c r="A854" s="10"/>
      <c r="B854" s="10"/>
      <c r="C854" s="11"/>
    </row>
    <row r="855" spans="1:3" x14ac:dyDescent="0.25">
      <c r="A855" s="10"/>
      <c r="B855" s="10"/>
      <c r="C855" s="11"/>
    </row>
    <row r="856" spans="1:3" x14ac:dyDescent="0.25">
      <c r="A856" s="10"/>
      <c r="B856" s="10"/>
      <c r="C856" s="11"/>
    </row>
    <row r="857" spans="1:3" x14ac:dyDescent="0.25">
      <c r="A857" s="10"/>
      <c r="B857" s="10"/>
      <c r="C857" s="11"/>
    </row>
    <row r="858" spans="1:3" x14ac:dyDescent="0.25">
      <c r="A858" s="10"/>
      <c r="B858" s="10"/>
      <c r="C858" s="11"/>
    </row>
    <row r="859" spans="1:3" x14ac:dyDescent="0.25">
      <c r="A859" s="10"/>
      <c r="B859" s="10"/>
      <c r="C859" s="11"/>
    </row>
    <row r="860" spans="1:3" x14ac:dyDescent="0.25">
      <c r="A860" s="10"/>
      <c r="B860" s="10"/>
      <c r="C860" s="11"/>
    </row>
    <row r="861" spans="1:3" x14ac:dyDescent="0.25">
      <c r="A861" s="10"/>
      <c r="B861" s="10"/>
      <c r="C861" s="11"/>
    </row>
    <row r="862" spans="1:3" x14ac:dyDescent="0.25">
      <c r="A862" s="10"/>
      <c r="B862" s="10"/>
      <c r="C862" s="11"/>
    </row>
    <row r="863" spans="1:3" x14ac:dyDescent="0.25">
      <c r="A863" s="10"/>
      <c r="B863" s="10"/>
      <c r="C863" s="14"/>
    </row>
    <row r="864" spans="1:3" x14ac:dyDescent="0.25">
      <c r="A864" s="10"/>
      <c r="B864" s="10"/>
      <c r="C864" s="11"/>
    </row>
    <row r="865" spans="1:3" x14ac:dyDescent="0.25">
      <c r="A865" s="10"/>
      <c r="B865" s="10"/>
      <c r="C865" s="11"/>
    </row>
    <row r="866" spans="1:3" x14ac:dyDescent="0.25">
      <c r="A866" s="10"/>
      <c r="B866" s="10"/>
      <c r="C866" s="11"/>
    </row>
    <row r="867" spans="1:3" x14ac:dyDescent="0.25">
      <c r="A867" s="10"/>
      <c r="B867" s="10"/>
      <c r="C867" s="11"/>
    </row>
    <row r="868" spans="1:3" x14ac:dyDescent="0.25">
      <c r="A868" s="10"/>
      <c r="B868" s="10"/>
      <c r="C868" s="11"/>
    </row>
    <row r="869" spans="1:3" x14ac:dyDescent="0.25">
      <c r="A869" s="10"/>
      <c r="B869" s="10"/>
      <c r="C869" s="11"/>
    </row>
    <row r="870" spans="1:3" x14ac:dyDescent="0.25">
      <c r="A870" s="10"/>
      <c r="B870" s="10"/>
      <c r="C870" s="11"/>
    </row>
    <row r="871" spans="1:3" x14ac:dyDescent="0.25">
      <c r="A871" s="10"/>
      <c r="B871" s="10"/>
      <c r="C871" s="11"/>
    </row>
    <row r="872" spans="1:3" x14ac:dyDescent="0.25">
      <c r="A872" s="10"/>
      <c r="B872" s="10"/>
      <c r="C872" s="11"/>
    </row>
    <row r="873" spans="1:3" x14ac:dyDescent="0.25">
      <c r="A873" s="10"/>
      <c r="B873" s="10"/>
      <c r="C873" s="11"/>
    </row>
    <row r="874" spans="1:3" x14ac:dyDescent="0.25">
      <c r="A874" s="10"/>
      <c r="B874" s="10"/>
      <c r="C874" s="11"/>
    </row>
    <row r="875" spans="1:3" x14ac:dyDescent="0.25">
      <c r="A875" s="10"/>
      <c r="B875" s="10"/>
      <c r="C875" s="11"/>
    </row>
    <row r="876" spans="1:3" x14ac:dyDescent="0.25">
      <c r="A876" s="10"/>
      <c r="B876" s="10"/>
      <c r="C876" s="11"/>
    </row>
    <row r="877" spans="1:3" x14ac:dyDescent="0.25">
      <c r="A877" s="10"/>
      <c r="B877" s="10"/>
      <c r="C877" s="11"/>
    </row>
    <row r="878" spans="1:3" x14ac:dyDescent="0.25">
      <c r="A878" s="10"/>
      <c r="B878" s="10"/>
      <c r="C878" s="11"/>
    </row>
    <row r="879" spans="1:3" x14ac:dyDescent="0.25">
      <c r="A879" s="10"/>
      <c r="B879" s="10"/>
      <c r="C879" s="11"/>
    </row>
    <row r="880" spans="1:3" x14ac:dyDescent="0.25">
      <c r="A880" s="10"/>
      <c r="B880" s="10"/>
      <c r="C880" s="11"/>
    </row>
    <row r="881" spans="1:3" x14ac:dyDescent="0.25">
      <c r="A881" s="10"/>
      <c r="B881" s="10"/>
      <c r="C881" s="11"/>
    </row>
    <row r="882" spans="1:3" x14ac:dyDescent="0.25">
      <c r="A882" s="15"/>
      <c r="B882" s="15"/>
      <c r="C882" s="16"/>
    </row>
    <row r="883" spans="1:3" x14ac:dyDescent="0.25">
      <c r="A883" s="15"/>
      <c r="B883" s="15"/>
      <c r="C883" s="16"/>
    </row>
    <row r="884" spans="1:3" x14ac:dyDescent="0.25">
      <c r="A884" s="15"/>
      <c r="B884" s="15"/>
      <c r="C884" s="16"/>
    </row>
    <row r="885" spans="1:3" x14ac:dyDescent="0.25">
      <c r="A885" s="15"/>
      <c r="B885" s="15"/>
      <c r="C885" s="16"/>
    </row>
    <row r="886" spans="1:3" x14ac:dyDescent="0.25">
      <c r="A886" s="15"/>
      <c r="B886" s="15"/>
      <c r="C886" s="16"/>
    </row>
    <row r="887" spans="1:3" x14ac:dyDescent="0.25">
      <c r="A887" s="15"/>
      <c r="B887" s="15"/>
      <c r="C887" s="16"/>
    </row>
    <row r="888" spans="1:3" x14ac:dyDescent="0.25">
      <c r="A888" s="15"/>
      <c r="B888" s="15"/>
      <c r="C888" s="16"/>
    </row>
    <row r="889" spans="1:3" x14ac:dyDescent="0.25">
      <c r="A889" s="15"/>
      <c r="B889" s="15"/>
      <c r="C889" s="16"/>
    </row>
    <row r="890" spans="1:3" x14ac:dyDescent="0.25">
      <c r="A890" s="15"/>
      <c r="B890" s="15"/>
      <c r="C890" s="16"/>
    </row>
    <row r="891" spans="1:3" x14ac:dyDescent="0.25">
      <c r="A891" s="15"/>
      <c r="B891" s="15"/>
      <c r="C891" s="16"/>
    </row>
    <row r="892" spans="1:3" x14ac:dyDescent="0.25">
      <c r="A892" s="15"/>
      <c r="B892" s="15"/>
      <c r="C892" s="16"/>
    </row>
    <row r="893" spans="1:3" x14ac:dyDescent="0.25">
      <c r="A893" s="15"/>
      <c r="B893" s="15"/>
      <c r="C893" s="16"/>
    </row>
    <row r="894" spans="1:3" x14ac:dyDescent="0.25">
      <c r="A894" s="15"/>
      <c r="B894" s="15"/>
      <c r="C894" s="16"/>
    </row>
    <row r="895" spans="1:3" x14ac:dyDescent="0.25">
      <c r="A895" s="15"/>
      <c r="B895" s="15"/>
      <c r="C895" s="16"/>
    </row>
    <row r="896" spans="1:3" x14ac:dyDescent="0.25">
      <c r="A896" s="15"/>
      <c r="B896" s="15"/>
      <c r="C896" s="16"/>
    </row>
    <row r="897" spans="1:3" x14ac:dyDescent="0.25">
      <c r="A897" s="15"/>
      <c r="B897" s="15"/>
      <c r="C897" s="16"/>
    </row>
    <row r="898" spans="1:3" x14ac:dyDescent="0.25">
      <c r="A898" s="15"/>
      <c r="B898" s="15"/>
      <c r="C898" s="16"/>
    </row>
    <row r="899" spans="1:3" x14ac:dyDescent="0.25">
      <c r="A899" s="15"/>
      <c r="B899" s="15"/>
      <c r="C899" s="16"/>
    </row>
    <row r="900" spans="1:3" x14ac:dyDescent="0.25">
      <c r="A900" s="15"/>
      <c r="B900" s="15"/>
      <c r="C900" s="16"/>
    </row>
    <row r="901" spans="1:3" x14ac:dyDescent="0.25">
      <c r="A901" s="15"/>
      <c r="B901" s="15"/>
      <c r="C901" s="16"/>
    </row>
    <row r="902" spans="1:3" x14ac:dyDescent="0.25">
      <c r="A902" s="15"/>
      <c r="B902" s="15"/>
      <c r="C902" s="16"/>
    </row>
    <row r="903" spans="1:3" x14ac:dyDescent="0.25">
      <c r="A903" s="15"/>
      <c r="B903" s="15"/>
      <c r="C903" s="16"/>
    </row>
    <row r="904" spans="1:3" x14ac:dyDescent="0.25">
      <c r="A904" s="15"/>
      <c r="B904" s="15"/>
      <c r="C904" s="16"/>
    </row>
    <row r="905" spans="1:3" x14ac:dyDescent="0.25">
      <c r="A905" s="15"/>
      <c r="B905" s="15"/>
      <c r="C905" s="16"/>
    </row>
    <row r="906" spans="1:3" x14ac:dyDescent="0.25">
      <c r="A906" s="15"/>
      <c r="B906" s="15"/>
      <c r="C906" s="16"/>
    </row>
    <row r="907" spans="1:3" x14ac:dyDescent="0.25">
      <c r="A907" s="15"/>
      <c r="B907" s="15"/>
      <c r="C907" s="16"/>
    </row>
    <row r="908" spans="1:3" x14ac:dyDescent="0.25">
      <c r="A908" s="15"/>
      <c r="B908" s="15"/>
      <c r="C908" s="16"/>
    </row>
    <row r="909" spans="1:3" x14ac:dyDescent="0.25">
      <c r="A909" s="15"/>
      <c r="B909" s="15"/>
      <c r="C909" s="16"/>
    </row>
    <row r="910" spans="1:3" x14ac:dyDescent="0.25">
      <c r="A910" s="15"/>
      <c r="B910" s="15"/>
      <c r="C910" s="16"/>
    </row>
    <row r="911" spans="1:3" x14ac:dyDescent="0.25">
      <c r="A911" s="15"/>
      <c r="B911" s="15"/>
      <c r="C911" s="16"/>
    </row>
    <row r="912" spans="1:3" x14ac:dyDescent="0.25">
      <c r="A912" s="15"/>
      <c r="B912" s="15"/>
      <c r="C912" s="16"/>
    </row>
    <row r="913" spans="1:3" x14ac:dyDescent="0.25">
      <c r="A913" s="15"/>
      <c r="B913" s="15"/>
      <c r="C913" s="16"/>
    </row>
    <row r="914" spans="1:3" x14ac:dyDescent="0.25">
      <c r="A914" s="15"/>
      <c r="B914" s="15"/>
      <c r="C914" s="16"/>
    </row>
    <row r="915" spans="1:3" x14ac:dyDescent="0.25">
      <c r="A915" s="15"/>
      <c r="B915" s="15"/>
      <c r="C915" s="16"/>
    </row>
    <row r="916" spans="1:3" x14ac:dyDescent="0.25">
      <c r="A916" s="15"/>
      <c r="B916" s="15"/>
      <c r="C916" s="16"/>
    </row>
    <row r="917" spans="1:3" x14ac:dyDescent="0.25">
      <c r="A917" s="15"/>
      <c r="B917" s="15"/>
      <c r="C917" s="16"/>
    </row>
    <row r="918" spans="1:3" x14ac:dyDescent="0.25">
      <c r="A918" s="15"/>
      <c r="B918" s="15"/>
      <c r="C918" s="16"/>
    </row>
    <row r="919" spans="1:3" x14ac:dyDescent="0.25">
      <c r="A919" s="15"/>
      <c r="B919" s="15"/>
      <c r="C919" s="16"/>
    </row>
    <row r="920" spans="1:3" x14ac:dyDescent="0.25">
      <c r="A920" s="15"/>
      <c r="B920" s="15"/>
      <c r="C920" s="16"/>
    </row>
    <row r="921" spans="1:3" x14ac:dyDescent="0.25">
      <c r="A921" s="15"/>
      <c r="B921" s="15"/>
      <c r="C921" s="16"/>
    </row>
    <row r="922" spans="1:3" x14ac:dyDescent="0.25">
      <c r="A922" s="15"/>
      <c r="B922" s="15"/>
      <c r="C922" s="16"/>
    </row>
    <row r="923" spans="1:3" x14ac:dyDescent="0.25">
      <c r="A923" s="15"/>
      <c r="B923" s="15"/>
      <c r="C923" s="16"/>
    </row>
    <row r="924" spans="1:3" x14ac:dyDescent="0.25">
      <c r="A924" s="15"/>
      <c r="B924" s="15"/>
      <c r="C924" s="16"/>
    </row>
    <row r="925" spans="1:3" x14ac:dyDescent="0.25">
      <c r="A925" s="15"/>
      <c r="B925" s="15"/>
      <c r="C925" s="16"/>
    </row>
    <row r="926" spans="1:3" x14ac:dyDescent="0.25">
      <c r="A926" s="15"/>
      <c r="B926" s="15"/>
      <c r="C926" s="16"/>
    </row>
    <row r="927" spans="1:3" x14ac:dyDescent="0.25">
      <c r="A927" s="15"/>
      <c r="B927" s="15"/>
      <c r="C927" s="16"/>
    </row>
    <row r="928" spans="1:3" x14ac:dyDescent="0.25">
      <c r="A928" s="15"/>
      <c r="B928" s="15"/>
      <c r="C928" s="16"/>
    </row>
    <row r="929" spans="1:3" x14ac:dyDescent="0.25">
      <c r="A929" s="15"/>
      <c r="B929" s="15"/>
      <c r="C929" s="16"/>
    </row>
    <row r="930" spans="1:3" x14ac:dyDescent="0.25">
      <c r="A930" s="15"/>
      <c r="B930" s="15"/>
      <c r="C930" s="16"/>
    </row>
    <row r="931" spans="1:3" x14ac:dyDescent="0.25">
      <c r="A931" s="15"/>
      <c r="B931" s="15"/>
      <c r="C931" s="16"/>
    </row>
    <row r="932" spans="1:3" x14ac:dyDescent="0.25">
      <c r="A932" s="15"/>
      <c r="B932" s="15"/>
      <c r="C932" s="16"/>
    </row>
    <row r="933" spans="1:3" x14ac:dyDescent="0.25">
      <c r="A933" s="15"/>
      <c r="B933" s="15"/>
      <c r="C933" s="16"/>
    </row>
    <row r="934" spans="1:3" x14ac:dyDescent="0.25">
      <c r="A934" s="15"/>
      <c r="B934" s="15"/>
      <c r="C934" s="16"/>
    </row>
    <row r="935" spans="1:3" x14ac:dyDescent="0.25">
      <c r="A935" s="15"/>
      <c r="B935" s="15"/>
      <c r="C935" s="16"/>
    </row>
    <row r="936" spans="1:3" x14ac:dyDescent="0.25">
      <c r="A936" s="15"/>
      <c r="B936" s="15"/>
      <c r="C936" s="16"/>
    </row>
    <row r="937" spans="1:3" x14ac:dyDescent="0.25">
      <c r="A937" s="15"/>
      <c r="B937" s="15"/>
      <c r="C937" s="16"/>
    </row>
    <row r="938" spans="1:3" x14ac:dyDescent="0.25">
      <c r="A938" s="15"/>
      <c r="B938" s="15"/>
      <c r="C938" s="16"/>
    </row>
    <row r="939" spans="1:3" x14ac:dyDescent="0.25">
      <c r="A939" s="15"/>
      <c r="B939" s="15"/>
      <c r="C939" s="16"/>
    </row>
    <row r="940" spans="1:3" x14ac:dyDescent="0.25">
      <c r="A940" s="15"/>
      <c r="B940" s="15"/>
      <c r="C940" s="16"/>
    </row>
    <row r="941" spans="1:3" x14ac:dyDescent="0.25">
      <c r="A941" s="15"/>
      <c r="B941" s="15"/>
      <c r="C941" s="16"/>
    </row>
    <row r="942" spans="1:3" x14ac:dyDescent="0.25">
      <c r="A942" s="15"/>
      <c r="B942" s="15"/>
      <c r="C942" s="16"/>
    </row>
    <row r="943" spans="1:3" x14ac:dyDescent="0.25">
      <c r="A943" s="15"/>
      <c r="B943" s="15"/>
      <c r="C943" s="16"/>
    </row>
    <row r="944" spans="1:3" x14ac:dyDescent="0.25">
      <c r="A944" s="15"/>
      <c r="B944" s="15"/>
      <c r="C944" s="16"/>
    </row>
    <row r="945" spans="1:3" x14ac:dyDescent="0.25">
      <c r="A945" s="15"/>
      <c r="B945" s="15"/>
      <c r="C945" s="16"/>
    </row>
    <row r="946" spans="1:3" x14ac:dyDescent="0.25">
      <c r="A946" s="15"/>
      <c r="B946" s="15"/>
      <c r="C946" s="16"/>
    </row>
    <row r="947" spans="1:3" x14ac:dyDescent="0.25">
      <c r="A947" s="15"/>
      <c r="B947" s="15"/>
      <c r="C947" s="16"/>
    </row>
    <row r="948" spans="1:3" x14ac:dyDescent="0.25">
      <c r="A948" s="15"/>
      <c r="B948" s="15"/>
      <c r="C948" s="16"/>
    </row>
    <row r="949" spans="1:3" x14ac:dyDescent="0.25">
      <c r="A949" s="15"/>
      <c r="B949" s="15"/>
      <c r="C949" s="16"/>
    </row>
    <row r="950" spans="1:3" x14ac:dyDescent="0.25">
      <c r="A950" s="15"/>
      <c r="B950" s="15"/>
      <c r="C950" s="16"/>
    </row>
    <row r="951" spans="1:3" x14ac:dyDescent="0.25">
      <c r="A951" s="15"/>
      <c r="B951" s="15"/>
      <c r="C951" s="16"/>
    </row>
    <row r="952" spans="1:3" x14ac:dyDescent="0.25">
      <c r="A952" s="15"/>
      <c r="B952" s="15"/>
      <c r="C952" s="16"/>
    </row>
    <row r="953" spans="1:3" x14ac:dyDescent="0.25">
      <c r="A953" s="15"/>
      <c r="B953" s="15"/>
      <c r="C953" s="16"/>
    </row>
    <row r="954" spans="1:3" x14ac:dyDescent="0.25">
      <c r="A954" s="15"/>
      <c r="B954" s="15"/>
      <c r="C954" s="16"/>
    </row>
    <row r="955" spans="1:3" x14ac:dyDescent="0.25">
      <c r="A955" s="15"/>
      <c r="B955" s="15"/>
      <c r="C955" s="16"/>
    </row>
    <row r="956" spans="1:3" x14ac:dyDescent="0.25">
      <c r="A956" s="15"/>
      <c r="B956" s="15"/>
      <c r="C956" s="16"/>
    </row>
    <row r="957" spans="1:3" x14ac:dyDescent="0.25">
      <c r="A957" s="15"/>
      <c r="B957" s="15"/>
      <c r="C957" s="16"/>
    </row>
    <row r="958" spans="1:3" x14ac:dyDescent="0.25">
      <c r="A958" s="15"/>
      <c r="B958" s="15"/>
      <c r="C958" s="16"/>
    </row>
    <row r="959" spans="1:3" x14ac:dyDescent="0.25">
      <c r="A959" s="15"/>
      <c r="B959" s="15"/>
      <c r="C959" s="16"/>
    </row>
    <row r="960" spans="1:3" x14ac:dyDescent="0.25">
      <c r="A960" s="15"/>
      <c r="B960" s="15"/>
      <c r="C960" s="16"/>
    </row>
    <row r="961" spans="1:3" x14ac:dyDescent="0.25">
      <c r="A961" s="15"/>
      <c r="B961" s="15"/>
      <c r="C961" s="16"/>
    </row>
    <row r="962" spans="1:3" x14ac:dyDescent="0.25">
      <c r="A962" s="15"/>
      <c r="B962" s="15"/>
      <c r="C962" s="16"/>
    </row>
    <row r="963" spans="1:3" x14ac:dyDescent="0.25">
      <c r="A963" s="15"/>
      <c r="B963" s="15"/>
      <c r="C963" s="16"/>
    </row>
    <row r="964" spans="1:3" x14ac:dyDescent="0.25">
      <c r="A964" s="15"/>
      <c r="B964" s="15"/>
      <c r="C964" s="16"/>
    </row>
    <row r="965" spans="1:3" x14ac:dyDescent="0.25">
      <c r="A965" s="15"/>
      <c r="B965" s="15"/>
      <c r="C965" s="16"/>
    </row>
    <row r="966" spans="1:3" x14ac:dyDescent="0.25">
      <c r="A966" s="15"/>
      <c r="B966" s="15"/>
      <c r="C966" s="16"/>
    </row>
    <row r="967" spans="1:3" x14ac:dyDescent="0.25">
      <c r="A967" s="15"/>
      <c r="B967" s="15"/>
      <c r="C967" s="16"/>
    </row>
    <row r="968" spans="1:3" x14ac:dyDescent="0.25">
      <c r="A968" s="15"/>
      <c r="B968" s="15"/>
      <c r="C968" s="16"/>
    </row>
    <row r="969" spans="1:3" x14ac:dyDescent="0.25">
      <c r="A969" s="15"/>
      <c r="B969" s="15"/>
      <c r="C969" s="16"/>
    </row>
    <row r="970" spans="1:3" x14ac:dyDescent="0.25">
      <c r="A970" s="15"/>
      <c r="B970" s="15"/>
      <c r="C970" s="16"/>
    </row>
    <row r="971" spans="1:3" x14ac:dyDescent="0.25">
      <c r="A971" s="15"/>
      <c r="B971" s="15"/>
      <c r="C971" s="16"/>
    </row>
    <row r="972" spans="1:3" x14ac:dyDescent="0.25">
      <c r="A972" s="15"/>
      <c r="B972" s="15"/>
      <c r="C972" s="16"/>
    </row>
    <row r="973" spans="1:3" x14ac:dyDescent="0.25">
      <c r="A973" s="15"/>
      <c r="B973" s="15"/>
      <c r="C973" s="16"/>
    </row>
    <row r="974" spans="1:3" x14ac:dyDescent="0.25">
      <c r="A974" s="15"/>
      <c r="B974" s="15"/>
      <c r="C974" s="16"/>
    </row>
    <row r="975" spans="1:3" x14ac:dyDescent="0.25">
      <c r="A975" s="15"/>
      <c r="B975" s="15"/>
      <c r="C975" s="16"/>
    </row>
    <row r="976" spans="1:3" x14ac:dyDescent="0.25">
      <c r="A976" s="15"/>
      <c r="B976" s="15"/>
      <c r="C976" s="16"/>
    </row>
    <row r="977" spans="1:3" x14ac:dyDescent="0.25">
      <c r="A977" s="15"/>
      <c r="B977" s="15"/>
      <c r="C977" s="16"/>
    </row>
    <row r="978" spans="1:3" x14ac:dyDescent="0.25">
      <c r="A978" s="15"/>
      <c r="B978" s="15"/>
      <c r="C978" s="16"/>
    </row>
    <row r="979" spans="1:3" x14ac:dyDescent="0.25">
      <c r="A979" s="15"/>
      <c r="B979" s="15"/>
      <c r="C979" s="16"/>
    </row>
    <row r="980" spans="1:3" x14ac:dyDescent="0.25">
      <c r="A980" s="15"/>
      <c r="B980" s="15"/>
      <c r="C980" s="16"/>
    </row>
    <row r="981" spans="1:3" x14ac:dyDescent="0.25">
      <c r="A981" s="15"/>
      <c r="B981" s="15"/>
      <c r="C981" s="16"/>
    </row>
    <row r="982" spans="1:3" x14ac:dyDescent="0.25">
      <c r="A982" s="15"/>
      <c r="B982" s="15"/>
      <c r="C982" s="16"/>
    </row>
    <row r="983" spans="1:3" x14ac:dyDescent="0.25">
      <c r="A983" s="15"/>
      <c r="B983" s="15"/>
      <c r="C983" s="16"/>
    </row>
    <row r="984" spans="1:3" x14ac:dyDescent="0.25">
      <c r="A984" s="15"/>
      <c r="B984" s="15"/>
      <c r="C984" s="16"/>
    </row>
    <row r="985" spans="1:3" x14ac:dyDescent="0.25">
      <c r="A985" s="15"/>
      <c r="B985" s="15"/>
      <c r="C985" s="16"/>
    </row>
    <row r="986" spans="1:3" x14ac:dyDescent="0.25">
      <c r="A986" s="15"/>
      <c r="B986" s="15"/>
      <c r="C986" s="16"/>
    </row>
    <row r="987" spans="1:3" x14ac:dyDescent="0.25">
      <c r="A987" s="15"/>
      <c r="B987" s="15"/>
      <c r="C987" s="16"/>
    </row>
    <row r="988" spans="1:3" x14ac:dyDescent="0.25">
      <c r="A988" s="15"/>
      <c r="B988" s="15"/>
      <c r="C988" s="16"/>
    </row>
    <row r="989" spans="1:3" x14ac:dyDescent="0.25">
      <c r="A989" s="15"/>
      <c r="B989" s="15"/>
      <c r="C989" s="16"/>
    </row>
    <row r="990" spans="1:3" x14ac:dyDescent="0.25">
      <c r="A990" s="15"/>
      <c r="B990" s="15"/>
      <c r="C990" s="16"/>
    </row>
    <row r="991" spans="1:3" x14ac:dyDescent="0.25">
      <c r="A991" s="15"/>
      <c r="B991" s="15"/>
      <c r="C991" s="16"/>
    </row>
    <row r="992" spans="1:3" x14ac:dyDescent="0.25">
      <c r="A992" s="15"/>
      <c r="B992" s="15"/>
      <c r="C992" s="16"/>
    </row>
    <row r="993" spans="1:3" x14ac:dyDescent="0.25">
      <c r="A993" s="15"/>
      <c r="B993" s="15"/>
      <c r="C993" s="16"/>
    </row>
    <row r="994" spans="1:3" x14ac:dyDescent="0.25">
      <c r="A994" s="15"/>
      <c r="B994" s="15"/>
      <c r="C994" s="16"/>
    </row>
    <row r="995" spans="1:3" x14ac:dyDescent="0.25">
      <c r="A995" s="15"/>
      <c r="B995" s="15"/>
      <c r="C995" s="16"/>
    </row>
    <row r="996" spans="1:3" x14ac:dyDescent="0.25">
      <c r="A996" s="15"/>
      <c r="B996" s="15"/>
      <c r="C996" s="16"/>
    </row>
    <row r="997" spans="1:3" x14ac:dyDescent="0.25">
      <c r="A997" s="15"/>
      <c r="B997" s="15"/>
      <c r="C997" s="16"/>
    </row>
    <row r="998" spans="1:3" x14ac:dyDescent="0.25">
      <c r="A998" s="15"/>
      <c r="B998" s="15"/>
      <c r="C998" s="16"/>
    </row>
    <row r="999" spans="1:3" x14ac:dyDescent="0.25">
      <c r="A999" s="15"/>
      <c r="B999" s="15"/>
      <c r="C999" s="16"/>
    </row>
    <row r="1000" spans="1:3" x14ac:dyDescent="0.25">
      <c r="A1000" s="15"/>
      <c r="B1000" s="15"/>
      <c r="C1000" s="16"/>
    </row>
    <row r="1001" spans="1:3" x14ac:dyDescent="0.25">
      <c r="A1001" s="15"/>
      <c r="B1001" s="15"/>
      <c r="C1001" s="16"/>
    </row>
    <row r="1002" spans="1:3" x14ac:dyDescent="0.25">
      <c r="A1002" s="15"/>
      <c r="B1002" s="15"/>
      <c r="C1002" s="16"/>
    </row>
    <row r="1003" spans="1:3" x14ac:dyDescent="0.25">
      <c r="A1003" s="15"/>
      <c r="B1003" s="15"/>
      <c r="C1003" s="16"/>
    </row>
    <row r="1004" spans="1:3" x14ac:dyDescent="0.25">
      <c r="A1004" s="15"/>
      <c r="B1004" s="15"/>
      <c r="C1004" s="16"/>
    </row>
    <row r="1005" spans="1:3" x14ac:dyDescent="0.25">
      <c r="A1005" s="15"/>
      <c r="B1005" s="15"/>
      <c r="C1005" s="16"/>
    </row>
    <row r="1006" spans="1:3" x14ac:dyDescent="0.25">
      <c r="A1006" s="15"/>
      <c r="B1006" s="15"/>
      <c r="C1006" s="16"/>
    </row>
    <row r="1007" spans="1:3" x14ac:dyDescent="0.25">
      <c r="A1007" s="15"/>
      <c r="B1007" s="15"/>
      <c r="C1007" s="16"/>
    </row>
    <row r="1008" spans="1:3" x14ac:dyDescent="0.25">
      <c r="A1008" s="15"/>
      <c r="B1008" s="15"/>
      <c r="C1008" s="16"/>
    </row>
    <row r="1009" spans="1:3" x14ac:dyDescent="0.25">
      <c r="A1009" s="15"/>
      <c r="B1009" s="15"/>
      <c r="C1009" s="16"/>
    </row>
    <row r="1010" spans="1:3" x14ac:dyDescent="0.25">
      <c r="A1010" s="15"/>
      <c r="B1010" s="15"/>
      <c r="C1010" s="16"/>
    </row>
    <row r="1011" spans="1:3" x14ac:dyDescent="0.25">
      <c r="A1011" s="15"/>
      <c r="B1011" s="15"/>
      <c r="C1011" s="16"/>
    </row>
    <row r="1012" spans="1:3" x14ac:dyDescent="0.25">
      <c r="A1012" s="15"/>
      <c r="B1012" s="15"/>
      <c r="C1012" s="16"/>
    </row>
    <row r="1013" spans="1:3" x14ac:dyDescent="0.25">
      <c r="A1013" s="15"/>
      <c r="B1013" s="15"/>
      <c r="C1013" s="16"/>
    </row>
    <row r="1014" spans="1:3" x14ac:dyDescent="0.25">
      <c r="A1014" s="15"/>
      <c r="B1014" s="15"/>
      <c r="C1014" s="16"/>
    </row>
    <row r="1015" spans="1:3" x14ac:dyDescent="0.25">
      <c r="A1015" s="15"/>
      <c r="B1015" s="15"/>
      <c r="C1015" s="16"/>
    </row>
    <row r="1016" spans="1:3" x14ac:dyDescent="0.25">
      <c r="A1016" s="15"/>
      <c r="B1016" s="15"/>
      <c r="C1016" s="16"/>
    </row>
    <row r="1017" spans="1:3" x14ac:dyDescent="0.25">
      <c r="A1017" s="15"/>
      <c r="B1017" s="15"/>
      <c r="C1017" s="16"/>
    </row>
    <row r="1018" spans="1:3" x14ac:dyDescent="0.25">
      <c r="A1018" s="15"/>
      <c r="B1018" s="15"/>
      <c r="C1018" s="16"/>
    </row>
    <row r="1019" spans="1:3" x14ac:dyDescent="0.25">
      <c r="A1019" s="15"/>
      <c r="B1019" s="15"/>
      <c r="C1019" s="16"/>
    </row>
    <row r="1020" spans="1:3" x14ac:dyDescent="0.25">
      <c r="A1020" s="15"/>
      <c r="B1020" s="15"/>
      <c r="C1020" s="16"/>
    </row>
    <row r="1021" spans="1:3" x14ac:dyDescent="0.25">
      <c r="A1021" s="15"/>
      <c r="B1021" s="15"/>
      <c r="C1021" s="16"/>
    </row>
    <row r="1022" spans="1:3" x14ac:dyDescent="0.25">
      <c r="A1022" s="15"/>
      <c r="B1022" s="15"/>
      <c r="C1022" s="16"/>
    </row>
    <row r="1023" spans="1:3" x14ac:dyDescent="0.25">
      <c r="A1023" s="15"/>
      <c r="B1023" s="15"/>
      <c r="C1023" s="16"/>
    </row>
    <row r="1024" spans="1:3" x14ac:dyDescent="0.25">
      <c r="A1024" s="15"/>
      <c r="B1024" s="15"/>
      <c r="C1024" s="16"/>
    </row>
    <row r="1025" spans="1:3" x14ac:dyDescent="0.25">
      <c r="A1025" s="15"/>
      <c r="B1025" s="15"/>
      <c r="C1025" s="16"/>
    </row>
    <row r="1026" spans="1:3" x14ac:dyDescent="0.25">
      <c r="A1026" s="15"/>
      <c r="B1026" s="15"/>
      <c r="C1026" s="16"/>
    </row>
    <row r="1027" spans="1:3" x14ac:dyDescent="0.25">
      <c r="A1027" s="15"/>
      <c r="B1027" s="15"/>
      <c r="C1027" s="16"/>
    </row>
    <row r="1028" spans="1:3" x14ac:dyDescent="0.25">
      <c r="A1028" s="15"/>
      <c r="B1028" s="15"/>
      <c r="C1028" s="16"/>
    </row>
    <row r="1029" spans="1:3" x14ac:dyDescent="0.25">
      <c r="A1029" s="15"/>
      <c r="B1029" s="15"/>
      <c r="C1029" s="16"/>
    </row>
    <row r="1030" spans="1:3" x14ac:dyDescent="0.25">
      <c r="A1030" s="15"/>
      <c r="B1030" s="15"/>
      <c r="C1030" s="16"/>
    </row>
    <row r="1031" spans="1:3" x14ac:dyDescent="0.25">
      <c r="A1031" s="15"/>
      <c r="B1031" s="15"/>
      <c r="C1031" s="16"/>
    </row>
    <row r="1032" spans="1:3" x14ac:dyDescent="0.25">
      <c r="A1032" s="15"/>
      <c r="B1032" s="15"/>
      <c r="C1032" s="16"/>
    </row>
    <row r="1033" spans="1:3" x14ac:dyDescent="0.25">
      <c r="A1033" s="15"/>
      <c r="B1033" s="15"/>
      <c r="C1033" s="16"/>
    </row>
    <row r="1034" spans="1:3" x14ac:dyDescent="0.25">
      <c r="A1034" s="15"/>
      <c r="B1034" s="15"/>
      <c r="C1034" s="16"/>
    </row>
    <row r="1035" spans="1:3" x14ac:dyDescent="0.25">
      <c r="A1035" s="15"/>
      <c r="B1035" s="15"/>
      <c r="C1035" s="16"/>
    </row>
    <row r="1036" spans="1:3" x14ac:dyDescent="0.25">
      <c r="A1036" s="15"/>
      <c r="B1036" s="15"/>
      <c r="C1036" s="16"/>
    </row>
    <row r="1037" spans="1:3" x14ac:dyDescent="0.25">
      <c r="A1037" s="15"/>
      <c r="B1037" s="15"/>
      <c r="C1037" s="16"/>
    </row>
    <row r="1038" spans="1:3" x14ac:dyDescent="0.25">
      <c r="A1038" s="15"/>
      <c r="B1038" s="15"/>
      <c r="C1038" s="16"/>
    </row>
    <row r="1039" spans="1:3" x14ac:dyDescent="0.25">
      <c r="A1039" s="15"/>
      <c r="B1039" s="15"/>
      <c r="C1039" s="16"/>
    </row>
    <row r="1040" spans="1:3" x14ac:dyDescent="0.25">
      <c r="A1040" s="15"/>
      <c r="B1040" s="15"/>
      <c r="C1040" s="16"/>
    </row>
    <row r="1041" spans="1:3" x14ac:dyDescent="0.25">
      <c r="A1041" s="15"/>
      <c r="B1041" s="15"/>
      <c r="C1041" s="16"/>
    </row>
    <row r="1042" spans="1:3" x14ac:dyDescent="0.25">
      <c r="A1042" s="15"/>
      <c r="B1042" s="15"/>
      <c r="C1042" s="16"/>
    </row>
    <row r="1043" spans="1:3" x14ac:dyDescent="0.25">
      <c r="A1043" s="15"/>
      <c r="B1043" s="15"/>
      <c r="C1043" s="16"/>
    </row>
    <row r="1044" spans="1:3" x14ac:dyDescent="0.25">
      <c r="A1044" s="15"/>
      <c r="B1044" s="15"/>
      <c r="C1044" s="16"/>
    </row>
    <row r="1045" spans="1:3" x14ac:dyDescent="0.25">
      <c r="A1045" s="15"/>
      <c r="B1045" s="15"/>
      <c r="C1045" s="16"/>
    </row>
    <row r="1046" spans="1:3" x14ac:dyDescent="0.25">
      <c r="A1046" s="15"/>
      <c r="B1046" s="15"/>
      <c r="C1046" s="16"/>
    </row>
    <row r="1047" spans="1:3" x14ac:dyDescent="0.25">
      <c r="A1047" s="15"/>
      <c r="B1047" s="15"/>
      <c r="C1047" s="16"/>
    </row>
    <row r="1048" spans="1:3" x14ac:dyDescent="0.25">
      <c r="A1048" s="15"/>
      <c r="B1048" s="15"/>
      <c r="C1048" s="16"/>
    </row>
    <row r="1049" spans="1:3" x14ac:dyDescent="0.25">
      <c r="A1049" s="15"/>
      <c r="B1049" s="15"/>
      <c r="C1049" s="16"/>
    </row>
    <row r="1050" spans="1:3" x14ac:dyDescent="0.25">
      <c r="A1050" s="15"/>
      <c r="B1050" s="15"/>
      <c r="C1050" s="16"/>
    </row>
    <row r="1051" spans="1:3" x14ac:dyDescent="0.25">
      <c r="A1051" s="15"/>
      <c r="B1051" s="15"/>
      <c r="C1051" s="16"/>
    </row>
    <row r="1052" spans="1:3" x14ac:dyDescent="0.25">
      <c r="A1052" s="15"/>
      <c r="B1052" s="15"/>
      <c r="C1052" s="16"/>
    </row>
    <row r="1053" spans="1:3" x14ac:dyDescent="0.25">
      <c r="A1053" s="18"/>
      <c r="B1053" s="18"/>
      <c r="C1053" s="11"/>
    </row>
    <row r="1054" spans="1:3" x14ac:dyDescent="0.25">
      <c r="A1054" s="15"/>
      <c r="B1054" s="15"/>
      <c r="C1054" s="16"/>
    </row>
    <row r="1055" spans="1:3" x14ac:dyDescent="0.25">
      <c r="A1055" s="15"/>
      <c r="B1055" s="15"/>
      <c r="C1055" s="16"/>
    </row>
    <row r="1056" spans="1:3" x14ac:dyDescent="0.25">
      <c r="A1056" s="18"/>
      <c r="B1056" s="18"/>
      <c r="C1056" s="11"/>
    </row>
    <row r="1057" spans="1:3" x14ac:dyDescent="0.25">
      <c r="A1057" s="18"/>
      <c r="B1057" s="18"/>
      <c r="C1057" s="11"/>
    </row>
    <row r="1058" spans="1:3" x14ac:dyDescent="0.25">
      <c r="A1058" s="18"/>
      <c r="B1058" s="18"/>
      <c r="C1058" s="11"/>
    </row>
    <row r="1059" spans="1:3" x14ac:dyDescent="0.25">
      <c r="A1059" s="18"/>
      <c r="B1059" s="18"/>
      <c r="C1059" s="11"/>
    </row>
    <row r="1060" spans="1:3" x14ac:dyDescent="0.25">
      <c r="A1060" s="18"/>
      <c r="B1060" s="18"/>
      <c r="C1060" s="11"/>
    </row>
    <row r="1061" spans="1:3" x14ac:dyDescent="0.25">
      <c r="A1061" s="15"/>
      <c r="B1061" s="15"/>
      <c r="C1061" s="16"/>
    </row>
    <row r="1062" spans="1:3" x14ac:dyDescent="0.25">
      <c r="A1062" s="18"/>
      <c r="B1062" s="18"/>
      <c r="C1062" s="18"/>
    </row>
    <row r="1063" spans="1:3" x14ac:dyDescent="0.25">
      <c r="A1063" s="18"/>
      <c r="B1063" s="18"/>
      <c r="C1063" s="18"/>
    </row>
    <row r="1064" spans="1:3" x14ac:dyDescent="0.25">
      <c r="A1064" s="18"/>
      <c r="B1064" s="18"/>
      <c r="C1064" s="18"/>
    </row>
    <row r="1065" spans="1:3" x14ac:dyDescent="0.25">
      <c r="A1065" s="18"/>
      <c r="B1065" s="18"/>
      <c r="C1065" s="18"/>
    </row>
    <row r="1066" spans="1:3" x14ac:dyDescent="0.25">
      <c r="A1066" s="18"/>
      <c r="B1066" s="18"/>
      <c r="C1066" s="18"/>
    </row>
    <row r="1067" spans="1:3" x14ac:dyDescent="0.25">
      <c r="A1067" s="18"/>
      <c r="B1067" s="18"/>
      <c r="C1067" s="18"/>
    </row>
    <row r="1068" spans="1:3" x14ac:dyDescent="0.25">
      <c r="A1068" s="18"/>
      <c r="B1068" s="18"/>
      <c r="C1068" s="18"/>
    </row>
    <row r="1069" spans="1:3" x14ac:dyDescent="0.25">
      <c r="A1069" s="18"/>
      <c r="B1069" s="18"/>
      <c r="C1069" s="18"/>
    </row>
    <row r="1070" spans="1:3" x14ac:dyDescent="0.25">
      <c r="A1070" s="18"/>
      <c r="B1070" s="18"/>
      <c r="C1070" s="18"/>
    </row>
    <row r="1071" spans="1:3" x14ac:dyDescent="0.25">
      <c r="A1071" s="18"/>
      <c r="B1071" s="18"/>
      <c r="C1071" s="18"/>
    </row>
    <row r="1072" spans="1:3" x14ac:dyDescent="0.25">
      <c r="A1072" s="18"/>
      <c r="B1072" s="18"/>
      <c r="C1072" s="18"/>
    </row>
    <row r="1073" spans="1:3" x14ac:dyDescent="0.25">
      <c r="A1073" s="18"/>
      <c r="B1073" s="18"/>
      <c r="C1073" s="18"/>
    </row>
  </sheetData>
  <printOptions gridLines="1"/>
  <pageMargins left="0.5" right="0.5" top="0.75" bottom="0.5" header="0.3" footer="0.3"/>
  <pageSetup scale="44" fitToHeight="1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30"/>
  <sheetViews>
    <sheetView workbookViewId="0">
      <pane ySplit="10" topLeftCell="A142" activePane="bottomLeft" state="frozen"/>
      <selection pane="bottomLeft" activeCell="A11" sqref="A11"/>
    </sheetView>
  </sheetViews>
  <sheetFormatPr defaultRowHeight="15" x14ac:dyDescent="0.25"/>
  <cols>
    <col min="1" max="1" width="5.7109375" customWidth="1"/>
    <col min="2" max="2" width="3.42578125" customWidth="1"/>
    <col min="3" max="3" width="24.7109375" customWidth="1"/>
    <col min="4" max="24" width="12.7109375" customWidth="1"/>
    <col min="29" max="29" width="10.140625" bestFit="1" customWidth="1"/>
  </cols>
  <sheetData>
    <row r="1" spans="1:17" x14ac:dyDescent="0.25">
      <c r="A1" s="2" t="s">
        <v>623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2"/>
      <c r="B2" s="2"/>
      <c r="C2" s="2"/>
      <c r="H2" s="25"/>
      <c r="M2" s="25"/>
      <c r="O2" s="24"/>
    </row>
    <row r="3" spans="1:17" x14ac:dyDescent="0.25">
      <c r="A3" s="2"/>
      <c r="B3" s="2"/>
      <c r="C3" s="2"/>
      <c r="D3" s="24" t="s">
        <v>529</v>
      </c>
      <c r="E3" s="24" t="s">
        <v>530</v>
      </c>
      <c r="F3" s="24" t="s">
        <v>531</v>
      </c>
      <c r="G3" s="24" t="s">
        <v>532</v>
      </c>
      <c r="H3" s="26" t="s">
        <v>533</v>
      </c>
      <c r="I3" s="24" t="s">
        <v>534</v>
      </c>
      <c r="J3" s="24" t="s">
        <v>535</v>
      </c>
      <c r="K3" s="24" t="s">
        <v>536</v>
      </c>
      <c r="L3" s="24" t="s">
        <v>537</v>
      </c>
      <c r="M3" s="26" t="s">
        <v>538</v>
      </c>
      <c r="N3" s="24" t="s">
        <v>540</v>
      </c>
      <c r="O3" s="24" t="s">
        <v>541</v>
      </c>
      <c r="P3" s="24" t="s">
        <v>542</v>
      </c>
      <c r="Q3" s="24" t="s">
        <v>547</v>
      </c>
    </row>
    <row r="4" spans="1:17" x14ac:dyDescent="0.25">
      <c r="A4" s="2"/>
      <c r="B4" s="2"/>
      <c r="C4" s="2"/>
      <c r="H4" s="25"/>
      <c r="M4" s="25"/>
      <c r="O4" s="24"/>
    </row>
    <row r="5" spans="1:17" x14ac:dyDescent="0.25">
      <c r="A5" s="2"/>
      <c r="B5" s="2"/>
      <c r="C5" s="2"/>
      <c r="D5" s="24" t="s">
        <v>523</v>
      </c>
      <c r="E5" s="24" t="s">
        <v>523</v>
      </c>
      <c r="F5" s="24" t="s">
        <v>523</v>
      </c>
      <c r="G5" s="24" t="s">
        <v>523</v>
      </c>
      <c r="H5" s="26" t="s">
        <v>523</v>
      </c>
      <c r="I5" s="24" t="s">
        <v>524</v>
      </c>
      <c r="J5" s="24" t="s">
        <v>524</v>
      </c>
      <c r="K5" s="24" t="s">
        <v>524</v>
      </c>
      <c r="L5" s="24" t="s">
        <v>524</v>
      </c>
      <c r="M5" s="26" t="s">
        <v>524</v>
      </c>
      <c r="N5" s="24" t="s">
        <v>523</v>
      </c>
      <c r="O5" s="26" t="s">
        <v>523</v>
      </c>
      <c r="P5" s="24" t="s">
        <v>524</v>
      </c>
      <c r="Q5" s="24" t="s">
        <v>524</v>
      </c>
    </row>
    <row r="6" spans="1:17" x14ac:dyDescent="0.25">
      <c r="A6" s="2"/>
      <c r="B6" s="2"/>
      <c r="C6" s="2"/>
      <c r="N6" s="3" t="s">
        <v>620</v>
      </c>
      <c r="O6" s="24"/>
      <c r="P6" s="3" t="s">
        <v>620</v>
      </c>
      <c r="Q6" s="24"/>
    </row>
    <row r="7" spans="1:17" x14ac:dyDescent="0.25">
      <c r="A7" s="2"/>
      <c r="B7" s="2"/>
      <c r="C7" s="2"/>
      <c r="F7" s="3" t="s">
        <v>553</v>
      </c>
      <c r="G7" s="3" t="s">
        <v>553</v>
      </c>
      <c r="H7" s="26"/>
      <c r="I7" s="3"/>
      <c r="J7" s="3"/>
      <c r="K7" s="3" t="s">
        <v>553</v>
      </c>
      <c r="L7" s="3" t="s">
        <v>553</v>
      </c>
      <c r="M7" s="26"/>
      <c r="N7" s="24" t="str">
        <f>+"= {Min of "&amp;+F3&amp;" or"</f>
        <v>= {Min of C or</v>
      </c>
      <c r="O7" s="24" t="s">
        <v>621</v>
      </c>
      <c r="P7" s="24" t="str">
        <f>+"= {Min of "&amp;+K3&amp;" or"</f>
        <v>= {Min of H or</v>
      </c>
      <c r="Q7" s="24" t="s">
        <v>621</v>
      </c>
    </row>
    <row r="8" spans="1:17" x14ac:dyDescent="0.25">
      <c r="A8" s="2"/>
      <c r="B8" s="2"/>
      <c r="C8" s="2"/>
      <c r="D8" s="3" t="s">
        <v>554</v>
      </c>
      <c r="E8" s="3" t="s">
        <v>555</v>
      </c>
      <c r="F8" s="3" t="s">
        <v>556</v>
      </c>
      <c r="G8" s="3" t="s">
        <v>556</v>
      </c>
      <c r="H8" s="26"/>
      <c r="I8" s="3" t="s">
        <v>554</v>
      </c>
      <c r="J8" s="3" t="s">
        <v>555</v>
      </c>
      <c r="K8" s="3" t="s">
        <v>556</v>
      </c>
      <c r="L8" s="3" t="s">
        <v>556</v>
      </c>
      <c r="M8" s="26"/>
      <c r="N8" s="24" t="str">
        <f>+"[("&amp;+D3&amp;"+"&amp;+E3&amp;") x "&amp;+H3&amp;"]}"</f>
        <v>[(A+B) x E]}</v>
      </c>
      <c r="O8" s="24" t="str">
        <f>+"= 0.3 x ("&amp;+N3&amp;"-"&amp;+G3&amp;")"</f>
        <v>= 0.3 x (K-D)</v>
      </c>
      <c r="P8" s="24" t="str">
        <f>+"[("&amp;+I3&amp;"+"&amp;+J3&amp;") x "&amp;+M3&amp;"]}"</f>
        <v>[(F+G) x J]}</v>
      </c>
      <c r="Q8" s="24" t="str">
        <f>+"= 0.3 x ("&amp;+P3&amp;"-"&amp;+L3&amp;")"</f>
        <v>= 0.3 x (M-I)</v>
      </c>
    </row>
    <row r="9" spans="1:17" x14ac:dyDescent="0.25">
      <c r="A9" s="2"/>
      <c r="B9" s="2"/>
      <c r="C9" s="2"/>
      <c r="D9" s="4" t="s">
        <v>557</v>
      </c>
      <c r="E9" s="3" t="s">
        <v>558</v>
      </c>
      <c r="F9" s="3" t="s">
        <v>559</v>
      </c>
      <c r="G9" s="3" t="s">
        <v>560</v>
      </c>
      <c r="H9" s="26" t="s">
        <v>561</v>
      </c>
      <c r="I9" s="3" t="s">
        <v>557</v>
      </c>
      <c r="J9" s="3" t="s">
        <v>558</v>
      </c>
      <c r="K9" s="3" t="s">
        <v>559</v>
      </c>
      <c r="L9" s="3" t="s">
        <v>560</v>
      </c>
      <c r="M9" s="26" t="s">
        <v>561</v>
      </c>
      <c r="N9" s="24" t="str">
        <f>+"+ "&amp;+G3</f>
        <v>+ D</v>
      </c>
      <c r="O9" s="24" t="str">
        <f>+"+ 0.7 x "&amp;+E3&amp;" x "&amp;+H3</f>
        <v>+ 0.7 x B x E</v>
      </c>
      <c r="P9" s="24" t="str">
        <f>+"+ "&amp;+L3</f>
        <v>+ I</v>
      </c>
      <c r="Q9" s="24" t="str">
        <f>+"+ 0.7 x "&amp;+J3&amp;" x "&amp;+M3</f>
        <v>+ 0.7 x G x J</v>
      </c>
    </row>
    <row r="10" spans="1:17" x14ac:dyDescent="0.25">
      <c r="A10" s="2"/>
      <c r="B10" s="2"/>
      <c r="C10" s="2"/>
      <c r="N10" s="25"/>
      <c r="O10" s="25"/>
      <c r="P10" s="25"/>
      <c r="Q10" s="25"/>
    </row>
    <row r="11" spans="1:17" x14ac:dyDescent="0.25">
      <c r="A11" s="2"/>
      <c r="B11" s="2"/>
      <c r="C11" s="2" t="s">
        <v>624</v>
      </c>
      <c r="D11" s="26">
        <f>N11/H11</f>
        <v>157.7871029059051</v>
      </c>
      <c r="E11" s="26" t="s">
        <v>562</v>
      </c>
      <c r="F11" s="26" t="s">
        <v>562</v>
      </c>
      <c r="G11" s="26" t="s">
        <v>562</v>
      </c>
      <c r="H11" s="25">
        <f>SUMIF(F18:F165,"&gt;0",H18:H165)</f>
        <v>590110.45000000019</v>
      </c>
      <c r="I11" s="26">
        <f>P11/M11</f>
        <v>158.20121085540256</v>
      </c>
      <c r="J11" s="25">
        <f t="shared" ref="J11:Q11" si="0">SUM(J18:J165)</f>
        <v>35</v>
      </c>
      <c r="K11" s="26" t="s">
        <v>562</v>
      </c>
      <c r="L11" s="26" t="s">
        <v>562</v>
      </c>
      <c r="M11" s="25">
        <f>SUMIF(K18:K165,"&gt;0",M18:M165)</f>
        <v>588139.59</v>
      </c>
      <c r="N11" s="25">
        <f t="shared" si="0"/>
        <v>93111818.299999997</v>
      </c>
      <c r="O11" s="25">
        <f t="shared" si="0"/>
        <v>28444848.834999986</v>
      </c>
      <c r="P11" s="25">
        <f t="shared" si="0"/>
        <v>93044395.290000007</v>
      </c>
      <c r="Q11" s="25">
        <f t="shared" si="0"/>
        <v>28424621.932000011</v>
      </c>
    </row>
    <row r="12" spans="1:17" x14ac:dyDescent="0.25">
      <c r="A12" s="2"/>
      <c r="B12" s="2"/>
      <c r="C12" s="2"/>
      <c r="D12" s="26"/>
      <c r="E12" s="26"/>
      <c r="F12" s="26"/>
      <c r="G12" s="26"/>
      <c r="H12" s="25"/>
      <c r="M12" s="25"/>
      <c r="N12" s="25"/>
      <c r="P12" s="25"/>
    </row>
    <row r="13" spans="1:17" x14ac:dyDescent="0.25">
      <c r="A13" s="2"/>
      <c r="B13" s="2"/>
      <c r="C13" s="2" t="s">
        <v>625</v>
      </c>
      <c r="D13" s="26">
        <f>N13/H13</f>
        <v>479.99999999999994</v>
      </c>
      <c r="E13" s="26" t="s">
        <v>562</v>
      </c>
      <c r="F13" s="26" t="s">
        <v>562</v>
      </c>
      <c r="G13" s="26" t="s">
        <v>562</v>
      </c>
      <c r="H13" s="25">
        <f t="shared" ref="H13:Q13" si="1">H18</f>
        <v>37390.79</v>
      </c>
      <c r="I13" s="26">
        <f>P13/M13</f>
        <v>479.99999999999994</v>
      </c>
      <c r="J13" s="26" t="s">
        <v>562</v>
      </c>
      <c r="K13" s="26" t="s">
        <v>562</v>
      </c>
      <c r="L13" s="26" t="s">
        <v>562</v>
      </c>
      <c r="M13" s="25">
        <f>M18</f>
        <v>37390.79</v>
      </c>
      <c r="N13" s="25">
        <f t="shared" si="1"/>
        <v>17947579.199999999</v>
      </c>
      <c r="O13" s="25">
        <f t="shared" si="1"/>
        <v>6300348.1150000002</v>
      </c>
      <c r="P13" s="25">
        <f t="shared" si="1"/>
        <v>17947579.199999999</v>
      </c>
      <c r="Q13" s="25">
        <f t="shared" si="1"/>
        <v>6300348.1150000002</v>
      </c>
    </row>
    <row r="14" spans="1:17" x14ac:dyDescent="0.25">
      <c r="A14" s="2"/>
      <c r="B14" s="2"/>
      <c r="C14" s="2" t="s">
        <v>626</v>
      </c>
      <c r="D14" s="26">
        <f>N14/H14</f>
        <v>445</v>
      </c>
      <c r="E14" s="26" t="s">
        <v>562</v>
      </c>
      <c r="F14" s="26" t="s">
        <v>562</v>
      </c>
      <c r="G14" s="26" t="s">
        <v>562</v>
      </c>
      <c r="H14" s="25">
        <f t="shared" ref="H14:Q14" si="2">H101</f>
        <v>41766.39</v>
      </c>
      <c r="I14" s="26">
        <f>P14/M14</f>
        <v>445</v>
      </c>
      <c r="J14" s="26" t="s">
        <v>562</v>
      </c>
      <c r="K14" s="26" t="s">
        <v>562</v>
      </c>
      <c r="L14" s="26" t="s">
        <v>562</v>
      </c>
      <c r="M14" s="25">
        <f>M101</f>
        <v>41748.67</v>
      </c>
      <c r="N14" s="25">
        <f t="shared" si="2"/>
        <v>18586043.550000001</v>
      </c>
      <c r="O14" s="25">
        <f t="shared" si="2"/>
        <v>5575813.0650000004</v>
      </c>
      <c r="P14" s="25">
        <f t="shared" si="2"/>
        <v>18578158.149999999</v>
      </c>
      <c r="Q14" s="25">
        <f t="shared" si="2"/>
        <v>5573447.4449999994</v>
      </c>
    </row>
    <row r="15" spans="1:17" x14ac:dyDescent="0.25">
      <c r="A15" s="2"/>
      <c r="B15" s="2"/>
      <c r="C15" s="2" t="s">
        <v>627</v>
      </c>
      <c r="D15" s="26">
        <f>N15/H15</f>
        <v>206</v>
      </c>
      <c r="E15" s="26" t="s">
        <v>562</v>
      </c>
      <c r="F15" s="26" t="s">
        <v>562</v>
      </c>
      <c r="G15" s="26" t="s">
        <v>562</v>
      </c>
      <c r="H15" s="25">
        <f t="shared" ref="H15:Q15" si="3">H106</f>
        <v>10138.6</v>
      </c>
      <c r="I15" s="26">
        <f>P15/M15</f>
        <v>206</v>
      </c>
      <c r="J15" s="26" t="s">
        <v>562</v>
      </c>
      <c r="K15" s="26" t="s">
        <v>562</v>
      </c>
      <c r="L15" s="26" t="s">
        <v>562</v>
      </c>
      <c r="M15" s="25">
        <f>M106</f>
        <v>9943.1299999999992</v>
      </c>
      <c r="N15" s="25">
        <f t="shared" si="3"/>
        <v>2088551.6</v>
      </c>
      <c r="O15" s="25">
        <f t="shared" si="3"/>
        <v>626565.48</v>
      </c>
      <c r="P15" s="25">
        <f t="shared" si="3"/>
        <v>2048284.7799999998</v>
      </c>
      <c r="Q15" s="25">
        <f t="shared" si="3"/>
        <v>614485.43399999989</v>
      </c>
    </row>
    <row r="16" spans="1:17" x14ac:dyDescent="0.25">
      <c r="A16" s="2"/>
      <c r="B16" s="2"/>
      <c r="C16" s="2" t="s">
        <v>628</v>
      </c>
      <c r="D16" s="26">
        <f>N16/H16</f>
        <v>108.80201242906878</v>
      </c>
      <c r="E16" s="26" t="s">
        <v>562</v>
      </c>
      <c r="F16" s="26" t="s">
        <v>562</v>
      </c>
      <c r="G16" s="26" t="s">
        <v>562</v>
      </c>
      <c r="H16" s="25">
        <f>H11-H13-H14-H15</f>
        <v>500814.67000000016</v>
      </c>
      <c r="I16" s="26">
        <f>P16/M16</f>
        <v>109.14659680156778</v>
      </c>
      <c r="J16" s="26" t="s">
        <v>562</v>
      </c>
      <c r="K16" s="26" t="s">
        <v>562</v>
      </c>
      <c r="L16" s="26" t="s">
        <v>562</v>
      </c>
      <c r="M16" s="25">
        <f>M11-M13-M14-M15</f>
        <v>499056.99999999994</v>
      </c>
      <c r="N16" s="25">
        <f>N11-N13-N14-N15</f>
        <v>54489643.949999996</v>
      </c>
      <c r="O16" s="25">
        <f>O11-O13-O14-O15</f>
        <v>15942122.174999982</v>
      </c>
      <c r="P16" s="25">
        <f>P11-P13-P14-P15</f>
        <v>54470373.160000004</v>
      </c>
      <c r="Q16" s="25">
        <f>Q11-Q13-Q14-Q15</f>
        <v>15936340.938000008</v>
      </c>
    </row>
    <row r="17" spans="1:17" x14ac:dyDescent="0.25">
      <c r="A17" s="2"/>
      <c r="B17" s="2"/>
      <c r="C17" s="2"/>
      <c r="G17" s="25"/>
      <c r="H17" s="25"/>
      <c r="M17" s="25"/>
    </row>
    <row r="18" spans="1:17" x14ac:dyDescent="0.25">
      <c r="A18" s="10">
        <v>1.2</v>
      </c>
      <c r="B18" s="10">
        <v>3</v>
      </c>
      <c r="C18" s="11" t="s">
        <v>6</v>
      </c>
      <c r="D18" s="25">
        <v>445</v>
      </c>
      <c r="E18" s="25">
        <v>35</v>
      </c>
      <c r="F18" s="25">
        <f>H18*(D18+E18)</f>
        <v>17947579.199999999</v>
      </c>
      <c r="G18" s="25">
        <v>0</v>
      </c>
      <c r="H18" s="25">
        <v>37390.79</v>
      </c>
      <c r="I18" s="25">
        <v>445</v>
      </c>
      <c r="J18" s="25">
        <v>35</v>
      </c>
      <c r="K18" s="25">
        <f>M18*(I18+J18)</f>
        <v>17947579.199999999</v>
      </c>
      <c r="L18" s="25">
        <v>0</v>
      </c>
      <c r="M18" s="25">
        <v>37390.79</v>
      </c>
      <c r="N18" s="25">
        <f>MIN(F18,(D18+E18)*H18)+G18</f>
        <v>17947579.199999999</v>
      </c>
      <c r="O18" s="25">
        <f>0.3*(N18-G18)+0.7*E18*H18</f>
        <v>6300348.1150000002</v>
      </c>
      <c r="P18" s="25">
        <f>MIN(K18,(I18+J18)*M18)+L18</f>
        <v>17947579.199999999</v>
      </c>
      <c r="Q18" s="25">
        <f>0.3*(P18-L18)+0.7*J18*M18</f>
        <v>6300348.1150000002</v>
      </c>
    </row>
    <row r="19" spans="1:17" x14ac:dyDescent="0.25">
      <c r="A19" s="10">
        <v>6</v>
      </c>
      <c r="B19" s="10">
        <v>3</v>
      </c>
      <c r="C19" s="11" t="s">
        <v>9</v>
      </c>
      <c r="D19" s="25">
        <v>129</v>
      </c>
      <c r="E19" s="25">
        <v>0</v>
      </c>
      <c r="F19" s="25">
        <v>489297</v>
      </c>
      <c r="G19" s="25">
        <v>25240</v>
      </c>
      <c r="H19" s="25">
        <v>3792.79</v>
      </c>
      <c r="I19" s="25">
        <v>129</v>
      </c>
      <c r="J19" s="25">
        <v>0</v>
      </c>
      <c r="K19" s="25">
        <v>490000</v>
      </c>
      <c r="L19" s="25">
        <v>25240</v>
      </c>
      <c r="M19" s="25">
        <v>3734.43</v>
      </c>
      <c r="N19" s="25">
        <f t="shared" ref="N19:N82" si="4">MIN(F19,(D19+E19)*H19)+G19</f>
        <v>514509.91</v>
      </c>
      <c r="O19" s="25">
        <f t="shared" ref="O19:O82" si="5">0.3*(N19-G19)+0.7*E19*H19</f>
        <v>146780.973</v>
      </c>
      <c r="P19" s="25">
        <f t="shared" ref="P19:P82" si="6">MIN(K19,(I19+J19)*M19)+L19</f>
        <v>506981.47</v>
      </c>
      <c r="Q19" s="25">
        <f t="shared" ref="Q19:Q82" si="7">0.3*(P19-L19)+0.7*J19*M19</f>
        <v>144522.44099999999</v>
      </c>
    </row>
    <row r="20" spans="1:17" x14ac:dyDescent="0.25">
      <c r="A20" s="10">
        <v>11</v>
      </c>
      <c r="B20" s="10">
        <v>1</v>
      </c>
      <c r="C20" s="11" t="s">
        <v>10</v>
      </c>
      <c r="D20" s="25">
        <v>129</v>
      </c>
      <c r="E20" s="25">
        <v>0</v>
      </c>
      <c r="F20" s="25">
        <v>5743467</v>
      </c>
      <c r="G20" s="25">
        <v>0</v>
      </c>
      <c r="H20" s="25">
        <v>43804.85</v>
      </c>
      <c r="I20" s="25">
        <v>129</v>
      </c>
      <c r="J20" s="25">
        <v>0</v>
      </c>
      <c r="K20" s="25">
        <v>5654574</v>
      </c>
      <c r="L20" s="25">
        <v>0</v>
      </c>
      <c r="M20" s="25">
        <v>43214.06</v>
      </c>
      <c r="N20" s="25">
        <f t="shared" si="4"/>
        <v>5650825.6499999994</v>
      </c>
      <c r="O20" s="25">
        <f t="shared" si="5"/>
        <v>1695247.6949999998</v>
      </c>
      <c r="P20" s="25">
        <f t="shared" si="6"/>
        <v>5574613.7399999993</v>
      </c>
      <c r="Q20" s="25">
        <f t="shared" si="7"/>
        <v>1672384.1219999997</v>
      </c>
    </row>
    <row r="21" spans="1:17" x14ac:dyDescent="0.25">
      <c r="A21" s="10">
        <v>13</v>
      </c>
      <c r="B21" s="10">
        <v>1</v>
      </c>
      <c r="C21" s="11" t="s">
        <v>12</v>
      </c>
      <c r="D21" s="25">
        <v>129</v>
      </c>
      <c r="E21" s="25">
        <v>0</v>
      </c>
      <c r="F21" s="25">
        <v>432960</v>
      </c>
      <c r="G21" s="25">
        <v>174736</v>
      </c>
      <c r="H21" s="25">
        <v>3159.18</v>
      </c>
      <c r="I21" s="25">
        <v>129</v>
      </c>
      <c r="J21" s="25">
        <v>0</v>
      </c>
      <c r="K21" s="25">
        <v>450000</v>
      </c>
      <c r="L21" s="25">
        <v>174736</v>
      </c>
      <c r="M21" s="25">
        <v>3119.83</v>
      </c>
      <c r="N21" s="25">
        <f t="shared" si="4"/>
        <v>582270.22</v>
      </c>
      <c r="O21" s="25">
        <f t="shared" si="5"/>
        <v>122260.26599999999</v>
      </c>
      <c r="P21" s="25">
        <f t="shared" si="6"/>
        <v>577194.07000000007</v>
      </c>
      <c r="Q21" s="25">
        <f t="shared" si="7"/>
        <v>120737.42100000002</v>
      </c>
    </row>
    <row r="22" spans="1:17" x14ac:dyDescent="0.25">
      <c r="A22" s="10">
        <v>14</v>
      </c>
      <c r="B22" s="10">
        <v>1</v>
      </c>
      <c r="C22" s="11" t="s">
        <v>13</v>
      </c>
      <c r="D22" s="25">
        <v>129</v>
      </c>
      <c r="E22" s="25">
        <v>0</v>
      </c>
      <c r="F22" s="25">
        <v>432279</v>
      </c>
      <c r="G22" s="25">
        <v>12000</v>
      </c>
      <c r="H22" s="25">
        <v>3406.52</v>
      </c>
      <c r="I22" s="25">
        <v>129</v>
      </c>
      <c r="J22" s="25">
        <v>0</v>
      </c>
      <c r="K22" s="25">
        <v>444279</v>
      </c>
      <c r="L22" s="25">
        <v>12000</v>
      </c>
      <c r="M22" s="25">
        <v>3461.71</v>
      </c>
      <c r="N22" s="25">
        <f t="shared" si="4"/>
        <v>444279</v>
      </c>
      <c r="O22" s="25">
        <f t="shared" si="5"/>
        <v>129683.7</v>
      </c>
      <c r="P22" s="25">
        <f t="shared" si="6"/>
        <v>456279</v>
      </c>
      <c r="Q22" s="25">
        <f t="shared" si="7"/>
        <v>133283.69999999998</v>
      </c>
    </row>
    <row r="23" spans="1:17" x14ac:dyDescent="0.25">
      <c r="A23" s="10">
        <v>16</v>
      </c>
      <c r="B23" s="10">
        <v>1</v>
      </c>
      <c r="C23" s="11" t="s">
        <v>15</v>
      </c>
      <c r="D23" s="25">
        <v>92</v>
      </c>
      <c r="E23" s="25">
        <v>0</v>
      </c>
      <c r="F23" s="25">
        <v>497352</v>
      </c>
      <c r="G23" s="25">
        <v>5987</v>
      </c>
      <c r="H23" s="25">
        <v>5405.82</v>
      </c>
      <c r="I23" s="25">
        <v>92</v>
      </c>
      <c r="J23" s="25">
        <v>0</v>
      </c>
      <c r="K23" s="25">
        <v>510000</v>
      </c>
      <c r="L23" s="25">
        <v>5987</v>
      </c>
      <c r="M23" s="25">
        <v>5458.62</v>
      </c>
      <c r="N23" s="25">
        <f t="shared" si="4"/>
        <v>503322.43999999994</v>
      </c>
      <c r="O23" s="25">
        <f t="shared" si="5"/>
        <v>149200.63199999998</v>
      </c>
      <c r="P23" s="25">
        <f t="shared" si="6"/>
        <v>508180.04</v>
      </c>
      <c r="Q23" s="25">
        <f t="shared" si="7"/>
        <v>150657.91199999998</v>
      </c>
    </row>
    <row r="24" spans="1:17" x14ac:dyDescent="0.25">
      <c r="A24" s="10">
        <v>22</v>
      </c>
      <c r="B24" s="10">
        <v>1</v>
      </c>
      <c r="C24" s="11" t="s">
        <v>16</v>
      </c>
      <c r="D24" s="25">
        <v>129</v>
      </c>
      <c r="E24" s="25">
        <v>0</v>
      </c>
      <c r="F24" s="25">
        <v>269560</v>
      </c>
      <c r="G24" s="25">
        <v>0</v>
      </c>
      <c r="H24" s="25">
        <v>3188.55</v>
      </c>
      <c r="I24" s="25">
        <v>129</v>
      </c>
      <c r="J24" s="25">
        <v>0</v>
      </c>
      <c r="K24" s="25">
        <v>269560</v>
      </c>
      <c r="L24" s="25">
        <v>0</v>
      </c>
      <c r="M24" s="25">
        <v>3207.72</v>
      </c>
      <c r="N24" s="25">
        <f t="shared" si="4"/>
        <v>269560</v>
      </c>
      <c r="O24" s="25">
        <f t="shared" si="5"/>
        <v>80868</v>
      </c>
      <c r="P24" s="25">
        <f t="shared" si="6"/>
        <v>269560</v>
      </c>
      <c r="Q24" s="25">
        <f t="shared" si="7"/>
        <v>80868</v>
      </c>
    </row>
    <row r="25" spans="1:17" x14ac:dyDescent="0.25">
      <c r="A25" s="10">
        <v>23</v>
      </c>
      <c r="B25" s="10">
        <v>1</v>
      </c>
      <c r="C25" s="11" t="s">
        <v>17</v>
      </c>
      <c r="D25" s="25">
        <v>92</v>
      </c>
      <c r="E25" s="25">
        <v>0</v>
      </c>
      <c r="F25" s="25">
        <v>94760</v>
      </c>
      <c r="G25" s="25">
        <v>0</v>
      </c>
      <c r="H25" s="25">
        <v>1010.4</v>
      </c>
      <c r="I25" s="25">
        <v>92</v>
      </c>
      <c r="J25" s="25">
        <v>0</v>
      </c>
      <c r="K25" s="25">
        <v>94760</v>
      </c>
      <c r="L25" s="25">
        <v>0</v>
      </c>
      <c r="M25" s="25">
        <v>1017.72</v>
      </c>
      <c r="N25" s="25">
        <f t="shared" si="4"/>
        <v>92956.800000000003</v>
      </c>
      <c r="O25" s="25">
        <f t="shared" si="5"/>
        <v>27887.040000000001</v>
      </c>
      <c r="P25" s="25">
        <f t="shared" si="6"/>
        <v>93630.24</v>
      </c>
      <c r="Q25" s="25">
        <f t="shared" si="7"/>
        <v>28089.072</v>
      </c>
    </row>
    <row r="26" spans="1:17" x14ac:dyDescent="0.25">
      <c r="A26" s="10">
        <v>47</v>
      </c>
      <c r="B26" s="10">
        <v>1</v>
      </c>
      <c r="C26" s="11" t="s">
        <v>23</v>
      </c>
      <c r="D26" s="25">
        <v>92</v>
      </c>
      <c r="E26" s="25">
        <v>0</v>
      </c>
      <c r="F26" s="25">
        <v>368000</v>
      </c>
      <c r="G26" s="25">
        <v>0</v>
      </c>
      <c r="H26" s="25">
        <v>4176.47</v>
      </c>
      <c r="I26" s="25">
        <v>92</v>
      </c>
      <c r="J26" s="25">
        <v>0</v>
      </c>
      <c r="K26" s="25">
        <v>368000</v>
      </c>
      <c r="L26" s="25">
        <v>0</v>
      </c>
      <c r="M26" s="25">
        <v>4133.8599999999997</v>
      </c>
      <c r="N26" s="25">
        <f t="shared" si="4"/>
        <v>368000</v>
      </c>
      <c r="O26" s="25">
        <f t="shared" si="5"/>
        <v>110400</v>
      </c>
      <c r="P26" s="25">
        <f t="shared" si="6"/>
        <v>368000</v>
      </c>
      <c r="Q26" s="25">
        <f t="shared" si="7"/>
        <v>110400</v>
      </c>
    </row>
    <row r="27" spans="1:17" x14ac:dyDescent="0.25">
      <c r="A27" s="10">
        <v>51</v>
      </c>
      <c r="B27" s="10">
        <v>1</v>
      </c>
      <c r="C27" s="11" t="s">
        <v>24</v>
      </c>
      <c r="D27" s="25">
        <v>92</v>
      </c>
      <c r="E27" s="25">
        <v>0</v>
      </c>
      <c r="F27" s="25">
        <v>176500</v>
      </c>
      <c r="G27" s="25">
        <v>0</v>
      </c>
      <c r="H27" s="25">
        <v>2021.98</v>
      </c>
      <c r="I27" s="25">
        <v>92</v>
      </c>
      <c r="J27" s="25">
        <v>0</v>
      </c>
      <c r="K27" s="25">
        <v>176500</v>
      </c>
      <c r="L27" s="25">
        <v>0</v>
      </c>
      <c r="M27" s="25">
        <v>2028.24</v>
      </c>
      <c r="N27" s="25">
        <f t="shared" si="4"/>
        <v>176500</v>
      </c>
      <c r="O27" s="25">
        <f t="shared" si="5"/>
        <v>52950</v>
      </c>
      <c r="P27" s="25">
        <f t="shared" si="6"/>
        <v>176500</v>
      </c>
      <c r="Q27" s="25">
        <f t="shared" si="7"/>
        <v>52950</v>
      </c>
    </row>
    <row r="28" spans="1:17" x14ac:dyDescent="0.25">
      <c r="A28" s="10">
        <v>81</v>
      </c>
      <c r="B28" s="10">
        <v>1</v>
      </c>
      <c r="C28" s="11" t="s">
        <v>27</v>
      </c>
      <c r="D28" s="25">
        <v>92</v>
      </c>
      <c r="E28" s="25">
        <v>0</v>
      </c>
      <c r="F28" s="25">
        <v>15000</v>
      </c>
      <c r="G28" s="25">
        <v>0</v>
      </c>
      <c r="H28" s="25">
        <v>188.7</v>
      </c>
      <c r="I28" s="25">
        <v>92</v>
      </c>
      <c r="J28" s="25">
        <v>0</v>
      </c>
      <c r="K28" s="25">
        <v>15000</v>
      </c>
      <c r="L28" s="25">
        <v>0</v>
      </c>
      <c r="M28" s="25">
        <v>188.39</v>
      </c>
      <c r="N28" s="25">
        <f t="shared" si="4"/>
        <v>15000</v>
      </c>
      <c r="O28" s="25">
        <f t="shared" si="5"/>
        <v>4500</v>
      </c>
      <c r="P28" s="25">
        <f t="shared" si="6"/>
        <v>15000</v>
      </c>
      <c r="Q28" s="25">
        <f t="shared" si="7"/>
        <v>4500</v>
      </c>
    </row>
    <row r="29" spans="1:17" x14ac:dyDescent="0.25">
      <c r="A29" s="10">
        <v>84</v>
      </c>
      <c r="B29" s="10">
        <v>1</v>
      </c>
      <c r="C29" s="11" t="s">
        <v>28</v>
      </c>
      <c r="D29" s="25">
        <v>129</v>
      </c>
      <c r="E29" s="25">
        <v>0</v>
      </c>
      <c r="F29" s="25">
        <v>81537</v>
      </c>
      <c r="G29" s="25">
        <v>0</v>
      </c>
      <c r="H29" s="25">
        <v>632.05999999999995</v>
      </c>
      <c r="I29" s="25">
        <v>129</v>
      </c>
      <c r="J29" s="25">
        <v>0</v>
      </c>
      <c r="K29" s="25">
        <v>85000</v>
      </c>
      <c r="L29" s="25">
        <v>0</v>
      </c>
      <c r="M29" s="25">
        <v>610.54</v>
      </c>
      <c r="N29" s="25">
        <f t="shared" si="4"/>
        <v>81535.739999999991</v>
      </c>
      <c r="O29" s="25">
        <f t="shared" si="5"/>
        <v>24460.721999999998</v>
      </c>
      <c r="P29" s="25">
        <f t="shared" si="6"/>
        <v>78759.659999999989</v>
      </c>
      <c r="Q29" s="25">
        <f t="shared" si="7"/>
        <v>23627.897999999997</v>
      </c>
    </row>
    <row r="30" spans="1:17" x14ac:dyDescent="0.25">
      <c r="A30" s="10">
        <v>85</v>
      </c>
      <c r="B30" s="10">
        <v>1</v>
      </c>
      <c r="C30" s="11" t="s">
        <v>29</v>
      </c>
      <c r="D30" s="25">
        <v>92</v>
      </c>
      <c r="E30" s="25">
        <v>0</v>
      </c>
      <c r="F30" s="25">
        <v>56750</v>
      </c>
      <c r="G30" s="25">
        <v>0</v>
      </c>
      <c r="H30" s="25">
        <v>655.79</v>
      </c>
      <c r="I30" s="25">
        <v>92</v>
      </c>
      <c r="J30" s="25">
        <v>0</v>
      </c>
      <c r="K30" s="25">
        <v>56750</v>
      </c>
      <c r="L30" s="25">
        <v>0</v>
      </c>
      <c r="M30" s="25">
        <v>641.05999999999995</v>
      </c>
      <c r="N30" s="25">
        <f t="shared" si="4"/>
        <v>56750</v>
      </c>
      <c r="O30" s="25">
        <f t="shared" si="5"/>
        <v>17025</v>
      </c>
      <c r="P30" s="25">
        <f t="shared" si="6"/>
        <v>56750</v>
      </c>
      <c r="Q30" s="25">
        <f t="shared" si="7"/>
        <v>17025</v>
      </c>
    </row>
    <row r="31" spans="1:17" x14ac:dyDescent="0.25">
      <c r="A31" s="10">
        <v>88</v>
      </c>
      <c r="B31" s="10">
        <v>1</v>
      </c>
      <c r="C31" s="11" t="s">
        <v>30</v>
      </c>
      <c r="D31" s="25">
        <v>92</v>
      </c>
      <c r="E31" s="25">
        <v>0</v>
      </c>
      <c r="F31" s="25">
        <v>214097.8</v>
      </c>
      <c r="G31" s="25">
        <v>0</v>
      </c>
      <c r="H31" s="25">
        <v>2327.14</v>
      </c>
      <c r="I31" s="25">
        <v>92</v>
      </c>
      <c r="J31" s="25">
        <v>0</v>
      </c>
      <c r="K31" s="25">
        <v>214097.8</v>
      </c>
      <c r="L31" s="25">
        <v>0</v>
      </c>
      <c r="M31" s="25">
        <v>2326.37</v>
      </c>
      <c r="N31" s="25">
        <f t="shared" si="4"/>
        <v>214096.87999999998</v>
      </c>
      <c r="O31" s="25">
        <f t="shared" si="5"/>
        <v>64229.063999999991</v>
      </c>
      <c r="P31" s="25">
        <f t="shared" si="6"/>
        <v>214026.03999999998</v>
      </c>
      <c r="Q31" s="25">
        <f t="shared" si="7"/>
        <v>64207.811999999991</v>
      </c>
    </row>
    <row r="32" spans="1:17" x14ac:dyDescent="0.25">
      <c r="A32">
        <v>93</v>
      </c>
      <c r="B32">
        <v>1</v>
      </c>
      <c r="C32" t="s">
        <v>563</v>
      </c>
      <c r="D32" s="25">
        <v>92</v>
      </c>
      <c r="E32" s="25">
        <v>0</v>
      </c>
      <c r="F32" s="25">
        <v>3000</v>
      </c>
      <c r="G32" s="25">
        <v>0</v>
      </c>
      <c r="H32" s="25">
        <v>536.25</v>
      </c>
      <c r="I32" s="25">
        <v>92</v>
      </c>
      <c r="J32" s="25">
        <v>0</v>
      </c>
      <c r="K32" s="25">
        <v>59690</v>
      </c>
      <c r="L32" s="25">
        <v>0</v>
      </c>
      <c r="M32" s="25">
        <v>526.36</v>
      </c>
      <c r="N32" s="25">
        <f t="shared" si="4"/>
        <v>3000</v>
      </c>
      <c r="O32" s="25">
        <f t="shared" si="5"/>
        <v>900</v>
      </c>
      <c r="P32" s="25">
        <f t="shared" si="6"/>
        <v>48425.120000000003</v>
      </c>
      <c r="Q32" s="25">
        <f t="shared" si="7"/>
        <v>14527.536</v>
      </c>
    </row>
    <row r="33" spans="1:17" x14ac:dyDescent="0.25">
      <c r="A33">
        <v>94</v>
      </c>
      <c r="B33">
        <v>1</v>
      </c>
      <c r="C33" t="s">
        <v>564</v>
      </c>
      <c r="D33" s="25">
        <v>129</v>
      </c>
      <c r="E33" s="25">
        <v>0</v>
      </c>
      <c r="F33" s="25">
        <v>10000</v>
      </c>
      <c r="G33" s="25">
        <v>0</v>
      </c>
      <c r="H33" s="25">
        <v>2960.78</v>
      </c>
      <c r="I33" s="25">
        <v>129</v>
      </c>
      <c r="J33" s="25">
        <v>0</v>
      </c>
      <c r="K33" s="25">
        <v>250000</v>
      </c>
      <c r="L33" s="25">
        <v>0</v>
      </c>
      <c r="M33" s="25">
        <v>2978.39</v>
      </c>
      <c r="N33" s="25">
        <f t="shared" si="4"/>
        <v>10000</v>
      </c>
      <c r="O33" s="25">
        <f t="shared" si="5"/>
        <v>3000</v>
      </c>
      <c r="P33" s="25">
        <f t="shared" si="6"/>
        <v>250000</v>
      </c>
      <c r="Q33" s="25">
        <f t="shared" si="7"/>
        <v>75000</v>
      </c>
    </row>
    <row r="34" spans="1:17" x14ac:dyDescent="0.25">
      <c r="A34">
        <v>95</v>
      </c>
      <c r="B34">
        <v>1</v>
      </c>
      <c r="C34" t="s">
        <v>565</v>
      </c>
      <c r="D34" s="25">
        <v>92</v>
      </c>
      <c r="E34" s="25">
        <v>0</v>
      </c>
      <c r="F34" s="25">
        <v>0</v>
      </c>
      <c r="G34" s="25">
        <v>0</v>
      </c>
      <c r="H34" s="25">
        <v>288.04000000000002</v>
      </c>
      <c r="I34" s="25">
        <v>92</v>
      </c>
      <c r="J34" s="25">
        <v>0</v>
      </c>
      <c r="K34" s="25">
        <v>32936</v>
      </c>
      <c r="L34" s="25">
        <v>0</v>
      </c>
      <c r="M34" s="25">
        <v>288.05</v>
      </c>
      <c r="N34" s="25">
        <f t="shared" si="4"/>
        <v>0</v>
      </c>
      <c r="O34" s="25">
        <f t="shared" si="5"/>
        <v>0</v>
      </c>
      <c r="P34" s="25">
        <f t="shared" si="6"/>
        <v>26500.600000000002</v>
      </c>
      <c r="Q34" s="25">
        <f t="shared" si="7"/>
        <v>7950.18</v>
      </c>
    </row>
    <row r="35" spans="1:17" x14ac:dyDescent="0.25">
      <c r="A35">
        <v>99</v>
      </c>
      <c r="B35">
        <v>1</v>
      </c>
      <c r="C35" t="s">
        <v>566</v>
      </c>
      <c r="D35" s="25">
        <v>92</v>
      </c>
      <c r="E35" s="25">
        <v>0</v>
      </c>
      <c r="F35" s="25">
        <v>0</v>
      </c>
      <c r="G35" s="25">
        <v>0</v>
      </c>
      <c r="H35" s="25">
        <v>1401.81</v>
      </c>
      <c r="I35" s="25">
        <v>92</v>
      </c>
      <c r="J35" s="25">
        <v>0</v>
      </c>
      <c r="K35" s="25">
        <v>130000</v>
      </c>
      <c r="L35" s="25">
        <v>0</v>
      </c>
      <c r="M35" s="25">
        <v>1398.97</v>
      </c>
      <c r="N35" s="25">
        <f t="shared" si="4"/>
        <v>0</v>
      </c>
      <c r="O35" s="25">
        <f t="shared" si="5"/>
        <v>0</v>
      </c>
      <c r="P35" s="25">
        <f t="shared" si="6"/>
        <v>128705.24</v>
      </c>
      <c r="Q35" s="25">
        <f t="shared" si="7"/>
        <v>38611.572</v>
      </c>
    </row>
    <row r="36" spans="1:17" x14ac:dyDescent="0.25">
      <c r="A36" s="10">
        <v>129</v>
      </c>
      <c r="B36" s="10">
        <v>1</v>
      </c>
      <c r="C36" s="11" t="s">
        <v>46</v>
      </c>
      <c r="D36" s="25">
        <v>92</v>
      </c>
      <c r="E36" s="25">
        <v>0</v>
      </c>
      <c r="F36" s="25">
        <v>157732.16</v>
      </c>
      <c r="G36" s="25">
        <v>0</v>
      </c>
      <c r="H36" s="25">
        <v>1714.47</v>
      </c>
      <c r="I36" s="25">
        <v>92</v>
      </c>
      <c r="J36" s="25">
        <v>0</v>
      </c>
      <c r="K36" s="25">
        <v>160000</v>
      </c>
      <c r="L36" s="25">
        <v>0</v>
      </c>
      <c r="M36" s="25">
        <v>1737.55</v>
      </c>
      <c r="N36" s="25">
        <f t="shared" si="4"/>
        <v>157731.24</v>
      </c>
      <c r="O36" s="25">
        <f t="shared" si="5"/>
        <v>47319.371999999996</v>
      </c>
      <c r="P36" s="25">
        <f t="shared" si="6"/>
        <v>159854.6</v>
      </c>
      <c r="Q36" s="25">
        <f t="shared" si="7"/>
        <v>47956.38</v>
      </c>
    </row>
    <row r="37" spans="1:17" x14ac:dyDescent="0.25">
      <c r="A37" s="10">
        <v>146</v>
      </c>
      <c r="B37" s="10">
        <v>1</v>
      </c>
      <c r="C37" s="11" t="s">
        <v>49</v>
      </c>
      <c r="D37" s="25">
        <v>92</v>
      </c>
      <c r="E37" s="25">
        <v>0</v>
      </c>
      <c r="F37" s="25">
        <v>47198</v>
      </c>
      <c r="G37" s="25">
        <v>0</v>
      </c>
      <c r="H37" s="25">
        <v>930.65</v>
      </c>
      <c r="I37" s="25">
        <v>92</v>
      </c>
      <c r="J37" s="25">
        <v>0</v>
      </c>
      <c r="K37" s="25">
        <v>47198</v>
      </c>
      <c r="L37" s="25">
        <v>0</v>
      </c>
      <c r="M37" s="25">
        <v>934.25</v>
      </c>
      <c r="N37" s="25">
        <f t="shared" si="4"/>
        <v>47198</v>
      </c>
      <c r="O37" s="25">
        <f t="shared" si="5"/>
        <v>14159.4</v>
      </c>
      <c r="P37" s="25">
        <f t="shared" si="6"/>
        <v>47198</v>
      </c>
      <c r="Q37" s="25">
        <f t="shared" si="7"/>
        <v>14159.4</v>
      </c>
    </row>
    <row r="38" spans="1:17" x14ac:dyDescent="0.25">
      <c r="A38" s="10">
        <v>150</v>
      </c>
      <c r="B38" s="10">
        <v>1</v>
      </c>
      <c r="C38" s="11" t="s">
        <v>50</v>
      </c>
      <c r="D38" s="25">
        <v>92</v>
      </c>
      <c r="E38" s="25">
        <v>0</v>
      </c>
      <c r="F38" s="25">
        <v>55256.75</v>
      </c>
      <c r="G38" s="25">
        <v>0</v>
      </c>
      <c r="H38" s="25">
        <v>1003.78</v>
      </c>
      <c r="I38" s="25">
        <v>92</v>
      </c>
      <c r="J38" s="25">
        <v>0</v>
      </c>
      <c r="K38" s="25">
        <v>55257</v>
      </c>
      <c r="L38" s="25">
        <v>0</v>
      </c>
      <c r="M38" s="25">
        <v>1003.2</v>
      </c>
      <c r="N38" s="25">
        <f t="shared" si="4"/>
        <v>55256.75</v>
      </c>
      <c r="O38" s="25">
        <f t="shared" si="5"/>
        <v>16577.024999999998</v>
      </c>
      <c r="P38" s="25">
        <f t="shared" si="6"/>
        <v>55257</v>
      </c>
      <c r="Q38" s="25">
        <f t="shared" si="7"/>
        <v>16577.099999999999</v>
      </c>
    </row>
    <row r="39" spans="1:17" x14ac:dyDescent="0.25">
      <c r="A39" s="10">
        <v>173</v>
      </c>
      <c r="B39" s="10">
        <v>1</v>
      </c>
      <c r="C39" s="11" t="s">
        <v>54</v>
      </c>
      <c r="D39" s="25">
        <v>129</v>
      </c>
      <c r="E39" s="25">
        <v>0</v>
      </c>
      <c r="F39" s="25">
        <v>70000</v>
      </c>
      <c r="G39" s="25">
        <v>0</v>
      </c>
      <c r="H39" s="25">
        <v>547.5</v>
      </c>
      <c r="I39" s="25">
        <v>129</v>
      </c>
      <c r="J39" s="25">
        <v>0</v>
      </c>
      <c r="K39" s="25">
        <v>70000</v>
      </c>
      <c r="L39" s="25">
        <v>0</v>
      </c>
      <c r="M39" s="25">
        <v>540.23</v>
      </c>
      <c r="N39" s="25">
        <f t="shared" si="4"/>
        <v>70000</v>
      </c>
      <c r="O39" s="25">
        <f t="shared" si="5"/>
        <v>21000</v>
      </c>
      <c r="P39" s="25">
        <f t="shared" si="6"/>
        <v>69689.67</v>
      </c>
      <c r="Q39" s="25">
        <f t="shared" si="7"/>
        <v>20906.900999999998</v>
      </c>
    </row>
    <row r="40" spans="1:17" x14ac:dyDescent="0.25">
      <c r="A40" s="10">
        <v>177</v>
      </c>
      <c r="B40" s="10">
        <v>1</v>
      </c>
      <c r="C40" s="11" t="s">
        <v>55</v>
      </c>
      <c r="D40" s="25">
        <v>92</v>
      </c>
      <c r="E40" s="25">
        <v>0</v>
      </c>
      <c r="F40" s="25">
        <v>99600</v>
      </c>
      <c r="G40" s="25">
        <v>0</v>
      </c>
      <c r="H40" s="25">
        <v>1100.8499999999999</v>
      </c>
      <c r="I40" s="25">
        <v>92</v>
      </c>
      <c r="J40" s="25">
        <v>0</v>
      </c>
      <c r="K40" s="25">
        <v>99600</v>
      </c>
      <c r="L40" s="25">
        <v>0</v>
      </c>
      <c r="M40" s="25">
        <v>1121.3</v>
      </c>
      <c r="N40" s="25">
        <f t="shared" si="4"/>
        <v>99600</v>
      </c>
      <c r="O40" s="25">
        <f t="shared" si="5"/>
        <v>29880</v>
      </c>
      <c r="P40" s="25">
        <f t="shared" si="6"/>
        <v>99600</v>
      </c>
      <c r="Q40" s="25">
        <f t="shared" si="7"/>
        <v>29880</v>
      </c>
    </row>
    <row r="41" spans="1:17" x14ac:dyDescent="0.25">
      <c r="A41" s="10">
        <v>191</v>
      </c>
      <c r="B41" s="10">
        <v>1</v>
      </c>
      <c r="C41" s="11" t="s">
        <v>59</v>
      </c>
      <c r="D41" s="25">
        <v>129</v>
      </c>
      <c r="E41" s="25">
        <v>0</v>
      </c>
      <c r="F41" s="25">
        <v>1437684</v>
      </c>
      <c r="G41" s="25">
        <v>0</v>
      </c>
      <c r="H41" s="25">
        <v>10928.62</v>
      </c>
      <c r="I41" s="25">
        <v>129</v>
      </c>
      <c r="J41" s="25">
        <v>0</v>
      </c>
      <c r="K41" s="25">
        <v>1437684</v>
      </c>
      <c r="L41" s="25">
        <v>0</v>
      </c>
      <c r="M41" s="25">
        <v>10753.39</v>
      </c>
      <c r="N41" s="25">
        <f t="shared" si="4"/>
        <v>1409791.9800000002</v>
      </c>
      <c r="O41" s="25">
        <f t="shared" si="5"/>
        <v>422937.59400000004</v>
      </c>
      <c r="P41" s="25">
        <f t="shared" si="6"/>
        <v>1387187.3099999998</v>
      </c>
      <c r="Q41" s="25">
        <f t="shared" si="7"/>
        <v>416156.19299999991</v>
      </c>
    </row>
    <row r="42" spans="1:17" x14ac:dyDescent="0.25">
      <c r="A42" s="10">
        <v>194</v>
      </c>
      <c r="B42" s="10">
        <v>1</v>
      </c>
      <c r="C42" s="11" t="s">
        <v>61</v>
      </c>
      <c r="D42" s="25">
        <v>92</v>
      </c>
      <c r="E42" s="25">
        <v>0</v>
      </c>
      <c r="F42" s="25">
        <v>1182240</v>
      </c>
      <c r="G42" s="25">
        <v>0</v>
      </c>
      <c r="H42" s="25">
        <v>12872.08</v>
      </c>
      <c r="I42" s="25">
        <v>92</v>
      </c>
      <c r="J42" s="25">
        <v>0</v>
      </c>
      <c r="K42" s="25">
        <v>1188390</v>
      </c>
      <c r="L42" s="25">
        <v>0</v>
      </c>
      <c r="M42" s="25">
        <v>12732.02</v>
      </c>
      <c r="N42" s="25">
        <f t="shared" si="4"/>
        <v>1182240</v>
      </c>
      <c r="O42" s="25">
        <f t="shared" si="5"/>
        <v>354672</v>
      </c>
      <c r="P42" s="25">
        <f t="shared" si="6"/>
        <v>1171345.8400000001</v>
      </c>
      <c r="Q42" s="25">
        <f t="shared" si="7"/>
        <v>351403.75200000004</v>
      </c>
    </row>
    <row r="43" spans="1:17" x14ac:dyDescent="0.25">
      <c r="A43" s="10">
        <v>196</v>
      </c>
      <c r="B43" s="10">
        <v>1</v>
      </c>
      <c r="C43" s="11" t="s">
        <v>63</v>
      </c>
      <c r="D43" s="25">
        <v>129</v>
      </c>
      <c r="E43" s="25">
        <v>0</v>
      </c>
      <c r="F43" s="25">
        <v>4049256</v>
      </c>
      <c r="G43" s="25">
        <v>0</v>
      </c>
      <c r="H43" s="25">
        <v>31318.52</v>
      </c>
      <c r="I43" s="25">
        <v>129</v>
      </c>
      <c r="J43" s="25">
        <v>0</v>
      </c>
      <c r="K43" s="25">
        <v>4049256</v>
      </c>
      <c r="L43" s="25">
        <v>0</v>
      </c>
      <c r="M43" s="25">
        <v>31234.63</v>
      </c>
      <c r="N43" s="25">
        <f t="shared" si="4"/>
        <v>4040089.08</v>
      </c>
      <c r="O43" s="25">
        <f t="shared" si="5"/>
        <v>1212026.7239999999</v>
      </c>
      <c r="P43" s="25">
        <f t="shared" si="6"/>
        <v>4029267.27</v>
      </c>
      <c r="Q43" s="25">
        <f t="shared" si="7"/>
        <v>1208780.1809999999</v>
      </c>
    </row>
    <row r="44" spans="1:17" x14ac:dyDescent="0.25">
      <c r="A44" s="10">
        <v>197</v>
      </c>
      <c r="B44" s="10">
        <v>1</v>
      </c>
      <c r="C44" s="11" t="s">
        <v>64</v>
      </c>
      <c r="D44" s="25">
        <v>129</v>
      </c>
      <c r="E44" s="25">
        <v>0</v>
      </c>
      <c r="F44" s="25">
        <v>637002</v>
      </c>
      <c r="G44" s="25">
        <v>107217</v>
      </c>
      <c r="H44" s="25">
        <v>4937.87</v>
      </c>
      <c r="I44" s="25">
        <v>129</v>
      </c>
      <c r="J44" s="25">
        <v>0</v>
      </c>
      <c r="K44" s="25">
        <v>744219</v>
      </c>
      <c r="L44" s="25">
        <v>107217</v>
      </c>
      <c r="M44" s="25">
        <v>4792.4399999999996</v>
      </c>
      <c r="N44" s="25">
        <f t="shared" si="4"/>
        <v>744202.23</v>
      </c>
      <c r="O44" s="25">
        <f t="shared" si="5"/>
        <v>191095.56899999999</v>
      </c>
      <c r="P44" s="25">
        <f t="shared" si="6"/>
        <v>725441.75999999989</v>
      </c>
      <c r="Q44" s="25">
        <f t="shared" si="7"/>
        <v>185467.42799999996</v>
      </c>
    </row>
    <row r="45" spans="1:17" x14ac:dyDescent="0.25">
      <c r="A45" s="10">
        <v>199</v>
      </c>
      <c r="B45" s="10">
        <v>1</v>
      </c>
      <c r="C45" s="11" t="s">
        <v>65</v>
      </c>
      <c r="D45" s="25">
        <v>92</v>
      </c>
      <c r="E45" s="25">
        <v>0</v>
      </c>
      <c r="F45" s="25">
        <v>388565</v>
      </c>
      <c r="G45" s="25">
        <v>16051</v>
      </c>
      <c r="H45" s="25">
        <v>4397.5</v>
      </c>
      <c r="I45" s="25">
        <v>92</v>
      </c>
      <c r="J45" s="25">
        <v>0</v>
      </c>
      <c r="K45" s="25">
        <v>404616</v>
      </c>
      <c r="L45" s="25">
        <v>16051</v>
      </c>
      <c r="M45" s="25">
        <v>4290.41</v>
      </c>
      <c r="N45" s="25">
        <f t="shared" si="4"/>
        <v>404616</v>
      </c>
      <c r="O45" s="25">
        <f t="shared" si="5"/>
        <v>116569.5</v>
      </c>
      <c r="P45" s="25">
        <f t="shared" si="6"/>
        <v>410768.72</v>
      </c>
      <c r="Q45" s="25">
        <f t="shared" si="7"/>
        <v>118415.31599999999</v>
      </c>
    </row>
    <row r="46" spans="1:17" x14ac:dyDescent="0.25">
      <c r="A46" s="10">
        <v>203</v>
      </c>
      <c r="B46" s="10">
        <v>1</v>
      </c>
      <c r="C46" s="11" t="s">
        <v>67</v>
      </c>
      <c r="D46" s="25">
        <v>92</v>
      </c>
      <c r="E46" s="25">
        <v>0</v>
      </c>
      <c r="F46" s="25">
        <v>39997</v>
      </c>
      <c r="G46" s="25">
        <v>0</v>
      </c>
      <c r="H46" s="25">
        <v>910.69</v>
      </c>
      <c r="I46" s="25">
        <v>92</v>
      </c>
      <c r="J46" s="25">
        <v>0</v>
      </c>
      <c r="K46" s="25">
        <v>25000</v>
      </c>
      <c r="L46" s="25">
        <v>0</v>
      </c>
      <c r="M46" s="25">
        <v>887.71</v>
      </c>
      <c r="N46" s="25">
        <f t="shared" si="4"/>
        <v>39997</v>
      </c>
      <c r="O46" s="25">
        <f t="shared" si="5"/>
        <v>11999.1</v>
      </c>
      <c r="P46" s="25">
        <f t="shared" si="6"/>
        <v>25000</v>
      </c>
      <c r="Q46" s="25">
        <f t="shared" si="7"/>
        <v>7500</v>
      </c>
    </row>
    <row r="47" spans="1:17" x14ac:dyDescent="0.25">
      <c r="A47" s="10">
        <v>213</v>
      </c>
      <c r="B47" s="10">
        <v>1</v>
      </c>
      <c r="C47" s="11" t="s">
        <v>72</v>
      </c>
      <c r="D47" s="25">
        <v>92</v>
      </c>
      <c r="E47" s="25">
        <v>0</v>
      </c>
      <c r="F47" s="25">
        <v>84010</v>
      </c>
      <c r="G47" s="25">
        <v>0</v>
      </c>
      <c r="H47" s="25">
        <v>961.21</v>
      </c>
      <c r="I47" s="25">
        <v>92</v>
      </c>
      <c r="J47" s="25">
        <v>0</v>
      </c>
      <c r="K47" s="25">
        <v>83107</v>
      </c>
      <c r="L47" s="25">
        <v>0</v>
      </c>
      <c r="M47" s="25">
        <v>934.76</v>
      </c>
      <c r="N47" s="25">
        <f t="shared" si="4"/>
        <v>84010</v>
      </c>
      <c r="O47" s="25">
        <f t="shared" si="5"/>
        <v>25203</v>
      </c>
      <c r="P47" s="25">
        <f t="shared" si="6"/>
        <v>83107</v>
      </c>
      <c r="Q47" s="25">
        <f t="shared" si="7"/>
        <v>24932.1</v>
      </c>
    </row>
    <row r="48" spans="1:17" x14ac:dyDescent="0.25">
      <c r="A48" s="10">
        <v>227</v>
      </c>
      <c r="B48" s="10">
        <v>1</v>
      </c>
      <c r="C48" s="11" t="s">
        <v>73</v>
      </c>
      <c r="D48" s="25">
        <v>92</v>
      </c>
      <c r="E48" s="25">
        <v>0</v>
      </c>
      <c r="F48" s="25">
        <v>18700</v>
      </c>
      <c r="G48" s="25">
        <v>0</v>
      </c>
      <c r="H48" s="25">
        <v>1021.79</v>
      </c>
      <c r="I48" s="25">
        <v>92</v>
      </c>
      <c r="J48" s="25">
        <v>0</v>
      </c>
      <c r="K48" s="25">
        <v>18700</v>
      </c>
      <c r="L48" s="25">
        <v>0</v>
      </c>
      <c r="M48" s="25">
        <v>1034.1600000000001</v>
      </c>
      <c r="N48" s="25">
        <f t="shared" si="4"/>
        <v>18700</v>
      </c>
      <c r="O48" s="25">
        <f t="shared" si="5"/>
        <v>5610</v>
      </c>
      <c r="P48" s="25">
        <f t="shared" si="6"/>
        <v>18700</v>
      </c>
      <c r="Q48" s="25">
        <f t="shared" si="7"/>
        <v>5610</v>
      </c>
    </row>
    <row r="49" spans="1:17" x14ac:dyDescent="0.25">
      <c r="A49" s="10">
        <v>241</v>
      </c>
      <c r="B49" s="10">
        <v>1</v>
      </c>
      <c r="C49" s="11" t="s">
        <v>77</v>
      </c>
      <c r="D49" s="25">
        <v>129</v>
      </c>
      <c r="E49" s="25">
        <v>0</v>
      </c>
      <c r="F49" s="25">
        <v>332439</v>
      </c>
      <c r="G49" s="25">
        <v>0</v>
      </c>
      <c r="H49" s="25">
        <v>3566.6</v>
      </c>
      <c r="I49" s="25">
        <v>129</v>
      </c>
      <c r="J49" s="25">
        <v>0</v>
      </c>
      <c r="K49" s="25">
        <v>332439</v>
      </c>
      <c r="L49" s="25">
        <v>0</v>
      </c>
      <c r="M49" s="25">
        <v>3559.89</v>
      </c>
      <c r="N49" s="25">
        <f t="shared" si="4"/>
        <v>332439</v>
      </c>
      <c r="O49" s="25">
        <f t="shared" si="5"/>
        <v>99731.7</v>
      </c>
      <c r="P49" s="25">
        <f t="shared" si="6"/>
        <v>332439</v>
      </c>
      <c r="Q49" s="25">
        <f t="shared" si="7"/>
        <v>99731.7</v>
      </c>
    </row>
    <row r="50" spans="1:17" x14ac:dyDescent="0.25">
      <c r="A50" s="10">
        <v>255</v>
      </c>
      <c r="B50" s="10">
        <v>1</v>
      </c>
      <c r="C50" s="11" t="s">
        <v>81</v>
      </c>
      <c r="D50" s="25">
        <v>92</v>
      </c>
      <c r="E50" s="25">
        <v>0</v>
      </c>
      <c r="F50" s="25">
        <v>0</v>
      </c>
      <c r="G50" s="25">
        <v>0</v>
      </c>
      <c r="H50" s="25">
        <v>1433.64</v>
      </c>
      <c r="I50" s="25">
        <v>92</v>
      </c>
      <c r="J50" s="25">
        <v>0</v>
      </c>
      <c r="K50" s="25">
        <v>0</v>
      </c>
      <c r="L50" s="25">
        <v>0</v>
      </c>
      <c r="M50" s="25">
        <v>1430.4</v>
      </c>
      <c r="N50" s="25">
        <f t="shared" si="4"/>
        <v>0</v>
      </c>
      <c r="O50" s="25">
        <f t="shared" si="5"/>
        <v>0</v>
      </c>
      <c r="P50" s="25">
        <f t="shared" si="6"/>
        <v>0</v>
      </c>
      <c r="Q50" s="25">
        <f t="shared" si="7"/>
        <v>0</v>
      </c>
    </row>
    <row r="51" spans="1:17" x14ac:dyDescent="0.25">
      <c r="A51" s="10">
        <v>270</v>
      </c>
      <c r="B51" s="10">
        <v>1</v>
      </c>
      <c r="C51" s="11" t="s">
        <v>85</v>
      </c>
      <c r="D51" s="25">
        <v>129</v>
      </c>
      <c r="E51" s="25">
        <v>0</v>
      </c>
      <c r="F51" s="25">
        <v>1077876</v>
      </c>
      <c r="G51" s="25">
        <v>177424</v>
      </c>
      <c r="H51" s="25">
        <v>8264.9500000000007</v>
      </c>
      <c r="I51" s="25">
        <v>129</v>
      </c>
      <c r="J51" s="25">
        <v>0</v>
      </c>
      <c r="K51" s="25">
        <v>1078965</v>
      </c>
      <c r="L51" s="25">
        <v>177424</v>
      </c>
      <c r="M51" s="25">
        <v>8118.17</v>
      </c>
      <c r="N51" s="25">
        <f t="shared" si="4"/>
        <v>1243602.55</v>
      </c>
      <c r="O51" s="25">
        <f t="shared" si="5"/>
        <v>319853.565</v>
      </c>
      <c r="P51" s="25">
        <f t="shared" si="6"/>
        <v>1224667.9300000002</v>
      </c>
      <c r="Q51" s="25">
        <f t="shared" si="7"/>
        <v>314173.17900000006</v>
      </c>
    </row>
    <row r="52" spans="1:17" x14ac:dyDescent="0.25">
      <c r="A52" s="10">
        <v>271</v>
      </c>
      <c r="B52" s="10">
        <v>1</v>
      </c>
      <c r="C52" s="11" t="s">
        <v>86</v>
      </c>
      <c r="D52" s="25">
        <v>129</v>
      </c>
      <c r="E52" s="25">
        <v>0</v>
      </c>
      <c r="F52" s="25">
        <v>1474830</v>
      </c>
      <c r="G52" s="25">
        <v>17500</v>
      </c>
      <c r="H52" s="25">
        <v>11655.49</v>
      </c>
      <c r="I52" s="25">
        <v>129</v>
      </c>
      <c r="J52" s="25">
        <v>0</v>
      </c>
      <c r="K52" s="25">
        <v>1525554</v>
      </c>
      <c r="L52" s="25">
        <v>17500</v>
      </c>
      <c r="M52" s="25">
        <v>11556.31</v>
      </c>
      <c r="N52" s="25">
        <f t="shared" si="4"/>
        <v>1492330</v>
      </c>
      <c r="O52" s="25">
        <f t="shared" si="5"/>
        <v>442449</v>
      </c>
      <c r="P52" s="25">
        <f t="shared" si="6"/>
        <v>1508263.99</v>
      </c>
      <c r="Q52" s="25">
        <f t="shared" si="7"/>
        <v>447229.19699999999</v>
      </c>
    </row>
    <row r="53" spans="1:17" x14ac:dyDescent="0.25">
      <c r="A53" s="10">
        <v>272</v>
      </c>
      <c r="B53" s="10">
        <v>1</v>
      </c>
      <c r="C53" s="11" t="s">
        <v>87</v>
      </c>
      <c r="D53" s="25">
        <v>92</v>
      </c>
      <c r="E53" s="25">
        <v>0</v>
      </c>
      <c r="F53" s="25">
        <v>1033116.76</v>
      </c>
      <c r="G53" s="25">
        <v>24000</v>
      </c>
      <c r="H53" s="25">
        <v>11229.52</v>
      </c>
      <c r="I53" s="25">
        <v>92</v>
      </c>
      <c r="J53" s="25">
        <v>0</v>
      </c>
      <c r="K53" s="25">
        <v>1000000</v>
      </c>
      <c r="L53" s="25">
        <v>24000</v>
      </c>
      <c r="M53" s="25">
        <v>11209.89</v>
      </c>
      <c r="N53" s="25">
        <f t="shared" si="4"/>
        <v>1057115.8400000001</v>
      </c>
      <c r="O53" s="25">
        <f t="shared" si="5"/>
        <v>309934.75200000004</v>
      </c>
      <c r="P53" s="25">
        <f t="shared" si="6"/>
        <v>1024000</v>
      </c>
      <c r="Q53" s="25">
        <f t="shared" si="7"/>
        <v>300000</v>
      </c>
    </row>
    <row r="54" spans="1:17" x14ac:dyDescent="0.25">
      <c r="A54" s="10">
        <v>273</v>
      </c>
      <c r="B54" s="10">
        <v>1</v>
      </c>
      <c r="C54" s="11" t="s">
        <v>88</v>
      </c>
      <c r="D54" s="25">
        <v>129</v>
      </c>
      <c r="E54" s="25">
        <v>0</v>
      </c>
      <c r="F54" s="25">
        <v>885296</v>
      </c>
      <c r="G54" s="25">
        <v>78047</v>
      </c>
      <c r="H54" s="25">
        <v>9803.4699999999993</v>
      </c>
      <c r="I54" s="25">
        <v>129</v>
      </c>
      <c r="J54" s="25">
        <v>0</v>
      </c>
      <c r="K54" s="25">
        <v>903000</v>
      </c>
      <c r="L54" s="25">
        <v>78047</v>
      </c>
      <c r="M54" s="25">
        <v>9978.39</v>
      </c>
      <c r="N54" s="25">
        <f t="shared" si="4"/>
        <v>963343</v>
      </c>
      <c r="O54" s="25">
        <f t="shared" si="5"/>
        <v>265588.8</v>
      </c>
      <c r="P54" s="25">
        <f t="shared" si="6"/>
        <v>981047</v>
      </c>
      <c r="Q54" s="25">
        <f t="shared" si="7"/>
        <v>270900</v>
      </c>
    </row>
    <row r="55" spans="1:17" x14ac:dyDescent="0.25">
      <c r="A55" s="10">
        <v>276</v>
      </c>
      <c r="B55" s="10">
        <v>1</v>
      </c>
      <c r="C55" s="11" t="s">
        <v>89</v>
      </c>
      <c r="D55" s="25">
        <v>92</v>
      </c>
      <c r="E55" s="25">
        <v>0</v>
      </c>
      <c r="F55" s="25">
        <v>454490</v>
      </c>
      <c r="G55" s="25">
        <v>0</v>
      </c>
      <c r="H55" s="25">
        <v>9967.98</v>
      </c>
      <c r="I55" s="25">
        <v>92</v>
      </c>
      <c r="J55" s="25">
        <v>0</v>
      </c>
      <c r="K55" s="25">
        <v>454930</v>
      </c>
      <c r="L55" s="25">
        <v>0</v>
      </c>
      <c r="M55" s="25">
        <v>10012.790000000001</v>
      </c>
      <c r="N55" s="25">
        <f t="shared" si="4"/>
        <v>454490</v>
      </c>
      <c r="O55" s="25">
        <f t="shared" si="5"/>
        <v>136347</v>
      </c>
      <c r="P55" s="25">
        <f t="shared" si="6"/>
        <v>454930</v>
      </c>
      <c r="Q55" s="25">
        <f t="shared" si="7"/>
        <v>136479</v>
      </c>
    </row>
    <row r="56" spans="1:17" x14ac:dyDescent="0.25">
      <c r="A56" s="10">
        <v>279</v>
      </c>
      <c r="B56" s="10">
        <v>1</v>
      </c>
      <c r="C56" s="11" t="s">
        <v>92</v>
      </c>
      <c r="D56" s="25">
        <v>129</v>
      </c>
      <c r="E56" s="25">
        <v>0</v>
      </c>
      <c r="F56" s="25">
        <v>3081423</v>
      </c>
      <c r="G56" s="25">
        <v>28000</v>
      </c>
      <c r="H56" s="25">
        <v>23731.95</v>
      </c>
      <c r="I56" s="25">
        <v>129</v>
      </c>
      <c r="J56" s="25">
        <v>0</v>
      </c>
      <c r="K56" s="25">
        <v>3081423</v>
      </c>
      <c r="L56" s="25">
        <v>28000</v>
      </c>
      <c r="M56" s="25">
        <v>23577.93</v>
      </c>
      <c r="N56" s="25">
        <f t="shared" si="4"/>
        <v>3089421.5500000003</v>
      </c>
      <c r="O56" s="25">
        <f t="shared" si="5"/>
        <v>918426.46500000008</v>
      </c>
      <c r="P56" s="25">
        <f t="shared" si="6"/>
        <v>3069552.97</v>
      </c>
      <c r="Q56" s="25">
        <f t="shared" si="7"/>
        <v>912465.89100000006</v>
      </c>
    </row>
    <row r="57" spans="1:17" x14ac:dyDescent="0.25">
      <c r="A57" s="10">
        <v>280</v>
      </c>
      <c r="B57" s="10">
        <v>1</v>
      </c>
      <c r="C57" s="11" t="s">
        <v>93</v>
      </c>
      <c r="D57" s="25">
        <v>129</v>
      </c>
      <c r="E57" s="25">
        <v>0</v>
      </c>
      <c r="F57" s="25">
        <v>596360</v>
      </c>
      <c r="G57" s="25">
        <v>71000</v>
      </c>
      <c r="H57" s="25">
        <v>4634.33</v>
      </c>
      <c r="I57" s="25">
        <v>129</v>
      </c>
      <c r="J57" s="25">
        <v>0</v>
      </c>
      <c r="K57" s="25">
        <v>596360</v>
      </c>
      <c r="L57" s="25">
        <v>71000</v>
      </c>
      <c r="M57" s="25">
        <v>4630.66</v>
      </c>
      <c r="N57" s="25">
        <f t="shared" si="4"/>
        <v>667360</v>
      </c>
      <c r="O57" s="25">
        <f t="shared" si="5"/>
        <v>178908</v>
      </c>
      <c r="P57" s="25">
        <f t="shared" si="6"/>
        <v>667360</v>
      </c>
      <c r="Q57" s="25">
        <f t="shared" si="7"/>
        <v>178908</v>
      </c>
    </row>
    <row r="58" spans="1:17" x14ac:dyDescent="0.25">
      <c r="A58" s="10">
        <v>281</v>
      </c>
      <c r="B58" s="10">
        <v>1</v>
      </c>
      <c r="C58" s="11" t="s">
        <v>94</v>
      </c>
      <c r="D58" s="25">
        <v>129</v>
      </c>
      <c r="E58" s="25">
        <v>0</v>
      </c>
      <c r="F58" s="25">
        <v>1780587</v>
      </c>
      <c r="G58" s="25">
        <v>222885</v>
      </c>
      <c r="H58" s="25">
        <v>13662.18</v>
      </c>
      <c r="I58" s="25">
        <v>129</v>
      </c>
      <c r="J58" s="25">
        <v>0</v>
      </c>
      <c r="K58" s="25">
        <v>17802000</v>
      </c>
      <c r="L58" s="25">
        <v>222885</v>
      </c>
      <c r="M58" s="25">
        <v>13583.54</v>
      </c>
      <c r="N58" s="25">
        <f t="shared" si="4"/>
        <v>1985306.22</v>
      </c>
      <c r="O58" s="25">
        <f t="shared" si="5"/>
        <v>528726.36599999992</v>
      </c>
      <c r="P58" s="25">
        <f t="shared" si="6"/>
        <v>1975161.6600000001</v>
      </c>
      <c r="Q58" s="25">
        <f t="shared" si="7"/>
        <v>525682.99800000002</v>
      </c>
    </row>
    <row r="59" spans="1:17" x14ac:dyDescent="0.25">
      <c r="A59" s="10">
        <v>282</v>
      </c>
      <c r="B59" s="10">
        <v>1</v>
      </c>
      <c r="C59" s="11" t="s">
        <v>95</v>
      </c>
      <c r="D59" s="25">
        <v>129</v>
      </c>
      <c r="E59" s="25">
        <v>0</v>
      </c>
      <c r="F59" s="25">
        <v>219621</v>
      </c>
      <c r="G59" s="25">
        <v>0</v>
      </c>
      <c r="H59" s="25">
        <v>2003.95</v>
      </c>
      <c r="I59" s="25">
        <v>129</v>
      </c>
      <c r="J59" s="25">
        <v>0</v>
      </c>
      <c r="K59" s="25">
        <v>190464</v>
      </c>
      <c r="L59" s="25">
        <v>0</v>
      </c>
      <c r="M59" s="25">
        <v>1934.59</v>
      </c>
      <c r="N59" s="25">
        <f t="shared" si="4"/>
        <v>219621</v>
      </c>
      <c r="O59" s="25">
        <f t="shared" si="5"/>
        <v>65886.3</v>
      </c>
      <c r="P59" s="25">
        <f t="shared" si="6"/>
        <v>190464</v>
      </c>
      <c r="Q59" s="25">
        <f t="shared" si="7"/>
        <v>57139.199999999997</v>
      </c>
    </row>
    <row r="60" spans="1:17" x14ac:dyDescent="0.25">
      <c r="A60" s="10">
        <v>283</v>
      </c>
      <c r="B60" s="10">
        <v>1</v>
      </c>
      <c r="C60" s="11" t="s">
        <v>96</v>
      </c>
      <c r="D60" s="25">
        <v>129</v>
      </c>
      <c r="E60" s="25">
        <v>0</v>
      </c>
      <c r="F60" s="25">
        <v>658416</v>
      </c>
      <c r="G60" s="25">
        <v>113373</v>
      </c>
      <c r="H60" s="25">
        <v>5019.25</v>
      </c>
      <c r="I60" s="25">
        <v>129</v>
      </c>
      <c r="J60" s="25">
        <v>0</v>
      </c>
      <c r="K60" s="25">
        <v>658416</v>
      </c>
      <c r="L60" s="25">
        <v>113373</v>
      </c>
      <c r="M60" s="25">
        <v>5003.47</v>
      </c>
      <c r="N60" s="25">
        <f t="shared" si="4"/>
        <v>760856.25</v>
      </c>
      <c r="O60" s="25">
        <f t="shared" si="5"/>
        <v>194244.97500000001</v>
      </c>
      <c r="P60" s="25">
        <f t="shared" si="6"/>
        <v>758820.63</v>
      </c>
      <c r="Q60" s="25">
        <f t="shared" si="7"/>
        <v>193634.28899999999</v>
      </c>
    </row>
    <row r="61" spans="1:17" x14ac:dyDescent="0.25">
      <c r="A61" s="10">
        <v>284</v>
      </c>
      <c r="B61" s="10">
        <v>1</v>
      </c>
      <c r="C61" s="11" t="s">
        <v>97</v>
      </c>
      <c r="D61" s="25">
        <v>129</v>
      </c>
      <c r="E61" s="25">
        <v>0</v>
      </c>
      <c r="F61" s="25">
        <v>1540000</v>
      </c>
      <c r="G61" s="25">
        <v>60000</v>
      </c>
      <c r="H61" s="25">
        <v>12021.69</v>
      </c>
      <c r="I61" s="25">
        <v>129</v>
      </c>
      <c r="J61" s="25">
        <v>0</v>
      </c>
      <c r="K61" s="25">
        <v>1600000</v>
      </c>
      <c r="L61" s="25">
        <v>60000</v>
      </c>
      <c r="M61" s="25">
        <v>12033.23</v>
      </c>
      <c r="N61" s="25">
        <f t="shared" si="4"/>
        <v>1600000</v>
      </c>
      <c r="O61" s="25">
        <f t="shared" si="5"/>
        <v>462000</v>
      </c>
      <c r="P61" s="25">
        <f t="shared" si="6"/>
        <v>1612286.67</v>
      </c>
      <c r="Q61" s="25">
        <f t="shared" si="7"/>
        <v>465686.00099999999</v>
      </c>
    </row>
    <row r="62" spans="1:17" x14ac:dyDescent="0.25">
      <c r="A62" s="10">
        <v>286</v>
      </c>
      <c r="B62" s="10">
        <v>1</v>
      </c>
      <c r="C62" s="11" t="s">
        <v>98</v>
      </c>
      <c r="D62" s="25">
        <v>129</v>
      </c>
      <c r="E62" s="25">
        <v>0</v>
      </c>
      <c r="F62" s="25">
        <v>319796</v>
      </c>
      <c r="G62" s="25">
        <v>0</v>
      </c>
      <c r="H62" s="25">
        <v>2575.48</v>
      </c>
      <c r="I62" s="25">
        <v>129</v>
      </c>
      <c r="J62" s="25">
        <v>0</v>
      </c>
      <c r="K62" s="25">
        <v>233800</v>
      </c>
      <c r="L62" s="25">
        <v>0</v>
      </c>
      <c r="M62" s="25">
        <v>2564.4699999999998</v>
      </c>
      <c r="N62" s="25">
        <f t="shared" si="4"/>
        <v>319796</v>
      </c>
      <c r="O62" s="25">
        <f t="shared" si="5"/>
        <v>95938.8</v>
      </c>
      <c r="P62" s="25">
        <f t="shared" si="6"/>
        <v>233800</v>
      </c>
      <c r="Q62" s="25">
        <f t="shared" si="7"/>
        <v>70140</v>
      </c>
    </row>
    <row r="63" spans="1:17" x14ac:dyDescent="0.25">
      <c r="A63" s="10">
        <v>345</v>
      </c>
      <c r="B63" s="10">
        <v>1</v>
      </c>
      <c r="C63" s="11" t="s">
        <v>115</v>
      </c>
      <c r="D63" s="25">
        <v>92</v>
      </c>
      <c r="E63" s="25">
        <v>0</v>
      </c>
      <c r="F63" s="25">
        <v>151881.88</v>
      </c>
      <c r="G63" s="25">
        <v>0</v>
      </c>
      <c r="H63" s="25">
        <v>1650.88</v>
      </c>
      <c r="I63" s="25">
        <v>92</v>
      </c>
      <c r="J63" s="25">
        <v>0</v>
      </c>
      <c r="K63" s="25">
        <v>155000</v>
      </c>
      <c r="L63" s="25">
        <v>0</v>
      </c>
      <c r="M63" s="25">
        <v>1596.47</v>
      </c>
      <c r="N63" s="25">
        <f t="shared" si="4"/>
        <v>151880.96000000002</v>
      </c>
      <c r="O63" s="25">
        <f t="shared" si="5"/>
        <v>45564.288000000008</v>
      </c>
      <c r="P63" s="25">
        <f t="shared" si="6"/>
        <v>146875.24</v>
      </c>
      <c r="Q63" s="25">
        <f t="shared" si="7"/>
        <v>44062.571999999993</v>
      </c>
    </row>
    <row r="64" spans="1:17" x14ac:dyDescent="0.25">
      <c r="A64" s="10">
        <v>347</v>
      </c>
      <c r="B64" s="10">
        <v>1</v>
      </c>
      <c r="C64" s="11" t="s">
        <v>116</v>
      </c>
      <c r="D64" s="25">
        <v>129</v>
      </c>
      <c r="E64" s="25">
        <v>0</v>
      </c>
      <c r="F64" s="25">
        <v>593737.98</v>
      </c>
      <c r="G64" s="25">
        <v>0</v>
      </c>
      <c r="H64" s="25">
        <v>4602.6099999999997</v>
      </c>
      <c r="I64" s="25">
        <v>129</v>
      </c>
      <c r="J64" s="25">
        <v>0</v>
      </c>
      <c r="K64" s="25">
        <v>599850</v>
      </c>
      <c r="L64" s="25">
        <v>0</v>
      </c>
      <c r="M64" s="25">
        <v>4652.46</v>
      </c>
      <c r="N64" s="25">
        <f t="shared" si="4"/>
        <v>593736.68999999994</v>
      </c>
      <c r="O64" s="25">
        <f t="shared" si="5"/>
        <v>178121.00699999998</v>
      </c>
      <c r="P64" s="25">
        <f t="shared" si="6"/>
        <v>599850</v>
      </c>
      <c r="Q64" s="25">
        <f t="shared" si="7"/>
        <v>179955</v>
      </c>
    </row>
    <row r="65" spans="1:29" x14ac:dyDescent="0.25">
      <c r="A65" s="10">
        <v>378</v>
      </c>
      <c r="B65" s="10">
        <v>1</v>
      </c>
      <c r="C65" s="11" t="s">
        <v>121</v>
      </c>
      <c r="D65" s="25">
        <v>92</v>
      </c>
      <c r="E65" s="25">
        <v>0</v>
      </c>
      <c r="F65" s="25">
        <v>51980</v>
      </c>
      <c r="G65" s="25">
        <v>0</v>
      </c>
      <c r="H65" s="25">
        <v>581.03</v>
      </c>
      <c r="I65" s="25">
        <v>92</v>
      </c>
      <c r="J65" s="25">
        <v>0</v>
      </c>
      <c r="K65" s="25">
        <v>51980</v>
      </c>
      <c r="L65" s="25">
        <v>0</v>
      </c>
      <c r="M65" s="25">
        <v>562.61</v>
      </c>
      <c r="N65" s="25">
        <f t="shared" si="4"/>
        <v>51980</v>
      </c>
      <c r="O65" s="25">
        <f t="shared" si="5"/>
        <v>15594</v>
      </c>
      <c r="P65" s="25">
        <f t="shared" si="6"/>
        <v>51760.12</v>
      </c>
      <c r="Q65" s="25">
        <f t="shared" si="7"/>
        <v>15528.036</v>
      </c>
    </row>
    <row r="66" spans="1:29" x14ac:dyDescent="0.25">
      <c r="A66" s="10">
        <v>391</v>
      </c>
      <c r="B66" s="10">
        <v>1</v>
      </c>
      <c r="C66" s="11" t="s">
        <v>124</v>
      </c>
      <c r="D66" s="25">
        <v>92</v>
      </c>
      <c r="E66" s="25">
        <v>0</v>
      </c>
      <c r="F66" s="25">
        <v>36800</v>
      </c>
      <c r="G66" s="25">
        <v>0</v>
      </c>
      <c r="H66" s="25">
        <v>476.9</v>
      </c>
      <c r="I66" s="25">
        <v>92</v>
      </c>
      <c r="J66" s="25">
        <v>0</v>
      </c>
      <c r="K66" s="25">
        <v>23000</v>
      </c>
      <c r="L66" s="25">
        <v>0</v>
      </c>
      <c r="M66" s="25">
        <v>464.29</v>
      </c>
      <c r="N66" s="25">
        <f t="shared" si="4"/>
        <v>36800</v>
      </c>
      <c r="O66" s="25">
        <f t="shared" si="5"/>
        <v>11040</v>
      </c>
      <c r="P66" s="25">
        <f t="shared" si="6"/>
        <v>23000</v>
      </c>
      <c r="Q66" s="25">
        <f t="shared" si="7"/>
        <v>6900</v>
      </c>
      <c r="S66" s="25"/>
    </row>
    <row r="67" spans="1:29" x14ac:dyDescent="0.25">
      <c r="A67" s="10">
        <v>392</v>
      </c>
      <c r="B67" s="10">
        <v>1</v>
      </c>
      <c r="C67" s="11" t="s">
        <v>125</v>
      </c>
      <c r="D67" s="25">
        <v>129</v>
      </c>
      <c r="E67" s="25">
        <v>0</v>
      </c>
      <c r="F67" s="25">
        <v>81625.710000000006</v>
      </c>
      <c r="G67" s="25">
        <v>0</v>
      </c>
      <c r="H67" s="25">
        <v>731.38</v>
      </c>
      <c r="I67" s="25">
        <v>129</v>
      </c>
      <c r="J67" s="25">
        <v>0</v>
      </c>
      <c r="K67" s="25">
        <v>81625</v>
      </c>
      <c r="L67" s="25">
        <v>0</v>
      </c>
      <c r="M67" s="25">
        <v>745.39</v>
      </c>
      <c r="N67" s="25">
        <f t="shared" si="4"/>
        <v>81625.710000000006</v>
      </c>
      <c r="O67" s="25">
        <f t="shared" si="5"/>
        <v>24487.713</v>
      </c>
      <c r="P67" s="25">
        <f t="shared" si="6"/>
        <v>81625</v>
      </c>
      <c r="Q67" s="25">
        <f t="shared" si="7"/>
        <v>24487.5</v>
      </c>
      <c r="S67" s="25"/>
    </row>
    <row r="68" spans="1:29" x14ac:dyDescent="0.25">
      <c r="A68" s="10">
        <v>394</v>
      </c>
      <c r="B68" s="10">
        <v>1</v>
      </c>
      <c r="C68" s="11" t="s">
        <v>126</v>
      </c>
      <c r="D68" s="25">
        <v>92</v>
      </c>
      <c r="E68" s="25">
        <v>0</v>
      </c>
      <c r="F68" s="25">
        <v>0</v>
      </c>
      <c r="G68" s="25">
        <v>0</v>
      </c>
      <c r="H68" s="25">
        <v>1317.05</v>
      </c>
      <c r="I68" s="25">
        <v>92</v>
      </c>
      <c r="J68" s="25">
        <v>0</v>
      </c>
      <c r="K68" s="25">
        <v>0</v>
      </c>
      <c r="L68" s="25">
        <v>0</v>
      </c>
      <c r="M68" s="25">
        <v>1324.04</v>
      </c>
      <c r="N68" s="25">
        <f t="shared" si="4"/>
        <v>0</v>
      </c>
      <c r="O68" s="25">
        <f t="shared" si="5"/>
        <v>0</v>
      </c>
      <c r="P68" s="25">
        <f t="shared" si="6"/>
        <v>0</v>
      </c>
      <c r="Q68" s="25">
        <f t="shared" si="7"/>
        <v>0</v>
      </c>
      <c r="S68" s="25"/>
    </row>
    <row r="69" spans="1:29" x14ac:dyDescent="0.25">
      <c r="A69" s="10">
        <v>402</v>
      </c>
      <c r="B69" s="10">
        <v>1</v>
      </c>
      <c r="C69" s="11" t="s">
        <v>127</v>
      </c>
      <c r="D69" s="25">
        <v>92</v>
      </c>
      <c r="E69" s="25">
        <v>0</v>
      </c>
      <c r="F69" s="25">
        <v>13000</v>
      </c>
      <c r="G69" s="25">
        <v>0</v>
      </c>
      <c r="H69" s="25">
        <v>145.34</v>
      </c>
      <c r="I69" s="25">
        <v>92</v>
      </c>
      <c r="J69" s="25">
        <v>0</v>
      </c>
      <c r="K69" s="25">
        <v>14000</v>
      </c>
      <c r="L69" s="25">
        <v>0</v>
      </c>
      <c r="M69" s="25">
        <v>150.91</v>
      </c>
      <c r="N69" s="25">
        <f t="shared" si="4"/>
        <v>13000</v>
      </c>
      <c r="O69" s="25">
        <f t="shared" si="5"/>
        <v>3900</v>
      </c>
      <c r="P69" s="25">
        <f t="shared" si="6"/>
        <v>13883.72</v>
      </c>
      <c r="Q69" s="25">
        <f t="shared" si="7"/>
        <v>4165.116</v>
      </c>
      <c r="AC69" s="25"/>
    </row>
    <row r="70" spans="1:29" x14ac:dyDescent="0.25">
      <c r="A70" s="10">
        <v>403</v>
      </c>
      <c r="B70" s="10">
        <v>1</v>
      </c>
      <c r="C70" s="11" t="s">
        <v>128</v>
      </c>
      <c r="D70" s="25">
        <v>92</v>
      </c>
      <c r="E70" s="25">
        <v>0</v>
      </c>
      <c r="F70" s="25">
        <v>16744</v>
      </c>
      <c r="G70" s="25">
        <v>0</v>
      </c>
      <c r="H70" s="25">
        <v>188.13</v>
      </c>
      <c r="I70" s="25">
        <v>92</v>
      </c>
      <c r="J70" s="25">
        <v>0</v>
      </c>
      <c r="K70" s="25">
        <v>20810</v>
      </c>
      <c r="L70" s="25">
        <v>0</v>
      </c>
      <c r="M70" s="25">
        <v>173.97</v>
      </c>
      <c r="N70" s="25">
        <f t="shared" si="4"/>
        <v>16744</v>
      </c>
      <c r="O70" s="25">
        <f t="shared" si="5"/>
        <v>5023.2</v>
      </c>
      <c r="P70" s="25">
        <f t="shared" si="6"/>
        <v>16005.24</v>
      </c>
      <c r="Q70" s="25">
        <f t="shared" si="7"/>
        <v>4801.5720000000001</v>
      </c>
      <c r="AC70" s="25"/>
    </row>
    <row r="71" spans="1:29" x14ac:dyDescent="0.25">
      <c r="A71" s="10">
        <v>413</v>
      </c>
      <c r="B71" s="10">
        <v>1</v>
      </c>
      <c r="C71" s="11" t="s">
        <v>130</v>
      </c>
      <c r="D71" s="25">
        <v>129</v>
      </c>
      <c r="E71" s="25">
        <v>0</v>
      </c>
      <c r="F71" s="25">
        <v>317761.84000000003</v>
      </c>
      <c r="G71" s="25">
        <v>0</v>
      </c>
      <c r="H71" s="25">
        <v>2509.5500000000002</v>
      </c>
      <c r="I71" s="25">
        <v>129</v>
      </c>
      <c r="J71" s="25">
        <v>0</v>
      </c>
      <c r="K71" s="25">
        <v>317762</v>
      </c>
      <c r="L71" s="25">
        <v>0</v>
      </c>
      <c r="M71" s="25">
        <v>2557</v>
      </c>
      <c r="N71" s="25">
        <f t="shared" si="4"/>
        <v>317761.84000000003</v>
      </c>
      <c r="O71" s="25">
        <f t="shared" si="5"/>
        <v>95328.552000000011</v>
      </c>
      <c r="P71" s="25">
        <f t="shared" si="6"/>
        <v>317762</v>
      </c>
      <c r="Q71" s="25">
        <f t="shared" si="7"/>
        <v>95328.599999999991</v>
      </c>
      <c r="AC71" s="25"/>
    </row>
    <row r="72" spans="1:29" x14ac:dyDescent="0.25">
      <c r="A72" s="10">
        <v>414</v>
      </c>
      <c r="B72" s="10">
        <v>1</v>
      </c>
      <c r="C72" s="11" t="s">
        <v>131</v>
      </c>
      <c r="D72" s="25">
        <v>92</v>
      </c>
      <c r="E72" s="25">
        <v>0</v>
      </c>
      <c r="F72" s="25">
        <v>47656.92</v>
      </c>
      <c r="G72" s="25">
        <v>0</v>
      </c>
      <c r="H72" s="25">
        <v>538.88</v>
      </c>
      <c r="I72" s="25">
        <v>92</v>
      </c>
      <c r="J72" s="25">
        <v>0</v>
      </c>
      <c r="K72" s="25">
        <v>48700</v>
      </c>
      <c r="L72" s="25">
        <v>0</v>
      </c>
      <c r="M72" s="25">
        <v>546.85</v>
      </c>
      <c r="N72" s="25">
        <f t="shared" si="4"/>
        <v>47656.92</v>
      </c>
      <c r="O72" s="25">
        <f t="shared" si="5"/>
        <v>14297.075999999999</v>
      </c>
      <c r="P72" s="25">
        <f t="shared" si="6"/>
        <v>48700</v>
      </c>
      <c r="Q72" s="25">
        <f t="shared" si="7"/>
        <v>14610</v>
      </c>
    </row>
    <row r="73" spans="1:29" x14ac:dyDescent="0.25">
      <c r="A73" s="10">
        <v>415</v>
      </c>
      <c r="B73" s="10">
        <v>1</v>
      </c>
      <c r="C73" s="11" t="s">
        <v>132</v>
      </c>
      <c r="D73" s="25">
        <v>129</v>
      </c>
      <c r="E73" s="25">
        <v>0</v>
      </c>
      <c r="F73" s="25">
        <v>25000</v>
      </c>
      <c r="G73" s="25">
        <v>0</v>
      </c>
      <c r="H73" s="25">
        <v>183.03</v>
      </c>
      <c r="I73" s="25">
        <v>129</v>
      </c>
      <c r="J73" s="25">
        <v>0</v>
      </c>
      <c r="K73" s="25">
        <v>26000</v>
      </c>
      <c r="L73" s="25">
        <v>0</v>
      </c>
      <c r="M73" s="25">
        <v>183.03</v>
      </c>
      <c r="N73" s="25">
        <f t="shared" si="4"/>
        <v>23610.87</v>
      </c>
      <c r="O73" s="25">
        <f t="shared" si="5"/>
        <v>7083.2609999999995</v>
      </c>
      <c r="P73" s="25">
        <f t="shared" si="6"/>
        <v>23610.87</v>
      </c>
      <c r="Q73" s="25">
        <f t="shared" si="7"/>
        <v>7083.2609999999995</v>
      </c>
      <c r="R73" s="2"/>
      <c r="S73" s="2"/>
      <c r="T73" s="2"/>
      <c r="U73" s="2"/>
    </row>
    <row r="74" spans="1:29" x14ac:dyDescent="0.25">
      <c r="A74" s="10">
        <v>458</v>
      </c>
      <c r="B74" s="10">
        <v>1</v>
      </c>
      <c r="C74" s="11" t="s">
        <v>139</v>
      </c>
      <c r="D74" s="25">
        <v>92</v>
      </c>
      <c r="E74" s="25">
        <v>0</v>
      </c>
      <c r="F74" s="25">
        <v>35833</v>
      </c>
      <c r="G74" s="25">
        <v>0</v>
      </c>
      <c r="H74" s="25">
        <v>316.01</v>
      </c>
      <c r="I74" s="25">
        <v>92</v>
      </c>
      <c r="J74" s="25">
        <v>0</v>
      </c>
      <c r="K74" s="25">
        <v>32000</v>
      </c>
      <c r="L74" s="25">
        <v>0</v>
      </c>
      <c r="M74" s="25">
        <v>320.2</v>
      </c>
      <c r="N74" s="25">
        <f t="shared" si="4"/>
        <v>29072.92</v>
      </c>
      <c r="O74" s="25">
        <f t="shared" si="5"/>
        <v>8721.8759999999984</v>
      </c>
      <c r="P74" s="25">
        <f t="shared" si="6"/>
        <v>29458.399999999998</v>
      </c>
      <c r="Q74" s="25">
        <f t="shared" si="7"/>
        <v>8837.5199999999986</v>
      </c>
      <c r="U74" s="25"/>
      <c r="W74" s="24"/>
    </row>
    <row r="75" spans="1:29" x14ac:dyDescent="0.25">
      <c r="A75" s="2">
        <v>486</v>
      </c>
      <c r="B75" s="2">
        <v>1</v>
      </c>
      <c r="C75" s="2" t="s">
        <v>149</v>
      </c>
      <c r="D75" s="25">
        <v>92</v>
      </c>
      <c r="E75" s="25">
        <v>0</v>
      </c>
      <c r="F75" s="25">
        <v>0</v>
      </c>
      <c r="G75" s="25">
        <v>0</v>
      </c>
      <c r="H75" s="25">
        <v>354.91</v>
      </c>
      <c r="I75" s="25">
        <v>92</v>
      </c>
      <c r="J75" s="25">
        <v>0</v>
      </c>
      <c r="K75" s="25">
        <v>0</v>
      </c>
      <c r="L75" s="25">
        <v>0</v>
      </c>
      <c r="M75" s="25">
        <v>336.95</v>
      </c>
      <c r="N75" s="25">
        <f t="shared" si="4"/>
        <v>0</v>
      </c>
      <c r="O75" s="25">
        <f t="shared" si="5"/>
        <v>0</v>
      </c>
      <c r="P75" s="25">
        <f t="shared" si="6"/>
        <v>0</v>
      </c>
      <c r="Q75" s="25">
        <f t="shared" si="7"/>
        <v>0</v>
      </c>
      <c r="R75" s="24"/>
      <c r="S75" s="24"/>
      <c r="T75" s="24"/>
      <c r="U75" s="26"/>
      <c r="W75" s="24"/>
    </row>
    <row r="76" spans="1:29" x14ac:dyDescent="0.25">
      <c r="A76" s="2">
        <v>487</v>
      </c>
      <c r="B76" s="2">
        <v>1</v>
      </c>
      <c r="C76" s="2" t="s">
        <v>150</v>
      </c>
      <c r="D76" s="25">
        <v>92</v>
      </c>
      <c r="E76" s="25">
        <v>0</v>
      </c>
      <c r="F76" s="25">
        <v>0</v>
      </c>
      <c r="G76" s="25">
        <v>0</v>
      </c>
      <c r="H76" s="25">
        <v>425.17</v>
      </c>
      <c r="I76" s="25">
        <v>92</v>
      </c>
      <c r="J76" s="25">
        <v>0</v>
      </c>
      <c r="K76" s="25">
        <v>0</v>
      </c>
      <c r="L76" s="25">
        <v>0</v>
      </c>
      <c r="M76" s="25">
        <v>411.55</v>
      </c>
      <c r="N76" s="25">
        <f t="shared" si="4"/>
        <v>0</v>
      </c>
      <c r="O76" s="25">
        <f t="shared" si="5"/>
        <v>0</v>
      </c>
      <c r="P76" s="25">
        <f t="shared" si="6"/>
        <v>0</v>
      </c>
      <c r="Q76" s="25">
        <f t="shared" si="7"/>
        <v>0</v>
      </c>
      <c r="W76" s="24"/>
    </row>
    <row r="77" spans="1:29" x14ac:dyDescent="0.25">
      <c r="A77" s="2">
        <v>492</v>
      </c>
      <c r="B77" s="2">
        <v>1</v>
      </c>
      <c r="C77" s="2" t="s">
        <v>151</v>
      </c>
      <c r="D77" s="25">
        <v>129</v>
      </c>
      <c r="E77" s="25">
        <v>0</v>
      </c>
      <c r="F77" s="25">
        <v>639421.1</v>
      </c>
      <c r="G77" s="25">
        <v>0</v>
      </c>
      <c r="H77" s="25">
        <v>5059.88</v>
      </c>
      <c r="I77" s="25">
        <v>129</v>
      </c>
      <c r="J77" s="25">
        <v>0</v>
      </c>
      <c r="K77" s="25">
        <v>661942.9</v>
      </c>
      <c r="L77" s="25">
        <v>0</v>
      </c>
      <c r="M77" s="25">
        <v>5131.26</v>
      </c>
      <c r="N77" s="25">
        <f t="shared" si="4"/>
        <v>639421.1</v>
      </c>
      <c r="O77" s="25">
        <f t="shared" si="5"/>
        <v>191826.33</v>
      </c>
      <c r="P77" s="25">
        <f t="shared" si="6"/>
        <v>661932.54</v>
      </c>
      <c r="Q77" s="25">
        <f t="shared" si="7"/>
        <v>198579.76200000002</v>
      </c>
      <c r="R77" s="3"/>
      <c r="S77" s="3"/>
      <c r="T77" s="3"/>
      <c r="U77" s="26"/>
      <c r="W77" s="24"/>
    </row>
    <row r="78" spans="1:29" x14ac:dyDescent="0.25">
      <c r="A78" s="2">
        <v>497</v>
      </c>
      <c r="B78" s="2">
        <v>1</v>
      </c>
      <c r="C78" s="2" t="s">
        <v>153</v>
      </c>
      <c r="D78" s="25">
        <v>92</v>
      </c>
      <c r="E78" s="25">
        <v>0</v>
      </c>
      <c r="F78" s="25">
        <v>20240</v>
      </c>
      <c r="G78" s="25">
        <v>0</v>
      </c>
      <c r="H78" s="25">
        <v>263.94</v>
      </c>
      <c r="I78" s="25">
        <v>92</v>
      </c>
      <c r="J78" s="25">
        <v>0</v>
      </c>
      <c r="K78" s="25">
        <v>20240</v>
      </c>
      <c r="L78" s="25">
        <v>0</v>
      </c>
      <c r="M78" s="25">
        <v>263.23</v>
      </c>
      <c r="N78" s="25">
        <f t="shared" si="4"/>
        <v>20240</v>
      </c>
      <c r="O78" s="25">
        <f t="shared" si="5"/>
        <v>6072</v>
      </c>
      <c r="P78" s="25">
        <f t="shared" si="6"/>
        <v>20240</v>
      </c>
      <c r="Q78" s="25">
        <f t="shared" si="7"/>
        <v>6072</v>
      </c>
      <c r="R78" s="3"/>
      <c r="S78" s="3"/>
      <c r="T78" s="3"/>
      <c r="U78" s="26"/>
      <c r="W78" s="24"/>
    </row>
    <row r="79" spans="1:29" x14ac:dyDescent="0.25">
      <c r="A79" s="2">
        <v>500</v>
      </c>
      <c r="B79" s="2">
        <v>1</v>
      </c>
      <c r="C79" s="2" t="s">
        <v>155</v>
      </c>
      <c r="D79" s="25">
        <v>92</v>
      </c>
      <c r="E79" s="25">
        <v>0</v>
      </c>
      <c r="F79" s="25">
        <v>43707</v>
      </c>
      <c r="G79" s="25">
        <v>0</v>
      </c>
      <c r="H79" s="25">
        <v>613.39</v>
      </c>
      <c r="I79" s="25">
        <v>92</v>
      </c>
      <c r="J79" s="25">
        <v>0</v>
      </c>
      <c r="K79" s="25">
        <v>30125</v>
      </c>
      <c r="L79" s="25">
        <v>0</v>
      </c>
      <c r="M79" s="25">
        <v>580.09</v>
      </c>
      <c r="N79" s="25">
        <f t="shared" si="4"/>
        <v>43707</v>
      </c>
      <c r="O79" s="25">
        <f t="shared" si="5"/>
        <v>13112.1</v>
      </c>
      <c r="P79" s="25">
        <f t="shared" si="6"/>
        <v>30125</v>
      </c>
      <c r="Q79" s="25">
        <f t="shared" si="7"/>
        <v>9037.5</v>
      </c>
      <c r="R79" s="3"/>
      <c r="S79" s="3"/>
      <c r="T79" s="3"/>
      <c r="U79" s="26"/>
      <c r="W79" s="24"/>
    </row>
    <row r="80" spans="1:29" x14ac:dyDescent="0.25">
      <c r="A80" s="2">
        <v>505</v>
      </c>
      <c r="B80" s="2">
        <v>1</v>
      </c>
      <c r="C80" s="2" t="s">
        <v>156</v>
      </c>
      <c r="D80" s="25">
        <v>92</v>
      </c>
      <c r="E80" s="25">
        <v>0</v>
      </c>
      <c r="F80" s="25">
        <v>37258</v>
      </c>
      <c r="G80" s="25">
        <v>0</v>
      </c>
      <c r="H80" s="25">
        <v>404.97</v>
      </c>
      <c r="I80" s="25">
        <v>92</v>
      </c>
      <c r="J80" s="25">
        <v>0</v>
      </c>
      <c r="K80" s="25">
        <v>37258</v>
      </c>
      <c r="L80" s="25">
        <v>0</v>
      </c>
      <c r="M80" s="25">
        <v>375.42</v>
      </c>
      <c r="N80" s="25">
        <f t="shared" si="4"/>
        <v>37257.240000000005</v>
      </c>
      <c r="O80" s="25">
        <f t="shared" si="5"/>
        <v>11177.172</v>
      </c>
      <c r="P80" s="25">
        <f t="shared" si="6"/>
        <v>34538.639999999999</v>
      </c>
      <c r="Q80" s="25">
        <f t="shared" si="7"/>
        <v>10361.591999999999</v>
      </c>
    </row>
    <row r="81" spans="1:24" x14ac:dyDescent="0.25">
      <c r="A81" s="2">
        <v>507</v>
      </c>
      <c r="B81" s="2">
        <v>1</v>
      </c>
      <c r="C81" s="2" t="s">
        <v>157</v>
      </c>
      <c r="D81" s="25">
        <v>92</v>
      </c>
      <c r="E81" s="25">
        <v>0</v>
      </c>
      <c r="F81" s="25">
        <v>32766</v>
      </c>
      <c r="G81" s="25">
        <v>0</v>
      </c>
      <c r="H81" s="25">
        <v>376.17</v>
      </c>
      <c r="I81" s="25">
        <v>92</v>
      </c>
      <c r="J81" s="25">
        <v>0</v>
      </c>
      <c r="K81" s="25">
        <v>32000</v>
      </c>
      <c r="L81" s="25">
        <v>0</v>
      </c>
      <c r="M81" s="25">
        <v>386.98</v>
      </c>
      <c r="N81" s="25">
        <f t="shared" si="4"/>
        <v>32766</v>
      </c>
      <c r="O81" s="25">
        <f t="shared" si="5"/>
        <v>9829.7999999999993</v>
      </c>
      <c r="P81" s="25">
        <f t="shared" si="6"/>
        <v>32000</v>
      </c>
      <c r="Q81" s="25">
        <f t="shared" si="7"/>
        <v>9600</v>
      </c>
      <c r="R81" s="25"/>
      <c r="S81" s="26"/>
      <c r="T81" s="25"/>
      <c r="U81" s="25"/>
    </row>
    <row r="82" spans="1:24" x14ac:dyDescent="0.25">
      <c r="A82">
        <v>508</v>
      </c>
      <c r="B82">
        <v>1</v>
      </c>
      <c r="C82" t="s">
        <v>567</v>
      </c>
      <c r="D82" s="25">
        <v>0</v>
      </c>
      <c r="E82" s="25">
        <v>0</v>
      </c>
      <c r="F82" s="25">
        <v>0</v>
      </c>
      <c r="G82" s="25">
        <v>0</v>
      </c>
      <c r="H82" s="25">
        <v>2167.5100000000002</v>
      </c>
      <c r="I82" s="25">
        <v>129</v>
      </c>
      <c r="J82" s="25">
        <v>0</v>
      </c>
      <c r="K82" s="25">
        <v>0</v>
      </c>
      <c r="L82" s="25">
        <v>0</v>
      </c>
      <c r="M82" s="25">
        <v>2150.81</v>
      </c>
      <c r="N82" s="25">
        <f t="shared" si="4"/>
        <v>0</v>
      </c>
      <c r="O82" s="25">
        <f t="shared" si="5"/>
        <v>0</v>
      </c>
      <c r="P82" s="25">
        <f t="shared" si="6"/>
        <v>0</v>
      </c>
      <c r="Q82" s="25">
        <f t="shared" si="7"/>
        <v>0</v>
      </c>
      <c r="U82" s="25"/>
    </row>
    <row r="83" spans="1:24" x14ac:dyDescent="0.25">
      <c r="A83" s="2">
        <v>511</v>
      </c>
      <c r="B83" s="2">
        <v>1</v>
      </c>
      <c r="C83" s="2" t="s">
        <v>159</v>
      </c>
      <c r="D83" s="25">
        <v>92</v>
      </c>
      <c r="E83" s="25">
        <v>0</v>
      </c>
      <c r="F83" s="25">
        <v>58406</v>
      </c>
      <c r="G83" s="25">
        <v>0</v>
      </c>
      <c r="H83" s="25">
        <v>634.85</v>
      </c>
      <c r="I83" s="25">
        <v>92</v>
      </c>
      <c r="J83" s="25">
        <v>0</v>
      </c>
      <c r="K83" s="25">
        <v>58406</v>
      </c>
      <c r="L83" s="25">
        <v>0</v>
      </c>
      <c r="M83" s="25">
        <v>640.69000000000005</v>
      </c>
      <c r="N83" s="25">
        <f t="shared" ref="N83:N146" si="8">MIN(F83,(D83+E83)*H83)+G83</f>
        <v>58406</v>
      </c>
      <c r="O83" s="25">
        <f t="shared" ref="O83:O146" si="9">0.3*(N83-G83)+0.7*E83*H83</f>
        <v>17521.8</v>
      </c>
      <c r="P83" s="25">
        <f t="shared" ref="P83:P146" si="10">MIN(K83,(I83+J83)*M83)+L83</f>
        <v>58406</v>
      </c>
      <c r="Q83" s="25">
        <f t="shared" ref="Q83:Q146" si="11">0.3*(P83-L83)+0.7*J83*M83</f>
        <v>17521.8</v>
      </c>
      <c r="R83" s="25"/>
      <c r="S83" s="25"/>
      <c r="T83" s="25"/>
      <c r="U83" s="25"/>
      <c r="V83" s="25"/>
      <c r="W83" s="25"/>
      <c r="X83" s="25"/>
    </row>
    <row r="84" spans="1:24" x14ac:dyDescent="0.25">
      <c r="A84" s="2">
        <v>513</v>
      </c>
      <c r="B84" s="2">
        <v>1</v>
      </c>
      <c r="C84" s="2" t="s">
        <v>160</v>
      </c>
      <c r="D84" s="25">
        <v>129</v>
      </c>
      <c r="E84" s="25">
        <v>0</v>
      </c>
      <c r="F84" s="25">
        <v>23880</v>
      </c>
      <c r="G84" s="25">
        <v>0</v>
      </c>
      <c r="H84" s="25">
        <v>259.55</v>
      </c>
      <c r="I84" s="25">
        <v>129</v>
      </c>
      <c r="J84" s="25">
        <v>0</v>
      </c>
      <c r="K84" s="25">
        <v>23300</v>
      </c>
      <c r="L84" s="25">
        <v>0</v>
      </c>
      <c r="M84" s="25">
        <v>266.11</v>
      </c>
      <c r="N84" s="25">
        <f t="shared" si="8"/>
        <v>23880</v>
      </c>
      <c r="O84" s="25">
        <f t="shared" si="9"/>
        <v>7164</v>
      </c>
      <c r="P84" s="25">
        <f t="shared" si="10"/>
        <v>23300</v>
      </c>
      <c r="Q84" s="25">
        <f t="shared" si="11"/>
        <v>6990</v>
      </c>
      <c r="R84" s="25"/>
      <c r="S84" s="25"/>
      <c r="T84" s="25"/>
      <c r="U84" s="25"/>
      <c r="V84" s="25"/>
      <c r="W84" s="25"/>
      <c r="X84" s="25"/>
    </row>
    <row r="85" spans="1:24" x14ac:dyDescent="0.25">
      <c r="A85" s="2">
        <v>514</v>
      </c>
      <c r="B85" s="2">
        <v>1</v>
      </c>
      <c r="C85" s="2" t="s">
        <v>161</v>
      </c>
      <c r="D85" s="25">
        <v>92</v>
      </c>
      <c r="E85" s="25">
        <v>0</v>
      </c>
      <c r="F85" s="25">
        <v>18286</v>
      </c>
      <c r="G85" s="25">
        <v>0</v>
      </c>
      <c r="H85" s="25">
        <v>198.76</v>
      </c>
      <c r="I85" s="25">
        <v>92</v>
      </c>
      <c r="J85" s="25">
        <v>0</v>
      </c>
      <c r="K85" s="25">
        <v>17638</v>
      </c>
      <c r="L85" s="25">
        <v>0</v>
      </c>
      <c r="M85" s="25">
        <v>183.52</v>
      </c>
      <c r="N85" s="25">
        <f t="shared" si="8"/>
        <v>18285.919999999998</v>
      </c>
      <c r="O85" s="25">
        <f t="shared" si="9"/>
        <v>5485.7759999999989</v>
      </c>
      <c r="P85" s="25">
        <f t="shared" si="10"/>
        <v>16883.84</v>
      </c>
      <c r="Q85" s="25">
        <f t="shared" si="11"/>
        <v>5065.152</v>
      </c>
      <c r="R85" s="25"/>
      <c r="S85" s="25"/>
      <c r="T85" s="25"/>
      <c r="U85" s="25"/>
      <c r="V85" s="25"/>
      <c r="W85" s="25"/>
      <c r="X85" s="25"/>
    </row>
    <row r="86" spans="1:24" x14ac:dyDescent="0.25">
      <c r="A86" s="2">
        <v>516</v>
      </c>
      <c r="B86" s="2">
        <v>1</v>
      </c>
      <c r="C86" s="2" t="s">
        <v>162</v>
      </c>
      <c r="D86" s="25">
        <v>92</v>
      </c>
      <c r="E86" s="25">
        <v>0</v>
      </c>
      <c r="F86" s="25">
        <v>11615</v>
      </c>
      <c r="G86" s="25">
        <v>0</v>
      </c>
      <c r="H86" s="25">
        <v>126.24</v>
      </c>
      <c r="I86" s="25">
        <v>92</v>
      </c>
      <c r="J86" s="25">
        <v>0</v>
      </c>
      <c r="K86" s="25">
        <v>13650</v>
      </c>
      <c r="L86" s="25">
        <v>0</v>
      </c>
      <c r="M86" s="25">
        <v>126.14</v>
      </c>
      <c r="N86" s="25">
        <f t="shared" si="8"/>
        <v>11614.08</v>
      </c>
      <c r="O86" s="25">
        <f t="shared" si="9"/>
        <v>3484.2239999999997</v>
      </c>
      <c r="P86" s="25">
        <f t="shared" si="10"/>
        <v>11604.88</v>
      </c>
      <c r="Q86" s="25">
        <f t="shared" si="11"/>
        <v>3481.4639999999995</v>
      </c>
      <c r="R86" s="25"/>
      <c r="S86" s="25"/>
      <c r="T86" s="25"/>
      <c r="U86" s="25"/>
      <c r="V86" s="25"/>
      <c r="W86" s="25"/>
      <c r="X86" s="25"/>
    </row>
    <row r="87" spans="1:24" x14ac:dyDescent="0.25">
      <c r="A87" s="2">
        <v>518</v>
      </c>
      <c r="B87" s="2">
        <v>1</v>
      </c>
      <c r="C87" s="2" t="s">
        <v>163</v>
      </c>
      <c r="D87" s="25">
        <v>129</v>
      </c>
      <c r="E87" s="25">
        <v>0</v>
      </c>
      <c r="F87" s="25">
        <v>385386</v>
      </c>
      <c r="G87" s="25">
        <v>0</v>
      </c>
      <c r="H87" s="25">
        <v>2987.48</v>
      </c>
      <c r="I87" s="25">
        <v>129</v>
      </c>
      <c r="J87" s="25">
        <v>0</v>
      </c>
      <c r="K87" s="25">
        <v>392100</v>
      </c>
      <c r="L87" s="25">
        <v>0</v>
      </c>
      <c r="M87" s="25">
        <v>2935.26</v>
      </c>
      <c r="N87" s="25">
        <f t="shared" si="8"/>
        <v>385384.92</v>
      </c>
      <c r="O87" s="25">
        <f t="shared" si="9"/>
        <v>115615.476</v>
      </c>
      <c r="P87" s="25">
        <f t="shared" si="10"/>
        <v>378648.54000000004</v>
      </c>
      <c r="Q87" s="25">
        <f t="shared" si="11"/>
        <v>113594.56200000001</v>
      </c>
      <c r="R87" s="25"/>
      <c r="S87" s="25"/>
      <c r="T87" s="25"/>
      <c r="U87" s="25"/>
      <c r="V87" s="25"/>
      <c r="W87" s="25"/>
      <c r="X87" s="25"/>
    </row>
    <row r="88" spans="1:24" x14ac:dyDescent="0.25">
      <c r="A88" s="2">
        <v>531</v>
      </c>
      <c r="B88" s="2">
        <v>1</v>
      </c>
      <c r="C88" s="2" t="s">
        <v>164</v>
      </c>
      <c r="D88" s="25">
        <v>92</v>
      </c>
      <c r="E88" s="25">
        <v>0</v>
      </c>
      <c r="F88" s="25">
        <v>13085</v>
      </c>
      <c r="G88" s="25">
        <v>0</v>
      </c>
      <c r="H88" s="25">
        <v>2060.8200000000002</v>
      </c>
      <c r="I88" s="25">
        <v>92</v>
      </c>
      <c r="J88" s="25">
        <v>0</v>
      </c>
      <c r="K88" s="25">
        <v>13000</v>
      </c>
      <c r="L88" s="25">
        <v>0</v>
      </c>
      <c r="M88" s="25">
        <v>2080.7800000000002</v>
      </c>
      <c r="N88" s="25">
        <f t="shared" si="8"/>
        <v>13085</v>
      </c>
      <c r="O88" s="25">
        <f t="shared" si="9"/>
        <v>3925.5</v>
      </c>
      <c r="P88" s="25">
        <f t="shared" si="10"/>
        <v>13000</v>
      </c>
      <c r="Q88" s="25">
        <f t="shared" si="11"/>
        <v>3900</v>
      </c>
      <c r="R88" s="25"/>
      <c r="S88" s="25"/>
      <c r="T88" s="25"/>
      <c r="U88" s="25"/>
      <c r="V88" s="25"/>
      <c r="W88" s="25"/>
      <c r="X88" s="25"/>
    </row>
    <row r="89" spans="1:24" x14ac:dyDescent="0.25">
      <c r="A89" s="2">
        <v>533</v>
      </c>
      <c r="B89" s="2">
        <v>1</v>
      </c>
      <c r="C89" s="2" t="s">
        <v>165</v>
      </c>
      <c r="D89" s="25">
        <v>92</v>
      </c>
      <c r="E89" s="25">
        <v>0</v>
      </c>
      <c r="F89" s="25">
        <v>50313</v>
      </c>
      <c r="G89" s="25">
        <v>0</v>
      </c>
      <c r="H89" s="25">
        <v>1425.13</v>
      </c>
      <c r="I89" s="25">
        <v>92</v>
      </c>
      <c r="J89" s="25">
        <v>0</v>
      </c>
      <c r="K89" s="25">
        <v>50000</v>
      </c>
      <c r="L89" s="25">
        <v>0</v>
      </c>
      <c r="M89" s="25">
        <v>1452.55</v>
      </c>
      <c r="N89" s="25">
        <f t="shared" si="8"/>
        <v>50313</v>
      </c>
      <c r="O89" s="25">
        <f t="shared" si="9"/>
        <v>15093.9</v>
      </c>
      <c r="P89" s="25">
        <f t="shared" si="10"/>
        <v>50000</v>
      </c>
      <c r="Q89" s="25">
        <f t="shared" si="11"/>
        <v>15000</v>
      </c>
      <c r="R89" s="25"/>
      <c r="S89" s="25"/>
      <c r="T89" s="25"/>
      <c r="U89" s="25"/>
      <c r="V89" s="25"/>
      <c r="W89" s="25"/>
      <c r="X89" s="25"/>
    </row>
    <row r="90" spans="1:24" x14ac:dyDescent="0.25">
      <c r="A90" s="2">
        <v>534</v>
      </c>
      <c r="B90" s="2">
        <v>1</v>
      </c>
      <c r="C90" s="2" t="s">
        <v>166</v>
      </c>
      <c r="D90" s="25">
        <v>92</v>
      </c>
      <c r="E90" s="25">
        <v>0</v>
      </c>
      <c r="F90" s="25">
        <v>79000</v>
      </c>
      <c r="G90" s="25">
        <v>0</v>
      </c>
      <c r="H90" s="25">
        <v>2132.9899999999998</v>
      </c>
      <c r="I90" s="25">
        <v>92</v>
      </c>
      <c r="J90" s="25">
        <v>0</v>
      </c>
      <c r="K90" s="25">
        <v>79000</v>
      </c>
      <c r="L90" s="25">
        <v>0</v>
      </c>
      <c r="M90" s="25">
        <v>2120.9699999999998</v>
      </c>
      <c r="N90" s="25">
        <f t="shared" si="8"/>
        <v>79000</v>
      </c>
      <c r="O90" s="25">
        <f t="shared" si="9"/>
        <v>23700</v>
      </c>
      <c r="P90" s="25">
        <f t="shared" si="10"/>
        <v>79000</v>
      </c>
      <c r="Q90" s="25">
        <f t="shared" si="11"/>
        <v>23700</v>
      </c>
      <c r="R90" s="25"/>
      <c r="S90" s="25"/>
      <c r="T90" s="25"/>
      <c r="U90" s="25"/>
      <c r="V90" s="25"/>
      <c r="W90" s="25"/>
      <c r="X90" s="25"/>
    </row>
    <row r="91" spans="1:24" x14ac:dyDescent="0.25">
      <c r="A91" s="2">
        <v>535</v>
      </c>
      <c r="B91" s="2">
        <v>1</v>
      </c>
      <c r="C91" s="2" t="s">
        <v>167</v>
      </c>
      <c r="D91" s="25">
        <v>129</v>
      </c>
      <c r="E91" s="25">
        <v>0</v>
      </c>
      <c r="F91" s="25">
        <v>2374608</v>
      </c>
      <c r="G91" s="25">
        <v>0</v>
      </c>
      <c r="H91" s="25">
        <v>18418.47</v>
      </c>
      <c r="I91" s="25">
        <v>129</v>
      </c>
      <c r="J91" s="25">
        <v>0</v>
      </c>
      <c r="K91" s="25">
        <v>2372002</v>
      </c>
      <c r="L91" s="25">
        <v>0</v>
      </c>
      <c r="M91" s="25">
        <v>18704.82</v>
      </c>
      <c r="N91" s="25">
        <f t="shared" si="8"/>
        <v>2374608</v>
      </c>
      <c r="O91" s="25">
        <f t="shared" si="9"/>
        <v>712382.4</v>
      </c>
      <c r="P91" s="25">
        <f t="shared" si="10"/>
        <v>2372002</v>
      </c>
      <c r="Q91" s="25">
        <f t="shared" si="11"/>
        <v>711600.6</v>
      </c>
      <c r="R91" s="25"/>
      <c r="S91" s="25"/>
      <c r="T91" s="25"/>
      <c r="U91" s="25"/>
      <c r="V91" s="25"/>
      <c r="W91" s="25"/>
      <c r="X91" s="25"/>
    </row>
    <row r="92" spans="1:24" x14ac:dyDescent="0.25">
      <c r="A92" s="2">
        <v>542</v>
      </c>
      <c r="B92" s="2">
        <v>1</v>
      </c>
      <c r="C92" s="2" t="s">
        <v>168</v>
      </c>
      <c r="D92" s="25">
        <v>92</v>
      </c>
      <c r="E92" s="25">
        <v>0</v>
      </c>
      <c r="F92" s="25">
        <v>46644</v>
      </c>
      <c r="G92" s="25">
        <v>0</v>
      </c>
      <c r="H92" s="25">
        <v>537.99</v>
      </c>
      <c r="I92" s="25">
        <v>92</v>
      </c>
      <c r="J92" s="25">
        <v>0</v>
      </c>
      <c r="K92" s="25">
        <v>51539</v>
      </c>
      <c r="L92" s="25">
        <v>0</v>
      </c>
      <c r="M92" s="25">
        <v>531.38</v>
      </c>
      <c r="N92" s="25">
        <f t="shared" si="8"/>
        <v>46644</v>
      </c>
      <c r="O92" s="25">
        <f t="shared" si="9"/>
        <v>13993.199999999999</v>
      </c>
      <c r="P92" s="25">
        <f t="shared" si="10"/>
        <v>48886.96</v>
      </c>
      <c r="Q92" s="25">
        <f t="shared" si="11"/>
        <v>14666.088</v>
      </c>
      <c r="R92" s="25"/>
      <c r="S92" s="25"/>
      <c r="T92" s="25"/>
      <c r="U92" s="25"/>
      <c r="V92" s="25"/>
      <c r="W92" s="25"/>
      <c r="X92" s="25"/>
    </row>
    <row r="93" spans="1:24" x14ac:dyDescent="0.25">
      <c r="A93" s="2">
        <v>544</v>
      </c>
      <c r="B93" s="2">
        <v>1</v>
      </c>
      <c r="C93" s="2" t="s">
        <v>169</v>
      </c>
      <c r="D93" s="25">
        <v>92</v>
      </c>
      <c r="E93" s="25">
        <v>0</v>
      </c>
      <c r="F93" s="25">
        <v>270000</v>
      </c>
      <c r="G93" s="25">
        <v>0</v>
      </c>
      <c r="H93" s="25">
        <v>3197.73</v>
      </c>
      <c r="I93" s="25">
        <v>92</v>
      </c>
      <c r="J93" s="25">
        <v>0</v>
      </c>
      <c r="K93" s="25">
        <v>270000</v>
      </c>
      <c r="L93" s="25">
        <v>0</v>
      </c>
      <c r="M93" s="25">
        <v>3061.38</v>
      </c>
      <c r="N93" s="25">
        <f t="shared" si="8"/>
        <v>270000</v>
      </c>
      <c r="O93" s="25">
        <f t="shared" si="9"/>
        <v>81000</v>
      </c>
      <c r="P93" s="25">
        <f t="shared" si="10"/>
        <v>270000</v>
      </c>
      <c r="Q93" s="25">
        <f t="shared" si="11"/>
        <v>81000</v>
      </c>
      <c r="R93" s="25"/>
      <c r="S93" s="25"/>
      <c r="T93" s="25"/>
      <c r="U93" s="25"/>
      <c r="V93" s="25"/>
      <c r="W93" s="25"/>
      <c r="X93" s="25"/>
    </row>
    <row r="94" spans="1:24" x14ac:dyDescent="0.25">
      <c r="A94" s="2">
        <v>548</v>
      </c>
      <c r="B94" s="2">
        <v>1</v>
      </c>
      <c r="C94" s="2" t="s">
        <v>172</v>
      </c>
      <c r="D94" s="25">
        <v>129</v>
      </c>
      <c r="E94" s="25">
        <v>0</v>
      </c>
      <c r="F94" s="25">
        <v>133782</v>
      </c>
      <c r="G94" s="25">
        <v>0</v>
      </c>
      <c r="H94" s="25">
        <v>1044.33</v>
      </c>
      <c r="I94" s="25">
        <v>129</v>
      </c>
      <c r="J94" s="25">
        <v>0</v>
      </c>
      <c r="K94" s="25">
        <v>134000</v>
      </c>
      <c r="L94" s="25">
        <v>0</v>
      </c>
      <c r="M94" s="25">
        <v>1023.23</v>
      </c>
      <c r="N94" s="25">
        <f t="shared" si="8"/>
        <v>133782</v>
      </c>
      <c r="O94" s="25">
        <f t="shared" si="9"/>
        <v>40134.6</v>
      </c>
      <c r="P94" s="25">
        <f t="shared" si="10"/>
        <v>131996.67000000001</v>
      </c>
      <c r="Q94" s="25">
        <f t="shared" si="11"/>
        <v>39599.001000000004</v>
      </c>
      <c r="R94" s="25"/>
      <c r="S94" s="25"/>
      <c r="T94" s="25"/>
      <c r="U94" s="25"/>
      <c r="V94" s="25"/>
      <c r="W94" s="25"/>
      <c r="X94" s="25"/>
    </row>
    <row r="95" spans="1:24" x14ac:dyDescent="0.25">
      <c r="A95" s="2">
        <v>549</v>
      </c>
      <c r="B95" s="2">
        <v>1</v>
      </c>
      <c r="C95" s="2" t="s">
        <v>173</v>
      </c>
      <c r="D95" s="25">
        <v>92</v>
      </c>
      <c r="E95" s="25">
        <v>0</v>
      </c>
      <c r="F95" s="25">
        <v>118398</v>
      </c>
      <c r="G95" s="25">
        <v>0</v>
      </c>
      <c r="H95" s="25">
        <v>1647.77</v>
      </c>
      <c r="I95" s="25">
        <v>92</v>
      </c>
      <c r="J95" s="25">
        <v>0</v>
      </c>
      <c r="K95" s="25">
        <v>150000</v>
      </c>
      <c r="L95" s="25">
        <v>0</v>
      </c>
      <c r="M95" s="25">
        <v>1496.35</v>
      </c>
      <c r="N95" s="25">
        <f t="shared" si="8"/>
        <v>118398</v>
      </c>
      <c r="O95" s="25">
        <f t="shared" si="9"/>
        <v>35519.4</v>
      </c>
      <c r="P95" s="25">
        <f t="shared" si="10"/>
        <v>137664.19999999998</v>
      </c>
      <c r="Q95" s="25">
        <f t="shared" si="11"/>
        <v>41299.259999999995</v>
      </c>
      <c r="R95" s="25"/>
      <c r="S95" s="25"/>
      <c r="T95" s="25"/>
      <c r="U95" s="25"/>
      <c r="V95" s="25"/>
      <c r="W95" s="25"/>
      <c r="X95" s="25"/>
    </row>
    <row r="96" spans="1:24" x14ac:dyDescent="0.25">
      <c r="A96" s="2">
        <v>550</v>
      </c>
      <c r="B96" s="2">
        <v>1</v>
      </c>
      <c r="C96" s="2" t="s">
        <v>174</v>
      </c>
      <c r="D96" s="25">
        <v>92</v>
      </c>
      <c r="E96" s="25">
        <v>0</v>
      </c>
      <c r="F96" s="25">
        <v>41441</v>
      </c>
      <c r="G96" s="25">
        <v>0</v>
      </c>
      <c r="H96" s="25">
        <v>632.6</v>
      </c>
      <c r="I96" s="25">
        <v>92</v>
      </c>
      <c r="J96" s="25">
        <v>0</v>
      </c>
      <c r="K96" s="25">
        <v>41441</v>
      </c>
      <c r="L96" s="25">
        <v>0</v>
      </c>
      <c r="M96" s="25">
        <v>627.99</v>
      </c>
      <c r="N96" s="25">
        <f t="shared" si="8"/>
        <v>41441</v>
      </c>
      <c r="O96" s="25">
        <f t="shared" si="9"/>
        <v>12432.3</v>
      </c>
      <c r="P96" s="25">
        <f t="shared" si="10"/>
        <v>41441</v>
      </c>
      <c r="Q96" s="25">
        <f t="shared" si="11"/>
        <v>12432.3</v>
      </c>
      <c r="R96" s="25"/>
      <c r="S96" s="25"/>
      <c r="T96" s="25"/>
      <c r="U96" s="25"/>
      <c r="V96" s="25"/>
      <c r="W96" s="25"/>
      <c r="X96" s="25"/>
    </row>
    <row r="97" spans="1:24" x14ac:dyDescent="0.25">
      <c r="A97" s="2">
        <v>621</v>
      </c>
      <c r="B97" s="2">
        <v>1</v>
      </c>
      <c r="C97" s="2" t="s">
        <v>188</v>
      </c>
      <c r="D97" s="25">
        <v>129</v>
      </c>
      <c r="E97" s="25">
        <v>0</v>
      </c>
      <c r="F97" s="25">
        <v>1450650</v>
      </c>
      <c r="G97" s="25">
        <v>0</v>
      </c>
      <c r="H97" s="25">
        <v>11288.76</v>
      </c>
      <c r="I97" s="25">
        <v>129</v>
      </c>
      <c r="J97" s="25">
        <v>0</v>
      </c>
      <c r="K97" s="25">
        <v>1453000</v>
      </c>
      <c r="L97" s="25">
        <v>0</v>
      </c>
      <c r="M97" s="25">
        <v>10810.86</v>
      </c>
      <c r="N97" s="25">
        <f t="shared" si="8"/>
        <v>1450650</v>
      </c>
      <c r="O97" s="25">
        <f t="shared" si="9"/>
        <v>435195</v>
      </c>
      <c r="P97" s="25">
        <f t="shared" si="10"/>
        <v>1394600.9400000002</v>
      </c>
      <c r="Q97" s="25">
        <f t="shared" si="11"/>
        <v>418380.28200000006</v>
      </c>
      <c r="R97" s="25"/>
      <c r="S97" s="25"/>
      <c r="T97" s="25"/>
      <c r="U97" s="25"/>
      <c r="V97" s="25"/>
      <c r="W97" s="25"/>
      <c r="X97" s="25"/>
    </row>
    <row r="98" spans="1:24" x14ac:dyDescent="0.25">
      <c r="A98" s="2">
        <v>622</v>
      </c>
      <c r="B98" s="2">
        <v>1</v>
      </c>
      <c r="C98" s="2" t="s">
        <v>189</v>
      </c>
      <c r="D98" s="25">
        <v>129</v>
      </c>
      <c r="E98" s="25">
        <v>0</v>
      </c>
      <c r="F98" s="25">
        <v>1646496</v>
      </c>
      <c r="G98" s="25">
        <v>88208.7</v>
      </c>
      <c r="H98" s="25">
        <v>12846.07</v>
      </c>
      <c r="I98" s="25">
        <v>129</v>
      </c>
      <c r="J98" s="25">
        <v>0</v>
      </c>
      <c r="K98" s="25">
        <v>1734705</v>
      </c>
      <c r="L98" s="25">
        <v>88208.7</v>
      </c>
      <c r="M98" s="25">
        <v>12157.5</v>
      </c>
      <c r="N98" s="25">
        <f t="shared" si="8"/>
        <v>1734704.7</v>
      </c>
      <c r="O98" s="25">
        <f t="shared" si="9"/>
        <v>493948.8</v>
      </c>
      <c r="P98" s="25">
        <f t="shared" si="10"/>
        <v>1656526.2</v>
      </c>
      <c r="Q98" s="25">
        <f t="shared" si="11"/>
        <v>470495.25</v>
      </c>
      <c r="R98" s="25"/>
      <c r="S98" s="25"/>
      <c r="T98" s="25"/>
      <c r="U98" s="25"/>
      <c r="V98" s="25"/>
      <c r="W98" s="25"/>
      <c r="X98" s="25"/>
    </row>
    <row r="99" spans="1:24" x14ac:dyDescent="0.25">
      <c r="A99" s="2">
        <v>623</v>
      </c>
      <c r="B99" s="2">
        <v>1</v>
      </c>
      <c r="C99" s="2" t="s">
        <v>190</v>
      </c>
      <c r="D99" s="25">
        <v>129</v>
      </c>
      <c r="E99" s="25">
        <v>0</v>
      </c>
      <c r="F99" s="25">
        <v>989172</v>
      </c>
      <c r="G99" s="25">
        <v>97623</v>
      </c>
      <c r="H99" s="25">
        <v>7668.06</v>
      </c>
      <c r="I99" s="25">
        <v>129</v>
      </c>
      <c r="J99" s="25">
        <v>0</v>
      </c>
      <c r="K99" s="25">
        <v>1025000</v>
      </c>
      <c r="L99" s="25">
        <v>97623</v>
      </c>
      <c r="M99" s="25">
        <v>7511.36</v>
      </c>
      <c r="N99" s="25">
        <f t="shared" si="8"/>
        <v>1086795</v>
      </c>
      <c r="O99" s="25">
        <f t="shared" si="9"/>
        <v>296751.59999999998</v>
      </c>
      <c r="P99" s="25">
        <f t="shared" si="10"/>
        <v>1066588.44</v>
      </c>
      <c r="Q99" s="25">
        <f t="shared" si="11"/>
        <v>290689.63199999998</v>
      </c>
      <c r="R99" s="25"/>
      <c r="S99" s="25"/>
      <c r="T99" s="25"/>
      <c r="U99" s="25"/>
      <c r="V99" s="25"/>
      <c r="W99" s="25"/>
      <c r="X99" s="25"/>
    </row>
    <row r="100" spans="1:24" x14ac:dyDescent="0.25">
      <c r="A100" s="2">
        <v>624</v>
      </c>
      <c r="B100" s="2">
        <v>1</v>
      </c>
      <c r="C100" s="2" t="s">
        <v>191</v>
      </c>
      <c r="D100" s="25">
        <v>129</v>
      </c>
      <c r="E100" s="25">
        <v>0</v>
      </c>
      <c r="F100" s="25">
        <v>883582</v>
      </c>
      <c r="G100" s="25">
        <v>0</v>
      </c>
      <c r="H100" s="25">
        <v>9339.69</v>
      </c>
      <c r="I100" s="25">
        <v>129</v>
      </c>
      <c r="J100" s="25">
        <v>0</v>
      </c>
      <c r="K100" s="25">
        <v>925000</v>
      </c>
      <c r="L100" s="25">
        <v>0</v>
      </c>
      <c r="M100" s="25">
        <v>9229.4599999999991</v>
      </c>
      <c r="N100" s="25">
        <f t="shared" si="8"/>
        <v>883582</v>
      </c>
      <c r="O100" s="25">
        <f t="shared" si="9"/>
        <v>265074.59999999998</v>
      </c>
      <c r="P100" s="25">
        <f t="shared" si="10"/>
        <v>925000</v>
      </c>
      <c r="Q100" s="25">
        <f t="shared" si="11"/>
        <v>277500</v>
      </c>
      <c r="R100" s="25"/>
      <c r="S100" s="25"/>
      <c r="T100" s="25"/>
      <c r="U100" s="25"/>
      <c r="V100" s="25"/>
      <c r="W100" s="25"/>
      <c r="X100" s="25"/>
    </row>
    <row r="101" spans="1:24" x14ac:dyDescent="0.25">
      <c r="A101" s="2">
        <v>625</v>
      </c>
      <c r="B101" s="2">
        <v>1</v>
      </c>
      <c r="C101" s="2" t="s">
        <v>192</v>
      </c>
      <c r="D101" s="25">
        <v>445</v>
      </c>
      <c r="E101" s="25">
        <v>0</v>
      </c>
      <c r="F101" s="25">
        <v>18976541</v>
      </c>
      <c r="G101" s="25">
        <v>0</v>
      </c>
      <c r="H101" s="25">
        <v>41766.39</v>
      </c>
      <c r="I101" s="25">
        <v>445</v>
      </c>
      <c r="J101" s="25">
        <v>0</v>
      </c>
      <c r="K101" s="25">
        <f>M101*(I101+J101)</f>
        <v>18578158.149999999</v>
      </c>
      <c r="L101" s="25">
        <v>0</v>
      </c>
      <c r="M101" s="25">
        <v>41748.67</v>
      </c>
      <c r="N101" s="25">
        <f t="shared" si="8"/>
        <v>18586043.550000001</v>
      </c>
      <c r="O101" s="25">
        <f t="shared" si="9"/>
        <v>5575813.0650000004</v>
      </c>
      <c r="P101" s="25">
        <f t="shared" si="10"/>
        <v>18578158.149999999</v>
      </c>
      <c r="Q101" s="25">
        <f t="shared" si="11"/>
        <v>5573447.4449999994</v>
      </c>
      <c r="R101" s="25"/>
      <c r="S101" s="25"/>
      <c r="T101" s="25"/>
      <c r="U101" s="25"/>
      <c r="V101" s="25"/>
      <c r="W101" s="25"/>
      <c r="X101" s="25"/>
    </row>
    <row r="102" spans="1:24" x14ac:dyDescent="0.25">
      <c r="A102" s="2">
        <v>635</v>
      </c>
      <c r="B102" s="2">
        <v>1</v>
      </c>
      <c r="C102" s="2" t="s">
        <v>196</v>
      </c>
      <c r="D102" s="25">
        <v>92</v>
      </c>
      <c r="E102" s="25">
        <v>0</v>
      </c>
      <c r="F102" s="25">
        <v>7000</v>
      </c>
      <c r="G102" s="25">
        <v>0</v>
      </c>
      <c r="H102" s="25">
        <v>85.52</v>
      </c>
      <c r="I102" s="25">
        <v>92</v>
      </c>
      <c r="J102" s="25">
        <v>0</v>
      </c>
      <c r="K102" s="25">
        <v>7000</v>
      </c>
      <c r="L102" s="25">
        <v>0</v>
      </c>
      <c r="M102" s="25">
        <v>84.22</v>
      </c>
      <c r="N102" s="25">
        <f t="shared" si="8"/>
        <v>7000</v>
      </c>
      <c r="O102" s="25">
        <f t="shared" si="9"/>
        <v>2100</v>
      </c>
      <c r="P102" s="25">
        <f t="shared" si="10"/>
        <v>7000</v>
      </c>
      <c r="Q102" s="25">
        <f t="shared" si="11"/>
        <v>2100</v>
      </c>
      <c r="R102" s="25"/>
      <c r="S102" s="25"/>
      <c r="T102" s="25"/>
      <c r="U102" s="25"/>
      <c r="V102" s="25"/>
      <c r="W102" s="25"/>
      <c r="X102" s="25"/>
    </row>
    <row r="103" spans="1:24" x14ac:dyDescent="0.25">
      <c r="A103" s="2">
        <v>640</v>
      </c>
      <c r="B103" s="2">
        <v>1</v>
      </c>
      <c r="C103" s="2" t="s">
        <v>197</v>
      </c>
      <c r="D103" s="25">
        <v>92</v>
      </c>
      <c r="E103" s="25">
        <v>0</v>
      </c>
      <c r="F103" s="25">
        <v>40000</v>
      </c>
      <c r="G103" s="25">
        <v>0</v>
      </c>
      <c r="H103" s="25">
        <v>466.06</v>
      </c>
      <c r="I103" s="25">
        <v>92</v>
      </c>
      <c r="J103" s="25">
        <v>0</v>
      </c>
      <c r="K103" s="25">
        <v>40000</v>
      </c>
      <c r="L103" s="25">
        <v>0</v>
      </c>
      <c r="M103" s="25">
        <v>426.96</v>
      </c>
      <c r="N103" s="25">
        <f t="shared" si="8"/>
        <v>40000</v>
      </c>
      <c r="O103" s="25">
        <f t="shared" si="9"/>
        <v>12000</v>
      </c>
      <c r="P103" s="25">
        <f t="shared" si="10"/>
        <v>39280.32</v>
      </c>
      <c r="Q103" s="25">
        <f t="shared" si="11"/>
        <v>11784.096</v>
      </c>
      <c r="R103" s="25"/>
      <c r="S103" s="25"/>
      <c r="T103" s="25"/>
      <c r="U103" s="25"/>
      <c r="V103" s="25"/>
      <c r="W103" s="25"/>
      <c r="X103" s="25"/>
    </row>
    <row r="104" spans="1:24" x14ac:dyDescent="0.25">
      <c r="A104" s="2">
        <v>656</v>
      </c>
      <c r="B104" s="2">
        <v>1</v>
      </c>
      <c r="C104" s="2" t="s">
        <v>198</v>
      </c>
      <c r="D104" s="25">
        <v>129</v>
      </c>
      <c r="E104" s="25">
        <v>0</v>
      </c>
      <c r="F104" s="25">
        <v>494804</v>
      </c>
      <c r="G104" s="25">
        <v>0</v>
      </c>
      <c r="H104" s="25">
        <v>4367.97</v>
      </c>
      <c r="I104" s="25">
        <v>129</v>
      </c>
      <c r="J104" s="25">
        <v>0</v>
      </c>
      <c r="K104" s="25">
        <v>494804</v>
      </c>
      <c r="L104" s="25">
        <v>0</v>
      </c>
      <c r="M104" s="25">
        <v>4333.92</v>
      </c>
      <c r="N104" s="25">
        <f t="shared" si="8"/>
        <v>494804</v>
      </c>
      <c r="O104" s="25">
        <f t="shared" si="9"/>
        <v>148441.19999999998</v>
      </c>
      <c r="P104" s="25">
        <f t="shared" si="10"/>
        <v>494804</v>
      </c>
      <c r="Q104" s="25">
        <f t="shared" si="11"/>
        <v>148441.19999999998</v>
      </c>
      <c r="R104" s="25"/>
      <c r="S104" s="25"/>
      <c r="T104" s="25"/>
      <c r="U104" s="25"/>
      <c r="V104" s="25"/>
      <c r="W104" s="25"/>
      <c r="X104" s="25"/>
    </row>
    <row r="105" spans="1:24" x14ac:dyDescent="0.25">
      <c r="A105">
        <v>704</v>
      </c>
      <c r="B105">
        <v>1</v>
      </c>
      <c r="C105" t="s">
        <v>568</v>
      </c>
      <c r="D105" s="25">
        <v>92</v>
      </c>
      <c r="E105" s="25">
        <v>0</v>
      </c>
      <c r="F105" s="25">
        <v>11709</v>
      </c>
      <c r="G105" s="25">
        <v>0</v>
      </c>
      <c r="H105" s="25">
        <v>1906.91</v>
      </c>
      <c r="I105" s="25">
        <v>92</v>
      </c>
      <c r="J105" s="25">
        <v>0</v>
      </c>
      <c r="K105" s="25">
        <v>173956.36</v>
      </c>
      <c r="L105" s="25">
        <v>0</v>
      </c>
      <c r="M105" s="25">
        <v>1890.82</v>
      </c>
      <c r="N105" s="25">
        <f t="shared" si="8"/>
        <v>11709</v>
      </c>
      <c r="O105" s="25">
        <f t="shared" si="9"/>
        <v>3512.7</v>
      </c>
      <c r="P105" s="25">
        <f t="shared" si="10"/>
        <v>173955.44</v>
      </c>
      <c r="Q105" s="25">
        <f t="shared" si="11"/>
        <v>52186.631999999998</v>
      </c>
      <c r="R105" s="25"/>
      <c r="S105" s="25"/>
      <c r="T105" s="25"/>
      <c r="U105" s="25"/>
      <c r="V105" s="25"/>
      <c r="W105" s="25"/>
      <c r="X105" s="25"/>
    </row>
    <row r="106" spans="1:24" x14ac:dyDescent="0.25">
      <c r="A106" s="2">
        <v>709</v>
      </c>
      <c r="B106" s="2">
        <v>1</v>
      </c>
      <c r="C106" s="2" t="s">
        <v>212</v>
      </c>
      <c r="D106" s="25">
        <v>206</v>
      </c>
      <c r="E106" s="25">
        <v>0</v>
      </c>
      <c r="F106" s="25">
        <f>H106*(D106+E106)</f>
        <v>2088551.6</v>
      </c>
      <c r="G106" s="25">
        <v>0</v>
      </c>
      <c r="H106" s="25">
        <v>10138.6</v>
      </c>
      <c r="I106" s="25">
        <v>206</v>
      </c>
      <c r="J106" s="25">
        <v>0</v>
      </c>
      <c r="K106" s="25">
        <f>M106*(I106+J106)</f>
        <v>2048284.7799999998</v>
      </c>
      <c r="L106" s="25">
        <v>0</v>
      </c>
      <c r="M106" s="25">
        <v>9943.1299999999992</v>
      </c>
      <c r="N106" s="25">
        <f t="shared" si="8"/>
        <v>2088551.6</v>
      </c>
      <c r="O106" s="25">
        <f t="shared" si="9"/>
        <v>626565.48</v>
      </c>
      <c r="P106" s="25">
        <f t="shared" si="10"/>
        <v>2048284.7799999998</v>
      </c>
      <c r="Q106" s="25">
        <f t="shared" si="11"/>
        <v>614485.43399999989</v>
      </c>
      <c r="R106" s="25"/>
      <c r="S106" s="25"/>
      <c r="T106" s="25"/>
      <c r="U106" s="25"/>
      <c r="V106" s="25"/>
      <c r="W106" s="25"/>
      <c r="X106" s="25"/>
    </row>
    <row r="107" spans="1:24" x14ac:dyDescent="0.25">
      <c r="A107" s="2">
        <v>716</v>
      </c>
      <c r="B107" s="2">
        <v>1</v>
      </c>
      <c r="C107" s="2" t="s">
        <v>214</v>
      </c>
      <c r="D107" s="25">
        <v>92</v>
      </c>
      <c r="E107" s="25">
        <v>0</v>
      </c>
      <c r="F107" s="25">
        <v>144750</v>
      </c>
      <c r="G107" s="25">
        <v>0</v>
      </c>
      <c r="H107" s="25">
        <v>1878.06</v>
      </c>
      <c r="I107" s="25">
        <v>92</v>
      </c>
      <c r="J107" s="25">
        <v>0</v>
      </c>
      <c r="K107" s="25">
        <v>60000</v>
      </c>
      <c r="L107" s="25">
        <v>0</v>
      </c>
      <c r="M107" s="25">
        <v>1926.77</v>
      </c>
      <c r="N107" s="25">
        <f t="shared" si="8"/>
        <v>144750</v>
      </c>
      <c r="O107" s="25">
        <f t="shared" si="9"/>
        <v>43425</v>
      </c>
      <c r="P107" s="25">
        <f t="shared" si="10"/>
        <v>60000</v>
      </c>
      <c r="Q107" s="25">
        <f t="shared" si="11"/>
        <v>18000</v>
      </c>
      <c r="R107" s="25"/>
      <c r="S107" s="25"/>
      <c r="T107" s="25"/>
      <c r="U107" s="25"/>
      <c r="V107" s="25"/>
      <c r="W107" s="25"/>
      <c r="X107" s="25"/>
    </row>
    <row r="108" spans="1:24" x14ac:dyDescent="0.25">
      <c r="A108" s="2">
        <v>717</v>
      </c>
      <c r="B108" s="2">
        <v>1</v>
      </c>
      <c r="C108" s="2" t="s">
        <v>215</v>
      </c>
      <c r="D108" s="25">
        <v>92</v>
      </c>
      <c r="E108" s="25">
        <v>0</v>
      </c>
      <c r="F108" s="25">
        <v>12800</v>
      </c>
      <c r="G108" s="25">
        <v>0</v>
      </c>
      <c r="H108" s="25">
        <v>1974.71</v>
      </c>
      <c r="I108" s="25">
        <v>92</v>
      </c>
      <c r="J108" s="25">
        <v>0</v>
      </c>
      <c r="K108" s="25">
        <v>12800</v>
      </c>
      <c r="L108" s="25">
        <v>0</v>
      </c>
      <c r="M108" s="25">
        <v>1982.33</v>
      </c>
      <c r="N108" s="25">
        <f t="shared" si="8"/>
        <v>12800</v>
      </c>
      <c r="O108" s="25">
        <f t="shared" si="9"/>
        <v>3840</v>
      </c>
      <c r="P108" s="25">
        <f t="shared" si="10"/>
        <v>12800</v>
      </c>
      <c r="Q108" s="25">
        <f t="shared" si="11"/>
        <v>3840</v>
      </c>
      <c r="R108" s="25"/>
      <c r="S108" s="25"/>
      <c r="T108" s="25"/>
      <c r="U108" s="25"/>
      <c r="V108" s="25"/>
      <c r="W108" s="25"/>
      <c r="X108" s="25"/>
    </row>
    <row r="109" spans="1:24" x14ac:dyDescent="0.25">
      <c r="A109" s="2">
        <v>719</v>
      </c>
      <c r="B109" s="2">
        <v>1</v>
      </c>
      <c r="C109" s="2" t="s">
        <v>216</v>
      </c>
      <c r="D109" s="25">
        <v>92</v>
      </c>
      <c r="E109" s="25">
        <v>0</v>
      </c>
      <c r="F109" s="25">
        <v>16225</v>
      </c>
      <c r="G109" s="25">
        <v>0</v>
      </c>
      <c r="H109" s="25">
        <v>8110.59</v>
      </c>
      <c r="I109" s="25">
        <v>92</v>
      </c>
      <c r="J109" s="25">
        <v>0</v>
      </c>
      <c r="K109" s="25">
        <v>18000</v>
      </c>
      <c r="L109" s="25">
        <v>0</v>
      </c>
      <c r="M109" s="25">
        <v>8093.38</v>
      </c>
      <c r="N109" s="25">
        <f t="shared" si="8"/>
        <v>16225</v>
      </c>
      <c r="O109" s="25">
        <f t="shared" si="9"/>
        <v>4867.5</v>
      </c>
      <c r="P109" s="25">
        <f t="shared" si="10"/>
        <v>18000</v>
      </c>
      <c r="Q109" s="25">
        <f t="shared" si="11"/>
        <v>5400</v>
      </c>
      <c r="R109" s="25"/>
      <c r="S109" s="25"/>
      <c r="T109" s="25"/>
      <c r="U109" s="25"/>
      <c r="V109" s="25"/>
      <c r="W109" s="25"/>
      <c r="X109" s="25"/>
    </row>
    <row r="110" spans="1:24" x14ac:dyDescent="0.25">
      <c r="A110" s="2">
        <v>720</v>
      </c>
      <c r="B110" s="2">
        <v>1</v>
      </c>
      <c r="C110" s="2" t="s">
        <v>217</v>
      </c>
      <c r="D110" s="25">
        <v>129</v>
      </c>
      <c r="E110" s="25">
        <v>0</v>
      </c>
      <c r="F110" s="25">
        <v>45000</v>
      </c>
      <c r="G110" s="25">
        <v>0</v>
      </c>
      <c r="H110" s="25">
        <v>8454.64</v>
      </c>
      <c r="I110" s="25">
        <v>129</v>
      </c>
      <c r="J110" s="25">
        <v>0</v>
      </c>
      <c r="K110" s="25">
        <v>45000</v>
      </c>
      <c r="L110" s="25">
        <v>0</v>
      </c>
      <c r="M110" s="25">
        <v>8806.25</v>
      </c>
      <c r="N110" s="25">
        <f t="shared" si="8"/>
        <v>45000</v>
      </c>
      <c r="O110" s="25">
        <f t="shared" si="9"/>
        <v>13500</v>
      </c>
      <c r="P110" s="25">
        <f t="shared" si="10"/>
        <v>45000</v>
      </c>
      <c r="Q110" s="25">
        <f t="shared" si="11"/>
        <v>13500</v>
      </c>
      <c r="R110" s="25"/>
      <c r="S110" s="25"/>
      <c r="T110" s="25"/>
      <c r="U110" s="25"/>
      <c r="V110" s="25"/>
      <c r="W110" s="25"/>
      <c r="X110" s="25"/>
    </row>
    <row r="111" spans="1:24" x14ac:dyDescent="0.25">
      <c r="A111" s="2">
        <v>721</v>
      </c>
      <c r="B111" s="2">
        <v>1</v>
      </c>
      <c r="C111" s="2" t="s">
        <v>218</v>
      </c>
      <c r="D111" s="25">
        <v>92</v>
      </c>
      <c r="E111" s="25">
        <v>0</v>
      </c>
      <c r="F111" s="25">
        <v>0</v>
      </c>
      <c r="G111" s="25">
        <v>0</v>
      </c>
      <c r="H111" s="25">
        <v>4358.59</v>
      </c>
      <c r="I111" s="25">
        <v>92</v>
      </c>
      <c r="J111" s="25">
        <v>0</v>
      </c>
      <c r="K111" s="25">
        <v>0</v>
      </c>
      <c r="L111" s="25">
        <v>0</v>
      </c>
      <c r="M111" s="25">
        <v>4426.62</v>
      </c>
      <c r="N111" s="25">
        <f t="shared" si="8"/>
        <v>0</v>
      </c>
      <c r="O111" s="25">
        <f t="shared" si="9"/>
        <v>0</v>
      </c>
      <c r="P111" s="25">
        <f t="shared" si="10"/>
        <v>0</v>
      </c>
      <c r="Q111" s="25">
        <f t="shared" si="11"/>
        <v>0</v>
      </c>
      <c r="R111" s="25"/>
      <c r="S111" s="25"/>
      <c r="T111" s="25"/>
      <c r="U111" s="25"/>
      <c r="V111" s="25"/>
      <c r="W111" s="25"/>
      <c r="X111" s="25"/>
    </row>
    <row r="112" spans="1:24" x14ac:dyDescent="0.25">
      <c r="A112" s="2">
        <v>726</v>
      </c>
      <c r="B112" s="2">
        <v>1</v>
      </c>
      <c r="C112" s="2" t="s">
        <v>219</v>
      </c>
      <c r="D112" s="25">
        <v>92</v>
      </c>
      <c r="E112" s="25">
        <v>0</v>
      </c>
      <c r="F112" s="25">
        <v>292500</v>
      </c>
      <c r="G112" s="25">
        <v>0</v>
      </c>
      <c r="H112" s="25">
        <v>3183.43</v>
      </c>
      <c r="I112" s="25">
        <v>92</v>
      </c>
      <c r="J112" s="25">
        <v>0</v>
      </c>
      <c r="K112" s="25">
        <v>294000</v>
      </c>
      <c r="L112" s="25">
        <v>0</v>
      </c>
      <c r="M112" s="25">
        <v>3164.75</v>
      </c>
      <c r="N112" s="25">
        <f t="shared" si="8"/>
        <v>292500</v>
      </c>
      <c r="O112" s="25">
        <f t="shared" si="9"/>
        <v>87750</v>
      </c>
      <c r="P112" s="25">
        <f t="shared" si="10"/>
        <v>291157</v>
      </c>
      <c r="Q112" s="25">
        <f t="shared" si="11"/>
        <v>87347.099999999991</v>
      </c>
      <c r="R112" s="25"/>
      <c r="S112" s="25"/>
      <c r="T112" s="25"/>
      <c r="U112" s="25"/>
      <c r="V112" s="25"/>
      <c r="W112" s="25"/>
      <c r="X112" s="25"/>
    </row>
    <row r="113" spans="1:24" x14ac:dyDescent="0.25">
      <c r="A113" s="2">
        <v>728</v>
      </c>
      <c r="B113" s="2">
        <v>1</v>
      </c>
      <c r="C113" s="2" t="s">
        <v>221</v>
      </c>
      <c r="D113" s="25">
        <v>92</v>
      </c>
      <c r="E113" s="25">
        <v>0</v>
      </c>
      <c r="F113" s="25">
        <v>1340000</v>
      </c>
      <c r="G113" s="25">
        <v>0</v>
      </c>
      <c r="H113" s="25">
        <v>14498.65</v>
      </c>
      <c r="I113" s="25">
        <v>92</v>
      </c>
      <c r="J113" s="25">
        <v>0</v>
      </c>
      <c r="K113" s="25">
        <v>1340000</v>
      </c>
      <c r="L113" s="25">
        <v>0</v>
      </c>
      <c r="M113" s="25">
        <v>14723.09</v>
      </c>
      <c r="N113" s="25">
        <f t="shared" si="8"/>
        <v>1333875.8</v>
      </c>
      <c r="O113" s="25">
        <f t="shared" si="9"/>
        <v>400162.74</v>
      </c>
      <c r="P113" s="25">
        <f t="shared" si="10"/>
        <v>1340000</v>
      </c>
      <c r="Q113" s="25">
        <f t="shared" si="11"/>
        <v>402000</v>
      </c>
      <c r="R113" s="25"/>
      <c r="S113" s="25"/>
      <c r="T113" s="25"/>
      <c r="U113" s="25"/>
      <c r="V113" s="25"/>
      <c r="W113" s="25"/>
      <c r="X113" s="25"/>
    </row>
    <row r="114" spans="1:24" x14ac:dyDescent="0.25">
      <c r="A114" s="2">
        <v>738</v>
      </c>
      <c r="B114" s="2">
        <v>1</v>
      </c>
      <c r="C114" s="2" t="s">
        <v>222</v>
      </c>
      <c r="D114" s="25">
        <v>92</v>
      </c>
      <c r="E114" s="25">
        <v>0</v>
      </c>
      <c r="F114" s="25">
        <v>92072.98</v>
      </c>
      <c r="G114" s="25">
        <v>0</v>
      </c>
      <c r="H114" s="25">
        <v>1145.25</v>
      </c>
      <c r="I114" s="25">
        <v>92</v>
      </c>
      <c r="J114" s="25">
        <v>0</v>
      </c>
      <c r="K114" s="25">
        <v>92100</v>
      </c>
      <c r="L114" s="25">
        <v>0</v>
      </c>
      <c r="M114" s="25">
        <v>1127.33</v>
      </c>
      <c r="N114" s="25">
        <f t="shared" si="8"/>
        <v>92072.98</v>
      </c>
      <c r="O114" s="25">
        <f t="shared" si="9"/>
        <v>27621.893999999997</v>
      </c>
      <c r="P114" s="25">
        <f t="shared" si="10"/>
        <v>92100</v>
      </c>
      <c r="Q114" s="25">
        <f t="shared" si="11"/>
        <v>27630</v>
      </c>
      <c r="R114" s="25"/>
      <c r="S114" s="25"/>
      <c r="T114" s="25"/>
      <c r="U114" s="25"/>
      <c r="V114" s="25"/>
      <c r="W114" s="25"/>
      <c r="X114" s="25"/>
    </row>
    <row r="115" spans="1:24" x14ac:dyDescent="0.25">
      <c r="A115" s="2">
        <v>739</v>
      </c>
      <c r="B115" s="2">
        <v>1</v>
      </c>
      <c r="C115" s="2" t="s">
        <v>223</v>
      </c>
      <c r="D115" s="25">
        <v>92</v>
      </c>
      <c r="E115" s="25">
        <v>0</v>
      </c>
      <c r="F115" s="25">
        <v>76820</v>
      </c>
      <c r="G115" s="25">
        <v>0</v>
      </c>
      <c r="H115" s="25">
        <v>790.28</v>
      </c>
      <c r="I115" s="25">
        <v>92</v>
      </c>
      <c r="J115" s="25">
        <v>0</v>
      </c>
      <c r="K115" s="25">
        <v>76820</v>
      </c>
      <c r="L115" s="25">
        <v>0</v>
      </c>
      <c r="M115" s="25">
        <v>777.02</v>
      </c>
      <c r="N115" s="25">
        <f t="shared" si="8"/>
        <v>72705.759999999995</v>
      </c>
      <c r="O115" s="25">
        <f t="shared" si="9"/>
        <v>21811.727999999999</v>
      </c>
      <c r="P115" s="25">
        <f t="shared" si="10"/>
        <v>71485.84</v>
      </c>
      <c r="Q115" s="25">
        <f t="shared" si="11"/>
        <v>21445.751999999997</v>
      </c>
      <c r="R115" s="25"/>
      <c r="S115" s="25"/>
      <c r="T115" s="25"/>
      <c r="U115" s="25"/>
      <c r="V115" s="25"/>
      <c r="W115" s="25"/>
      <c r="X115" s="25"/>
    </row>
    <row r="116" spans="1:24" x14ac:dyDescent="0.25">
      <c r="A116" s="2">
        <v>740</v>
      </c>
      <c r="B116" s="2">
        <v>1</v>
      </c>
      <c r="C116" s="2" t="s">
        <v>224</v>
      </c>
      <c r="D116" s="25">
        <v>92</v>
      </c>
      <c r="E116" s="25">
        <v>0</v>
      </c>
      <c r="F116" s="25">
        <v>143060</v>
      </c>
      <c r="G116" s="25">
        <v>0</v>
      </c>
      <c r="H116" s="25">
        <v>1584.6</v>
      </c>
      <c r="I116" s="25">
        <v>92</v>
      </c>
      <c r="J116" s="25">
        <v>0</v>
      </c>
      <c r="K116" s="25">
        <v>137060</v>
      </c>
      <c r="L116" s="25">
        <v>0</v>
      </c>
      <c r="M116" s="25">
        <v>1569.84</v>
      </c>
      <c r="N116" s="25">
        <f t="shared" si="8"/>
        <v>143060</v>
      </c>
      <c r="O116" s="25">
        <f t="shared" si="9"/>
        <v>42918</v>
      </c>
      <c r="P116" s="25">
        <f t="shared" si="10"/>
        <v>137060</v>
      </c>
      <c r="Q116" s="25">
        <f t="shared" si="11"/>
        <v>41118</v>
      </c>
      <c r="R116" s="25"/>
      <c r="S116" s="25"/>
      <c r="T116" s="25"/>
      <c r="U116" s="25"/>
      <c r="V116" s="25"/>
      <c r="W116" s="25"/>
      <c r="X116" s="25"/>
    </row>
    <row r="117" spans="1:24" x14ac:dyDescent="0.25">
      <c r="A117" s="2">
        <v>742</v>
      </c>
      <c r="B117" s="2">
        <v>1</v>
      </c>
      <c r="C117" s="2" t="s">
        <v>226</v>
      </c>
      <c r="D117" s="25">
        <v>129</v>
      </c>
      <c r="E117" s="25">
        <v>0</v>
      </c>
      <c r="F117" s="25">
        <v>1321448</v>
      </c>
      <c r="G117" s="25">
        <v>0</v>
      </c>
      <c r="H117" s="25">
        <v>10351.17</v>
      </c>
      <c r="I117" s="25">
        <v>129</v>
      </c>
      <c r="J117" s="25">
        <v>0</v>
      </c>
      <c r="K117" s="25">
        <v>1321448</v>
      </c>
      <c r="L117" s="25">
        <v>0</v>
      </c>
      <c r="M117" s="25">
        <v>10303.52</v>
      </c>
      <c r="N117" s="25">
        <f t="shared" si="8"/>
        <v>1321448</v>
      </c>
      <c r="O117" s="25">
        <f t="shared" si="9"/>
        <v>396434.39999999997</v>
      </c>
      <c r="P117" s="25">
        <f t="shared" si="10"/>
        <v>1321448</v>
      </c>
      <c r="Q117" s="25">
        <f t="shared" si="11"/>
        <v>396434.39999999997</v>
      </c>
      <c r="R117" s="25"/>
      <c r="S117" s="25"/>
      <c r="T117" s="25"/>
      <c r="U117" s="25"/>
      <c r="V117" s="25"/>
      <c r="W117" s="25"/>
      <c r="X117" s="25"/>
    </row>
    <row r="118" spans="1:24" x14ac:dyDescent="0.25">
      <c r="A118" s="2">
        <v>743</v>
      </c>
      <c r="B118" s="2">
        <v>1</v>
      </c>
      <c r="C118" s="2" t="s">
        <v>227</v>
      </c>
      <c r="D118" s="25">
        <v>92</v>
      </c>
      <c r="E118" s="25">
        <v>0</v>
      </c>
      <c r="F118" s="25">
        <v>104362</v>
      </c>
      <c r="G118" s="25">
        <v>0</v>
      </c>
      <c r="H118" s="25">
        <v>1134.3699999999999</v>
      </c>
      <c r="I118" s="25">
        <v>92</v>
      </c>
      <c r="J118" s="25">
        <v>0</v>
      </c>
      <c r="K118" s="25">
        <v>105000</v>
      </c>
      <c r="L118" s="25">
        <v>0</v>
      </c>
      <c r="M118" s="25">
        <v>1071.6199999999999</v>
      </c>
      <c r="N118" s="25">
        <f t="shared" si="8"/>
        <v>104362</v>
      </c>
      <c r="O118" s="25">
        <f t="shared" si="9"/>
        <v>31308.6</v>
      </c>
      <c r="P118" s="25">
        <f t="shared" si="10"/>
        <v>98589.04</v>
      </c>
      <c r="Q118" s="25">
        <f t="shared" si="11"/>
        <v>29576.711999999996</v>
      </c>
      <c r="R118" s="25"/>
      <c r="S118" s="25"/>
      <c r="T118" s="25"/>
      <c r="U118" s="25"/>
      <c r="V118" s="25"/>
      <c r="W118" s="25"/>
      <c r="X118" s="25"/>
    </row>
    <row r="119" spans="1:24" x14ac:dyDescent="0.25">
      <c r="A119">
        <v>745</v>
      </c>
      <c r="B119">
        <v>1</v>
      </c>
      <c r="C119" t="s">
        <v>569</v>
      </c>
      <c r="D119" s="25">
        <v>92</v>
      </c>
      <c r="E119" s="25">
        <v>0</v>
      </c>
      <c r="F119" s="25">
        <v>0</v>
      </c>
      <c r="G119" s="25">
        <v>0</v>
      </c>
      <c r="H119" s="25">
        <v>1907.1</v>
      </c>
      <c r="I119" s="25">
        <v>92</v>
      </c>
      <c r="J119" s="25">
        <v>0</v>
      </c>
      <c r="K119" s="25">
        <v>0</v>
      </c>
      <c r="L119" s="25">
        <v>0</v>
      </c>
      <c r="M119" s="25">
        <v>1896.6</v>
      </c>
      <c r="N119" s="25">
        <f t="shared" si="8"/>
        <v>0</v>
      </c>
      <c r="O119" s="25">
        <f t="shared" si="9"/>
        <v>0</v>
      </c>
      <c r="P119" s="25">
        <f t="shared" si="10"/>
        <v>0</v>
      </c>
      <c r="Q119" s="25">
        <f t="shared" si="11"/>
        <v>0</v>
      </c>
      <c r="R119" s="25"/>
      <c r="S119" s="25"/>
      <c r="T119" s="25"/>
      <c r="U119" s="25"/>
      <c r="V119" s="25"/>
      <c r="W119" s="25"/>
      <c r="X119" s="25"/>
    </row>
    <row r="120" spans="1:24" x14ac:dyDescent="0.25">
      <c r="A120">
        <v>748</v>
      </c>
      <c r="B120">
        <v>1</v>
      </c>
      <c r="C120" t="s">
        <v>570</v>
      </c>
      <c r="D120" s="25">
        <v>92</v>
      </c>
      <c r="E120" s="25">
        <v>0</v>
      </c>
      <c r="F120" s="25">
        <v>0</v>
      </c>
      <c r="G120" s="25">
        <v>0</v>
      </c>
      <c r="H120" s="25">
        <v>4168.04</v>
      </c>
      <c r="I120" s="25">
        <v>92</v>
      </c>
      <c r="J120" s="25">
        <v>0</v>
      </c>
      <c r="K120" s="25">
        <v>0</v>
      </c>
      <c r="L120" s="25">
        <v>0</v>
      </c>
      <c r="M120" s="25">
        <v>4279.1499999999996</v>
      </c>
      <c r="N120" s="25">
        <f t="shared" si="8"/>
        <v>0</v>
      </c>
      <c r="O120" s="25">
        <f t="shared" si="9"/>
        <v>0</v>
      </c>
      <c r="P120" s="25">
        <f t="shared" si="10"/>
        <v>0</v>
      </c>
      <c r="Q120" s="25">
        <f t="shared" si="11"/>
        <v>0</v>
      </c>
      <c r="R120" s="25"/>
      <c r="S120" s="25"/>
      <c r="T120" s="25"/>
      <c r="U120" s="25"/>
      <c r="V120" s="25"/>
      <c r="W120" s="25"/>
      <c r="X120" s="25"/>
    </row>
    <row r="121" spans="1:24" x14ac:dyDescent="0.25">
      <c r="A121">
        <v>750</v>
      </c>
      <c r="B121">
        <v>1</v>
      </c>
      <c r="C121" t="s">
        <v>571</v>
      </c>
      <c r="D121" s="25">
        <v>92</v>
      </c>
      <c r="E121" s="25">
        <v>0</v>
      </c>
      <c r="F121" s="25">
        <v>0</v>
      </c>
      <c r="G121" s="25">
        <v>0</v>
      </c>
      <c r="H121" s="25">
        <v>2439.81</v>
      </c>
      <c r="I121" s="25">
        <v>92</v>
      </c>
      <c r="J121" s="25">
        <v>0</v>
      </c>
      <c r="K121" s="25">
        <v>0</v>
      </c>
      <c r="L121" s="25">
        <v>0</v>
      </c>
      <c r="M121" s="25">
        <v>2314.88</v>
      </c>
      <c r="N121" s="25">
        <f t="shared" si="8"/>
        <v>0</v>
      </c>
      <c r="O121" s="25">
        <f t="shared" si="9"/>
        <v>0</v>
      </c>
      <c r="P121" s="25">
        <f t="shared" si="10"/>
        <v>0</v>
      </c>
      <c r="Q121" s="25">
        <f t="shared" si="11"/>
        <v>0</v>
      </c>
      <c r="R121" s="25"/>
      <c r="S121" s="25"/>
      <c r="T121" s="25"/>
      <c r="U121" s="25"/>
      <c r="V121" s="25"/>
      <c r="W121" s="25"/>
      <c r="X121" s="25"/>
    </row>
    <row r="122" spans="1:24" x14ac:dyDescent="0.25">
      <c r="A122">
        <v>756</v>
      </c>
      <c r="B122">
        <v>1</v>
      </c>
      <c r="C122" t="s">
        <v>572</v>
      </c>
      <c r="D122" s="25">
        <v>92</v>
      </c>
      <c r="E122" s="25">
        <v>0</v>
      </c>
      <c r="F122" s="25">
        <v>0</v>
      </c>
      <c r="G122" s="25">
        <v>0</v>
      </c>
      <c r="H122" s="25">
        <v>807.37</v>
      </c>
      <c r="I122" s="25">
        <v>92</v>
      </c>
      <c r="J122" s="25">
        <v>0</v>
      </c>
      <c r="K122" s="25">
        <v>0</v>
      </c>
      <c r="L122" s="25">
        <v>0</v>
      </c>
      <c r="M122" s="25">
        <v>788.71</v>
      </c>
      <c r="N122" s="25">
        <f t="shared" si="8"/>
        <v>0</v>
      </c>
      <c r="O122" s="25">
        <f t="shared" si="9"/>
        <v>0</v>
      </c>
      <c r="P122" s="25">
        <f t="shared" si="10"/>
        <v>0</v>
      </c>
      <c r="Q122" s="25">
        <f t="shared" si="11"/>
        <v>0</v>
      </c>
      <c r="R122" s="25"/>
      <c r="S122" s="25"/>
      <c r="T122" s="25"/>
      <c r="U122" s="25"/>
      <c r="V122" s="25"/>
      <c r="W122" s="25"/>
      <c r="X122" s="25"/>
    </row>
    <row r="123" spans="1:24" x14ac:dyDescent="0.25">
      <c r="A123" s="2">
        <v>775</v>
      </c>
      <c r="B123" s="2">
        <v>1</v>
      </c>
      <c r="C123" s="2" t="s">
        <v>237</v>
      </c>
      <c r="D123" s="25">
        <v>92</v>
      </c>
      <c r="E123" s="25">
        <v>0</v>
      </c>
      <c r="F123" s="25">
        <v>56723.519999999997</v>
      </c>
      <c r="G123" s="25">
        <v>0</v>
      </c>
      <c r="H123" s="25">
        <v>597.72</v>
      </c>
      <c r="I123" s="25">
        <v>92</v>
      </c>
      <c r="J123" s="25">
        <v>0</v>
      </c>
      <c r="K123" s="25">
        <v>56724</v>
      </c>
      <c r="L123" s="25">
        <v>0</v>
      </c>
      <c r="M123" s="25">
        <v>592.46</v>
      </c>
      <c r="N123" s="25">
        <f t="shared" si="8"/>
        <v>54990.240000000005</v>
      </c>
      <c r="O123" s="25">
        <f t="shared" si="9"/>
        <v>16497.072</v>
      </c>
      <c r="P123" s="25">
        <f t="shared" si="10"/>
        <v>54506.320000000007</v>
      </c>
      <c r="Q123" s="25">
        <f t="shared" si="11"/>
        <v>16351.896000000001</v>
      </c>
      <c r="R123" s="25"/>
      <c r="S123" s="25"/>
      <c r="T123" s="25"/>
      <c r="U123" s="25"/>
      <c r="V123" s="25"/>
      <c r="W123" s="25"/>
      <c r="X123" s="25"/>
    </row>
    <row r="124" spans="1:24" x14ac:dyDescent="0.25">
      <c r="A124" s="2">
        <v>787</v>
      </c>
      <c r="B124" s="2">
        <v>1</v>
      </c>
      <c r="C124" s="2" t="s">
        <v>240</v>
      </c>
      <c r="D124" s="25">
        <v>92</v>
      </c>
      <c r="E124" s="25">
        <v>0</v>
      </c>
      <c r="F124" s="25">
        <v>0</v>
      </c>
      <c r="G124" s="25">
        <v>0</v>
      </c>
      <c r="H124" s="25">
        <v>500.29</v>
      </c>
      <c r="I124" s="25">
        <v>92</v>
      </c>
      <c r="J124" s="25">
        <v>0</v>
      </c>
      <c r="K124" s="25">
        <v>0</v>
      </c>
      <c r="L124" s="25">
        <v>0</v>
      </c>
      <c r="M124" s="25">
        <v>465.83</v>
      </c>
      <c r="N124" s="25">
        <f t="shared" si="8"/>
        <v>0</v>
      </c>
      <c r="O124" s="25">
        <f t="shared" si="9"/>
        <v>0</v>
      </c>
      <c r="P124" s="25">
        <f t="shared" si="10"/>
        <v>0</v>
      </c>
      <c r="Q124" s="25">
        <f t="shared" si="11"/>
        <v>0</v>
      </c>
      <c r="R124" s="25"/>
      <c r="S124" s="25"/>
      <c r="T124" s="25"/>
      <c r="U124" s="25"/>
      <c r="V124" s="25"/>
      <c r="W124" s="25"/>
      <c r="X124" s="25"/>
    </row>
    <row r="125" spans="1:24" x14ac:dyDescent="0.25">
      <c r="A125">
        <v>813</v>
      </c>
      <c r="B125">
        <v>1</v>
      </c>
      <c r="C125" t="s">
        <v>573</v>
      </c>
      <c r="D125" s="25">
        <v>92</v>
      </c>
      <c r="E125" s="25">
        <v>0</v>
      </c>
      <c r="F125" s="25">
        <v>0</v>
      </c>
      <c r="G125" s="25">
        <v>0</v>
      </c>
      <c r="H125" s="25">
        <v>1433.13</v>
      </c>
      <c r="I125" s="25">
        <v>92</v>
      </c>
      <c r="J125" s="25">
        <v>0</v>
      </c>
      <c r="K125" s="25">
        <v>0</v>
      </c>
      <c r="L125" s="25">
        <v>0</v>
      </c>
      <c r="M125" s="25">
        <v>1404.41</v>
      </c>
      <c r="N125" s="25">
        <f t="shared" si="8"/>
        <v>0</v>
      </c>
      <c r="O125" s="25">
        <f t="shared" si="9"/>
        <v>0</v>
      </c>
      <c r="P125" s="25">
        <f t="shared" si="10"/>
        <v>0</v>
      </c>
      <c r="Q125" s="25">
        <f t="shared" si="11"/>
        <v>0</v>
      </c>
      <c r="R125" s="25"/>
      <c r="S125" s="25"/>
      <c r="T125" s="25"/>
      <c r="U125" s="25"/>
      <c r="V125" s="25"/>
      <c r="W125" s="25"/>
      <c r="X125" s="25"/>
    </row>
    <row r="126" spans="1:24" x14ac:dyDescent="0.25">
      <c r="A126" s="2">
        <v>831</v>
      </c>
      <c r="B126" s="2">
        <v>1</v>
      </c>
      <c r="C126" s="2" t="s">
        <v>250</v>
      </c>
      <c r="D126" s="25">
        <v>92</v>
      </c>
      <c r="E126" s="25">
        <v>0</v>
      </c>
      <c r="F126" s="25">
        <v>736460</v>
      </c>
      <c r="G126" s="25">
        <v>0</v>
      </c>
      <c r="H126" s="25">
        <v>8005.12</v>
      </c>
      <c r="I126" s="25">
        <v>92</v>
      </c>
      <c r="J126" s="25">
        <v>0</v>
      </c>
      <c r="K126" s="25">
        <v>736500</v>
      </c>
      <c r="L126" s="25">
        <v>0</v>
      </c>
      <c r="M126" s="25">
        <v>7927.12</v>
      </c>
      <c r="N126" s="25">
        <f t="shared" si="8"/>
        <v>736460</v>
      </c>
      <c r="O126" s="25">
        <f t="shared" si="9"/>
        <v>220938</v>
      </c>
      <c r="P126" s="25">
        <f t="shared" si="10"/>
        <v>729295.04</v>
      </c>
      <c r="Q126" s="25">
        <f t="shared" si="11"/>
        <v>218788.51200000002</v>
      </c>
      <c r="R126" s="25"/>
      <c r="S126" s="25"/>
      <c r="T126" s="25"/>
      <c r="U126" s="25"/>
      <c r="V126" s="25"/>
      <c r="W126" s="25"/>
      <c r="X126" s="25"/>
    </row>
    <row r="127" spans="1:24" x14ac:dyDescent="0.25">
      <c r="A127" s="2">
        <v>832</v>
      </c>
      <c r="B127" s="2">
        <v>1</v>
      </c>
      <c r="C127" s="2" t="s">
        <v>251</v>
      </c>
      <c r="D127" s="25">
        <v>92</v>
      </c>
      <c r="E127" s="25">
        <v>0</v>
      </c>
      <c r="F127" s="25">
        <v>350174.08</v>
      </c>
      <c r="G127" s="25">
        <v>1700</v>
      </c>
      <c r="H127" s="25">
        <v>3800.28</v>
      </c>
      <c r="I127" s="25">
        <v>92</v>
      </c>
      <c r="J127" s="25">
        <v>0</v>
      </c>
      <c r="K127" s="25">
        <v>355580</v>
      </c>
      <c r="L127" s="25">
        <v>1700</v>
      </c>
      <c r="M127" s="25">
        <v>3811.43</v>
      </c>
      <c r="N127" s="25">
        <f t="shared" si="8"/>
        <v>351325.76</v>
      </c>
      <c r="O127" s="25">
        <f t="shared" si="9"/>
        <v>104887.728</v>
      </c>
      <c r="P127" s="25">
        <f t="shared" si="10"/>
        <v>352351.56</v>
      </c>
      <c r="Q127" s="25">
        <f t="shared" si="11"/>
        <v>105195.46799999999</v>
      </c>
      <c r="R127" s="25"/>
      <c r="S127" s="25"/>
      <c r="T127" s="25"/>
      <c r="U127" s="25"/>
      <c r="V127" s="25"/>
      <c r="W127" s="25"/>
      <c r="X127" s="25"/>
    </row>
    <row r="128" spans="1:24" x14ac:dyDescent="0.25">
      <c r="A128" s="2">
        <v>833</v>
      </c>
      <c r="B128" s="2">
        <v>1</v>
      </c>
      <c r="C128" s="2" t="s">
        <v>252</v>
      </c>
      <c r="D128" s="25">
        <v>129</v>
      </c>
      <c r="E128" s="25">
        <v>0</v>
      </c>
      <c r="F128" s="25">
        <v>2541065</v>
      </c>
      <c r="G128" s="25">
        <v>21300</v>
      </c>
      <c r="H128" s="25">
        <v>19607.02</v>
      </c>
      <c r="I128" s="25">
        <v>129</v>
      </c>
      <c r="J128" s="25">
        <v>0</v>
      </c>
      <c r="K128" s="25">
        <v>2545339</v>
      </c>
      <c r="L128" s="25">
        <v>21300</v>
      </c>
      <c r="M128" s="25">
        <v>19728.98</v>
      </c>
      <c r="N128" s="25">
        <f t="shared" si="8"/>
        <v>2550605.58</v>
      </c>
      <c r="O128" s="25">
        <f t="shared" si="9"/>
        <v>758791.674</v>
      </c>
      <c r="P128" s="25">
        <f t="shared" si="10"/>
        <v>2566338.42</v>
      </c>
      <c r="Q128" s="25">
        <f t="shared" si="11"/>
        <v>763511.52599999995</v>
      </c>
      <c r="R128" s="25"/>
      <c r="S128" s="25"/>
      <c r="T128" s="25"/>
      <c r="U128" s="25"/>
      <c r="V128" s="25"/>
      <c r="W128" s="25"/>
      <c r="X128" s="25"/>
    </row>
    <row r="129" spans="1:24" x14ac:dyDescent="0.25">
      <c r="A129" s="2">
        <v>834</v>
      </c>
      <c r="B129" s="2">
        <v>1</v>
      </c>
      <c r="C129" s="2" t="s">
        <v>253</v>
      </c>
      <c r="D129" s="25">
        <v>92</v>
      </c>
      <c r="E129" s="25">
        <v>0</v>
      </c>
      <c r="F129" s="25">
        <v>915860</v>
      </c>
      <c r="G129" s="25">
        <v>6945</v>
      </c>
      <c r="H129" s="25">
        <v>9955.24</v>
      </c>
      <c r="I129" s="25">
        <v>92</v>
      </c>
      <c r="J129" s="25">
        <v>0</v>
      </c>
      <c r="K129" s="25">
        <v>922805</v>
      </c>
      <c r="L129" s="25">
        <v>6945</v>
      </c>
      <c r="M129" s="25">
        <v>9830.93</v>
      </c>
      <c r="N129" s="25">
        <f t="shared" si="8"/>
        <v>922805</v>
      </c>
      <c r="O129" s="25">
        <f t="shared" si="9"/>
        <v>274758</v>
      </c>
      <c r="P129" s="25">
        <f t="shared" si="10"/>
        <v>911390.56</v>
      </c>
      <c r="Q129" s="25">
        <f t="shared" si="11"/>
        <v>271333.66800000001</v>
      </c>
      <c r="R129" s="25"/>
      <c r="S129" s="25"/>
      <c r="T129" s="25"/>
      <c r="U129" s="25"/>
      <c r="V129" s="25"/>
      <c r="W129" s="25"/>
      <c r="X129" s="25"/>
    </row>
    <row r="130" spans="1:24" x14ac:dyDescent="0.25">
      <c r="A130" s="2">
        <v>836</v>
      </c>
      <c r="B130" s="2">
        <v>1</v>
      </c>
      <c r="C130" s="2" t="s">
        <v>254</v>
      </c>
      <c r="D130" s="25">
        <v>129</v>
      </c>
      <c r="E130" s="25">
        <v>0</v>
      </c>
      <c r="F130" s="25">
        <v>29221</v>
      </c>
      <c r="G130" s="25">
        <v>0</v>
      </c>
      <c r="H130" s="25">
        <v>257.32</v>
      </c>
      <c r="I130" s="25">
        <v>129</v>
      </c>
      <c r="J130" s="25">
        <v>0</v>
      </c>
      <c r="K130" s="25">
        <v>29221</v>
      </c>
      <c r="L130" s="25">
        <v>0</v>
      </c>
      <c r="M130" s="25">
        <v>249.2</v>
      </c>
      <c r="N130" s="25">
        <f t="shared" si="8"/>
        <v>29221</v>
      </c>
      <c r="O130" s="25">
        <f t="shared" si="9"/>
        <v>8766.2999999999993</v>
      </c>
      <c r="P130" s="25">
        <f t="shared" si="10"/>
        <v>29221</v>
      </c>
      <c r="Q130" s="25">
        <f t="shared" si="11"/>
        <v>8766.2999999999993</v>
      </c>
      <c r="R130" s="25"/>
      <c r="S130" s="25"/>
      <c r="T130" s="25"/>
      <c r="U130" s="25"/>
      <c r="V130" s="25"/>
      <c r="W130" s="25"/>
      <c r="X130" s="25"/>
    </row>
    <row r="131" spans="1:24" x14ac:dyDescent="0.25">
      <c r="A131" s="2">
        <v>837</v>
      </c>
      <c r="B131" s="2">
        <v>1</v>
      </c>
      <c r="C131" s="2" t="s">
        <v>255</v>
      </c>
      <c r="D131" s="25">
        <v>129</v>
      </c>
      <c r="E131" s="25">
        <v>0</v>
      </c>
      <c r="F131" s="25">
        <v>84336</v>
      </c>
      <c r="G131" s="25">
        <v>0</v>
      </c>
      <c r="H131" s="25">
        <v>640.09</v>
      </c>
      <c r="I131" s="25">
        <v>129</v>
      </c>
      <c r="J131" s="25">
        <v>0</v>
      </c>
      <c r="K131" s="25">
        <v>78500</v>
      </c>
      <c r="L131" s="25">
        <v>0</v>
      </c>
      <c r="M131" s="25">
        <v>616.88</v>
      </c>
      <c r="N131" s="25">
        <f t="shared" si="8"/>
        <v>82571.61</v>
      </c>
      <c r="O131" s="25">
        <f t="shared" si="9"/>
        <v>24771.483</v>
      </c>
      <c r="P131" s="25">
        <f t="shared" si="10"/>
        <v>78500</v>
      </c>
      <c r="Q131" s="25">
        <f t="shared" si="11"/>
        <v>23550</v>
      </c>
      <c r="R131" s="25"/>
      <c r="S131" s="25"/>
      <c r="T131" s="25"/>
      <c r="U131" s="25"/>
      <c r="V131" s="25"/>
      <c r="W131" s="25"/>
      <c r="X131" s="25"/>
    </row>
    <row r="132" spans="1:24" x14ac:dyDescent="0.25">
      <c r="A132" s="2">
        <v>840</v>
      </c>
      <c r="B132" s="2">
        <v>1</v>
      </c>
      <c r="C132" s="2" t="s">
        <v>256</v>
      </c>
      <c r="D132" s="25">
        <v>129</v>
      </c>
      <c r="E132" s="25">
        <v>0</v>
      </c>
      <c r="F132" s="25">
        <v>156920.76</v>
      </c>
      <c r="G132" s="25">
        <v>0</v>
      </c>
      <c r="H132" s="25">
        <v>1216.43</v>
      </c>
      <c r="I132" s="25">
        <v>129</v>
      </c>
      <c r="J132" s="25">
        <v>0</v>
      </c>
      <c r="K132" s="25">
        <v>165000</v>
      </c>
      <c r="L132" s="25">
        <v>0</v>
      </c>
      <c r="M132" s="25">
        <v>1198.92</v>
      </c>
      <c r="N132" s="25">
        <f t="shared" si="8"/>
        <v>156919.47</v>
      </c>
      <c r="O132" s="25">
        <f t="shared" si="9"/>
        <v>47075.841</v>
      </c>
      <c r="P132" s="25">
        <f t="shared" si="10"/>
        <v>154660.68000000002</v>
      </c>
      <c r="Q132" s="25">
        <f t="shared" si="11"/>
        <v>46398.204000000005</v>
      </c>
      <c r="R132" s="25"/>
      <c r="S132" s="25"/>
      <c r="T132" s="25"/>
      <c r="U132" s="25"/>
      <c r="V132" s="25"/>
      <c r="W132" s="25"/>
      <c r="X132" s="25"/>
    </row>
    <row r="133" spans="1:24" x14ac:dyDescent="0.25">
      <c r="A133">
        <v>850</v>
      </c>
      <c r="B133">
        <v>1</v>
      </c>
      <c r="C133" t="s">
        <v>574</v>
      </c>
      <c r="D133" s="25">
        <v>92</v>
      </c>
      <c r="E133" s="25">
        <v>0</v>
      </c>
      <c r="F133" s="25">
        <v>0</v>
      </c>
      <c r="G133" s="25">
        <v>0</v>
      </c>
      <c r="H133" s="25">
        <v>255.61</v>
      </c>
      <c r="I133" s="25">
        <v>92</v>
      </c>
      <c r="J133" s="25">
        <v>0</v>
      </c>
      <c r="K133" s="25">
        <v>0</v>
      </c>
      <c r="L133" s="25">
        <v>0</v>
      </c>
      <c r="M133" s="25">
        <v>261.54000000000002</v>
      </c>
      <c r="N133" s="25">
        <f t="shared" si="8"/>
        <v>0</v>
      </c>
      <c r="O133" s="25">
        <f t="shared" si="9"/>
        <v>0</v>
      </c>
      <c r="P133" s="25">
        <f t="shared" si="10"/>
        <v>0</v>
      </c>
      <c r="Q133" s="25">
        <f t="shared" si="11"/>
        <v>0</v>
      </c>
      <c r="R133" s="25"/>
      <c r="S133" s="25"/>
      <c r="T133" s="25"/>
      <c r="U133" s="25"/>
      <c r="V133" s="25"/>
      <c r="W133" s="25"/>
      <c r="X133" s="25"/>
    </row>
    <row r="134" spans="1:24" x14ac:dyDescent="0.25">
      <c r="A134" s="2">
        <v>876</v>
      </c>
      <c r="B134" s="2">
        <v>1</v>
      </c>
      <c r="C134" s="2" t="s">
        <v>263</v>
      </c>
      <c r="D134" s="25">
        <v>92</v>
      </c>
      <c r="E134" s="25">
        <v>0</v>
      </c>
      <c r="F134" s="25">
        <v>171000</v>
      </c>
      <c r="G134" s="25">
        <v>0</v>
      </c>
      <c r="H134" s="25">
        <v>1900.23</v>
      </c>
      <c r="I134" s="25">
        <v>92</v>
      </c>
      <c r="J134" s="25">
        <v>0</v>
      </c>
      <c r="K134" s="25">
        <v>171000</v>
      </c>
      <c r="L134" s="25">
        <v>0</v>
      </c>
      <c r="M134" s="25">
        <v>1868.54</v>
      </c>
      <c r="N134" s="25">
        <f t="shared" si="8"/>
        <v>171000</v>
      </c>
      <c r="O134" s="25">
        <f t="shared" si="9"/>
        <v>51300</v>
      </c>
      <c r="P134" s="25">
        <f t="shared" si="10"/>
        <v>171000</v>
      </c>
      <c r="Q134" s="25">
        <f t="shared" si="11"/>
        <v>51300</v>
      </c>
      <c r="R134" s="25"/>
      <c r="S134" s="25"/>
      <c r="T134" s="25"/>
      <c r="U134" s="25"/>
      <c r="V134" s="25"/>
      <c r="W134" s="25"/>
      <c r="X134" s="25"/>
    </row>
    <row r="135" spans="1:24" x14ac:dyDescent="0.25">
      <c r="A135" s="2">
        <v>877</v>
      </c>
      <c r="B135" s="2">
        <v>1</v>
      </c>
      <c r="C135" s="2" t="s">
        <v>264</v>
      </c>
      <c r="D135" s="25">
        <v>92</v>
      </c>
      <c r="E135" s="25">
        <v>0</v>
      </c>
      <c r="F135" s="25">
        <v>617044</v>
      </c>
      <c r="G135" s="25">
        <v>0</v>
      </c>
      <c r="H135" s="25">
        <v>6702.5</v>
      </c>
      <c r="I135" s="25">
        <v>92</v>
      </c>
      <c r="J135" s="25">
        <v>0</v>
      </c>
      <c r="K135" s="25">
        <v>617044</v>
      </c>
      <c r="L135" s="25">
        <v>0</v>
      </c>
      <c r="M135" s="25">
        <v>6702.08</v>
      </c>
      <c r="N135" s="25">
        <f t="shared" si="8"/>
        <v>616630</v>
      </c>
      <c r="O135" s="25">
        <f t="shared" si="9"/>
        <v>184989</v>
      </c>
      <c r="P135" s="25">
        <f t="shared" si="10"/>
        <v>616591.35999999999</v>
      </c>
      <c r="Q135" s="25">
        <f t="shared" si="11"/>
        <v>184977.408</v>
      </c>
      <c r="R135" s="25"/>
      <c r="S135" s="25"/>
      <c r="T135" s="25"/>
      <c r="U135" s="25"/>
      <c r="V135" s="25"/>
      <c r="W135" s="25"/>
      <c r="X135" s="25"/>
    </row>
    <row r="136" spans="1:24" x14ac:dyDescent="0.25">
      <c r="A136" s="2">
        <v>883</v>
      </c>
      <c r="B136" s="2">
        <v>1</v>
      </c>
      <c r="C136" s="2" t="s">
        <v>268</v>
      </c>
      <c r="D136" s="25">
        <v>92</v>
      </c>
      <c r="E136" s="25">
        <v>0</v>
      </c>
      <c r="F136" s="25">
        <v>160724</v>
      </c>
      <c r="G136" s="25">
        <v>0</v>
      </c>
      <c r="H136" s="25">
        <v>1749.43</v>
      </c>
      <c r="I136" s="25">
        <v>92</v>
      </c>
      <c r="J136" s="25">
        <v>0</v>
      </c>
      <c r="K136" s="25">
        <v>160724</v>
      </c>
      <c r="L136" s="25">
        <v>0</v>
      </c>
      <c r="M136" s="25">
        <v>1740.13</v>
      </c>
      <c r="N136" s="25">
        <f t="shared" si="8"/>
        <v>160724</v>
      </c>
      <c r="O136" s="25">
        <f t="shared" si="9"/>
        <v>48217.2</v>
      </c>
      <c r="P136" s="25">
        <f t="shared" si="10"/>
        <v>160091.96000000002</v>
      </c>
      <c r="Q136" s="25">
        <f t="shared" si="11"/>
        <v>48027.588000000003</v>
      </c>
      <c r="R136" s="25"/>
      <c r="S136" s="25"/>
      <c r="T136" s="25"/>
      <c r="U136" s="25"/>
      <c r="V136" s="25"/>
      <c r="W136" s="25"/>
      <c r="X136" s="25"/>
    </row>
    <row r="137" spans="1:24" x14ac:dyDescent="0.25">
      <c r="A137" s="2">
        <v>891</v>
      </c>
      <c r="B137" s="2">
        <v>1</v>
      </c>
      <c r="C137" s="2" t="s">
        <v>270</v>
      </c>
      <c r="D137" s="25">
        <v>92</v>
      </c>
      <c r="E137" s="25">
        <v>0</v>
      </c>
      <c r="F137" s="25">
        <v>56253.4</v>
      </c>
      <c r="G137" s="25">
        <v>0</v>
      </c>
      <c r="H137" s="25">
        <v>595.94000000000005</v>
      </c>
      <c r="I137" s="25">
        <v>92</v>
      </c>
      <c r="J137" s="25">
        <v>0</v>
      </c>
      <c r="K137" s="25">
        <v>56253.4</v>
      </c>
      <c r="L137" s="25">
        <v>0</v>
      </c>
      <c r="M137" s="25">
        <v>607.59</v>
      </c>
      <c r="N137" s="25">
        <f t="shared" si="8"/>
        <v>54826.48</v>
      </c>
      <c r="O137" s="25">
        <f t="shared" si="9"/>
        <v>16447.944</v>
      </c>
      <c r="P137" s="25">
        <f t="shared" si="10"/>
        <v>55898.280000000006</v>
      </c>
      <c r="Q137" s="25">
        <f t="shared" si="11"/>
        <v>16769.484</v>
      </c>
      <c r="R137" s="25"/>
      <c r="S137" s="25"/>
      <c r="T137" s="25"/>
      <c r="U137" s="25"/>
      <c r="V137" s="25"/>
      <c r="W137" s="25"/>
      <c r="X137" s="25"/>
    </row>
    <row r="138" spans="1:24" x14ac:dyDescent="0.25">
      <c r="A138" s="2">
        <v>2071</v>
      </c>
      <c r="B138" s="2">
        <v>1</v>
      </c>
      <c r="C138" s="2" t="s">
        <v>274</v>
      </c>
      <c r="D138" s="25">
        <v>92</v>
      </c>
      <c r="E138" s="25">
        <v>0</v>
      </c>
      <c r="F138" s="25">
        <v>73447.289999999994</v>
      </c>
      <c r="G138" s="25">
        <v>0</v>
      </c>
      <c r="H138" s="25">
        <v>915.28</v>
      </c>
      <c r="I138" s="25">
        <v>92</v>
      </c>
      <c r="J138" s="25">
        <v>0</v>
      </c>
      <c r="K138" s="25">
        <v>72580.960000000006</v>
      </c>
      <c r="L138" s="25">
        <v>0</v>
      </c>
      <c r="M138" s="25">
        <v>923.54</v>
      </c>
      <c r="N138" s="25">
        <f t="shared" si="8"/>
        <v>73447.289999999994</v>
      </c>
      <c r="O138" s="25">
        <f t="shared" si="9"/>
        <v>22034.186999999998</v>
      </c>
      <c r="P138" s="25">
        <f t="shared" si="10"/>
        <v>72580.960000000006</v>
      </c>
      <c r="Q138" s="25">
        <f t="shared" si="11"/>
        <v>21774.288</v>
      </c>
      <c r="R138" s="25"/>
      <c r="S138" s="25"/>
      <c r="T138" s="25"/>
      <c r="U138" s="25"/>
      <c r="V138" s="25"/>
      <c r="W138" s="25"/>
      <c r="X138" s="25"/>
    </row>
    <row r="139" spans="1:24" x14ac:dyDescent="0.25">
      <c r="A139" s="2">
        <v>2135</v>
      </c>
      <c r="B139" s="2">
        <v>1</v>
      </c>
      <c r="C139" s="2" t="s">
        <v>277</v>
      </c>
      <c r="D139" s="25">
        <v>92</v>
      </c>
      <c r="E139" s="25">
        <v>0</v>
      </c>
      <c r="F139" s="25">
        <v>115000</v>
      </c>
      <c r="G139" s="25">
        <v>0</v>
      </c>
      <c r="H139" s="25">
        <v>1229.01</v>
      </c>
      <c r="I139" s="25">
        <v>92</v>
      </c>
      <c r="J139" s="25">
        <v>0</v>
      </c>
      <c r="K139" s="25">
        <v>115000</v>
      </c>
      <c r="L139" s="25">
        <v>0</v>
      </c>
      <c r="M139" s="25">
        <v>1229.95</v>
      </c>
      <c r="N139" s="25">
        <f t="shared" si="8"/>
        <v>113068.92</v>
      </c>
      <c r="O139" s="25">
        <f t="shared" si="9"/>
        <v>33920.675999999999</v>
      </c>
      <c r="P139" s="25">
        <f t="shared" si="10"/>
        <v>113155.40000000001</v>
      </c>
      <c r="Q139" s="25">
        <f t="shared" si="11"/>
        <v>33946.620000000003</v>
      </c>
      <c r="R139" s="25"/>
      <c r="S139" s="25"/>
      <c r="T139" s="25"/>
      <c r="U139" s="25"/>
      <c r="V139" s="25"/>
      <c r="W139" s="25"/>
      <c r="X139" s="25"/>
    </row>
    <row r="140" spans="1:24" x14ac:dyDescent="0.25">
      <c r="A140">
        <v>2142</v>
      </c>
      <c r="B140">
        <v>1</v>
      </c>
      <c r="C140" t="s">
        <v>575</v>
      </c>
      <c r="D140" s="25">
        <v>92</v>
      </c>
      <c r="E140" s="25">
        <v>0</v>
      </c>
      <c r="F140" s="25">
        <v>0</v>
      </c>
      <c r="G140" s="25">
        <v>0</v>
      </c>
      <c r="H140" s="25">
        <v>1981.18</v>
      </c>
      <c r="I140" s="25">
        <v>92</v>
      </c>
      <c r="J140" s="25">
        <v>0</v>
      </c>
      <c r="K140" s="25">
        <v>0</v>
      </c>
      <c r="L140" s="25">
        <v>0</v>
      </c>
      <c r="M140" s="25">
        <v>1976.67</v>
      </c>
      <c r="N140" s="25">
        <f t="shared" si="8"/>
        <v>0</v>
      </c>
      <c r="O140" s="25">
        <f t="shared" si="9"/>
        <v>0</v>
      </c>
      <c r="P140" s="25">
        <f t="shared" si="10"/>
        <v>0</v>
      </c>
      <c r="Q140" s="25">
        <f t="shared" si="11"/>
        <v>0</v>
      </c>
      <c r="R140" s="25"/>
      <c r="S140" s="25"/>
      <c r="T140" s="25"/>
      <c r="U140" s="25"/>
      <c r="V140" s="25"/>
      <c r="W140" s="25"/>
      <c r="X140" s="25"/>
    </row>
    <row r="141" spans="1:24" x14ac:dyDescent="0.25">
      <c r="A141" s="2">
        <v>2143</v>
      </c>
      <c r="B141" s="2">
        <v>1</v>
      </c>
      <c r="C141" s="2" t="s">
        <v>280</v>
      </c>
      <c r="D141" s="25">
        <v>92</v>
      </c>
      <c r="E141" s="25">
        <v>0</v>
      </c>
      <c r="F141" s="25">
        <v>92174</v>
      </c>
      <c r="G141" s="25">
        <v>0</v>
      </c>
      <c r="H141" s="25">
        <v>1008.16</v>
      </c>
      <c r="I141" s="25">
        <v>92</v>
      </c>
      <c r="J141" s="25">
        <v>0</v>
      </c>
      <c r="K141" s="25">
        <v>92900</v>
      </c>
      <c r="L141" s="25">
        <v>0</v>
      </c>
      <c r="M141" s="25">
        <v>999.13</v>
      </c>
      <c r="N141" s="25">
        <f t="shared" si="8"/>
        <v>92174</v>
      </c>
      <c r="O141" s="25">
        <f t="shared" si="9"/>
        <v>27652.2</v>
      </c>
      <c r="P141" s="25">
        <f t="shared" si="10"/>
        <v>91919.96</v>
      </c>
      <c r="Q141" s="25">
        <f t="shared" si="11"/>
        <v>27575.988000000001</v>
      </c>
      <c r="R141" s="25"/>
      <c r="S141" s="25"/>
      <c r="T141" s="25"/>
      <c r="U141" s="25"/>
      <c r="V141" s="25"/>
      <c r="W141" s="25"/>
      <c r="X141" s="25"/>
    </row>
    <row r="142" spans="1:24" x14ac:dyDescent="0.25">
      <c r="A142" s="2">
        <v>2167</v>
      </c>
      <c r="B142" s="2">
        <v>1</v>
      </c>
      <c r="C142" s="2" t="s">
        <v>288</v>
      </c>
      <c r="D142" s="25">
        <v>92</v>
      </c>
      <c r="E142" s="25">
        <v>0</v>
      </c>
      <c r="F142" s="25">
        <v>59873</v>
      </c>
      <c r="G142" s="25">
        <v>0</v>
      </c>
      <c r="H142" s="25">
        <v>673.35</v>
      </c>
      <c r="I142" s="25">
        <v>92</v>
      </c>
      <c r="J142" s="25">
        <v>0</v>
      </c>
      <c r="K142" s="25">
        <v>59873</v>
      </c>
      <c r="L142" s="25">
        <v>0</v>
      </c>
      <c r="M142" s="25">
        <v>664.56</v>
      </c>
      <c r="N142" s="25">
        <f t="shared" si="8"/>
        <v>59873</v>
      </c>
      <c r="O142" s="25">
        <f t="shared" si="9"/>
        <v>17961.899999999998</v>
      </c>
      <c r="P142" s="25">
        <f t="shared" si="10"/>
        <v>59873</v>
      </c>
      <c r="Q142" s="25">
        <f t="shared" si="11"/>
        <v>17961.899999999998</v>
      </c>
      <c r="R142" s="25"/>
      <c r="S142" s="25"/>
      <c r="T142" s="25"/>
      <c r="U142" s="25"/>
      <c r="V142" s="25"/>
      <c r="W142" s="25"/>
      <c r="X142" s="25"/>
    </row>
    <row r="143" spans="1:24" x14ac:dyDescent="0.25">
      <c r="A143">
        <v>2168</v>
      </c>
      <c r="B143">
        <v>1</v>
      </c>
      <c r="C143" t="s">
        <v>576</v>
      </c>
      <c r="D143" s="25">
        <v>92</v>
      </c>
      <c r="E143" s="25">
        <v>0</v>
      </c>
      <c r="F143" s="25">
        <v>0</v>
      </c>
      <c r="G143" s="25">
        <v>0</v>
      </c>
      <c r="H143" s="25">
        <v>1082.94</v>
      </c>
      <c r="I143" s="25">
        <v>92</v>
      </c>
      <c r="J143" s="25">
        <v>0</v>
      </c>
      <c r="K143" s="25">
        <v>0</v>
      </c>
      <c r="L143" s="25">
        <v>0</v>
      </c>
      <c r="M143" s="25">
        <v>1073.83</v>
      </c>
      <c r="N143" s="25">
        <f t="shared" si="8"/>
        <v>0</v>
      </c>
      <c r="O143" s="25">
        <f t="shared" si="9"/>
        <v>0</v>
      </c>
      <c r="P143" s="25">
        <f t="shared" si="10"/>
        <v>0</v>
      </c>
      <c r="Q143" s="25">
        <f t="shared" si="11"/>
        <v>0</v>
      </c>
      <c r="R143" s="25"/>
      <c r="S143" s="25"/>
      <c r="T143" s="25"/>
      <c r="U143" s="25"/>
      <c r="V143" s="25"/>
      <c r="W143" s="25"/>
      <c r="X143" s="25"/>
    </row>
    <row r="144" spans="1:24" x14ac:dyDescent="0.25">
      <c r="A144" s="2">
        <v>2169</v>
      </c>
      <c r="B144" s="2">
        <v>1</v>
      </c>
      <c r="C144" s="2" t="s">
        <v>290</v>
      </c>
      <c r="D144" s="25">
        <v>92</v>
      </c>
      <c r="E144" s="25">
        <v>0</v>
      </c>
      <c r="F144" s="25">
        <v>70000</v>
      </c>
      <c r="G144" s="25">
        <v>0</v>
      </c>
      <c r="H144" s="25">
        <v>862.17</v>
      </c>
      <c r="I144" s="25">
        <v>92</v>
      </c>
      <c r="J144" s="25">
        <v>0</v>
      </c>
      <c r="K144" s="25">
        <v>70000</v>
      </c>
      <c r="L144" s="25">
        <v>0</v>
      </c>
      <c r="M144" s="25">
        <v>847.58</v>
      </c>
      <c r="N144" s="25">
        <f t="shared" si="8"/>
        <v>70000</v>
      </c>
      <c r="O144" s="25">
        <f t="shared" si="9"/>
        <v>21000</v>
      </c>
      <c r="P144" s="25">
        <f t="shared" si="10"/>
        <v>70000</v>
      </c>
      <c r="Q144" s="25">
        <f t="shared" si="11"/>
        <v>21000</v>
      </c>
      <c r="R144" s="25"/>
      <c r="S144" s="25"/>
      <c r="T144" s="25"/>
      <c r="U144" s="25"/>
      <c r="V144" s="25"/>
      <c r="W144" s="25"/>
      <c r="X144" s="25"/>
    </row>
    <row r="145" spans="1:24" x14ac:dyDescent="0.25">
      <c r="A145" s="2">
        <v>2180</v>
      </c>
      <c r="B145" s="2">
        <v>1</v>
      </c>
      <c r="C145" s="2" t="s">
        <v>296</v>
      </c>
      <c r="D145" s="25">
        <v>92</v>
      </c>
      <c r="E145" s="25">
        <v>0</v>
      </c>
      <c r="F145" s="25">
        <v>74294.600000000006</v>
      </c>
      <c r="G145" s="25">
        <v>0</v>
      </c>
      <c r="H145" s="25">
        <v>807.55</v>
      </c>
      <c r="I145" s="25">
        <v>92</v>
      </c>
      <c r="J145" s="25">
        <v>0</v>
      </c>
      <c r="K145" s="25">
        <v>68771</v>
      </c>
      <c r="L145" s="25">
        <v>0</v>
      </c>
      <c r="M145" s="25">
        <v>792.29</v>
      </c>
      <c r="N145" s="25">
        <f t="shared" si="8"/>
        <v>74294.599999999991</v>
      </c>
      <c r="O145" s="25">
        <f t="shared" si="9"/>
        <v>22288.379999999997</v>
      </c>
      <c r="P145" s="25">
        <f t="shared" si="10"/>
        <v>68771</v>
      </c>
      <c r="Q145" s="25">
        <f t="shared" si="11"/>
        <v>20631.3</v>
      </c>
      <c r="R145" s="25"/>
      <c r="S145" s="25"/>
      <c r="T145" s="25"/>
      <c r="U145" s="25"/>
      <c r="V145" s="25"/>
      <c r="W145" s="25"/>
      <c r="X145" s="25"/>
    </row>
    <row r="146" spans="1:24" x14ac:dyDescent="0.25">
      <c r="A146" s="2">
        <v>2190</v>
      </c>
      <c r="B146" s="2">
        <v>1</v>
      </c>
      <c r="C146" s="2" t="s">
        <v>298</v>
      </c>
      <c r="D146" s="25">
        <v>129</v>
      </c>
      <c r="E146" s="25">
        <v>0</v>
      </c>
      <c r="F146" s="25">
        <v>127428.3</v>
      </c>
      <c r="G146" s="25">
        <v>0</v>
      </c>
      <c r="H146" s="25">
        <v>977.51</v>
      </c>
      <c r="I146" s="25">
        <v>129</v>
      </c>
      <c r="J146" s="25">
        <v>0</v>
      </c>
      <c r="K146" s="25">
        <v>129000</v>
      </c>
      <c r="L146" s="25">
        <v>0</v>
      </c>
      <c r="M146" s="25">
        <v>949.93</v>
      </c>
      <c r="N146" s="25">
        <f t="shared" si="8"/>
        <v>126098.79</v>
      </c>
      <c r="O146" s="25">
        <f t="shared" si="9"/>
        <v>37829.636999999995</v>
      </c>
      <c r="P146" s="25">
        <f t="shared" si="10"/>
        <v>122540.96999999999</v>
      </c>
      <c r="Q146" s="25">
        <f t="shared" si="11"/>
        <v>36762.290999999997</v>
      </c>
      <c r="R146" s="25"/>
      <c r="S146" s="25"/>
      <c r="T146" s="25"/>
      <c r="U146" s="25"/>
      <c r="V146" s="25"/>
      <c r="W146" s="25"/>
      <c r="X146" s="25"/>
    </row>
    <row r="147" spans="1:24" x14ac:dyDescent="0.25">
      <c r="A147" s="2">
        <v>2310</v>
      </c>
      <c r="B147" s="2">
        <v>1</v>
      </c>
      <c r="C147" s="2" t="s">
        <v>301</v>
      </c>
      <c r="D147" s="25">
        <v>129</v>
      </c>
      <c r="E147" s="25">
        <v>0</v>
      </c>
      <c r="F147" s="25">
        <v>183000</v>
      </c>
      <c r="G147" s="25">
        <v>0</v>
      </c>
      <c r="H147" s="25">
        <v>1353.99</v>
      </c>
      <c r="I147" s="25">
        <v>129</v>
      </c>
      <c r="J147" s="25">
        <v>0</v>
      </c>
      <c r="K147" s="25">
        <v>183000</v>
      </c>
      <c r="L147" s="25">
        <v>0</v>
      </c>
      <c r="M147" s="25">
        <v>1345.52</v>
      </c>
      <c r="N147" s="25">
        <f t="shared" ref="N147:N165" si="12">MIN(F147,(D147+E147)*H147)+G147</f>
        <v>174664.71</v>
      </c>
      <c r="O147" s="25">
        <f t="shared" ref="O147:O165" si="13">0.3*(N147-G147)+0.7*E147*H147</f>
        <v>52399.412999999993</v>
      </c>
      <c r="P147" s="25">
        <f t="shared" ref="P147:P165" si="14">MIN(K147,(I147+J147)*M147)+L147</f>
        <v>173572.08</v>
      </c>
      <c r="Q147" s="25">
        <f t="shared" ref="Q147:Q165" si="15">0.3*(P147-L147)+0.7*J147*M147</f>
        <v>52071.623999999996</v>
      </c>
      <c r="R147" s="25"/>
      <c r="S147" s="25"/>
      <c r="T147" s="25"/>
      <c r="U147" s="25"/>
      <c r="V147" s="25"/>
      <c r="W147" s="25"/>
      <c r="X147" s="25"/>
    </row>
    <row r="148" spans="1:24" x14ac:dyDescent="0.25">
      <c r="A148" s="2">
        <v>2365</v>
      </c>
      <c r="B148" s="2">
        <v>1</v>
      </c>
      <c r="C148" s="2" t="s">
        <v>306</v>
      </c>
      <c r="D148" s="25">
        <v>92</v>
      </c>
      <c r="E148" s="25">
        <v>0</v>
      </c>
      <c r="F148" s="25">
        <v>77547</v>
      </c>
      <c r="G148" s="25">
        <v>0</v>
      </c>
      <c r="H148" s="25">
        <v>900.02</v>
      </c>
      <c r="I148" s="25">
        <v>92</v>
      </c>
      <c r="J148" s="25">
        <v>0</v>
      </c>
      <c r="K148" s="25">
        <v>77547</v>
      </c>
      <c r="L148" s="25">
        <v>0</v>
      </c>
      <c r="M148" s="25">
        <v>883.45</v>
      </c>
      <c r="N148" s="25">
        <f t="shared" si="12"/>
        <v>77547</v>
      </c>
      <c r="O148" s="25">
        <f t="shared" si="13"/>
        <v>23264.1</v>
      </c>
      <c r="P148" s="25">
        <f t="shared" si="14"/>
        <v>77547</v>
      </c>
      <c r="Q148" s="25">
        <f t="shared" si="15"/>
        <v>23264.1</v>
      </c>
      <c r="R148" s="25"/>
      <c r="S148" s="25"/>
      <c r="T148" s="25"/>
      <c r="U148" s="25"/>
      <c r="V148" s="25"/>
      <c r="W148" s="25"/>
      <c r="X148" s="25"/>
    </row>
    <row r="149" spans="1:24" x14ac:dyDescent="0.25">
      <c r="A149" s="2">
        <v>2396</v>
      </c>
      <c r="B149" s="2">
        <v>1</v>
      </c>
      <c r="C149" s="2" t="s">
        <v>307</v>
      </c>
      <c r="D149" s="25">
        <v>92</v>
      </c>
      <c r="E149" s="25">
        <v>0</v>
      </c>
      <c r="F149" s="25">
        <v>85910.52</v>
      </c>
      <c r="G149" s="25">
        <v>0</v>
      </c>
      <c r="H149" s="25">
        <v>933.81</v>
      </c>
      <c r="I149" s="25">
        <v>92</v>
      </c>
      <c r="J149" s="25">
        <v>0</v>
      </c>
      <c r="K149" s="25">
        <v>85192</v>
      </c>
      <c r="L149" s="25">
        <v>0</v>
      </c>
      <c r="M149" s="25">
        <v>938.31</v>
      </c>
      <c r="N149" s="25">
        <f t="shared" si="12"/>
        <v>85910.51999999999</v>
      </c>
      <c r="O149" s="25">
        <f t="shared" si="13"/>
        <v>25773.155999999995</v>
      </c>
      <c r="P149" s="25">
        <f t="shared" si="14"/>
        <v>85192</v>
      </c>
      <c r="Q149" s="25">
        <f t="shared" si="15"/>
        <v>25557.599999999999</v>
      </c>
      <c r="R149" s="25"/>
      <c r="S149" s="25"/>
      <c r="T149" s="25"/>
      <c r="U149" s="25"/>
      <c r="V149" s="25"/>
      <c r="W149" s="25"/>
      <c r="X149" s="25"/>
    </row>
    <row r="150" spans="1:24" x14ac:dyDescent="0.25">
      <c r="A150" s="2">
        <v>2448</v>
      </c>
      <c r="B150" s="2">
        <v>1</v>
      </c>
      <c r="C150" s="2" t="s">
        <v>309</v>
      </c>
      <c r="D150" s="25">
        <v>92</v>
      </c>
      <c r="E150" s="25">
        <v>0</v>
      </c>
      <c r="F150" s="25">
        <v>35925</v>
      </c>
      <c r="G150" s="25">
        <v>0</v>
      </c>
      <c r="H150" s="25">
        <v>837.77</v>
      </c>
      <c r="I150" s="25">
        <v>92</v>
      </c>
      <c r="J150" s="25">
        <v>0</v>
      </c>
      <c r="K150" s="25">
        <v>37150</v>
      </c>
      <c r="L150" s="25">
        <v>0</v>
      </c>
      <c r="M150" s="25">
        <v>827.94</v>
      </c>
      <c r="N150" s="25">
        <f t="shared" si="12"/>
        <v>35925</v>
      </c>
      <c r="O150" s="25">
        <f t="shared" si="13"/>
        <v>10777.5</v>
      </c>
      <c r="P150" s="25">
        <f t="shared" si="14"/>
        <v>37150</v>
      </c>
      <c r="Q150" s="25">
        <f t="shared" si="15"/>
        <v>11145</v>
      </c>
      <c r="R150" s="25"/>
      <c r="S150" s="25"/>
      <c r="T150" s="25"/>
      <c r="U150" s="25"/>
      <c r="V150" s="25"/>
      <c r="W150" s="25"/>
      <c r="X150" s="25"/>
    </row>
    <row r="151" spans="1:24" x14ac:dyDescent="0.25">
      <c r="A151" s="2">
        <v>2534</v>
      </c>
      <c r="B151" s="2">
        <v>1</v>
      </c>
      <c r="C151" s="2" t="s">
        <v>311</v>
      </c>
      <c r="D151" s="25">
        <v>129</v>
      </c>
      <c r="E151" s="25">
        <v>0</v>
      </c>
      <c r="F151" s="25">
        <v>72201.600000000006</v>
      </c>
      <c r="G151" s="25">
        <v>0</v>
      </c>
      <c r="H151" s="25">
        <v>784.8</v>
      </c>
      <c r="I151" s="25">
        <v>129</v>
      </c>
      <c r="J151" s="25">
        <v>0</v>
      </c>
      <c r="K151" s="25">
        <v>35000</v>
      </c>
      <c r="L151" s="25">
        <v>0</v>
      </c>
      <c r="M151" s="25">
        <v>767.89</v>
      </c>
      <c r="N151" s="25">
        <f t="shared" si="12"/>
        <v>72201.600000000006</v>
      </c>
      <c r="O151" s="25">
        <f t="shared" si="13"/>
        <v>21660.48</v>
      </c>
      <c r="P151" s="25">
        <f t="shared" si="14"/>
        <v>35000</v>
      </c>
      <c r="Q151" s="25">
        <f t="shared" si="15"/>
        <v>10500</v>
      </c>
      <c r="R151" s="25"/>
      <c r="S151" s="25"/>
      <c r="T151" s="25"/>
      <c r="U151" s="25"/>
      <c r="V151" s="25"/>
      <c r="W151" s="25"/>
      <c r="X151" s="25"/>
    </row>
    <row r="152" spans="1:24" x14ac:dyDescent="0.25">
      <c r="A152" s="2">
        <v>2753</v>
      </c>
      <c r="B152" s="2">
        <v>1</v>
      </c>
      <c r="C152" s="2" t="s">
        <v>320</v>
      </c>
      <c r="D152" s="25">
        <v>129</v>
      </c>
      <c r="E152" s="25">
        <v>0</v>
      </c>
      <c r="F152" s="25">
        <v>144609</v>
      </c>
      <c r="G152" s="25">
        <v>0</v>
      </c>
      <c r="H152" s="25">
        <v>1145.53</v>
      </c>
      <c r="I152" s="25">
        <v>129</v>
      </c>
      <c r="J152" s="25">
        <v>0</v>
      </c>
      <c r="K152" s="25">
        <v>150000</v>
      </c>
      <c r="L152" s="25">
        <v>0</v>
      </c>
      <c r="M152" s="25">
        <v>1121.23</v>
      </c>
      <c r="N152" s="25">
        <f t="shared" si="12"/>
        <v>144609</v>
      </c>
      <c r="O152" s="25">
        <f t="shared" si="13"/>
        <v>43382.7</v>
      </c>
      <c r="P152" s="25">
        <f t="shared" si="14"/>
        <v>144638.67000000001</v>
      </c>
      <c r="Q152" s="25">
        <f t="shared" si="15"/>
        <v>43391.601000000002</v>
      </c>
      <c r="R152" s="25"/>
      <c r="S152" s="25"/>
      <c r="T152" s="25"/>
      <c r="U152" s="25"/>
      <c r="V152" s="25"/>
      <c r="W152" s="25"/>
      <c r="X152" s="25"/>
    </row>
    <row r="153" spans="1:24" x14ac:dyDescent="0.25">
      <c r="A153" s="2">
        <v>2754</v>
      </c>
      <c r="B153" s="2">
        <v>1</v>
      </c>
      <c r="C153" s="2" t="s">
        <v>321</v>
      </c>
      <c r="D153" s="25">
        <v>92</v>
      </c>
      <c r="E153" s="25">
        <v>0</v>
      </c>
      <c r="F153" s="25">
        <v>42000</v>
      </c>
      <c r="G153" s="25">
        <v>0</v>
      </c>
      <c r="H153" s="25">
        <v>558.27</v>
      </c>
      <c r="I153" s="25">
        <v>92</v>
      </c>
      <c r="J153" s="25">
        <v>0</v>
      </c>
      <c r="K153" s="25">
        <v>42000</v>
      </c>
      <c r="L153" s="25">
        <v>0</v>
      </c>
      <c r="M153" s="25">
        <v>570.75</v>
      </c>
      <c r="N153" s="25">
        <f t="shared" si="12"/>
        <v>42000</v>
      </c>
      <c r="O153" s="25">
        <f t="shared" si="13"/>
        <v>12600</v>
      </c>
      <c r="P153" s="25">
        <f t="shared" si="14"/>
        <v>42000</v>
      </c>
      <c r="Q153" s="25">
        <f t="shared" si="15"/>
        <v>12600</v>
      </c>
      <c r="R153" s="25"/>
      <c r="S153" s="25"/>
      <c r="T153" s="25"/>
      <c r="U153" s="25"/>
      <c r="V153" s="25"/>
      <c r="W153" s="25"/>
      <c r="X153" s="25"/>
    </row>
    <row r="154" spans="1:24" x14ac:dyDescent="0.25">
      <c r="A154" s="2">
        <v>2759</v>
      </c>
      <c r="B154" s="2">
        <v>1</v>
      </c>
      <c r="C154" s="2" t="s">
        <v>322</v>
      </c>
      <c r="D154" s="25">
        <v>92</v>
      </c>
      <c r="E154" s="25">
        <v>0</v>
      </c>
      <c r="F154" s="25">
        <v>31000</v>
      </c>
      <c r="G154" s="25">
        <v>0</v>
      </c>
      <c r="H154" s="25">
        <v>341.72</v>
      </c>
      <c r="I154" s="25">
        <v>92</v>
      </c>
      <c r="J154" s="25">
        <v>0</v>
      </c>
      <c r="K154" s="25">
        <v>0</v>
      </c>
      <c r="L154" s="25">
        <v>0</v>
      </c>
      <c r="M154" s="25">
        <v>336.45</v>
      </c>
      <c r="N154" s="25">
        <f t="shared" si="12"/>
        <v>31000</v>
      </c>
      <c r="O154" s="25">
        <f t="shared" si="13"/>
        <v>9300</v>
      </c>
      <c r="P154" s="25">
        <f t="shared" si="14"/>
        <v>0</v>
      </c>
      <c r="Q154" s="25">
        <f t="shared" si="15"/>
        <v>0</v>
      </c>
      <c r="R154" s="25"/>
      <c r="S154" s="25"/>
      <c r="T154" s="25"/>
      <c r="U154" s="25"/>
      <c r="V154" s="25"/>
      <c r="W154" s="25"/>
      <c r="X154" s="25"/>
    </row>
    <row r="155" spans="1:24" x14ac:dyDescent="0.25">
      <c r="A155" s="2">
        <v>2805</v>
      </c>
      <c r="B155" s="2">
        <v>1</v>
      </c>
      <c r="C155" s="2" t="s">
        <v>323</v>
      </c>
      <c r="D155" s="25">
        <v>92</v>
      </c>
      <c r="E155" s="25">
        <v>0</v>
      </c>
      <c r="F155" s="25">
        <v>58140</v>
      </c>
      <c r="G155" s="25">
        <v>0</v>
      </c>
      <c r="H155" s="25">
        <v>1248.93</v>
      </c>
      <c r="I155" s="25">
        <v>92</v>
      </c>
      <c r="J155" s="25">
        <v>0</v>
      </c>
      <c r="K155" s="25">
        <v>40000</v>
      </c>
      <c r="L155" s="25">
        <v>0</v>
      </c>
      <c r="M155" s="25">
        <v>1247.72</v>
      </c>
      <c r="N155" s="25">
        <f t="shared" si="12"/>
        <v>58140</v>
      </c>
      <c r="O155" s="25">
        <f t="shared" si="13"/>
        <v>17442</v>
      </c>
      <c r="P155" s="25">
        <f t="shared" si="14"/>
        <v>40000</v>
      </c>
      <c r="Q155" s="25">
        <f t="shared" si="15"/>
        <v>12000</v>
      </c>
      <c r="R155" s="25"/>
      <c r="S155" s="25"/>
      <c r="T155" s="25"/>
      <c r="U155" s="25"/>
      <c r="V155" s="25"/>
      <c r="W155" s="25"/>
      <c r="X155" s="25"/>
    </row>
    <row r="156" spans="1:24" x14ac:dyDescent="0.25">
      <c r="A156" s="2">
        <v>2884</v>
      </c>
      <c r="B156" s="2">
        <v>1</v>
      </c>
      <c r="C156" s="2" t="s">
        <v>330</v>
      </c>
      <c r="D156" s="25">
        <v>92</v>
      </c>
      <c r="E156" s="25">
        <v>0</v>
      </c>
      <c r="F156" s="25">
        <v>43258.400000000001</v>
      </c>
      <c r="G156" s="25">
        <v>0</v>
      </c>
      <c r="H156" s="25">
        <v>470.2</v>
      </c>
      <c r="I156" s="25">
        <v>92</v>
      </c>
      <c r="J156" s="25">
        <v>0</v>
      </c>
      <c r="K156" s="25">
        <v>43258.400000000001</v>
      </c>
      <c r="L156" s="25">
        <v>0</v>
      </c>
      <c r="M156" s="25">
        <v>459.36</v>
      </c>
      <c r="N156" s="25">
        <f t="shared" si="12"/>
        <v>43258.400000000001</v>
      </c>
      <c r="O156" s="25">
        <f t="shared" si="13"/>
        <v>12977.52</v>
      </c>
      <c r="P156" s="25">
        <f t="shared" si="14"/>
        <v>42261.120000000003</v>
      </c>
      <c r="Q156" s="25">
        <f t="shared" si="15"/>
        <v>12678.336000000001</v>
      </c>
      <c r="R156" s="25"/>
      <c r="S156" s="25"/>
      <c r="T156" s="25"/>
      <c r="U156" s="25"/>
      <c r="V156" s="25"/>
      <c r="W156" s="25"/>
      <c r="X156" s="25"/>
    </row>
    <row r="157" spans="1:24" x14ac:dyDescent="0.25">
      <c r="A157" s="2">
        <v>2886</v>
      </c>
      <c r="B157" s="2">
        <v>1</v>
      </c>
      <c r="C157" s="2" t="s">
        <v>331</v>
      </c>
      <c r="D157" s="25">
        <v>92</v>
      </c>
      <c r="E157" s="25">
        <v>0</v>
      </c>
      <c r="F157" s="25">
        <v>0</v>
      </c>
      <c r="G157" s="25">
        <v>0</v>
      </c>
      <c r="H157" s="25">
        <v>424.21</v>
      </c>
      <c r="I157" s="25">
        <v>92</v>
      </c>
      <c r="J157" s="25">
        <v>0</v>
      </c>
      <c r="K157" s="25">
        <v>0</v>
      </c>
      <c r="L157" s="25">
        <v>0</v>
      </c>
      <c r="M157" s="25">
        <v>405.64</v>
      </c>
      <c r="N157" s="25">
        <f t="shared" si="12"/>
        <v>0</v>
      </c>
      <c r="O157" s="25">
        <f t="shared" si="13"/>
        <v>0</v>
      </c>
      <c r="P157" s="25">
        <f t="shared" si="14"/>
        <v>0</v>
      </c>
      <c r="Q157" s="25">
        <f t="shared" si="15"/>
        <v>0</v>
      </c>
      <c r="R157" s="25"/>
      <c r="S157" s="25"/>
      <c r="T157" s="25"/>
      <c r="U157" s="25"/>
      <c r="V157" s="25"/>
      <c r="W157" s="25"/>
      <c r="X157" s="25"/>
    </row>
    <row r="158" spans="1:24" x14ac:dyDescent="0.25">
      <c r="A158" s="2">
        <v>2889</v>
      </c>
      <c r="B158" s="2">
        <v>1</v>
      </c>
      <c r="C158" s="2" t="s">
        <v>333</v>
      </c>
      <c r="D158" s="25">
        <v>92</v>
      </c>
      <c r="E158" s="25">
        <v>0</v>
      </c>
      <c r="F158" s="25">
        <v>51908</v>
      </c>
      <c r="G158" s="25">
        <v>0</v>
      </c>
      <c r="H158" s="25">
        <v>716</v>
      </c>
      <c r="I158" s="25">
        <v>92</v>
      </c>
      <c r="J158" s="25">
        <v>0</v>
      </c>
      <c r="K158" s="25">
        <v>32631.5</v>
      </c>
      <c r="L158" s="25">
        <v>0</v>
      </c>
      <c r="M158" s="25">
        <v>718.27</v>
      </c>
      <c r="N158" s="25">
        <f t="shared" si="12"/>
        <v>51908</v>
      </c>
      <c r="O158" s="25">
        <f t="shared" si="13"/>
        <v>15572.4</v>
      </c>
      <c r="P158" s="25">
        <f t="shared" si="14"/>
        <v>32631.5</v>
      </c>
      <c r="Q158" s="25">
        <f t="shared" si="15"/>
        <v>9789.4499999999989</v>
      </c>
      <c r="R158" s="25"/>
      <c r="S158" s="25"/>
      <c r="T158" s="25"/>
      <c r="U158" s="25"/>
      <c r="V158" s="25"/>
      <c r="W158" s="25"/>
      <c r="X158" s="25"/>
    </row>
    <row r="159" spans="1:24" x14ac:dyDescent="0.25">
      <c r="A159" s="2">
        <v>2890</v>
      </c>
      <c r="B159" s="2">
        <v>1</v>
      </c>
      <c r="C159" s="2" t="s">
        <v>334</v>
      </c>
      <c r="D159" s="25">
        <v>129</v>
      </c>
      <c r="E159" s="25">
        <v>0</v>
      </c>
      <c r="F159" s="25">
        <v>49313.84</v>
      </c>
      <c r="G159" s="25">
        <v>0</v>
      </c>
      <c r="H159" s="25">
        <v>536.01</v>
      </c>
      <c r="I159" s="25">
        <v>129</v>
      </c>
      <c r="J159" s="25">
        <v>0</v>
      </c>
      <c r="K159" s="25">
        <v>54000</v>
      </c>
      <c r="L159" s="25">
        <v>0</v>
      </c>
      <c r="M159" s="25">
        <v>537.64</v>
      </c>
      <c r="N159" s="25">
        <f t="shared" si="12"/>
        <v>49313.84</v>
      </c>
      <c r="O159" s="25">
        <f t="shared" si="13"/>
        <v>14794.151999999998</v>
      </c>
      <c r="P159" s="25">
        <f t="shared" si="14"/>
        <v>54000</v>
      </c>
      <c r="Q159" s="25">
        <f t="shared" si="15"/>
        <v>16200</v>
      </c>
      <c r="R159" s="25"/>
      <c r="S159" s="25"/>
      <c r="T159" s="25"/>
      <c r="U159" s="25"/>
      <c r="V159" s="25"/>
      <c r="W159" s="25"/>
      <c r="X159" s="25"/>
    </row>
    <row r="160" spans="1:24" x14ac:dyDescent="0.25">
      <c r="A160" s="2">
        <v>2895</v>
      </c>
      <c r="B160" s="2">
        <v>1</v>
      </c>
      <c r="C160" s="2" t="s">
        <v>335</v>
      </c>
      <c r="D160" s="25">
        <v>92</v>
      </c>
      <c r="E160" s="25">
        <v>0</v>
      </c>
      <c r="F160" s="25">
        <v>120000</v>
      </c>
      <c r="G160" s="25">
        <v>0</v>
      </c>
      <c r="H160" s="25">
        <v>1345.67</v>
      </c>
      <c r="I160" s="25">
        <v>92</v>
      </c>
      <c r="J160" s="25">
        <v>0</v>
      </c>
      <c r="K160" s="25">
        <v>120000</v>
      </c>
      <c r="L160" s="25">
        <v>0</v>
      </c>
      <c r="M160" s="25">
        <v>1340.33</v>
      </c>
      <c r="N160" s="25">
        <f t="shared" si="12"/>
        <v>120000</v>
      </c>
      <c r="O160" s="25">
        <f t="shared" si="13"/>
        <v>36000</v>
      </c>
      <c r="P160" s="25">
        <f t="shared" si="14"/>
        <v>120000</v>
      </c>
      <c r="Q160" s="25">
        <f t="shared" si="15"/>
        <v>36000</v>
      </c>
      <c r="R160" s="25"/>
      <c r="S160" s="25"/>
      <c r="T160" s="25"/>
      <c r="U160" s="25"/>
      <c r="V160" s="25"/>
      <c r="W160" s="25"/>
      <c r="X160" s="25"/>
    </row>
    <row r="161" spans="1:24" x14ac:dyDescent="0.25">
      <c r="A161">
        <v>2897</v>
      </c>
      <c r="B161">
        <v>1</v>
      </c>
      <c r="C161" t="s">
        <v>577</v>
      </c>
      <c r="D161" s="25">
        <v>129</v>
      </c>
      <c r="E161" s="25">
        <v>0</v>
      </c>
      <c r="F161" s="25">
        <v>166000</v>
      </c>
      <c r="G161" s="25">
        <v>0</v>
      </c>
      <c r="H161" s="25">
        <v>1335.78</v>
      </c>
      <c r="I161" s="25">
        <v>129</v>
      </c>
      <c r="J161" s="25">
        <v>0</v>
      </c>
      <c r="K161" s="25">
        <v>165000</v>
      </c>
      <c r="L161" s="25">
        <v>0</v>
      </c>
      <c r="M161" s="25">
        <v>1324.38</v>
      </c>
      <c r="N161" s="25">
        <f t="shared" si="12"/>
        <v>166000</v>
      </c>
      <c r="O161" s="25">
        <f t="shared" si="13"/>
        <v>49800</v>
      </c>
      <c r="P161" s="25">
        <f t="shared" si="14"/>
        <v>165000</v>
      </c>
      <c r="Q161" s="25">
        <f t="shared" si="15"/>
        <v>49500</v>
      </c>
      <c r="R161" s="25"/>
      <c r="S161" s="25"/>
      <c r="T161" s="25"/>
      <c r="U161" s="25"/>
      <c r="V161" s="25"/>
      <c r="W161" s="25"/>
      <c r="X161" s="25"/>
    </row>
    <row r="162" spans="1:24" x14ac:dyDescent="0.25">
      <c r="A162" s="2">
        <v>2898</v>
      </c>
      <c r="B162" s="2">
        <v>1</v>
      </c>
      <c r="C162" s="2" t="s">
        <v>337</v>
      </c>
      <c r="D162" s="25">
        <v>129</v>
      </c>
      <c r="E162" s="25">
        <v>0</v>
      </c>
      <c r="F162" s="25">
        <v>50000</v>
      </c>
      <c r="G162" s="25">
        <v>0</v>
      </c>
      <c r="H162" s="25">
        <v>518.64</v>
      </c>
      <c r="I162" s="25">
        <v>129</v>
      </c>
      <c r="J162" s="25">
        <v>0</v>
      </c>
      <c r="K162" s="25">
        <v>50000</v>
      </c>
      <c r="L162" s="25">
        <v>0</v>
      </c>
      <c r="M162" s="25">
        <v>498.24</v>
      </c>
      <c r="N162" s="25">
        <f t="shared" si="12"/>
        <v>50000</v>
      </c>
      <c r="O162" s="25">
        <f t="shared" si="13"/>
        <v>15000</v>
      </c>
      <c r="P162" s="25">
        <f t="shared" si="14"/>
        <v>50000</v>
      </c>
      <c r="Q162" s="25">
        <f t="shared" si="15"/>
        <v>15000</v>
      </c>
      <c r="R162" s="25"/>
      <c r="S162" s="25"/>
      <c r="T162" s="25"/>
      <c r="U162" s="25"/>
      <c r="V162" s="25"/>
      <c r="W162" s="25"/>
      <c r="X162" s="25"/>
    </row>
    <row r="163" spans="1:24" x14ac:dyDescent="0.25">
      <c r="A163" s="2">
        <v>2899</v>
      </c>
      <c r="B163" s="2">
        <v>1</v>
      </c>
      <c r="C163" s="2" t="s">
        <v>338</v>
      </c>
      <c r="D163" s="25">
        <v>92</v>
      </c>
      <c r="E163" s="25">
        <v>0</v>
      </c>
      <c r="F163" s="25">
        <v>80060</v>
      </c>
      <c r="G163" s="25">
        <v>0</v>
      </c>
      <c r="H163" s="25">
        <v>1713.74</v>
      </c>
      <c r="I163" s="25">
        <v>92</v>
      </c>
      <c r="J163" s="25">
        <v>0</v>
      </c>
      <c r="K163" s="25">
        <v>80000</v>
      </c>
      <c r="L163" s="25">
        <v>0</v>
      </c>
      <c r="M163" s="25">
        <v>1660.2</v>
      </c>
      <c r="N163" s="25">
        <f t="shared" si="12"/>
        <v>80060</v>
      </c>
      <c r="O163" s="25">
        <f t="shared" si="13"/>
        <v>24018</v>
      </c>
      <c r="P163" s="25">
        <f t="shared" si="14"/>
        <v>80000</v>
      </c>
      <c r="Q163" s="25">
        <f t="shared" si="15"/>
        <v>24000</v>
      </c>
      <c r="R163" s="25"/>
      <c r="S163" s="25"/>
      <c r="T163" s="25"/>
      <c r="U163" s="25"/>
      <c r="V163" s="25"/>
      <c r="W163" s="25"/>
      <c r="X163" s="25"/>
    </row>
    <row r="164" spans="1:24" x14ac:dyDescent="0.25">
      <c r="A164" s="2">
        <v>2902</v>
      </c>
      <c r="B164" s="2">
        <v>1</v>
      </c>
      <c r="C164" s="2" t="s">
        <v>339</v>
      </c>
      <c r="D164" s="25">
        <v>92</v>
      </c>
      <c r="E164" s="25">
        <v>0</v>
      </c>
      <c r="F164" s="25">
        <v>60000</v>
      </c>
      <c r="G164" s="25">
        <v>0</v>
      </c>
      <c r="H164" s="25">
        <v>633.49</v>
      </c>
      <c r="I164" s="25">
        <v>92</v>
      </c>
      <c r="J164" s="25">
        <v>0</v>
      </c>
      <c r="K164" s="25">
        <v>64000</v>
      </c>
      <c r="L164" s="25">
        <v>0</v>
      </c>
      <c r="M164" s="25">
        <v>640.27</v>
      </c>
      <c r="N164" s="25">
        <f t="shared" si="12"/>
        <v>58281.08</v>
      </c>
      <c r="O164" s="25">
        <f t="shared" si="13"/>
        <v>17484.324000000001</v>
      </c>
      <c r="P164" s="25">
        <f t="shared" si="14"/>
        <v>58904.84</v>
      </c>
      <c r="Q164" s="25">
        <f t="shared" si="15"/>
        <v>17671.451999999997</v>
      </c>
      <c r="R164" s="25"/>
      <c r="S164" s="25"/>
      <c r="T164" s="25"/>
      <c r="U164" s="25"/>
      <c r="V164" s="25"/>
      <c r="W164" s="25"/>
      <c r="X164" s="25"/>
    </row>
    <row r="165" spans="1:24" x14ac:dyDescent="0.25">
      <c r="A165" s="2">
        <v>2904</v>
      </c>
      <c r="B165" s="2">
        <v>1</v>
      </c>
      <c r="C165" s="2" t="s">
        <v>341</v>
      </c>
      <c r="D165" s="25">
        <v>92</v>
      </c>
      <c r="E165" s="25">
        <v>0</v>
      </c>
      <c r="F165" s="25">
        <v>83486</v>
      </c>
      <c r="G165" s="25">
        <v>0</v>
      </c>
      <c r="H165" s="25">
        <v>868.71</v>
      </c>
      <c r="I165" s="25">
        <v>92</v>
      </c>
      <c r="J165" s="25">
        <v>0</v>
      </c>
      <c r="K165" s="25">
        <v>80410</v>
      </c>
      <c r="L165" s="25">
        <v>0</v>
      </c>
      <c r="M165" s="25">
        <v>868.23</v>
      </c>
      <c r="N165" s="25">
        <f t="shared" si="12"/>
        <v>79921.320000000007</v>
      </c>
      <c r="O165" s="25">
        <f t="shared" si="13"/>
        <v>23976.396000000001</v>
      </c>
      <c r="P165" s="25">
        <f t="shared" si="14"/>
        <v>79877.16</v>
      </c>
      <c r="Q165" s="25">
        <f t="shared" si="15"/>
        <v>23963.148000000001</v>
      </c>
      <c r="R165" s="25"/>
      <c r="S165" s="25"/>
      <c r="T165" s="25"/>
      <c r="U165" s="25"/>
      <c r="V165" s="25"/>
      <c r="W165" s="25"/>
      <c r="X165" s="25"/>
    </row>
    <row r="166" spans="1:24" x14ac:dyDescent="0.25">
      <c r="I166" s="2"/>
      <c r="J166" s="2"/>
      <c r="K166" s="2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spans="1:24" x14ac:dyDescent="0.25">
      <c r="I167" s="2"/>
      <c r="J167" s="2"/>
      <c r="K167" s="2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spans="1:24" x14ac:dyDescent="0.25">
      <c r="I168" s="2"/>
      <c r="J168" s="2"/>
      <c r="K168" s="2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spans="1:24" x14ac:dyDescent="0.25">
      <c r="I169" s="2"/>
      <c r="J169" s="2"/>
      <c r="K169" s="2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spans="1:24" x14ac:dyDescent="0.25"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spans="1:24" x14ac:dyDescent="0.25">
      <c r="I171" s="2"/>
      <c r="J171" s="2"/>
      <c r="K171" s="2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spans="1:24" x14ac:dyDescent="0.25">
      <c r="I172" s="2"/>
      <c r="J172" s="2"/>
      <c r="K172" s="2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spans="1:24" x14ac:dyDescent="0.25">
      <c r="I173" s="2"/>
      <c r="J173" s="2"/>
      <c r="K173" s="2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spans="1:24" x14ac:dyDescent="0.25">
      <c r="I174" s="2"/>
      <c r="J174" s="2"/>
      <c r="K174" s="2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 spans="1:24" x14ac:dyDescent="0.25">
      <c r="I175" s="2"/>
      <c r="J175" s="2"/>
      <c r="K175" s="2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 spans="1:24" x14ac:dyDescent="0.25">
      <c r="I176" s="2"/>
      <c r="J176" s="2"/>
      <c r="K176" s="2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 spans="9:24" x14ac:dyDescent="0.25">
      <c r="I177" s="2"/>
      <c r="J177" s="2"/>
      <c r="K177" s="2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 spans="9:24" x14ac:dyDescent="0.25">
      <c r="I178" s="2"/>
      <c r="J178" s="2"/>
      <c r="K178" s="2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 spans="9:24" x14ac:dyDescent="0.25">
      <c r="I179" s="2"/>
      <c r="J179" s="2"/>
      <c r="K179" s="2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 spans="9:24" x14ac:dyDescent="0.25">
      <c r="I180" s="2"/>
      <c r="J180" s="2"/>
      <c r="K180" s="2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spans="9:24" x14ac:dyDescent="0.25">
      <c r="I181" s="2"/>
      <c r="J181" s="2"/>
      <c r="K181" s="2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 spans="9:24" x14ac:dyDescent="0.25">
      <c r="I182" s="2"/>
      <c r="J182" s="2"/>
      <c r="K182" s="2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 spans="9:24" x14ac:dyDescent="0.25">
      <c r="I183" s="2"/>
      <c r="J183" s="2"/>
      <c r="K183" s="2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spans="9:24" x14ac:dyDescent="0.25"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spans="9:24" x14ac:dyDescent="0.25"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 spans="9:24" x14ac:dyDescent="0.25"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spans="9:24" x14ac:dyDescent="0.25"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spans="9:24" x14ac:dyDescent="0.25">
      <c r="I188" s="2"/>
      <c r="J188" s="2"/>
      <c r="K188" s="2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 spans="9:24" x14ac:dyDescent="0.25">
      <c r="I189" s="2"/>
      <c r="J189" s="2"/>
      <c r="K189" s="2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spans="9:24" x14ac:dyDescent="0.25"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spans="9:24" x14ac:dyDescent="0.25">
      <c r="I191" s="2"/>
      <c r="J191" s="2"/>
      <c r="K191" s="2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 spans="9:24" x14ac:dyDescent="0.25">
      <c r="I192" s="2"/>
      <c r="J192" s="2"/>
      <c r="K192" s="2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spans="9:24" x14ac:dyDescent="0.25">
      <c r="I193" s="2"/>
      <c r="J193" s="2"/>
      <c r="K193" s="2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spans="9:24" x14ac:dyDescent="0.25">
      <c r="I194" s="2"/>
      <c r="J194" s="2"/>
      <c r="K194" s="2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spans="9:24" x14ac:dyDescent="0.25">
      <c r="I195" s="2"/>
      <c r="J195" s="2"/>
      <c r="K195" s="2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spans="9:24" x14ac:dyDescent="0.25">
      <c r="I196" s="2"/>
      <c r="J196" s="2"/>
      <c r="K196" s="2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spans="9:24" x14ac:dyDescent="0.25">
      <c r="I197" s="2"/>
      <c r="J197" s="2"/>
      <c r="K197" s="2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spans="9:24" x14ac:dyDescent="0.25"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spans="9:24" x14ac:dyDescent="0.25">
      <c r="I199" s="2"/>
      <c r="J199" s="2"/>
      <c r="K199" s="2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spans="9:24" x14ac:dyDescent="0.25">
      <c r="I200" s="2"/>
      <c r="J200" s="2"/>
      <c r="K200" s="2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spans="9:24" x14ac:dyDescent="0.25">
      <c r="I201" s="2"/>
      <c r="J201" s="2"/>
      <c r="K201" s="2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spans="9:24" x14ac:dyDescent="0.25">
      <c r="I202" s="2"/>
      <c r="J202" s="2"/>
      <c r="K202" s="2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spans="9:24" x14ac:dyDescent="0.25">
      <c r="I203" s="2"/>
      <c r="J203" s="2"/>
      <c r="K203" s="2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spans="9:24" x14ac:dyDescent="0.25">
      <c r="I204" s="2"/>
      <c r="J204" s="2"/>
      <c r="K204" s="2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 spans="9:24" x14ac:dyDescent="0.25"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 spans="9:24" x14ac:dyDescent="0.25">
      <c r="I206" s="2"/>
      <c r="J206" s="2"/>
      <c r="K206" s="2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 spans="9:24" x14ac:dyDescent="0.25">
      <c r="I207" s="2"/>
      <c r="J207" s="2"/>
      <c r="K207" s="2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 spans="9:24" x14ac:dyDescent="0.25"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 spans="9:24" x14ac:dyDescent="0.25">
      <c r="I209" s="2"/>
      <c r="J209" s="2"/>
      <c r="K209" s="2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 spans="9:24" x14ac:dyDescent="0.25">
      <c r="I210" s="2"/>
      <c r="J210" s="2"/>
      <c r="K210" s="2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 spans="9:24" x14ac:dyDescent="0.25">
      <c r="I211" s="2"/>
      <c r="J211" s="2"/>
      <c r="K211" s="2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spans="9:24" x14ac:dyDescent="0.25">
      <c r="I212" s="2"/>
      <c r="J212" s="2"/>
      <c r="K212" s="2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 spans="9:24" x14ac:dyDescent="0.25">
      <c r="I213" s="2"/>
      <c r="J213" s="2"/>
      <c r="K213" s="2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 spans="9:24" x14ac:dyDescent="0.25">
      <c r="I214" s="2"/>
      <c r="J214" s="2"/>
      <c r="K214" s="2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 spans="9:24" x14ac:dyDescent="0.25">
      <c r="I215" s="2"/>
      <c r="J215" s="2"/>
      <c r="K215" s="2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 spans="9:24" x14ac:dyDescent="0.25">
      <c r="I216" s="2"/>
      <c r="J216" s="2"/>
      <c r="K216" s="2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 spans="9:24" x14ac:dyDescent="0.25">
      <c r="I217" s="2"/>
      <c r="J217" s="2"/>
      <c r="K217" s="2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 spans="9:24" x14ac:dyDescent="0.25">
      <c r="I218" s="2"/>
      <c r="J218" s="2"/>
      <c r="K218" s="2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spans="9:24" x14ac:dyDescent="0.25">
      <c r="I219" s="2"/>
      <c r="J219" s="2"/>
      <c r="K219" s="2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spans="9:24" x14ac:dyDescent="0.25">
      <c r="I220" s="2"/>
      <c r="J220" s="2"/>
      <c r="K220" s="2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spans="9:24" x14ac:dyDescent="0.25">
      <c r="I221" s="2"/>
      <c r="J221" s="2"/>
      <c r="K221" s="2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 spans="9:24" x14ac:dyDescent="0.25">
      <c r="I222" s="2"/>
      <c r="J222" s="2"/>
      <c r="K222" s="2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spans="9:24" x14ac:dyDescent="0.25">
      <c r="I223" s="2"/>
      <c r="J223" s="2"/>
      <c r="K223" s="2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spans="9:24" x14ac:dyDescent="0.25">
      <c r="I224" s="2"/>
      <c r="J224" s="2"/>
      <c r="K224" s="2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spans="9:24" x14ac:dyDescent="0.25">
      <c r="I225" s="2"/>
      <c r="J225" s="2"/>
      <c r="K225" s="2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spans="9:24" x14ac:dyDescent="0.25"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spans="9:24" x14ac:dyDescent="0.25">
      <c r="I227" s="2"/>
      <c r="J227" s="2"/>
      <c r="K227" s="2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spans="9:24" x14ac:dyDescent="0.25">
      <c r="I228" s="2"/>
      <c r="J228" s="2"/>
      <c r="K228" s="2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spans="9:24" x14ac:dyDescent="0.25">
      <c r="I229" s="2"/>
      <c r="J229" s="2"/>
      <c r="K229" s="2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spans="9:24" x14ac:dyDescent="0.25">
      <c r="I230" s="2"/>
      <c r="J230" s="2"/>
      <c r="K230" s="2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</sheetData>
  <printOptions gridLines="1"/>
  <pageMargins left="0.5" right="0.5" top="0.75" bottom="0.5" header="0.3" footer="0.3"/>
  <pageSetup scale="60" fitToHeight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6"/>
  <sheetViews>
    <sheetView workbookViewId="0"/>
  </sheetViews>
  <sheetFormatPr defaultRowHeight="15" x14ac:dyDescent="0.25"/>
  <cols>
    <col min="1" max="1" width="8.7109375" customWidth="1"/>
    <col min="2" max="2" width="48.7109375" customWidth="1"/>
    <col min="3" max="5" width="16.7109375" customWidth="1"/>
    <col min="8" max="8" width="3.7109375" customWidth="1"/>
    <col min="9" max="9" width="20.7109375" customWidth="1"/>
    <col min="10" max="13" width="12.7109375" customWidth="1"/>
    <col min="14" max="14" width="14.7109375" customWidth="1"/>
  </cols>
  <sheetData>
    <row r="1" spans="1:14" x14ac:dyDescent="0.25">
      <c r="A1" s="27">
        <v>4</v>
      </c>
      <c r="B1" s="28" t="s">
        <v>578</v>
      </c>
      <c r="C1" s="2" t="str">
        <f>IF(COUNTIF(G6:G25,A1)=1,"","THIS DISTRICT IS NOT BEING REVISED.")</f>
        <v/>
      </c>
      <c r="D1" s="2"/>
      <c r="E1" s="2"/>
      <c r="F1" s="2"/>
      <c r="G1" s="2" t="s">
        <v>579</v>
      </c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4" t="s">
        <v>580</v>
      </c>
      <c r="K2" s="4" t="s">
        <v>580</v>
      </c>
      <c r="L2" s="2"/>
      <c r="M2" s="2"/>
      <c r="N2" s="2"/>
    </row>
    <row r="3" spans="1:14" x14ac:dyDescent="0.25">
      <c r="A3" s="2" t="s">
        <v>581</v>
      </c>
      <c r="B3" s="2"/>
      <c r="C3" s="3" t="s">
        <v>582</v>
      </c>
      <c r="D3" s="3" t="s">
        <v>583</v>
      </c>
      <c r="E3" s="3"/>
      <c r="F3" s="2"/>
      <c r="G3" s="2"/>
      <c r="H3" s="2"/>
      <c r="I3" s="2"/>
      <c r="J3" s="3" t="s">
        <v>584</v>
      </c>
      <c r="K3" s="3" t="s">
        <v>585</v>
      </c>
      <c r="L3" s="3"/>
      <c r="M3" s="3"/>
      <c r="N3" s="3"/>
    </row>
    <row r="4" spans="1:14" x14ac:dyDescent="0.25">
      <c r="A4" s="2" t="str">
        <f>+VLOOKUP(A1,$G$6:$N$25,3,FALSE)&amp;" #"&amp;FIXED(A1,0,TRUE)</f>
        <v>MCGREGOR PUBLIC SCHOOL DISTRICT #4</v>
      </c>
      <c r="B4" s="2"/>
      <c r="C4" s="3" t="s">
        <v>586</v>
      </c>
      <c r="D4" s="3" t="s">
        <v>587</v>
      </c>
      <c r="E4" s="3" t="s">
        <v>588</v>
      </c>
      <c r="F4" s="2"/>
      <c r="G4" s="2"/>
      <c r="H4" s="2"/>
      <c r="I4" s="2"/>
      <c r="J4" s="3" t="s">
        <v>526</v>
      </c>
      <c r="K4" s="3" t="s">
        <v>589</v>
      </c>
      <c r="L4" s="3" t="s">
        <v>590</v>
      </c>
      <c r="M4" s="3" t="s">
        <v>591</v>
      </c>
      <c r="N4" s="3" t="s">
        <v>592</v>
      </c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9"/>
      <c r="B6" s="29" t="s">
        <v>593</v>
      </c>
      <c r="C6" s="29"/>
      <c r="D6" s="2"/>
      <c r="E6" s="2"/>
      <c r="F6" s="2"/>
      <c r="G6" s="2">
        <v>4</v>
      </c>
      <c r="H6" s="2">
        <v>1</v>
      </c>
      <c r="I6" s="2" t="s">
        <v>8</v>
      </c>
      <c r="J6" s="30">
        <v>1.01</v>
      </c>
      <c r="K6" s="30">
        <v>0</v>
      </c>
      <c r="L6" s="1">
        <v>548.29999999999995</v>
      </c>
      <c r="M6" s="1">
        <v>409.43</v>
      </c>
      <c r="N6" s="1">
        <v>324042218</v>
      </c>
    </row>
    <row r="7" spans="1:14" x14ac:dyDescent="0.25">
      <c r="A7" s="29"/>
      <c r="B7" s="29"/>
      <c r="C7" s="29"/>
      <c r="D7" s="2"/>
      <c r="E7" s="2"/>
      <c r="F7" s="2"/>
      <c r="G7" s="2">
        <v>32</v>
      </c>
      <c r="H7" s="2">
        <v>1</v>
      </c>
      <c r="I7" s="2" t="s">
        <v>20</v>
      </c>
      <c r="J7" s="30">
        <v>1</v>
      </c>
      <c r="K7" s="30">
        <v>0</v>
      </c>
      <c r="L7" s="1">
        <v>614.41</v>
      </c>
      <c r="M7" s="1">
        <v>729.44</v>
      </c>
      <c r="N7" s="1">
        <v>181254396</v>
      </c>
    </row>
    <row r="8" spans="1:14" x14ac:dyDescent="0.25">
      <c r="A8" s="29">
        <v>1</v>
      </c>
      <c r="B8" s="29" t="s">
        <v>594</v>
      </c>
      <c r="C8" s="31">
        <f>VLOOKUP($A$1,$G$6:$N$25,4)</f>
        <v>1.01</v>
      </c>
      <c r="D8" s="31">
        <f>VLOOKUP($A$1,$G$6:$N$25,5)</f>
        <v>0</v>
      </c>
      <c r="E8" s="30">
        <f>D8-C8</f>
        <v>-1.01</v>
      </c>
      <c r="F8" s="2"/>
      <c r="G8" s="2">
        <v>38</v>
      </c>
      <c r="H8" s="2">
        <v>1</v>
      </c>
      <c r="I8" s="2" t="s">
        <v>22</v>
      </c>
      <c r="J8" s="30">
        <v>1293</v>
      </c>
      <c r="K8" s="30">
        <v>447.1</v>
      </c>
      <c r="L8" s="1">
        <v>1817.38</v>
      </c>
      <c r="M8" s="1">
        <v>1592.73</v>
      </c>
      <c r="N8" s="1">
        <v>653800</v>
      </c>
    </row>
    <row r="9" spans="1:14" x14ac:dyDescent="0.25">
      <c r="A9" s="29">
        <f>A8+1</f>
        <v>2</v>
      </c>
      <c r="B9" s="29" t="s">
        <v>590</v>
      </c>
      <c r="C9" s="31">
        <f>VLOOKUP($A$1,$G$6:$N$25,6)</f>
        <v>548.29999999999995</v>
      </c>
      <c r="D9" s="31">
        <f>C9</f>
        <v>548.29999999999995</v>
      </c>
      <c r="E9" s="30">
        <f t="shared" ref="E9:E15" si="0">D9-C9</f>
        <v>0</v>
      </c>
      <c r="F9" s="2"/>
      <c r="G9" s="2">
        <v>182</v>
      </c>
      <c r="H9" s="2">
        <v>1</v>
      </c>
      <c r="I9" s="2" t="s">
        <v>57</v>
      </c>
      <c r="J9" s="30">
        <v>405</v>
      </c>
      <c r="K9" s="30">
        <v>404</v>
      </c>
      <c r="L9" s="1">
        <v>1564.62</v>
      </c>
      <c r="M9" s="1">
        <v>1342.15</v>
      </c>
      <c r="N9" s="1">
        <v>1045677195</v>
      </c>
    </row>
    <row r="10" spans="1:14" x14ac:dyDescent="0.25">
      <c r="A10" s="29">
        <f>A9+1</f>
        <v>3</v>
      </c>
      <c r="B10" s="29" t="s">
        <v>592</v>
      </c>
      <c r="C10" s="32">
        <f>VLOOKUP($A$1,$G$6:$N$25,8)</f>
        <v>324042218</v>
      </c>
      <c r="D10" s="32">
        <f>C10</f>
        <v>324042218</v>
      </c>
      <c r="E10" s="1">
        <f t="shared" si="0"/>
        <v>0</v>
      </c>
      <c r="F10" s="2"/>
      <c r="G10" s="2">
        <v>207</v>
      </c>
      <c r="H10" s="2">
        <v>1</v>
      </c>
      <c r="I10" s="2" t="s">
        <v>70</v>
      </c>
      <c r="J10" s="30">
        <v>701</v>
      </c>
      <c r="K10" s="30">
        <v>700</v>
      </c>
      <c r="L10" s="1">
        <v>331.08</v>
      </c>
      <c r="M10" s="1">
        <v>324.02999999999997</v>
      </c>
      <c r="N10" s="1">
        <v>133913825</v>
      </c>
    </row>
    <row r="11" spans="1:14" x14ac:dyDescent="0.25">
      <c r="A11" s="29"/>
      <c r="B11" s="29"/>
      <c r="C11" s="29"/>
      <c r="D11" s="29"/>
      <c r="E11" s="30"/>
      <c r="F11" s="2"/>
      <c r="G11" s="2">
        <v>229</v>
      </c>
      <c r="H11" s="2">
        <v>1</v>
      </c>
      <c r="I11" s="2" t="s">
        <v>74</v>
      </c>
      <c r="J11" s="30">
        <v>315.38</v>
      </c>
      <c r="K11" s="30">
        <v>0</v>
      </c>
      <c r="L11" s="1">
        <v>239.96</v>
      </c>
      <c r="M11" s="1">
        <v>357.07</v>
      </c>
      <c r="N11" s="1">
        <v>111592225</v>
      </c>
    </row>
    <row r="12" spans="1:14" x14ac:dyDescent="0.25">
      <c r="A12" s="29">
        <f>A10+1</f>
        <v>4</v>
      </c>
      <c r="B12" s="29" t="s">
        <v>595</v>
      </c>
      <c r="C12" s="31"/>
      <c r="D12" s="31"/>
      <c r="E12" s="30"/>
      <c r="F12" s="2"/>
      <c r="G12" s="2">
        <v>300</v>
      </c>
      <c r="H12" s="2">
        <v>1</v>
      </c>
      <c r="I12" s="2" t="s">
        <v>102</v>
      </c>
      <c r="J12" s="30">
        <v>619.82000000000005</v>
      </c>
      <c r="K12" s="30">
        <v>608.34</v>
      </c>
      <c r="L12" s="1">
        <v>1357.76</v>
      </c>
      <c r="M12" s="1">
        <v>1474.83</v>
      </c>
      <c r="N12" s="1">
        <v>587769565</v>
      </c>
    </row>
    <row r="13" spans="1:14" x14ac:dyDescent="0.25">
      <c r="A13" s="29"/>
      <c r="B13" s="29"/>
      <c r="C13" s="29"/>
      <c r="D13" s="29"/>
      <c r="E13" s="30"/>
      <c r="F13" s="2"/>
      <c r="G13" s="2">
        <v>362</v>
      </c>
      <c r="H13" s="2">
        <v>1</v>
      </c>
      <c r="I13" s="2" t="s">
        <v>119</v>
      </c>
      <c r="J13" s="30">
        <v>1</v>
      </c>
      <c r="K13" s="30">
        <v>0</v>
      </c>
      <c r="L13" s="1">
        <v>257.36</v>
      </c>
      <c r="M13" s="1">
        <v>333.76</v>
      </c>
      <c r="N13" s="1">
        <v>55931515</v>
      </c>
    </row>
    <row r="14" spans="1:14" x14ac:dyDescent="0.25">
      <c r="A14" s="29">
        <f>A12+1</f>
        <v>5</v>
      </c>
      <c r="B14" s="29" t="s">
        <v>596</v>
      </c>
      <c r="C14" s="31">
        <v>476000</v>
      </c>
      <c r="D14" s="31">
        <v>476000</v>
      </c>
      <c r="E14" s="30">
        <f t="shared" si="0"/>
        <v>0</v>
      </c>
      <c r="F14" s="2"/>
      <c r="G14" s="2">
        <v>480</v>
      </c>
      <c r="H14" s="2">
        <v>1</v>
      </c>
      <c r="I14" s="2" t="s">
        <v>145</v>
      </c>
      <c r="J14" s="30">
        <v>651.01</v>
      </c>
      <c r="K14" s="30">
        <v>650</v>
      </c>
      <c r="L14" s="1">
        <v>806.47</v>
      </c>
      <c r="M14" s="1">
        <v>712.37</v>
      </c>
      <c r="N14" s="1">
        <v>334365350</v>
      </c>
    </row>
    <row r="15" spans="1:14" x14ac:dyDescent="0.25">
      <c r="A15" s="29">
        <f>A14+1</f>
        <v>6</v>
      </c>
      <c r="B15" s="29" t="s">
        <v>597</v>
      </c>
      <c r="C15" s="31">
        <v>270000</v>
      </c>
      <c r="D15" s="31">
        <v>270000</v>
      </c>
      <c r="E15" s="30">
        <f t="shared" si="0"/>
        <v>0</v>
      </c>
      <c r="F15" s="2"/>
      <c r="G15" s="2">
        <v>486</v>
      </c>
      <c r="H15" s="2">
        <v>1</v>
      </c>
      <c r="I15" s="2" t="s">
        <v>149</v>
      </c>
      <c r="J15" s="30">
        <v>804.82</v>
      </c>
      <c r="K15" s="30">
        <v>804.42</v>
      </c>
      <c r="L15" s="1">
        <v>385.78</v>
      </c>
      <c r="M15" s="1">
        <v>341.08</v>
      </c>
      <c r="N15" s="1">
        <v>106889550</v>
      </c>
    </row>
    <row r="16" spans="1:14" x14ac:dyDescent="0.25">
      <c r="A16" s="29"/>
      <c r="B16" s="29"/>
      <c r="C16" s="5"/>
      <c r="D16" s="5"/>
      <c r="E16" s="30"/>
      <c r="F16" s="2"/>
      <c r="G16" s="2">
        <v>500</v>
      </c>
      <c r="H16" s="2">
        <v>1</v>
      </c>
      <c r="I16" s="2" t="s">
        <v>155</v>
      </c>
      <c r="J16" s="30">
        <v>1476.24</v>
      </c>
      <c r="K16" s="30">
        <v>637.5</v>
      </c>
      <c r="L16" s="1">
        <v>599.42999999999995</v>
      </c>
      <c r="M16" s="1">
        <v>587.75</v>
      </c>
      <c r="N16" s="1">
        <v>169861500</v>
      </c>
    </row>
    <row r="17" spans="1:14" x14ac:dyDescent="0.25">
      <c r="A17" s="29">
        <f>A15+1</f>
        <v>7</v>
      </c>
      <c r="B17" s="29" t="str">
        <f>+"TOTAL REFERENDUM REVENUE = ("&amp;FIXED(A8,0)&amp;") X ("&amp;FIXED(A9,0)&amp;") ="</f>
        <v>TOTAL REFERENDUM REVENUE = (1) X (2) =</v>
      </c>
      <c r="C17" s="31">
        <f>ROUND(C8*C9,2)</f>
        <v>553.78</v>
      </c>
      <c r="D17" s="31">
        <f>ROUND(D8*D9,2)</f>
        <v>0</v>
      </c>
      <c r="E17" s="30">
        <f>D17-C17</f>
        <v>-553.78</v>
      </c>
      <c r="F17" s="2"/>
      <c r="G17" s="2">
        <v>505</v>
      </c>
      <c r="H17" s="2">
        <v>1</v>
      </c>
      <c r="I17" s="2" t="s">
        <v>156</v>
      </c>
      <c r="J17" s="30">
        <v>1901.98</v>
      </c>
      <c r="K17" s="30">
        <v>1000</v>
      </c>
      <c r="L17" s="1">
        <v>382.22</v>
      </c>
      <c r="M17" s="1">
        <v>382.22</v>
      </c>
      <c r="N17" s="1">
        <v>86100230</v>
      </c>
    </row>
    <row r="18" spans="1:14" x14ac:dyDescent="0.25">
      <c r="A18" s="29"/>
      <c r="B18" s="29"/>
      <c r="C18" s="31"/>
      <c r="D18" s="31"/>
      <c r="E18" s="30"/>
      <c r="F18" s="2"/>
      <c r="G18" s="2">
        <v>564</v>
      </c>
      <c r="H18" s="2">
        <v>1</v>
      </c>
      <c r="I18" s="2" t="s">
        <v>177</v>
      </c>
      <c r="J18" s="30">
        <v>749.2</v>
      </c>
      <c r="K18" s="30">
        <v>621.96</v>
      </c>
      <c r="L18" s="1">
        <v>2392.38</v>
      </c>
      <c r="M18" s="1">
        <v>2306.6799999999998</v>
      </c>
      <c r="N18" s="1">
        <v>598577510</v>
      </c>
    </row>
    <row r="19" spans="1:14" x14ac:dyDescent="0.25">
      <c r="A19" s="29"/>
      <c r="B19" s="29" t="s">
        <v>598</v>
      </c>
      <c r="C19" s="31"/>
      <c r="D19" s="31"/>
      <c r="E19" s="30"/>
      <c r="F19" s="2"/>
      <c r="G19" s="2">
        <v>601</v>
      </c>
      <c r="H19" s="2">
        <v>1</v>
      </c>
      <c r="I19" s="2" t="s">
        <v>186</v>
      </c>
      <c r="J19" s="30">
        <v>826.06</v>
      </c>
      <c r="K19" s="30">
        <v>700</v>
      </c>
      <c r="L19" s="1">
        <v>634.61</v>
      </c>
      <c r="M19" s="1">
        <v>731.74</v>
      </c>
      <c r="N19" s="1">
        <v>144438600</v>
      </c>
    </row>
    <row r="20" spans="1:14" x14ac:dyDescent="0.25">
      <c r="A20" s="29"/>
      <c r="B20" s="29"/>
      <c r="C20" s="31"/>
      <c r="D20" s="31"/>
      <c r="E20" s="30"/>
      <c r="F20" s="2"/>
      <c r="G20" s="2">
        <v>707</v>
      </c>
      <c r="H20" s="2">
        <v>1</v>
      </c>
      <c r="I20" s="2" t="s">
        <v>211</v>
      </c>
      <c r="J20" s="30">
        <v>571.92999999999995</v>
      </c>
      <c r="K20" s="30">
        <v>0</v>
      </c>
      <c r="L20" s="1">
        <v>130.28</v>
      </c>
      <c r="M20" s="1">
        <v>147.72</v>
      </c>
      <c r="N20" s="1">
        <v>418700</v>
      </c>
    </row>
    <row r="21" spans="1:14" x14ac:dyDescent="0.25">
      <c r="A21" s="29">
        <f>A17+1</f>
        <v>8</v>
      </c>
      <c r="B21" s="29" t="str">
        <f>+"TIER 1 REVENUE PER RMCPU = LESSER OF ("&amp;FIXED(A8,0)&amp;") OR $700 ="</f>
        <v>TIER 1 REVENUE PER RMCPU = LESSER OF (1) OR $700 =</v>
      </c>
      <c r="C21" s="31">
        <f>MIN(700,C8)</f>
        <v>1.01</v>
      </c>
      <c r="D21" s="31">
        <f>MIN(700,D8)</f>
        <v>0</v>
      </c>
      <c r="E21" s="30">
        <f>D21-C21</f>
        <v>-1.01</v>
      </c>
      <c r="F21" s="2"/>
      <c r="G21" s="2">
        <v>811</v>
      </c>
      <c r="H21" s="2">
        <v>1</v>
      </c>
      <c r="I21" s="2" t="s">
        <v>243</v>
      </c>
      <c r="J21" s="30">
        <v>1115.8</v>
      </c>
      <c r="K21" s="30">
        <v>989</v>
      </c>
      <c r="L21" s="1">
        <v>760.72</v>
      </c>
      <c r="M21" s="1">
        <v>711.44</v>
      </c>
      <c r="N21" s="1">
        <v>431770900</v>
      </c>
    </row>
    <row r="22" spans="1:14" x14ac:dyDescent="0.25">
      <c r="A22" s="29">
        <f>A21+1</f>
        <v>9</v>
      </c>
      <c r="B22" s="29" t="str">
        <f>+"TIER 2 REVENUE PER RMCPU = ("&amp;FIXED(A8,0)&amp;")-("&amp;FIXED(A21,0)&amp;") ="</f>
        <v>TIER 2 REVENUE PER RMCPU = (1)-(8) =</v>
      </c>
      <c r="C22" s="31">
        <f>C8-C21</f>
        <v>0</v>
      </c>
      <c r="D22" s="31">
        <f>D8-D21</f>
        <v>0</v>
      </c>
      <c r="E22" s="30">
        <f>D22-C22</f>
        <v>0</v>
      </c>
      <c r="F22" s="2"/>
      <c r="G22" s="2">
        <v>815</v>
      </c>
      <c r="H22" s="2">
        <v>2</v>
      </c>
      <c r="I22" s="2" t="s">
        <v>245</v>
      </c>
      <c r="J22" s="30">
        <v>923.84</v>
      </c>
      <c r="K22" s="30">
        <v>0</v>
      </c>
      <c r="L22" s="1">
        <v>29.57</v>
      </c>
      <c r="M22" s="1">
        <v>0</v>
      </c>
      <c r="N22" s="1">
        <v>36422800</v>
      </c>
    </row>
    <row r="23" spans="1:14" x14ac:dyDescent="0.25">
      <c r="A23" s="29"/>
      <c r="B23" s="29"/>
      <c r="C23" s="31"/>
      <c r="D23" s="31"/>
      <c r="E23" s="30"/>
      <c r="F23" s="2"/>
      <c r="G23" s="2">
        <v>2142</v>
      </c>
      <c r="H23" s="2">
        <v>1</v>
      </c>
      <c r="I23" s="2" t="s">
        <v>279</v>
      </c>
      <c r="J23" s="30">
        <v>126.6</v>
      </c>
      <c r="K23" s="30">
        <v>0</v>
      </c>
      <c r="L23" s="1">
        <v>2539.84</v>
      </c>
      <c r="M23" s="1">
        <v>1977.71</v>
      </c>
      <c r="N23" s="1">
        <v>1510540094</v>
      </c>
    </row>
    <row r="24" spans="1:14" x14ac:dyDescent="0.25">
      <c r="A24" s="29">
        <f>A22+1</f>
        <v>10</v>
      </c>
      <c r="B24" s="29" t="str">
        <f>+"REVENUE, TIER 1 = ("&amp;FIXED(A9,0)&amp;") X ("&amp;FIXED(A21,0)&amp;") ="</f>
        <v>REVENUE, TIER 1 = (2) X (8) =</v>
      </c>
      <c r="C24" s="31">
        <f>ROUND(C9*C21,2)</f>
        <v>553.78</v>
      </c>
      <c r="D24" s="31">
        <f>ROUND(D9*D21,2)</f>
        <v>0</v>
      </c>
      <c r="E24" s="30">
        <f>D24-C24</f>
        <v>-553.78</v>
      </c>
      <c r="F24" s="2"/>
      <c r="G24" s="2">
        <v>2888</v>
      </c>
      <c r="H24" s="2">
        <v>1</v>
      </c>
      <c r="I24" s="2" t="s">
        <v>332</v>
      </c>
      <c r="J24" s="30">
        <v>1101.06</v>
      </c>
      <c r="K24" s="30">
        <v>975</v>
      </c>
      <c r="L24" s="1">
        <v>466.68</v>
      </c>
      <c r="M24" s="1">
        <v>422.98</v>
      </c>
      <c r="N24" s="1">
        <v>79752750</v>
      </c>
    </row>
    <row r="25" spans="1:14" x14ac:dyDescent="0.25">
      <c r="A25" s="29">
        <f>A24+1</f>
        <v>11</v>
      </c>
      <c r="B25" s="29" t="str">
        <f>+"REVENUE, TIER 2 = ("&amp;FIXED(A9,0)&amp;") X ("&amp;FIXED(A22,0)&amp;") ="</f>
        <v>REVENUE, TIER 2 = (2) X (9) =</v>
      </c>
      <c r="C25" s="31">
        <f>ROUND(C9*C22,2)</f>
        <v>0</v>
      </c>
      <c r="D25" s="31">
        <f>ROUND(D9*D22,2)</f>
        <v>0</v>
      </c>
      <c r="E25" s="30">
        <f>D25-C25</f>
        <v>0</v>
      </c>
      <c r="F25" s="2"/>
      <c r="G25" s="2">
        <v>2895</v>
      </c>
      <c r="H25" s="2">
        <v>1</v>
      </c>
      <c r="I25" s="2" t="s">
        <v>335</v>
      </c>
      <c r="J25" s="30">
        <v>1000</v>
      </c>
      <c r="K25" s="30">
        <v>949.77</v>
      </c>
      <c r="L25" s="1">
        <v>1375.33</v>
      </c>
      <c r="M25" s="1">
        <v>1341.56</v>
      </c>
      <c r="N25" s="1">
        <v>374349060</v>
      </c>
    </row>
    <row r="26" spans="1:14" x14ac:dyDescent="0.25">
      <c r="A26" s="29"/>
      <c r="B26" s="29"/>
      <c r="C26" s="31"/>
      <c r="D26" s="31"/>
      <c r="E26" s="30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9">
        <f>A25+1</f>
        <v>12</v>
      </c>
      <c r="B27" s="29" t="str">
        <f>+"RMV/RMCPU = ("&amp;FIXED(A10,0)&amp;")/("&amp;FIXED(A9,0)&amp;") ="</f>
        <v>RMV/RMCPU = (3)/(2) =</v>
      </c>
      <c r="C27" s="31">
        <f>ROUND(C10/C9,2)</f>
        <v>590994.38</v>
      </c>
      <c r="D27" s="31">
        <f>ROUND(D10/D9,2)</f>
        <v>590994.38</v>
      </c>
      <c r="E27" s="30">
        <f>D27-C27</f>
        <v>0</v>
      </c>
      <c r="F27" s="2"/>
      <c r="G27" s="2"/>
      <c r="H27" s="2"/>
      <c r="I27" s="2" t="s">
        <v>599</v>
      </c>
      <c r="J27" s="2"/>
      <c r="K27" s="2"/>
      <c r="L27" s="2"/>
      <c r="M27" s="2"/>
      <c r="N27" s="2"/>
    </row>
    <row r="28" spans="1:14" x14ac:dyDescent="0.25">
      <c r="A28" s="29"/>
      <c r="B28" s="29"/>
      <c r="C28" s="31"/>
      <c r="D28" s="31"/>
      <c r="E28" s="30"/>
      <c r="F28" s="2"/>
      <c r="G28" s="2"/>
      <c r="H28" s="2"/>
      <c r="I28" s="2" t="s">
        <v>600</v>
      </c>
      <c r="J28" s="2"/>
      <c r="K28" s="3"/>
      <c r="L28" s="3"/>
      <c r="M28" s="3"/>
      <c r="N28" s="3"/>
    </row>
    <row r="29" spans="1:14" x14ac:dyDescent="0.25">
      <c r="A29" s="29">
        <f>A27+1</f>
        <v>13</v>
      </c>
      <c r="B29" s="29" t="str">
        <f>+"LEVY PORTION, TIER 1 = LSR OF 1 OR ("&amp;FIXED(A27,0)&amp;")/("&amp;FIXED(A14,0)&amp;") ="</f>
        <v>LEVY PORTION, TIER 1 = LSR OF 1 OR (12)/(5) =</v>
      </c>
      <c r="C29" s="33">
        <f>ROUND(IF(C14=0,0,MIN(1,C27/C14)),8)</f>
        <v>1</v>
      </c>
      <c r="D29" s="33">
        <f>ROUND(IF(D14=0,0,MIN(1,D27/D14)),8)</f>
        <v>1</v>
      </c>
      <c r="E29" s="34">
        <f>D29-C29</f>
        <v>0</v>
      </c>
      <c r="F29" s="2"/>
      <c r="G29" s="2"/>
      <c r="H29" s="2"/>
      <c r="I29" s="2"/>
      <c r="J29" s="2"/>
      <c r="K29" s="3"/>
      <c r="L29" s="3"/>
      <c r="M29" s="3"/>
      <c r="N29" s="3"/>
    </row>
    <row r="30" spans="1:14" x14ac:dyDescent="0.25">
      <c r="A30" s="29">
        <f>A29+1</f>
        <v>14</v>
      </c>
      <c r="B30" s="29" t="str">
        <f>+"LEVY PORTION, TIER 2 = LSR OF 1 OR ("&amp;FIXED(A27,0)&amp;")/("&amp;FIXED(A15,0)&amp;") ="</f>
        <v>LEVY PORTION, TIER 2 = LSR OF 1 OR (12)/(6) =</v>
      </c>
      <c r="C30" s="33">
        <f>ROUND(IF(C15=0,0,MIN(1,C27/C15)),8)</f>
        <v>1</v>
      </c>
      <c r="D30" s="33">
        <f>ROUND(IF(D15=0,0,MIN(1,D27/D15)),8)</f>
        <v>1</v>
      </c>
      <c r="E30" s="34">
        <f>D30-C30</f>
        <v>0</v>
      </c>
      <c r="F30" s="2"/>
      <c r="G30" s="2"/>
      <c r="H30" s="2"/>
      <c r="I30" s="30" t="s">
        <v>601</v>
      </c>
      <c r="J30" s="2"/>
      <c r="K30" s="2"/>
      <c r="L30" s="2"/>
      <c r="M30" s="2"/>
      <c r="N30" s="2"/>
    </row>
    <row r="31" spans="1:14" x14ac:dyDescent="0.25">
      <c r="A31" s="29"/>
      <c r="B31" s="29"/>
      <c r="C31" s="33"/>
      <c r="D31" s="33"/>
      <c r="E31" s="34"/>
      <c r="F31" s="2"/>
      <c r="G31" s="2"/>
      <c r="H31" s="2"/>
      <c r="I31" s="30" t="s">
        <v>602</v>
      </c>
      <c r="J31" s="2"/>
      <c r="K31" s="30"/>
      <c r="L31" s="30"/>
      <c r="M31" s="30"/>
      <c r="N31" s="30"/>
    </row>
    <row r="32" spans="1:14" x14ac:dyDescent="0.25">
      <c r="A32" s="29">
        <f>A30+1</f>
        <v>15</v>
      </c>
      <c r="B32" s="29" t="str">
        <f>+"AID PORTION, TIER 1 = 1 - ("&amp;FIXED(A29,0)&amp;") ="</f>
        <v>AID PORTION, TIER 1 = 1 - (13) =</v>
      </c>
      <c r="C32" s="33">
        <f>1-C29</f>
        <v>0</v>
      </c>
      <c r="D32" s="33">
        <f>1-D29</f>
        <v>0</v>
      </c>
      <c r="E32" s="34">
        <f>D32-C32</f>
        <v>0</v>
      </c>
      <c r="F32" s="2"/>
      <c r="G32" s="2"/>
      <c r="H32" s="2"/>
      <c r="I32" s="30"/>
      <c r="J32" s="2"/>
      <c r="K32" s="30"/>
      <c r="L32" s="30"/>
      <c r="M32" s="30"/>
      <c r="N32" s="30"/>
    </row>
    <row r="33" spans="1:14" x14ac:dyDescent="0.25">
      <c r="A33" s="29">
        <f>A32+1</f>
        <v>16</v>
      </c>
      <c r="B33" s="29" t="str">
        <f>+"AID PORTION, TIER 2 = 1 - ("&amp;FIXED(A30,0)&amp;") ="</f>
        <v>AID PORTION, TIER 2 = 1 - (14) =</v>
      </c>
      <c r="C33" s="33">
        <f>1-C30</f>
        <v>0</v>
      </c>
      <c r="D33" s="33">
        <f>1-D30</f>
        <v>0</v>
      </c>
      <c r="E33" s="34">
        <f>D33-C33</f>
        <v>0</v>
      </c>
      <c r="F33" s="2"/>
      <c r="G33" s="2"/>
      <c r="H33" s="2"/>
      <c r="I33" s="30"/>
      <c r="J33" s="2"/>
      <c r="K33" s="30"/>
      <c r="L33" s="30"/>
      <c r="M33" s="30"/>
      <c r="N33" s="30"/>
    </row>
    <row r="34" spans="1:14" x14ac:dyDescent="0.25">
      <c r="A34" s="29"/>
      <c r="B34" s="29"/>
      <c r="C34" s="33"/>
      <c r="D34" s="33"/>
      <c r="E34" s="30"/>
      <c r="F34" s="2"/>
      <c r="G34" s="2"/>
      <c r="H34" s="2"/>
      <c r="I34" s="30"/>
      <c r="J34" s="2"/>
      <c r="K34" s="30"/>
      <c r="L34" s="30"/>
      <c r="M34" s="30"/>
      <c r="N34" s="30"/>
    </row>
    <row r="35" spans="1:14" x14ac:dyDescent="0.25">
      <c r="A35" s="29">
        <f>A33+1</f>
        <v>17</v>
      </c>
      <c r="B35" s="29" t="str">
        <f>+"AID, TIER 1 = ("&amp;FIXED(A24,0)&amp;") X ("&amp;FIXED(A32,0)&amp;") ="</f>
        <v>AID, TIER 1 = (10) X (15) =</v>
      </c>
      <c r="C35" s="31">
        <f>ROUND(C32*C24,2)</f>
        <v>0</v>
      </c>
      <c r="D35" s="31">
        <f>ROUND(D32*D24,2)</f>
        <v>0</v>
      </c>
      <c r="E35" s="30">
        <f>D35-C35</f>
        <v>0</v>
      </c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9">
        <f>A35+1</f>
        <v>18</v>
      </c>
      <c r="B36" s="29" t="str">
        <f>+"AID, TIER 2 = ("&amp;FIXED(A25,0)&amp;") X ("&amp;FIXED(A33,0)&amp;") ="</f>
        <v>AID, TIER 2 = (11) X (16) =</v>
      </c>
      <c r="C36" s="31">
        <f>ROUND(C33*C25,2)</f>
        <v>0</v>
      </c>
      <c r="D36" s="31">
        <f>ROUND(D33*D25,2)</f>
        <v>0</v>
      </c>
      <c r="E36" s="30">
        <f>D36-C36</f>
        <v>0</v>
      </c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9">
        <f>A36+1</f>
        <v>19</v>
      </c>
      <c r="B37" s="29" t="str">
        <f>+"AID, TOTAL = ("&amp;FIXED(A35,0)&amp;")+("&amp;FIXED(A36,0)&amp;") ="</f>
        <v>AID, TOTAL = (17)+(18) =</v>
      </c>
      <c r="C37" s="31">
        <f>C35+C36</f>
        <v>0</v>
      </c>
      <c r="D37" s="31">
        <f>D35+D36</f>
        <v>0</v>
      </c>
      <c r="E37" s="30">
        <f>D37-C37</f>
        <v>0</v>
      </c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9"/>
      <c r="B38" s="29"/>
      <c r="C38" s="31"/>
      <c r="D38" s="31"/>
      <c r="E38" s="30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9">
        <f>A37+1</f>
        <v>20</v>
      </c>
      <c r="B39" s="29" t="str">
        <f>+"REFERENDUM LEVY, TOTAL = ("&amp;FIXED(A17,0)&amp;")-("&amp;FIXED(A37,0)&amp;") ="</f>
        <v>REFERENDUM LEVY, TOTAL = (7)-(19) =</v>
      </c>
      <c r="C39" s="31">
        <f>C17-C37</f>
        <v>553.78</v>
      </c>
      <c r="D39" s="31">
        <f>D17-D37</f>
        <v>0</v>
      </c>
      <c r="E39" s="30">
        <f>D39-C39</f>
        <v>-553.78</v>
      </c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30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30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 t="s">
        <v>603</v>
      </c>
      <c r="C42" s="2"/>
      <c r="D42" s="2"/>
      <c r="E42" s="30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D43" s="2"/>
      <c r="E43" s="30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>
        <f>A39+1</f>
        <v>21</v>
      </c>
      <c r="B44" s="2" t="s">
        <v>591</v>
      </c>
      <c r="C44" s="31">
        <f>VLOOKUP($A$1,$G$6:$N$25,7)</f>
        <v>409.43</v>
      </c>
      <c r="D44" s="35">
        <f>C44</f>
        <v>409.43</v>
      </c>
      <c r="E44" s="30">
        <f t="shared" ref="E44:E49" si="1">D44-C44</f>
        <v>0</v>
      </c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>
        <f>A44+1</f>
        <v>22</v>
      </c>
      <c r="B45" s="36" t="s">
        <v>604</v>
      </c>
      <c r="C45" s="35">
        <v>931.83</v>
      </c>
      <c r="D45" s="35">
        <v>931.83</v>
      </c>
      <c r="E45" s="30">
        <f t="shared" si="1"/>
        <v>0</v>
      </c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>
        <f>A45+1</f>
        <v>23</v>
      </c>
      <c r="B46" s="36" t="s">
        <v>605</v>
      </c>
      <c r="C46" s="35">
        <v>13</v>
      </c>
      <c r="D46" s="35">
        <v>13</v>
      </c>
      <c r="E46" s="30">
        <f t="shared" si="1"/>
        <v>0</v>
      </c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>
        <f>A46+1</f>
        <v>24</v>
      </c>
      <c r="B47" s="36" t="s">
        <v>606</v>
      </c>
      <c r="C47" s="35">
        <v>75</v>
      </c>
      <c r="D47" s="35">
        <v>75</v>
      </c>
      <c r="E47" s="30">
        <f t="shared" si="1"/>
        <v>0</v>
      </c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>
        <f>A47+1</f>
        <v>25</v>
      </c>
      <c r="B48" s="36" t="s">
        <v>607</v>
      </c>
      <c r="C48" s="35">
        <v>46</v>
      </c>
      <c r="D48" s="35">
        <v>46</v>
      </c>
      <c r="E48" s="30">
        <f t="shared" si="1"/>
        <v>0</v>
      </c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>
        <f>A48+1</f>
        <v>26</v>
      </c>
      <c r="B49" s="36" t="s">
        <v>608</v>
      </c>
      <c r="C49" s="35">
        <v>46</v>
      </c>
      <c r="D49" s="35">
        <v>46</v>
      </c>
      <c r="E49" s="30">
        <f t="shared" si="1"/>
        <v>0</v>
      </c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37"/>
      <c r="D50" s="37"/>
      <c r="E50" s="30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>
        <f>A17</f>
        <v>7</v>
      </c>
      <c r="B51" s="2" t="s">
        <v>609</v>
      </c>
      <c r="C51" s="30">
        <f>C17</f>
        <v>553.78</v>
      </c>
      <c r="D51" s="30">
        <f>D17</f>
        <v>0</v>
      </c>
      <c r="E51" s="30">
        <f>D51-C51</f>
        <v>-553.78</v>
      </c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>
        <f>A9</f>
        <v>2</v>
      </c>
      <c r="B52" s="2" t="s">
        <v>590</v>
      </c>
      <c r="C52" s="30">
        <f>C9</f>
        <v>548.29999999999995</v>
      </c>
      <c r="D52" s="30">
        <f>D9</f>
        <v>548.29999999999995</v>
      </c>
      <c r="E52" s="30">
        <f>D52-C52</f>
        <v>0</v>
      </c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>
        <f>A10</f>
        <v>3</v>
      </c>
      <c r="B53" s="2" t="s">
        <v>610</v>
      </c>
      <c r="C53" s="1">
        <f>C10</f>
        <v>324042218</v>
      </c>
      <c r="D53" s="1">
        <f>D10</f>
        <v>324042218</v>
      </c>
      <c r="E53" s="30">
        <f>D53-C53</f>
        <v>0</v>
      </c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>
        <f>A53+1</f>
        <v>4</v>
      </c>
      <c r="B54" s="2" t="s">
        <v>611</v>
      </c>
      <c r="C54" s="1">
        <v>476000</v>
      </c>
      <c r="D54" s="1">
        <v>476000</v>
      </c>
      <c r="E54" s="30">
        <f>D54-C54</f>
        <v>0</v>
      </c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37"/>
      <c r="D55" s="37"/>
      <c r="E55" s="30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>
        <f>A45+1</f>
        <v>23</v>
      </c>
      <c r="B56" s="2" t="s">
        <v>612</v>
      </c>
      <c r="C56" s="30">
        <v>0</v>
      </c>
      <c r="D56" s="30">
        <v>0</v>
      </c>
      <c r="E56" s="30">
        <f>D56-C56</f>
        <v>0</v>
      </c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>
        <f>A56+1</f>
        <v>24</v>
      </c>
      <c r="B57" s="2" t="s">
        <v>613</v>
      </c>
      <c r="C57" s="30">
        <v>1760.0699999999997</v>
      </c>
      <c r="D57" s="30">
        <v>1760.0699999999997</v>
      </c>
      <c r="E57" s="30">
        <f>D57-C57</f>
        <v>0</v>
      </c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>
        <f>A57+1</f>
        <v>25</v>
      </c>
      <c r="B58" s="2" t="str">
        <f>+"REGION'S GAP = ("&amp;FIXED(A57,0,)&amp;")-("&amp;FIXED(A56,0)&amp;") ="</f>
        <v>REGION'S GAP = (24)-(23) =</v>
      </c>
      <c r="C58" s="30">
        <f>C57-C56</f>
        <v>1760.0699999999997</v>
      </c>
      <c r="D58" s="30">
        <f>D57-D56</f>
        <v>1760.0699999999997</v>
      </c>
      <c r="E58" s="30">
        <f>D58-C58</f>
        <v>0</v>
      </c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30"/>
      <c r="D59" s="30"/>
      <c r="E59" s="30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>
        <f>A58+1</f>
        <v>26</v>
      </c>
      <c r="B60" s="2" t="str">
        <f>+"DISTRICT'S REF/AMCPU = ("&amp;FIXED(A51,0)&amp;")/("&amp;FIXED(A44,0)&amp;") ="</f>
        <v>DISTRICT'S REF/AMCPU = (7)/(21) =</v>
      </c>
      <c r="C60" s="30">
        <f>IF(C44=0,0,ROUND(C51/C44,2))</f>
        <v>1.35</v>
      </c>
      <c r="D60" s="30">
        <f>IF(D44=0,0,ROUND(D51/D44,2))</f>
        <v>0</v>
      </c>
      <c r="E60" s="30">
        <f>D60-C60</f>
        <v>-1.35</v>
      </c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>
        <f>A60+1</f>
        <v>27</v>
      </c>
      <c r="B61" s="2" t="s">
        <v>614</v>
      </c>
      <c r="C61" s="30"/>
      <c r="D61" s="30"/>
      <c r="E61" s="30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8" t="s">
        <v>615</v>
      </c>
      <c r="C62" s="30"/>
      <c r="D62" s="30"/>
      <c r="E62" s="30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 t="str">
        <f>+"OR [("&amp;FIXED(A57,0)&amp;")-("&amp;FIXED(A60,0)&amp;")] ="</f>
        <v>OR [(24)-(26)] =</v>
      </c>
      <c r="C63" s="30">
        <f>MAX(0,C57-C60)</f>
        <v>1758.7199999999998</v>
      </c>
      <c r="D63" s="30">
        <f>MAX(0,D57-D60)</f>
        <v>1760.0699999999997</v>
      </c>
      <c r="E63" s="30">
        <f>D63-C63</f>
        <v>1.3499999999999091</v>
      </c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>
        <f>A61+1</f>
        <v>28</v>
      </c>
      <c r="B64" s="2" t="str">
        <f>+"EQUITY INDEX = ("&amp;FIXED(A61,0)&amp;")/("&amp;FIXED(A58,0)&amp;") ="</f>
        <v>EQUITY INDEX = (27)/(25) =</v>
      </c>
      <c r="C64" s="38">
        <f>ROUND(C63/C58,8)</f>
        <v>0.99923298999999999</v>
      </c>
      <c r="D64" s="38">
        <f>ROUND(D63/D58,8)</f>
        <v>1</v>
      </c>
      <c r="E64" s="30">
        <f>D64-C64</f>
        <v>7.670100000000124E-4</v>
      </c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>
        <f>A64+1</f>
        <v>29</v>
      </c>
      <c r="B65" s="2" t="str">
        <f>+"= ("&amp;FIXED(A47,0)&amp;") X ("&amp;FIXED(A64,0)&amp;") ="</f>
        <v>= (24) X (28) =</v>
      </c>
      <c r="C65" s="30">
        <f>ROUND(C47*C64,2)</f>
        <v>74.94</v>
      </c>
      <c r="D65" s="30">
        <f>ROUND(D47*D64,2)</f>
        <v>75</v>
      </c>
      <c r="E65" s="30">
        <f>D65-C65</f>
        <v>6.0000000000002274E-2</v>
      </c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>
        <f>A65+1</f>
        <v>30</v>
      </c>
      <c r="B66" s="2" t="s">
        <v>616</v>
      </c>
      <c r="C66" s="2"/>
      <c r="D66" s="2"/>
      <c r="E66" s="30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 t="str">
        <f>+"IF ("&amp;FIXED(A51,0)&amp;")=ZERO, THEN ("&amp;FIXED(A66,0)&amp;")=("&amp;FIXED(A46,0)&amp;")"</f>
        <v>IF (7)=ZERO, THEN (30)=(23)</v>
      </c>
      <c r="C67" s="30"/>
      <c r="D67" s="30"/>
      <c r="E67" s="30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 t="str">
        <f>+"IF ("&amp;FIXED(A61,0)&amp;")=ZERO, THEN ("&amp;FIXED(A66,0)&amp;")=ZERO"</f>
        <v>IF (27)=ZERO, THEN (30)=ZERO</v>
      </c>
      <c r="C68" s="30"/>
      <c r="D68" s="30"/>
      <c r="E68" s="30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 t="str">
        <f>+"ELSE ("&amp;FIXED(A66,0)&amp;")=("&amp;FIXED(A46,0)&amp;")+("&amp;FIXED(A65,0)&amp;")"</f>
        <v>ELSE (30)=(23)+(29)</v>
      </c>
      <c r="C69" s="30">
        <f>IF(C51=0,C46,IF(C63=0,0,C46+C65))</f>
        <v>87.94</v>
      </c>
      <c r="D69" s="30">
        <f>IF(D51=0,D46,IF(D63=0,0,D46+D65))</f>
        <v>13</v>
      </c>
      <c r="E69" s="30">
        <f>D69-C69</f>
        <v>-74.94</v>
      </c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>
        <f>A66+1</f>
        <v>31</v>
      </c>
      <c r="B70" s="2" t="str">
        <f>+"INITIAL EQUITY REVENUE = ("&amp;FIXED(A44,0)&amp;") X ("&amp;FIXED(A66,0)&amp;") ="</f>
        <v>INITIAL EQUITY REVENUE = (21) X (30) =</v>
      </c>
      <c r="C70" s="30">
        <f>ROUND(C44*C69,2)</f>
        <v>36005.269999999997</v>
      </c>
      <c r="D70" s="30">
        <f>ROUND(D44*D69,2)</f>
        <v>5322.59</v>
      </c>
      <c r="E70" s="30">
        <f>D70-C70</f>
        <v>-30682.679999999997</v>
      </c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D71" s="2"/>
      <c r="E71" s="30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>
        <f>A70+1</f>
        <v>32</v>
      </c>
      <c r="B72" s="2" t="str">
        <f>"= .10 X ("&amp;FIXED(A45,0)&amp;") ="</f>
        <v>= .10 X (22) =</v>
      </c>
      <c r="C72" s="2">
        <f>ROUND(0.1*C45,2)</f>
        <v>93.18</v>
      </c>
      <c r="D72" s="2">
        <f>ROUND(0.1*D45,2)</f>
        <v>93.18</v>
      </c>
      <c r="E72" s="30">
        <f>D72-C72</f>
        <v>0</v>
      </c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>
        <f>A72+1</f>
        <v>33</v>
      </c>
      <c r="B73" s="2" t="str">
        <f>+"DISTRICT'S REFERENDUM REVENUE/RMCPU = ("&amp;FIXED(A51,0)&amp;")/("&amp;FIXED(A52,0)&amp;") ="</f>
        <v>DISTRICT'S REFERENDUM REVENUE/RMCPU = (7)/(2) =</v>
      </c>
      <c r="C73" s="30">
        <f>IF(C52=0,0,ROUND(C51/C52,2))</f>
        <v>1.01</v>
      </c>
      <c r="D73" s="30">
        <f>IF(D52=0,0,ROUND(D51/D52,2))</f>
        <v>0</v>
      </c>
      <c r="E73" s="30">
        <f>D73-C73</f>
        <v>-1.01</v>
      </c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>
        <f>A73+1</f>
        <v>34</v>
      </c>
      <c r="B74" s="2" t="str">
        <f>+"= GREATER OF ZERO OR [("&amp;FIXED(A72,0)&amp;")-("&amp;FIXED(A73,0)&amp;")] ="</f>
        <v>= GREATER OF ZERO OR [(32)-(33)] =</v>
      </c>
      <c r="C74" s="30">
        <f>MAX(0,C72-C73)</f>
        <v>92.17</v>
      </c>
      <c r="D74" s="30">
        <f>MAX(0,D72-D73)</f>
        <v>93.18</v>
      </c>
      <c r="E74" s="30">
        <f>D74-C74</f>
        <v>1.0100000000000051</v>
      </c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>
        <f>A74+1</f>
        <v>35</v>
      </c>
      <c r="B75" s="2" t="s">
        <v>617</v>
      </c>
      <c r="C75" s="30"/>
      <c r="D75" s="30"/>
      <c r="E75" s="30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8" t="s">
        <v>618</v>
      </c>
      <c r="C76" s="30"/>
      <c r="D76" s="30"/>
      <c r="E76" s="30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 t="str">
        <f>+"OR ("&amp;FIXED(A52,0)&amp;") X ("&amp;FIXED(A74,0)&amp;") ="</f>
        <v>OR (2) X (34) =</v>
      </c>
      <c r="C77" s="30">
        <f>MIN(100000,ROUND(C52*C74,2))</f>
        <v>50536.81</v>
      </c>
      <c r="D77" s="30">
        <f>MIN(100000,ROUND(D52*D74,2))</f>
        <v>51090.59</v>
      </c>
      <c r="E77" s="30">
        <f>D77-C77</f>
        <v>553.77999999999884</v>
      </c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30"/>
      <c r="D78" s="30"/>
      <c r="E78" s="30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>
        <f>A75+1</f>
        <v>36</v>
      </c>
      <c r="B79" s="2" t="s">
        <v>619</v>
      </c>
      <c r="C79" s="30">
        <v>0</v>
      </c>
      <c r="D79" s="30">
        <v>0</v>
      </c>
      <c r="E79" s="30">
        <f>D79-C79</f>
        <v>0</v>
      </c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D80" s="2"/>
      <c r="E80" s="30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>
        <f>A79+1</f>
        <v>37</v>
      </c>
      <c r="B81" s="2" t="str">
        <f>+"ADDITIONAL REVENUE = ("&amp;FIXED(A44,0)&amp;") X ("&amp;FIXED(A49,0)&amp;") ="</f>
        <v>ADDITIONAL REVENUE = (21) X (26) =</v>
      </c>
      <c r="C81" s="30">
        <f>ROUND(C44*C49,2)</f>
        <v>18833.78</v>
      </c>
      <c r="D81" s="30">
        <f>ROUND(D44*D49,2)</f>
        <v>18833.78</v>
      </c>
      <c r="E81" s="30">
        <f>D81-C81</f>
        <v>0</v>
      </c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/>
      <c r="B82" s="2"/>
      <c r="C82" s="30"/>
      <c r="D82" s="30"/>
      <c r="E82" s="30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>
        <f>A81+1</f>
        <v>38</v>
      </c>
      <c r="B83" s="2" t="str">
        <f>+"TOTAL EQUITY REVENUE = ("&amp;FIXED(A70,0)&amp;")+("&amp;FIXED(A75,0)&amp;")+("&amp;FIXED(A79,0)&amp;")+("&amp;FIXED(A81,0)&amp;") ="</f>
        <v>TOTAL EQUITY REVENUE = (31)+(35)+(36)+(37) =</v>
      </c>
      <c r="C83" s="30">
        <f>C70+C77+C79+C81</f>
        <v>105375.85999999999</v>
      </c>
      <c r="D83" s="30">
        <f>D70+D77+D79+D81</f>
        <v>75246.959999999992</v>
      </c>
      <c r="E83" s="30">
        <f>D83-C83</f>
        <v>-30128.899999999994</v>
      </c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/>
      <c r="B84" s="2"/>
      <c r="C84" s="30"/>
      <c r="D84" s="30"/>
      <c r="E84" s="30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>
        <f>A83+1</f>
        <v>39</v>
      </c>
      <c r="B85" s="2" t="str">
        <f>+"EQUITY LEVY = ("&amp;FIXED(A29,0)&amp;") X ("&amp;FIXED(A83,0)&amp;") ="</f>
        <v>EQUITY LEVY = (13) X (38) =</v>
      </c>
      <c r="C85" s="30">
        <f>+ROUND(C29*C83,2)</f>
        <v>105375.86</v>
      </c>
      <c r="D85" s="30">
        <f>+ROUND(D29*D83,2)</f>
        <v>75246.960000000006</v>
      </c>
      <c r="E85" s="30">
        <f>D85-C85</f>
        <v>-30128.899999999994</v>
      </c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>
        <f>A85+1</f>
        <v>40</v>
      </c>
      <c r="B86" s="2" t="str">
        <f>+"EQUITY AID = ("&amp;FIXED(A83,0)&amp;")-("&amp;FIXED(A85,0)&amp;") ="</f>
        <v>EQUITY AID = (38)-(39) =</v>
      </c>
      <c r="C86" s="30">
        <f>C83-C85</f>
        <v>0</v>
      </c>
      <c r="D86" s="30">
        <f>D83-D85</f>
        <v>0</v>
      </c>
      <c r="E86" s="30">
        <f>D86-C86</f>
        <v>0</v>
      </c>
      <c r="F86" s="2"/>
      <c r="G86" s="2"/>
      <c r="H86" s="2"/>
      <c r="I86" s="2"/>
      <c r="J86" s="2"/>
      <c r="K86" s="2"/>
      <c r="L86" s="2"/>
      <c r="M86" s="2"/>
      <c r="N86" s="2"/>
    </row>
  </sheetData>
  <printOptions gridLines="1"/>
  <pageMargins left="1.25" right="0.7" top="0.5" bottom="0.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61"/>
  <sheetViews>
    <sheetView topLeftCell="A124" workbookViewId="0">
      <selection activeCell="D1" sqref="D1"/>
    </sheetView>
  </sheetViews>
  <sheetFormatPr defaultRowHeight="15" x14ac:dyDescent="0.25"/>
  <cols>
    <col min="1" max="1" width="5.7109375" customWidth="1"/>
    <col min="2" max="2" width="3.42578125" customWidth="1"/>
    <col min="3" max="3" width="24.7109375" customWidth="1"/>
    <col min="4" max="7" width="12.7109375" customWidth="1"/>
  </cols>
  <sheetData>
    <row r="4" spans="1:7" x14ac:dyDescent="0.25">
      <c r="D4" s="26" t="s">
        <v>523</v>
      </c>
      <c r="E4" s="26" t="s">
        <v>523</v>
      </c>
      <c r="F4" s="26" t="s">
        <v>524</v>
      </c>
      <c r="G4" s="26" t="s">
        <v>524</v>
      </c>
    </row>
    <row r="5" spans="1:7" x14ac:dyDescent="0.25">
      <c r="D5" s="26" t="s">
        <v>620</v>
      </c>
      <c r="E5" s="26" t="s">
        <v>621</v>
      </c>
      <c r="F5" s="26" t="s">
        <v>620</v>
      </c>
      <c r="G5" s="26" t="s">
        <v>621</v>
      </c>
    </row>
    <row r="6" spans="1:7" x14ac:dyDescent="0.25">
      <c r="D6" s="25"/>
      <c r="E6" s="25"/>
      <c r="F6" s="25"/>
      <c r="G6" s="25"/>
    </row>
    <row r="7" spans="1:7" x14ac:dyDescent="0.25">
      <c r="D7" s="25">
        <f>SUM(D9:D157)</f>
        <v>92975364.239999995</v>
      </c>
      <c r="E7" s="25">
        <f>SUM(E9:E157)</f>
        <v>28838078.249999996</v>
      </c>
      <c r="F7" s="25">
        <f>SUM(F9:F157)</f>
        <v>93284500.980000019</v>
      </c>
      <c r="G7" s="25">
        <f>SUM(G9:G157)</f>
        <v>28942606.689999998</v>
      </c>
    </row>
    <row r="8" spans="1:7" x14ac:dyDescent="0.25">
      <c r="D8" s="25"/>
      <c r="E8" s="25"/>
      <c r="F8" s="25"/>
      <c r="G8" s="25"/>
    </row>
    <row r="9" spans="1:7" x14ac:dyDescent="0.25">
      <c r="A9" s="10">
        <v>1.2</v>
      </c>
      <c r="B9" s="10">
        <v>3</v>
      </c>
      <c r="C9" s="11" t="s">
        <v>6</v>
      </c>
      <c r="D9" s="25">
        <v>17947579.199999999</v>
      </c>
      <c r="E9" s="25">
        <v>6300348.120000001</v>
      </c>
      <c r="F9" s="25">
        <v>17947579.199999999</v>
      </c>
      <c r="G9" s="25">
        <v>6300348.120000001</v>
      </c>
    </row>
    <row r="10" spans="1:7" x14ac:dyDescent="0.25">
      <c r="A10" s="10">
        <v>6</v>
      </c>
      <c r="B10" s="10">
        <v>3</v>
      </c>
      <c r="C10" s="11" t="s">
        <v>9</v>
      </c>
      <c r="D10" s="25">
        <v>489269.91</v>
      </c>
      <c r="E10" s="25">
        <v>146780.97000000003</v>
      </c>
      <c r="F10" s="25">
        <v>481741.47</v>
      </c>
      <c r="G10" s="25">
        <v>144522.44</v>
      </c>
    </row>
    <row r="11" spans="1:7" x14ac:dyDescent="0.25">
      <c r="A11" s="10">
        <v>11</v>
      </c>
      <c r="B11" s="10">
        <v>1</v>
      </c>
      <c r="C11" s="11" t="s">
        <v>10</v>
      </c>
      <c r="D11" s="25">
        <v>5650825.6500000004</v>
      </c>
      <c r="E11" s="25">
        <v>1695247.7000000002</v>
      </c>
      <c r="F11" s="25">
        <v>5574613.7400000002</v>
      </c>
      <c r="G11" s="25">
        <v>1672384.12</v>
      </c>
    </row>
    <row r="12" spans="1:7" x14ac:dyDescent="0.25">
      <c r="A12" s="10">
        <v>13</v>
      </c>
      <c r="B12" s="10">
        <v>1</v>
      </c>
      <c r="C12" s="11" t="s">
        <v>12</v>
      </c>
      <c r="D12" s="25">
        <v>407534.22</v>
      </c>
      <c r="E12" s="25">
        <v>122260.27000000002</v>
      </c>
      <c r="F12" s="25">
        <v>402458.07</v>
      </c>
      <c r="G12" s="25">
        <v>120737.41999999998</v>
      </c>
    </row>
    <row r="13" spans="1:7" x14ac:dyDescent="0.25">
      <c r="A13" s="10">
        <v>14</v>
      </c>
      <c r="B13" s="10">
        <v>1</v>
      </c>
      <c r="C13" s="11" t="s">
        <v>13</v>
      </c>
      <c r="D13" s="25">
        <v>432279</v>
      </c>
      <c r="E13" s="25">
        <v>129683.70000000001</v>
      </c>
      <c r="F13" s="25">
        <v>444279</v>
      </c>
      <c r="G13" s="25">
        <v>133283.70000000001</v>
      </c>
    </row>
    <row r="14" spans="1:7" x14ac:dyDescent="0.25">
      <c r="A14" s="10">
        <v>16</v>
      </c>
      <c r="B14" s="10">
        <v>1</v>
      </c>
      <c r="C14" s="11" t="s">
        <v>15</v>
      </c>
      <c r="D14" s="25">
        <v>497335.44</v>
      </c>
      <c r="E14" s="25">
        <v>149200.63</v>
      </c>
      <c r="F14" s="25">
        <v>502193.04</v>
      </c>
      <c r="G14" s="25">
        <v>150657.90999999997</v>
      </c>
    </row>
    <row r="15" spans="1:7" x14ac:dyDescent="0.25">
      <c r="A15" s="10">
        <v>22</v>
      </c>
      <c r="B15" s="10">
        <v>1</v>
      </c>
      <c r="C15" s="11" t="s">
        <v>16</v>
      </c>
      <c r="D15" s="25">
        <v>269560</v>
      </c>
      <c r="E15" s="25">
        <v>80868</v>
      </c>
      <c r="F15" s="25">
        <v>269560</v>
      </c>
      <c r="G15" s="25">
        <v>80868</v>
      </c>
    </row>
    <row r="16" spans="1:7" x14ac:dyDescent="0.25">
      <c r="A16" s="10">
        <v>23</v>
      </c>
      <c r="B16" s="10">
        <v>1</v>
      </c>
      <c r="C16" s="11" t="s">
        <v>17</v>
      </c>
      <c r="D16" s="25">
        <v>92956.800000000003</v>
      </c>
      <c r="E16" s="25">
        <v>27887.040000000001</v>
      </c>
      <c r="F16" s="25">
        <v>93630.24</v>
      </c>
      <c r="G16" s="25">
        <v>28089.069999999992</v>
      </c>
    </row>
    <row r="17" spans="1:7" x14ac:dyDescent="0.25">
      <c r="A17" s="10">
        <v>47</v>
      </c>
      <c r="B17" s="10">
        <v>1</v>
      </c>
      <c r="C17" s="11" t="s">
        <v>23</v>
      </c>
      <c r="D17" s="25">
        <v>368000</v>
      </c>
      <c r="E17" s="25">
        <v>110400</v>
      </c>
      <c r="F17" s="25">
        <v>368000</v>
      </c>
      <c r="G17" s="25">
        <v>110400</v>
      </c>
    </row>
    <row r="18" spans="1:7" x14ac:dyDescent="0.25">
      <c r="A18" s="10">
        <v>51</v>
      </c>
      <c r="B18" s="10">
        <v>1</v>
      </c>
      <c r="C18" s="11" t="s">
        <v>24</v>
      </c>
      <c r="D18" s="25">
        <v>176500</v>
      </c>
      <c r="E18" s="25">
        <v>52950</v>
      </c>
      <c r="F18" s="25">
        <v>176500</v>
      </c>
      <c r="G18" s="25">
        <v>52950</v>
      </c>
    </row>
    <row r="19" spans="1:7" x14ac:dyDescent="0.25">
      <c r="A19" s="10">
        <v>81</v>
      </c>
      <c r="B19" s="10">
        <v>1</v>
      </c>
      <c r="C19" s="11" t="s">
        <v>27</v>
      </c>
      <c r="D19" s="25">
        <v>15000</v>
      </c>
      <c r="E19" s="25">
        <v>4500</v>
      </c>
      <c r="F19" s="25">
        <v>15000</v>
      </c>
      <c r="G19" s="25">
        <v>4500</v>
      </c>
    </row>
    <row r="20" spans="1:7" x14ac:dyDescent="0.25">
      <c r="A20" s="10">
        <v>84</v>
      </c>
      <c r="B20" s="10">
        <v>1</v>
      </c>
      <c r="C20" s="11" t="s">
        <v>28</v>
      </c>
      <c r="D20" s="25">
        <v>81535.740000000005</v>
      </c>
      <c r="E20" s="25">
        <v>24460.720000000001</v>
      </c>
      <c r="F20" s="25">
        <v>78759.66</v>
      </c>
      <c r="G20" s="25">
        <v>23627.9</v>
      </c>
    </row>
    <row r="21" spans="1:7" x14ac:dyDescent="0.25">
      <c r="A21" s="10">
        <v>85</v>
      </c>
      <c r="B21" s="10">
        <v>1</v>
      </c>
      <c r="C21" s="11" t="s">
        <v>29</v>
      </c>
      <c r="D21" s="25">
        <v>56750</v>
      </c>
      <c r="E21" s="25">
        <v>17025</v>
      </c>
      <c r="F21" s="25">
        <v>56750</v>
      </c>
      <c r="G21" s="25">
        <v>17025</v>
      </c>
    </row>
    <row r="22" spans="1:7" x14ac:dyDescent="0.25">
      <c r="A22" s="10">
        <v>88</v>
      </c>
      <c r="B22" s="10">
        <v>1</v>
      </c>
      <c r="C22" s="11" t="s">
        <v>30</v>
      </c>
      <c r="D22" s="25">
        <v>214096.88</v>
      </c>
      <c r="E22" s="25">
        <v>64229.06</v>
      </c>
      <c r="F22" s="25">
        <v>214026.04</v>
      </c>
      <c r="G22" s="25">
        <v>64207.81</v>
      </c>
    </row>
    <row r="23" spans="1:7" x14ac:dyDescent="0.25">
      <c r="A23">
        <v>93</v>
      </c>
      <c r="B23">
        <v>1</v>
      </c>
      <c r="C23" t="s">
        <v>563</v>
      </c>
      <c r="D23" s="25">
        <v>3000</v>
      </c>
      <c r="E23" s="25">
        <v>900</v>
      </c>
      <c r="F23" s="25">
        <v>48425.120000000003</v>
      </c>
      <c r="G23" s="25">
        <v>14527.54</v>
      </c>
    </row>
    <row r="24" spans="1:7" x14ac:dyDescent="0.25">
      <c r="A24">
        <v>94</v>
      </c>
      <c r="B24">
        <v>1</v>
      </c>
      <c r="C24" t="s">
        <v>564</v>
      </c>
      <c r="D24" s="25">
        <v>10000</v>
      </c>
      <c r="E24" s="25">
        <v>3000</v>
      </c>
      <c r="F24" s="25">
        <v>250000</v>
      </c>
      <c r="G24" s="25">
        <v>75000</v>
      </c>
    </row>
    <row r="25" spans="1:7" x14ac:dyDescent="0.25">
      <c r="A25">
        <v>95</v>
      </c>
      <c r="B25">
        <v>1</v>
      </c>
      <c r="C25" t="s">
        <v>565</v>
      </c>
      <c r="D25" s="25">
        <v>0</v>
      </c>
      <c r="E25" s="25">
        <v>0</v>
      </c>
      <c r="F25" s="25">
        <v>26500.6</v>
      </c>
      <c r="G25" s="25">
        <v>7950.18</v>
      </c>
    </row>
    <row r="26" spans="1:7" x14ac:dyDescent="0.25">
      <c r="A26">
        <v>99</v>
      </c>
      <c r="B26">
        <v>1</v>
      </c>
      <c r="C26" t="s">
        <v>566</v>
      </c>
      <c r="D26" s="25">
        <v>0</v>
      </c>
      <c r="E26" s="25">
        <v>0</v>
      </c>
      <c r="F26" s="25">
        <v>128705.24</v>
      </c>
      <c r="G26" s="25">
        <v>38611.569999999992</v>
      </c>
    </row>
    <row r="27" spans="1:7" x14ac:dyDescent="0.25">
      <c r="A27" s="10">
        <v>129</v>
      </c>
      <c r="B27" s="10">
        <v>1</v>
      </c>
      <c r="C27" s="11" t="s">
        <v>46</v>
      </c>
      <c r="D27" s="25">
        <v>157731.24</v>
      </c>
      <c r="E27" s="25">
        <v>47319.369999999995</v>
      </c>
      <c r="F27" s="25">
        <v>159854.6</v>
      </c>
      <c r="G27" s="25">
        <v>47956.380000000005</v>
      </c>
    </row>
    <row r="28" spans="1:7" x14ac:dyDescent="0.25">
      <c r="A28" s="10">
        <v>146</v>
      </c>
      <c r="B28" s="10">
        <v>1</v>
      </c>
      <c r="C28" s="11" t="s">
        <v>49</v>
      </c>
      <c r="D28" s="25">
        <v>47198</v>
      </c>
      <c r="E28" s="25">
        <v>14159.400000000001</v>
      </c>
      <c r="F28" s="25">
        <v>47198</v>
      </c>
      <c r="G28" s="25">
        <v>14159.400000000001</v>
      </c>
    </row>
    <row r="29" spans="1:7" x14ac:dyDescent="0.25">
      <c r="A29" s="10">
        <v>150</v>
      </c>
      <c r="B29" s="10">
        <v>1</v>
      </c>
      <c r="C29" s="11" t="s">
        <v>50</v>
      </c>
      <c r="D29" s="25">
        <v>55256.75</v>
      </c>
      <c r="E29" s="25">
        <v>16577.03</v>
      </c>
      <c r="F29" s="25">
        <v>55257</v>
      </c>
      <c r="G29" s="25">
        <v>16577.099999999999</v>
      </c>
    </row>
    <row r="30" spans="1:7" x14ac:dyDescent="0.25">
      <c r="A30" s="10">
        <v>173</v>
      </c>
      <c r="B30" s="10">
        <v>1</v>
      </c>
      <c r="C30" s="11" t="s">
        <v>54</v>
      </c>
      <c r="D30" s="25">
        <v>70000</v>
      </c>
      <c r="E30" s="25">
        <v>21000</v>
      </c>
      <c r="F30" s="25">
        <v>69689.67</v>
      </c>
      <c r="G30" s="25">
        <v>20906.900000000001</v>
      </c>
    </row>
    <row r="31" spans="1:7" x14ac:dyDescent="0.25">
      <c r="A31" s="10">
        <v>177</v>
      </c>
      <c r="B31" s="10">
        <v>1</v>
      </c>
      <c r="C31" s="11" t="s">
        <v>55</v>
      </c>
      <c r="D31" s="25">
        <v>99600</v>
      </c>
      <c r="E31" s="25">
        <v>29880</v>
      </c>
      <c r="F31" s="25">
        <v>99600</v>
      </c>
      <c r="G31" s="25">
        <v>29880</v>
      </c>
    </row>
    <row r="32" spans="1:7" x14ac:dyDescent="0.25">
      <c r="A32" s="10">
        <v>191</v>
      </c>
      <c r="B32" s="10">
        <v>1</v>
      </c>
      <c r="C32" s="11" t="s">
        <v>59</v>
      </c>
      <c r="D32" s="25">
        <v>1409791.98</v>
      </c>
      <c r="E32" s="25">
        <v>422937.59000000008</v>
      </c>
      <c r="F32" s="25">
        <v>1387187.31</v>
      </c>
      <c r="G32" s="25">
        <v>416156.18999999994</v>
      </c>
    </row>
    <row r="33" spans="1:7" x14ac:dyDescent="0.25">
      <c r="A33" s="10">
        <v>194</v>
      </c>
      <c r="B33" s="10">
        <v>1</v>
      </c>
      <c r="C33" s="11" t="s">
        <v>61</v>
      </c>
      <c r="D33" s="25">
        <v>1182240</v>
      </c>
      <c r="E33" s="25">
        <v>354672</v>
      </c>
      <c r="F33" s="25">
        <v>1171345.8400000001</v>
      </c>
      <c r="G33" s="25">
        <v>351403.75</v>
      </c>
    </row>
    <row r="34" spans="1:7" x14ac:dyDescent="0.25">
      <c r="A34" s="10">
        <v>196</v>
      </c>
      <c r="B34" s="10">
        <v>1</v>
      </c>
      <c r="C34" s="11" t="s">
        <v>63</v>
      </c>
      <c r="D34" s="25">
        <v>4040089.08</v>
      </c>
      <c r="E34" s="25">
        <v>1212026.7199999997</v>
      </c>
      <c r="F34" s="25">
        <v>4029267.27</v>
      </c>
      <c r="G34" s="25">
        <v>1208780.1800000002</v>
      </c>
    </row>
    <row r="35" spans="1:7" x14ac:dyDescent="0.25">
      <c r="A35" s="10">
        <v>197</v>
      </c>
      <c r="B35" s="10">
        <v>1</v>
      </c>
      <c r="C35" s="11" t="s">
        <v>64</v>
      </c>
      <c r="D35" s="25">
        <v>636985.23</v>
      </c>
      <c r="E35" s="25">
        <v>191095.57</v>
      </c>
      <c r="F35" s="25">
        <v>618224.76</v>
      </c>
      <c r="G35" s="25">
        <v>185467.43</v>
      </c>
    </row>
    <row r="36" spans="1:7" x14ac:dyDescent="0.25">
      <c r="A36" s="10">
        <v>199</v>
      </c>
      <c r="B36" s="10">
        <v>1</v>
      </c>
      <c r="C36" s="11" t="s">
        <v>65</v>
      </c>
      <c r="D36" s="25">
        <v>388565</v>
      </c>
      <c r="E36" s="25">
        <v>116569.5</v>
      </c>
      <c r="F36" s="25">
        <v>394717.72</v>
      </c>
      <c r="G36" s="25">
        <v>118415.32</v>
      </c>
    </row>
    <row r="37" spans="1:7" x14ac:dyDescent="0.25">
      <c r="A37" s="10">
        <v>203</v>
      </c>
      <c r="B37" s="10">
        <v>1</v>
      </c>
      <c r="C37" s="11" t="s">
        <v>67</v>
      </c>
      <c r="D37" s="25">
        <v>39997</v>
      </c>
      <c r="E37" s="25">
        <v>11999.099999999999</v>
      </c>
      <c r="F37" s="25">
        <v>25000</v>
      </c>
      <c r="G37" s="25">
        <v>7500</v>
      </c>
    </row>
    <row r="38" spans="1:7" x14ac:dyDescent="0.25">
      <c r="A38" s="10">
        <v>213</v>
      </c>
      <c r="B38" s="10">
        <v>1</v>
      </c>
      <c r="C38" s="11" t="s">
        <v>72</v>
      </c>
      <c r="D38" s="25">
        <v>84010</v>
      </c>
      <c r="E38" s="25">
        <v>25203</v>
      </c>
      <c r="F38" s="25">
        <v>83107</v>
      </c>
      <c r="G38" s="25">
        <v>24932.1</v>
      </c>
    </row>
    <row r="39" spans="1:7" x14ac:dyDescent="0.25">
      <c r="A39" s="10">
        <v>227</v>
      </c>
      <c r="B39" s="10">
        <v>1</v>
      </c>
      <c r="C39" s="11" t="s">
        <v>73</v>
      </c>
      <c r="D39" s="25">
        <v>18700</v>
      </c>
      <c r="E39" s="25">
        <v>5610</v>
      </c>
      <c r="F39" s="25">
        <v>18700</v>
      </c>
      <c r="G39" s="25">
        <v>5610</v>
      </c>
    </row>
    <row r="40" spans="1:7" x14ac:dyDescent="0.25">
      <c r="A40" s="10">
        <v>241</v>
      </c>
      <c r="B40" s="10">
        <v>1</v>
      </c>
      <c r="C40" s="11" t="s">
        <v>77</v>
      </c>
      <c r="D40" s="25">
        <v>332439</v>
      </c>
      <c r="E40" s="25">
        <v>99731.700000000012</v>
      </c>
      <c r="F40" s="25">
        <v>332439</v>
      </c>
      <c r="G40" s="25">
        <v>99731.700000000012</v>
      </c>
    </row>
    <row r="41" spans="1:7" x14ac:dyDescent="0.25">
      <c r="A41" s="10">
        <v>255</v>
      </c>
      <c r="B41" s="10">
        <v>1</v>
      </c>
      <c r="C41" s="11" t="s">
        <v>81</v>
      </c>
      <c r="D41" s="25">
        <v>0</v>
      </c>
      <c r="E41" s="25">
        <v>0</v>
      </c>
      <c r="F41" s="25">
        <v>0</v>
      </c>
      <c r="G41" s="25">
        <v>0</v>
      </c>
    </row>
    <row r="42" spans="1:7" x14ac:dyDescent="0.25">
      <c r="A42" s="10">
        <v>270</v>
      </c>
      <c r="B42" s="10">
        <v>1</v>
      </c>
      <c r="C42" s="11" t="s">
        <v>85</v>
      </c>
      <c r="D42" s="25">
        <v>1066178.55</v>
      </c>
      <c r="E42" s="25">
        <v>319853.57000000007</v>
      </c>
      <c r="F42" s="25">
        <v>1047243.93</v>
      </c>
      <c r="G42" s="25">
        <v>314173.18000000005</v>
      </c>
    </row>
    <row r="43" spans="1:7" x14ac:dyDescent="0.25">
      <c r="A43" s="10">
        <v>271</v>
      </c>
      <c r="B43" s="10">
        <v>1</v>
      </c>
      <c r="C43" s="11" t="s">
        <v>86</v>
      </c>
      <c r="D43" s="25">
        <v>1474830</v>
      </c>
      <c r="E43" s="25">
        <v>442449</v>
      </c>
      <c r="F43" s="25">
        <v>1490763.99</v>
      </c>
      <c r="G43" s="25">
        <v>447229.19999999995</v>
      </c>
    </row>
    <row r="44" spans="1:7" x14ac:dyDescent="0.25">
      <c r="A44" s="10">
        <v>272</v>
      </c>
      <c r="B44" s="10">
        <v>1</v>
      </c>
      <c r="C44" s="11" t="s">
        <v>87</v>
      </c>
      <c r="D44" s="25">
        <v>1033115.84</v>
      </c>
      <c r="E44" s="25">
        <v>309934.75</v>
      </c>
      <c r="F44" s="25">
        <v>1000000</v>
      </c>
      <c r="G44" s="25">
        <v>300000</v>
      </c>
    </row>
    <row r="45" spans="1:7" x14ac:dyDescent="0.25">
      <c r="A45" s="10">
        <v>273</v>
      </c>
      <c r="B45" s="10">
        <v>1</v>
      </c>
      <c r="C45" s="11" t="s">
        <v>88</v>
      </c>
      <c r="D45" s="25">
        <v>885296</v>
      </c>
      <c r="E45" s="25">
        <v>265588.80000000005</v>
      </c>
      <c r="F45" s="25">
        <v>903000</v>
      </c>
      <c r="G45" s="25">
        <v>270900</v>
      </c>
    </row>
    <row r="46" spans="1:7" x14ac:dyDescent="0.25">
      <c r="A46" s="10">
        <v>276</v>
      </c>
      <c r="B46" s="10">
        <v>1</v>
      </c>
      <c r="C46" s="11" t="s">
        <v>89</v>
      </c>
      <c r="D46" s="25">
        <v>454490</v>
      </c>
      <c r="E46" s="25">
        <v>136347</v>
      </c>
      <c r="F46" s="25">
        <v>454930</v>
      </c>
      <c r="G46" s="25">
        <v>136479</v>
      </c>
    </row>
    <row r="47" spans="1:7" x14ac:dyDescent="0.25">
      <c r="A47" s="10">
        <v>279</v>
      </c>
      <c r="B47" s="10">
        <v>1</v>
      </c>
      <c r="C47" s="11" t="s">
        <v>92</v>
      </c>
      <c r="D47" s="25">
        <v>3061421.55</v>
      </c>
      <c r="E47" s="25">
        <v>918426.46999999974</v>
      </c>
      <c r="F47" s="25">
        <v>3041552.97</v>
      </c>
      <c r="G47" s="25">
        <v>912465.89000000013</v>
      </c>
    </row>
    <row r="48" spans="1:7" x14ac:dyDescent="0.25">
      <c r="A48" s="10">
        <v>280</v>
      </c>
      <c r="B48" s="10">
        <v>1</v>
      </c>
      <c r="C48" s="11" t="s">
        <v>93</v>
      </c>
      <c r="D48" s="25">
        <v>596360</v>
      </c>
      <c r="E48" s="25">
        <v>178908</v>
      </c>
      <c r="F48" s="25">
        <v>596360</v>
      </c>
      <c r="G48" s="25">
        <v>178908</v>
      </c>
    </row>
    <row r="49" spans="1:7" x14ac:dyDescent="0.25">
      <c r="A49" s="10">
        <v>281</v>
      </c>
      <c r="B49" s="10">
        <v>1</v>
      </c>
      <c r="C49" s="11" t="s">
        <v>94</v>
      </c>
      <c r="D49" s="25">
        <v>1762421.22</v>
      </c>
      <c r="E49" s="25">
        <v>528726.36999999988</v>
      </c>
      <c r="F49" s="25">
        <v>1752276.66</v>
      </c>
      <c r="G49" s="25">
        <v>525683</v>
      </c>
    </row>
    <row r="50" spans="1:7" x14ac:dyDescent="0.25">
      <c r="A50" s="10">
        <v>282</v>
      </c>
      <c r="B50" s="10">
        <v>1</v>
      </c>
      <c r="C50" s="11" t="s">
        <v>95</v>
      </c>
      <c r="D50" s="25">
        <v>219621</v>
      </c>
      <c r="E50" s="25">
        <v>65886.299999999988</v>
      </c>
      <c r="F50" s="25">
        <v>190464</v>
      </c>
      <c r="G50" s="25">
        <v>57139.200000000012</v>
      </c>
    </row>
    <row r="51" spans="1:7" x14ac:dyDescent="0.25">
      <c r="A51" s="10">
        <v>283</v>
      </c>
      <c r="B51" s="10">
        <v>1</v>
      </c>
      <c r="C51" s="11" t="s">
        <v>96</v>
      </c>
      <c r="D51" s="25">
        <v>647483.25</v>
      </c>
      <c r="E51" s="25">
        <v>194244.97999999998</v>
      </c>
      <c r="F51" s="25">
        <v>645447.63</v>
      </c>
      <c r="G51" s="25">
        <v>193634.29000000004</v>
      </c>
    </row>
    <row r="52" spans="1:7" x14ac:dyDescent="0.25">
      <c r="A52" s="10">
        <v>284</v>
      </c>
      <c r="B52" s="10">
        <v>1</v>
      </c>
      <c r="C52" s="11" t="s">
        <v>97</v>
      </c>
      <c r="D52" s="25">
        <v>1540000</v>
      </c>
      <c r="E52" s="25">
        <v>462000</v>
      </c>
      <c r="F52" s="25">
        <v>1552286.67</v>
      </c>
      <c r="G52" s="25">
        <v>465686</v>
      </c>
    </row>
    <row r="53" spans="1:7" x14ac:dyDescent="0.25">
      <c r="A53" s="10">
        <v>286</v>
      </c>
      <c r="B53" s="10">
        <v>1</v>
      </c>
      <c r="C53" s="11" t="s">
        <v>98</v>
      </c>
      <c r="D53" s="25">
        <v>319796</v>
      </c>
      <c r="E53" s="25">
        <v>95938.799999999988</v>
      </c>
      <c r="F53" s="25">
        <v>233800</v>
      </c>
      <c r="G53" s="25">
        <v>70140</v>
      </c>
    </row>
    <row r="54" spans="1:7" x14ac:dyDescent="0.25">
      <c r="A54" s="10">
        <v>345</v>
      </c>
      <c r="B54" s="10">
        <v>1</v>
      </c>
      <c r="C54" s="11" t="s">
        <v>115</v>
      </c>
      <c r="D54" s="25">
        <v>151880.95999999999</v>
      </c>
      <c r="E54" s="25">
        <v>45564.290000000008</v>
      </c>
      <c r="F54" s="25">
        <v>146875.24</v>
      </c>
      <c r="G54" s="25">
        <v>44062.570000000007</v>
      </c>
    </row>
    <row r="55" spans="1:7" x14ac:dyDescent="0.25">
      <c r="A55" s="10">
        <v>347</v>
      </c>
      <c r="B55" s="10">
        <v>1</v>
      </c>
      <c r="C55" s="11" t="s">
        <v>116</v>
      </c>
      <c r="D55" s="25">
        <v>593736.68999999994</v>
      </c>
      <c r="E55" s="25">
        <v>178121.01</v>
      </c>
      <c r="F55" s="25">
        <v>599850</v>
      </c>
      <c r="G55" s="25">
        <v>179955</v>
      </c>
    </row>
    <row r="56" spans="1:7" x14ac:dyDescent="0.25">
      <c r="A56" s="10">
        <v>378</v>
      </c>
      <c r="B56" s="10">
        <v>1</v>
      </c>
      <c r="C56" s="11" t="s">
        <v>121</v>
      </c>
      <c r="D56" s="25">
        <v>51980</v>
      </c>
      <c r="E56" s="25">
        <v>15594</v>
      </c>
      <c r="F56" s="25">
        <v>51760.12</v>
      </c>
      <c r="G56" s="25">
        <v>15528.04</v>
      </c>
    </row>
    <row r="57" spans="1:7" x14ac:dyDescent="0.25">
      <c r="A57" s="10">
        <v>391</v>
      </c>
      <c r="B57" s="10">
        <v>1</v>
      </c>
      <c r="C57" s="11" t="s">
        <v>124</v>
      </c>
      <c r="D57" s="25">
        <v>36800</v>
      </c>
      <c r="E57" s="25">
        <v>11040</v>
      </c>
      <c r="F57" s="25">
        <v>23000</v>
      </c>
      <c r="G57" s="25">
        <v>6900</v>
      </c>
    </row>
    <row r="58" spans="1:7" x14ac:dyDescent="0.25">
      <c r="A58" s="10">
        <v>392</v>
      </c>
      <c r="B58" s="10">
        <v>1</v>
      </c>
      <c r="C58" s="11" t="s">
        <v>125</v>
      </c>
      <c r="D58" s="25">
        <v>81625.710000000006</v>
      </c>
      <c r="E58" s="25">
        <v>24487.71</v>
      </c>
      <c r="F58" s="25">
        <v>81625</v>
      </c>
      <c r="G58" s="25">
        <v>24487.5</v>
      </c>
    </row>
    <row r="59" spans="1:7" x14ac:dyDescent="0.25">
      <c r="A59" s="10">
        <v>394</v>
      </c>
      <c r="B59" s="10">
        <v>1</v>
      </c>
      <c r="C59" s="11" t="s">
        <v>126</v>
      </c>
      <c r="D59" s="25">
        <v>0</v>
      </c>
      <c r="E59" s="25">
        <v>0</v>
      </c>
      <c r="F59" s="25">
        <v>0</v>
      </c>
      <c r="G59" s="25">
        <v>0</v>
      </c>
    </row>
    <row r="60" spans="1:7" x14ac:dyDescent="0.25">
      <c r="A60" s="10">
        <v>402</v>
      </c>
      <c r="B60" s="10">
        <v>1</v>
      </c>
      <c r="C60" s="11" t="s">
        <v>127</v>
      </c>
      <c r="D60" s="25">
        <v>13000</v>
      </c>
      <c r="E60" s="25">
        <v>3900</v>
      </c>
      <c r="F60" s="25">
        <v>13883.72</v>
      </c>
      <c r="G60" s="25">
        <v>4165.1200000000008</v>
      </c>
    </row>
    <row r="61" spans="1:7" x14ac:dyDescent="0.25">
      <c r="A61" s="10">
        <v>403</v>
      </c>
      <c r="B61" s="10">
        <v>1</v>
      </c>
      <c r="C61" s="11" t="s">
        <v>128</v>
      </c>
      <c r="D61" s="25">
        <v>16744</v>
      </c>
      <c r="E61" s="25">
        <v>5023.2000000000007</v>
      </c>
      <c r="F61" s="25">
        <v>16005.24</v>
      </c>
      <c r="G61" s="25">
        <v>4801.57</v>
      </c>
    </row>
    <row r="62" spans="1:7" x14ac:dyDescent="0.25">
      <c r="A62" s="10">
        <v>413</v>
      </c>
      <c r="B62" s="10">
        <v>1</v>
      </c>
      <c r="C62" s="11" t="s">
        <v>130</v>
      </c>
      <c r="D62" s="25">
        <v>317761.84000000003</v>
      </c>
      <c r="E62" s="25">
        <v>95328.549999999988</v>
      </c>
      <c r="F62" s="25">
        <v>317762</v>
      </c>
      <c r="G62" s="25">
        <v>95328.6</v>
      </c>
    </row>
    <row r="63" spans="1:7" x14ac:dyDescent="0.25">
      <c r="A63" s="10">
        <v>414</v>
      </c>
      <c r="B63" s="10">
        <v>1</v>
      </c>
      <c r="C63" s="11" t="s">
        <v>131</v>
      </c>
      <c r="D63" s="25">
        <v>47656.92</v>
      </c>
      <c r="E63" s="25">
        <v>14297.080000000002</v>
      </c>
      <c r="F63" s="25">
        <v>48700</v>
      </c>
      <c r="G63" s="25">
        <v>14610</v>
      </c>
    </row>
    <row r="64" spans="1:7" x14ac:dyDescent="0.25">
      <c r="A64" s="10">
        <v>415</v>
      </c>
      <c r="B64" s="10">
        <v>1</v>
      </c>
      <c r="C64" s="11" t="s">
        <v>132</v>
      </c>
      <c r="D64" s="25">
        <v>23610.87</v>
      </c>
      <c r="E64" s="25">
        <v>7083.2599999999984</v>
      </c>
      <c r="F64" s="25">
        <v>23610.87</v>
      </c>
      <c r="G64" s="25">
        <v>7083.2599999999984</v>
      </c>
    </row>
    <row r="65" spans="1:7" x14ac:dyDescent="0.25">
      <c r="A65" s="10">
        <v>458</v>
      </c>
      <c r="B65" s="10">
        <v>1</v>
      </c>
      <c r="C65" s="11" t="s">
        <v>139</v>
      </c>
      <c r="D65" s="25">
        <v>29072.92</v>
      </c>
      <c r="E65" s="25">
        <v>8721.8799999999974</v>
      </c>
      <c r="F65" s="25">
        <v>29458.400000000001</v>
      </c>
      <c r="G65" s="25">
        <v>8837.52</v>
      </c>
    </row>
    <row r="66" spans="1:7" x14ac:dyDescent="0.25">
      <c r="A66" s="2">
        <v>486</v>
      </c>
      <c r="B66" s="2">
        <v>1</v>
      </c>
      <c r="C66" s="2" t="s">
        <v>149</v>
      </c>
      <c r="D66" s="25">
        <v>0</v>
      </c>
      <c r="E66" s="25">
        <v>0</v>
      </c>
      <c r="F66" s="25">
        <v>0</v>
      </c>
      <c r="G66" s="25">
        <v>0</v>
      </c>
    </row>
    <row r="67" spans="1:7" x14ac:dyDescent="0.25">
      <c r="A67" s="2">
        <v>487</v>
      </c>
      <c r="B67" s="2">
        <v>1</v>
      </c>
      <c r="C67" s="2" t="s">
        <v>150</v>
      </c>
      <c r="D67" s="25">
        <v>0</v>
      </c>
      <c r="E67" s="25">
        <v>0</v>
      </c>
      <c r="F67" s="25">
        <v>0</v>
      </c>
      <c r="G67" s="25">
        <v>0</v>
      </c>
    </row>
    <row r="68" spans="1:7" x14ac:dyDescent="0.25">
      <c r="A68" s="2">
        <v>492</v>
      </c>
      <c r="B68" s="2">
        <v>1</v>
      </c>
      <c r="C68" s="2" t="s">
        <v>151</v>
      </c>
      <c r="D68" s="25">
        <v>639421.1</v>
      </c>
      <c r="E68" s="25">
        <v>191826.32999999996</v>
      </c>
      <c r="F68" s="25">
        <v>661932.54</v>
      </c>
      <c r="G68" s="25">
        <v>198579.76</v>
      </c>
    </row>
    <row r="69" spans="1:7" x14ac:dyDescent="0.25">
      <c r="A69" s="2">
        <v>497</v>
      </c>
      <c r="B69" s="2">
        <v>1</v>
      </c>
      <c r="C69" s="2" t="s">
        <v>153</v>
      </c>
      <c r="D69" s="25">
        <v>20240</v>
      </c>
      <c r="E69" s="25">
        <v>6072</v>
      </c>
      <c r="F69" s="25">
        <v>20240</v>
      </c>
      <c r="G69" s="25">
        <v>6072</v>
      </c>
    </row>
    <row r="70" spans="1:7" x14ac:dyDescent="0.25">
      <c r="A70" s="2">
        <v>500</v>
      </c>
      <c r="B70" s="2">
        <v>1</v>
      </c>
      <c r="C70" s="2" t="s">
        <v>155</v>
      </c>
      <c r="D70" s="25">
        <v>43707</v>
      </c>
      <c r="E70" s="25">
        <v>13112.099999999999</v>
      </c>
      <c r="F70" s="25">
        <v>30125</v>
      </c>
      <c r="G70" s="25">
        <v>9037.5</v>
      </c>
    </row>
    <row r="71" spans="1:7" x14ac:dyDescent="0.25">
      <c r="A71" s="2">
        <v>505</v>
      </c>
      <c r="B71" s="2">
        <v>1</v>
      </c>
      <c r="C71" s="2" t="s">
        <v>156</v>
      </c>
      <c r="D71" s="25">
        <v>37257.24</v>
      </c>
      <c r="E71" s="25">
        <v>11177.169999999998</v>
      </c>
      <c r="F71" s="25">
        <v>34538.639999999999</v>
      </c>
      <c r="G71" s="25">
        <v>10361.59</v>
      </c>
    </row>
    <row r="72" spans="1:7" x14ac:dyDescent="0.25">
      <c r="A72" s="2">
        <v>507</v>
      </c>
      <c r="B72" s="2">
        <v>1</v>
      </c>
      <c r="C72" s="2" t="s">
        <v>157</v>
      </c>
      <c r="D72" s="25">
        <v>32766</v>
      </c>
      <c r="E72" s="25">
        <v>9829.7999999999993</v>
      </c>
      <c r="F72" s="25">
        <v>32000</v>
      </c>
      <c r="G72" s="25">
        <v>9600</v>
      </c>
    </row>
    <row r="73" spans="1:7" x14ac:dyDescent="0.25">
      <c r="A73">
        <v>508</v>
      </c>
      <c r="B73">
        <v>1</v>
      </c>
      <c r="C73" t="s">
        <v>567</v>
      </c>
      <c r="D73" s="25">
        <v>0</v>
      </c>
      <c r="E73" s="25">
        <v>0</v>
      </c>
      <c r="F73" s="25">
        <v>0</v>
      </c>
      <c r="G73" s="25">
        <v>0</v>
      </c>
    </row>
    <row r="74" spans="1:7" x14ac:dyDescent="0.25">
      <c r="A74" s="2">
        <v>511</v>
      </c>
      <c r="B74" s="2">
        <v>1</v>
      </c>
      <c r="C74" s="2" t="s">
        <v>159</v>
      </c>
      <c r="D74" s="25">
        <v>58406</v>
      </c>
      <c r="E74" s="25">
        <v>17521.800000000003</v>
      </c>
      <c r="F74" s="25">
        <v>58406</v>
      </c>
      <c r="G74" s="25">
        <v>17521.800000000003</v>
      </c>
    </row>
    <row r="75" spans="1:7" x14ac:dyDescent="0.25">
      <c r="A75" s="2">
        <v>513</v>
      </c>
      <c r="B75" s="2">
        <v>1</v>
      </c>
      <c r="C75" s="2" t="s">
        <v>160</v>
      </c>
      <c r="D75" s="25">
        <v>23880</v>
      </c>
      <c r="E75" s="25">
        <v>7164</v>
      </c>
      <c r="F75" s="25">
        <v>23300</v>
      </c>
      <c r="G75" s="25">
        <v>6990</v>
      </c>
    </row>
    <row r="76" spans="1:7" x14ac:dyDescent="0.25">
      <c r="A76" s="2">
        <v>514</v>
      </c>
      <c r="B76" s="2">
        <v>1</v>
      </c>
      <c r="C76" s="2" t="s">
        <v>161</v>
      </c>
      <c r="D76" s="25">
        <v>18285.919999999998</v>
      </c>
      <c r="E76" s="25">
        <v>5485.7799999999988</v>
      </c>
      <c r="F76" s="25">
        <v>16883.84</v>
      </c>
      <c r="G76" s="25">
        <v>5065.1499999999996</v>
      </c>
    </row>
    <row r="77" spans="1:7" x14ac:dyDescent="0.25">
      <c r="A77" s="2">
        <v>516</v>
      </c>
      <c r="B77" s="2">
        <v>1</v>
      </c>
      <c r="C77" s="2" t="s">
        <v>162</v>
      </c>
      <c r="D77" s="25">
        <v>11614.08</v>
      </c>
      <c r="E77" s="25">
        <v>3484.2199999999993</v>
      </c>
      <c r="F77" s="25">
        <v>11604.88</v>
      </c>
      <c r="G77" s="25">
        <v>3481.46</v>
      </c>
    </row>
    <row r="78" spans="1:7" x14ac:dyDescent="0.25">
      <c r="A78" s="2">
        <v>518</v>
      </c>
      <c r="B78" s="2">
        <v>1</v>
      </c>
      <c r="C78" s="2" t="s">
        <v>163</v>
      </c>
      <c r="D78" s="25">
        <v>385384.92</v>
      </c>
      <c r="E78" s="25">
        <v>115615.47999999998</v>
      </c>
      <c r="F78" s="25">
        <v>378648.54</v>
      </c>
      <c r="G78" s="25">
        <v>113594.56</v>
      </c>
    </row>
    <row r="79" spans="1:7" x14ac:dyDescent="0.25">
      <c r="A79" s="2">
        <v>531</v>
      </c>
      <c r="B79" s="2">
        <v>1</v>
      </c>
      <c r="C79" s="2" t="s">
        <v>164</v>
      </c>
      <c r="D79" s="25">
        <v>13085</v>
      </c>
      <c r="E79" s="25">
        <v>3925.5</v>
      </c>
      <c r="F79" s="25">
        <v>13000</v>
      </c>
      <c r="G79" s="25">
        <v>3900</v>
      </c>
    </row>
    <row r="80" spans="1:7" x14ac:dyDescent="0.25">
      <c r="A80" s="2">
        <v>533</v>
      </c>
      <c r="B80" s="2">
        <v>1</v>
      </c>
      <c r="C80" s="2" t="s">
        <v>165</v>
      </c>
      <c r="D80" s="25">
        <v>50313</v>
      </c>
      <c r="E80" s="25">
        <v>15093.900000000001</v>
      </c>
      <c r="F80" s="25">
        <v>50000</v>
      </c>
      <c r="G80" s="25">
        <v>15000</v>
      </c>
    </row>
    <row r="81" spans="1:7" x14ac:dyDescent="0.25">
      <c r="A81" s="2">
        <v>534</v>
      </c>
      <c r="B81" s="2">
        <v>1</v>
      </c>
      <c r="C81" s="2" t="s">
        <v>166</v>
      </c>
      <c r="D81" s="25">
        <v>79000</v>
      </c>
      <c r="E81" s="25">
        <v>23700</v>
      </c>
      <c r="F81" s="25">
        <v>79000</v>
      </c>
      <c r="G81" s="25">
        <v>23700</v>
      </c>
    </row>
    <row r="82" spans="1:7" x14ac:dyDescent="0.25">
      <c r="A82" s="2">
        <v>535</v>
      </c>
      <c r="B82" s="2">
        <v>1</v>
      </c>
      <c r="C82" s="2" t="s">
        <v>167</v>
      </c>
      <c r="D82" s="25">
        <v>2374608</v>
      </c>
      <c r="E82" s="25">
        <v>712382.39999999991</v>
      </c>
      <c r="F82" s="25">
        <v>2372002</v>
      </c>
      <c r="G82" s="25">
        <v>711600.60000000009</v>
      </c>
    </row>
    <row r="83" spans="1:7" x14ac:dyDescent="0.25">
      <c r="A83" s="2">
        <v>542</v>
      </c>
      <c r="B83" s="2">
        <v>1</v>
      </c>
      <c r="C83" s="2" t="s">
        <v>168</v>
      </c>
      <c r="D83" s="25">
        <v>46644</v>
      </c>
      <c r="E83" s="25">
        <v>13993.2</v>
      </c>
      <c r="F83" s="25">
        <v>48886.96</v>
      </c>
      <c r="G83" s="25">
        <v>14666.090000000004</v>
      </c>
    </row>
    <row r="84" spans="1:7" x14ac:dyDescent="0.25">
      <c r="A84" s="2">
        <v>544</v>
      </c>
      <c r="B84" s="2">
        <v>1</v>
      </c>
      <c r="C84" s="2" t="s">
        <v>169</v>
      </c>
      <c r="D84" s="25">
        <v>270000</v>
      </c>
      <c r="E84" s="25">
        <v>81000</v>
      </c>
      <c r="F84" s="25">
        <v>270000</v>
      </c>
      <c r="G84" s="25">
        <v>81000</v>
      </c>
    </row>
    <row r="85" spans="1:7" x14ac:dyDescent="0.25">
      <c r="A85" s="2">
        <v>548</v>
      </c>
      <c r="B85" s="2">
        <v>1</v>
      </c>
      <c r="C85" s="2" t="s">
        <v>172</v>
      </c>
      <c r="D85" s="25">
        <v>133782</v>
      </c>
      <c r="E85" s="25">
        <v>40134.600000000006</v>
      </c>
      <c r="F85" s="25">
        <v>131996.67000000001</v>
      </c>
      <c r="G85" s="25">
        <v>39599</v>
      </c>
    </row>
    <row r="86" spans="1:7" x14ac:dyDescent="0.25">
      <c r="A86" s="2">
        <v>549</v>
      </c>
      <c r="B86" s="2">
        <v>1</v>
      </c>
      <c r="C86" s="2" t="s">
        <v>173</v>
      </c>
      <c r="D86" s="25">
        <v>118398</v>
      </c>
      <c r="E86" s="25">
        <v>35519.399999999994</v>
      </c>
      <c r="F86" s="25">
        <v>137664.20000000001</v>
      </c>
      <c r="G86" s="25">
        <v>41299.260000000009</v>
      </c>
    </row>
    <row r="87" spans="1:7" x14ac:dyDescent="0.25">
      <c r="A87" s="2">
        <v>550</v>
      </c>
      <c r="B87" s="2">
        <v>1</v>
      </c>
      <c r="C87" s="2" t="s">
        <v>174</v>
      </c>
      <c r="D87" s="25">
        <v>41441</v>
      </c>
      <c r="E87" s="25">
        <v>12432.3</v>
      </c>
      <c r="F87" s="25">
        <v>41441</v>
      </c>
      <c r="G87" s="25">
        <v>12432.3</v>
      </c>
    </row>
    <row r="88" spans="1:7" x14ac:dyDescent="0.25">
      <c r="A88" s="2">
        <v>621</v>
      </c>
      <c r="B88" s="2">
        <v>1</v>
      </c>
      <c r="C88" s="2" t="s">
        <v>188</v>
      </c>
      <c r="D88" s="25">
        <v>1450650</v>
      </c>
      <c r="E88" s="25">
        <v>435195</v>
      </c>
      <c r="F88" s="25">
        <v>1394600.94</v>
      </c>
      <c r="G88" s="25">
        <v>418380.28</v>
      </c>
    </row>
    <row r="89" spans="1:7" x14ac:dyDescent="0.25">
      <c r="A89" s="2">
        <v>622</v>
      </c>
      <c r="B89" s="2">
        <v>1</v>
      </c>
      <c r="C89" s="2" t="s">
        <v>189</v>
      </c>
      <c r="D89" s="25">
        <v>1646496</v>
      </c>
      <c r="E89" s="25">
        <v>493948.80000000005</v>
      </c>
      <c r="F89" s="25">
        <v>1568317.5</v>
      </c>
      <c r="G89" s="25">
        <v>470495.25</v>
      </c>
    </row>
    <row r="90" spans="1:7" x14ac:dyDescent="0.25">
      <c r="A90" s="2">
        <v>623</v>
      </c>
      <c r="B90" s="2">
        <v>1</v>
      </c>
      <c r="C90" s="2" t="s">
        <v>190</v>
      </c>
      <c r="D90" s="25">
        <v>989172</v>
      </c>
      <c r="E90" s="25">
        <v>296751.59999999998</v>
      </c>
      <c r="F90" s="25">
        <v>968965.44</v>
      </c>
      <c r="G90" s="25">
        <v>290689.63</v>
      </c>
    </row>
    <row r="91" spans="1:7" x14ac:dyDescent="0.25">
      <c r="A91" s="2">
        <v>624</v>
      </c>
      <c r="B91" s="2">
        <v>1</v>
      </c>
      <c r="C91" s="2" t="s">
        <v>191</v>
      </c>
      <c r="D91" s="25">
        <v>883582</v>
      </c>
      <c r="E91" s="25">
        <v>265074.59999999998</v>
      </c>
      <c r="F91" s="25">
        <v>925000</v>
      </c>
      <c r="G91" s="25">
        <v>277500</v>
      </c>
    </row>
    <row r="92" spans="1:7" x14ac:dyDescent="0.25">
      <c r="A92" s="2">
        <v>625</v>
      </c>
      <c r="B92" s="2">
        <v>1</v>
      </c>
      <c r="C92" s="2" t="s">
        <v>192</v>
      </c>
      <c r="D92" s="25">
        <v>18586043.550000001</v>
      </c>
      <c r="E92" s="25">
        <v>5575813.0700000003</v>
      </c>
      <c r="F92" s="25">
        <v>18578158.149999999</v>
      </c>
      <c r="G92" s="25">
        <v>5573447.4499999993</v>
      </c>
    </row>
    <row r="93" spans="1:7" x14ac:dyDescent="0.25">
      <c r="A93" s="2">
        <v>635</v>
      </c>
      <c r="B93" s="2">
        <v>1</v>
      </c>
      <c r="C93" s="2" t="s">
        <v>196</v>
      </c>
      <c r="D93" s="25">
        <v>7000</v>
      </c>
      <c r="E93" s="25">
        <v>2100</v>
      </c>
      <c r="F93" s="25">
        <v>7000</v>
      </c>
      <c r="G93" s="25">
        <v>2100</v>
      </c>
    </row>
    <row r="94" spans="1:7" x14ac:dyDescent="0.25">
      <c r="A94" s="2">
        <v>640</v>
      </c>
      <c r="B94" s="2">
        <v>1</v>
      </c>
      <c r="C94" s="2" t="s">
        <v>197</v>
      </c>
      <c r="D94" s="25">
        <v>40000</v>
      </c>
      <c r="E94" s="25">
        <v>12000</v>
      </c>
      <c r="F94" s="25">
        <v>39280.32</v>
      </c>
      <c r="G94" s="25">
        <v>11784.099999999999</v>
      </c>
    </row>
    <row r="95" spans="1:7" x14ac:dyDescent="0.25">
      <c r="A95" s="2">
        <v>656</v>
      </c>
      <c r="B95" s="2">
        <v>1</v>
      </c>
      <c r="C95" s="2" t="s">
        <v>198</v>
      </c>
      <c r="D95" s="25">
        <v>494804</v>
      </c>
      <c r="E95" s="25">
        <v>148441.20000000001</v>
      </c>
      <c r="F95" s="25">
        <v>494804</v>
      </c>
      <c r="G95" s="25">
        <v>148441.20000000001</v>
      </c>
    </row>
    <row r="96" spans="1:7" x14ac:dyDescent="0.25">
      <c r="A96">
        <v>704</v>
      </c>
      <c r="B96">
        <v>1</v>
      </c>
      <c r="C96" t="s">
        <v>568</v>
      </c>
      <c r="D96" s="25">
        <v>11709</v>
      </c>
      <c r="E96" s="25">
        <v>3512.7000000000007</v>
      </c>
      <c r="F96" s="25">
        <v>173955.44</v>
      </c>
      <c r="G96" s="25">
        <v>52186.630000000005</v>
      </c>
    </row>
    <row r="97" spans="1:7" x14ac:dyDescent="0.25">
      <c r="A97" s="2">
        <v>709</v>
      </c>
      <c r="B97" s="2">
        <v>1</v>
      </c>
      <c r="C97" s="2" t="s">
        <v>212</v>
      </c>
      <c r="D97" s="25">
        <v>2088551.6</v>
      </c>
      <c r="E97" s="25">
        <v>626565.48</v>
      </c>
      <c r="F97" s="25">
        <v>2048284.78</v>
      </c>
      <c r="G97" s="25">
        <v>614485.42999999993</v>
      </c>
    </row>
    <row r="98" spans="1:7" x14ac:dyDescent="0.25">
      <c r="A98" s="2">
        <v>716</v>
      </c>
      <c r="B98" s="2">
        <v>1</v>
      </c>
      <c r="C98" s="2" t="s">
        <v>214</v>
      </c>
      <c r="D98" s="25">
        <v>144750</v>
      </c>
      <c r="E98" s="25">
        <v>43425</v>
      </c>
      <c r="F98" s="25">
        <v>60000</v>
      </c>
      <c r="G98" s="25">
        <v>18000</v>
      </c>
    </row>
    <row r="99" spans="1:7" x14ac:dyDescent="0.25">
      <c r="A99" s="2">
        <v>717</v>
      </c>
      <c r="B99" s="2">
        <v>1</v>
      </c>
      <c r="C99" s="2" t="s">
        <v>215</v>
      </c>
      <c r="D99" s="25">
        <v>12800</v>
      </c>
      <c r="E99" s="25">
        <v>3840</v>
      </c>
      <c r="F99" s="25">
        <v>12800</v>
      </c>
      <c r="G99" s="25">
        <v>3840</v>
      </c>
    </row>
    <row r="100" spans="1:7" x14ac:dyDescent="0.25">
      <c r="A100" s="2">
        <v>719</v>
      </c>
      <c r="B100" s="2">
        <v>1</v>
      </c>
      <c r="C100" s="2" t="s">
        <v>216</v>
      </c>
      <c r="D100" s="25">
        <v>16225</v>
      </c>
      <c r="E100" s="25">
        <v>4867.5</v>
      </c>
      <c r="F100" s="25">
        <v>18000</v>
      </c>
      <c r="G100" s="25">
        <v>5400</v>
      </c>
    </row>
    <row r="101" spans="1:7" x14ac:dyDescent="0.25">
      <c r="A101" s="2">
        <v>720</v>
      </c>
      <c r="B101" s="2">
        <v>1</v>
      </c>
      <c r="C101" s="2" t="s">
        <v>217</v>
      </c>
      <c r="D101" s="25">
        <v>45000</v>
      </c>
      <c r="E101" s="25">
        <v>13500</v>
      </c>
      <c r="F101" s="25">
        <v>45000</v>
      </c>
      <c r="G101" s="25">
        <v>13500</v>
      </c>
    </row>
    <row r="102" spans="1:7" x14ac:dyDescent="0.25">
      <c r="A102" s="2">
        <v>721</v>
      </c>
      <c r="B102" s="2">
        <v>1</v>
      </c>
      <c r="C102" s="2" t="s">
        <v>218</v>
      </c>
      <c r="D102" s="25">
        <v>0</v>
      </c>
      <c r="E102" s="25">
        <v>0</v>
      </c>
      <c r="F102" s="25">
        <v>0</v>
      </c>
      <c r="G102" s="25">
        <v>0</v>
      </c>
    </row>
    <row r="103" spans="1:7" x14ac:dyDescent="0.25">
      <c r="A103" s="2">
        <v>726</v>
      </c>
      <c r="B103" s="2">
        <v>1</v>
      </c>
      <c r="C103" s="2" t="s">
        <v>219</v>
      </c>
      <c r="D103" s="25">
        <v>292500</v>
      </c>
      <c r="E103" s="25">
        <v>87750</v>
      </c>
      <c r="F103" s="25">
        <v>291157</v>
      </c>
      <c r="G103" s="25">
        <v>87347.1</v>
      </c>
    </row>
    <row r="104" spans="1:7" x14ac:dyDescent="0.25">
      <c r="A104" s="2">
        <v>728</v>
      </c>
      <c r="B104" s="2">
        <v>1</v>
      </c>
      <c r="C104" s="2" t="s">
        <v>221</v>
      </c>
      <c r="D104" s="25">
        <v>1333875.8</v>
      </c>
      <c r="E104" s="25">
        <v>400162.74</v>
      </c>
      <c r="F104" s="25">
        <v>1340000</v>
      </c>
      <c r="G104" s="25">
        <v>402000</v>
      </c>
    </row>
    <row r="105" spans="1:7" x14ac:dyDescent="0.25">
      <c r="A105" s="2">
        <v>738</v>
      </c>
      <c r="B105" s="2">
        <v>1</v>
      </c>
      <c r="C105" s="2" t="s">
        <v>222</v>
      </c>
      <c r="D105" s="25">
        <v>92072.98</v>
      </c>
      <c r="E105" s="25">
        <v>27621.89</v>
      </c>
      <c r="F105" s="25">
        <v>92100</v>
      </c>
      <c r="G105" s="25">
        <v>27630</v>
      </c>
    </row>
    <row r="106" spans="1:7" x14ac:dyDescent="0.25">
      <c r="A106" s="2">
        <v>739</v>
      </c>
      <c r="B106" s="2">
        <v>1</v>
      </c>
      <c r="C106" s="2" t="s">
        <v>223</v>
      </c>
      <c r="D106" s="25">
        <v>72705.759999999995</v>
      </c>
      <c r="E106" s="25">
        <v>21811.729999999996</v>
      </c>
      <c r="F106" s="25">
        <v>71485.84</v>
      </c>
      <c r="G106" s="25">
        <v>21445.75</v>
      </c>
    </row>
    <row r="107" spans="1:7" x14ac:dyDescent="0.25">
      <c r="A107" s="2">
        <v>740</v>
      </c>
      <c r="B107" s="2">
        <v>1</v>
      </c>
      <c r="C107" s="2" t="s">
        <v>224</v>
      </c>
      <c r="D107" s="25">
        <v>143060</v>
      </c>
      <c r="E107" s="25">
        <v>42918</v>
      </c>
      <c r="F107" s="25">
        <v>137060</v>
      </c>
      <c r="G107" s="25">
        <v>41118</v>
      </c>
    </row>
    <row r="108" spans="1:7" x14ac:dyDescent="0.25">
      <c r="A108" s="2">
        <v>742</v>
      </c>
      <c r="B108" s="2">
        <v>1</v>
      </c>
      <c r="C108" s="2" t="s">
        <v>226</v>
      </c>
      <c r="D108" s="25">
        <v>1321448</v>
      </c>
      <c r="E108" s="25">
        <v>396434.4</v>
      </c>
      <c r="F108" s="25">
        <v>1321448</v>
      </c>
      <c r="G108" s="25">
        <v>396434.4</v>
      </c>
    </row>
    <row r="109" spans="1:7" x14ac:dyDescent="0.25">
      <c r="A109" s="2">
        <v>743</v>
      </c>
      <c r="B109" s="2">
        <v>1</v>
      </c>
      <c r="C109" s="2" t="s">
        <v>227</v>
      </c>
      <c r="D109" s="25">
        <v>104362</v>
      </c>
      <c r="E109" s="25">
        <v>31308.600000000006</v>
      </c>
      <c r="F109" s="25">
        <v>98589.04</v>
      </c>
      <c r="G109" s="25">
        <v>29576.710000000006</v>
      </c>
    </row>
    <row r="110" spans="1:7" x14ac:dyDescent="0.25">
      <c r="A110">
        <v>745</v>
      </c>
      <c r="B110">
        <v>1</v>
      </c>
      <c r="C110" t="s">
        <v>569</v>
      </c>
      <c r="D110" s="25">
        <v>0</v>
      </c>
      <c r="E110" s="25">
        <v>0</v>
      </c>
      <c r="F110" s="25">
        <v>0</v>
      </c>
      <c r="G110" s="25">
        <v>0</v>
      </c>
    </row>
    <row r="111" spans="1:7" x14ac:dyDescent="0.25">
      <c r="A111">
        <v>748</v>
      </c>
      <c r="B111">
        <v>1</v>
      </c>
      <c r="C111" t="s">
        <v>570</v>
      </c>
      <c r="D111" s="25">
        <v>0</v>
      </c>
      <c r="E111" s="25">
        <v>0</v>
      </c>
      <c r="F111" s="25">
        <v>0</v>
      </c>
      <c r="G111" s="25">
        <v>0</v>
      </c>
    </row>
    <row r="112" spans="1:7" x14ac:dyDescent="0.25">
      <c r="A112">
        <v>750</v>
      </c>
      <c r="B112">
        <v>1</v>
      </c>
      <c r="C112" t="s">
        <v>571</v>
      </c>
      <c r="D112" s="25">
        <v>0</v>
      </c>
      <c r="E112" s="25">
        <v>0</v>
      </c>
      <c r="F112" s="25">
        <v>0</v>
      </c>
      <c r="G112" s="25">
        <v>0</v>
      </c>
    </row>
    <row r="113" spans="1:7" x14ac:dyDescent="0.25">
      <c r="A113">
        <v>756</v>
      </c>
      <c r="B113">
        <v>1</v>
      </c>
      <c r="C113" t="s">
        <v>572</v>
      </c>
      <c r="D113" s="25">
        <v>0</v>
      </c>
      <c r="E113" s="25">
        <v>0</v>
      </c>
      <c r="F113" s="25">
        <v>0</v>
      </c>
      <c r="G113" s="25">
        <v>0</v>
      </c>
    </row>
    <row r="114" spans="1:7" x14ac:dyDescent="0.25">
      <c r="A114" s="2">
        <v>775</v>
      </c>
      <c r="B114" s="2">
        <v>1</v>
      </c>
      <c r="C114" s="2" t="s">
        <v>237</v>
      </c>
      <c r="D114" s="25">
        <v>54990.239999999998</v>
      </c>
      <c r="E114" s="25">
        <v>16497.07</v>
      </c>
      <c r="F114" s="25">
        <v>54506.32</v>
      </c>
      <c r="G114" s="25">
        <v>16351.900000000001</v>
      </c>
    </row>
    <row r="115" spans="1:7" x14ac:dyDescent="0.25">
      <c r="A115" s="2">
        <v>787</v>
      </c>
      <c r="B115" s="2">
        <v>1</v>
      </c>
      <c r="C115" s="2" t="s">
        <v>240</v>
      </c>
      <c r="D115" s="25">
        <v>0</v>
      </c>
      <c r="E115" s="25">
        <v>0</v>
      </c>
      <c r="F115" s="25">
        <v>0</v>
      </c>
      <c r="G115" s="25">
        <v>0</v>
      </c>
    </row>
    <row r="116" spans="1:7" x14ac:dyDescent="0.25">
      <c r="A116">
        <v>813</v>
      </c>
      <c r="B116">
        <v>1</v>
      </c>
      <c r="C116" t="s">
        <v>573</v>
      </c>
      <c r="D116" s="25">
        <v>0</v>
      </c>
      <c r="E116" s="25">
        <v>0</v>
      </c>
      <c r="F116" s="25">
        <v>0</v>
      </c>
      <c r="G116" s="25">
        <v>0</v>
      </c>
    </row>
    <row r="117" spans="1:7" x14ac:dyDescent="0.25">
      <c r="A117" s="2">
        <v>831</v>
      </c>
      <c r="B117" s="2">
        <v>1</v>
      </c>
      <c r="C117" s="2" t="s">
        <v>250</v>
      </c>
      <c r="D117" s="25">
        <v>736460</v>
      </c>
      <c r="E117" s="25">
        <v>220938</v>
      </c>
      <c r="F117" s="25">
        <v>729295.04</v>
      </c>
      <c r="G117" s="25">
        <v>218788.51</v>
      </c>
    </row>
    <row r="118" spans="1:7" x14ac:dyDescent="0.25">
      <c r="A118" s="2">
        <v>832</v>
      </c>
      <c r="B118" s="2">
        <v>1</v>
      </c>
      <c r="C118" s="2" t="s">
        <v>251</v>
      </c>
      <c r="D118" s="25">
        <v>349625.76</v>
      </c>
      <c r="E118" s="25">
        <v>104887.72999999998</v>
      </c>
      <c r="F118" s="25">
        <v>350651.56</v>
      </c>
      <c r="G118" s="25">
        <v>105195.47</v>
      </c>
    </row>
    <row r="119" spans="1:7" x14ac:dyDescent="0.25">
      <c r="A119" s="2">
        <v>833</v>
      </c>
      <c r="B119" s="2">
        <v>1</v>
      </c>
      <c r="C119" s="2" t="s">
        <v>252</v>
      </c>
      <c r="D119" s="25">
        <v>2529305.58</v>
      </c>
      <c r="E119" s="25">
        <v>758791.66999999993</v>
      </c>
      <c r="F119" s="25">
        <v>2545038.42</v>
      </c>
      <c r="G119" s="25">
        <v>763511.53</v>
      </c>
    </row>
    <row r="120" spans="1:7" x14ac:dyDescent="0.25">
      <c r="A120" s="2">
        <v>834</v>
      </c>
      <c r="B120" s="2">
        <v>1</v>
      </c>
      <c r="C120" s="2" t="s">
        <v>253</v>
      </c>
      <c r="D120" s="25">
        <v>915860</v>
      </c>
      <c r="E120" s="25">
        <v>274758</v>
      </c>
      <c r="F120" s="25">
        <v>904445.56</v>
      </c>
      <c r="G120" s="25">
        <v>271333.66999999993</v>
      </c>
    </row>
    <row r="121" spans="1:7" x14ac:dyDescent="0.25">
      <c r="A121" s="2">
        <v>836</v>
      </c>
      <c r="B121" s="2">
        <v>1</v>
      </c>
      <c r="C121" s="2" t="s">
        <v>254</v>
      </c>
      <c r="D121" s="25">
        <v>29221</v>
      </c>
      <c r="E121" s="25">
        <v>8766.2999999999993</v>
      </c>
      <c r="F121" s="25">
        <v>29221</v>
      </c>
      <c r="G121" s="25">
        <v>8766.2999999999993</v>
      </c>
    </row>
    <row r="122" spans="1:7" x14ac:dyDescent="0.25">
      <c r="A122" s="2">
        <v>837</v>
      </c>
      <c r="B122" s="2">
        <v>1</v>
      </c>
      <c r="C122" s="2" t="s">
        <v>255</v>
      </c>
      <c r="D122" s="25">
        <v>82571.61</v>
      </c>
      <c r="E122" s="25">
        <v>24771.479999999996</v>
      </c>
      <c r="F122" s="25">
        <v>78500</v>
      </c>
      <c r="G122" s="25">
        <v>23550</v>
      </c>
    </row>
    <row r="123" spans="1:7" x14ac:dyDescent="0.25">
      <c r="A123" s="2">
        <v>840</v>
      </c>
      <c r="B123" s="2">
        <v>1</v>
      </c>
      <c r="C123" s="2" t="s">
        <v>256</v>
      </c>
      <c r="D123" s="25">
        <v>156919.47</v>
      </c>
      <c r="E123" s="25">
        <v>47075.839999999997</v>
      </c>
      <c r="F123" s="25">
        <v>154660.68</v>
      </c>
      <c r="G123" s="25">
        <v>46398.2</v>
      </c>
    </row>
    <row r="124" spans="1:7" x14ac:dyDescent="0.25">
      <c r="A124">
        <v>850</v>
      </c>
      <c r="B124">
        <v>1</v>
      </c>
      <c r="C124" t="s">
        <v>574</v>
      </c>
      <c r="D124" s="25">
        <v>0</v>
      </c>
      <c r="E124" s="25">
        <v>0</v>
      </c>
      <c r="F124" s="25">
        <v>0</v>
      </c>
      <c r="G124" s="25">
        <v>0</v>
      </c>
    </row>
    <row r="125" spans="1:7" x14ac:dyDescent="0.25">
      <c r="A125" s="2">
        <v>876</v>
      </c>
      <c r="B125" s="2">
        <v>1</v>
      </c>
      <c r="C125" s="2" t="s">
        <v>263</v>
      </c>
      <c r="D125" s="25">
        <v>171000</v>
      </c>
      <c r="E125" s="25">
        <v>51300</v>
      </c>
      <c r="F125" s="25">
        <v>171000</v>
      </c>
      <c r="G125" s="25">
        <v>51300</v>
      </c>
    </row>
    <row r="126" spans="1:7" x14ac:dyDescent="0.25">
      <c r="A126" s="2">
        <v>877</v>
      </c>
      <c r="B126" s="2">
        <v>1</v>
      </c>
      <c r="C126" s="2" t="s">
        <v>264</v>
      </c>
      <c r="D126" s="25">
        <v>616630</v>
      </c>
      <c r="E126" s="25">
        <v>184989</v>
      </c>
      <c r="F126" s="25">
        <v>616591.35999999999</v>
      </c>
      <c r="G126" s="25">
        <v>184977.41000000003</v>
      </c>
    </row>
    <row r="127" spans="1:7" x14ac:dyDescent="0.25">
      <c r="A127" s="2">
        <v>883</v>
      </c>
      <c r="B127" s="2">
        <v>1</v>
      </c>
      <c r="C127" s="2" t="s">
        <v>268</v>
      </c>
      <c r="D127" s="25">
        <v>160724</v>
      </c>
      <c r="E127" s="25">
        <v>48217.2</v>
      </c>
      <c r="F127" s="25">
        <v>160091.96</v>
      </c>
      <c r="G127" s="25">
        <v>48027.59</v>
      </c>
    </row>
    <row r="128" spans="1:7" x14ac:dyDescent="0.25">
      <c r="A128" s="2">
        <v>891</v>
      </c>
      <c r="B128" s="2">
        <v>1</v>
      </c>
      <c r="C128" s="2" t="s">
        <v>270</v>
      </c>
      <c r="D128" s="25">
        <v>54826.48</v>
      </c>
      <c r="E128" s="25">
        <v>16447.939999999995</v>
      </c>
      <c r="F128" s="25">
        <v>55898.28</v>
      </c>
      <c r="G128" s="25">
        <v>16769.479999999996</v>
      </c>
    </row>
    <row r="129" spans="1:7" x14ac:dyDescent="0.25">
      <c r="A129" s="2">
        <v>2071</v>
      </c>
      <c r="B129" s="2">
        <v>1</v>
      </c>
      <c r="C129" s="2" t="s">
        <v>274</v>
      </c>
      <c r="D129" s="25">
        <v>73447.289999999994</v>
      </c>
      <c r="E129" s="25">
        <v>22034.190000000002</v>
      </c>
      <c r="F129" s="25">
        <v>72580.960000000006</v>
      </c>
      <c r="G129" s="25">
        <v>21774.29</v>
      </c>
    </row>
    <row r="130" spans="1:7" x14ac:dyDescent="0.25">
      <c r="A130" s="2">
        <v>2135</v>
      </c>
      <c r="B130" s="2">
        <v>1</v>
      </c>
      <c r="C130" s="2" t="s">
        <v>277</v>
      </c>
      <c r="D130" s="25">
        <v>113068.92</v>
      </c>
      <c r="E130" s="25">
        <v>33920.680000000008</v>
      </c>
      <c r="F130" s="25">
        <v>113155.4</v>
      </c>
      <c r="G130" s="25">
        <v>33946.619999999995</v>
      </c>
    </row>
    <row r="131" spans="1:7" x14ac:dyDescent="0.25">
      <c r="A131">
        <v>2142</v>
      </c>
      <c r="B131">
        <v>1</v>
      </c>
      <c r="C131" t="s">
        <v>575</v>
      </c>
      <c r="D131" s="25">
        <v>0</v>
      </c>
      <c r="E131" s="25">
        <v>0</v>
      </c>
      <c r="F131" s="25">
        <v>0</v>
      </c>
      <c r="G131" s="25">
        <v>0</v>
      </c>
    </row>
    <row r="132" spans="1:7" x14ac:dyDescent="0.25">
      <c r="A132" s="2">
        <v>2143</v>
      </c>
      <c r="B132" s="2">
        <v>1</v>
      </c>
      <c r="C132" s="2" t="s">
        <v>280</v>
      </c>
      <c r="D132" s="25">
        <v>92174</v>
      </c>
      <c r="E132" s="25">
        <v>27652.199999999997</v>
      </c>
      <c r="F132" s="25">
        <v>91919.96</v>
      </c>
      <c r="G132" s="25">
        <v>27575.990000000005</v>
      </c>
    </row>
    <row r="133" spans="1:7" x14ac:dyDescent="0.25">
      <c r="A133" s="2">
        <v>2167</v>
      </c>
      <c r="B133" s="2">
        <v>1</v>
      </c>
      <c r="C133" s="2" t="s">
        <v>288</v>
      </c>
      <c r="D133" s="25">
        <v>59873</v>
      </c>
      <c r="E133" s="25">
        <v>17961.900000000001</v>
      </c>
      <c r="F133" s="25">
        <v>59873</v>
      </c>
      <c r="G133" s="25">
        <v>17961.900000000001</v>
      </c>
    </row>
    <row r="134" spans="1:7" x14ac:dyDescent="0.25">
      <c r="A134">
        <v>2168</v>
      </c>
      <c r="B134">
        <v>1</v>
      </c>
      <c r="C134" t="s">
        <v>576</v>
      </c>
      <c r="D134" s="25">
        <v>0</v>
      </c>
      <c r="E134" s="25">
        <v>0</v>
      </c>
      <c r="F134" s="25">
        <v>0</v>
      </c>
      <c r="G134" s="25">
        <v>0</v>
      </c>
    </row>
    <row r="135" spans="1:7" x14ac:dyDescent="0.25">
      <c r="A135" s="2">
        <v>2169</v>
      </c>
      <c r="B135" s="2">
        <v>1</v>
      </c>
      <c r="C135" s="2" t="s">
        <v>290</v>
      </c>
      <c r="D135" s="25">
        <v>70000</v>
      </c>
      <c r="E135" s="25">
        <v>21000</v>
      </c>
      <c r="F135" s="25">
        <v>70000</v>
      </c>
      <c r="G135" s="25">
        <v>21000</v>
      </c>
    </row>
    <row r="136" spans="1:7" x14ac:dyDescent="0.25">
      <c r="A136" s="2">
        <v>2180</v>
      </c>
      <c r="B136" s="2">
        <v>1</v>
      </c>
      <c r="C136" s="2" t="s">
        <v>296</v>
      </c>
      <c r="D136" s="25">
        <v>74294.600000000006</v>
      </c>
      <c r="E136" s="25">
        <v>22288.380000000005</v>
      </c>
      <c r="F136" s="25">
        <v>68771</v>
      </c>
      <c r="G136" s="25">
        <v>20631.300000000003</v>
      </c>
    </row>
    <row r="137" spans="1:7" x14ac:dyDescent="0.25">
      <c r="A137" s="2">
        <v>2190</v>
      </c>
      <c r="B137" s="2">
        <v>1</v>
      </c>
      <c r="C137" s="2" t="s">
        <v>298</v>
      </c>
      <c r="D137" s="25">
        <v>126098.79</v>
      </c>
      <c r="E137" s="25">
        <v>37829.64</v>
      </c>
      <c r="F137" s="25">
        <v>122540.97</v>
      </c>
      <c r="G137" s="25">
        <v>36762.290000000008</v>
      </c>
    </row>
    <row r="138" spans="1:7" x14ac:dyDescent="0.25">
      <c r="A138" s="2">
        <v>2310</v>
      </c>
      <c r="B138" s="2">
        <v>1</v>
      </c>
      <c r="C138" s="2" t="s">
        <v>301</v>
      </c>
      <c r="D138" s="25">
        <v>174664.71</v>
      </c>
      <c r="E138" s="25">
        <v>52399.41</v>
      </c>
      <c r="F138" s="25">
        <v>173572.08</v>
      </c>
      <c r="G138" s="25">
        <v>52071.619999999995</v>
      </c>
    </row>
    <row r="139" spans="1:7" x14ac:dyDescent="0.25">
      <c r="A139" s="2">
        <v>2365</v>
      </c>
      <c r="B139" s="2">
        <v>1</v>
      </c>
      <c r="C139" s="2" t="s">
        <v>306</v>
      </c>
      <c r="D139" s="25">
        <v>77547</v>
      </c>
      <c r="E139" s="25">
        <v>23264.1</v>
      </c>
      <c r="F139" s="25">
        <v>77547</v>
      </c>
      <c r="G139" s="25">
        <v>23264.1</v>
      </c>
    </row>
    <row r="140" spans="1:7" x14ac:dyDescent="0.25">
      <c r="A140" s="2">
        <v>2396</v>
      </c>
      <c r="B140" s="2">
        <v>1</v>
      </c>
      <c r="C140" s="2" t="s">
        <v>307</v>
      </c>
      <c r="D140" s="25">
        <v>85910.52</v>
      </c>
      <c r="E140" s="25">
        <v>25773.160000000003</v>
      </c>
      <c r="F140" s="25">
        <v>85192</v>
      </c>
      <c r="G140" s="25">
        <v>25557.599999999999</v>
      </c>
    </row>
    <row r="141" spans="1:7" x14ac:dyDescent="0.25">
      <c r="A141" s="2">
        <v>2448</v>
      </c>
      <c r="B141" s="2">
        <v>1</v>
      </c>
      <c r="C141" s="2" t="s">
        <v>309</v>
      </c>
      <c r="D141" s="25">
        <v>35925</v>
      </c>
      <c r="E141" s="25">
        <v>10777.5</v>
      </c>
      <c r="F141" s="25">
        <v>37150</v>
      </c>
      <c r="G141" s="25">
        <v>11145</v>
      </c>
    </row>
    <row r="142" spans="1:7" x14ac:dyDescent="0.25">
      <c r="A142" s="2">
        <v>2534</v>
      </c>
      <c r="B142" s="2">
        <v>1</v>
      </c>
      <c r="C142" s="2" t="s">
        <v>311</v>
      </c>
      <c r="D142" s="25">
        <v>72201.600000000006</v>
      </c>
      <c r="E142" s="25">
        <v>21660.479999999996</v>
      </c>
      <c r="F142" s="25">
        <v>35000</v>
      </c>
      <c r="G142" s="25">
        <v>10500</v>
      </c>
    </row>
    <row r="143" spans="1:7" x14ac:dyDescent="0.25">
      <c r="A143" s="2">
        <v>2753</v>
      </c>
      <c r="B143" s="2">
        <v>1</v>
      </c>
      <c r="C143" s="2" t="s">
        <v>320</v>
      </c>
      <c r="D143" s="25">
        <v>144609</v>
      </c>
      <c r="E143" s="25">
        <v>43382.7</v>
      </c>
      <c r="F143" s="25">
        <v>144638.67000000001</v>
      </c>
      <c r="G143" s="25">
        <v>43391.600000000006</v>
      </c>
    </row>
    <row r="144" spans="1:7" x14ac:dyDescent="0.25">
      <c r="A144" s="2">
        <v>2754</v>
      </c>
      <c r="B144" s="2">
        <v>1</v>
      </c>
      <c r="C144" s="2" t="s">
        <v>321</v>
      </c>
      <c r="D144" s="25">
        <v>42000</v>
      </c>
      <c r="E144" s="25">
        <v>12600</v>
      </c>
      <c r="F144" s="25">
        <v>42000</v>
      </c>
      <c r="G144" s="25">
        <v>12600</v>
      </c>
    </row>
    <row r="145" spans="1:7" x14ac:dyDescent="0.25">
      <c r="A145" s="2">
        <v>2759</v>
      </c>
      <c r="B145" s="2">
        <v>1</v>
      </c>
      <c r="C145" s="2" t="s">
        <v>322</v>
      </c>
      <c r="D145" s="25">
        <v>31000</v>
      </c>
      <c r="E145" s="25">
        <v>9300</v>
      </c>
      <c r="F145" s="25">
        <v>0</v>
      </c>
      <c r="G145" s="25">
        <v>0</v>
      </c>
    </row>
    <row r="146" spans="1:7" x14ac:dyDescent="0.25">
      <c r="A146" s="2">
        <v>2805</v>
      </c>
      <c r="B146" s="2">
        <v>1</v>
      </c>
      <c r="C146" s="2" t="s">
        <v>323</v>
      </c>
      <c r="D146" s="25">
        <v>58140</v>
      </c>
      <c r="E146" s="25">
        <v>17442</v>
      </c>
      <c r="F146" s="25">
        <v>40000</v>
      </c>
      <c r="G146" s="25">
        <v>12000</v>
      </c>
    </row>
    <row r="147" spans="1:7" x14ac:dyDescent="0.25">
      <c r="A147" s="2">
        <v>2884</v>
      </c>
      <c r="B147" s="2">
        <v>1</v>
      </c>
      <c r="C147" s="2" t="s">
        <v>330</v>
      </c>
      <c r="D147" s="25">
        <v>43258.400000000001</v>
      </c>
      <c r="E147" s="25">
        <v>12977.52</v>
      </c>
      <c r="F147" s="25">
        <v>42261.120000000003</v>
      </c>
      <c r="G147" s="25">
        <v>12678.34</v>
      </c>
    </row>
    <row r="148" spans="1:7" x14ac:dyDescent="0.25">
      <c r="A148" s="2">
        <v>2886</v>
      </c>
      <c r="B148" s="2">
        <v>1</v>
      </c>
      <c r="C148" s="2" t="s">
        <v>331</v>
      </c>
      <c r="D148" s="25">
        <v>0</v>
      </c>
      <c r="E148" s="25">
        <v>0</v>
      </c>
      <c r="F148" s="25">
        <v>0</v>
      </c>
      <c r="G148" s="25">
        <v>0</v>
      </c>
    </row>
    <row r="149" spans="1:7" x14ac:dyDescent="0.25">
      <c r="A149" s="2">
        <v>2889</v>
      </c>
      <c r="B149" s="2">
        <v>1</v>
      </c>
      <c r="C149" s="2" t="s">
        <v>333</v>
      </c>
      <c r="D149" s="25">
        <v>51908</v>
      </c>
      <c r="E149" s="25">
        <v>15572.400000000001</v>
      </c>
      <c r="F149" s="25">
        <v>32631.5</v>
      </c>
      <c r="G149" s="25">
        <v>9789.4500000000007</v>
      </c>
    </row>
    <row r="150" spans="1:7" x14ac:dyDescent="0.25">
      <c r="A150" s="2">
        <v>2890</v>
      </c>
      <c r="B150" s="2">
        <v>1</v>
      </c>
      <c r="C150" s="2" t="s">
        <v>334</v>
      </c>
      <c r="D150" s="25">
        <v>49313.84</v>
      </c>
      <c r="E150" s="25">
        <v>14794.150000000001</v>
      </c>
      <c r="F150" s="25">
        <v>54000</v>
      </c>
      <c r="G150" s="25">
        <v>16200</v>
      </c>
    </row>
    <row r="151" spans="1:7" x14ac:dyDescent="0.25">
      <c r="A151" s="2">
        <v>2895</v>
      </c>
      <c r="B151" s="2">
        <v>1</v>
      </c>
      <c r="C151" s="2" t="s">
        <v>335</v>
      </c>
      <c r="D151" s="25">
        <v>120000</v>
      </c>
      <c r="E151" s="25">
        <v>36000</v>
      </c>
      <c r="F151" s="25">
        <v>120000</v>
      </c>
      <c r="G151" s="25">
        <v>36000</v>
      </c>
    </row>
    <row r="152" spans="1:7" x14ac:dyDescent="0.25">
      <c r="A152">
        <v>2897</v>
      </c>
      <c r="B152">
        <v>1</v>
      </c>
      <c r="C152" t="s">
        <v>577</v>
      </c>
      <c r="D152" s="25">
        <v>166000</v>
      </c>
      <c r="E152" s="25">
        <v>49800</v>
      </c>
      <c r="F152" s="25">
        <v>165000</v>
      </c>
      <c r="G152" s="25">
        <v>49500</v>
      </c>
    </row>
    <row r="153" spans="1:7" x14ac:dyDescent="0.25">
      <c r="A153" s="2">
        <v>2898</v>
      </c>
      <c r="B153" s="2">
        <v>1</v>
      </c>
      <c r="C153" s="2" t="s">
        <v>337</v>
      </c>
      <c r="D153" s="25">
        <v>50000</v>
      </c>
      <c r="E153" s="25">
        <v>15000</v>
      </c>
      <c r="F153" s="25">
        <v>50000</v>
      </c>
      <c r="G153" s="25">
        <v>15000</v>
      </c>
    </row>
    <row r="154" spans="1:7" x14ac:dyDescent="0.25">
      <c r="A154" s="2">
        <v>2899</v>
      </c>
      <c r="B154" s="2">
        <v>1</v>
      </c>
      <c r="C154" s="2" t="s">
        <v>338</v>
      </c>
      <c r="D154" s="25">
        <v>80060</v>
      </c>
      <c r="E154" s="25">
        <v>24018</v>
      </c>
      <c r="F154" s="25">
        <v>80000</v>
      </c>
      <c r="G154" s="25">
        <v>24000</v>
      </c>
    </row>
    <row r="155" spans="1:7" x14ac:dyDescent="0.25">
      <c r="A155" s="2">
        <v>2902</v>
      </c>
      <c r="B155" s="2">
        <v>1</v>
      </c>
      <c r="C155" s="2" t="s">
        <v>339</v>
      </c>
      <c r="D155" s="25">
        <v>58281.08</v>
      </c>
      <c r="E155" s="25">
        <v>17484.32</v>
      </c>
      <c r="F155" s="25">
        <v>58904.84</v>
      </c>
      <c r="G155" s="25">
        <v>17671.449999999997</v>
      </c>
    </row>
    <row r="156" spans="1:7" x14ac:dyDescent="0.25">
      <c r="A156" s="2">
        <v>2904</v>
      </c>
      <c r="B156" s="2">
        <v>1</v>
      </c>
      <c r="C156" s="2" t="s">
        <v>341</v>
      </c>
      <c r="D156" s="25">
        <v>79921.320000000007</v>
      </c>
      <c r="E156" s="25">
        <v>23976.400000000001</v>
      </c>
      <c r="F156" s="25">
        <v>79877.16</v>
      </c>
      <c r="G156" s="25">
        <v>23963.15</v>
      </c>
    </row>
    <row r="157" spans="1:7" x14ac:dyDescent="0.25">
      <c r="A157" s="2">
        <v>3999</v>
      </c>
      <c r="C157" s="2" t="s">
        <v>622</v>
      </c>
      <c r="D157" s="25">
        <v>1212782.6400000006</v>
      </c>
      <c r="E157" s="25">
        <v>393229.38999999315</v>
      </c>
      <c r="F157" s="25">
        <v>1589342.3900000155</v>
      </c>
      <c r="G157" s="25">
        <v>517984.75999999791</v>
      </c>
    </row>
    <row r="158" spans="1:7" x14ac:dyDescent="0.25">
      <c r="B158" s="2"/>
      <c r="C158" s="2"/>
      <c r="D158" s="2"/>
      <c r="E158" s="25"/>
      <c r="F158" s="25"/>
    </row>
    <row r="159" spans="1:7" x14ac:dyDescent="0.25">
      <c r="B159" s="2"/>
      <c r="C159" s="2"/>
      <c r="D159" s="2"/>
      <c r="E159" s="25"/>
      <c r="F159" s="25"/>
    </row>
    <row r="160" spans="1:7" x14ac:dyDescent="0.25">
      <c r="B160" s="2"/>
      <c r="C160" s="2"/>
      <c r="D160" s="2"/>
      <c r="E160" s="25"/>
      <c r="F160" s="25"/>
    </row>
    <row r="161" spans="2:6" x14ac:dyDescent="0.25">
      <c r="B161" s="2"/>
      <c r="C161" s="2"/>
      <c r="D161" s="2"/>
      <c r="E161" s="25"/>
      <c r="F16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Report</vt:lpstr>
      <vt:lpstr>Integration</vt:lpstr>
      <vt:lpstr>Referendum</vt:lpstr>
      <vt:lpstr>Sheet1</vt:lpstr>
      <vt:lpstr>Integration!Print_Area</vt:lpstr>
      <vt:lpstr>Referendum!Print_Area</vt:lpstr>
      <vt:lpstr>Report!Print_Area</vt:lpstr>
      <vt:lpstr>Integration!Print_Titles</vt:lpstr>
      <vt:lpstr>Report!Print_Titles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Porter, Bob</dc:creator>
  <cp:lastModifiedBy>Kostelecky, Teri</cp:lastModifiedBy>
  <cp:lastPrinted>2011-10-12T21:27:01Z</cp:lastPrinted>
  <dcterms:created xsi:type="dcterms:W3CDTF">2011-10-11T15:04:42Z</dcterms:created>
  <dcterms:modified xsi:type="dcterms:W3CDTF">2011-10-28T16:09:52Z</dcterms:modified>
</cp:coreProperties>
</file>