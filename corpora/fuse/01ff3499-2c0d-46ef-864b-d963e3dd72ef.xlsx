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14" sheetId="1" r:id="rId1"/>
  </sheets>
  <calcPr calcId="125725"/>
</workbook>
</file>

<file path=xl/calcChain.xml><?xml version="1.0" encoding="utf-8"?>
<calcChain xmlns="http://schemas.openxmlformats.org/spreadsheetml/2006/main">
  <c r="D20" i="1"/>
  <c r="D19"/>
</calcChain>
</file>

<file path=xl/sharedStrings.xml><?xml version="1.0" encoding="utf-8"?>
<sst xmlns="http://schemas.openxmlformats.org/spreadsheetml/2006/main" count="66" uniqueCount="36">
  <si>
    <t>Linguistic affiliation</t>
  </si>
  <si>
    <t>N</t>
  </si>
  <si>
    <t>Assamese</t>
  </si>
  <si>
    <t>Indo-European</t>
  </si>
  <si>
    <t>NA</t>
  </si>
  <si>
    <t>Bengali</t>
  </si>
  <si>
    <t>Gujarati</t>
  </si>
  <si>
    <t>Hindi</t>
  </si>
  <si>
    <t>Brahmin, Kshtriya</t>
  </si>
  <si>
    <t>Kannada</t>
  </si>
  <si>
    <t>Dravidian</t>
  </si>
  <si>
    <t>Kashmiri</t>
  </si>
  <si>
    <t xml:space="preserve">Kashmiri Pandit </t>
  </si>
  <si>
    <t>Konkani</t>
  </si>
  <si>
    <t>Malayalam</t>
  </si>
  <si>
    <t>Marathi</t>
  </si>
  <si>
    <t>Marwari</t>
  </si>
  <si>
    <t>Oriya</t>
  </si>
  <si>
    <t>Parsi</t>
  </si>
  <si>
    <t>Religious group</t>
  </si>
  <si>
    <t>Punjabi</t>
  </si>
  <si>
    <t>Tamil</t>
  </si>
  <si>
    <t>Tamil Brahmin</t>
  </si>
  <si>
    <t>Telugu</t>
  </si>
  <si>
    <t>Kapu, Naidu, Reddy</t>
  </si>
  <si>
    <t>Average</t>
  </si>
  <si>
    <t>Stdev</t>
  </si>
  <si>
    <t xml:space="preserve">Range </t>
  </si>
  <si>
    <t>0.70 to 1</t>
  </si>
  <si>
    <t>0.62 to 1</t>
  </si>
  <si>
    <r>
      <rPr>
        <b/>
        <sz val="11"/>
        <color theme="1"/>
        <rFont val="Calibri"/>
        <family val="2"/>
        <charset val="186"/>
        <scheme val="minor"/>
      </rPr>
      <t>Table S14.</t>
    </r>
    <r>
      <rPr>
        <sz val="11"/>
        <color theme="1"/>
        <rFont val="Calibri"/>
        <family val="2"/>
        <charset val="186"/>
        <scheme val="minor"/>
      </rPr>
      <t xml:space="preserve"> Comparison of the rs1426654 A allele frequencies of the current study with the study published by Pemberton et al. (Pemberton et al. 2008) [23]. </t>
    </r>
  </si>
  <si>
    <t>Populations from Pemberton et al. Study</t>
  </si>
  <si>
    <t xml:space="preserve"> rs1426654-A allele frequency</t>
  </si>
  <si>
    <t>rs1426654-A alelle frequency calculated from the present study</t>
  </si>
  <si>
    <t xml:space="preserve">Compared to following populations of the present study </t>
  </si>
  <si>
    <t xml:space="preserve">NA - Not available 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</si>
</sst>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6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selection activeCell="K13" sqref="K13"/>
    </sheetView>
  </sheetViews>
  <sheetFormatPr defaultRowHeight="15"/>
  <cols>
    <col min="1" max="1" width="15.7109375" style="2" customWidth="1"/>
    <col min="2" max="2" width="18.85546875" style="2" customWidth="1"/>
    <col min="3" max="3" width="8.28515625" style="2" customWidth="1"/>
    <col min="4" max="4" width="12" style="2" customWidth="1"/>
    <col min="5" max="5" width="9.140625" style="2"/>
    <col min="6" max="6" width="11.5703125" style="2" customWidth="1"/>
    <col min="7" max="7" width="18.140625" customWidth="1"/>
  </cols>
  <sheetData>
    <row r="1" spans="1:7">
      <c r="A1" t="s">
        <v>30</v>
      </c>
      <c r="B1" s="1"/>
    </row>
    <row r="2" spans="1:7">
      <c r="A2" s="1"/>
      <c r="B2" s="1"/>
    </row>
    <row r="3" spans="1:7" ht="15.75" thickBot="1">
      <c r="A3" s="12" t="s">
        <v>31</v>
      </c>
      <c r="B3" s="12" t="s">
        <v>0</v>
      </c>
      <c r="C3" s="13" t="s">
        <v>1</v>
      </c>
      <c r="D3" s="12" t="s">
        <v>32</v>
      </c>
      <c r="E3" s="13" t="s">
        <v>1</v>
      </c>
      <c r="F3" s="12" t="s">
        <v>33</v>
      </c>
      <c r="G3" s="12" t="s">
        <v>34</v>
      </c>
    </row>
    <row r="4" spans="1:7">
      <c r="A4" s="3" t="s">
        <v>2</v>
      </c>
      <c r="B4" s="3" t="s">
        <v>3</v>
      </c>
      <c r="C4" s="2">
        <v>26</v>
      </c>
      <c r="D4" s="2">
        <v>0.74</v>
      </c>
      <c r="E4" s="2" t="s">
        <v>4</v>
      </c>
      <c r="F4" s="2" t="s">
        <v>4</v>
      </c>
    </row>
    <row r="5" spans="1:7">
      <c r="A5" s="3" t="s">
        <v>5</v>
      </c>
      <c r="B5" s="3" t="s">
        <v>3</v>
      </c>
      <c r="C5" s="2">
        <v>27</v>
      </c>
      <c r="D5" s="2">
        <v>0.70700000000000007</v>
      </c>
      <c r="E5" s="2">
        <v>21</v>
      </c>
      <c r="F5" s="2">
        <v>0.64</v>
      </c>
      <c r="G5" t="s">
        <v>5</v>
      </c>
    </row>
    <row r="6" spans="1:7">
      <c r="A6" s="3" t="s">
        <v>6</v>
      </c>
      <c r="B6" s="3" t="s">
        <v>3</v>
      </c>
      <c r="C6" s="2">
        <v>181</v>
      </c>
      <c r="D6" s="2">
        <v>0.79200000000000004</v>
      </c>
      <c r="E6" s="2">
        <v>33</v>
      </c>
      <c r="F6" s="2">
        <v>0.92</v>
      </c>
      <c r="G6" t="s">
        <v>6</v>
      </c>
    </row>
    <row r="7" spans="1:7">
      <c r="A7" s="3" t="s">
        <v>7</v>
      </c>
      <c r="B7" s="3" t="s">
        <v>3</v>
      </c>
      <c r="C7" s="2">
        <v>29</v>
      </c>
      <c r="D7" s="2">
        <v>0.89500000000000002</v>
      </c>
      <c r="E7" s="2">
        <v>248</v>
      </c>
      <c r="F7" s="2">
        <v>0.82</v>
      </c>
      <c r="G7" t="s">
        <v>8</v>
      </c>
    </row>
    <row r="8" spans="1:7">
      <c r="A8" s="3" t="s">
        <v>9</v>
      </c>
      <c r="B8" s="3" t="s">
        <v>10</v>
      </c>
      <c r="C8" s="2">
        <v>24</v>
      </c>
      <c r="D8" s="2">
        <v>0.73199999999999998</v>
      </c>
      <c r="E8" s="2" t="s">
        <v>4</v>
      </c>
      <c r="F8" s="2" t="s">
        <v>4</v>
      </c>
    </row>
    <row r="9" spans="1:7">
      <c r="A9" s="3" t="s">
        <v>11</v>
      </c>
      <c r="B9" s="3" t="s">
        <v>3</v>
      </c>
      <c r="C9" s="2">
        <v>24</v>
      </c>
      <c r="D9" s="2">
        <v>0.98</v>
      </c>
      <c r="E9" s="2">
        <v>34</v>
      </c>
      <c r="F9" s="2">
        <v>0.96</v>
      </c>
      <c r="G9" t="s">
        <v>12</v>
      </c>
    </row>
    <row r="10" spans="1:7">
      <c r="A10" s="3" t="s">
        <v>13</v>
      </c>
      <c r="B10" s="3" t="s">
        <v>3</v>
      </c>
      <c r="C10" s="2">
        <v>43</v>
      </c>
      <c r="D10" s="2">
        <v>0.94199999999999995</v>
      </c>
      <c r="E10" s="2" t="s">
        <v>4</v>
      </c>
      <c r="F10" s="2" t="s">
        <v>4</v>
      </c>
    </row>
    <row r="11" spans="1:7">
      <c r="A11" s="3" t="s">
        <v>14</v>
      </c>
      <c r="B11" s="3" t="s">
        <v>10</v>
      </c>
      <c r="C11" s="2">
        <v>25</v>
      </c>
      <c r="D11" s="2">
        <v>0.74099999999999999</v>
      </c>
      <c r="E11" s="2" t="s">
        <v>4</v>
      </c>
      <c r="F11" s="2" t="s">
        <v>4</v>
      </c>
    </row>
    <row r="12" spans="1:7">
      <c r="A12" s="3" t="s">
        <v>15</v>
      </c>
      <c r="B12" s="3" t="s">
        <v>3</v>
      </c>
      <c r="C12" s="2">
        <v>26</v>
      </c>
      <c r="D12" s="2">
        <v>0.70399999999999996</v>
      </c>
      <c r="E12" s="2" t="s">
        <v>4</v>
      </c>
      <c r="F12" s="2" t="s">
        <v>4</v>
      </c>
    </row>
    <row r="13" spans="1:7">
      <c r="A13" s="3" t="s">
        <v>16</v>
      </c>
      <c r="B13" s="3" t="s">
        <v>3</v>
      </c>
      <c r="C13" s="2">
        <v>25</v>
      </c>
      <c r="D13" s="2">
        <v>0.95899999999999996</v>
      </c>
      <c r="E13" s="2" t="s">
        <v>4</v>
      </c>
      <c r="F13" s="2" t="s">
        <v>4</v>
      </c>
    </row>
    <row r="14" spans="1:7">
      <c r="A14" s="3" t="s">
        <v>17</v>
      </c>
      <c r="B14" s="3" t="s">
        <v>3</v>
      </c>
      <c r="C14" s="2">
        <v>27</v>
      </c>
      <c r="D14" s="2">
        <v>0.84599999999999997</v>
      </c>
      <c r="E14" s="2" t="s">
        <v>4</v>
      </c>
      <c r="F14" s="2" t="s">
        <v>4</v>
      </c>
    </row>
    <row r="15" spans="1:7">
      <c r="A15" s="3" t="s">
        <v>18</v>
      </c>
      <c r="B15" s="3" t="s">
        <v>19</v>
      </c>
      <c r="C15" s="2">
        <v>25</v>
      </c>
      <c r="D15" s="2">
        <v>0.9</v>
      </c>
      <c r="E15" s="2">
        <v>13</v>
      </c>
      <c r="F15" s="2">
        <v>1</v>
      </c>
      <c r="G15" t="s">
        <v>18</v>
      </c>
    </row>
    <row r="16" spans="1:7">
      <c r="A16" s="3" t="s">
        <v>20</v>
      </c>
      <c r="B16" s="3" t="s">
        <v>3</v>
      </c>
      <c r="C16" s="2">
        <v>28</v>
      </c>
      <c r="D16" s="2">
        <v>0.94799999999999995</v>
      </c>
      <c r="E16" s="2">
        <v>28</v>
      </c>
      <c r="F16" s="2">
        <v>0.95</v>
      </c>
      <c r="G16" t="s">
        <v>20</v>
      </c>
    </row>
    <row r="17" spans="1:9">
      <c r="A17" s="3" t="s">
        <v>21</v>
      </c>
      <c r="B17" s="3" t="s">
        <v>10</v>
      </c>
      <c r="C17" s="2">
        <v>29</v>
      </c>
      <c r="D17" s="2">
        <v>0.96399999999999997</v>
      </c>
      <c r="E17" s="2">
        <v>20</v>
      </c>
      <c r="F17" s="2">
        <v>0.8</v>
      </c>
      <c r="G17" t="s">
        <v>22</v>
      </c>
    </row>
    <row r="18" spans="1:9">
      <c r="A18" s="4" t="s">
        <v>23</v>
      </c>
      <c r="B18" s="4" t="s">
        <v>10</v>
      </c>
      <c r="C18" s="5">
        <v>28</v>
      </c>
      <c r="D18" s="5">
        <v>1</v>
      </c>
      <c r="E18" s="5">
        <v>242</v>
      </c>
      <c r="F18" s="5">
        <v>0.62</v>
      </c>
      <c r="G18" s="6" t="s">
        <v>24</v>
      </c>
    </row>
    <row r="19" spans="1:9">
      <c r="C19" s="14" t="s">
        <v>25</v>
      </c>
      <c r="D19" s="7">
        <f>AVERAGE(D4:D18)</f>
        <v>0.8566666666666668</v>
      </c>
      <c r="E19" s="8"/>
      <c r="F19" s="9">
        <v>0.83799999999999997</v>
      </c>
      <c r="G19" s="3"/>
    </row>
    <row r="20" spans="1:9">
      <c r="C20" s="14" t="s">
        <v>26</v>
      </c>
      <c r="D20" s="10">
        <f>STDEV(D4:D18)</f>
        <v>0.10995237064076294</v>
      </c>
      <c r="F20" s="11">
        <v>0.14499999999999999</v>
      </c>
      <c r="G20" s="3"/>
    </row>
    <row r="21" spans="1:9">
      <c r="C21" s="14" t="s">
        <v>27</v>
      </c>
      <c r="D21" s="2" t="s">
        <v>28</v>
      </c>
      <c r="F21" s="2" t="s">
        <v>29</v>
      </c>
      <c r="G21" s="3"/>
    </row>
    <row r="22" spans="1:9">
      <c r="A22" s="2" t="s">
        <v>35</v>
      </c>
      <c r="G22" s="2"/>
      <c r="H22" s="2"/>
      <c r="I22" s="2"/>
    </row>
    <row r="23" spans="1:9">
      <c r="G23" s="2"/>
      <c r="H23" s="2"/>
      <c r="I23" s="2"/>
    </row>
    <row r="24" spans="1:9">
      <c r="G24" s="2"/>
      <c r="H24" s="2"/>
      <c r="I24" s="2"/>
    </row>
    <row r="25" spans="1:9">
      <c r="G25" s="2"/>
      <c r="H25" s="2"/>
      <c r="I25" s="2"/>
    </row>
    <row r="26" spans="1:9">
      <c r="G26" s="2"/>
      <c r="H26" s="2"/>
      <c r="I26" s="2"/>
    </row>
    <row r="27" spans="1:9">
      <c r="G27" s="2"/>
      <c r="H27" s="2"/>
      <c r="I27" s="2"/>
    </row>
    <row r="28" spans="1:9">
      <c r="G28" s="2"/>
      <c r="H28" s="2"/>
      <c r="I28" s="2"/>
    </row>
    <row r="29" spans="1:9">
      <c r="G29" s="2"/>
      <c r="H29" s="2"/>
      <c r="I2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2013-08-09T04:53:00Z</dcterms:created>
  <dcterms:modified xsi:type="dcterms:W3CDTF">2013-10-03T09:27:03Z</dcterms:modified>
</cp:coreProperties>
</file>