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9440" windowHeight="799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D28" i="1"/>
  <c r="D20"/>
  <c r="D26"/>
  <c r="D18"/>
  <c r="D11"/>
  <c r="D13"/>
  <c r="D9"/>
  <c r="D16" l="1"/>
</calcChain>
</file>

<file path=xl/sharedStrings.xml><?xml version="1.0" encoding="utf-8"?>
<sst xmlns="http://schemas.openxmlformats.org/spreadsheetml/2006/main" count="34" uniqueCount="34">
  <si>
    <t>Laptop purchase</t>
  </si>
  <si>
    <t>Archery equipment for MKW</t>
  </si>
  <si>
    <t>Replacement of dock at Riverpoint</t>
  </si>
  <si>
    <t>Capital expenditures per balance sheeet</t>
  </si>
  <si>
    <t>MKW Bathhouse remodel - Publix grant</t>
  </si>
  <si>
    <t>Replacement of roofs on 2 bathhouses at MKW</t>
  </si>
  <si>
    <t>Girl Scouts of Citrus Council</t>
  </si>
  <si>
    <t>Cash Flow Analysis Related to Capital Expenditures</t>
  </si>
  <si>
    <t>For Year To Date:   10/1/11 through 6/30/12</t>
  </si>
  <si>
    <t>Budgeted 2012 Depreciation Expense</t>
  </si>
  <si>
    <t>The capitalization policy at GSCC is to capitalize asset expenditures over $1,000.</t>
  </si>
  <si>
    <t>Being researched for details</t>
  </si>
  <si>
    <t xml:space="preserve">Miscellaneous small purchases </t>
  </si>
  <si>
    <t xml:space="preserve">Note:  </t>
  </si>
  <si>
    <t xml:space="preserve">Proposal is to create a fund going forward that sets aside funds for capital replacements </t>
  </si>
  <si>
    <t xml:space="preserve">     at least equal to the amount of annual depreciation.</t>
  </si>
  <si>
    <t xml:space="preserve">Remaining Balance: 2012 Capital Cash Flow funds </t>
  </si>
  <si>
    <t>Finance Committee Voted to approve</t>
  </si>
  <si>
    <t>In prior years, the operating budget did not allow council to actually set aside the deprecitation funds</t>
  </si>
  <si>
    <t xml:space="preserve">    for re-investment in capital.</t>
  </si>
  <si>
    <t xml:space="preserve">    (This will be discussed in more detail at the next meeting.)</t>
  </si>
  <si>
    <t>Finance Committee Meeting Supporting Schedule</t>
  </si>
  <si>
    <t xml:space="preserve">   cash flow perspective is for a capital asset and is NOT covered in the operating </t>
  </si>
  <si>
    <t>Principal Payments for Pool Loan</t>
  </si>
  <si>
    <t>Estimated</t>
  </si>
  <si>
    <t>Forecasted Expenditures for 7/1/12-9/30/12</t>
  </si>
  <si>
    <t>Proposed Expenditure:Upgrading phone, computers, network</t>
  </si>
  <si>
    <t xml:space="preserve">    (See attached detailed list)</t>
  </si>
  <si>
    <t>Principal Payments for Pool Loan  (3 months)</t>
  </si>
  <si>
    <t xml:space="preserve">  (Interest portion is covered under the Operating Cash Flow.)</t>
  </si>
  <si>
    <t xml:space="preserve">The pool loan principal is treated as a capital cost since the loan to pay for the pool from a </t>
  </si>
  <si>
    <t>Available Balance as of 6/30/12:</t>
  </si>
  <si>
    <t>2012 Capital Expenditures through 6/30/12</t>
  </si>
  <si>
    <t>Capital Expenditures Year to Date through 6/30/012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</si>
</sst>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3" fontId="0" fillId="0" borderId="0" xfId="0" applyNumberFormat="1"/>
    <xf numFmtId="43" fontId="0" fillId="0" borderId="1" xfId="0" applyNumberFormat="1" applyBorder="1"/>
    <xf numFmtId="0" fontId="1" fillId="0" borderId="0" xfId="0" applyFont="1"/>
    <xf numFmtId="43" fontId="1" fillId="0" borderId="3" xfId="0" applyNumberFormat="1" applyFont="1" applyBorder="1"/>
    <xf numFmtId="43" fontId="1" fillId="0" borderId="0" xfId="0" applyNumberFormat="1" applyFont="1"/>
    <xf numFmtId="43" fontId="1" fillId="0" borderId="2" xfId="0" applyNumberFormat="1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topLeftCell="A10" workbookViewId="0">
      <selection activeCell="B1" sqref="B1:B4"/>
    </sheetView>
  </sheetViews>
  <sheetFormatPr defaultRowHeight="15"/>
  <cols>
    <col min="1" max="1" width="4" customWidth="1"/>
    <col min="2" max="2" width="43.7109375" customWidth="1"/>
    <col min="4" max="4" width="11.5703125" style="1" bestFit="1" customWidth="1"/>
    <col min="5" max="5" width="19.140625" customWidth="1"/>
    <col min="6" max="6" width="10.140625" bestFit="1" customWidth="1"/>
  </cols>
  <sheetData>
    <row r="1" spans="1:5">
      <c r="B1" s="3" t="s">
        <v>6</v>
      </c>
    </row>
    <row r="2" spans="1:5">
      <c r="B2" s="3" t="s">
        <v>21</v>
      </c>
    </row>
    <row r="3" spans="1:5">
      <c r="B3" s="3" t="s">
        <v>7</v>
      </c>
    </row>
    <row r="4" spans="1:5">
      <c r="B4" s="3" t="s">
        <v>8</v>
      </c>
    </row>
    <row r="6" spans="1:5" s="3" customFormat="1">
      <c r="A6" s="3" t="s">
        <v>9</v>
      </c>
      <c r="D6" s="5">
        <v>264800</v>
      </c>
    </row>
    <row r="8" spans="1:5">
      <c r="A8" t="s">
        <v>33</v>
      </c>
    </row>
    <row r="9" spans="1:5">
      <c r="B9" t="s">
        <v>0</v>
      </c>
      <c r="D9" s="1">
        <f>10046.7+2360.19+12406.88+1055</f>
        <v>25868.77</v>
      </c>
    </row>
    <row r="10" spans="1:5">
      <c r="B10" t="s">
        <v>1</v>
      </c>
      <c r="D10" s="1">
        <v>1637.98</v>
      </c>
    </row>
    <row r="11" spans="1:5">
      <c r="B11" t="s">
        <v>4</v>
      </c>
      <c r="D11" s="1">
        <f>12000+577.84+10790+221.5</f>
        <v>23589.34</v>
      </c>
    </row>
    <row r="12" spans="1:5">
      <c r="B12" t="s">
        <v>5</v>
      </c>
      <c r="D12" s="1">
        <v>10125</v>
      </c>
    </row>
    <row r="13" spans="1:5">
      <c r="B13" t="s">
        <v>2</v>
      </c>
      <c r="D13" s="1">
        <f>2930+2930</f>
        <v>5860</v>
      </c>
    </row>
    <row r="14" spans="1:5" ht="30.75" customHeight="1">
      <c r="B14" t="s">
        <v>12</v>
      </c>
      <c r="D14" s="1">
        <v>21960.17</v>
      </c>
      <c r="E14" s="7" t="s">
        <v>11</v>
      </c>
    </row>
    <row r="15" spans="1:5">
      <c r="D15" s="2"/>
    </row>
    <row r="16" spans="1:5" ht="45">
      <c r="B16" t="s">
        <v>32</v>
      </c>
      <c r="D16" s="1">
        <f>SUM(D9:D15)</f>
        <v>89041.26</v>
      </c>
      <c r="E16" s="7" t="s">
        <v>3</v>
      </c>
    </row>
    <row r="18" spans="1:6">
      <c r="B18" t="s">
        <v>23</v>
      </c>
      <c r="D18" s="1">
        <f>477779.14-439850.86</f>
        <v>37928.280000000028</v>
      </c>
    </row>
    <row r="20" spans="1:6" s="3" customFormat="1">
      <c r="A20" s="3" t="s">
        <v>31</v>
      </c>
      <c r="D20" s="4">
        <f>+D6-D16-D18</f>
        <v>137830.45999999996</v>
      </c>
      <c r="F20" s="5"/>
    </row>
    <row r="22" spans="1:6">
      <c r="A22" t="s">
        <v>25</v>
      </c>
    </row>
    <row r="23" spans="1:6" ht="30">
      <c r="B23" t="s">
        <v>26</v>
      </c>
      <c r="D23" s="1">
        <v>97594</v>
      </c>
      <c r="E23" s="7" t="s">
        <v>17</v>
      </c>
    </row>
    <row r="24" spans="1:6">
      <c r="B24" t="s">
        <v>27</v>
      </c>
    </row>
    <row r="26" spans="1:6">
      <c r="B26" t="s">
        <v>28</v>
      </c>
      <c r="D26" s="1">
        <f>+D18/3</f>
        <v>12642.760000000009</v>
      </c>
      <c r="E26" t="s">
        <v>24</v>
      </c>
    </row>
    <row r="28" spans="1:6" s="3" customFormat="1" ht="15.75" thickBot="1">
      <c r="A28" s="3" t="s">
        <v>16</v>
      </c>
      <c r="D28" s="6">
        <f>+D20-D23-D26</f>
        <v>27593.699999999953</v>
      </c>
    </row>
    <row r="29" spans="1:6" ht="15.75" thickTop="1"/>
    <row r="31" spans="1:6">
      <c r="B31" t="s">
        <v>13</v>
      </c>
    </row>
    <row r="32" spans="1:6">
      <c r="B32" t="s">
        <v>10</v>
      </c>
    </row>
    <row r="34" spans="2:2">
      <c r="B34" t="s">
        <v>30</v>
      </c>
    </row>
    <row r="35" spans="2:2">
      <c r="B35" t="s">
        <v>22</v>
      </c>
    </row>
    <row r="36" spans="2:2">
      <c r="B36" t="s">
        <v>29</v>
      </c>
    </row>
    <row r="38" spans="2:2">
      <c r="B38" t="s">
        <v>14</v>
      </c>
    </row>
    <row r="39" spans="2:2">
      <c r="B39" t="s">
        <v>15</v>
      </c>
    </row>
    <row r="40" spans="2:2">
      <c r="B40" t="s">
        <v>20</v>
      </c>
    </row>
    <row r="42" spans="2:2">
      <c r="B42" t="s">
        <v>18</v>
      </c>
    </row>
    <row r="43" spans="2:2">
      <c r="B43" t="s">
        <v>19</v>
      </c>
    </row>
  </sheetData>
  <pageMargins left="0.7" right="0.7" top="0.75" bottom="0.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jjohns</dc:creator>
  <cp:lastModifiedBy>sandy</cp:lastModifiedBy>
  <cp:lastPrinted>2012-07-30T16:08:49Z</cp:lastPrinted>
  <dcterms:created xsi:type="dcterms:W3CDTF">2012-07-27T00:57:01Z</dcterms:created>
  <dcterms:modified xsi:type="dcterms:W3CDTF">2012-08-02T15:28:53Z</dcterms:modified>
</cp:coreProperties>
</file>