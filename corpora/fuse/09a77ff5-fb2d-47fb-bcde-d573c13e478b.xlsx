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8676" activeTab="1"/>
  </bookViews>
  <sheets>
    <sheet name="Instructions" sheetId="4" r:id="rId1"/>
    <sheet name="Report" sheetId="1" r:id="rId2"/>
    <sheet name="HoursPer" sheetId="3" r:id="rId3"/>
  </sheets>
  <definedNames>
    <definedName name="District">Report!$D$3</definedName>
    <definedName name="HoursPer">HoursPer!$A$8:$G$541</definedName>
    <definedName name="_xlnm.Print_Titles" localSheetId="1">Report!$1:$8</definedName>
    <definedName name="Query_from_Databridge" localSheetId="2">HoursPer!$A$2:$F$541</definedName>
    <definedName name="TitleRegion1.a2.b41.1">Instructions!$B$41</definedName>
    <definedName name="TitleRegion1.a2.g609.3">HoursPer!$G$609</definedName>
    <definedName name="TitleRegion1.a3.u175.2">Report!$U$175</definedName>
    <definedName name="TitleRegion2.x9.an28.2">Report!$AN$28</definedName>
  </definedNames>
  <calcPr calcId="145621"/>
</workbook>
</file>

<file path=xl/calcChain.xml><?xml version="1.0" encoding="utf-8"?>
<calcChain xmlns="http://schemas.openxmlformats.org/spreadsheetml/2006/main">
  <c r="I5" i="1" l="1"/>
  <c r="F36" i="1"/>
  <c r="P37" i="1" s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E121" i="1"/>
  <c r="H121" i="1"/>
  <c r="J121" i="1"/>
  <c r="F121" i="1"/>
  <c r="G121" i="1"/>
  <c r="I121" i="1"/>
  <c r="G44" i="1"/>
  <c r="H44" i="1"/>
  <c r="I44" i="1"/>
  <c r="E44" i="1"/>
  <c r="D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I3" i="1"/>
  <c r="I4" i="1" s="1"/>
  <c r="D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D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D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D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D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D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D121" i="1"/>
  <c r="K121" i="1"/>
  <c r="L121" i="1"/>
  <c r="M121" i="1"/>
  <c r="N121" i="1"/>
  <c r="O121" i="1"/>
  <c r="P121" i="1"/>
  <c r="Q121" i="1"/>
  <c r="R121" i="1"/>
  <c r="S121" i="1"/>
  <c r="D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D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D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D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D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D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D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D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D44" i="1"/>
  <c r="F44" i="1"/>
  <c r="J44" i="1"/>
  <c r="K44" i="1"/>
  <c r="L44" i="1"/>
  <c r="M44" i="1"/>
  <c r="N44" i="1"/>
  <c r="O44" i="1"/>
  <c r="P44" i="1"/>
  <c r="Q44" i="1"/>
  <c r="R44" i="1"/>
  <c r="S44" i="1"/>
  <c r="D36" i="1"/>
  <c r="E36" i="1"/>
  <c r="E51" i="1"/>
  <c r="E58" i="1"/>
  <c r="E65" i="1"/>
  <c r="E72" i="1"/>
  <c r="E79" i="1"/>
  <c r="E86" i="1"/>
  <c r="E93" i="1"/>
  <c r="E100" i="1"/>
  <c r="E107" i="1"/>
  <c r="E114" i="1"/>
  <c r="E128" i="1"/>
  <c r="E135" i="1"/>
  <c r="E142" i="1"/>
  <c r="E149" i="1"/>
  <c r="E156" i="1"/>
  <c r="E163" i="1"/>
  <c r="E170" i="1"/>
  <c r="G6" i="3"/>
  <c r="F6" i="3"/>
  <c r="B44" i="1"/>
  <c r="B51" i="1"/>
  <c r="B58" i="1"/>
  <c r="B65" i="1"/>
  <c r="B72" i="1"/>
  <c r="B79" i="1"/>
  <c r="B86" i="1"/>
  <c r="B93" i="1"/>
  <c r="B100" i="1"/>
  <c r="B107" i="1"/>
  <c r="B114" i="1"/>
  <c r="B121" i="1"/>
  <c r="B128" i="1"/>
  <c r="B135" i="1"/>
  <c r="B142" i="1"/>
  <c r="B149" i="1"/>
  <c r="B156" i="1"/>
  <c r="B163" i="1"/>
  <c r="B170" i="1"/>
  <c r="B36" i="1"/>
  <c r="J37" i="1" l="1"/>
  <c r="S73" i="1"/>
  <c r="R80" i="1"/>
  <c r="S101" i="1"/>
  <c r="R108" i="1"/>
  <c r="R129" i="1"/>
  <c r="S150" i="1"/>
  <c r="R157" i="1"/>
  <c r="H37" i="1"/>
  <c r="N37" i="1"/>
  <c r="F37" i="1"/>
  <c r="S59" i="1"/>
  <c r="R66" i="1"/>
  <c r="S87" i="1"/>
  <c r="R94" i="1"/>
  <c r="S115" i="1"/>
  <c r="R122" i="1"/>
  <c r="S136" i="1"/>
  <c r="R143" i="1"/>
  <c r="S171" i="1"/>
  <c r="L37" i="1"/>
  <c r="S45" i="1"/>
  <c r="S52" i="1"/>
  <c r="R164" i="1"/>
  <c r="R171" i="1"/>
  <c r="R37" i="1"/>
  <c r="G37" i="1"/>
  <c r="R45" i="1"/>
  <c r="P45" i="1"/>
  <c r="N45" i="1"/>
  <c r="L45" i="1"/>
  <c r="J45" i="1"/>
  <c r="R52" i="1"/>
  <c r="P52" i="1"/>
  <c r="N52" i="1"/>
  <c r="L52" i="1"/>
  <c r="J52" i="1"/>
  <c r="H52" i="1"/>
  <c r="F52" i="1"/>
  <c r="P66" i="1"/>
  <c r="N66" i="1"/>
  <c r="L66" i="1"/>
  <c r="J66" i="1"/>
  <c r="H66" i="1"/>
  <c r="F66" i="1"/>
  <c r="Q45" i="1"/>
  <c r="O45" i="1"/>
  <c r="M45" i="1"/>
  <c r="K45" i="1"/>
  <c r="F45" i="1"/>
  <c r="H45" i="1"/>
  <c r="G45" i="1"/>
  <c r="I45" i="1"/>
  <c r="Q52" i="1"/>
  <c r="O52" i="1"/>
  <c r="M52" i="1"/>
  <c r="K52" i="1"/>
  <c r="I52" i="1"/>
  <c r="G52" i="1"/>
  <c r="Q59" i="1"/>
  <c r="O59" i="1"/>
  <c r="M59" i="1"/>
  <c r="K59" i="1"/>
  <c r="I59" i="1"/>
  <c r="G59" i="1"/>
  <c r="R59" i="1"/>
  <c r="P59" i="1"/>
  <c r="N59" i="1"/>
  <c r="L59" i="1"/>
  <c r="J59" i="1"/>
  <c r="H59" i="1"/>
  <c r="F59" i="1"/>
  <c r="S66" i="1"/>
  <c r="Q66" i="1"/>
  <c r="O66" i="1"/>
  <c r="M66" i="1"/>
  <c r="K66" i="1"/>
  <c r="I66" i="1"/>
  <c r="G66" i="1"/>
  <c r="R73" i="1"/>
  <c r="P73" i="1"/>
  <c r="N73" i="1"/>
  <c r="L73" i="1"/>
  <c r="J73" i="1"/>
  <c r="H73" i="1"/>
  <c r="F73" i="1"/>
  <c r="S80" i="1"/>
  <c r="Q80" i="1"/>
  <c r="O80" i="1"/>
  <c r="M80" i="1"/>
  <c r="K80" i="1"/>
  <c r="I80" i="1"/>
  <c r="G80" i="1"/>
  <c r="R87" i="1"/>
  <c r="P87" i="1"/>
  <c r="N87" i="1"/>
  <c r="L87" i="1"/>
  <c r="J87" i="1"/>
  <c r="H87" i="1"/>
  <c r="F87" i="1"/>
  <c r="S94" i="1"/>
  <c r="Q94" i="1"/>
  <c r="O94" i="1"/>
  <c r="M94" i="1"/>
  <c r="K94" i="1"/>
  <c r="I94" i="1"/>
  <c r="G94" i="1"/>
  <c r="R101" i="1"/>
  <c r="P101" i="1"/>
  <c r="N101" i="1"/>
  <c r="L101" i="1"/>
  <c r="J101" i="1"/>
  <c r="H101" i="1"/>
  <c r="F101" i="1"/>
  <c r="S108" i="1"/>
  <c r="Q108" i="1"/>
  <c r="O108" i="1"/>
  <c r="M108" i="1"/>
  <c r="K108" i="1"/>
  <c r="I108" i="1"/>
  <c r="G108" i="1"/>
  <c r="R115" i="1"/>
  <c r="P115" i="1"/>
  <c r="N115" i="1"/>
  <c r="L115" i="1"/>
  <c r="J115" i="1"/>
  <c r="H115" i="1"/>
  <c r="F115" i="1"/>
  <c r="S122" i="1"/>
  <c r="Q122" i="1"/>
  <c r="O122" i="1"/>
  <c r="M122" i="1"/>
  <c r="K122" i="1"/>
  <c r="S129" i="1"/>
  <c r="Q129" i="1"/>
  <c r="O129" i="1"/>
  <c r="M129" i="1"/>
  <c r="K129" i="1"/>
  <c r="I129" i="1"/>
  <c r="G129" i="1"/>
  <c r="R136" i="1"/>
  <c r="P136" i="1"/>
  <c r="N136" i="1"/>
  <c r="L136" i="1"/>
  <c r="J136" i="1"/>
  <c r="H136" i="1"/>
  <c r="F136" i="1"/>
  <c r="S143" i="1"/>
  <c r="Q143" i="1"/>
  <c r="O143" i="1"/>
  <c r="M143" i="1"/>
  <c r="K143" i="1"/>
  <c r="I143" i="1"/>
  <c r="G143" i="1"/>
  <c r="R150" i="1"/>
  <c r="P150" i="1"/>
  <c r="N150" i="1"/>
  <c r="L150" i="1"/>
  <c r="J150" i="1"/>
  <c r="H150" i="1"/>
  <c r="F150" i="1"/>
  <c r="S157" i="1"/>
  <c r="Q157" i="1"/>
  <c r="O157" i="1"/>
  <c r="M157" i="1"/>
  <c r="K157" i="1"/>
  <c r="I157" i="1"/>
  <c r="G157" i="1"/>
  <c r="Q73" i="1"/>
  <c r="O73" i="1"/>
  <c r="M73" i="1"/>
  <c r="K73" i="1"/>
  <c r="I73" i="1"/>
  <c r="G73" i="1"/>
  <c r="P80" i="1"/>
  <c r="N80" i="1"/>
  <c r="L80" i="1"/>
  <c r="J80" i="1"/>
  <c r="H80" i="1"/>
  <c r="F80" i="1"/>
  <c r="Q87" i="1"/>
  <c r="O87" i="1"/>
  <c r="M87" i="1"/>
  <c r="K87" i="1"/>
  <c r="I87" i="1"/>
  <c r="G87" i="1"/>
  <c r="P94" i="1"/>
  <c r="N94" i="1"/>
  <c r="L94" i="1"/>
  <c r="J94" i="1"/>
  <c r="H94" i="1"/>
  <c r="F94" i="1"/>
  <c r="Q101" i="1"/>
  <c r="O101" i="1"/>
  <c r="M101" i="1"/>
  <c r="K101" i="1"/>
  <c r="I101" i="1"/>
  <c r="G101" i="1"/>
  <c r="P108" i="1"/>
  <c r="N108" i="1"/>
  <c r="L108" i="1"/>
  <c r="J108" i="1"/>
  <c r="H108" i="1"/>
  <c r="F108" i="1"/>
  <c r="Q115" i="1"/>
  <c r="O115" i="1"/>
  <c r="M115" i="1"/>
  <c r="K115" i="1"/>
  <c r="I115" i="1"/>
  <c r="G115" i="1"/>
  <c r="P122" i="1"/>
  <c r="N122" i="1"/>
  <c r="L122" i="1"/>
  <c r="P129" i="1"/>
  <c r="N129" i="1"/>
  <c r="L129" i="1"/>
  <c r="J129" i="1"/>
  <c r="H129" i="1"/>
  <c r="F129" i="1"/>
  <c r="Q136" i="1"/>
  <c r="O136" i="1"/>
  <c r="M136" i="1"/>
  <c r="K136" i="1"/>
  <c r="I136" i="1"/>
  <c r="G136" i="1"/>
  <c r="P143" i="1"/>
  <c r="N143" i="1"/>
  <c r="L143" i="1"/>
  <c r="J143" i="1"/>
  <c r="H143" i="1"/>
  <c r="F143" i="1"/>
  <c r="Q150" i="1"/>
  <c r="O150" i="1"/>
  <c r="M150" i="1"/>
  <c r="K150" i="1"/>
  <c r="I150" i="1"/>
  <c r="G150" i="1"/>
  <c r="P157" i="1"/>
  <c r="N157" i="1"/>
  <c r="L157" i="1"/>
  <c r="J157" i="1"/>
  <c r="H157" i="1"/>
  <c r="F157" i="1"/>
  <c r="P164" i="1"/>
  <c r="N164" i="1"/>
  <c r="L164" i="1"/>
  <c r="J164" i="1"/>
  <c r="H164" i="1"/>
  <c r="F164" i="1"/>
  <c r="S164" i="1"/>
  <c r="Q164" i="1"/>
  <c r="O164" i="1"/>
  <c r="M164" i="1"/>
  <c r="K164" i="1"/>
  <c r="I164" i="1"/>
  <c r="G164" i="1"/>
  <c r="P171" i="1"/>
  <c r="N171" i="1"/>
  <c r="L171" i="1"/>
  <c r="J171" i="1"/>
  <c r="H171" i="1"/>
  <c r="F171" i="1"/>
  <c r="I122" i="1"/>
  <c r="F122" i="1"/>
  <c r="H122" i="1"/>
  <c r="Q171" i="1"/>
  <c r="O171" i="1"/>
  <c r="M171" i="1"/>
  <c r="K171" i="1"/>
  <c r="I171" i="1"/>
  <c r="G171" i="1"/>
  <c r="G122" i="1"/>
  <c r="J122" i="1"/>
  <c r="S37" i="1"/>
  <c r="Q37" i="1"/>
  <c r="O37" i="1"/>
  <c r="M37" i="1"/>
  <c r="K37" i="1"/>
  <c r="I37" i="1"/>
  <c r="Q38" i="1" l="1"/>
  <c r="Q39" i="1" s="1"/>
  <c r="J38" i="1"/>
  <c r="F38" i="1"/>
  <c r="R38" i="1"/>
  <c r="S172" i="1"/>
  <c r="Q172" i="1"/>
  <c r="O172" i="1"/>
  <c r="M172" i="1"/>
  <c r="K172" i="1"/>
  <c r="I172" i="1"/>
  <c r="G172" i="1"/>
  <c r="R172" i="1"/>
  <c r="N172" i="1"/>
  <c r="J172" i="1"/>
  <c r="F172" i="1"/>
  <c r="P172" i="1"/>
  <c r="L172" i="1"/>
  <c r="H172" i="1"/>
  <c r="G38" i="1"/>
  <c r="M38" i="1"/>
  <c r="I38" i="1"/>
  <c r="P38" i="1"/>
  <c r="L38" i="1"/>
  <c r="H38" i="1"/>
  <c r="O38" i="1"/>
  <c r="S38" i="1"/>
  <c r="S165" i="1"/>
  <c r="Q165" i="1"/>
  <c r="O165" i="1"/>
  <c r="M165" i="1"/>
  <c r="K165" i="1"/>
  <c r="I165" i="1"/>
  <c r="G165" i="1"/>
  <c r="R165" i="1"/>
  <c r="N165" i="1"/>
  <c r="J165" i="1"/>
  <c r="F165" i="1"/>
  <c r="P165" i="1"/>
  <c r="L165" i="1"/>
  <c r="H165" i="1"/>
  <c r="S158" i="1"/>
  <c r="Q158" i="1"/>
  <c r="O158" i="1"/>
  <c r="M158" i="1"/>
  <c r="K158" i="1"/>
  <c r="I158" i="1"/>
  <c r="G158" i="1"/>
  <c r="R158" i="1"/>
  <c r="N158" i="1"/>
  <c r="J158" i="1"/>
  <c r="F158" i="1"/>
  <c r="P158" i="1"/>
  <c r="L158" i="1"/>
  <c r="H158" i="1"/>
  <c r="S144" i="1"/>
  <c r="Q144" i="1"/>
  <c r="O144" i="1"/>
  <c r="M144" i="1"/>
  <c r="K144" i="1"/>
  <c r="I144" i="1"/>
  <c r="G144" i="1"/>
  <c r="R144" i="1"/>
  <c r="N144" i="1"/>
  <c r="J144" i="1"/>
  <c r="F144" i="1"/>
  <c r="P144" i="1"/>
  <c r="L144" i="1"/>
  <c r="H144" i="1"/>
  <c r="S130" i="1"/>
  <c r="Q130" i="1"/>
  <c r="O130" i="1"/>
  <c r="M130" i="1"/>
  <c r="K130" i="1"/>
  <c r="I130" i="1"/>
  <c r="G130" i="1"/>
  <c r="R130" i="1"/>
  <c r="P130" i="1"/>
  <c r="N130" i="1"/>
  <c r="L130" i="1"/>
  <c r="J130" i="1"/>
  <c r="H130" i="1"/>
  <c r="F130" i="1"/>
  <c r="S151" i="1"/>
  <c r="Q151" i="1"/>
  <c r="O151" i="1"/>
  <c r="M151" i="1"/>
  <c r="K151" i="1"/>
  <c r="I151" i="1"/>
  <c r="G151" i="1"/>
  <c r="R151" i="1"/>
  <c r="N151" i="1"/>
  <c r="J151" i="1"/>
  <c r="F151" i="1"/>
  <c r="P151" i="1"/>
  <c r="L151" i="1"/>
  <c r="H151" i="1"/>
  <c r="R102" i="1"/>
  <c r="P102" i="1"/>
  <c r="N102" i="1"/>
  <c r="L102" i="1"/>
  <c r="J102" i="1"/>
  <c r="H102" i="1"/>
  <c r="F102" i="1"/>
  <c r="S102" i="1"/>
  <c r="O102" i="1"/>
  <c r="K102" i="1"/>
  <c r="G102" i="1"/>
  <c r="Q102" i="1"/>
  <c r="M102" i="1"/>
  <c r="I102" i="1"/>
  <c r="R74" i="1"/>
  <c r="P74" i="1"/>
  <c r="N74" i="1"/>
  <c r="L74" i="1"/>
  <c r="J74" i="1"/>
  <c r="H74" i="1"/>
  <c r="F74" i="1"/>
  <c r="S74" i="1"/>
  <c r="Q74" i="1"/>
  <c r="O74" i="1"/>
  <c r="M74" i="1"/>
  <c r="K74" i="1"/>
  <c r="I74" i="1"/>
  <c r="G74" i="1"/>
  <c r="R67" i="1"/>
  <c r="P67" i="1"/>
  <c r="N67" i="1"/>
  <c r="L67" i="1"/>
  <c r="J67" i="1"/>
  <c r="H67" i="1"/>
  <c r="F67" i="1"/>
  <c r="S67" i="1"/>
  <c r="Q67" i="1"/>
  <c r="O67" i="1"/>
  <c r="M67" i="1"/>
  <c r="K67" i="1"/>
  <c r="I67" i="1"/>
  <c r="G67" i="1"/>
  <c r="R53" i="1"/>
  <c r="P53" i="1"/>
  <c r="N53" i="1"/>
  <c r="L53" i="1"/>
  <c r="J53" i="1"/>
  <c r="H53" i="1"/>
  <c r="F53" i="1"/>
  <c r="S53" i="1"/>
  <c r="Q53" i="1"/>
  <c r="O53" i="1"/>
  <c r="M53" i="1"/>
  <c r="K53" i="1"/>
  <c r="I53" i="1"/>
  <c r="G53" i="1"/>
  <c r="N38" i="1"/>
  <c r="K38" i="1"/>
  <c r="S123" i="1"/>
  <c r="Q123" i="1"/>
  <c r="O123" i="1"/>
  <c r="M123" i="1"/>
  <c r="K123" i="1"/>
  <c r="I123" i="1"/>
  <c r="G123" i="1"/>
  <c r="R123" i="1"/>
  <c r="P123" i="1"/>
  <c r="N123" i="1"/>
  <c r="L123" i="1"/>
  <c r="J123" i="1"/>
  <c r="H123" i="1"/>
  <c r="F123" i="1"/>
  <c r="R109" i="1"/>
  <c r="P109" i="1"/>
  <c r="N109" i="1"/>
  <c r="L109" i="1"/>
  <c r="J109" i="1"/>
  <c r="H109" i="1"/>
  <c r="F109" i="1"/>
  <c r="S109" i="1"/>
  <c r="O109" i="1"/>
  <c r="K109" i="1"/>
  <c r="G109" i="1"/>
  <c r="Q109" i="1"/>
  <c r="M109" i="1"/>
  <c r="I109" i="1"/>
  <c r="R95" i="1"/>
  <c r="P95" i="1"/>
  <c r="N95" i="1"/>
  <c r="L95" i="1"/>
  <c r="J95" i="1"/>
  <c r="H95" i="1"/>
  <c r="F95" i="1"/>
  <c r="S95" i="1"/>
  <c r="O95" i="1"/>
  <c r="K95" i="1"/>
  <c r="G95" i="1"/>
  <c r="Q95" i="1"/>
  <c r="M95" i="1"/>
  <c r="I95" i="1"/>
  <c r="R81" i="1"/>
  <c r="P81" i="1"/>
  <c r="N81" i="1"/>
  <c r="L81" i="1"/>
  <c r="J81" i="1"/>
  <c r="H81" i="1"/>
  <c r="F81" i="1"/>
  <c r="S81" i="1"/>
  <c r="Q81" i="1"/>
  <c r="O81" i="1"/>
  <c r="M81" i="1"/>
  <c r="K81" i="1"/>
  <c r="I81" i="1"/>
  <c r="G81" i="1"/>
  <c r="S137" i="1"/>
  <c r="Q137" i="1"/>
  <c r="O137" i="1"/>
  <c r="M137" i="1"/>
  <c r="K137" i="1"/>
  <c r="I137" i="1"/>
  <c r="G137" i="1"/>
  <c r="R137" i="1"/>
  <c r="N137" i="1"/>
  <c r="J137" i="1"/>
  <c r="F137" i="1"/>
  <c r="P137" i="1"/>
  <c r="L137" i="1"/>
  <c r="H137" i="1"/>
  <c r="S116" i="1"/>
  <c r="Q116" i="1"/>
  <c r="O116" i="1"/>
  <c r="M116" i="1"/>
  <c r="K116" i="1"/>
  <c r="I116" i="1"/>
  <c r="G116" i="1"/>
  <c r="R116" i="1"/>
  <c r="P116" i="1"/>
  <c r="N116" i="1"/>
  <c r="L116" i="1"/>
  <c r="J116" i="1"/>
  <c r="H116" i="1"/>
  <c r="F116" i="1"/>
  <c r="R88" i="1"/>
  <c r="P88" i="1"/>
  <c r="N88" i="1"/>
  <c r="L88" i="1"/>
  <c r="J88" i="1"/>
  <c r="H88" i="1"/>
  <c r="F88" i="1"/>
  <c r="S88" i="1"/>
  <c r="Q88" i="1"/>
  <c r="O88" i="1"/>
  <c r="M88" i="1"/>
  <c r="K88" i="1"/>
  <c r="I88" i="1"/>
  <c r="G88" i="1"/>
  <c r="R60" i="1"/>
  <c r="P60" i="1"/>
  <c r="N60" i="1"/>
  <c r="L60" i="1"/>
  <c r="J60" i="1"/>
  <c r="H60" i="1"/>
  <c r="F60" i="1"/>
  <c r="S60" i="1"/>
  <c r="Q60" i="1"/>
  <c r="O60" i="1"/>
  <c r="M60" i="1"/>
  <c r="K60" i="1"/>
  <c r="I60" i="1"/>
  <c r="G60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Q41" i="1" l="1"/>
  <c r="H49" i="1"/>
  <c r="H47" i="1"/>
  <c r="H48" i="1" s="1"/>
  <c r="L49" i="1"/>
  <c r="L47" i="1"/>
  <c r="L48" i="1" s="1"/>
  <c r="N49" i="1"/>
  <c r="N47" i="1"/>
  <c r="N48" i="1" s="1"/>
  <c r="R47" i="1"/>
  <c r="R48" i="1" s="1"/>
  <c r="R49" i="1"/>
  <c r="G63" i="1"/>
  <c r="G61" i="1"/>
  <c r="G62" i="1" s="1"/>
  <c r="O63" i="1"/>
  <c r="O61" i="1"/>
  <c r="O62" i="1" s="1"/>
  <c r="H61" i="1"/>
  <c r="H62" i="1" s="1"/>
  <c r="H63" i="1"/>
  <c r="P61" i="1"/>
  <c r="P62" i="1" s="1"/>
  <c r="P63" i="1"/>
  <c r="G91" i="1"/>
  <c r="G89" i="1"/>
  <c r="G90" i="1" s="1"/>
  <c r="O91" i="1"/>
  <c r="O89" i="1"/>
  <c r="O90" i="1" s="1"/>
  <c r="H89" i="1"/>
  <c r="H90" i="1" s="1"/>
  <c r="H91" i="1"/>
  <c r="P89" i="1"/>
  <c r="P90" i="1" s="1"/>
  <c r="P91" i="1"/>
  <c r="J119" i="1"/>
  <c r="J117" i="1"/>
  <c r="J118" i="1" s="1"/>
  <c r="N119" i="1"/>
  <c r="N117" i="1"/>
  <c r="N118" i="1" s="1"/>
  <c r="I119" i="1"/>
  <c r="I117" i="1"/>
  <c r="I118" i="1" s="1"/>
  <c r="Q119" i="1"/>
  <c r="Q117" i="1"/>
  <c r="Q118" i="1" s="1"/>
  <c r="P138" i="1"/>
  <c r="P139" i="1" s="1"/>
  <c r="P140" i="1"/>
  <c r="J140" i="1"/>
  <c r="J138" i="1"/>
  <c r="J139" i="1" s="1"/>
  <c r="I140" i="1"/>
  <c r="I138" i="1"/>
  <c r="I139" i="1" s="1"/>
  <c r="Q140" i="1"/>
  <c r="Q138" i="1"/>
  <c r="Q139" i="1" s="1"/>
  <c r="K82" i="1"/>
  <c r="K83" i="1" s="1"/>
  <c r="K84" i="1"/>
  <c r="G49" i="1"/>
  <c r="G47" i="1"/>
  <c r="G48" i="1" s="1"/>
  <c r="I49" i="1"/>
  <c r="I47" i="1"/>
  <c r="I48" i="1" s="1"/>
  <c r="K49" i="1"/>
  <c r="K47" i="1"/>
  <c r="K48" i="1" s="1"/>
  <c r="M49" i="1"/>
  <c r="M47" i="1"/>
  <c r="M48" i="1" s="1"/>
  <c r="O49" i="1"/>
  <c r="O47" i="1"/>
  <c r="O48" i="1" s="1"/>
  <c r="Q49" i="1"/>
  <c r="Q47" i="1"/>
  <c r="Q48" i="1" s="1"/>
  <c r="S47" i="1"/>
  <c r="S48" i="1" s="1"/>
  <c r="S49" i="1"/>
  <c r="I63" i="1"/>
  <c r="I61" i="1"/>
  <c r="I62" i="1" s="1"/>
  <c r="M63" i="1"/>
  <c r="M61" i="1"/>
  <c r="M62" i="1" s="1"/>
  <c r="Q63" i="1"/>
  <c r="Q61" i="1"/>
  <c r="Q62" i="1" s="1"/>
  <c r="F63" i="1"/>
  <c r="F61" i="1"/>
  <c r="J63" i="1"/>
  <c r="J61" i="1"/>
  <c r="J62" i="1" s="1"/>
  <c r="N63" i="1"/>
  <c r="N61" i="1"/>
  <c r="N62" i="1" s="1"/>
  <c r="R63" i="1"/>
  <c r="R61" i="1"/>
  <c r="R62" i="1" s="1"/>
  <c r="I91" i="1"/>
  <c r="I89" i="1"/>
  <c r="I90" i="1" s="1"/>
  <c r="M91" i="1"/>
  <c r="M89" i="1"/>
  <c r="M90" i="1" s="1"/>
  <c r="Q91" i="1"/>
  <c r="Q89" i="1"/>
  <c r="Q90" i="1" s="1"/>
  <c r="F91" i="1"/>
  <c r="F89" i="1"/>
  <c r="J91" i="1"/>
  <c r="J89" i="1"/>
  <c r="J90" i="1" s="1"/>
  <c r="N91" i="1"/>
  <c r="N89" i="1"/>
  <c r="N90" i="1" s="1"/>
  <c r="R91" i="1"/>
  <c r="R89" i="1"/>
  <c r="R90" i="1" s="1"/>
  <c r="H117" i="1"/>
  <c r="H118" i="1" s="1"/>
  <c r="H119" i="1"/>
  <c r="L117" i="1"/>
  <c r="L118" i="1" s="1"/>
  <c r="L119" i="1"/>
  <c r="P117" i="1"/>
  <c r="P118" i="1" s="1"/>
  <c r="P119" i="1"/>
  <c r="G119" i="1"/>
  <c r="G117" i="1"/>
  <c r="G118" i="1" s="1"/>
  <c r="K119" i="1"/>
  <c r="K117" i="1"/>
  <c r="K118" i="1" s="1"/>
  <c r="O119" i="1"/>
  <c r="O117" i="1"/>
  <c r="O118" i="1" s="1"/>
  <c r="S119" i="1"/>
  <c r="S117" i="1"/>
  <c r="S118" i="1" s="1"/>
  <c r="L140" i="1"/>
  <c r="L138" i="1"/>
  <c r="L139" i="1" s="1"/>
  <c r="F138" i="1"/>
  <c r="F140" i="1"/>
  <c r="N138" i="1"/>
  <c r="N139" i="1" s="1"/>
  <c r="N140" i="1"/>
  <c r="G140" i="1"/>
  <c r="G138" i="1"/>
  <c r="G139" i="1" s="1"/>
  <c r="K140" i="1"/>
  <c r="K138" i="1"/>
  <c r="K139" i="1" s="1"/>
  <c r="O140" i="1"/>
  <c r="O138" i="1"/>
  <c r="O139" i="1" s="1"/>
  <c r="S140" i="1"/>
  <c r="S138" i="1"/>
  <c r="S139" i="1" s="1"/>
  <c r="I82" i="1"/>
  <c r="I83" i="1" s="1"/>
  <c r="I84" i="1"/>
  <c r="M82" i="1"/>
  <c r="M83" i="1" s="1"/>
  <c r="M84" i="1"/>
  <c r="Q82" i="1"/>
  <c r="Q83" i="1" s="1"/>
  <c r="Q84" i="1"/>
  <c r="F82" i="1"/>
  <c r="F84" i="1"/>
  <c r="J82" i="1"/>
  <c r="J83" i="1" s="1"/>
  <c r="J84" i="1"/>
  <c r="N82" i="1"/>
  <c r="N83" i="1" s="1"/>
  <c r="N84" i="1"/>
  <c r="R82" i="1"/>
  <c r="R83" i="1" s="1"/>
  <c r="R84" i="1"/>
  <c r="M96" i="1"/>
  <c r="M97" i="1" s="1"/>
  <c r="M98" i="1"/>
  <c r="G96" i="1"/>
  <c r="G97" i="1" s="1"/>
  <c r="G98" i="1"/>
  <c r="O96" i="1"/>
  <c r="O97" i="1" s="1"/>
  <c r="O98" i="1"/>
  <c r="F96" i="1"/>
  <c r="F98" i="1"/>
  <c r="J96" i="1"/>
  <c r="J97" i="1" s="1"/>
  <c r="J98" i="1"/>
  <c r="N96" i="1"/>
  <c r="N97" i="1" s="1"/>
  <c r="N98" i="1"/>
  <c r="R96" i="1"/>
  <c r="R97" i="1" s="1"/>
  <c r="R98" i="1"/>
  <c r="M110" i="1"/>
  <c r="M111" i="1" s="1"/>
  <c r="M112" i="1"/>
  <c r="G110" i="1"/>
  <c r="G111" i="1" s="1"/>
  <c r="G112" i="1"/>
  <c r="O110" i="1"/>
  <c r="O111" i="1" s="1"/>
  <c r="O112" i="1"/>
  <c r="F110" i="1"/>
  <c r="F112" i="1"/>
  <c r="J110" i="1"/>
  <c r="J111" i="1" s="1"/>
  <c r="J112" i="1"/>
  <c r="N110" i="1"/>
  <c r="N111" i="1" s="1"/>
  <c r="N112" i="1"/>
  <c r="R110" i="1"/>
  <c r="R111" i="1" s="1"/>
  <c r="R112" i="1"/>
  <c r="H126" i="1"/>
  <c r="H124" i="1"/>
  <c r="H125" i="1" s="1"/>
  <c r="L126" i="1"/>
  <c r="L124" i="1"/>
  <c r="L125" i="1" s="1"/>
  <c r="P126" i="1"/>
  <c r="P124" i="1"/>
  <c r="P125" i="1" s="1"/>
  <c r="G126" i="1"/>
  <c r="G124" i="1"/>
  <c r="G125" i="1" s="1"/>
  <c r="K126" i="1"/>
  <c r="K124" i="1"/>
  <c r="K125" i="1" s="1"/>
  <c r="O126" i="1"/>
  <c r="O124" i="1"/>
  <c r="O125" i="1" s="1"/>
  <c r="S126" i="1"/>
  <c r="S124" i="1"/>
  <c r="S125" i="1" s="1"/>
  <c r="N39" i="1"/>
  <c r="N41" i="1"/>
  <c r="I56" i="1"/>
  <c r="I54" i="1"/>
  <c r="I55" i="1" s="1"/>
  <c r="M56" i="1"/>
  <c r="M54" i="1"/>
  <c r="M55" i="1" s="1"/>
  <c r="Q56" i="1"/>
  <c r="Q54" i="1"/>
  <c r="Q55" i="1" s="1"/>
  <c r="F54" i="1"/>
  <c r="F56" i="1"/>
  <c r="J56" i="1"/>
  <c r="J54" i="1"/>
  <c r="J55" i="1" s="1"/>
  <c r="N56" i="1"/>
  <c r="N54" i="1"/>
  <c r="N55" i="1" s="1"/>
  <c r="R56" i="1"/>
  <c r="R54" i="1"/>
  <c r="R55" i="1" s="1"/>
  <c r="I68" i="1"/>
  <c r="I69" i="1" s="1"/>
  <c r="I70" i="1"/>
  <c r="M68" i="1"/>
  <c r="M69" i="1" s="1"/>
  <c r="M70" i="1"/>
  <c r="Q68" i="1"/>
  <c r="Q69" i="1" s="1"/>
  <c r="Q70" i="1"/>
  <c r="F68" i="1"/>
  <c r="F70" i="1"/>
  <c r="J68" i="1"/>
  <c r="J69" i="1" s="1"/>
  <c r="J70" i="1"/>
  <c r="N68" i="1"/>
  <c r="N69" i="1" s="1"/>
  <c r="N70" i="1"/>
  <c r="R68" i="1"/>
  <c r="R69" i="1" s="1"/>
  <c r="R70" i="1"/>
  <c r="I77" i="1"/>
  <c r="I75" i="1"/>
  <c r="I76" i="1" s="1"/>
  <c r="M77" i="1"/>
  <c r="M75" i="1"/>
  <c r="M76" i="1" s="1"/>
  <c r="Q77" i="1"/>
  <c r="Q75" i="1"/>
  <c r="Q76" i="1" s="1"/>
  <c r="F77" i="1"/>
  <c r="F75" i="1"/>
  <c r="J77" i="1"/>
  <c r="J75" i="1"/>
  <c r="J76" i="1" s="1"/>
  <c r="N77" i="1"/>
  <c r="N75" i="1"/>
  <c r="N76" i="1" s="1"/>
  <c r="R77" i="1"/>
  <c r="R75" i="1"/>
  <c r="R76" i="1" s="1"/>
  <c r="M105" i="1"/>
  <c r="M103" i="1"/>
  <c r="M104" i="1" s="1"/>
  <c r="G103" i="1"/>
  <c r="G104" i="1" s="1"/>
  <c r="G105" i="1"/>
  <c r="O103" i="1"/>
  <c r="O104" i="1" s="1"/>
  <c r="O105" i="1"/>
  <c r="F105" i="1"/>
  <c r="F103" i="1"/>
  <c r="J105" i="1"/>
  <c r="J103" i="1"/>
  <c r="J104" i="1" s="1"/>
  <c r="N105" i="1"/>
  <c r="N103" i="1"/>
  <c r="N104" i="1" s="1"/>
  <c r="R105" i="1"/>
  <c r="R103" i="1"/>
  <c r="R104" i="1" s="1"/>
  <c r="L154" i="1"/>
  <c r="L152" i="1"/>
  <c r="L153" i="1" s="1"/>
  <c r="F154" i="1"/>
  <c r="F152" i="1"/>
  <c r="N154" i="1"/>
  <c r="N152" i="1"/>
  <c r="N153" i="1" s="1"/>
  <c r="G154" i="1"/>
  <c r="G152" i="1"/>
  <c r="G153" i="1" s="1"/>
  <c r="K154" i="1"/>
  <c r="K152" i="1"/>
  <c r="K153" i="1" s="1"/>
  <c r="O154" i="1"/>
  <c r="O152" i="1"/>
  <c r="O153" i="1" s="1"/>
  <c r="S154" i="1"/>
  <c r="S152" i="1"/>
  <c r="S153" i="1" s="1"/>
  <c r="H131" i="1"/>
  <c r="H132" i="1" s="1"/>
  <c r="H133" i="1"/>
  <c r="L131" i="1"/>
  <c r="L132" i="1" s="1"/>
  <c r="L133" i="1"/>
  <c r="P131" i="1"/>
  <c r="P132" i="1" s="1"/>
  <c r="P133" i="1"/>
  <c r="G131" i="1"/>
  <c r="G132" i="1" s="1"/>
  <c r="G133" i="1"/>
  <c r="K131" i="1"/>
  <c r="K132" i="1" s="1"/>
  <c r="K133" i="1"/>
  <c r="O131" i="1"/>
  <c r="O132" i="1" s="1"/>
  <c r="O133" i="1"/>
  <c r="S131" i="1"/>
  <c r="S132" i="1" s="1"/>
  <c r="S133" i="1"/>
  <c r="L145" i="1"/>
  <c r="L146" i="1" s="1"/>
  <c r="L147" i="1"/>
  <c r="F145" i="1"/>
  <c r="F147" i="1"/>
  <c r="N145" i="1"/>
  <c r="N146" i="1" s="1"/>
  <c r="N147" i="1"/>
  <c r="G145" i="1"/>
  <c r="G146" i="1" s="1"/>
  <c r="G147" i="1"/>
  <c r="K145" i="1"/>
  <c r="K146" i="1" s="1"/>
  <c r="K147" i="1"/>
  <c r="O145" i="1"/>
  <c r="O146" i="1" s="1"/>
  <c r="O147" i="1"/>
  <c r="S145" i="1"/>
  <c r="S146" i="1" s="1"/>
  <c r="S147" i="1"/>
  <c r="L159" i="1"/>
  <c r="L160" i="1" s="1"/>
  <c r="L161" i="1"/>
  <c r="F159" i="1"/>
  <c r="F161" i="1"/>
  <c r="N159" i="1"/>
  <c r="N160" i="1" s="1"/>
  <c r="N161" i="1"/>
  <c r="G159" i="1"/>
  <c r="G160" i="1" s="1"/>
  <c r="G161" i="1"/>
  <c r="K159" i="1"/>
  <c r="K160" i="1" s="1"/>
  <c r="K161" i="1"/>
  <c r="O159" i="1"/>
  <c r="O160" i="1" s="1"/>
  <c r="O161" i="1"/>
  <c r="S159" i="1"/>
  <c r="S160" i="1" s="1"/>
  <c r="S161" i="1"/>
  <c r="L166" i="1"/>
  <c r="L167" i="1" s="1"/>
  <c r="L168" i="1"/>
  <c r="F166" i="1"/>
  <c r="F168" i="1"/>
  <c r="N166" i="1"/>
  <c r="N167" i="1" s="1"/>
  <c r="N168" i="1"/>
  <c r="G166" i="1"/>
  <c r="G167" i="1" s="1"/>
  <c r="G168" i="1"/>
  <c r="K166" i="1"/>
  <c r="K167" i="1" s="1"/>
  <c r="K168" i="1"/>
  <c r="O166" i="1"/>
  <c r="O167" i="1" s="1"/>
  <c r="O168" i="1"/>
  <c r="S166" i="1"/>
  <c r="S167" i="1" s="1"/>
  <c r="S168" i="1"/>
  <c r="O39" i="1"/>
  <c r="O41" i="1"/>
  <c r="L39" i="1"/>
  <c r="L41" i="1"/>
  <c r="I39" i="1"/>
  <c r="I41" i="1"/>
  <c r="G39" i="1"/>
  <c r="G41" i="1"/>
  <c r="L173" i="1"/>
  <c r="L174" i="1" s="1"/>
  <c r="L175" i="1"/>
  <c r="F173" i="1"/>
  <c r="F175" i="1"/>
  <c r="N173" i="1"/>
  <c r="N174" i="1" s="1"/>
  <c r="N175" i="1"/>
  <c r="G173" i="1"/>
  <c r="G174" i="1" s="1"/>
  <c r="G175" i="1"/>
  <c r="K173" i="1"/>
  <c r="K174" i="1" s="1"/>
  <c r="K175" i="1"/>
  <c r="O173" i="1"/>
  <c r="O174" i="1" s="1"/>
  <c r="O175" i="1"/>
  <c r="S173" i="1"/>
  <c r="S174" i="1" s="1"/>
  <c r="S175" i="1"/>
  <c r="F39" i="1"/>
  <c r="F41" i="1"/>
  <c r="F49" i="1"/>
  <c r="F47" i="1"/>
  <c r="J49" i="1"/>
  <c r="J47" i="1"/>
  <c r="J48" i="1" s="1"/>
  <c r="P49" i="1"/>
  <c r="P47" i="1"/>
  <c r="P48" i="1" s="1"/>
  <c r="K63" i="1"/>
  <c r="K61" i="1"/>
  <c r="K62" i="1" s="1"/>
  <c r="S63" i="1"/>
  <c r="S61" i="1"/>
  <c r="S62" i="1" s="1"/>
  <c r="L61" i="1"/>
  <c r="L62" i="1" s="1"/>
  <c r="L63" i="1"/>
  <c r="K91" i="1"/>
  <c r="K89" i="1"/>
  <c r="K90" i="1" s="1"/>
  <c r="S91" i="1"/>
  <c r="S89" i="1"/>
  <c r="S90" i="1" s="1"/>
  <c r="L89" i="1"/>
  <c r="L90" i="1" s="1"/>
  <c r="L91" i="1"/>
  <c r="F119" i="1"/>
  <c r="F117" i="1"/>
  <c r="R119" i="1"/>
  <c r="R117" i="1"/>
  <c r="R118" i="1" s="1"/>
  <c r="M119" i="1"/>
  <c r="M117" i="1"/>
  <c r="M118" i="1" s="1"/>
  <c r="H138" i="1"/>
  <c r="H139" i="1" s="1"/>
  <c r="H140" i="1"/>
  <c r="R140" i="1"/>
  <c r="R138" i="1"/>
  <c r="R139" i="1" s="1"/>
  <c r="M140" i="1"/>
  <c r="M138" i="1"/>
  <c r="M139" i="1" s="1"/>
  <c r="G82" i="1"/>
  <c r="G83" i="1" s="1"/>
  <c r="G84" i="1"/>
  <c r="O82" i="1"/>
  <c r="O83" i="1" s="1"/>
  <c r="O84" i="1"/>
  <c r="S82" i="1"/>
  <c r="S83" i="1" s="1"/>
  <c r="S84" i="1"/>
  <c r="H82" i="1"/>
  <c r="H83" i="1" s="1"/>
  <c r="H84" i="1"/>
  <c r="L82" i="1"/>
  <c r="L83" i="1" s="1"/>
  <c r="L84" i="1"/>
  <c r="P82" i="1"/>
  <c r="P83" i="1" s="1"/>
  <c r="P84" i="1"/>
  <c r="I96" i="1"/>
  <c r="I97" i="1" s="1"/>
  <c r="I98" i="1"/>
  <c r="Q96" i="1"/>
  <c r="Q97" i="1" s="1"/>
  <c r="Q98" i="1"/>
  <c r="K96" i="1"/>
  <c r="K97" i="1" s="1"/>
  <c r="K98" i="1"/>
  <c r="S96" i="1"/>
  <c r="S97" i="1" s="1"/>
  <c r="S98" i="1"/>
  <c r="H96" i="1"/>
  <c r="H97" i="1" s="1"/>
  <c r="H98" i="1"/>
  <c r="L96" i="1"/>
  <c r="L97" i="1" s="1"/>
  <c r="L98" i="1"/>
  <c r="P96" i="1"/>
  <c r="P97" i="1" s="1"/>
  <c r="P98" i="1"/>
  <c r="I110" i="1"/>
  <c r="I111" i="1" s="1"/>
  <c r="I112" i="1"/>
  <c r="Q110" i="1"/>
  <c r="Q111" i="1" s="1"/>
  <c r="Q112" i="1"/>
  <c r="K110" i="1"/>
  <c r="K111" i="1" s="1"/>
  <c r="K112" i="1"/>
  <c r="S110" i="1"/>
  <c r="S111" i="1" s="1"/>
  <c r="S112" i="1"/>
  <c r="H110" i="1"/>
  <c r="H111" i="1" s="1"/>
  <c r="H112" i="1"/>
  <c r="L110" i="1"/>
  <c r="L111" i="1" s="1"/>
  <c r="L112" i="1"/>
  <c r="P110" i="1"/>
  <c r="P111" i="1" s="1"/>
  <c r="P112" i="1"/>
  <c r="F126" i="1"/>
  <c r="F124" i="1"/>
  <c r="J126" i="1"/>
  <c r="J124" i="1"/>
  <c r="J125" i="1" s="1"/>
  <c r="N126" i="1"/>
  <c r="N124" i="1"/>
  <c r="N125" i="1" s="1"/>
  <c r="R126" i="1"/>
  <c r="R124" i="1"/>
  <c r="R125" i="1" s="1"/>
  <c r="I126" i="1"/>
  <c r="I124" i="1"/>
  <c r="I125" i="1" s="1"/>
  <c r="M126" i="1"/>
  <c r="M124" i="1"/>
  <c r="M125" i="1" s="1"/>
  <c r="Q126" i="1"/>
  <c r="Q124" i="1"/>
  <c r="Q125" i="1" s="1"/>
  <c r="K39" i="1"/>
  <c r="K41" i="1"/>
  <c r="G54" i="1"/>
  <c r="G55" i="1" s="1"/>
  <c r="G56" i="1"/>
  <c r="K54" i="1"/>
  <c r="K55" i="1" s="1"/>
  <c r="K56" i="1"/>
  <c r="O54" i="1"/>
  <c r="O55" i="1" s="1"/>
  <c r="O56" i="1"/>
  <c r="S54" i="1"/>
  <c r="S55" i="1" s="1"/>
  <c r="S56" i="1"/>
  <c r="H56" i="1"/>
  <c r="H54" i="1"/>
  <c r="H55" i="1" s="1"/>
  <c r="L56" i="1"/>
  <c r="L54" i="1"/>
  <c r="L55" i="1" s="1"/>
  <c r="P56" i="1"/>
  <c r="P54" i="1"/>
  <c r="P55" i="1" s="1"/>
  <c r="G68" i="1"/>
  <c r="G69" i="1" s="1"/>
  <c r="G70" i="1"/>
  <c r="K68" i="1"/>
  <c r="K69" i="1" s="1"/>
  <c r="K70" i="1"/>
  <c r="O68" i="1"/>
  <c r="O69" i="1" s="1"/>
  <c r="O70" i="1"/>
  <c r="S68" i="1"/>
  <c r="S69" i="1" s="1"/>
  <c r="S70" i="1"/>
  <c r="H68" i="1"/>
  <c r="H69" i="1" s="1"/>
  <c r="H70" i="1"/>
  <c r="L68" i="1"/>
  <c r="L69" i="1" s="1"/>
  <c r="L70" i="1"/>
  <c r="P68" i="1"/>
  <c r="P69" i="1" s="1"/>
  <c r="P70" i="1"/>
  <c r="G75" i="1"/>
  <c r="G76" i="1" s="1"/>
  <c r="G77" i="1"/>
  <c r="K75" i="1"/>
  <c r="K76" i="1" s="1"/>
  <c r="K77" i="1"/>
  <c r="O75" i="1"/>
  <c r="O76" i="1" s="1"/>
  <c r="O77" i="1"/>
  <c r="S75" i="1"/>
  <c r="S76" i="1" s="1"/>
  <c r="S77" i="1"/>
  <c r="H77" i="1"/>
  <c r="H75" i="1"/>
  <c r="H76" i="1" s="1"/>
  <c r="L77" i="1"/>
  <c r="L75" i="1"/>
  <c r="L76" i="1" s="1"/>
  <c r="P77" i="1"/>
  <c r="P75" i="1"/>
  <c r="P76" i="1" s="1"/>
  <c r="I105" i="1"/>
  <c r="I103" i="1"/>
  <c r="I104" i="1" s="1"/>
  <c r="Q105" i="1"/>
  <c r="Q103" i="1"/>
  <c r="Q104" i="1" s="1"/>
  <c r="K103" i="1"/>
  <c r="K104" i="1" s="1"/>
  <c r="K105" i="1"/>
  <c r="S103" i="1"/>
  <c r="S104" i="1" s="1"/>
  <c r="S105" i="1"/>
  <c r="H105" i="1"/>
  <c r="H103" i="1"/>
  <c r="H104" i="1" s="1"/>
  <c r="L105" i="1"/>
  <c r="L103" i="1"/>
  <c r="L104" i="1" s="1"/>
  <c r="P105" i="1"/>
  <c r="P103" i="1"/>
  <c r="P104" i="1" s="1"/>
  <c r="H154" i="1"/>
  <c r="H152" i="1"/>
  <c r="H153" i="1" s="1"/>
  <c r="P154" i="1"/>
  <c r="P152" i="1"/>
  <c r="P153" i="1" s="1"/>
  <c r="J154" i="1"/>
  <c r="J152" i="1"/>
  <c r="J153" i="1" s="1"/>
  <c r="R154" i="1"/>
  <c r="R152" i="1"/>
  <c r="R153" i="1" s="1"/>
  <c r="I152" i="1"/>
  <c r="I153" i="1" s="1"/>
  <c r="I154" i="1"/>
  <c r="M152" i="1"/>
  <c r="M153" i="1" s="1"/>
  <c r="M154" i="1"/>
  <c r="Q152" i="1"/>
  <c r="Q153" i="1" s="1"/>
  <c r="Q154" i="1"/>
  <c r="F131" i="1"/>
  <c r="F133" i="1"/>
  <c r="J131" i="1"/>
  <c r="J132" i="1" s="1"/>
  <c r="J133" i="1"/>
  <c r="N131" i="1"/>
  <c r="N132" i="1" s="1"/>
  <c r="N133" i="1"/>
  <c r="R131" i="1"/>
  <c r="R132" i="1" s="1"/>
  <c r="R133" i="1"/>
  <c r="I131" i="1"/>
  <c r="I132" i="1" s="1"/>
  <c r="I133" i="1"/>
  <c r="M131" i="1"/>
  <c r="M132" i="1" s="1"/>
  <c r="M133" i="1"/>
  <c r="Q131" i="1"/>
  <c r="Q132" i="1" s="1"/>
  <c r="Q133" i="1"/>
  <c r="H145" i="1"/>
  <c r="H146" i="1" s="1"/>
  <c r="H147" i="1"/>
  <c r="P145" i="1"/>
  <c r="P146" i="1" s="1"/>
  <c r="P147" i="1"/>
  <c r="J145" i="1"/>
  <c r="J146" i="1" s="1"/>
  <c r="J147" i="1"/>
  <c r="R145" i="1"/>
  <c r="R146" i="1" s="1"/>
  <c r="R147" i="1"/>
  <c r="I145" i="1"/>
  <c r="I146" i="1" s="1"/>
  <c r="I147" i="1"/>
  <c r="M145" i="1"/>
  <c r="M146" i="1" s="1"/>
  <c r="M147" i="1"/>
  <c r="Q145" i="1"/>
  <c r="Q146" i="1" s="1"/>
  <c r="Q147" i="1"/>
  <c r="H159" i="1"/>
  <c r="H160" i="1" s="1"/>
  <c r="H161" i="1"/>
  <c r="P159" i="1"/>
  <c r="P160" i="1" s="1"/>
  <c r="P161" i="1"/>
  <c r="J159" i="1"/>
  <c r="J160" i="1" s="1"/>
  <c r="J161" i="1"/>
  <c r="R159" i="1"/>
  <c r="R160" i="1" s="1"/>
  <c r="R161" i="1"/>
  <c r="I159" i="1"/>
  <c r="I160" i="1" s="1"/>
  <c r="I161" i="1"/>
  <c r="M159" i="1"/>
  <c r="M160" i="1" s="1"/>
  <c r="M161" i="1"/>
  <c r="Q159" i="1"/>
  <c r="Q160" i="1" s="1"/>
  <c r="Q161" i="1"/>
  <c r="H166" i="1"/>
  <c r="H167" i="1" s="1"/>
  <c r="H168" i="1"/>
  <c r="P166" i="1"/>
  <c r="P167" i="1" s="1"/>
  <c r="P168" i="1"/>
  <c r="J166" i="1"/>
  <c r="J167" i="1" s="1"/>
  <c r="J168" i="1"/>
  <c r="R166" i="1"/>
  <c r="R167" i="1" s="1"/>
  <c r="R168" i="1"/>
  <c r="I166" i="1"/>
  <c r="I167" i="1" s="1"/>
  <c r="I168" i="1"/>
  <c r="M166" i="1"/>
  <c r="M167" i="1" s="1"/>
  <c r="M168" i="1"/>
  <c r="Q166" i="1"/>
  <c r="Q167" i="1" s="1"/>
  <c r="Q168" i="1"/>
  <c r="S39" i="1"/>
  <c r="S41" i="1"/>
  <c r="H39" i="1"/>
  <c r="H41" i="1"/>
  <c r="P39" i="1"/>
  <c r="P41" i="1"/>
  <c r="M39" i="1"/>
  <c r="M41" i="1"/>
  <c r="H173" i="1"/>
  <c r="H174" i="1" s="1"/>
  <c r="H175" i="1"/>
  <c r="P173" i="1"/>
  <c r="P174" i="1" s="1"/>
  <c r="P175" i="1"/>
  <c r="J173" i="1"/>
  <c r="J174" i="1" s="1"/>
  <c r="J175" i="1"/>
  <c r="R173" i="1"/>
  <c r="R174" i="1" s="1"/>
  <c r="R175" i="1"/>
  <c r="I173" i="1"/>
  <c r="I174" i="1" s="1"/>
  <c r="I175" i="1"/>
  <c r="M173" i="1"/>
  <c r="M174" i="1" s="1"/>
  <c r="M175" i="1"/>
  <c r="Q173" i="1"/>
  <c r="Q174" i="1" s="1"/>
  <c r="Q175" i="1"/>
  <c r="R39" i="1"/>
  <c r="R41" i="1"/>
  <c r="J39" i="1"/>
  <c r="J41" i="1"/>
  <c r="Q40" i="1"/>
  <c r="R33" i="1" l="1"/>
  <c r="M33" i="1"/>
  <c r="Q31" i="1"/>
  <c r="J33" i="1"/>
  <c r="S33" i="1"/>
  <c r="Q32" i="1"/>
  <c r="Q33" i="1"/>
  <c r="P33" i="1"/>
  <c r="J40" i="1"/>
  <c r="J32" i="1" s="1"/>
  <c r="J31" i="1"/>
  <c r="R40" i="1"/>
  <c r="R32" i="1" s="1"/>
  <c r="R31" i="1"/>
  <c r="M31" i="1"/>
  <c r="M40" i="1"/>
  <c r="M32" i="1" s="1"/>
  <c r="P40" i="1"/>
  <c r="P32" i="1" s="1"/>
  <c r="P31" i="1"/>
  <c r="H40" i="1"/>
  <c r="H32" i="1" s="1"/>
  <c r="H31" i="1"/>
  <c r="S31" i="1"/>
  <c r="S40" i="1"/>
  <c r="S32" i="1" s="1"/>
  <c r="F132" i="1"/>
  <c r="D132" i="1" s="1"/>
  <c r="B132" i="1" s="1"/>
  <c r="D131" i="1"/>
  <c r="K31" i="1"/>
  <c r="K40" i="1"/>
  <c r="K32" i="1" s="1"/>
  <c r="E126" i="1"/>
  <c r="E119" i="1"/>
  <c r="E49" i="1"/>
  <c r="E41" i="1"/>
  <c r="F33" i="1"/>
  <c r="E175" i="1"/>
  <c r="G33" i="1"/>
  <c r="I33" i="1"/>
  <c r="L33" i="1"/>
  <c r="O33" i="1"/>
  <c r="E168" i="1"/>
  <c r="E161" i="1"/>
  <c r="E147" i="1"/>
  <c r="F153" i="1"/>
  <c r="D153" i="1" s="1"/>
  <c r="B153" i="1" s="1"/>
  <c r="D152" i="1"/>
  <c r="F104" i="1"/>
  <c r="D104" i="1" s="1"/>
  <c r="B104" i="1" s="1"/>
  <c r="D103" i="1"/>
  <c r="F76" i="1"/>
  <c r="D76" i="1" s="1"/>
  <c r="B76" i="1" s="1"/>
  <c r="D75" i="1"/>
  <c r="E70" i="1"/>
  <c r="E56" i="1"/>
  <c r="N33" i="1"/>
  <c r="E112" i="1"/>
  <c r="E98" i="1"/>
  <c r="E84" i="1"/>
  <c r="E140" i="1"/>
  <c r="F90" i="1"/>
  <c r="D90" i="1" s="1"/>
  <c r="B90" i="1" s="1"/>
  <c r="D89" i="1"/>
  <c r="F62" i="1"/>
  <c r="D62" i="1" s="1"/>
  <c r="B62" i="1" s="1"/>
  <c r="D61" i="1"/>
  <c r="H33" i="1"/>
  <c r="E133" i="1"/>
  <c r="K33" i="1"/>
  <c r="F125" i="1"/>
  <c r="D125" i="1" s="1"/>
  <c r="B125" i="1" s="1"/>
  <c r="D124" i="1"/>
  <c r="F118" i="1"/>
  <c r="D118" i="1" s="1"/>
  <c r="B118" i="1" s="1"/>
  <c r="D117" i="1"/>
  <c r="F48" i="1"/>
  <c r="D48" i="1" s="1"/>
  <c r="B48" i="1" s="1"/>
  <c r="D47" i="1"/>
  <c r="D39" i="1"/>
  <c r="F40" i="1"/>
  <c r="F31" i="1"/>
  <c r="D173" i="1"/>
  <c r="F174" i="1"/>
  <c r="D174" i="1" s="1"/>
  <c r="B174" i="1" s="1"/>
  <c r="G31" i="1"/>
  <c r="G40" i="1"/>
  <c r="G32" i="1" s="1"/>
  <c r="I31" i="1"/>
  <c r="I40" i="1"/>
  <c r="I32" i="1" s="1"/>
  <c r="L40" i="1"/>
  <c r="L32" i="1" s="1"/>
  <c r="L31" i="1"/>
  <c r="O31" i="1"/>
  <c r="O40" i="1"/>
  <c r="O32" i="1" s="1"/>
  <c r="D166" i="1"/>
  <c r="F167" i="1"/>
  <c r="D167" i="1" s="1"/>
  <c r="B167" i="1" s="1"/>
  <c r="F160" i="1"/>
  <c r="D160" i="1" s="1"/>
  <c r="B160" i="1" s="1"/>
  <c r="D159" i="1"/>
  <c r="F146" i="1"/>
  <c r="D146" i="1" s="1"/>
  <c r="B146" i="1" s="1"/>
  <c r="D145" i="1"/>
  <c r="E154" i="1"/>
  <c r="E105" i="1"/>
  <c r="E77" i="1"/>
  <c r="F69" i="1"/>
  <c r="D69" i="1" s="1"/>
  <c r="B69" i="1" s="1"/>
  <c r="D68" i="1"/>
  <c r="F55" i="1"/>
  <c r="D55" i="1" s="1"/>
  <c r="B55" i="1" s="1"/>
  <c r="D54" i="1"/>
  <c r="N40" i="1"/>
  <c r="N32" i="1" s="1"/>
  <c r="N31" i="1"/>
  <c r="F111" i="1"/>
  <c r="D111" i="1" s="1"/>
  <c r="B111" i="1" s="1"/>
  <c r="D110" i="1"/>
  <c r="F97" i="1"/>
  <c r="D97" i="1" s="1"/>
  <c r="B97" i="1" s="1"/>
  <c r="D96" i="1"/>
  <c r="F83" i="1"/>
  <c r="D83" i="1" s="1"/>
  <c r="B83" i="1" s="1"/>
  <c r="D82" i="1"/>
  <c r="F139" i="1"/>
  <c r="D139" i="1" s="1"/>
  <c r="B139" i="1" s="1"/>
  <c r="D138" i="1"/>
  <c r="E91" i="1"/>
  <c r="E63" i="1"/>
  <c r="D40" i="1" l="1"/>
  <c r="B40" i="1" s="1"/>
  <c r="F32" i="1"/>
  <c r="D32" i="1" s="1"/>
  <c r="E33" i="1"/>
  <c r="D31" i="1"/>
</calcChain>
</file>

<file path=xl/connections.xml><?xml version="1.0" encoding="utf-8"?>
<connections xmlns="http://schemas.openxmlformats.org/spreadsheetml/2006/main">
  <connection id="1" name="Connection" type="1" refreshedVersion="2" background="1" saveData="1">
    <dbPr connection="Description=Databridge;DRIVER=SQL Server;SERVER=MDEDATAB;UID=MONA;APP=Microsoft Data Access Components;WSID=TQECBTDB51;DATABASE=DataBridge;Trusted_Connection=Yes" command="SELECT speddist.dat_yer, speddist.dst_num, speddist.dst_tye, speddist.num_mnt_sch_day, speddist.num_day_sch_trm, speddist.num_hrs_sch_trm, speddist.apl_agy_dst_num, speddist.apl_agy_dst_tye, speddist.dir_fdr_num, speddist.num_hrs_fut_sml, speddist.use_idt_cst_rat, speddist.idt_cst_rat, speddist.mat_adj_reg, speddist.mat_adj_sml, speddist.pbc_enr, speddist.npc_enr, speddist.pbc_enr_rce_srv, speddist.npc_enr_rce_srv, speddist.lep_enr, speddist.psw, speddist.use_hst_lvy_ath, speddist.upd_cat, speddist.tses_apl_app, speddist.fnl_pay_app, speddist.lep_spl_mat_exp, speddist.lep_spl_mat_aid, speddist.tui_amt_rcv, speddist.tui_amt_exp, speddist.tui_aid, speddist.tui_est_acu, speddist.new_dst_spd, speddist.pct_est_acu, speddist.new_dst_lep, speddist.new_dst_smr, speddist.crt_ord_plc_exp, speddist.crt_ord_est_acu, speddist.new_spd_tra_cst, speddist.gened_rvn_per_pu, speddist.app_rcv_stt_fnd, speddist.opn_ovr_edrs, speddist.cht_bas_dat_yer, speddist.moe_adj_bas_exp, speddist.sto_pov_enr_aln_b, speddist.sto_pov_enr_aln_f, speddist.undup_sped_cnt_x000d__x000a_FROM DataBridge.databridge_app_user.speddist speddist_x000d__x000a_WHERE (speddist.dat_yer='07-08')"/>
  </connection>
</connections>
</file>

<file path=xl/sharedStrings.xml><?xml version="1.0" encoding="utf-8"?>
<sst xmlns="http://schemas.openxmlformats.org/spreadsheetml/2006/main" count="1090" uniqueCount="580">
  <si>
    <t>Annual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</si>
  <si>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</si>
  <si>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</si>
  <si>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</si>
  <si>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</si>
  <si>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</si>
  <si>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</si>
  <si>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</si>
  <si>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</si>
  <si>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</si>
  <si>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</si>
  <si>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</si>
  <si>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</si>
  <si>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</si>
  <si>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</si>
  <si>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</si>
  <si>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</si>
  <si>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</si>
  <si>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</si>
  <si>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</si>
  <si>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</si>
  <si>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</si>
  <si>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N/A</t>
  </si>
  <si>
    <t>TOTALS</t>
  </si>
  <si>
    <t>DISTRIBUTION OF FTE'S AND SALARIES AMONG DISABILITY CODES</t>
  </si>
  <si>
    <t>Contract</t>
  </si>
  <si>
    <t>Days</t>
  </si>
  <si>
    <t>FY 2008 Hours Per School Year</t>
  </si>
  <si>
    <t>dst_num</t>
  </si>
  <si>
    <t>dst_tye</t>
  </si>
  <si>
    <t>num_mnt_sch_day</t>
  </si>
  <si>
    <t>num_day_sch_trm</t>
  </si>
  <si>
    <t>num_hrs_sch_trm</t>
  </si>
  <si>
    <t>Hours</t>
  </si>
  <si>
    <t>Minutes</t>
  </si>
  <si>
    <t>Per Year</t>
  </si>
  <si>
    <t>Per Day</t>
  </si>
  <si>
    <t>District number: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</si>
  <si>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</si>
  <si>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</si>
  <si>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</si>
  <si>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</si>
  <si>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</si>
  <si>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</si>
  <si>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</si>
  <si>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</si>
  <si>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</si>
  <si>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</si>
  <si>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</si>
  <si>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</si>
  <si>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</si>
  <si>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</si>
  <si>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</si>
  <si>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</si>
  <si>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</si>
  <si>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</si>
  <si>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</si>
  <si>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</si>
  <si>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</si>
  <si>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</si>
  <si>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</si>
  <si>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</si>
  <si>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</si>
  <si>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</si>
  <si>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</si>
  <si>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</si>
  <si>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</si>
  <si>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</si>
  <si>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</si>
  <si>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</si>
  <si>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</si>
  <si>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</si>
  <si>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</si>
  <si>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</si>
  <si>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</si>
  <si>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</si>
  <si>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</si>
  <si>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</si>
  <si>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</si>
  <si>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</si>
  <si>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</si>
  <si>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</si>
  <si>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</si>
  <si>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</si>
  <si>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</si>
  <si>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</si>
  <si>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</si>
  <si>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</si>
  <si>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</si>
  <si>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</si>
  <si>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</si>
  <si>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</si>
  <si>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</si>
  <si>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</si>
  <si>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</si>
  <si>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</si>
  <si>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</si>
  <si>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</si>
  <si>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</si>
  <si>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</si>
  <si>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</si>
  <si>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</si>
  <si>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</si>
  <si>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</si>
  <si>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</si>
  <si>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</si>
  <si>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</si>
  <si>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</si>
  <si>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</si>
  <si>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</si>
  <si>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</si>
  <si>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</si>
  <si>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</si>
  <si>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</si>
  <si>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</si>
  <si>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</si>
  <si>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</si>
  <si>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</si>
  <si>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</si>
  <si>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</si>
  <si>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</si>
  <si>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</si>
  <si>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</si>
  <si>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</si>
  <si>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</si>
  <si>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</si>
  <si>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</si>
  <si>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</si>
  <si>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</si>
  <si>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</si>
  <si>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</si>
  <si>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</si>
  <si>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</si>
  <si>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</si>
  <si>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</si>
  <si>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</si>
  <si>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</si>
  <si>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</si>
  <si>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</si>
  <si>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</si>
  <si>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</si>
  <si>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</si>
  <si>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</si>
  <si>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</si>
  <si>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</si>
  <si>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</si>
  <si>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</si>
  <si>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</si>
  <si>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</si>
  <si>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</si>
  <si>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</si>
  <si>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</si>
  <si>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</si>
  <si>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</si>
  <si>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</si>
  <si>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</si>
  <si>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</si>
  <si>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</si>
  <si>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</si>
  <si>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HENDRICKS</t>
  </si>
  <si>
    <t>IVANHOE</t>
  </si>
  <si>
    <t>LAKE BENTON</t>
  </si>
  <si>
    <t>BALATON</t>
  </si>
  <si>
    <t>MARSHALL</t>
  </si>
  <si>
    <t>MINNEOTA</t>
  </si>
  <si>
    <t>LYND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</si>
  <si>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</si>
  <si>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</si>
  <si>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</si>
  <si>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</si>
  <si>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</si>
  <si>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</si>
  <si>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</si>
  <si>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</si>
  <si>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</si>
  <si>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</si>
  <si>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</si>
  <si>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</si>
  <si>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</si>
  <si>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</si>
  <si>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</si>
  <si>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</si>
  <si>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</si>
  <si>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</si>
  <si>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</si>
  <si>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</si>
  <si>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</si>
  <si>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</si>
  <si>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</si>
  <si>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</si>
  <si>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</si>
  <si>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</si>
  <si>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</si>
  <si>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</si>
  <si>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</si>
  <si>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</si>
  <si>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</si>
  <si>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</si>
  <si>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</si>
  <si>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</si>
  <si>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</si>
  <si>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</si>
  <si>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</si>
  <si>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</si>
  <si>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</si>
  <si>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</si>
  <si>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</si>
  <si>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</si>
  <si>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</si>
  <si>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</si>
  <si>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</si>
  <si>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</si>
  <si>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</si>
  <si>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</si>
  <si>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</si>
  <si>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</si>
  <si>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</si>
  <si>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</si>
  <si>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</si>
  <si>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</si>
  <si>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</si>
  <si>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</si>
  <si>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</si>
  <si>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</si>
  <si>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</si>
  <si>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</si>
  <si>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</si>
  <si>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</si>
  <si>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</si>
  <si>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</si>
  <si>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</si>
  <si>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</si>
  <si>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</si>
  <si>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</si>
  <si>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</si>
  <si>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</si>
  <si>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</si>
  <si>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</si>
  <si>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</si>
  <si>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</si>
  <si>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</si>
  <si>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</si>
  <si>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</si>
  <si>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</si>
  <si>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</si>
  <si>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</si>
  <si>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</si>
  <si>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</si>
  <si>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</si>
  <si>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</si>
  <si>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</si>
  <si>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</si>
  <si>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</si>
  <si>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</si>
  <si>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</si>
  <si>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</si>
  <si>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</si>
  <si>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</si>
  <si>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</si>
  <si>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</si>
  <si>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</si>
  <si>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</si>
  <si>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</si>
  <si>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</si>
  <si>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</si>
  <si>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</si>
  <si>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</si>
  <si>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</si>
  <si>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</si>
  <si>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</si>
  <si>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</si>
  <si>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</si>
  <si>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</si>
  <si>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</si>
  <si>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</si>
  <si>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</si>
  <si>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</si>
  <si>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</si>
  <si>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</si>
  <si>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</si>
  <si>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</si>
  <si>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</si>
  <si>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</si>
  <si>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</si>
  <si>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</si>
  <si>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</si>
  <si>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</si>
  <si>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</si>
  <si>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</si>
  <si>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</si>
  <si>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</si>
  <si>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</si>
  <si>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</si>
  <si>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</si>
  <si>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</si>
  <si>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</si>
  <si>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</si>
  <si>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</si>
  <si>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</si>
  <si>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</si>
  <si>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</si>
  <si>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</si>
  <si>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</si>
  <si>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</si>
  <si>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</si>
  <si>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</si>
  <si>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</si>
  <si>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</si>
  <si>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</si>
  <si>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</si>
  <si>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</si>
  <si>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</si>
  <si>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</si>
  <si>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</si>
  <si>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</si>
  <si>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</si>
  <si>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</si>
  <si>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</si>
  <si>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</si>
  <si>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</si>
  <si>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</si>
  <si>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</si>
  <si>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</si>
  <si>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</si>
  <si>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</si>
  <si>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</si>
  <si>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</si>
  <si>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</si>
  <si>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</si>
  <si>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</si>
  <si>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</si>
  <si>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</si>
  <si>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</si>
  <si>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</si>
  <si>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</si>
  <si>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</si>
  <si>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</si>
  <si>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</si>
  <si>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</si>
  <si>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</si>
  <si>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</si>
  <si>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</si>
  <si>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</si>
  <si>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</si>
  <si>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</si>
  <si>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</si>
  <si>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</si>
  <si>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</si>
  <si>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</si>
  <si>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</si>
  <si>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</si>
  <si>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</si>
  <si>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</si>
  <si>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</si>
  <si>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</si>
  <si>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</t>
  </si>
  <si>
    <t>ADA-BORUP</t>
  </si>
  <si>
    <t>STEPHEN-ARGYLE</t>
  </si>
  <si>
    <t>GLENCOE-SILVER LAKE</t>
  </si>
  <si>
    <t>BLUE EARTH-DELAVAN-EL</t>
  </si>
  <si>
    <t>RED ROCK CENTRAL</t>
  </si>
  <si>
    <t>GLENVILLE-EMMONS</t>
  </si>
  <si>
    <t>CLINTON-GRACEVILLE-BE</t>
  </si>
  <si>
    <t>LAKE PARK-AUDUBON</t>
  </si>
  <si>
    <t>DRSH</t>
  </si>
  <si>
    <t>JACKSON COUNTY CENTRA</t>
  </si>
  <si>
    <t>REDWOOD AREA SCHOOLS</t>
  </si>
  <si>
    <t>WESTBROOK-WALNUT GROV</t>
  </si>
  <si>
    <t>PLAINVIEW-ELGIN-MILLV</t>
  </si>
  <si>
    <t>RUSSELL-TYLER-RUTHTON</t>
  </si>
  <si>
    <t>CITY ACADEMY</t>
  </si>
  <si>
    <t>BLUFFVIEW MONTESSORI</t>
  </si>
  <si>
    <t>NEW HEIGHTS CHARTER S</t>
  </si>
  <si>
    <t>CEDAR RIVERSIDE COMMU</t>
  </si>
  <si>
    <t>METRO DEAF CHARTER SC</t>
  </si>
  <si>
    <t>SKILLS FOR TOMORROW C</t>
  </si>
  <si>
    <t>MINNESOTA NEW COUNTRY</t>
  </si>
  <si>
    <t>PACT CHARTER SCHOOL</t>
  </si>
  <si>
    <t>NEW VISIONS CHARTER S</t>
  </si>
  <si>
    <t>EMILY CHARTER SCHOOL</t>
  </si>
  <si>
    <t>COMMUNITY OF PEACE AC</t>
  </si>
  <si>
    <t>WORLD LEARNER CHARTER</t>
  </si>
  <si>
    <t>MINNESOTA TRANSITIONS</t>
  </si>
  <si>
    <t>ACORN DUAL LANGUAGE C</t>
  </si>
  <si>
    <t>EDISON CHARTER SCHOOL</t>
  </si>
  <si>
    <t>CYBER VILLAGE ACADEMY</t>
  </si>
  <si>
    <t>E.C.H.O. CHARTER SCHO</t>
  </si>
  <si>
    <t>HIGHER GROUND ACADEMY</t>
  </si>
  <si>
    <t>ECI' NOMPA WOONSPE</t>
  </si>
  <si>
    <t>NEW SPIRIT SCHOOL</t>
  </si>
  <si>
    <t>ODYSSEY CHARTER SCHOO</t>
  </si>
  <si>
    <t>MINNESOTA TECHNOLOGY</t>
  </si>
  <si>
    <t>HARVEST PREP SCHOOL/S</t>
  </si>
  <si>
    <t>CONCORDIA CREATIVE LE</t>
  </si>
  <si>
    <t>FACE TO FACE ACADEMY</t>
  </si>
  <si>
    <t>SOJOURNER TRUTH ACADE</t>
  </si>
  <si>
    <t>HIGH SCHOOL FOR RECOR</t>
  </si>
  <si>
    <t>TWIN CITIES ACADEMY</t>
  </si>
  <si>
    <t>MATH &amp; SCIENCE ACADEM</t>
  </si>
  <si>
    <t>HEART OF THE EARTH CH</t>
  </si>
  <si>
    <t>PEAKS-ALEXANDRIA</t>
  </si>
  <si>
    <t>LAKE SUPERIOR HIGH SC</t>
  </si>
  <si>
    <t>GREAT RIVER EDUCATION</t>
  </si>
  <si>
    <t>COON RAPIDS LEARNING</t>
  </si>
  <si>
    <t>LAFAYETTE PUBLIC CHAR</t>
  </si>
  <si>
    <t>FOUR DIRECTIONS CHART</t>
  </si>
  <si>
    <t>NORTH LAKES ACADEMY C</t>
  </si>
  <si>
    <t>LACRESCENT MONTESSORI</t>
  </si>
  <si>
    <t>NERSTRAND CHARTER SCH</t>
  </si>
  <si>
    <t>ROCHESTER OFF CAMPUS</t>
  </si>
  <si>
    <t>EL COLEGIO CHARTER SC</t>
  </si>
  <si>
    <t>SCHOOLCRAFT LEARNING</t>
  </si>
  <si>
    <t>CROSSLAKE COMMUNITY C</t>
  </si>
  <si>
    <t>STUDIO ACADEMY CHARTE</t>
  </si>
  <si>
    <t>RIVERWAY LEARNING COM</t>
  </si>
  <si>
    <t>RIVERBEND ACADEMY CHA</t>
  </si>
  <si>
    <t>AURORA CHARTER SCHOOL</t>
  </si>
  <si>
    <t>EXCELL ACADEMY</t>
  </si>
  <si>
    <t>HOPE ACADEMY CHARTER</t>
  </si>
  <si>
    <t>YANKTON COUNTRY CHART</t>
  </si>
  <si>
    <t>ACADEMIA CESAR CHAVEZ</t>
  </si>
  <si>
    <t>AGRICULTURAL FOOD SCI</t>
  </si>
  <si>
    <t>AVALON SCHOL</t>
  </si>
  <si>
    <t>TWIN CITIES INTERNATI</t>
  </si>
  <si>
    <t>MN INTERNATIONAL MIDD</t>
  </si>
  <si>
    <t>FRIENDSHIP ACADEMY OF</t>
  </si>
  <si>
    <t>PILLAGER AREA CHARTER</t>
  </si>
  <si>
    <t>COVENANT</t>
  </si>
  <si>
    <t>BLUESKY</t>
  </si>
  <si>
    <t>RIDGEWAY COMMUNITY SC</t>
  </si>
  <si>
    <t>NORTH SHORE COMMUNITY</t>
  </si>
  <si>
    <t>HARBOR CITY INTERNATI</t>
  </si>
  <si>
    <t>WOODSON INSTITUTE FOR</t>
  </si>
  <si>
    <t>SAGE ACADEMY CHARTER</t>
  </si>
  <si>
    <t>URBAN ACADEMY</t>
  </si>
  <si>
    <t>NEW CITY SCHOOL</t>
  </si>
  <si>
    <t>PRAIRIE CREEK COMMUNI</t>
  </si>
  <si>
    <t>SE MN ARTS &amp; TECHNOLO</t>
  </si>
  <si>
    <t>WATERSHED HIGH SCHOOL</t>
  </si>
  <si>
    <t>NEW CENTURY CHARTER S</t>
  </si>
  <si>
    <t>TRIO WOLF CREEK DISTA</t>
  </si>
  <si>
    <t>PARTNERSHIP ACADEMY,</t>
  </si>
  <si>
    <t>NOVA CLASSICAL</t>
  </si>
  <si>
    <t>TAREK IBN ZIYAD</t>
  </si>
  <si>
    <t>GREAT EXPECTATIONS</t>
  </si>
  <si>
    <t>MINNESOTA NORTH STAR</t>
  </si>
  <si>
    <t>MN INTERNSHIP</t>
  </si>
  <si>
    <t>HMONG ACADEMY</t>
  </si>
  <si>
    <t>LIBERTY HIGH SCHOOL</t>
  </si>
  <si>
    <t>GREAT RIVER SCHOOL</t>
  </si>
  <si>
    <t>TREKNORTH HIGH</t>
  </si>
  <si>
    <t>VOYAGEURS EXPE</t>
  </si>
  <si>
    <t>GENERAL JOHN VESSEY L</t>
  </si>
  <si>
    <t>SOBRIETY HIGH</t>
  </si>
  <si>
    <t>MAIN STREET SCHOOL OF</t>
  </si>
  <si>
    <t>AUGSBURG ACADEMY FOR</t>
  </si>
  <si>
    <t>ST PAUL CONSERVATORY</t>
  </si>
  <si>
    <t>FRASER ACADEMY</t>
  </si>
  <si>
    <t>ASCENSION ACADEMY</t>
  </si>
  <si>
    <t>MINNEAPOLIS ACADEMY</t>
  </si>
  <si>
    <t>LAKES INTERNATIONAL L</t>
  </si>
  <si>
    <t>KALEIDOSCOPE CHARTER</t>
  </si>
  <si>
    <t>RIVER HEIGHTS CHARTER</t>
  </si>
  <si>
    <t>ST. CROIX PREPARATORY</t>
  </si>
  <si>
    <t>UBAH MEDICAL ACADEMY</t>
  </si>
  <si>
    <t>EAGLE RIDGE ACADEMY</t>
  </si>
  <si>
    <t>DAKOTA AREA COMMUNITY</t>
  </si>
  <si>
    <t>BEACON ACADEMY</t>
  </si>
  <si>
    <t>WORTHINGTON AREA LANG</t>
  </si>
  <si>
    <t>PRAIRIE SEEDS ACADEMY</t>
  </si>
  <si>
    <t>TEAM ACADEMY</t>
  </si>
  <si>
    <t>MARY MCVOY EARLY LITE</t>
  </si>
  <si>
    <t>LIGHTHOUSE ACADEMY OF</t>
  </si>
  <si>
    <t>TWIN CITIES ACADEMY H</t>
  </si>
  <si>
    <t>BEACON PREPARATORY SC</t>
  </si>
  <si>
    <t>ADAM ABDULLE ACADEMY</t>
  </si>
  <si>
    <t>SOUL ACADEMY CHARTER</t>
  </si>
  <si>
    <t>SWAN RIVER MONTESSORI</t>
  </si>
  <si>
    <t>MILROY AREA CHARTER S</t>
  </si>
  <si>
    <t>LOVEWORKS ACADEMY FOR</t>
  </si>
  <si>
    <t>YINGHUA ACADEMY</t>
  </si>
  <si>
    <t>PAIDEIA ACADEMY CHART</t>
  </si>
  <si>
    <t>STRIDE ACADEMY CHARTE</t>
  </si>
  <si>
    <t>NEW MILLENNIUM ACADEM</t>
  </si>
  <si>
    <t>GREEN ISLE COMMUNITY</t>
  </si>
  <si>
    <t>BIRCH GROVE COMMUNITY</t>
  </si>
  <si>
    <t>NORTHERN LIGHTS COMMU</t>
  </si>
  <si>
    <t>ACADEMY OF BIOSCIENCE</t>
  </si>
  <si>
    <t>CYGNUS ACADEMY</t>
  </si>
  <si>
    <t>MINNESOTA ONLINE HIGH</t>
  </si>
  <si>
    <t>EDVISIONS OFF CAMPUS</t>
  </si>
  <si>
    <t>TWIN CITIES GERMAN IM</t>
  </si>
  <si>
    <t>DUGSI ACADEMY</t>
  </si>
  <si>
    <t>RECOVERY SCHOOL OF SO</t>
  </si>
  <si>
    <t>NAYTAUWAUSH COMMUNITY</t>
  </si>
  <si>
    <t>NEW SALEM ACADEMY</t>
  </si>
  <si>
    <t>DAKOTA ACADEMY</t>
  </si>
  <si>
    <t>SEVEN HILLS CLASSICAL</t>
  </si>
  <si>
    <t>SPECTRUM HIGH SCHOOL</t>
  </si>
  <si>
    <t>NEW DISCOVERIES MONTE</t>
  </si>
  <si>
    <t>SOUTHSIDE FAMILY CHAR</t>
  </si>
  <si>
    <t>LEARNING FOR LEADERSH</t>
  </si>
  <si>
    <t>NAME UNAVAILABLE</t>
  </si>
  <si>
    <t>Teacher's Name</t>
  </si>
  <si>
    <t>Threshold portion:</t>
  </si>
  <si>
    <t>FILL IN THE YELLOW CELLS FOR UP TO 20 TEACHERS</t>
  </si>
  <si>
    <t>District's Minutes Per Day:</t>
  </si>
  <si>
    <t>District's Hours Per Day:</t>
  </si>
  <si>
    <t>Contract Days</t>
  </si>
  <si>
    <t>Contract Hours</t>
  </si>
  <si>
    <t>Annual Salary</t>
  </si>
  <si>
    <t>Inputs</t>
  </si>
  <si>
    <t>Revised Pupils</t>
  </si>
  <si>
    <t>Pupil Portions</t>
  </si>
  <si>
    <t>Hourly</t>
  </si>
  <si>
    <t>Salary =</t>
  </si>
  <si>
    <t>Disability Dispursement 20070914 20 Teachers</t>
  </si>
  <si>
    <t>SPEECH</t>
  </si>
  <si>
    <t>SLD</t>
  </si>
  <si>
    <t>EB/D</t>
  </si>
  <si>
    <t>AUTISM</t>
  </si>
  <si>
    <t>T B I</t>
  </si>
  <si>
    <t>S M I</t>
  </si>
  <si>
    <t>-MOD</t>
  </si>
  <si>
    <t>MILD</t>
  </si>
  <si>
    <t>SEV</t>
  </si>
  <si>
    <t>PHYS</t>
  </si>
  <si>
    <t>DEAF</t>
  </si>
  <si>
    <t>/HH</t>
  </si>
  <si>
    <t>-PROF</t>
  </si>
  <si>
    <t>BLIND</t>
  </si>
  <si>
    <t>/VIS</t>
  </si>
  <si>
    <t>-BLD</t>
  </si>
  <si>
    <t>OTH</t>
  </si>
  <si>
    <t>-HLTH</t>
  </si>
  <si>
    <t>DEV</t>
  </si>
  <si>
    <t>DELAY</t>
  </si>
  <si>
    <t>Instructions</t>
  </si>
  <si>
    <t>The purpose of this file is to distribute teachers' salaries and contract hours among disability categories.</t>
  </si>
  <si>
    <t>To use the file, you enter the following teacher-specific data into the yellow cells of the "Report" worksheet:</t>
  </si>
  <si>
    <t>total contact days,</t>
  </si>
  <si>
    <t>total annual salary, and</t>
  </si>
  <si>
    <t>*</t>
  </si>
  <si>
    <t>The file allows you to enter data for up to 20 teachers.  If you have more than 20 teachers, you have to</t>
  </si>
  <si>
    <t>The inputs section is followed by a "TOTALS" section the adds up the results for individual teachers.</t>
  </si>
  <si>
    <t>The come the detailed calculations, with six lines for each individual teacher:</t>
  </si>
  <si>
    <t>This line simply restates the inputs that were entered in the yellow cells.</t>
  </si>
  <si>
    <t>pupil contacts by disability.</t>
  </si>
  <si>
    <t>In this line, a given disability's pupil count is eliminated if it represents less than 10% of a teacher's</t>
  </si>
  <si>
    <t>This shows the portion of pupils from the "Revised Pupils" line that are associated with each</t>
  </si>
  <si>
    <t>category of disability.  Assuming that a teacher's overall pupil count is greater than zero,</t>
  </si>
  <si>
    <t>the values in the "Pupil Portions" line will add up to 100%.</t>
  </si>
  <si>
    <t>In this line, the total number of contract days that were entered for a teacher in the yellow section</t>
  </si>
  <si>
    <t>are distributed across disability categories in proportion to the "Pupil Portions" line.</t>
  </si>
  <si>
    <t>The number of hours per day varies from district to district.  One of the yellow cells lets the user</t>
  </si>
  <si>
    <t>explained below.</t>
  </si>
  <si>
    <t>The file also lets the user specify a particular district, and to specify a "threshold portion" that will be</t>
  </si>
  <si>
    <t>total number of pupil contacts.  This 10% is the default "threshold portion", as noted above.</t>
  </si>
  <si>
    <t>You probably don't want to change this 10% value.</t>
  </si>
  <si>
    <t>specify a particular district.  The file will automatically look up the hours per day for the district that</t>
  </si>
  <si>
    <t>was specified as one of the inputs, and will use this value to convert contract days to contract hours.</t>
  </si>
  <si>
    <t>In this line, the salary that was entered for a teacher in the yellow section is distributed across</t>
  </si>
  <si>
    <t>disability categories in proportion to the "Pupil Portions" line.</t>
  </si>
  <si>
    <t>As already noted, the totals across teachers for contract days, contract hours, and annual salaries</t>
  </si>
  <si>
    <t>are shown in the TOTALS section that immediately follows the inputs.</t>
  </si>
  <si>
    <t>district number in the yellow cells</t>
  </si>
  <si>
    <t>DO NOT CHANGE the threshold cell unless requested by MDE</t>
  </si>
  <si>
    <t>create multiple versions of the file.</t>
  </si>
  <si>
    <t>EDRS DATA</t>
  </si>
  <si>
    <t>The lines in the shaded (light green) area are the data that may be entered on EDRS.  It is the data below:</t>
  </si>
  <si>
    <t>Please address any spreadsheet questions to Bob Porter at bob.porter@state.mn.us, or at 651-582-8851.</t>
  </si>
  <si>
    <t>District's Contract Days:</t>
  </si>
  <si>
    <t>Tuition questions go the Michelle Jones at 651-582-8577 or email michelle.jones@state.mn.us</t>
  </si>
  <si>
    <t>EDRS question may be sent to Steve Collins at 651-582-8467 or email to Stephen.Collins@state.mn.us</t>
  </si>
  <si>
    <t>State Fiscal Year 2014</t>
  </si>
  <si>
    <t>End of worksheet</t>
  </si>
  <si>
    <t>n/a</t>
  </si>
  <si>
    <t>column left blank intentionally</t>
  </si>
  <si>
    <t>line left blank intentionally</t>
  </si>
  <si>
    <t>Caution: Do Not Change Any Information in the Threshold Portion of this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</si>
</sst>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&quot;$&quot;#,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</font>
    <font>
      <b/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sz val="10"/>
      <color theme="0"/>
      <name val="Arial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/>
    <xf numFmtId="0" fontId="7" fillId="0" borderId="2" applyNumberFormat="0" applyFill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0" fillId="0" borderId="0" xfId="0" applyNumberFormat="1"/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0" fillId="0" borderId="0" xfId="0" applyAlignment="1">
      <alignment horizontal="right"/>
    </xf>
    <xf numFmtId="14" fontId="2" fillId="0" borderId="0" xfId="0" applyNumberFormat="1" applyFont="1"/>
    <xf numFmtId="4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left"/>
    </xf>
    <xf numFmtId="37" fontId="0" fillId="0" borderId="0" xfId="0" applyNumberFormat="1"/>
    <xf numFmtId="0" fontId="2" fillId="2" borderId="1" xfId="0" applyFont="1" applyFill="1" applyBorder="1" applyAlignment="1">
      <alignment horizontal="left"/>
    </xf>
    <xf numFmtId="3" fontId="2" fillId="2" borderId="1" xfId="0" quotePrefix="1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1" xfId="0" quotePrefix="1" applyFont="1" applyFill="1" applyBorder="1" applyAlignment="1">
      <alignment horizontal="left"/>
    </xf>
    <xf numFmtId="2" fontId="2" fillId="2" borderId="1" xfId="0" applyNumberFormat="1" applyFont="1" applyFill="1" applyBorder="1"/>
    <xf numFmtId="0" fontId="4" fillId="0" borderId="0" xfId="0" applyFont="1"/>
    <xf numFmtId="0" fontId="0" fillId="0" borderId="0" xfId="0" applyFill="1" applyBorder="1"/>
    <xf numFmtId="3" fontId="0" fillId="3" borderId="0" xfId="0" applyNumberFormat="1" applyFill="1"/>
    <xf numFmtId="4" fontId="0" fillId="0" borderId="0" xfId="0" applyNumberFormat="1" applyAlignment="1">
      <alignment horizontal="left"/>
    </xf>
    <xf numFmtId="37" fontId="0" fillId="0" borderId="0" xfId="0" applyNumberFormat="1" applyAlignment="1">
      <alignment horizontal="left"/>
    </xf>
    <xf numFmtId="3" fontId="2" fillId="0" borderId="0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left"/>
    </xf>
    <xf numFmtId="3" fontId="2" fillId="2" borderId="1" xfId="0" quotePrefix="1" applyNumberFormat="1" applyFont="1" applyFill="1" applyBorder="1" applyAlignment="1">
      <alignment horizontal="left"/>
    </xf>
    <xf numFmtId="3" fontId="2" fillId="0" borderId="0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2" fillId="0" borderId="0" xfId="0" quotePrefix="1" applyNumberFormat="1" applyFont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0" fillId="3" borderId="0" xfId="0" applyNumberFormat="1" applyFill="1" applyAlignment="1">
      <alignment horizontal="right"/>
    </xf>
    <xf numFmtId="165" fontId="0" fillId="3" borderId="0" xfId="0" applyNumberFormat="1" applyFill="1"/>
    <xf numFmtId="164" fontId="0" fillId="0" borderId="0" xfId="0" applyNumberFormat="1"/>
    <xf numFmtId="3" fontId="2" fillId="0" borderId="0" xfId="0" applyNumberFormat="1" applyFont="1" applyFill="1" applyBorder="1" applyAlignment="1">
      <alignment horizontal="right"/>
    </xf>
    <xf numFmtId="3" fontId="0" fillId="0" borderId="0" xfId="0" applyNumberFormat="1" applyFill="1" applyAlignment="1">
      <alignment horizontal="right"/>
    </xf>
    <xf numFmtId="3" fontId="2" fillId="0" borderId="0" xfId="0" applyNumberFormat="1" applyFont="1" applyFill="1"/>
    <xf numFmtId="165" fontId="0" fillId="0" borderId="0" xfId="0" applyNumberFormat="1" applyFill="1" applyAlignment="1">
      <alignment horizontal="right"/>
    </xf>
    <xf numFmtId="165" fontId="2" fillId="0" borderId="0" xfId="0" applyNumberFormat="1" applyFont="1" applyFill="1"/>
    <xf numFmtId="0" fontId="5" fillId="0" borderId="0" xfId="0" applyFont="1"/>
    <xf numFmtId="2" fontId="0" fillId="0" borderId="0" xfId="0" applyNumberFormat="1"/>
    <xf numFmtId="4" fontId="2" fillId="0" borderId="0" xfId="0" applyNumberFormat="1" applyFont="1" applyAlignment="1">
      <alignment horizontal="right"/>
    </xf>
    <xf numFmtId="0" fontId="6" fillId="0" borderId="0" xfId="0" applyFont="1"/>
    <xf numFmtId="0" fontId="7" fillId="0" borderId="2" xfId="2"/>
    <xf numFmtId="0" fontId="8" fillId="0" borderId="0" xfId="0" applyFont="1"/>
    <xf numFmtId="37" fontId="2" fillId="0" borderId="0" xfId="0" applyNumberFormat="1" applyFont="1"/>
    <xf numFmtId="0" fontId="7" fillId="0" borderId="2" xfId="2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/>
  </cellXfs>
  <cellStyles count="3">
    <cellStyle name="Heading 1" xfId="2" builtinId="16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Databridge" connectionId="1" autoFormatId="16" applyNumberFormats="0" applyBorderFormats="0" applyFontFormats="1" applyPatternFormats="1" applyAlignmentFormats="0" applyWidthHeightFormats="0">
  <queryTableRefresh nextId="47">
    <queryTableFields count="6">
      <queryTableField id="2" name="dst_num"/>
      <queryTableField id="3" name="dst_tye"/>
      <queryTableField id="46" dataBound="0" fillFormulas="1"/>
      <queryTableField id="4" name="num_mnt_sch_day"/>
      <queryTableField id="5" name="num_day_sch_trm"/>
      <queryTableField id="6" name="num_hrs_sch_trm"/>
    </queryTableFields>
    <queryTableDeletedFields count="40">
      <deletedField name="apl_agy_dst_num"/>
      <deletedField name="apl_agy_dst_tye"/>
      <deletedField name="dir_fdr_num"/>
      <deletedField name="num_hrs_fut_sml"/>
      <deletedField name="use_idt_cst_rat"/>
      <deletedField name="idt_cst_rat"/>
      <deletedField name="mat_adj_reg"/>
      <deletedField name="mat_adj_sml"/>
      <deletedField name="pbc_enr"/>
      <deletedField name="npc_enr"/>
      <deletedField name="pbc_enr_rce_srv"/>
      <deletedField name="npc_enr_rce_srv"/>
      <deletedField name="lep_enr"/>
      <deletedField name="psw"/>
      <deletedField name="use_hst_lvy_ath"/>
      <deletedField name="upd_cat"/>
      <deletedField name="tses_apl_app"/>
      <deletedField name="fnl_pay_app"/>
      <deletedField name="lep_spl_mat_exp"/>
      <deletedField name="lep_spl_mat_aid"/>
      <deletedField name="tui_amt_rcv"/>
      <deletedField name="tui_amt_exp"/>
      <deletedField name="tui_aid"/>
      <deletedField name="tui_est_acu"/>
      <deletedField name="new_dst_spd"/>
      <deletedField name="pct_est_acu"/>
      <deletedField name="new_dst_lep"/>
      <deletedField name="new_dst_smr"/>
      <deletedField name="crt_ord_plc_exp"/>
      <deletedField name="crt_ord_est_acu"/>
      <deletedField name="new_spd_tra_cst"/>
      <deletedField name="gened_rvn_per_pu"/>
      <deletedField name="app_rcv_stt_fnd"/>
      <deletedField name="opn_ovr_edrs"/>
      <deletedField name="cht_bas_dat_yer"/>
      <deletedField name="moe_adj_bas_exp"/>
      <deletedField name="sto_pov_enr_aln_b"/>
      <deletedField name="sto_pov_enr_aln_f"/>
      <deletedField name="undup_sped_cnt"/>
      <deletedField name="dat_yer"/>
    </queryTableDeletedFields>
    <sortState ref="A5:F541">
      <sortCondition ref="A4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2"/>
  <sheetViews>
    <sheetView workbookViewId="0"/>
  </sheetViews>
  <sheetFormatPr defaultColWidth="0" defaultRowHeight="13.2" zeroHeight="1" x14ac:dyDescent="0.25"/>
  <cols>
    <col min="1" max="1" width="4.6640625" customWidth="1"/>
    <col min="2" max="2" width="91.6640625" customWidth="1"/>
    <col min="3" max="16384" width="9.109375" hidden="1"/>
  </cols>
  <sheetData>
    <row r="1" spans="1:2" ht="20.399999999999999" thickBot="1" x14ac:dyDescent="0.45">
      <c r="A1" s="45" t="s">
        <v>537</v>
      </c>
    </row>
    <row r="2" spans="1:2" ht="13.8" thickTop="1" x14ac:dyDescent="0.25">
      <c r="A2" t="s">
        <v>538</v>
      </c>
    </row>
    <row r="3" spans="1:2" x14ac:dyDescent="0.25">
      <c r="A3" t="s">
        <v>539</v>
      </c>
    </row>
    <row r="4" spans="1:2" x14ac:dyDescent="0.25">
      <c r="A4" t="s">
        <v>542</v>
      </c>
      <c r="B4" t="s">
        <v>565</v>
      </c>
    </row>
    <row r="5" spans="1:2" x14ac:dyDescent="0.25">
      <c r="A5" t="s">
        <v>542</v>
      </c>
      <c r="B5" t="s">
        <v>566</v>
      </c>
    </row>
    <row r="6" spans="1:2" x14ac:dyDescent="0.25">
      <c r="A6" t="s">
        <v>542</v>
      </c>
      <c r="B6" t="s">
        <v>540</v>
      </c>
    </row>
    <row r="7" spans="1:2" x14ac:dyDescent="0.25">
      <c r="A7" t="s">
        <v>542</v>
      </c>
      <c r="B7" t="s">
        <v>541</v>
      </c>
    </row>
    <row r="8" spans="1:2" x14ac:dyDescent="0.25">
      <c r="A8" t="s">
        <v>542</v>
      </c>
      <c r="B8" t="s">
        <v>547</v>
      </c>
    </row>
    <row r="9" spans="1:2" x14ac:dyDescent="0.25">
      <c r="A9" t="s">
        <v>543</v>
      </c>
    </row>
    <row r="10" spans="1:2" x14ac:dyDescent="0.25">
      <c r="A10" t="s">
        <v>567</v>
      </c>
    </row>
    <row r="11" spans="1:2" x14ac:dyDescent="0.25">
      <c r="A11" t="s">
        <v>556</v>
      </c>
    </row>
    <row r="12" spans="1:2" x14ac:dyDescent="0.25">
      <c r="A12" t="s">
        <v>555</v>
      </c>
    </row>
    <row r="13" spans="1:2" x14ac:dyDescent="0.25">
      <c r="A13" t="s">
        <v>544</v>
      </c>
    </row>
    <row r="14" spans="1:2" x14ac:dyDescent="0.25">
      <c r="A14" t="s">
        <v>545</v>
      </c>
    </row>
    <row r="15" spans="1:2" x14ac:dyDescent="0.25">
      <c r="A15">
        <v>1</v>
      </c>
      <c r="B15" s="14" t="s">
        <v>511</v>
      </c>
    </row>
    <row r="16" spans="1:2" x14ac:dyDescent="0.25">
      <c r="A16" s="46" t="s">
        <v>576</v>
      </c>
      <c r="B16" s="14" t="s">
        <v>546</v>
      </c>
    </row>
    <row r="17" spans="1:2" x14ac:dyDescent="0.25">
      <c r="A17">
        <v>2</v>
      </c>
      <c r="B17" t="s">
        <v>512</v>
      </c>
    </row>
    <row r="18" spans="1:2" x14ac:dyDescent="0.25">
      <c r="A18" s="46" t="s">
        <v>576</v>
      </c>
      <c r="B18" s="14" t="s">
        <v>548</v>
      </c>
    </row>
    <row r="19" spans="1:2" x14ac:dyDescent="0.25">
      <c r="A19" s="46" t="s">
        <v>576</v>
      </c>
      <c r="B19" s="14" t="s">
        <v>557</v>
      </c>
    </row>
    <row r="20" spans="1:2" x14ac:dyDescent="0.25">
      <c r="A20" s="46" t="s">
        <v>576</v>
      </c>
      <c r="B20" s="14" t="s">
        <v>558</v>
      </c>
    </row>
    <row r="21" spans="1:2" x14ac:dyDescent="0.25">
      <c r="A21">
        <v>3</v>
      </c>
      <c r="B21" t="s">
        <v>513</v>
      </c>
    </row>
    <row r="22" spans="1:2" x14ac:dyDescent="0.25">
      <c r="A22" s="46" t="s">
        <v>576</v>
      </c>
      <c r="B22" s="14" t="s">
        <v>549</v>
      </c>
    </row>
    <row r="23" spans="1:2" x14ac:dyDescent="0.25">
      <c r="A23" s="46" t="s">
        <v>576</v>
      </c>
      <c r="B23" s="14" t="s">
        <v>550</v>
      </c>
    </row>
    <row r="24" spans="1:2" x14ac:dyDescent="0.25">
      <c r="A24" s="46" t="s">
        <v>576</v>
      </c>
      <c r="B24" s="14" t="s">
        <v>551</v>
      </c>
    </row>
    <row r="25" spans="1:2" x14ac:dyDescent="0.25">
      <c r="A25">
        <v>4</v>
      </c>
      <c r="B25" s="14" t="s">
        <v>508</v>
      </c>
    </row>
    <row r="26" spans="1:2" x14ac:dyDescent="0.25">
      <c r="A26" s="46" t="s">
        <v>576</v>
      </c>
      <c r="B26" s="14" t="s">
        <v>552</v>
      </c>
    </row>
    <row r="27" spans="1:2" x14ac:dyDescent="0.25">
      <c r="A27" s="46" t="s">
        <v>576</v>
      </c>
      <c r="B27" t="s">
        <v>553</v>
      </c>
    </row>
    <row r="28" spans="1:2" x14ac:dyDescent="0.25">
      <c r="A28" s="41" t="s">
        <v>568</v>
      </c>
    </row>
    <row r="29" spans="1:2" x14ac:dyDescent="0.25">
      <c r="A29" s="46" t="s">
        <v>576</v>
      </c>
      <c r="B29" s="41" t="s">
        <v>569</v>
      </c>
    </row>
    <row r="30" spans="1:2" x14ac:dyDescent="0.25">
      <c r="A30">
        <v>5</v>
      </c>
      <c r="B30" t="s">
        <v>509</v>
      </c>
    </row>
    <row r="31" spans="1:2" x14ac:dyDescent="0.25">
      <c r="A31" s="46" t="s">
        <v>576</v>
      </c>
      <c r="B31" t="s">
        <v>554</v>
      </c>
    </row>
    <row r="32" spans="1:2" x14ac:dyDescent="0.25">
      <c r="A32" s="46" t="s">
        <v>576</v>
      </c>
      <c r="B32" t="s">
        <v>559</v>
      </c>
    </row>
    <row r="33" spans="1:2" x14ac:dyDescent="0.25">
      <c r="A33" s="46" t="s">
        <v>576</v>
      </c>
      <c r="B33" t="s">
        <v>560</v>
      </c>
    </row>
    <row r="34" spans="1:2" x14ac:dyDescent="0.25">
      <c r="A34">
        <v>6</v>
      </c>
      <c r="B34" t="s">
        <v>510</v>
      </c>
    </row>
    <row r="35" spans="1:2" x14ac:dyDescent="0.25">
      <c r="A35" s="46" t="s">
        <v>576</v>
      </c>
      <c r="B35" s="14" t="s">
        <v>561</v>
      </c>
    </row>
    <row r="36" spans="1:2" x14ac:dyDescent="0.25">
      <c r="A36" s="46" t="s">
        <v>576</v>
      </c>
      <c r="B36" t="s">
        <v>562</v>
      </c>
    </row>
    <row r="37" spans="1:2" x14ac:dyDescent="0.25">
      <c r="A37" t="s">
        <v>563</v>
      </c>
    </row>
    <row r="38" spans="1:2" x14ac:dyDescent="0.25">
      <c r="A38" t="s">
        <v>564</v>
      </c>
    </row>
    <row r="39" spans="1:2" x14ac:dyDescent="0.25">
      <c r="A39" t="s">
        <v>570</v>
      </c>
    </row>
    <row r="40" spans="1:2" x14ac:dyDescent="0.25">
      <c r="A40" t="s">
        <v>572</v>
      </c>
    </row>
    <row r="41" spans="1:2" x14ac:dyDescent="0.25">
      <c r="A41" t="s">
        <v>573</v>
      </c>
    </row>
    <row r="42" spans="1:2" x14ac:dyDescent="0.25">
      <c r="A42" t="s">
        <v>575</v>
      </c>
    </row>
    <row r="43" spans="1:2" hidden="1" x14ac:dyDescent="0.25"/>
    <row r="44" spans="1:2" hidden="1" x14ac:dyDescent="0.25"/>
    <row r="45" spans="1:2" hidden="1" x14ac:dyDescent="0.25"/>
    <row r="46" spans="1:2" hidden="1" x14ac:dyDescent="0.25"/>
    <row r="47" spans="1:2" hidden="1" x14ac:dyDescent="0.25"/>
    <row r="48" spans="1:2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</sheetData>
  <phoneticPr fontId="3" type="noConversion"/>
  <pageMargins left="0.75" right="0.75" top="1" bottom="1" header="0.5" footer="0.5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Y1341"/>
  <sheetViews>
    <sheetView tabSelected="1" topLeftCell="E1" zoomScale="75" zoomScaleNormal="75" workbookViewId="0">
      <pane ySplit="8" topLeftCell="A9" activePane="bottomLeft" state="frozen"/>
      <selection pane="bottomLeft" activeCell="M6" sqref="M6"/>
    </sheetView>
  </sheetViews>
  <sheetFormatPr defaultColWidth="0" defaultRowHeight="13.2" zeroHeight="1" x14ac:dyDescent="0.25"/>
  <cols>
    <col min="1" max="1" width="6.6640625" customWidth="1"/>
    <col min="2" max="2" width="16.6640625" style="13" customWidth="1"/>
    <col min="3" max="3" width="26.88671875" customWidth="1"/>
    <col min="4" max="4" width="8.6640625" customWidth="1"/>
    <col min="5" max="5" width="12.6640625" customWidth="1"/>
    <col min="6" max="18" width="8.6640625" customWidth="1"/>
    <col min="19" max="19" width="10.5546875" customWidth="1"/>
    <col min="20" max="21" width="4.6640625" customWidth="1"/>
    <col min="22" max="23" width="12.6640625" customWidth="1"/>
    <col min="24" max="24" width="29.5546875" customWidth="1"/>
    <col min="25" max="25" width="8.6640625" customWidth="1"/>
    <col min="26" max="26" width="12.6640625" customWidth="1"/>
    <col min="27" max="40" width="8.6640625" customWidth="1"/>
    <col min="41" max="103" width="12.6640625" hidden="1" customWidth="1"/>
    <col min="104" max="16384" width="9.109375" hidden="1"/>
  </cols>
  <sheetData>
    <row r="1" spans="1:103" ht="20.399999999999999" thickBot="1" x14ac:dyDescent="0.45">
      <c r="A1" s="45" t="s">
        <v>24</v>
      </c>
      <c r="D1" s="1"/>
      <c r="E1" s="1"/>
      <c r="F1" s="1"/>
      <c r="G1" s="20"/>
      <c r="I1" s="1"/>
      <c r="J1" s="1"/>
      <c r="K1" s="1"/>
      <c r="L1" s="1"/>
      <c r="M1" s="1"/>
      <c r="N1" s="1"/>
      <c r="O1" s="1"/>
      <c r="P1" s="1"/>
      <c r="Q1" s="1"/>
      <c r="R1" s="1"/>
      <c r="S1" s="4" t="s">
        <v>516</v>
      </c>
      <c r="T1" s="46" t="s">
        <v>577</v>
      </c>
      <c r="U1" s="1"/>
      <c r="V1" s="46" t="s">
        <v>577</v>
      </c>
      <c r="W1" s="46" t="s">
        <v>577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13.8" thickTop="1" x14ac:dyDescent="0.25">
      <c r="A2" s="1" t="s">
        <v>505</v>
      </c>
      <c r="C2" s="1"/>
      <c r="D2" s="1"/>
      <c r="E2" s="1"/>
      <c r="F2" s="1"/>
      <c r="G2" s="1"/>
      <c r="H2" s="44" t="s">
        <v>574</v>
      </c>
      <c r="I2" s="1"/>
      <c r="J2" s="1"/>
      <c r="K2" s="1"/>
      <c r="L2" s="1"/>
      <c r="M2" s="1"/>
      <c r="N2" s="1"/>
      <c r="O2" s="1"/>
      <c r="P2" s="1"/>
      <c r="Q2" s="1"/>
      <c r="R2" s="1"/>
      <c r="S2" s="10">
        <v>39342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15.6" x14ac:dyDescent="0.3">
      <c r="B3" s="7" t="s">
        <v>37</v>
      </c>
      <c r="D3" s="12">
        <v>1</v>
      </c>
      <c r="E3" s="1"/>
      <c r="F3" t="s">
        <v>506</v>
      </c>
      <c r="I3" s="6">
        <f>VLOOKUP(District,HoursPer,4)</f>
        <v>380</v>
      </c>
      <c r="J3" s="1"/>
      <c r="K3" s="51" t="s">
        <v>579</v>
      </c>
      <c r="L3" s="1"/>
      <c r="M3" s="1"/>
      <c r="N3" s="1"/>
      <c r="O3" s="1"/>
      <c r="P3" s="1"/>
      <c r="Q3" s="1"/>
      <c r="R3" s="1"/>
      <c r="S3" s="10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x14ac:dyDescent="0.25">
      <c r="B4" s="13" t="s">
        <v>504</v>
      </c>
      <c r="C4" s="1"/>
      <c r="D4" s="19">
        <v>0.1</v>
      </c>
      <c r="F4" t="s">
        <v>507</v>
      </c>
      <c r="I4" s="11">
        <f>I3/60</f>
        <v>6.333333333333333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3" x14ac:dyDescent="0.25">
      <c r="B5" s="7"/>
      <c r="D5" s="21"/>
      <c r="F5" s="1" t="s">
        <v>571</v>
      </c>
      <c r="G5" s="1"/>
      <c r="H5" s="1"/>
      <c r="I5" s="4">
        <f>VLOOKUP(District,HoursPer,5,FALSE)</f>
        <v>168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03" x14ac:dyDescent="0.25">
      <c r="F6" s="3">
        <v>401</v>
      </c>
      <c r="G6" s="3">
        <v>402</v>
      </c>
      <c r="H6" s="3">
        <v>403</v>
      </c>
      <c r="I6" s="3">
        <v>404</v>
      </c>
      <c r="J6" s="3">
        <v>405</v>
      </c>
      <c r="K6" s="3">
        <v>406</v>
      </c>
      <c r="L6" s="3">
        <v>407</v>
      </c>
      <c r="M6" s="3">
        <v>408</v>
      </c>
      <c r="N6" s="3">
        <v>409</v>
      </c>
      <c r="O6" s="3">
        <v>410</v>
      </c>
      <c r="P6" s="3">
        <v>411</v>
      </c>
      <c r="Q6" s="3">
        <v>412</v>
      </c>
      <c r="R6" s="3">
        <v>414</v>
      </c>
      <c r="S6" s="3">
        <v>416</v>
      </c>
      <c r="T6" s="1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03" x14ac:dyDescent="0.25">
      <c r="C7" s="2"/>
      <c r="D7" s="9" t="s">
        <v>25</v>
      </c>
      <c r="E7" s="3" t="s">
        <v>0</v>
      </c>
      <c r="F7" s="5"/>
      <c r="G7" s="5" t="s">
        <v>524</v>
      </c>
      <c r="H7" s="31" t="s">
        <v>525</v>
      </c>
      <c r="I7" s="5"/>
      <c r="J7" s="31" t="s">
        <v>527</v>
      </c>
      <c r="K7" s="31" t="s">
        <v>530</v>
      </c>
      <c r="L7" s="5"/>
      <c r="M7" s="5"/>
      <c r="N7" s="31" t="s">
        <v>527</v>
      </c>
      <c r="O7" s="31" t="s">
        <v>533</v>
      </c>
      <c r="P7" s="5"/>
      <c r="Q7" s="31" t="s">
        <v>535</v>
      </c>
      <c r="R7" s="5"/>
      <c r="S7" s="5"/>
      <c r="T7" s="1"/>
      <c r="U7" s="3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03" x14ac:dyDescent="0.25">
      <c r="C8" s="2" t="s">
        <v>503</v>
      </c>
      <c r="D8" s="3" t="s">
        <v>26</v>
      </c>
      <c r="E8" s="3" t="s">
        <v>1</v>
      </c>
      <c r="F8" s="5" t="s">
        <v>517</v>
      </c>
      <c r="G8" s="31" t="s">
        <v>523</v>
      </c>
      <c r="H8" s="31" t="s">
        <v>529</v>
      </c>
      <c r="I8" s="5" t="s">
        <v>526</v>
      </c>
      <c r="J8" s="5" t="s">
        <v>528</v>
      </c>
      <c r="K8" s="31" t="s">
        <v>531</v>
      </c>
      <c r="L8" s="5" t="s">
        <v>518</v>
      </c>
      <c r="M8" s="5" t="s">
        <v>519</v>
      </c>
      <c r="N8" s="31" t="s">
        <v>532</v>
      </c>
      <c r="O8" s="31" t="s">
        <v>534</v>
      </c>
      <c r="P8" s="5" t="s">
        <v>520</v>
      </c>
      <c r="Q8" s="5" t="s">
        <v>536</v>
      </c>
      <c r="R8" s="5" t="s">
        <v>521</v>
      </c>
      <c r="S8" s="5" t="s">
        <v>522</v>
      </c>
      <c r="T8" s="1"/>
      <c r="U8" s="3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 spans="1:103" x14ac:dyDescent="0.25">
      <c r="A9" s="14">
        <v>1</v>
      </c>
      <c r="B9" s="24" t="s">
        <v>511</v>
      </c>
      <c r="C9" s="15"/>
      <c r="D9" s="17"/>
      <c r="E9" s="32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8"/>
      <c r="U9" s="25"/>
      <c r="V9" s="8"/>
      <c r="W9" s="8"/>
      <c r="X9" s="26" t="s">
        <v>2</v>
      </c>
      <c r="Y9" s="16">
        <v>49</v>
      </c>
      <c r="Z9" s="17">
        <v>15928</v>
      </c>
      <c r="AA9" s="17">
        <v>68</v>
      </c>
      <c r="AB9" s="17">
        <v>70</v>
      </c>
      <c r="AC9" s="17">
        <v>71</v>
      </c>
      <c r="AD9" s="17">
        <v>75</v>
      </c>
      <c r="AE9" s="17">
        <v>1</v>
      </c>
      <c r="AF9" s="17">
        <v>19</v>
      </c>
      <c r="AG9" s="17">
        <v>41</v>
      </c>
      <c r="AH9" s="17">
        <v>23</v>
      </c>
      <c r="AI9" s="17">
        <v>22</v>
      </c>
      <c r="AJ9" s="17">
        <v>8</v>
      </c>
      <c r="AK9" s="17">
        <v>7</v>
      </c>
      <c r="AL9" s="17">
        <v>62</v>
      </c>
      <c r="AM9" s="17">
        <v>88</v>
      </c>
      <c r="AN9" s="17">
        <v>62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</row>
    <row r="10" spans="1:103" x14ac:dyDescent="0.25">
      <c r="A10" s="14">
        <v>2</v>
      </c>
      <c r="B10" s="24" t="s">
        <v>511</v>
      </c>
      <c r="C10" s="15"/>
      <c r="D10" s="16"/>
      <c r="E10" s="32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8"/>
      <c r="U10" s="8"/>
      <c r="V10" s="8"/>
      <c r="W10" s="8"/>
      <c r="X10" s="26" t="s">
        <v>3</v>
      </c>
      <c r="Y10" s="16">
        <v>115</v>
      </c>
      <c r="Z10" s="17">
        <v>12216</v>
      </c>
      <c r="AA10" s="17">
        <v>41</v>
      </c>
      <c r="AB10" s="17">
        <v>28</v>
      </c>
      <c r="AC10" s="17">
        <v>46</v>
      </c>
      <c r="AD10" s="17">
        <v>90</v>
      </c>
      <c r="AE10" s="17">
        <v>57</v>
      </c>
      <c r="AF10" s="17">
        <v>53</v>
      </c>
      <c r="AG10" s="17">
        <v>27</v>
      </c>
      <c r="AH10" s="17">
        <v>49</v>
      </c>
      <c r="AI10" s="17">
        <v>26</v>
      </c>
      <c r="AJ10" s="17">
        <v>25</v>
      </c>
      <c r="AK10" s="17">
        <v>16</v>
      </c>
      <c r="AL10" s="17">
        <v>86</v>
      </c>
      <c r="AM10" s="17">
        <v>48</v>
      </c>
      <c r="AN10" s="17">
        <v>33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</row>
    <row r="11" spans="1:103" x14ac:dyDescent="0.25">
      <c r="A11" s="14">
        <v>3</v>
      </c>
      <c r="B11" s="24" t="s">
        <v>511</v>
      </c>
      <c r="C11" s="15"/>
      <c r="D11" s="16"/>
      <c r="E11" s="32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8"/>
      <c r="U11" s="8"/>
      <c r="V11" s="8"/>
      <c r="W11" s="8"/>
      <c r="X11" s="26" t="s">
        <v>4</v>
      </c>
      <c r="Y11" s="16">
        <v>54</v>
      </c>
      <c r="Z11" s="17">
        <v>9509</v>
      </c>
      <c r="AA11" s="17">
        <v>56</v>
      </c>
      <c r="AB11" s="17">
        <v>22</v>
      </c>
      <c r="AC11" s="17">
        <v>31</v>
      </c>
      <c r="AD11" s="17">
        <v>2</v>
      </c>
      <c r="AE11" s="17">
        <v>38</v>
      </c>
      <c r="AF11" s="17">
        <v>77</v>
      </c>
      <c r="AG11" s="17">
        <v>51</v>
      </c>
      <c r="AH11" s="17">
        <v>97</v>
      </c>
      <c r="AI11" s="17">
        <v>84</v>
      </c>
      <c r="AJ11" s="17">
        <v>96</v>
      </c>
      <c r="AK11" s="17">
        <v>80</v>
      </c>
      <c r="AL11" s="17">
        <v>7</v>
      </c>
      <c r="AM11" s="17">
        <v>25</v>
      </c>
      <c r="AN11" s="17">
        <v>65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</row>
    <row r="12" spans="1:103" x14ac:dyDescent="0.25">
      <c r="A12" s="14">
        <v>4</v>
      </c>
      <c r="B12" s="24" t="s">
        <v>511</v>
      </c>
      <c r="C12" s="15"/>
      <c r="D12" s="16"/>
      <c r="E12" s="32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8"/>
      <c r="U12" s="8"/>
      <c r="V12" s="8"/>
      <c r="W12" s="8"/>
      <c r="X12" s="26" t="s">
        <v>5</v>
      </c>
      <c r="Y12" s="16">
        <v>71</v>
      </c>
      <c r="Z12" s="17">
        <v>83648</v>
      </c>
      <c r="AA12" s="17">
        <v>52</v>
      </c>
      <c r="AB12" s="17">
        <v>99</v>
      </c>
      <c r="AC12" s="17">
        <v>35</v>
      </c>
      <c r="AD12" s="17">
        <v>46</v>
      </c>
      <c r="AE12" s="17">
        <v>28</v>
      </c>
      <c r="AF12" s="17">
        <v>54</v>
      </c>
      <c r="AG12" s="17">
        <v>91</v>
      </c>
      <c r="AH12" s="17">
        <v>37</v>
      </c>
      <c r="AI12" s="17">
        <v>23</v>
      </c>
      <c r="AJ12" s="17">
        <v>62</v>
      </c>
      <c r="AK12" s="17">
        <v>68</v>
      </c>
      <c r="AL12" s="17">
        <v>79</v>
      </c>
      <c r="AM12" s="17">
        <v>97</v>
      </c>
      <c r="AN12" s="17">
        <v>35</v>
      </c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</row>
    <row r="13" spans="1:103" x14ac:dyDescent="0.25">
      <c r="A13" s="14">
        <v>5</v>
      </c>
      <c r="B13" s="24" t="s">
        <v>511</v>
      </c>
      <c r="C13" s="15"/>
      <c r="D13" s="16"/>
      <c r="E13" s="32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8"/>
      <c r="U13" s="8"/>
      <c r="V13" s="8"/>
      <c r="W13" s="8"/>
      <c r="X13" s="26" t="s">
        <v>6</v>
      </c>
      <c r="Y13" s="16">
        <v>153</v>
      </c>
      <c r="Z13" s="17">
        <v>65682</v>
      </c>
      <c r="AA13" s="17">
        <v>18</v>
      </c>
      <c r="AB13" s="17">
        <v>58</v>
      </c>
      <c r="AC13" s="17">
        <v>7</v>
      </c>
      <c r="AD13" s="17">
        <v>34</v>
      </c>
      <c r="AE13" s="17">
        <v>19</v>
      </c>
      <c r="AF13" s="17">
        <v>75</v>
      </c>
      <c r="AG13" s="17">
        <v>26</v>
      </c>
      <c r="AH13" s="17">
        <v>91</v>
      </c>
      <c r="AI13" s="17">
        <v>81</v>
      </c>
      <c r="AJ13" s="17">
        <v>51</v>
      </c>
      <c r="AK13" s="17">
        <v>61</v>
      </c>
      <c r="AL13" s="17">
        <v>29</v>
      </c>
      <c r="AM13" s="17">
        <v>12</v>
      </c>
      <c r="AN13" s="17">
        <v>58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</row>
    <row r="14" spans="1:103" x14ac:dyDescent="0.25">
      <c r="A14" s="14">
        <v>6</v>
      </c>
      <c r="B14" s="24" t="s">
        <v>511</v>
      </c>
      <c r="C14" s="15"/>
      <c r="D14" s="16"/>
      <c r="E14" s="3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8"/>
      <c r="U14" s="8"/>
      <c r="V14" s="8"/>
      <c r="W14" s="8"/>
      <c r="X14" s="26" t="s">
        <v>7</v>
      </c>
      <c r="Y14" s="16">
        <v>33</v>
      </c>
      <c r="Z14" s="17">
        <v>4212</v>
      </c>
      <c r="AA14" s="17">
        <v>82</v>
      </c>
      <c r="AB14" s="17">
        <v>35</v>
      </c>
      <c r="AC14" s="17">
        <v>88</v>
      </c>
      <c r="AD14" s="17">
        <v>64</v>
      </c>
      <c r="AE14" s="17">
        <v>58</v>
      </c>
      <c r="AF14" s="17">
        <v>59</v>
      </c>
      <c r="AG14" s="17">
        <v>60</v>
      </c>
      <c r="AH14" s="17">
        <v>85</v>
      </c>
      <c r="AI14" s="17">
        <v>83</v>
      </c>
      <c r="AJ14" s="17">
        <v>29</v>
      </c>
      <c r="AK14" s="17">
        <v>82</v>
      </c>
      <c r="AL14" s="17">
        <v>37</v>
      </c>
      <c r="AM14" s="17">
        <v>79</v>
      </c>
      <c r="AN14" s="17">
        <v>94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</row>
    <row r="15" spans="1:103" x14ac:dyDescent="0.25">
      <c r="A15" s="14">
        <v>7</v>
      </c>
      <c r="B15" s="24" t="s">
        <v>511</v>
      </c>
      <c r="C15" s="15"/>
      <c r="D15" s="16"/>
      <c r="E15" s="32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8"/>
      <c r="U15" s="8"/>
      <c r="V15" s="8"/>
      <c r="W15" s="8"/>
      <c r="X15" s="26" t="s">
        <v>8</v>
      </c>
      <c r="Y15" s="16">
        <v>40</v>
      </c>
      <c r="Z15" s="17">
        <v>87984</v>
      </c>
      <c r="AA15" s="17">
        <v>16</v>
      </c>
      <c r="AB15" s="17">
        <v>70</v>
      </c>
      <c r="AC15" s="17">
        <v>50</v>
      </c>
      <c r="AD15" s="17">
        <v>64</v>
      </c>
      <c r="AE15" s="17">
        <v>33</v>
      </c>
      <c r="AF15" s="17">
        <v>89</v>
      </c>
      <c r="AG15" s="17">
        <v>70</v>
      </c>
      <c r="AH15" s="17">
        <v>73</v>
      </c>
      <c r="AI15" s="17">
        <v>96</v>
      </c>
      <c r="AJ15" s="17">
        <v>45</v>
      </c>
      <c r="AK15" s="17">
        <v>49</v>
      </c>
      <c r="AL15" s="17">
        <v>92</v>
      </c>
      <c r="AM15" s="17">
        <v>5</v>
      </c>
      <c r="AN15" s="17">
        <v>48</v>
      </c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</row>
    <row r="16" spans="1:103" x14ac:dyDescent="0.25">
      <c r="A16" s="14">
        <v>8</v>
      </c>
      <c r="B16" s="24" t="s">
        <v>511</v>
      </c>
      <c r="C16" s="15"/>
      <c r="D16" s="16"/>
      <c r="E16" s="32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8"/>
      <c r="U16" s="8"/>
      <c r="V16" s="8"/>
      <c r="W16" s="8"/>
      <c r="X16" s="26" t="s">
        <v>9</v>
      </c>
      <c r="Y16" s="16">
        <v>3</v>
      </c>
      <c r="Z16" s="17">
        <v>38713</v>
      </c>
      <c r="AA16" s="17">
        <v>19</v>
      </c>
      <c r="AB16" s="17">
        <v>65</v>
      </c>
      <c r="AC16" s="17">
        <v>77</v>
      </c>
      <c r="AD16" s="17">
        <v>16</v>
      </c>
      <c r="AE16" s="17">
        <v>52</v>
      </c>
      <c r="AF16" s="17">
        <v>41</v>
      </c>
      <c r="AG16" s="17">
        <v>93</v>
      </c>
      <c r="AH16" s="17">
        <v>98</v>
      </c>
      <c r="AI16" s="17">
        <v>95</v>
      </c>
      <c r="AJ16" s="17">
        <v>77</v>
      </c>
      <c r="AK16" s="17">
        <v>21</v>
      </c>
      <c r="AL16" s="17">
        <v>25</v>
      </c>
      <c r="AM16" s="17">
        <v>47</v>
      </c>
      <c r="AN16" s="17">
        <v>18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</row>
    <row r="17" spans="1:103" x14ac:dyDescent="0.25">
      <c r="A17" s="14">
        <v>9</v>
      </c>
      <c r="B17" s="24" t="s">
        <v>511</v>
      </c>
      <c r="C17" s="15"/>
      <c r="D17" s="16"/>
      <c r="E17" s="3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8"/>
      <c r="U17" s="8"/>
      <c r="V17" s="8"/>
      <c r="W17" s="8"/>
      <c r="X17" s="26" t="s">
        <v>10</v>
      </c>
      <c r="Y17" s="16">
        <v>21</v>
      </c>
      <c r="Z17" s="17">
        <v>64675</v>
      </c>
      <c r="AA17" s="17">
        <v>73</v>
      </c>
      <c r="AB17" s="17">
        <v>78</v>
      </c>
      <c r="AC17" s="17">
        <v>43</v>
      </c>
      <c r="AD17" s="17">
        <v>22</v>
      </c>
      <c r="AE17" s="17">
        <v>7</v>
      </c>
      <c r="AF17" s="17">
        <v>1</v>
      </c>
      <c r="AG17" s="17">
        <v>9</v>
      </c>
      <c r="AH17" s="17">
        <v>29</v>
      </c>
      <c r="AI17" s="17">
        <v>27</v>
      </c>
      <c r="AJ17" s="17">
        <v>57</v>
      </c>
      <c r="AK17" s="17">
        <v>6</v>
      </c>
      <c r="AL17" s="17">
        <v>90</v>
      </c>
      <c r="AM17" s="17">
        <v>52</v>
      </c>
      <c r="AN17" s="17">
        <v>33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</row>
    <row r="18" spans="1:103" x14ac:dyDescent="0.25">
      <c r="A18" s="14">
        <v>10</v>
      </c>
      <c r="B18" s="24" t="s">
        <v>511</v>
      </c>
      <c r="C18" s="15"/>
      <c r="D18" s="16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8"/>
      <c r="U18" s="8"/>
      <c r="V18" s="8"/>
      <c r="W18" s="8"/>
      <c r="X18" s="26" t="s">
        <v>11</v>
      </c>
      <c r="Y18" s="16">
        <v>64</v>
      </c>
      <c r="Z18" s="17">
        <v>35907</v>
      </c>
      <c r="AA18" s="17">
        <v>14</v>
      </c>
      <c r="AB18" s="17">
        <v>15</v>
      </c>
      <c r="AC18" s="17">
        <v>62</v>
      </c>
      <c r="AD18" s="17">
        <v>53</v>
      </c>
      <c r="AE18" s="17">
        <v>83</v>
      </c>
      <c r="AF18" s="17">
        <v>9</v>
      </c>
      <c r="AG18" s="17">
        <v>65</v>
      </c>
      <c r="AH18" s="17">
        <v>12</v>
      </c>
      <c r="AI18" s="17">
        <v>83</v>
      </c>
      <c r="AJ18" s="17">
        <v>39</v>
      </c>
      <c r="AK18" s="17">
        <v>21</v>
      </c>
      <c r="AL18" s="17">
        <v>95</v>
      </c>
      <c r="AM18" s="17">
        <v>96</v>
      </c>
      <c r="AN18" s="17">
        <v>3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</row>
    <row r="19" spans="1:103" x14ac:dyDescent="0.25">
      <c r="A19" s="14">
        <v>11</v>
      </c>
      <c r="B19" s="24" t="s">
        <v>511</v>
      </c>
      <c r="C19" s="15"/>
      <c r="D19" s="16"/>
      <c r="E19" s="3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8"/>
      <c r="U19" s="8"/>
      <c r="V19" s="8"/>
      <c r="W19" s="8"/>
      <c r="X19" s="26" t="s">
        <v>12</v>
      </c>
      <c r="Y19" s="16">
        <v>137</v>
      </c>
      <c r="Z19" s="17">
        <v>42353</v>
      </c>
      <c r="AA19" s="17">
        <v>92</v>
      </c>
      <c r="AB19" s="17">
        <v>3</v>
      </c>
      <c r="AC19" s="17">
        <v>54</v>
      </c>
      <c r="AD19" s="17">
        <v>5</v>
      </c>
      <c r="AE19" s="17">
        <v>39</v>
      </c>
      <c r="AF19" s="17">
        <v>22</v>
      </c>
      <c r="AG19" s="17">
        <v>31</v>
      </c>
      <c r="AH19" s="17">
        <v>95</v>
      </c>
      <c r="AI19" s="17">
        <v>13</v>
      </c>
      <c r="AJ19" s="17">
        <v>89</v>
      </c>
      <c r="AK19" s="17">
        <v>2</v>
      </c>
      <c r="AL19" s="17">
        <v>36</v>
      </c>
      <c r="AM19" s="17">
        <v>86</v>
      </c>
      <c r="AN19" s="17">
        <v>38</v>
      </c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</row>
    <row r="20" spans="1:103" x14ac:dyDescent="0.25">
      <c r="A20" s="14">
        <v>12</v>
      </c>
      <c r="B20" s="24" t="s">
        <v>511</v>
      </c>
      <c r="C20" s="15"/>
      <c r="D20" s="16"/>
      <c r="E20" s="3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8"/>
      <c r="U20" s="8"/>
      <c r="V20" s="8"/>
      <c r="W20" s="8"/>
      <c r="X20" s="26" t="s">
        <v>13</v>
      </c>
      <c r="Y20" s="16">
        <v>171</v>
      </c>
      <c r="Z20" s="17">
        <v>26991</v>
      </c>
      <c r="AA20" s="17">
        <v>9</v>
      </c>
      <c r="AB20" s="17">
        <v>1</v>
      </c>
      <c r="AC20" s="17">
        <v>80</v>
      </c>
      <c r="AD20" s="17">
        <v>35</v>
      </c>
      <c r="AE20" s="17">
        <v>55</v>
      </c>
      <c r="AF20" s="17">
        <v>13</v>
      </c>
      <c r="AG20" s="17">
        <v>50</v>
      </c>
      <c r="AH20" s="17">
        <v>69</v>
      </c>
      <c r="AI20" s="17">
        <v>61</v>
      </c>
      <c r="AJ20" s="17">
        <v>31</v>
      </c>
      <c r="AK20" s="17">
        <v>54</v>
      </c>
      <c r="AL20" s="17">
        <v>27</v>
      </c>
      <c r="AM20" s="17">
        <v>55</v>
      </c>
      <c r="AN20" s="17">
        <v>59</v>
      </c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</row>
    <row r="21" spans="1:103" x14ac:dyDescent="0.25">
      <c r="A21" s="14">
        <v>13</v>
      </c>
      <c r="B21" s="24" t="s">
        <v>511</v>
      </c>
      <c r="C21" s="15"/>
      <c r="D21" s="16"/>
      <c r="E21" s="32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8"/>
      <c r="U21" s="8"/>
      <c r="V21" s="8"/>
      <c r="W21" s="8"/>
      <c r="X21" s="27" t="s">
        <v>14</v>
      </c>
      <c r="Y21" s="16">
        <v>64</v>
      </c>
      <c r="Z21" s="17">
        <v>71158</v>
      </c>
      <c r="AA21" s="17">
        <v>16</v>
      </c>
      <c r="AB21" s="17">
        <v>16</v>
      </c>
      <c r="AC21" s="17">
        <v>29</v>
      </c>
      <c r="AD21" s="17">
        <v>9</v>
      </c>
      <c r="AE21" s="17">
        <v>35</v>
      </c>
      <c r="AF21" s="17">
        <v>53</v>
      </c>
      <c r="AG21" s="17">
        <v>70</v>
      </c>
      <c r="AH21" s="17">
        <v>26</v>
      </c>
      <c r="AI21" s="17">
        <v>83</v>
      </c>
      <c r="AJ21" s="17">
        <v>80</v>
      </c>
      <c r="AK21" s="17">
        <v>70</v>
      </c>
      <c r="AL21" s="17">
        <v>53</v>
      </c>
      <c r="AM21" s="17">
        <v>89</v>
      </c>
      <c r="AN21" s="17">
        <v>56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</row>
    <row r="22" spans="1:103" x14ac:dyDescent="0.25">
      <c r="A22" s="14">
        <v>14</v>
      </c>
      <c r="B22" s="24" t="s">
        <v>511</v>
      </c>
      <c r="C22" s="18"/>
      <c r="D22" s="16"/>
      <c r="E22" s="3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8"/>
      <c r="U22" s="8"/>
      <c r="V22" s="8"/>
      <c r="W22" s="8"/>
      <c r="X22" s="27" t="s">
        <v>15</v>
      </c>
      <c r="Y22" s="16">
        <v>164</v>
      </c>
      <c r="Z22" s="17">
        <v>61786</v>
      </c>
      <c r="AA22" s="17">
        <v>56</v>
      </c>
      <c r="AB22" s="17">
        <v>28</v>
      </c>
      <c r="AC22" s="17">
        <v>21</v>
      </c>
      <c r="AD22" s="17">
        <v>3</v>
      </c>
      <c r="AE22" s="17">
        <v>79</v>
      </c>
      <c r="AF22" s="17">
        <v>22</v>
      </c>
      <c r="AG22" s="17">
        <v>68</v>
      </c>
      <c r="AH22" s="17">
        <v>67</v>
      </c>
      <c r="AI22" s="17">
        <v>86</v>
      </c>
      <c r="AJ22" s="17">
        <v>99</v>
      </c>
      <c r="AK22" s="17">
        <v>24</v>
      </c>
      <c r="AL22" s="17">
        <v>89</v>
      </c>
      <c r="AM22" s="17">
        <v>34</v>
      </c>
      <c r="AN22" s="17">
        <v>45</v>
      </c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</row>
    <row r="23" spans="1:103" x14ac:dyDescent="0.25">
      <c r="A23" s="14">
        <v>15</v>
      </c>
      <c r="B23" s="24" t="s">
        <v>511</v>
      </c>
      <c r="C23" s="15"/>
      <c r="D23" s="16"/>
      <c r="E23" s="3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8"/>
      <c r="U23" s="8"/>
      <c r="V23" s="8"/>
      <c r="W23" s="8"/>
      <c r="X23" s="26" t="s">
        <v>16</v>
      </c>
      <c r="Y23" s="16">
        <v>141</v>
      </c>
      <c r="Z23" s="17">
        <v>36766</v>
      </c>
      <c r="AA23" s="17">
        <v>98</v>
      </c>
      <c r="AB23" s="17">
        <v>23</v>
      </c>
      <c r="AC23" s="17">
        <v>29</v>
      </c>
      <c r="AD23" s="17">
        <v>83</v>
      </c>
      <c r="AE23" s="17">
        <v>26</v>
      </c>
      <c r="AF23" s="17">
        <v>20</v>
      </c>
      <c r="AG23" s="17">
        <v>1</v>
      </c>
      <c r="AH23" s="17">
        <v>95</v>
      </c>
      <c r="AI23" s="17">
        <v>33</v>
      </c>
      <c r="AJ23" s="17">
        <v>44</v>
      </c>
      <c r="AK23" s="17">
        <v>97</v>
      </c>
      <c r="AL23" s="17">
        <v>71</v>
      </c>
      <c r="AM23" s="17">
        <v>68</v>
      </c>
      <c r="AN23" s="17">
        <v>21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</row>
    <row r="24" spans="1:103" x14ac:dyDescent="0.25">
      <c r="A24" s="14">
        <v>16</v>
      </c>
      <c r="B24" s="24" t="s">
        <v>511</v>
      </c>
      <c r="C24" s="15"/>
      <c r="D24" s="16"/>
      <c r="E24" s="32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8"/>
      <c r="U24" s="8"/>
      <c r="V24" s="8"/>
      <c r="W24" s="8"/>
      <c r="X24" s="26" t="s">
        <v>17</v>
      </c>
      <c r="Y24" s="16">
        <v>49</v>
      </c>
      <c r="Z24" s="17">
        <v>4335</v>
      </c>
      <c r="AA24" s="17">
        <v>74</v>
      </c>
      <c r="AB24" s="17">
        <v>74</v>
      </c>
      <c r="AC24" s="17">
        <v>98</v>
      </c>
      <c r="AD24" s="17">
        <v>18</v>
      </c>
      <c r="AE24" s="17">
        <v>72</v>
      </c>
      <c r="AF24" s="17">
        <v>78</v>
      </c>
      <c r="AG24" s="17">
        <v>86</v>
      </c>
      <c r="AH24" s="17">
        <v>81</v>
      </c>
      <c r="AI24" s="17">
        <v>19</v>
      </c>
      <c r="AJ24" s="17">
        <v>19</v>
      </c>
      <c r="AK24" s="17">
        <v>67</v>
      </c>
      <c r="AL24" s="17">
        <v>92</v>
      </c>
      <c r="AM24" s="17">
        <v>94</v>
      </c>
      <c r="AN24" s="17">
        <v>64</v>
      </c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</row>
    <row r="25" spans="1:103" x14ac:dyDescent="0.25">
      <c r="A25" s="14">
        <v>17</v>
      </c>
      <c r="B25" s="24" t="s">
        <v>511</v>
      </c>
      <c r="C25" s="15"/>
      <c r="D25" s="16"/>
      <c r="E25" s="3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8"/>
      <c r="U25" s="8"/>
      <c r="V25" s="8"/>
      <c r="W25" s="8"/>
      <c r="X25" s="26" t="s">
        <v>18</v>
      </c>
      <c r="Y25" s="16">
        <v>103</v>
      </c>
      <c r="Z25" s="17">
        <v>37867</v>
      </c>
      <c r="AA25" s="17">
        <v>78</v>
      </c>
      <c r="AB25" s="17">
        <v>90</v>
      </c>
      <c r="AC25" s="17">
        <v>64</v>
      </c>
      <c r="AD25" s="17">
        <v>4</v>
      </c>
      <c r="AE25" s="17">
        <v>17</v>
      </c>
      <c r="AF25" s="17">
        <v>66</v>
      </c>
      <c r="AG25" s="17">
        <v>46</v>
      </c>
      <c r="AH25" s="17">
        <v>86</v>
      </c>
      <c r="AI25" s="17">
        <v>42</v>
      </c>
      <c r="AJ25" s="17">
        <v>37</v>
      </c>
      <c r="AK25" s="17">
        <v>44</v>
      </c>
      <c r="AL25" s="17">
        <v>5</v>
      </c>
      <c r="AM25" s="17">
        <v>87</v>
      </c>
      <c r="AN25" s="17">
        <v>99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</row>
    <row r="26" spans="1:103" x14ac:dyDescent="0.25">
      <c r="A26" s="14">
        <v>18</v>
      </c>
      <c r="B26" s="24" t="s">
        <v>511</v>
      </c>
      <c r="C26" s="18"/>
      <c r="D26" s="16"/>
      <c r="E26" s="32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8"/>
      <c r="U26" s="8"/>
      <c r="V26" s="8"/>
      <c r="W26" s="8"/>
      <c r="X26" s="27" t="s">
        <v>19</v>
      </c>
      <c r="Y26" s="16">
        <v>37</v>
      </c>
      <c r="Z26" s="17">
        <v>16450</v>
      </c>
      <c r="AA26" s="17">
        <v>88</v>
      </c>
      <c r="AB26" s="17">
        <v>43</v>
      </c>
      <c r="AC26" s="17">
        <v>31</v>
      </c>
      <c r="AD26" s="17">
        <v>98</v>
      </c>
      <c r="AE26" s="17">
        <v>66</v>
      </c>
      <c r="AF26" s="17">
        <v>27</v>
      </c>
      <c r="AG26" s="17">
        <v>23</v>
      </c>
      <c r="AH26" s="17">
        <v>61</v>
      </c>
      <c r="AI26" s="17">
        <v>37</v>
      </c>
      <c r="AJ26" s="17">
        <v>59</v>
      </c>
      <c r="AK26" s="17">
        <v>32</v>
      </c>
      <c r="AL26" s="17">
        <v>76</v>
      </c>
      <c r="AM26" s="17">
        <v>78</v>
      </c>
      <c r="AN26" s="17">
        <v>77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</row>
    <row r="27" spans="1:103" x14ac:dyDescent="0.25">
      <c r="A27" s="14">
        <v>19</v>
      </c>
      <c r="B27" s="24" t="s">
        <v>511</v>
      </c>
      <c r="C27" s="15"/>
      <c r="D27" s="16"/>
      <c r="E27" s="32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8"/>
      <c r="U27" s="8"/>
      <c r="V27" s="8"/>
      <c r="W27" s="8"/>
      <c r="X27" s="26" t="s">
        <v>20</v>
      </c>
      <c r="Y27" s="16">
        <v>125</v>
      </c>
      <c r="Z27" s="17">
        <v>34969</v>
      </c>
      <c r="AA27" s="17">
        <v>68</v>
      </c>
      <c r="AB27" s="17">
        <v>22</v>
      </c>
      <c r="AC27" s="17">
        <v>64</v>
      </c>
      <c r="AD27" s="17">
        <v>86</v>
      </c>
      <c r="AE27" s="17">
        <v>63</v>
      </c>
      <c r="AF27" s="17">
        <v>58</v>
      </c>
      <c r="AG27" s="17">
        <v>21</v>
      </c>
      <c r="AH27" s="17">
        <v>5</v>
      </c>
      <c r="AI27" s="17">
        <v>79</v>
      </c>
      <c r="AJ27" s="17">
        <v>97</v>
      </c>
      <c r="AK27" s="17">
        <v>51</v>
      </c>
      <c r="AL27" s="17">
        <v>73</v>
      </c>
      <c r="AM27" s="17">
        <v>18</v>
      </c>
      <c r="AN27" s="17">
        <v>65</v>
      </c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</row>
    <row r="28" spans="1:103" x14ac:dyDescent="0.25">
      <c r="A28" s="14">
        <v>20</v>
      </c>
      <c r="B28" s="24" t="s">
        <v>511</v>
      </c>
      <c r="C28" s="18"/>
      <c r="D28" s="16"/>
      <c r="E28" s="3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8"/>
      <c r="U28" s="8"/>
      <c r="V28" s="8"/>
      <c r="W28" s="8"/>
      <c r="X28" s="27" t="s">
        <v>21</v>
      </c>
      <c r="Y28" s="16">
        <v>31</v>
      </c>
      <c r="Z28" s="17">
        <v>32559</v>
      </c>
      <c r="AA28" s="17">
        <v>49</v>
      </c>
      <c r="AB28" s="17">
        <v>35</v>
      </c>
      <c r="AC28" s="17">
        <v>35</v>
      </c>
      <c r="AD28" s="17">
        <v>31</v>
      </c>
      <c r="AE28" s="17">
        <v>27</v>
      </c>
      <c r="AF28" s="17">
        <v>40</v>
      </c>
      <c r="AG28" s="17">
        <v>79</v>
      </c>
      <c r="AH28" s="17">
        <v>41</v>
      </c>
      <c r="AI28" s="17">
        <v>67</v>
      </c>
      <c r="AJ28" s="17">
        <v>89</v>
      </c>
      <c r="AK28" s="17">
        <v>15</v>
      </c>
      <c r="AL28" s="17">
        <v>95</v>
      </c>
      <c r="AM28" s="17">
        <v>72</v>
      </c>
      <c r="AN28" s="17">
        <v>32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</row>
    <row r="29" spans="1:103" x14ac:dyDescent="0.25">
      <c r="C29" s="1"/>
      <c r="D29" s="2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</row>
    <row r="30" spans="1:103" x14ac:dyDescent="0.25">
      <c r="C30" s="1"/>
      <c r="D30" s="2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</row>
    <row r="31" spans="1:103" x14ac:dyDescent="0.25">
      <c r="B31" s="13" t="s">
        <v>23</v>
      </c>
      <c r="C31" t="s">
        <v>508</v>
      </c>
      <c r="D31" s="25">
        <f>SUM(F31:S31)</f>
        <v>0</v>
      </c>
      <c r="E31" s="29" t="s">
        <v>22</v>
      </c>
      <c r="F31" s="8">
        <f t="shared" ref="F31:S33" si="0">SUMIF($U$36:$U$175,$U31,F$36:F$175)</f>
        <v>0</v>
      </c>
      <c r="G31" s="8">
        <f t="shared" si="0"/>
        <v>0</v>
      </c>
      <c r="H31" s="8">
        <f t="shared" si="0"/>
        <v>0</v>
      </c>
      <c r="I31" s="8">
        <f t="shared" si="0"/>
        <v>0</v>
      </c>
      <c r="J31" s="8">
        <f t="shared" si="0"/>
        <v>0</v>
      </c>
      <c r="K31" s="8">
        <f t="shared" si="0"/>
        <v>0</v>
      </c>
      <c r="L31" s="8">
        <f t="shared" si="0"/>
        <v>0</v>
      </c>
      <c r="M31" s="8">
        <f t="shared" si="0"/>
        <v>0</v>
      </c>
      <c r="N31" s="8">
        <f t="shared" si="0"/>
        <v>0</v>
      </c>
      <c r="O31" s="8">
        <f t="shared" si="0"/>
        <v>0</v>
      </c>
      <c r="P31" s="8">
        <f t="shared" si="0"/>
        <v>0</v>
      </c>
      <c r="Q31" s="8">
        <f t="shared" si="0"/>
        <v>0</v>
      </c>
      <c r="R31" s="8">
        <f t="shared" si="0"/>
        <v>0</v>
      </c>
      <c r="S31" s="8">
        <f t="shared" si="0"/>
        <v>0</v>
      </c>
      <c r="T31" s="8"/>
      <c r="U31" s="8">
        <v>1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</row>
    <row r="32" spans="1:103" x14ac:dyDescent="0.25">
      <c r="C32" t="s">
        <v>509</v>
      </c>
      <c r="D32" s="36">
        <f>SUM(F32:S32)</f>
        <v>0</v>
      </c>
      <c r="E32" s="37" t="s">
        <v>22</v>
      </c>
      <c r="F32" s="38">
        <f t="shared" si="0"/>
        <v>0</v>
      </c>
      <c r="G32" s="38">
        <f t="shared" si="0"/>
        <v>0</v>
      </c>
      <c r="H32" s="38">
        <f t="shared" si="0"/>
        <v>0</v>
      </c>
      <c r="I32" s="38">
        <f t="shared" si="0"/>
        <v>0</v>
      </c>
      <c r="J32" s="38">
        <f t="shared" si="0"/>
        <v>0</v>
      </c>
      <c r="K32" s="38">
        <f t="shared" si="0"/>
        <v>0</v>
      </c>
      <c r="L32" s="38">
        <f t="shared" si="0"/>
        <v>0</v>
      </c>
      <c r="M32" s="38">
        <f t="shared" si="0"/>
        <v>0</v>
      </c>
      <c r="N32" s="38">
        <f t="shared" si="0"/>
        <v>0</v>
      </c>
      <c r="O32" s="38">
        <f t="shared" si="0"/>
        <v>0</v>
      </c>
      <c r="P32" s="38">
        <f t="shared" si="0"/>
        <v>0</v>
      </c>
      <c r="Q32" s="38">
        <f t="shared" si="0"/>
        <v>0</v>
      </c>
      <c r="R32" s="38">
        <f t="shared" si="0"/>
        <v>0</v>
      </c>
      <c r="S32" s="38">
        <f t="shared" si="0"/>
        <v>0</v>
      </c>
      <c r="T32" s="8"/>
      <c r="U32" s="8">
        <v>2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</row>
    <row r="33" spans="1:103" x14ac:dyDescent="0.25">
      <c r="C33" t="s">
        <v>510</v>
      </c>
      <c r="D33" s="39" t="s">
        <v>22</v>
      </c>
      <c r="E33" s="40">
        <f>SUM(F33:S33)</f>
        <v>0</v>
      </c>
      <c r="F33" s="40">
        <f t="shared" si="0"/>
        <v>0</v>
      </c>
      <c r="G33" s="40">
        <f t="shared" si="0"/>
        <v>0</v>
      </c>
      <c r="H33" s="40">
        <f t="shared" si="0"/>
        <v>0</v>
      </c>
      <c r="I33" s="40">
        <f t="shared" si="0"/>
        <v>0</v>
      </c>
      <c r="J33" s="40">
        <f t="shared" si="0"/>
        <v>0</v>
      </c>
      <c r="K33" s="40">
        <f t="shared" si="0"/>
        <v>0</v>
      </c>
      <c r="L33" s="40">
        <f t="shared" si="0"/>
        <v>0</v>
      </c>
      <c r="M33" s="40">
        <f t="shared" si="0"/>
        <v>0</v>
      </c>
      <c r="N33" s="40">
        <f t="shared" si="0"/>
        <v>0</v>
      </c>
      <c r="O33" s="40">
        <f t="shared" si="0"/>
        <v>0</v>
      </c>
      <c r="P33" s="40">
        <f t="shared" si="0"/>
        <v>0</v>
      </c>
      <c r="Q33" s="40">
        <f t="shared" si="0"/>
        <v>0</v>
      </c>
      <c r="R33" s="40">
        <f t="shared" si="0"/>
        <v>0</v>
      </c>
      <c r="S33" s="40">
        <f t="shared" si="0"/>
        <v>0</v>
      </c>
      <c r="T33" s="8"/>
      <c r="U33" s="8">
        <v>3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</row>
    <row r="34" spans="1:103" x14ac:dyDescent="0.25">
      <c r="C34" s="1"/>
      <c r="D34" s="28"/>
      <c r="E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</row>
    <row r="35" spans="1:103" x14ac:dyDescent="0.25">
      <c r="C35" s="1"/>
      <c r="D35" s="2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</row>
    <row r="36" spans="1:103" x14ac:dyDescent="0.25">
      <c r="A36" s="14">
        <v>1</v>
      </c>
      <c r="B36" s="13">
        <f>C9</f>
        <v>0</v>
      </c>
      <c r="C36" s="14" t="s">
        <v>511</v>
      </c>
      <c r="D36" s="6">
        <f t="shared" ref="D36:S36" si="1">D9</f>
        <v>0</v>
      </c>
      <c r="E36" s="6">
        <f t="shared" si="1"/>
        <v>0</v>
      </c>
      <c r="F36" s="6">
        <f t="shared" si="1"/>
        <v>0</v>
      </c>
      <c r="G36" s="6">
        <f t="shared" si="1"/>
        <v>0</v>
      </c>
      <c r="H36" s="6">
        <f t="shared" si="1"/>
        <v>0</v>
      </c>
      <c r="I36" s="6">
        <f t="shared" si="1"/>
        <v>0</v>
      </c>
      <c r="J36" s="6">
        <f t="shared" si="1"/>
        <v>0</v>
      </c>
      <c r="K36" s="6">
        <f t="shared" si="1"/>
        <v>0</v>
      </c>
      <c r="L36" s="6">
        <f t="shared" si="1"/>
        <v>0</v>
      </c>
      <c r="M36" s="6">
        <f t="shared" si="1"/>
        <v>0</v>
      </c>
      <c r="N36" s="6">
        <f t="shared" si="1"/>
        <v>0</v>
      </c>
      <c r="O36" s="6">
        <f t="shared" si="1"/>
        <v>0</v>
      </c>
      <c r="P36" s="6">
        <f t="shared" si="1"/>
        <v>0</v>
      </c>
      <c r="Q36" s="6">
        <f t="shared" si="1"/>
        <v>0</v>
      </c>
      <c r="R36" s="6">
        <f t="shared" si="1"/>
        <v>0</v>
      </c>
      <c r="S36" s="6">
        <f t="shared" si="1"/>
        <v>0</v>
      </c>
      <c r="T36" s="8"/>
      <c r="U36" s="8"/>
      <c r="V36" s="8"/>
      <c r="W36" s="6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</row>
    <row r="37" spans="1:103" x14ac:dyDescent="0.25">
      <c r="A37" s="14"/>
      <c r="C37" t="s">
        <v>512</v>
      </c>
      <c r="D37" s="29" t="s">
        <v>22</v>
      </c>
      <c r="E37" s="29" t="s">
        <v>22</v>
      </c>
      <c r="F37" s="6">
        <f t="shared" ref="F37:S37" si="2">IF(F36&lt;$D$4*SUM($F36:$S36),0,F36)</f>
        <v>0</v>
      </c>
      <c r="G37" s="6">
        <f t="shared" si="2"/>
        <v>0</v>
      </c>
      <c r="H37" s="6">
        <f t="shared" si="2"/>
        <v>0</v>
      </c>
      <c r="I37" s="6">
        <f t="shared" si="2"/>
        <v>0</v>
      </c>
      <c r="J37" s="6">
        <f t="shared" si="2"/>
        <v>0</v>
      </c>
      <c r="K37" s="6">
        <f t="shared" si="2"/>
        <v>0</v>
      </c>
      <c r="L37" s="6">
        <f t="shared" si="2"/>
        <v>0</v>
      </c>
      <c r="M37" s="6">
        <f t="shared" si="2"/>
        <v>0</v>
      </c>
      <c r="N37" s="6">
        <f t="shared" si="2"/>
        <v>0</v>
      </c>
      <c r="O37" s="6">
        <f t="shared" si="2"/>
        <v>0</v>
      </c>
      <c r="P37" s="6">
        <f t="shared" si="2"/>
        <v>0</v>
      </c>
      <c r="Q37" s="6">
        <f t="shared" si="2"/>
        <v>0</v>
      </c>
      <c r="R37" s="6">
        <f t="shared" si="2"/>
        <v>0</v>
      </c>
      <c r="S37" s="6">
        <f t="shared" si="2"/>
        <v>0</v>
      </c>
      <c r="T37" s="8"/>
      <c r="U37" s="8"/>
      <c r="V37" s="8"/>
      <c r="W37" s="6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</row>
    <row r="38" spans="1:103" x14ac:dyDescent="0.25">
      <c r="A38" s="14"/>
      <c r="B38" s="13" t="s">
        <v>514</v>
      </c>
      <c r="C38" t="s">
        <v>513</v>
      </c>
      <c r="D38" s="29" t="s">
        <v>22</v>
      </c>
      <c r="E38" s="29" t="s">
        <v>22</v>
      </c>
      <c r="F38" s="35">
        <f t="shared" ref="F38:S38" si="3">IF(SUM($F37:$S37)=0,0,F37/SUM($F37:$S37))</f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3"/>
        <v>0</v>
      </c>
      <c r="O38" s="35">
        <f t="shared" si="3"/>
        <v>0</v>
      </c>
      <c r="P38" s="35">
        <f t="shared" si="3"/>
        <v>0</v>
      </c>
      <c r="Q38" s="35">
        <f t="shared" si="3"/>
        <v>0</v>
      </c>
      <c r="R38" s="35">
        <f t="shared" si="3"/>
        <v>0</v>
      </c>
      <c r="S38" s="35">
        <f t="shared" si="3"/>
        <v>0</v>
      </c>
      <c r="T38" s="8"/>
      <c r="U38" s="8"/>
      <c r="V38" s="8"/>
      <c r="W38" s="6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</row>
    <row r="39" spans="1:103" x14ac:dyDescent="0.25">
      <c r="A39" s="14"/>
      <c r="B39" s="13" t="s">
        <v>515</v>
      </c>
      <c r="C39" t="s">
        <v>508</v>
      </c>
      <c r="D39" s="6">
        <f>SUM(F39:S39)</f>
        <v>0</v>
      </c>
      <c r="E39" s="29" t="s">
        <v>22</v>
      </c>
      <c r="F39" s="6">
        <f>$D36*F38</f>
        <v>0</v>
      </c>
      <c r="G39" s="6">
        <f t="shared" ref="G39:S39" si="4">$D36*G38</f>
        <v>0</v>
      </c>
      <c r="H39" s="6">
        <f t="shared" si="4"/>
        <v>0</v>
      </c>
      <c r="I39" s="6">
        <f t="shared" si="4"/>
        <v>0</v>
      </c>
      <c r="J39" s="6">
        <f t="shared" si="4"/>
        <v>0</v>
      </c>
      <c r="K39" s="6">
        <f t="shared" si="4"/>
        <v>0</v>
      </c>
      <c r="L39" s="6">
        <f t="shared" si="4"/>
        <v>0</v>
      </c>
      <c r="M39" s="6">
        <f t="shared" si="4"/>
        <v>0</v>
      </c>
      <c r="N39" s="6">
        <f t="shared" si="4"/>
        <v>0</v>
      </c>
      <c r="O39" s="6">
        <f t="shared" si="4"/>
        <v>0</v>
      </c>
      <c r="P39" s="6">
        <f t="shared" si="4"/>
        <v>0</v>
      </c>
      <c r="Q39" s="6">
        <f t="shared" si="4"/>
        <v>0</v>
      </c>
      <c r="R39" s="6">
        <f t="shared" si="4"/>
        <v>0</v>
      </c>
      <c r="S39" s="6">
        <f t="shared" si="4"/>
        <v>0</v>
      </c>
      <c r="T39" s="8"/>
      <c r="U39" s="8">
        <v>1</v>
      </c>
      <c r="V39" s="8"/>
      <c r="W39" s="6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</row>
    <row r="40" spans="1:103" x14ac:dyDescent="0.25">
      <c r="A40" s="14"/>
      <c r="B40" s="23">
        <f>IF(D40=0,0,E41/D40)</f>
        <v>0</v>
      </c>
      <c r="C40" t="s">
        <v>509</v>
      </c>
      <c r="D40" s="22">
        <f>SUM(F40:S40)</f>
        <v>0</v>
      </c>
      <c r="E40" s="30" t="s">
        <v>22</v>
      </c>
      <c r="F40" s="22">
        <f>$I$4*F39</f>
        <v>0</v>
      </c>
      <c r="G40" s="22">
        <f t="shared" ref="G40:S40" si="5">$I$4*G39</f>
        <v>0</v>
      </c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5"/>
        <v>0</v>
      </c>
      <c r="O40" s="22">
        <f t="shared" si="5"/>
        <v>0</v>
      </c>
      <c r="P40" s="22">
        <f t="shared" si="5"/>
        <v>0</v>
      </c>
      <c r="Q40" s="22">
        <f t="shared" si="5"/>
        <v>0</v>
      </c>
      <c r="R40" s="22">
        <f t="shared" si="5"/>
        <v>0</v>
      </c>
      <c r="S40" s="22">
        <f t="shared" si="5"/>
        <v>0</v>
      </c>
      <c r="T40" s="8"/>
      <c r="U40" s="8">
        <v>2</v>
      </c>
      <c r="V40" s="8"/>
      <c r="W40" s="6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</row>
    <row r="41" spans="1:103" x14ac:dyDescent="0.25">
      <c r="A41" s="14"/>
      <c r="C41" t="s">
        <v>510</v>
      </c>
      <c r="D41" s="33" t="s">
        <v>22</v>
      </c>
      <c r="E41" s="34">
        <f>SUM(F41:S41)</f>
        <v>0</v>
      </c>
      <c r="F41" s="34">
        <f>$E36*F38</f>
        <v>0</v>
      </c>
      <c r="G41" s="34">
        <f t="shared" ref="G41:S41" si="6">$E36*G38</f>
        <v>0</v>
      </c>
      <c r="H41" s="34">
        <f t="shared" si="6"/>
        <v>0</v>
      </c>
      <c r="I41" s="34">
        <f t="shared" si="6"/>
        <v>0</v>
      </c>
      <c r="J41" s="34">
        <f t="shared" si="6"/>
        <v>0</v>
      </c>
      <c r="K41" s="34">
        <f t="shared" si="6"/>
        <v>0</v>
      </c>
      <c r="L41" s="34">
        <f t="shared" si="6"/>
        <v>0</v>
      </c>
      <c r="M41" s="34">
        <f t="shared" si="6"/>
        <v>0</v>
      </c>
      <c r="N41" s="34">
        <f t="shared" si="6"/>
        <v>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0</v>
      </c>
      <c r="S41" s="34">
        <f t="shared" si="6"/>
        <v>0</v>
      </c>
      <c r="T41" s="8"/>
      <c r="U41" s="8">
        <v>3</v>
      </c>
      <c r="V41" s="8"/>
      <c r="W41" s="6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</row>
    <row r="42" spans="1:103" x14ac:dyDescent="0.25">
      <c r="A42" s="1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/>
      <c r="U42" s="8"/>
      <c r="V42" s="8"/>
      <c r="W42" s="6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</row>
    <row r="43" spans="1:103" x14ac:dyDescent="0.25">
      <c r="A43" s="1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/>
      <c r="U43" s="8"/>
      <c r="V43" s="8"/>
      <c r="W43" s="6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</row>
    <row r="44" spans="1:103" x14ac:dyDescent="0.25">
      <c r="A44" s="14">
        <v>2</v>
      </c>
      <c r="B44" s="13">
        <f>C10</f>
        <v>0</v>
      </c>
      <c r="C44" s="14" t="s">
        <v>511</v>
      </c>
      <c r="D44" s="6">
        <f t="shared" ref="D44:R44" si="7">D10</f>
        <v>0</v>
      </c>
      <c r="E44" s="6">
        <f t="shared" si="7"/>
        <v>0</v>
      </c>
      <c r="F44" s="6">
        <f t="shared" si="7"/>
        <v>0</v>
      </c>
      <c r="G44" s="6">
        <f t="shared" si="7"/>
        <v>0</v>
      </c>
      <c r="H44" s="6">
        <f t="shared" si="7"/>
        <v>0</v>
      </c>
      <c r="I44" s="6">
        <f t="shared" si="7"/>
        <v>0</v>
      </c>
      <c r="J44" s="6">
        <f t="shared" si="7"/>
        <v>0</v>
      </c>
      <c r="K44" s="6">
        <f t="shared" si="7"/>
        <v>0</v>
      </c>
      <c r="L44" s="6">
        <f t="shared" si="7"/>
        <v>0</v>
      </c>
      <c r="M44" s="6">
        <f t="shared" si="7"/>
        <v>0</v>
      </c>
      <c r="N44" s="6">
        <f t="shared" si="7"/>
        <v>0</v>
      </c>
      <c r="O44" s="6">
        <f t="shared" si="7"/>
        <v>0</v>
      </c>
      <c r="P44" s="6">
        <f t="shared" si="7"/>
        <v>0</v>
      </c>
      <c r="Q44" s="6">
        <f t="shared" si="7"/>
        <v>0</v>
      </c>
      <c r="R44" s="6">
        <f t="shared" si="7"/>
        <v>0</v>
      </c>
      <c r="S44" s="6">
        <f>S10</f>
        <v>0</v>
      </c>
      <c r="T44" s="8"/>
      <c r="U44" s="8"/>
      <c r="V44" s="8"/>
      <c r="W44" s="6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</row>
    <row r="45" spans="1:103" x14ac:dyDescent="0.25">
      <c r="A45" s="14"/>
      <c r="C45" t="s">
        <v>512</v>
      </c>
      <c r="D45" s="29" t="s">
        <v>22</v>
      </c>
      <c r="E45" s="29" t="s">
        <v>22</v>
      </c>
      <c r="F45" s="6">
        <f t="shared" ref="F45:S45" si="8">IF(F44&lt;$D$4*SUM($F44:$S44),0,F44)</f>
        <v>0</v>
      </c>
      <c r="G45" s="6">
        <f t="shared" si="8"/>
        <v>0</v>
      </c>
      <c r="H45" s="6">
        <f t="shared" si="8"/>
        <v>0</v>
      </c>
      <c r="I45" s="6">
        <f t="shared" si="8"/>
        <v>0</v>
      </c>
      <c r="J45" s="6">
        <f t="shared" si="8"/>
        <v>0</v>
      </c>
      <c r="K45" s="6">
        <f t="shared" si="8"/>
        <v>0</v>
      </c>
      <c r="L45" s="6">
        <f t="shared" si="8"/>
        <v>0</v>
      </c>
      <c r="M45" s="6">
        <f t="shared" si="8"/>
        <v>0</v>
      </c>
      <c r="N45" s="6">
        <f t="shared" si="8"/>
        <v>0</v>
      </c>
      <c r="O45" s="6">
        <f t="shared" si="8"/>
        <v>0</v>
      </c>
      <c r="P45" s="6">
        <f t="shared" si="8"/>
        <v>0</v>
      </c>
      <c r="Q45" s="6">
        <f t="shared" si="8"/>
        <v>0</v>
      </c>
      <c r="R45" s="6">
        <f t="shared" si="8"/>
        <v>0</v>
      </c>
      <c r="S45" s="6">
        <f t="shared" si="8"/>
        <v>0</v>
      </c>
      <c r="T45" s="8"/>
      <c r="U45" s="8"/>
      <c r="V45" s="8"/>
      <c r="W45" s="6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</row>
    <row r="46" spans="1:103" x14ac:dyDescent="0.25">
      <c r="A46" s="14"/>
      <c r="B46" s="13" t="s">
        <v>514</v>
      </c>
      <c r="C46" t="s">
        <v>513</v>
      </c>
      <c r="D46" s="29" t="s">
        <v>22</v>
      </c>
      <c r="E46" s="29" t="s">
        <v>22</v>
      </c>
      <c r="F46" s="35">
        <f t="shared" ref="F46:S46" si="9">IF(SUM($F45:$S45)=0,0,F45/SUM($F45:$S45))</f>
        <v>0</v>
      </c>
      <c r="G46" s="35">
        <f t="shared" si="9"/>
        <v>0</v>
      </c>
      <c r="H46" s="35">
        <f t="shared" si="9"/>
        <v>0</v>
      </c>
      <c r="I46" s="35">
        <f t="shared" si="9"/>
        <v>0</v>
      </c>
      <c r="J46" s="35">
        <f t="shared" si="9"/>
        <v>0</v>
      </c>
      <c r="K46" s="35">
        <f t="shared" si="9"/>
        <v>0</v>
      </c>
      <c r="L46" s="35">
        <f t="shared" si="9"/>
        <v>0</v>
      </c>
      <c r="M46" s="35">
        <f t="shared" si="9"/>
        <v>0</v>
      </c>
      <c r="N46" s="35">
        <f t="shared" si="9"/>
        <v>0</v>
      </c>
      <c r="O46" s="35">
        <f t="shared" si="9"/>
        <v>0</v>
      </c>
      <c r="P46" s="35">
        <f t="shared" si="9"/>
        <v>0</v>
      </c>
      <c r="Q46" s="35">
        <f t="shared" si="9"/>
        <v>0</v>
      </c>
      <c r="R46" s="35">
        <f t="shared" si="9"/>
        <v>0</v>
      </c>
      <c r="S46" s="35">
        <f t="shared" si="9"/>
        <v>0</v>
      </c>
      <c r="T46" s="8"/>
      <c r="U46" s="8"/>
      <c r="V46" s="8"/>
      <c r="W46" s="6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</row>
    <row r="47" spans="1:103" x14ac:dyDescent="0.25">
      <c r="A47" s="14"/>
      <c r="B47" s="13" t="s">
        <v>515</v>
      </c>
      <c r="C47" t="s">
        <v>508</v>
      </c>
      <c r="D47" s="6">
        <f>SUM(F47:S47)</f>
        <v>0</v>
      </c>
      <c r="E47" s="29" t="s">
        <v>22</v>
      </c>
      <c r="F47" s="6">
        <f t="shared" ref="F47:S47" si="10">$D44*F46</f>
        <v>0</v>
      </c>
      <c r="G47" s="6">
        <f t="shared" si="10"/>
        <v>0</v>
      </c>
      <c r="H47" s="6">
        <f t="shared" si="10"/>
        <v>0</v>
      </c>
      <c r="I47" s="6">
        <f t="shared" si="10"/>
        <v>0</v>
      </c>
      <c r="J47" s="6">
        <f t="shared" si="10"/>
        <v>0</v>
      </c>
      <c r="K47" s="6">
        <f t="shared" si="10"/>
        <v>0</v>
      </c>
      <c r="L47" s="6">
        <f t="shared" si="10"/>
        <v>0</v>
      </c>
      <c r="M47" s="6">
        <f t="shared" si="10"/>
        <v>0</v>
      </c>
      <c r="N47" s="6">
        <f t="shared" si="10"/>
        <v>0</v>
      </c>
      <c r="O47" s="6">
        <f t="shared" si="10"/>
        <v>0</v>
      </c>
      <c r="P47" s="6">
        <f t="shared" si="10"/>
        <v>0</v>
      </c>
      <c r="Q47" s="6">
        <f t="shared" si="10"/>
        <v>0</v>
      </c>
      <c r="R47" s="6">
        <f t="shared" si="10"/>
        <v>0</v>
      </c>
      <c r="S47" s="6">
        <f t="shared" si="10"/>
        <v>0</v>
      </c>
      <c r="T47" s="8"/>
      <c r="U47" s="8">
        <v>1</v>
      </c>
      <c r="V47" s="8"/>
      <c r="W47" s="6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</row>
    <row r="48" spans="1:103" x14ac:dyDescent="0.25">
      <c r="A48" s="14"/>
      <c r="B48" s="23">
        <f>IF(D48=0,0,E49/D48)</f>
        <v>0</v>
      </c>
      <c r="C48" t="s">
        <v>509</v>
      </c>
      <c r="D48" s="22">
        <f>SUM(F48:S48)</f>
        <v>0</v>
      </c>
      <c r="E48" s="30" t="s">
        <v>22</v>
      </c>
      <c r="F48" s="22">
        <f t="shared" ref="F48:S48" si="11">$I$4*F47</f>
        <v>0</v>
      </c>
      <c r="G48" s="22">
        <f t="shared" si="11"/>
        <v>0</v>
      </c>
      <c r="H48" s="22">
        <f t="shared" si="11"/>
        <v>0</v>
      </c>
      <c r="I48" s="22">
        <f t="shared" si="11"/>
        <v>0</v>
      </c>
      <c r="J48" s="22">
        <f t="shared" si="11"/>
        <v>0</v>
      </c>
      <c r="K48" s="22">
        <f t="shared" si="11"/>
        <v>0</v>
      </c>
      <c r="L48" s="22">
        <f t="shared" si="11"/>
        <v>0</v>
      </c>
      <c r="M48" s="22">
        <f t="shared" si="11"/>
        <v>0</v>
      </c>
      <c r="N48" s="22">
        <f t="shared" si="11"/>
        <v>0</v>
      </c>
      <c r="O48" s="22">
        <f t="shared" si="11"/>
        <v>0</v>
      </c>
      <c r="P48" s="22">
        <f t="shared" si="11"/>
        <v>0</v>
      </c>
      <c r="Q48" s="22">
        <f t="shared" si="11"/>
        <v>0</v>
      </c>
      <c r="R48" s="22">
        <f t="shared" si="11"/>
        <v>0</v>
      </c>
      <c r="S48" s="22">
        <f t="shared" si="11"/>
        <v>0</v>
      </c>
      <c r="T48" s="8"/>
      <c r="U48" s="8">
        <v>2</v>
      </c>
      <c r="V48" s="8"/>
      <c r="W48" s="6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</row>
    <row r="49" spans="1:103" x14ac:dyDescent="0.25">
      <c r="A49" s="14"/>
      <c r="C49" t="s">
        <v>510</v>
      </c>
      <c r="D49" s="33" t="s">
        <v>22</v>
      </c>
      <c r="E49" s="34">
        <f>SUM(F49:S49)</f>
        <v>0</v>
      </c>
      <c r="F49" s="34">
        <f>$E44*F46</f>
        <v>0</v>
      </c>
      <c r="G49" s="34">
        <f t="shared" ref="G49:S49" si="12">$E44*G46</f>
        <v>0</v>
      </c>
      <c r="H49" s="34">
        <f t="shared" si="12"/>
        <v>0</v>
      </c>
      <c r="I49" s="34">
        <f t="shared" si="12"/>
        <v>0</v>
      </c>
      <c r="J49" s="34">
        <f t="shared" si="12"/>
        <v>0</v>
      </c>
      <c r="K49" s="34">
        <f t="shared" si="12"/>
        <v>0</v>
      </c>
      <c r="L49" s="34">
        <f t="shared" si="12"/>
        <v>0</v>
      </c>
      <c r="M49" s="34">
        <f t="shared" si="12"/>
        <v>0</v>
      </c>
      <c r="N49" s="34">
        <f t="shared" si="12"/>
        <v>0</v>
      </c>
      <c r="O49" s="34">
        <f t="shared" si="12"/>
        <v>0</v>
      </c>
      <c r="P49" s="34">
        <f t="shared" si="12"/>
        <v>0</v>
      </c>
      <c r="Q49" s="34">
        <f t="shared" si="12"/>
        <v>0</v>
      </c>
      <c r="R49" s="34">
        <f t="shared" si="12"/>
        <v>0</v>
      </c>
      <c r="S49" s="34">
        <f t="shared" si="12"/>
        <v>0</v>
      </c>
      <c r="T49" s="8"/>
      <c r="U49" s="8">
        <v>3</v>
      </c>
      <c r="V49" s="8"/>
      <c r="W49" s="6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</row>
    <row r="50" spans="1:103" x14ac:dyDescent="0.25">
      <c r="A50" s="1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8"/>
      <c r="U50" s="8"/>
      <c r="V50" s="8"/>
      <c r="W50" s="6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</row>
    <row r="51" spans="1:103" x14ac:dyDescent="0.25">
      <c r="A51" s="14">
        <v>3</v>
      </c>
      <c r="B51" s="13">
        <f>C11</f>
        <v>0</v>
      </c>
      <c r="C51" s="14" t="s">
        <v>511</v>
      </c>
      <c r="D51" s="6">
        <f t="shared" ref="D51:R51" si="13">D11</f>
        <v>0</v>
      </c>
      <c r="E51" s="6">
        <f t="shared" si="13"/>
        <v>0</v>
      </c>
      <c r="F51" s="6">
        <f t="shared" si="13"/>
        <v>0</v>
      </c>
      <c r="G51" s="6">
        <f t="shared" si="13"/>
        <v>0</v>
      </c>
      <c r="H51" s="6">
        <f t="shared" si="13"/>
        <v>0</v>
      </c>
      <c r="I51" s="6">
        <f t="shared" si="13"/>
        <v>0</v>
      </c>
      <c r="J51" s="6">
        <f t="shared" si="13"/>
        <v>0</v>
      </c>
      <c r="K51" s="6">
        <f t="shared" si="13"/>
        <v>0</v>
      </c>
      <c r="L51" s="6">
        <f t="shared" si="13"/>
        <v>0</v>
      </c>
      <c r="M51" s="6">
        <f t="shared" si="13"/>
        <v>0</v>
      </c>
      <c r="N51" s="6">
        <f t="shared" si="13"/>
        <v>0</v>
      </c>
      <c r="O51" s="6">
        <f t="shared" si="13"/>
        <v>0</v>
      </c>
      <c r="P51" s="6">
        <f t="shared" si="13"/>
        <v>0</v>
      </c>
      <c r="Q51" s="6">
        <f t="shared" si="13"/>
        <v>0</v>
      </c>
      <c r="R51" s="6">
        <f t="shared" si="13"/>
        <v>0</v>
      </c>
      <c r="S51" s="6">
        <f>S11</f>
        <v>0</v>
      </c>
      <c r="T51" s="8"/>
      <c r="U51" s="8"/>
      <c r="V51" s="8"/>
      <c r="W51" s="6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</row>
    <row r="52" spans="1:103" x14ac:dyDescent="0.25">
      <c r="A52" s="14"/>
      <c r="C52" t="s">
        <v>512</v>
      </c>
      <c r="D52" s="29" t="s">
        <v>22</v>
      </c>
      <c r="E52" s="29" t="s">
        <v>22</v>
      </c>
      <c r="F52" s="6">
        <f t="shared" ref="F52:S52" si="14">IF(F51&lt;$D$4*SUM($F51:$S51),0,F51)</f>
        <v>0</v>
      </c>
      <c r="G52" s="6">
        <f t="shared" si="14"/>
        <v>0</v>
      </c>
      <c r="H52" s="6">
        <f t="shared" si="14"/>
        <v>0</v>
      </c>
      <c r="I52" s="6">
        <f t="shared" si="14"/>
        <v>0</v>
      </c>
      <c r="J52" s="6">
        <f t="shared" si="14"/>
        <v>0</v>
      </c>
      <c r="K52" s="6">
        <f t="shared" si="14"/>
        <v>0</v>
      </c>
      <c r="L52" s="6">
        <f t="shared" si="14"/>
        <v>0</v>
      </c>
      <c r="M52" s="6">
        <f t="shared" si="14"/>
        <v>0</v>
      </c>
      <c r="N52" s="6">
        <f t="shared" si="14"/>
        <v>0</v>
      </c>
      <c r="O52" s="6">
        <f t="shared" si="14"/>
        <v>0</v>
      </c>
      <c r="P52" s="6">
        <f t="shared" si="14"/>
        <v>0</v>
      </c>
      <c r="Q52" s="6">
        <f t="shared" si="14"/>
        <v>0</v>
      </c>
      <c r="R52" s="6">
        <f t="shared" si="14"/>
        <v>0</v>
      </c>
      <c r="S52" s="6">
        <f t="shared" si="14"/>
        <v>0</v>
      </c>
      <c r="T52" s="8"/>
      <c r="U52" s="8"/>
      <c r="V52" s="8"/>
      <c r="W52" s="6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</row>
    <row r="53" spans="1:103" x14ac:dyDescent="0.25">
      <c r="A53" s="14"/>
      <c r="B53" s="13" t="s">
        <v>514</v>
      </c>
      <c r="C53" t="s">
        <v>513</v>
      </c>
      <c r="D53" s="29" t="s">
        <v>22</v>
      </c>
      <c r="E53" s="29" t="s">
        <v>22</v>
      </c>
      <c r="F53" s="35">
        <f t="shared" ref="F53:S53" si="15">IF(SUM($F52:$S52)=0,0,F52/SUM($F52:$S52))</f>
        <v>0</v>
      </c>
      <c r="G53" s="35">
        <f t="shared" si="15"/>
        <v>0</v>
      </c>
      <c r="H53" s="35">
        <f t="shared" si="15"/>
        <v>0</v>
      </c>
      <c r="I53" s="35">
        <f t="shared" si="15"/>
        <v>0</v>
      </c>
      <c r="J53" s="35">
        <f t="shared" si="15"/>
        <v>0</v>
      </c>
      <c r="K53" s="35">
        <f t="shared" si="15"/>
        <v>0</v>
      </c>
      <c r="L53" s="35">
        <f t="shared" si="15"/>
        <v>0</v>
      </c>
      <c r="M53" s="35">
        <f t="shared" si="15"/>
        <v>0</v>
      </c>
      <c r="N53" s="35">
        <f t="shared" si="15"/>
        <v>0</v>
      </c>
      <c r="O53" s="35">
        <f t="shared" si="15"/>
        <v>0</v>
      </c>
      <c r="P53" s="35">
        <f t="shared" si="15"/>
        <v>0</v>
      </c>
      <c r="Q53" s="35">
        <f t="shared" si="15"/>
        <v>0</v>
      </c>
      <c r="R53" s="35">
        <f t="shared" si="15"/>
        <v>0</v>
      </c>
      <c r="S53" s="35">
        <f t="shared" si="15"/>
        <v>0</v>
      </c>
      <c r="T53" s="8"/>
      <c r="U53" s="8"/>
      <c r="V53" s="8"/>
      <c r="W53" s="6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1:103" x14ac:dyDescent="0.25">
      <c r="A54" s="14"/>
      <c r="B54" s="13" t="s">
        <v>515</v>
      </c>
      <c r="C54" t="s">
        <v>508</v>
      </c>
      <c r="D54" s="6">
        <f>SUM(F54:S54)</f>
        <v>0</v>
      </c>
      <c r="E54" s="29" t="s">
        <v>22</v>
      </c>
      <c r="F54" s="6">
        <f t="shared" ref="F54:S54" si="16">$D51*F53</f>
        <v>0</v>
      </c>
      <c r="G54" s="6">
        <f t="shared" si="16"/>
        <v>0</v>
      </c>
      <c r="H54" s="6">
        <f t="shared" si="16"/>
        <v>0</v>
      </c>
      <c r="I54" s="6">
        <f t="shared" si="16"/>
        <v>0</v>
      </c>
      <c r="J54" s="6">
        <f t="shared" si="16"/>
        <v>0</v>
      </c>
      <c r="K54" s="6">
        <f t="shared" si="16"/>
        <v>0</v>
      </c>
      <c r="L54" s="6">
        <f t="shared" si="16"/>
        <v>0</v>
      </c>
      <c r="M54" s="6">
        <f t="shared" si="16"/>
        <v>0</v>
      </c>
      <c r="N54" s="6">
        <f t="shared" si="16"/>
        <v>0</v>
      </c>
      <c r="O54" s="6">
        <f t="shared" si="16"/>
        <v>0</v>
      </c>
      <c r="P54" s="6">
        <f t="shared" si="16"/>
        <v>0</v>
      </c>
      <c r="Q54" s="6">
        <f t="shared" si="16"/>
        <v>0</v>
      </c>
      <c r="R54" s="6">
        <f t="shared" si="16"/>
        <v>0</v>
      </c>
      <c r="S54" s="6">
        <f t="shared" si="16"/>
        <v>0</v>
      </c>
      <c r="T54" s="8"/>
      <c r="U54" s="8">
        <v>1</v>
      </c>
      <c r="V54" s="8"/>
      <c r="W54" s="6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1:103" x14ac:dyDescent="0.25">
      <c r="A55" s="14"/>
      <c r="B55" s="23">
        <f>IF(D55=0,0,E56/D55)</f>
        <v>0</v>
      </c>
      <c r="C55" t="s">
        <v>509</v>
      </c>
      <c r="D55" s="22">
        <f>SUM(F55:S55)</f>
        <v>0</v>
      </c>
      <c r="E55" s="30" t="s">
        <v>22</v>
      </c>
      <c r="F55" s="22">
        <f t="shared" ref="F55:S55" si="17">$I$4*F54</f>
        <v>0</v>
      </c>
      <c r="G55" s="22">
        <f t="shared" si="17"/>
        <v>0</v>
      </c>
      <c r="H55" s="22">
        <f t="shared" si="17"/>
        <v>0</v>
      </c>
      <c r="I55" s="22">
        <f t="shared" si="17"/>
        <v>0</v>
      </c>
      <c r="J55" s="22">
        <f t="shared" si="17"/>
        <v>0</v>
      </c>
      <c r="K55" s="22">
        <f t="shared" si="17"/>
        <v>0</v>
      </c>
      <c r="L55" s="22">
        <f t="shared" si="17"/>
        <v>0</v>
      </c>
      <c r="M55" s="22">
        <f t="shared" si="17"/>
        <v>0</v>
      </c>
      <c r="N55" s="22">
        <f t="shared" si="17"/>
        <v>0</v>
      </c>
      <c r="O55" s="22">
        <f t="shared" si="17"/>
        <v>0</v>
      </c>
      <c r="P55" s="22">
        <f t="shared" si="17"/>
        <v>0</v>
      </c>
      <c r="Q55" s="22">
        <f t="shared" si="17"/>
        <v>0</v>
      </c>
      <c r="R55" s="22">
        <f t="shared" si="17"/>
        <v>0</v>
      </c>
      <c r="S55" s="22">
        <f t="shared" si="17"/>
        <v>0</v>
      </c>
      <c r="T55" s="8"/>
      <c r="U55" s="8">
        <v>2</v>
      </c>
      <c r="V55" s="8"/>
      <c r="W55" s="6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1:103" x14ac:dyDescent="0.25">
      <c r="A56" s="14"/>
      <c r="C56" t="s">
        <v>510</v>
      </c>
      <c r="D56" s="33" t="s">
        <v>22</v>
      </c>
      <c r="E56" s="34">
        <f>SUM(F56:S56)</f>
        <v>0</v>
      </c>
      <c r="F56" s="34">
        <f>$E51*F53</f>
        <v>0</v>
      </c>
      <c r="G56" s="34">
        <f t="shared" ref="G56:S56" si="18">$E51*G53</f>
        <v>0</v>
      </c>
      <c r="H56" s="34">
        <f t="shared" si="18"/>
        <v>0</v>
      </c>
      <c r="I56" s="34">
        <f t="shared" si="18"/>
        <v>0</v>
      </c>
      <c r="J56" s="34">
        <f t="shared" si="18"/>
        <v>0</v>
      </c>
      <c r="K56" s="34">
        <f t="shared" si="18"/>
        <v>0</v>
      </c>
      <c r="L56" s="34">
        <f t="shared" si="18"/>
        <v>0</v>
      </c>
      <c r="M56" s="34">
        <f t="shared" si="18"/>
        <v>0</v>
      </c>
      <c r="N56" s="34">
        <f t="shared" si="18"/>
        <v>0</v>
      </c>
      <c r="O56" s="34">
        <f t="shared" si="18"/>
        <v>0</v>
      </c>
      <c r="P56" s="34">
        <f t="shared" si="18"/>
        <v>0</v>
      </c>
      <c r="Q56" s="34">
        <f t="shared" si="18"/>
        <v>0</v>
      </c>
      <c r="R56" s="34">
        <f t="shared" si="18"/>
        <v>0</v>
      </c>
      <c r="S56" s="34">
        <f t="shared" si="18"/>
        <v>0</v>
      </c>
      <c r="T56" s="8"/>
      <c r="U56" s="8">
        <v>3</v>
      </c>
      <c r="V56" s="8"/>
      <c r="W56" s="6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1:103" x14ac:dyDescent="0.25">
      <c r="A57" s="14"/>
      <c r="C57" s="1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8"/>
      <c r="U57" s="8"/>
      <c r="V57" s="8"/>
      <c r="W57" s="6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1:103" x14ac:dyDescent="0.25">
      <c r="A58" s="14">
        <v>4</v>
      </c>
      <c r="B58" s="13">
        <f>C12</f>
        <v>0</v>
      </c>
      <c r="C58" s="14" t="s">
        <v>511</v>
      </c>
      <c r="D58" s="6">
        <f t="shared" ref="D58:S58" si="19">D12</f>
        <v>0</v>
      </c>
      <c r="E58" s="6">
        <f t="shared" si="19"/>
        <v>0</v>
      </c>
      <c r="F58" s="6">
        <f t="shared" si="19"/>
        <v>0</v>
      </c>
      <c r="G58" s="6">
        <f t="shared" si="19"/>
        <v>0</v>
      </c>
      <c r="H58" s="6">
        <f t="shared" si="19"/>
        <v>0</v>
      </c>
      <c r="I58" s="6">
        <f t="shared" si="19"/>
        <v>0</v>
      </c>
      <c r="J58" s="6">
        <f t="shared" si="19"/>
        <v>0</v>
      </c>
      <c r="K58" s="6">
        <f t="shared" si="19"/>
        <v>0</v>
      </c>
      <c r="L58" s="6">
        <f t="shared" si="19"/>
        <v>0</v>
      </c>
      <c r="M58" s="6">
        <f t="shared" si="19"/>
        <v>0</v>
      </c>
      <c r="N58" s="6">
        <f t="shared" si="19"/>
        <v>0</v>
      </c>
      <c r="O58" s="6">
        <f t="shared" si="19"/>
        <v>0</v>
      </c>
      <c r="P58" s="6">
        <f t="shared" si="19"/>
        <v>0</v>
      </c>
      <c r="Q58" s="6">
        <f t="shared" si="19"/>
        <v>0</v>
      </c>
      <c r="R58" s="6">
        <f t="shared" si="19"/>
        <v>0</v>
      </c>
      <c r="S58" s="6">
        <f t="shared" si="19"/>
        <v>0</v>
      </c>
      <c r="T58" s="8"/>
      <c r="U58" s="8"/>
      <c r="V58" s="8"/>
      <c r="W58" s="6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1:103" x14ac:dyDescent="0.25">
      <c r="A59" s="14"/>
      <c r="C59" t="s">
        <v>512</v>
      </c>
      <c r="D59" s="29" t="s">
        <v>22</v>
      </c>
      <c r="E59" s="29" t="s">
        <v>22</v>
      </c>
      <c r="F59" s="6">
        <f t="shared" ref="F59:S59" si="20">IF(F58&lt;$D$4*SUM($F58:$S58),0,F58)</f>
        <v>0</v>
      </c>
      <c r="G59" s="6">
        <f t="shared" si="20"/>
        <v>0</v>
      </c>
      <c r="H59" s="6">
        <f t="shared" si="20"/>
        <v>0</v>
      </c>
      <c r="I59" s="6">
        <f t="shared" si="20"/>
        <v>0</v>
      </c>
      <c r="J59" s="6">
        <f t="shared" si="20"/>
        <v>0</v>
      </c>
      <c r="K59" s="6">
        <f t="shared" si="20"/>
        <v>0</v>
      </c>
      <c r="L59" s="6">
        <f t="shared" si="20"/>
        <v>0</v>
      </c>
      <c r="M59" s="6">
        <f t="shared" si="20"/>
        <v>0</v>
      </c>
      <c r="N59" s="6">
        <f t="shared" si="20"/>
        <v>0</v>
      </c>
      <c r="O59" s="6">
        <f t="shared" si="20"/>
        <v>0</v>
      </c>
      <c r="P59" s="6">
        <f t="shared" si="20"/>
        <v>0</v>
      </c>
      <c r="Q59" s="6">
        <f t="shared" si="20"/>
        <v>0</v>
      </c>
      <c r="R59" s="6">
        <f t="shared" si="20"/>
        <v>0</v>
      </c>
      <c r="S59" s="6">
        <f t="shared" si="20"/>
        <v>0</v>
      </c>
      <c r="T59" s="8"/>
      <c r="U59" s="8"/>
      <c r="V59" s="8"/>
      <c r="W59" s="6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1:103" x14ac:dyDescent="0.25">
      <c r="A60" s="14"/>
      <c r="B60" s="13" t="s">
        <v>514</v>
      </c>
      <c r="C60" t="s">
        <v>513</v>
      </c>
      <c r="D60" s="29" t="s">
        <v>22</v>
      </c>
      <c r="E60" s="29" t="s">
        <v>22</v>
      </c>
      <c r="F60" s="35">
        <f t="shared" ref="F60:S60" si="21">IF(SUM($F59:$S59)=0,0,F59/SUM($F59:$S59))</f>
        <v>0</v>
      </c>
      <c r="G60" s="35">
        <f t="shared" si="21"/>
        <v>0</v>
      </c>
      <c r="H60" s="35">
        <f t="shared" si="21"/>
        <v>0</v>
      </c>
      <c r="I60" s="35">
        <f t="shared" si="21"/>
        <v>0</v>
      </c>
      <c r="J60" s="35">
        <f t="shared" si="21"/>
        <v>0</v>
      </c>
      <c r="K60" s="35">
        <f t="shared" si="21"/>
        <v>0</v>
      </c>
      <c r="L60" s="35">
        <f t="shared" si="21"/>
        <v>0</v>
      </c>
      <c r="M60" s="35">
        <f t="shared" si="21"/>
        <v>0</v>
      </c>
      <c r="N60" s="35">
        <f t="shared" si="21"/>
        <v>0</v>
      </c>
      <c r="O60" s="35">
        <f t="shared" si="21"/>
        <v>0</v>
      </c>
      <c r="P60" s="35">
        <f t="shared" si="21"/>
        <v>0</v>
      </c>
      <c r="Q60" s="35">
        <f t="shared" si="21"/>
        <v>0</v>
      </c>
      <c r="R60" s="35">
        <f t="shared" si="21"/>
        <v>0</v>
      </c>
      <c r="S60" s="35">
        <f t="shared" si="21"/>
        <v>0</v>
      </c>
      <c r="T60" s="8"/>
      <c r="U60" s="8"/>
      <c r="V60" s="8"/>
      <c r="W60" s="6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1:103" x14ac:dyDescent="0.25">
      <c r="A61" s="14"/>
      <c r="B61" s="13" t="s">
        <v>515</v>
      </c>
      <c r="C61" t="s">
        <v>508</v>
      </c>
      <c r="D61" s="6">
        <f>SUM(F61:S61)</f>
        <v>0</v>
      </c>
      <c r="E61" s="29" t="s">
        <v>22</v>
      </c>
      <c r="F61" s="6">
        <f t="shared" ref="F61:S61" si="22">$D58*F60</f>
        <v>0</v>
      </c>
      <c r="G61" s="6">
        <f t="shared" si="22"/>
        <v>0</v>
      </c>
      <c r="H61" s="6">
        <f t="shared" si="22"/>
        <v>0</v>
      </c>
      <c r="I61" s="6">
        <f t="shared" si="22"/>
        <v>0</v>
      </c>
      <c r="J61" s="6">
        <f t="shared" si="22"/>
        <v>0</v>
      </c>
      <c r="K61" s="6">
        <f t="shared" si="22"/>
        <v>0</v>
      </c>
      <c r="L61" s="6">
        <f t="shared" si="22"/>
        <v>0</v>
      </c>
      <c r="M61" s="6">
        <f t="shared" si="22"/>
        <v>0</v>
      </c>
      <c r="N61" s="6">
        <f t="shared" si="22"/>
        <v>0</v>
      </c>
      <c r="O61" s="6">
        <f t="shared" si="22"/>
        <v>0</v>
      </c>
      <c r="P61" s="6">
        <f t="shared" si="22"/>
        <v>0</v>
      </c>
      <c r="Q61" s="6">
        <f t="shared" si="22"/>
        <v>0</v>
      </c>
      <c r="R61" s="6">
        <f t="shared" si="22"/>
        <v>0</v>
      </c>
      <c r="S61" s="6">
        <f t="shared" si="22"/>
        <v>0</v>
      </c>
      <c r="T61" s="8"/>
      <c r="U61" s="8">
        <v>1</v>
      </c>
      <c r="V61" s="8"/>
      <c r="W61" s="6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1:103" x14ac:dyDescent="0.25">
      <c r="A62" s="14"/>
      <c r="B62" s="23">
        <f>IF(D62=0,0,E63/D62)</f>
        <v>0</v>
      </c>
      <c r="C62" t="s">
        <v>509</v>
      </c>
      <c r="D62" s="22">
        <f>SUM(F62:S62)</f>
        <v>0</v>
      </c>
      <c r="E62" s="30" t="s">
        <v>22</v>
      </c>
      <c r="F62" s="22">
        <f t="shared" ref="F62:S62" si="23">$I$4*F61</f>
        <v>0</v>
      </c>
      <c r="G62" s="22">
        <f t="shared" si="23"/>
        <v>0</v>
      </c>
      <c r="H62" s="22">
        <f t="shared" si="23"/>
        <v>0</v>
      </c>
      <c r="I62" s="22">
        <f t="shared" si="23"/>
        <v>0</v>
      </c>
      <c r="J62" s="22">
        <f t="shared" si="23"/>
        <v>0</v>
      </c>
      <c r="K62" s="22">
        <f t="shared" si="23"/>
        <v>0</v>
      </c>
      <c r="L62" s="22">
        <f t="shared" si="23"/>
        <v>0</v>
      </c>
      <c r="M62" s="22">
        <f t="shared" si="23"/>
        <v>0</v>
      </c>
      <c r="N62" s="22">
        <f t="shared" si="23"/>
        <v>0</v>
      </c>
      <c r="O62" s="22">
        <f t="shared" si="23"/>
        <v>0</v>
      </c>
      <c r="P62" s="22">
        <f t="shared" si="23"/>
        <v>0</v>
      </c>
      <c r="Q62" s="22">
        <f t="shared" si="23"/>
        <v>0</v>
      </c>
      <c r="R62" s="22">
        <f t="shared" si="23"/>
        <v>0</v>
      </c>
      <c r="S62" s="22">
        <f t="shared" si="23"/>
        <v>0</v>
      </c>
      <c r="T62" s="8"/>
      <c r="U62" s="8">
        <v>2</v>
      </c>
      <c r="V62" s="8"/>
      <c r="W62" s="6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1:103" x14ac:dyDescent="0.25">
      <c r="A63" s="14"/>
      <c r="C63" t="s">
        <v>510</v>
      </c>
      <c r="D63" s="33" t="s">
        <v>22</v>
      </c>
      <c r="E63" s="34">
        <f>SUM(F63:S63)</f>
        <v>0</v>
      </c>
      <c r="F63" s="34">
        <f>$E58*F60</f>
        <v>0</v>
      </c>
      <c r="G63" s="34">
        <f t="shared" ref="G63:S63" si="24">$E58*G60</f>
        <v>0</v>
      </c>
      <c r="H63" s="34">
        <f t="shared" si="24"/>
        <v>0</v>
      </c>
      <c r="I63" s="34">
        <f t="shared" si="24"/>
        <v>0</v>
      </c>
      <c r="J63" s="34">
        <f t="shared" si="24"/>
        <v>0</v>
      </c>
      <c r="K63" s="34">
        <f t="shared" si="24"/>
        <v>0</v>
      </c>
      <c r="L63" s="34">
        <f t="shared" si="24"/>
        <v>0</v>
      </c>
      <c r="M63" s="34">
        <f t="shared" si="24"/>
        <v>0</v>
      </c>
      <c r="N63" s="34">
        <f t="shared" si="24"/>
        <v>0</v>
      </c>
      <c r="O63" s="34">
        <f t="shared" si="24"/>
        <v>0</v>
      </c>
      <c r="P63" s="34">
        <f t="shared" si="24"/>
        <v>0</v>
      </c>
      <c r="Q63" s="34">
        <f t="shared" si="24"/>
        <v>0</v>
      </c>
      <c r="R63" s="34">
        <f t="shared" si="24"/>
        <v>0</v>
      </c>
      <c r="S63" s="34">
        <f t="shared" si="24"/>
        <v>0</v>
      </c>
      <c r="T63" s="8"/>
      <c r="U63" s="8">
        <v>3</v>
      </c>
      <c r="V63" s="8"/>
      <c r="W63" s="6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1:103" x14ac:dyDescent="0.25">
      <c r="A64" s="14"/>
      <c r="C64" s="1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8"/>
      <c r="U64" s="8"/>
      <c r="V64" s="8"/>
      <c r="W64" s="6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1:103" x14ac:dyDescent="0.25">
      <c r="A65" s="14">
        <v>5</v>
      </c>
      <c r="B65" s="13">
        <f>C13</f>
        <v>0</v>
      </c>
      <c r="C65" s="14" t="s">
        <v>511</v>
      </c>
      <c r="D65" s="6">
        <f t="shared" ref="D65:S65" si="25">D13</f>
        <v>0</v>
      </c>
      <c r="E65" s="6">
        <f t="shared" si="25"/>
        <v>0</v>
      </c>
      <c r="F65" s="6">
        <f t="shared" si="25"/>
        <v>0</v>
      </c>
      <c r="G65" s="6">
        <f t="shared" si="25"/>
        <v>0</v>
      </c>
      <c r="H65" s="6">
        <f t="shared" si="25"/>
        <v>0</v>
      </c>
      <c r="I65" s="6">
        <f t="shared" si="25"/>
        <v>0</v>
      </c>
      <c r="J65" s="6">
        <f t="shared" si="25"/>
        <v>0</v>
      </c>
      <c r="K65" s="6">
        <f t="shared" si="25"/>
        <v>0</v>
      </c>
      <c r="L65" s="6">
        <f t="shared" si="25"/>
        <v>0</v>
      </c>
      <c r="M65" s="6">
        <f t="shared" si="25"/>
        <v>0</v>
      </c>
      <c r="N65" s="6">
        <f t="shared" si="25"/>
        <v>0</v>
      </c>
      <c r="O65" s="6">
        <f t="shared" si="25"/>
        <v>0</v>
      </c>
      <c r="P65" s="6">
        <f t="shared" si="25"/>
        <v>0</v>
      </c>
      <c r="Q65" s="6">
        <f t="shared" si="25"/>
        <v>0</v>
      </c>
      <c r="R65" s="6">
        <f t="shared" si="25"/>
        <v>0</v>
      </c>
      <c r="S65" s="6">
        <f t="shared" si="25"/>
        <v>0</v>
      </c>
      <c r="T65" s="8"/>
      <c r="U65" s="8"/>
      <c r="V65" s="8"/>
      <c r="W65" s="6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</row>
    <row r="66" spans="1:103" x14ac:dyDescent="0.25">
      <c r="A66" s="14"/>
      <c r="C66" t="s">
        <v>512</v>
      </c>
      <c r="D66" s="29" t="s">
        <v>22</v>
      </c>
      <c r="E66" s="29" t="s">
        <v>22</v>
      </c>
      <c r="F66" s="6">
        <f t="shared" ref="F66:S66" si="26">IF(F65&lt;$D$4*SUM($F65:$S65),0,F65)</f>
        <v>0</v>
      </c>
      <c r="G66" s="6">
        <f t="shared" si="26"/>
        <v>0</v>
      </c>
      <c r="H66" s="6">
        <f t="shared" si="26"/>
        <v>0</v>
      </c>
      <c r="I66" s="6">
        <f t="shared" si="26"/>
        <v>0</v>
      </c>
      <c r="J66" s="6">
        <f t="shared" si="26"/>
        <v>0</v>
      </c>
      <c r="K66" s="6">
        <f t="shared" si="26"/>
        <v>0</v>
      </c>
      <c r="L66" s="6">
        <f t="shared" si="26"/>
        <v>0</v>
      </c>
      <c r="M66" s="6">
        <f t="shared" si="26"/>
        <v>0</v>
      </c>
      <c r="N66" s="6">
        <f t="shared" si="26"/>
        <v>0</v>
      </c>
      <c r="O66" s="6">
        <f t="shared" si="26"/>
        <v>0</v>
      </c>
      <c r="P66" s="6">
        <f t="shared" si="26"/>
        <v>0</v>
      </c>
      <c r="Q66" s="6">
        <f t="shared" si="26"/>
        <v>0</v>
      </c>
      <c r="R66" s="6">
        <f t="shared" si="26"/>
        <v>0</v>
      </c>
      <c r="S66" s="6">
        <f t="shared" si="26"/>
        <v>0</v>
      </c>
      <c r="T66" s="8"/>
      <c r="U66" s="8"/>
      <c r="V66" s="8"/>
      <c r="W66" s="6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</row>
    <row r="67" spans="1:103" x14ac:dyDescent="0.25">
      <c r="A67" s="14"/>
      <c r="B67" s="13" t="s">
        <v>514</v>
      </c>
      <c r="C67" t="s">
        <v>513</v>
      </c>
      <c r="D67" s="29" t="s">
        <v>22</v>
      </c>
      <c r="E67" s="29" t="s">
        <v>22</v>
      </c>
      <c r="F67" s="35">
        <f t="shared" ref="F67:S67" si="27">IF(SUM($F66:$S66)=0,0,F66/SUM($F66:$S66))</f>
        <v>0</v>
      </c>
      <c r="G67" s="35">
        <f t="shared" si="27"/>
        <v>0</v>
      </c>
      <c r="H67" s="35">
        <f t="shared" si="27"/>
        <v>0</v>
      </c>
      <c r="I67" s="35">
        <f t="shared" si="27"/>
        <v>0</v>
      </c>
      <c r="J67" s="35">
        <f t="shared" si="27"/>
        <v>0</v>
      </c>
      <c r="K67" s="35">
        <f t="shared" si="27"/>
        <v>0</v>
      </c>
      <c r="L67" s="35">
        <f t="shared" si="27"/>
        <v>0</v>
      </c>
      <c r="M67" s="35">
        <f t="shared" si="27"/>
        <v>0</v>
      </c>
      <c r="N67" s="35">
        <f t="shared" si="27"/>
        <v>0</v>
      </c>
      <c r="O67" s="35">
        <f t="shared" si="27"/>
        <v>0</v>
      </c>
      <c r="P67" s="35">
        <f t="shared" si="27"/>
        <v>0</v>
      </c>
      <c r="Q67" s="35">
        <f t="shared" si="27"/>
        <v>0</v>
      </c>
      <c r="R67" s="35">
        <f t="shared" si="27"/>
        <v>0</v>
      </c>
      <c r="S67" s="35">
        <f t="shared" si="27"/>
        <v>0</v>
      </c>
      <c r="T67" s="8"/>
      <c r="U67" s="8"/>
      <c r="V67" s="8"/>
      <c r="W67" s="6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</row>
    <row r="68" spans="1:103" x14ac:dyDescent="0.25">
      <c r="A68" s="14"/>
      <c r="B68" s="13" t="s">
        <v>515</v>
      </c>
      <c r="C68" t="s">
        <v>508</v>
      </c>
      <c r="D68" s="6">
        <f>SUM(F68:S68)</f>
        <v>0</v>
      </c>
      <c r="E68" s="29" t="s">
        <v>22</v>
      </c>
      <c r="F68" s="6">
        <f t="shared" ref="F68:S68" si="28">$D65*F67</f>
        <v>0</v>
      </c>
      <c r="G68" s="6">
        <f t="shared" si="28"/>
        <v>0</v>
      </c>
      <c r="H68" s="6">
        <f t="shared" si="28"/>
        <v>0</v>
      </c>
      <c r="I68" s="6">
        <f t="shared" si="28"/>
        <v>0</v>
      </c>
      <c r="J68" s="6">
        <f t="shared" si="28"/>
        <v>0</v>
      </c>
      <c r="K68" s="6">
        <f t="shared" si="28"/>
        <v>0</v>
      </c>
      <c r="L68" s="6">
        <f t="shared" si="28"/>
        <v>0</v>
      </c>
      <c r="M68" s="6">
        <f t="shared" si="28"/>
        <v>0</v>
      </c>
      <c r="N68" s="6">
        <f t="shared" si="28"/>
        <v>0</v>
      </c>
      <c r="O68" s="6">
        <f t="shared" si="28"/>
        <v>0</v>
      </c>
      <c r="P68" s="6">
        <f t="shared" si="28"/>
        <v>0</v>
      </c>
      <c r="Q68" s="6">
        <f t="shared" si="28"/>
        <v>0</v>
      </c>
      <c r="R68" s="6">
        <f t="shared" si="28"/>
        <v>0</v>
      </c>
      <c r="S68" s="6">
        <f t="shared" si="28"/>
        <v>0</v>
      </c>
      <c r="T68" s="8"/>
      <c r="U68" s="8">
        <v>1</v>
      </c>
      <c r="V68" s="8"/>
      <c r="W68" s="6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</row>
    <row r="69" spans="1:103" x14ac:dyDescent="0.25">
      <c r="A69" s="14"/>
      <c r="B69" s="23">
        <f>IF(D69=0,0,E70/D69)</f>
        <v>0</v>
      </c>
      <c r="C69" t="s">
        <v>509</v>
      </c>
      <c r="D69" s="22">
        <f>SUM(F69:S69)</f>
        <v>0</v>
      </c>
      <c r="E69" s="30" t="s">
        <v>22</v>
      </c>
      <c r="F69" s="22">
        <f t="shared" ref="F69:S69" si="29">$I$4*F68</f>
        <v>0</v>
      </c>
      <c r="G69" s="22">
        <f t="shared" si="29"/>
        <v>0</v>
      </c>
      <c r="H69" s="22">
        <f t="shared" si="29"/>
        <v>0</v>
      </c>
      <c r="I69" s="22">
        <f t="shared" si="29"/>
        <v>0</v>
      </c>
      <c r="J69" s="22">
        <f t="shared" si="29"/>
        <v>0</v>
      </c>
      <c r="K69" s="22">
        <f t="shared" si="29"/>
        <v>0</v>
      </c>
      <c r="L69" s="22">
        <f t="shared" si="29"/>
        <v>0</v>
      </c>
      <c r="M69" s="22">
        <f t="shared" si="29"/>
        <v>0</v>
      </c>
      <c r="N69" s="22">
        <f t="shared" si="29"/>
        <v>0</v>
      </c>
      <c r="O69" s="22">
        <f t="shared" si="29"/>
        <v>0</v>
      </c>
      <c r="P69" s="22">
        <f t="shared" si="29"/>
        <v>0</v>
      </c>
      <c r="Q69" s="22">
        <f t="shared" si="29"/>
        <v>0</v>
      </c>
      <c r="R69" s="22">
        <f t="shared" si="29"/>
        <v>0</v>
      </c>
      <c r="S69" s="22">
        <f t="shared" si="29"/>
        <v>0</v>
      </c>
      <c r="T69" s="8"/>
      <c r="U69" s="8">
        <v>2</v>
      </c>
      <c r="V69" s="8"/>
      <c r="W69" s="6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</row>
    <row r="70" spans="1:103" x14ac:dyDescent="0.25">
      <c r="A70" s="14"/>
      <c r="C70" t="s">
        <v>510</v>
      </c>
      <c r="D70" s="33" t="s">
        <v>22</v>
      </c>
      <c r="E70" s="34">
        <f>SUM(F70:S70)</f>
        <v>0</v>
      </c>
      <c r="F70" s="34">
        <f>$E65*F67</f>
        <v>0</v>
      </c>
      <c r="G70" s="34">
        <f t="shared" ref="G70:S70" si="30">$E65*G67</f>
        <v>0</v>
      </c>
      <c r="H70" s="34">
        <f t="shared" si="30"/>
        <v>0</v>
      </c>
      <c r="I70" s="34">
        <f t="shared" si="30"/>
        <v>0</v>
      </c>
      <c r="J70" s="34">
        <f t="shared" si="30"/>
        <v>0</v>
      </c>
      <c r="K70" s="34">
        <f t="shared" si="30"/>
        <v>0</v>
      </c>
      <c r="L70" s="34">
        <f t="shared" si="30"/>
        <v>0</v>
      </c>
      <c r="M70" s="34">
        <f t="shared" si="30"/>
        <v>0</v>
      </c>
      <c r="N70" s="34">
        <f t="shared" si="30"/>
        <v>0</v>
      </c>
      <c r="O70" s="34">
        <f t="shared" si="30"/>
        <v>0</v>
      </c>
      <c r="P70" s="34">
        <f t="shared" si="30"/>
        <v>0</v>
      </c>
      <c r="Q70" s="34">
        <f t="shared" si="30"/>
        <v>0</v>
      </c>
      <c r="R70" s="34">
        <f t="shared" si="30"/>
        <v>0</v>
      </c>
      <c r="S70" s="34">
        <f t="shared" si="30"/>
        <v>0</v>
      </c>
      <c r="T70" s="8"/>
      <c r="U70" s="8">
        <v>3</v>
      </c>
      <c r="V70" s="8"/>
      <c r="W70" s="6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</row>
    <row r="71" spans="1:103" x14ac:dyDescent="0.25">
      <c r="A71" s="1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8"/>
      <c r="U71" s="8"/>
      <c r="V71" s="8"/>
      <c r="W71" s="6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</row>
    <row r="72" spans="1:103" x14ac:dyDescent="0.25">
      <c r="A72" s="14">
        <v>6</v>
      </c>
      <c r="B72" s="13">
        <f>C14</f>
        <v>0</v>
      </c>
      <c r="C72" s="14" t="s">
        <v>511</v>
      </c>
      <c r="D72" s="6">
        <f t="shared" ref="D72:S72" si="31">D14</f>
        <v>0</v>
      </c>
      <c r="E72" s="6">
        <f t="shared" si="31"/>
        <v>0</v>
      </c>
      <c r="F72" s="6">
        <f t="shared" si="31"/>
        <v>0</v>
      </c>
      <c r="G72" s="6">
        <f t="shared" si="31"/>
        <v>0</v>
      </c>
      <c r="H72" s="6">
        <f t="shared" si="31"/>
        <v>0</v>
      </c>
      <c r="I72" s="6">
        <f t="shared" si="31"/>
        <v>0</v>
      </c>
      <c r="J72" s="6">
        <f t="shared" si="31"/>
        <v>0</v>
      </c>
      <c r="K72" s="6">
        <f t="shared" si="31"/>
        <v>0</v>
      </c>
      <c r="L72" s="6">
        <f t="shared" si="31"/>
        <v>0</v>
      </c>
      <c r="M72" s="6">
        <f t="shared" si="31"/>
        <v>0</v>
      </c>
      <c r="N72" s="6">
        <f t="shared" si="31"/>
        <v>0</v>
      </c>
      <c r="O72" s="6">
        <f t="shared" si="31"/>
        <v>0</v>
      </c>
      <c r="P72" s="6">
        <f t="shared" si="31"/>
        <v>0</v>
      </c>
      <c r="Q72" s="6">
        <f t="shared" si="31"/>
        <v>0</v>
      </c>
      <c r="R72" s="6">
        <f t="shared" si="31"/>
        <v>0</v>
      </c>
      <c r="S72" s="6">
        <f t="shared" si="31"/>
        <v>0</v>
      </c>
      <c r="T72" s="8"/>
      <c r="U72" s="8"/>
      <c r="V72" s="8"/>
      <c r="W72" s="6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</row>
    <row r="73" spans="1:103" x14ac:dyDescent="0.25">
      <c r="A73" s="14"/>
      <c r="C73" t="s">
        <v>512</v>
      </c>
      <c r="D73" s="29" t="s">
        <v>22</v>
      </c>
      <c r="E73" s="29" t="s">
        <v>22</v>
      </c>
      <c r="F73" s="6">
        <f t="shared" ref="F73:S73" si="32">IF(F72&lt;$D$4*SUM($F72:$S72),0,F72)</f>
        <v>0</v>
      </c>
      <c r="G73" s="6">
        <f t="shared" si="32"/>
        <v>0</v>
      </c>
      <c r="H73" s="6">
        <f t="shared" si="32"/>
        <v>0</v>
      </c>
      <c r="I73" s="6">
        <f t="shared" si="32"/>
        <v>0</v>
      </c>
      <c r="J73" s="6">
        <f t="shared" si="32"/>
        <v>0</v>
      </c>
      <c r="K73" s="6">
        <f t="shared" si="32"/>
        <v>0</v>
      </c>
      <c r="L73" s="6">
        <f t="shared" si="32"/>
        <v>0</v>
      </c>
      <c r="M73" s="6">
        <f t="shared" si="32"/>
        <v>0</v>
      </c>
      <c r="N73" s="6">
        <f t="shared" si="32"/>
        <v>0</v>
      </c>
      <c r="O73" s="6">
        <f t="shared" si="32"/>
        <v>0</v>
      </c>
      <c r="P73" s="6">
        <f t="shared" si="32"/>
        <v>0</v>
      </c>
      <c r="Q73" s="6">
        <f t="shared" si="32"/>
        <v>0</v>
      </c>
      <c r="R73" s="6">
        <f t="shared" si="32"/>
        <v>0</v>
      </c>
      <c r="S73" s="6">
        <f t="shared" si="32"/>
        <v>0</v>
      </c>
      <c r="T73" s="8"/>
      <c r="U73" s="8"/>
      <c r="V73" s="8"/>
      <c r="W73" s="6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</row>
    <row r="74" spans="1:103" x14ac:dyDescent="0.25">
      <c r="A74" s="14"/>
      <c r="B74" s="13" t="s">
        <v>514</v>
      </c>
      <c r="C74" t="s">
        <v>513</v>
      </c>
      <c r="D74" s="29" t="s">
        <v>22</v>
      </c>
      <c r="E74" s="29" t="s">
        <v>22</v>
      </c>
      <c r="F74" s="35">
        <f t="shared" ref="F74:S74" si="33">IF(SUM($F73:$S73)=0,0,F73/SUM($F73:$S73))</f>
        <v>0</v>
      </c>
      <c r="G74" s="35">
        <f t="shared" si="33"/>
        <v>0</v>
      </c>
      <c r="H74" s="35">
        <f t="shared" si="33"/>
        <v>0</v>
      </c>
      <c r="I74" s="35">
        <f t="shared" si="33"/>
        <v>0</v>
      </c>
      <c r="J74" s="35">
        <f t="shared" si="33"/>
        <v>0</v>
      </c>
      <c r="K74" s="35">
        <f t="shared" si="33"/>
        <v>0</v>
      </c>
      <c r="L74" s="35">
        <f t="shared" si="33"/>
        <v>0</v>
      </c>
      <c r="M74" s="35">
        <f t="shared" si="33"/>
        <v>0</v>
      </c>
      <c r="N74" s="35">
        <f t="shared" si="33"/>
        <v>0</v>
      </c>
      <c r="O74" s="35">
        <f t="shared" si="33"/>
        <v>0</v>
      </c>
      <c r="P74" s="35">
        <f t="shared" si="33"/>
        <v>0</v>
      </c>
      <c r="Q74" s="35">
        <f t="shared" si="33"/>
        <v>0</v>
      </c>
      <c r="R74" s="35">
        <f t="shared" si="33"/>
        <v>0</v>
      </c>
      <c r="S74" s="35">
        <f t="shared" si="33"/>
        <v>0</v>
      </c>
      <c r="T74" s="8"/>
      <c r="U74" s="8"/>
      <c r="V74" s="8"/>
      <c r="W74" s="6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</row>
    <row r="75" spans="1:103" x14ac:dyDescent="0.25">
      <c r="A75" s="14"/>
      <c r="B75" s="13" t="s">
        <v>515</v>
      </c>
      <c r="C75" t="s">
        <v>508</v>
      </c>
      <c r="D75" s="6">
        <f>SUM(F75:S75)</f>
        <v>0</v>
      </c>
      <c r="E75" s="29" t="s">
        <v>22</v>
      </c>
      <c r="F75" s="6">
        <f t="shared" ref="F75:S75" si="34">$D72*F74</f>
        <v>0</v>
      </c>
      <c r="G75" s="6">
        <f t="shared" si="34"/>
        <v>0</v>
      </c>
      <c r="H75" s="6">
        <f t="shared" si="34"/>
        <v>0</v>
      </c>
      <c r="I75" s="6">
        <f t="shared" si="34"/>
        <v>0</v>
      </c>
      <c r="J75" s="6">
        <f t="shared" si="34"/>
        <v>0</v>
      </c>
      <c r="K75" s="6">
        <f t="shared" si="34"/>
        <v>0</v>
      </c>
      <c r="L75" s="6">
        <f t="shared" si="34"/>
        <v>0</v>
      </c>
      <c r="M75" s="6">
        <f t="shared" si="34"/>
        <v>0</v>
      </c>
      <c r="N75" s="6">
        <f t="shared" si="34"/>
        <v>0</v>
      </c>
      <c r="O75" s="6">
        <f t="shared" si="34"/>
        <v>0</v>
      </c>
      <c r="P75" s="6">
        <f t="shared" si="34"/>
        <v>0</v>
      </c>
      <c r="Q75" s="6">
        <f t="shared" si="34"/>
        <v>0</v>
      </c>
      <c r="R75" s="6">
        <f t="shared" si="34"/>
        <v>0</v>
      </c>
      <c r="S75" s="6">
        <f t="shared" si="34"/>
        <v>0</v>
      </c>
      <c r="T75" s="8"/>
      <c r="U75" s="8">
        <v>1</v>
      </c>
      <c r="V75" s="8"/>
      <c r="W75" s="6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</row>
    <row r="76" spans="1:103" x14ac:dyDescent="0.25">
      <c r="A76" s="14"/>
      <c r="B76" s="23">
        <f>IF(D76=0,0,E77/D76)</f>
        <v>0</v>
      </c>
      <c r="C76" t="s">
        <v>509</v>
      </c>
      <c r="D76" s="22">
        <f>SUM(F76:S76)</f>
        <v>0</v>
      </c>
      <c r="E76" s="30" t="s">
        <v>22</v>
      </c>
      <c r="F76" s="22">
        <f t="shared" ref="F76:S76" si="35">$I$4*F75</f>
        <v>0</v>
      </c>
      <c r="G76" s="22">
        <f t="shared" si="35"/>
        <v>0</v>
      </c>
      <c r="H76" s="22">
        <f t="shared" si="35"/>
        <v>0</v>
      </c>
      <c r="I76" s="22">
        <f t="shared" si="35"/>
        <v>0</v>
      </c>
      <c r="J76" s="22">
        <f t="shared" si="35"/>
        <v>0</v>
      </c>
      <c r="K76" s="22">
        <f t="shared" si="35"/>
        <v>0</v>
      </c>
      <c r="L76" s="22">
        <f t="shared" si="35"/>
        <v>0</v>
      </c>
      <c r="M76" s="22">
        <f t="shared" si="35"/>
        <v>0</v>
      </c>
      <c r="N76" s="22">
        <f t="shared" si="35"/>
        <v>0</v>
      </c>
      <c r="O76" s="22">
        <f t="shared" si="35"/>
        <v>0</v>
      </c>
      <c r="P76" s="22">
        <f t="shared" si="35"/>
        <v>0</v>
      </c>
      <c r="Q76" s="22">
        <f t="shared" si="35"/>
        <v>0</v>
      </c>
      <c r="R76" s="22">
        <f t="shared" si="35"/>
        <v>0</v>
      </c>
      <c r="S76" s="22">
        <f t="shared" si="35"/>
        <v>0</v>
      </c>
      <c r="T76" s="8"/>
      <c r="U76" s="8">
        <v>2</v>
      </c>
      <c r="V76" s="8"/>
      <c r="W76" s="6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</row>
    <row r="77" spans="1:103" x14ac:dyDescent="0.25">
      <c r="A77" s="14"/>
      <c r="C77" t="s">
        <v>510</v>
      </c>
      <c r="D77" s="33" t="s">
        <v>22</v>
      </c>
      <c r="E77" s="34">
        <f>SUM(F77:S77)</f>
        <v>0</v>
      </c>
      <c r="F77" s="34">
        <f>$E72*F74</f>
        <v>0</v>
      </c>
      <c r="G77" s="34">
        <f t="shared" ref="G77:S77" si="36">$E72*G74</f>
        <v>0</v>
      </c>
      <c r="H77" s="34">
        <f t="shared" si="36"/>
        <v>0</v>
      </c>
      <c r="I77" s="34">
        <f t="shared" si="36"/>
        <v>0</v>
      </c>
      <c r="J77" s="34">
        <f t="shared" si="36"/>
        <v>0</v>
      </c>
      <c r="K77" s="34">
        <f t="shared" si="36"/>
        <v>0</v>
      </c>
      <c r="L77" s="34">
        <f t="shared" si="36"/>
        <v>0</v>
      </c>
      <c r="M77" s="34">
        <f t="shared" si="36"/>
        <v>0</v>
      </c>
      <c r="N77" s="34">
        <f t="shared" si="36"/>
        <v>0</v>
      </c>
      <c r="O77" s="34">
        <f t="shared" si="36"/>
        <v>0</v>
      </c>
      <c r="P77" s="34">
        <f t="shared" si="36"/>
        <v>0</v>
      </c>
      <c r="Q77" s="34">
        <f t="shared" si="36"/>
        <v>0</v>
      </c>
      <c r="R77" s="34">
        <f t="shared" si="36"/>
        <v>0</v>
      </c>
      <c r="S77" s="34">
        <f t="shared" si="36"/>
        <v>0</v>
      </c>
      <c r="T77" s="8"/>
      <c r="U77" s="8">
        <v>3</v>
      </c>
      <c r="V77" s="8"/>
      <c r="W77" s="6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</row>
    <row r="78" spans="1:103" x14ac:dyDescent="0.25">
      <c r="A78" s="1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8"/>
      <c r="U78" s="8"/>
      <c r="V78" s="8"/>
      <c r="W78" s="6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</row>
    <row r="79" spans="1:103" x14ac:dyDescent="0.25">
      <c r="A79" s="14">
        <v>7</v>
      </c>
      <c r="B79" s="13">
        <f>C15</f>
        <v>0</v>
      </c>
      <c r="C79" s="14" t="s">
        <v>511</v>
      </c>
      <c r="D79" s="6">
        <f t="shared" ref="D79:S79" si="37">D15</f>
        <v>0</v>
      </c>
      <c r="E79" s="6">
        <f t="shared" si="37"/>
        <v>0</v>
      </c>
      <c r="F79" s="6">
        <f t="shared" si="37"/>
        <v>0</v>
      </c>
      <c r="G79" s="6">
        <f t="shared" si="37"/>
        <v>0</v>
      </c>
      <c r="H79" s="6">
        <f t="shared" si="37"/>
        <v>0</v>
      </c>
      <c r="I79" s="6">
        <f t="shared" si="37"/>
        <v>0</v>
      </c>
      <c r="J79" s="6">
        <f t="shared" si="37"/>
        <v>0</v>
      </c>
      <c r="K79" s="6">
        <f t="shared" si="37"/>
        <v>0</v>
      </c>
      <c r="L79" s="6">
        <f t="shared" si="37"/>
        <v>0</v>
      </c>
      <c r="M79" s="6">
        <f t="shared" si="37"/>
        <v>0</v>
      </c>
      <c r="N79" s="6">
        <f t="shared" si="37"/>
        <v>0</v>
      </c>
      <c r="O79" s="6">
        <f t="shared" si="37"/>
        <v>0</v>
      </c>
      <c r="P79" s="6">
        <f t="shared" si="37"/>
        <v>0</v>
      </c>
      <c r="Q79" s="6">
        <f t="shared" si="37"/>
        <v>0</v>
      </c>
      <c r="R79" s="6">
        <f t="shared" si="37"/>
        <v>0</v>
      </c>
      <c r="S79" s="6">
        <f t="shared" si="37"/>
        <v>0</v>
      </c>
      <c r="T79" s="8"/>
      <c r="U79" s="8"/>
      <c r="V79" s="8"/>
      <c r="W79" s="6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</row>
    <row r="80" spans="1:103" x14ac:dyDescent="0.25">
      <c r="A80" s="14"/>
      <c r="C80" t="s">
        <v>512</v>
      </c>
      <c r="D80" s="29" t="s">
        <v>22</v>
      </c>
      <c r="E80" s="29" t="s">
        <v>22</v>
      </c>
      <c r="F80" s="6">
        <f t="shared" ref="F80:S80" si="38">IF(F79&lt;$D$4*SUM($F79:$S79),0,F79)</f>
        <v>0</v>
      </c>
      <c r="G80" s="6">
        <f t="shared" si="38"/>
        <v>0</v>
      </c>
      <c r="H80" s="6">
        <f t="shared" si="38"/>
        <v>0</v>
      </c>
      <c r="I80" s="6">
        <f t="shared" si="38"/>
        <v>0</v>
      </c>
      <c r="J80" s="6">
        <f t="shared" si="38"/>
        <v>0</v>
      </c>
      <c r="K80" s="6">
        <f t="shared" si="38"/>
        <v>0</v>
      </c>
      <c r="L80" s="6">
        <f t="shared" si="38"/>
        <v>0</v>
      </c>
      <c r="M80" s="6">
        <f t="shared" si="38"/>
        <v>0</v>
      </c>
      <c r="N80" s="6">
        <f t="shared" si="38"/>
        <v>0</v>
      </c>
      <c r="O80" s="6">
        <f t="shared" si="38"/>
        <v>0</v>
      </c>
      <c r="P80" s="6">
        <f t="shared" si="38"/>
        <v>0</v>
      </c>
      <c r="Q80" s="6">
        <f t="shared" si="38"/>
        <v>0</v>
      </c>
      <c r="R80" s="6">
        <f t="shared" si="38"/>
        <v>0</v>
      </c>
      <c r="S80" s="6">
        <f t="shared" si="38"/>
        <v>0</v>
      </c>
      <c r="T80" s="8"/>
      <c r="U80" s="8"/>
      <c r="V80" s="8"/>
      <c r="W80" s="6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</row>
    <row r="81" spans="1:103" x14ac:dyDescent="0.25">
      <c r="A81" s="14"/>
      <c r="B81" s="13" t="s">
        <v>514</v>
      </c>
      <c r="C81" t="s">
        <v>513</v>
      </c>
      <c r="D81" s="29" t="s">
        <v>22</v>
      </c>
      <c r="E81" s="29" t="s">
        <v>22</v>
      </c>
      <c r="F81" s="35">
        <f t="shared" ref="F81:S81" si="39">IF(SUM($F80:$S80)=0,0,F80/SUM($F80:$S80))</f>
        <v>0</v>
      </c>
      <c r="G81" s="35">
        <f t="shared" si="39"/>
        <v>0</v>
      </c>
      <c r="H81" s="35">
        <f t="shared" si="39"/>
        <v>0</v>
      </c>
      <c r="I81" s="35">
        <f t="shared" si="39"/>
        <v>0</v>
      </c>
      <c r="J81" s="35">
        <f t="shared" si="39"/>
        <v>0</v>
      </c>
      <c r="K81" s="35">
        <f t="shared" si="39"/>
        <v>0</v>
      </c>
      <c r="L81" s="35">
        <f t="shared" si="39"/>
        <v>0</v>
      </c>
      <c r="M81" s="35">
        <f t="shared" si="39"/>
        <v>0</v>
      </c>
      <c r="N81" s="35">
        <f t="shared" si="39"/>
        <v>0</v>
      </c>
      <c r="O81" s="35">
        <f t="shared" si="39"/>
        <v>0</v>
      </c>
      <c r="P81" s="35">
        <f t="shared" si="39"/>
        <v>0</v>
      </c>
      <c r="Q81" s="35">
        <f t="shared" si="39"/>
        <v>0</v>
      </c>
      <c r="R81" s="35">
        <f t="shared" si="39"/>
        <v>0</v>
      </c>
      <c r="S81" s="35">
        <f t="shared" si="39"/>
        <v>0</v>
      </c>
      <c r="T81" s="8"/>
      <c r="U81" s="8"/>
      <c r="V81" s="8"/>
      <c r="W81" s="6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</row>
    <row r="82" spans="1:103" x14ac:dyDescent="0.25">
      <c r="A82" s="14"/>
      <c r="B82" s="13" t="s">
        <v>515</v>
      </c>
      <c r="C82" t="s">
        <v>508</v>
      </c>
      <c r="D82" s="6">
        <f>SUM(F82:S82)</f>
        <v>0</v>
      </c>
      <c r="E82" s="29" t="s">
        <v>22</v>
      </c>
      <c r="F82" s="6">
        <f t="shared" ref="F82:S82" si="40">$D79*F81</f>
        <v>0</v>
      </c>
      <c r="G82" s="6">
        <f t="shared" si="40"/>
        <v>0</v>
      </c>
      <c r="H82" s="6">
        <f t="shared" si="40"/>
        <v>0</v>
      </c>
      <c r="I82" s="6">
        <f t="shared" si="40"/>
        <v>0</v>
      </c>
      <c r="J82" s="6">
        <f t="shared" si="40"/>
        <v>0</v>
      </c>
      <c r="K82" s="6">
        <f t="shared" si="40"/>
        <v>0</v>
      </c>
      <c r="L82" s="6">
        <f t="shared" si="40"/>
        <v>0</v>
      </c>
      <c r="M82" s="6">
        <f t="shared" si="40"/>
        <v>0</v>
      </c>
      <c r="N82" s="6">
        <f t="shared" si="40"/>
        <v>0</v>
      </c>
      <c r="O82" s="6">
        <f t="shared" si="40"/>
        <v>0</v>
      </c>
      <c r="P82" s="6">
        <f t="shared" si="40"/>
        <v>0</v>
      </c>
      <c r="Q82" s="6">
        <f t="shared" si="40"/>
        <v>0</v>
      </c>
      <c r="R82" s="6">
        <f t="shared" si="40"/>
        <v>0</v>
      </c>
      <c r="S82" s="6">
        <f t="shared" si="40"/>
        <v>0</v>
      </c>
      <c r="T82" s="8"/>
      <c r="U82" s="8">
        <v>1</v>
      </c>
      <c r="V82" s="8"/>
      <c r="W82" s="6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</row>
    <row r="83" spans="1:103" x14ac:dyDescent="0.25">
      <c r="A83" s="14"/>
      <c r="B83" s="23">
        <f>IF(D83=0,0,E84/D83)</f>
        <v>0</v>
      </c>
      <c r="C83" t="s">
        <v>509</v>
      </c>
      <c r="D83" s="22">
        <f>SUM(F83:S83)</f>
        <v>0</v>
      </c>
      <c r="E83" s="30" t="s">
        <v>22</v>
      </c>
      <c r="F83" s="22">
        <f t="shared" ref="F83:S83" si="41">$I$4*F82</f>
        <v>0</v>
      </c>
      <c r="G83" s="22">
        <f t="shared" si="41"/>
        <v>0</v>
      </c>
      <c r="H83" s="22">
        <f t="shared" si="41"/>
        <v>0</v>
      </c>
      <c r="I83" s="22">
        <f t="shared" si="41"/>
        <v>0</v>
      </c>
      <c r="J83" s="22">
        <f t="shared" si="41"/>
        <v>0</v>
      </c>
      <c r="K83" s="22">
        <f t="shared" si="41"/>
        <v>0</v>
      </c>
      <c r="L83" s="22">
        <f t="shared" si="41"/>
        <v>0</v>
      </c>
      <c r="M83" s="22">
        <f t="shared" si="41"/>
        <v>0</v>
      </c>
      <c r="N83" s="22">
        <f t="shared" si="41"/>
        <v>0</v>
      </c>
      <c r="O83" s="22">
        <f t="shared" si="41"/>
        <v>0</v>
      </c>
      <c r="P83" s="22">
        <f t="shared" si="41"/>
        <v>0</v>
      </c>
      <c r="Q83" s="22">
        <f t="shared" si="41"/>
        <v>0</v>
      </c>
      <c r="R83" s="22">
        <f t="shared" si="41"/>
        <v>0</v>
      </c>
      <c r="S83" s="22">
        <f t="shared" si="41"/>
        <v>0</v>
      </c>
      <c r="T83" s="8"/>
      <c r="U83" s="8">
        <v>2</v>
      </c>
      <c r="V83" s="8"/>
      <c r="W83" s="6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</row>
    <row r="84" spans="1:103" x14ac:dyDescent="0.25">
      <c r="A84" s="14"/>
      <c r="C84" t="s">
        <v>510</v>
      </c>
      <c r="D84" s="33" t="s">
        <v>22</v>
      </c>
      <c r="E84" s="34">
        <f>SUM(F84:S84)</f>
        <v>0</v>
      </c>
      <c r="F84" s="34">
        <f>$E79*F81</f>
        <v>0</v>
      </c>
      <c r="G84" s="34">
        <f t="shared" ref="G84:S84" si="42">$E79*G81</f>
        <v>0</v>
      </c>
      <c r="H84" s="34">
        <f t="shared" si="42"/>
        <v>0</v>
      </c>
      <c r="I84" s="34">
        <f t="shared" si="42"/>
        <v>0</v>
      </c>
      <c r="J84" s="34">
        <f t="shared" si="42"/>
        <v>0</v>
      </c>
      <c r="K84" s="34">
        <f t="shared" si="42"/>
        <v>0</v>
      </c>
      <c r="L84" s="34">
        <f t="shared" si="42"/>
        <v>0</v>
      </c>
      <c r="M84" s="34">
        <f t="shared" si="42"/>
        <v>0</v>
      </c>
      <c r="N84" s="34">
        <f t="shared" si="42"/>
        <v>0</v>
      </c>
      <c r="O84" s="34">
        <f t="shared" si="42"/>
        <v>0</v>
      </c>
      <c r="P84" s="34">
        <f t="shared" si="42"/>
        <v>0</v>
      </c>
      <c r="Q84" s="34">
        <f t="shared" si="42"/>
        <v>0</v>
      </c>
      <c r="R84" s="34">
        <f t="shared" si="42"/>
        <v>0</v>
      </c>
      <c r="S84" s="34">
        <f t="shared" si="42"/>
        <v>0</v>
      </c>
      <c r="T84" s="8"/>
      <c r="U84" s="8">
        <v>3</v>
      </c>
      <c r="V84" s="8"/>
      <c r="W84" s="6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</row>
    <row r="85" spans="1:103" x14ac:dyDescent="0.25">
      <c r="A85" s="1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8"/>
      <c r="U85" s="8"/>
      <c r="V85" s="8"/>
      <c r="W85" s="6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</row>
    <row r="86" spans="1:103" x14ac:dyDescent="0.25">
      <c r="A86" s="14">
        <v>8</v>
      </c>
      <c r="B86" s="13">
        <f>C16</f>
        <v>0</v>
      </c>
      <c r="C86" s="14" t="s">
        <v>511</v>
      </c>
      <c r="D86" s="6">
        <f t="shared" ref="D86:S86" si="43">D16</f>
        <v>0</v>
      </c>
      <c r="E86" s="6">
        <f t="shared" si="43"/>
        <v>0</v>
      </c>
      <c r="F86" s="6">
        <f t="shared" si="43"/>
        <v>0</v>
      </c>
      <c r="G86" s="6">
        <f t="shared" si="43"/>
        <v>0</v>
      </c>
      <c r="H86" s="6">
        <f t="shared" si="43"/>
        <v>0</v>
      </c>
      <c r="I86" s="6">
        <f t="shared" si="43"/>
        <v>0</v>
      </c>
      <c r="J86" s="6">
        <f t="shared" si="43"/>
        <v>0</v>
      </c>
      <c r="K86" s="6">
        <f t="shared" si="43"/>
        <v>0</v>
      </c>
      <c r="L86" s="6">
        <f t="shared" si="43"/>
        <v>0</v>
      </c>
      <c r="M86" s="6">
        <f t="shared" si="43"/>
        <v>0</v>
      </c>
      <c r="N86" s="6">
        <f t="shared" si="43"/>
        <v>0</v>
      </c>
      <c r="O86" s="6">
        <f t="shared" si="43"/>
        <v>0</v>
      </c>
      <c r="P86" s="6">
        <f t="shared" si="43"/>
        <v>0</v>
      </c>
      <c r="Q86" s="6">
        <f t="shared" si="43"/>
        <v>0</v>
      </c>
      <c r="R86" s="6">
        <f t="shared" si="43"/>
        <v>0</v>
      </c>
      <c r="S86" s="6">
        <f t="shared" si="43"/>
        <v>0</v>
      </c>
      <c r="T86" s="8"/>
      <c r="U86" s="8"/>
      <c r="V86" s="8"/>
      <c r="W86" s="6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</row>
    <row r="87" spans="1:103" x14ac:dyDescent="0.25">
      <c r="A87" s="14"/>
      <c r="C87" t="s">
        <v>512</v>
      </c>
      <c r="D87" s="29" t="s">
        <v>22</v>
      </c>
      <c r="E87" s="29" t="s">
        <v>22</v>
      </c>
      <c r="F87" s="6">
        <f t="shared" ref="F87:S87" si="44">IF(F86&lt;$D$4*SUM($F86:$S86),0,F86)</f>
        <v>0</v>
      </c>
      <c r="G87" s="6">
        <f t="shared" si="44"/>
        <v>0</v>
      </c>
      <c r="H87" s="6">
        <f t="shared" si="44"/>
        <v>0</v>
      </c>
      <c r="I87" s="6">
        <f t="shared" si="44"/>
        <v>0</v>
      </c>
      <c r="J87" s="6">
        <f t="shared" si="44"/>
        <v>0</v>
      </c>
      <c r="K87" s="6">
        <f t="shared" si="44"/>
        <v>0</v>
      </c>
      <c r="L87" s="6">
        <f t="shared" si="44"/>
        <v>0</v>
      </c>
      <c r="M87" s="6">
        <f t="shared" si="44"/>
        <v>0</v>
      </c>
      <c r="N87" s="6">
        <f t="shared" si="44"/>
        <v>0</v>
      </c>
      <c r="O87" s="6">
        <f t="shared" si="44"/>
        <v>0</v>
      </c>
      <c r="P87" s="6">
        <f t="shared" si="44"/>
        <v>0</v>
      </c>
      <c r="Q87" s="6">
        <f t="shared" si="44"/>
        <v>0</v>
      </c>
      <c r="R87" s="6">
        <f t="shared" si="44"/>
        <v>0</v>
      </c>
      <c r="S87" s="6">
        <f t="shared" si="44"/>
        <v>0</v>
      </c>
      <c r="T87" s="8"/>
      <c r="U87" s="8"/>
      <c r="V87" s="8"/>
      <c r="W87" s="6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</row>
    <row r="88" spans="1:103" x14ac:dyDescent="0.25">
      <c r="A88" s="14"/>
      <c r="B88" s="13" t="s">
        <v>514</v>
      </c>
      <c r="C88" t="s">
        <v>513</v>
      </c>
      <c r="D88" s="29" t="s">
        <v>22</v>
      </c>
      <c r="E88" s="29" t="s">
        <v>22</v>
      </c>
      <c r="F88" s="35">
        <f t="shared" ref="F88:S88" si="45">IF(SUM($F87:$S87)=0,0,F87/SUM($F87:$S87))</f>
        <v>0</v>
      </c>
      <c r="G88" s="35">
        <f t="shared" si="45"/>
        <v>0</v>
      </c>
      <c r="H88" s="35">
        <f t="shared" si="45"/>
        <v>0</v>
      </c>
      <c r="I88" s="35">
        <f t="shared" si="45"/>
        <v>0</v>
      </c>
      <c r="J88" s="35">
        <f t="shared" si="45"/>
        <v>0</v>
      </c>
      <c r="K88" s="35">
        <f t="shared" si="45"/>
        <v>0</v>
      </c>
      <c r="L88" s="35">
        <f t="shared" si="45"/>
        <v>0</v>
      </c>
      <c r="M88" s="35">
        <f t="shared" si="45"/>
        <v>0</v>
      </c>
      <c r="N88" s="35">
        <f t="shared" si="45"/>
        <v>0</v>
      </c>
      <c r="O88" s="35">
        <f t="shared" si="45"/>
        <v>0</v>
      </c>
      <c r="P88" s="35">
        <f t="shared" si="45"/>
        <v>0</v>
      </c>
      <c r="Q88" s="35">
        <f t="shared" si="45"/>
        <v>0</v>
      </c>
      <c r="R88" s="35">
        <f t="shared" si="45"/>
        <v>0</v>
      </c>
      <c r="S88" s="35">
        <f t="shared" si="45"/>
        <v>0</v>
      </c>
      <c r="T88" s="8"/>
      <c r="U88" s="8"/>
      <c r="V88" s="8"/>
      <c r="W88" s="6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</row>
    <row r="89" spans="1:103" x14ac:dyDescent="0.25">
      <c r="A89" s="14"/>
      <c r="B89" s="13" t="s">
        <v>515</v>
      </c>
      <c r="C89" t="s">
        <v>508</v>
      </c>
      <c r="D89" s="6">
        <f>SUM(F89:S89)</f>
        <v>0</v>
      </c>
      <c r="E89" s="29" t="s">
        <v>22</v>
      </c>
      <c r="F89" s="6">
        <f t="shared" ref="F89:S89" si="46">$D86*F88</f>
        <v>0</v>
      </c>
      <c r="G89" s="6">
        <f t="shared" si="46"/>
        <v>0</v>
      </c>
      <c r="H89" s="6">
        <f t="shared" si="46"/>
        <v>0</v>
      </c>
      <c r="I89" s="6">
        <f t="shared" si="46"/>
        <v>0</v>
      </c>
      <c r="J89" s="6">
        <f t="shared" si="46"/>
        <v>0</v>
      </c>
      <c r="K89" s="6">
        <f t="shared" si="46"/>
        <v>0</v>
      </c>
      <c r="L89" s="6">
        <f t="shared" si="46"/>
        <v>0</v>
      </c>
      <c r="M89" s="6">
        <f t="shared" si="46"/>
        <v>0</v>
      </c>
      <c r="N89" s="6">
        <f t="shared" si="46"/>
        <v>0</v>
      </c>
      <c r="O89" s="6">
        <f t="shared" si="46"/>
        <v>0</v>
      </c>
      <c r="P89" s="6">
        <f t="shared" si="46"/>
        <v>0</v>
      </c>
      <c r="Q89" s="6">
        <f t="shared" si="46"/>
        <v>0</v>
      </c>
      <c r="R89" s="6">
        <f t="shared" si="46"/>
        <v>0</v>
      </c>
      <c r="S89" s="6">
        <f t="shared" si="46"/>
        <v>0</v>
      </c>
      <c r="T89" s="8"/>
      <c r="U89" s="8">
        <v>1</v>
      </c>
      <c r="V89" s="8"/>
      <c r="W89" s="6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</row>
    <row r="90" spans="1:103" x14ac:dyDescent="0.25">
      <c r="A90" s="14"/>
      <c r="B90" s="23">
        <f>IF(D90=0,0,E91/D90)</f>
        <v>0</v>
      </c>
      <c r="C90" t="s">
        <v>509</v>
      </c>
      <c r="D90" s="22">
        <f>SUM(F90:S90)</f>
        <v>0</v>
      </c>
      <c r="E90" s="30" t="s">
        <v>22</v>
      </c>
      <c r="F90" s="22">
        <f t="shared" ref="F90:S90" si="47">$I$4*F89</f>
        <v>0</v>
      </c>
      <c r="G90" s="22">
        <f t="shared" si="47"/>
        <v>0</v>
      </c>
      <c r="H90" s="22">
        <f t="shared" si="47"/>
        <v>0</v>
      </c>
      <c r="I90" s="22">
        <f t="shared" si="47"/>
        <v>0</v>
      </c>
      <c r="J90" s="22">
        <f t="shared" si="47"/>
        <v>0</v>
      </c>
      <c r="K90" s="22">
        <f t="shared" si="47"/>
        <v>0</v>
      </c>
      <c r="L90" s="22">
        <f t="shared" si="47"/>
        <v>0</v>
      </c>
      <c r="M90" s="22">
        <f t="shared" si="47"/>
        <v>0</v>
      </c>
      <c r="N90" s="22">
        <f t="shared" si="47"/>
        <v>0</v>
      </c>
      <c r="O90" s="22">
        <f t="shared" si="47"/>
        <v>0</v>
      </c>
      <c r="P90" s="22">
        <f t="shared" si="47"/>
        <v>0</v>
      </c>
      <c r="Q90" s="22">
        <f t="shared" si="47"/>
        <v>0</v>
      </c>
      <c r="R90" s="22">
        <f t="shared" si="47"/>
        <v>0</v>
      </c>
      <c r="S90" s="22">
        <f t="shared" si="47"/>
        <v>0</v>
      </c>
      <c r="T90" s="8"/>
      <c r="U90" s="8">
        <v>2</v>
      </c>
      <c r="V90" s="8"/>
      <c r="W90" s="6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</row>
    <row r="91" spans="1:103" x14ac:dyDescent="0.25">
      <c r="A91" s="14"/>
      <c r="C91" t="s">
        <v>510</v>
      </c>
      <c r="D91" s="33" t="s">
        <v>22</v>
      </c>
      <c r="E91" s="34">
        <f>SUM(F91:S91)</f>
        <v>0</v>
      </c>
      <c r="F91" s="34">
        <f>$E86*F88</f>
        <v>0</v>
      </c>
      <c r="G91" s="34">
        <f t="shared" ref="G91:S91" si="48">$E86*G88</f>
        <v>0</v>
      </c>
      <c r="H91" s="34">
        <f t="shared" si="48"/>
        <v>0</v>
      </c>
      <c r="I91" s="34">
        <f t="shared" si="48"/>
        <v>0</v>
      </c>
      <c r="J91" s="34">
        <f t="shared" si="48"/>
        <v>0</v>
      </c>
      <c r="K91" s="34">
        <f t="shared" si="48"/>
        <v>0</v>
      </c>
      <c r="L91" s="34">
        <f t="shared" si="48"/>
        <v>0</v>
      </c>
      <c r="M91" s="34">
        <f t="shared" si="48"/>
        <v>0</v>
      </c>
      <c r="N91" s="34">
        <f t="shared" si="48"/>
        <v>0</v>
      </c>
      <c r="O91" s="34">
        <f t="shared" si="48"/>
        <v>0</v>
      </c>
      <c r="P91" s="34">
        <f t="shared" si="48"/>
        <v>0</v>
      </c>
      <c r="Q91" s="34">
        <f t="shared" si="48"/>
        <v>0</v>
      </c>
      <c r="R91" s="34">
        <f t="shared" si="48"/>
        <v>0</v>
      </c>
      <c r="S91" s="34">
        <f t="shared" si="48"/>
        <v>0</v>
      </c>
      <c r="T91" s="8"/>
      <c r="U91" s="8">
        <v>3</v>
      </c>
      <c r="V91" s="8"/>
      <c r="W91" s="6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</row>
    <row r="92" spans="1:103" x14ac:dyDescent="0.25">
      <c r="A92" s="1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8"/>
      <c r="U92" s="8"/>
      <c r="V92" s="8"/>
      <c r="W92" s="6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</row>
    <row r="93" spans="1:103" x14ac:dyDescent="0.25">
      <c r="A93" s="14">
        <v>9</v>
      </c>
      <c r="B93" s="13">
        <f>C17</f>
        <v>0</v>
      </c>
      <c r="C93" s="14" t="s">
        <v>511</v>
      </c>
      <c r="D93" s="6">
        <f t="shared" ref="D93:S93" si="49">D17</f>
        <v>0</v>
      </c>
      <c r="E93" s="6">
        <f t="shared" si="49"/>
        <v>0</v>
      </c>
      <c r="F93" s="6">
        <f t="shared" si="49"/>
        <v>0</v>
      </c>
      <c r="G93" s="6">
        <f t="shared" si="49"/>
        <v>0</v>
      </c>
      <c r="H93" s="6">
        <f t="shared" si="49"/>
        <v>0</v>
      </c>
      <c r="I93" s="6">
        <f t="shared" si="49"/>
        <v>0</v>
      </c>
      <c r="J93" s="6">
        <f t="shared" si="49"/>
        <v>0</v>
      </c>
      <c r="K93" s="6">
        <f t="shared" si="49"/>
        <v>0</v>
      </c>
      <c r="L93" s="6">
        <f t="shared" si="49"/>
        <v>0</v>
      </c>
      <c r="M93" s="6">
        <f t="shared" si="49"/>
        <v>0</v>
      </c>
      <c r="N93" s="6">
        <f t="shared" si="49"/>
        <v>0</v>
      </c>
      <c r="O93" s="6">
        <f t="shared" si="49"/>
        <v>0</v>
      </c>
      <c r="P93" s="6">
        <f t="shared" si="49"/>
        <v>0</v>
      </c>
      <c r="Q93" s="6">
        <f t="shared" si="49"/>
        <v>0</v>
      </c>
      <c r="R93" s="6">
        <f t="shared" si="49"/>
        <v>0</v>
      </c>
      <c r="S93" s="6">
        <f t="shared" si="49"/>
        <v>0</v>
      </c>
      <c r="T93" s="8"/>
      <c r="U93" s="8"/>
      <c r="V93" s="8"/>
      <c r="W93" s="6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</row>
    <row r="94" spans="1:103" x14ac:dyDescent="0.25">
      <c r="A94" s="14"/>
      <c r="C94" t="s">
        <v>512</v>
      </c>
      <c r="D94" s="29" t="s">
        <v>22</v>
      </c>
      <c r="E94" s="29" t="s">
        <v>22</v>
      </c>
      <c r="F94" s="6">
        <f t="shared" ref="F94:S94" si="50">IF(F93&lt;$D$4*SUM($F93:$S93),0,F93)</f>
        <v>0</v>
      </c>
      <c r="G94" s="6">
        <f t="shared" si="50"/>
        <v>0</v>
      </c>
      <c r="H94" s="6">
        <f t="shared" si="50"/>
        <v>0</v>
      </c>
      <c r="I94" s="6">
        <f t="shared" si="50"/>
        <v>0</v>
      </c>
      <c r="J94" s="6">
        <f t="shared" si="50"/>
        <v>0</v>
      </c>
      <c r="K94" s="6">
        <f t="shared" si="50"/>
        <v>0</v>
      </c>
      <c r="L94" s="6">
        <f t="shared" si="50"/>
        <v>0</v>
      </c>
      <c r="M94" s="6">
        <f t="shared" si="50"/>
        <v>0</v>
      </c>
      <c r="N94" s="6">
        <f t="shared" si="50"/>
        <v>0</v>
      </c>
      <c r="O94" s="6">
        <f t="shared" si="50"/>
        <v>0</v>
      </c>
      <c r="P94" s="6">
        <f t="shared" si="50"/>
        <v>0</v>
      </c>
      <c r="Q94" s="6">
        <f t="shared" si="50"/>
        <v>0</v>
      </c>
      <c r="R94" s="6">
        <f t="shared" si="50"/>
        <v>0</v>
      </c>
      <c r="S94" s="6">
        <f t="shared" si="50"/>
        <v>0</v>
      </c>
      <c r="T94" s="8"/>
      <c r="U94" s="8"/>
      <c r="V94" s="8"/>
      <c r="W94" s="6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</row>
    <row r="95" spans="1:103" x14ac:dyDescent="0.25">
      <c r="A95" s="14"/>
      <c r="B95" s="13" t="s">
        <v>514</v>
      </c>
      <c r="C95" t="s">
        <v>513</v>
      </c>
      <c r="D95" s="29" t="s">
        <v>22</v>
      </c>
      <c r="E95" s="29" t="s">
        <v>22</v>
      </c>
      <c r="F95" s="35">
        <f t="shared" ref="F95:S95" si="51">IF(SUM($F94:$S94)=0,0,F94/SUM($F94:$S94))</f>
        <v>0</v>
      </c>
      <c r="G95" s="35">
        <f t="shared" si="51"/>
        <v>0</v>
      </c>
      <c r="H95" s="35">
        <f t="shared" si="51"/>
        <v>0</v>
      </c>
      <c r="I95" s="35">
        <f t="shared" si="51"/>
        <v>0</v>
      </c>
      <c r="J95" s="35">
        <f t="shared" si="51"/>
        <v>0</v>
      </c>
      <c r="K95" s="35">
        <f t="shared" si="51"/>
        <v>0</v>
      </c>
      <c r="L95" s="35">
        <f t="shared" si="51"/>
        <v>0</v>
      </c>
      <c r="M95" s="35">
        <f t="shared" si="51"/>
        <v>0</v>
      </c>
      <c r="N95" s="35">
        <f t="shared" si="51"/>
        <v>0</v>
      </c>
      <c r="O95" s="35">
        <f t="shared" si="51"/>
        <v>0</v>
      </c>
      <c r="P95" s="35">
        <f t="shared" si="51"/>
        <v>0</v>
      </c>
      <c r="Q95" s="35">
        <f t="shared" si="51"/>
        <v>0</v>
      </c>
      <c r="R95" s="35">
        <f t="shared" si="51"/>
        <v>0</v>
      </c>
      <c r="S95" s="35">
        <f t="shared" si="51"/>
        <v>0</v>
      </c>
      <c r="T95" s="8"/>
      <c r="U95" s="6"/>
      <c r="V95" s="8"/>
      <c r="W95" s="6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</row>
    <row r="96" spans="1:103" x14ac:dyDescent="0.25">
      <c r="A96" s="14"/>
      <c r="B96" s="13" t="s">
        <v>515</v>
      </c>
      <c r="C96" t="s">
        <v>508</v>
      </c>
      <c r="D96" s="6">
        <f>SUM(F96:S96)</f>
        <v>0</v>
      </c>
      <c r="E96" s="29" t="s">
        <v>22</v>
      </c>
      <c r="F96" s="6">
        <f t="shared" ref="F96:S96" si="52">$D93*F95</f>
        <v>0</v>
      </c>
      <c r="G96" s="6">
        <f t="shared" si="52"/>
        <v>0</v>
      </c>
      <c r="H96" s="6">
        <f t="shared" si="52"/>
        <v>0</v>
      </c>
      <c r="I96" s="6">
        <f t="shared" si="52"/>
        <v>0</v>
      </c>
      <c r="J96" s="6">
        <f t="shared" si="52"/>
        <v>0</v>
      </c>
      <c r="K96" s="6">
        <f t="shared" si="52"/>
        <v>0</v>
      </c>
      <c r="L96" s="6">
        <f t="shared" si="52"/>
        <v>0</v>
      </c>
      <c r="M96" s="6">
        <f t="shared" si="52"/>
        <v>0</v>
      </c>
      <c r="N96" s="6">
        <f t="shared" si="52"/>
        <v>0</v>
      </c>
      <c r="O96" s="6">
        <f t="shared" si="52"/>
        <v>0</v>
      </c>
      <c r="P96" s="6">
        <f t="shared" si="52"/>
        <v>0</v>
      </c>
      <c r="Q96" s="6">
        <f t="shared" si="52"/>
        <v>0</v>
      </c>
      <c r="R96" s="6">
        <f t="shared" si="52"/>
        <v>0</v>
      </c>
      <c r="S96" s="6">
        <f t="shared" si="52"/>
        <v>0</v>
      </c>
      <c r="T96" s="8"/>
      <c r="U96" s="8">
        <v>1</v>
      </c>
      <c r="V96" s="8"/>
      <c r="W96" s="6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</row>
    <row r="97" spans="1:103" x14ac:dyDescent="0.25">
      <c r="A97" s="14"/>
      <c r="B97" s="23">
        <f>IF(D97=0,0,E98/D97)</f>
        <v>0</v>
      </c>
      <c r="C97" t="s">
        <v>509</v>
      </c>
      <c r="D97" s="22">
        <f>SUM(F97:S97)</f>
        <v>0</v>
      </c>
      <c r="E97" s="30" t="s">
        <v>22</v>
      </c>
      <c r="F97" s="22">
        <f t="shared" ref="F97:S97" si="53">$I$4*F96</f>
        <v>0</v>
      </c>
      <c r="G97" s="22">
        <f t="shared" si="53"/>
        <v>0</v>
      </c>
      <c r="H97" s="22">
        <f t="shared" si="53"/>
        <v>0</v>
      </c>
      <c r="I97" s="22">
        <f t="shared" si="53"/>
        <v>0</v>
      </c>
      <c r="J97" s="22">
        <f t="shared" si="53"/>
        <v>0</v>
      </c>
      <c r="K97" s="22">
        <f t="shared" si="53"/>
        <v>0</v>
      </c>
      <c r="L97" s="22">
        <f t="shared" si="53"/>
        <v>0</v>
      </c>
      <c r="M97" s="22">
        <f t="shared" si="53"/>
        <v>0</v>
      </c>
      <c r="N97" s="22">
        <f t="shared" si="53"/>
        <v>0</v>
      </c>
      <c r="O97" s="22">
        <f t="shared" si="53"/>
        <v>0</v>
      </c>
      <c r="P97" s="22">
        <f t="shared" si="53"/>
        <v>0</v>
      </c>
      <c r="Q97" s="22">
        <f t="shared" si="53"/>
        <v>0</v>
      </c>
      <c r="R97" s="22">
        <f t="shared" si="53"/>
        <v>0</v>
      </c>
      <c r="S97" s="22">
        <f t="shared" si="53"/>
        <v>0</v>
      </c>
      <c r="T97" s="8"/>
      <c r="U97" s="8">
        <v>2</v>
      </c>
      <c r="V97" s="8"/>
      <c r="W97" s="6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</row>
    <row r="98" spans="1:103" x14ac:dyDescent="0.25">
      <c r="A98" s="14"/>
      <c r="C98" t="s">
        <v>510</v>
      </c>
      <c r="D98" s="33" t="s">
        <v>22</v>
      </c>
      <c r="E98" s="34">
        <f>SUM(F98:S98)</f>
        <v>0</v>
      </c>
      <c r="F98" s="34">
        <f>$E93*F95</f>
        <v>0</v>
      </c>
      <c r="G98" s="34">
        <f t="shared" ref="G98:S98" si="54">$E93*G95</f>
        <v>0</v>
      </c>
      <c r="H98" s="34">
        <f t="shared" si="54"/>
        <v>0</v>
      </c>
      <c r="I98" s="34">
        <f t="shared" si="54"/>
        <v>0</v>
      </c>
      <c r="J98" s="34">
        <f t="shared" si="54"/>
        <v>0</v>
      </c>
      <c r="K98" s="34">
        <f t="shared" si="54"/>
        <v>0</v>
      </c>
      <c r="L98" s="34">
        <f t="shared" si="54"/>
        <v>0</v>
      </c>
      <c r="M98" s="34">
        <f t="shared" si="54"/>
        <v>0</v>
      </c>
      <c r="N98" s="34">
        <f t="shared" si="54"/>
        <v>0</v>
      </c>
      <c r="O98" s="34">
        <f t="shared" si="54"/>
        <v>0</v>
      </c>
      <c r="P98" s="34">
        <f t="shared" si="54"/>
        <v>0</v>
      </c>
      <c r="Q98" s="34">
        <f t="shared" si="54"/>
        <v>0</v>
      </c>
      <c r="R98" s="34">
        <f t="shared" si="54"/>
        <v>0</v>
      </c>
      <c r="S98" s="34">
        <f t="shared" si="54"/>
        <v>0</v>
      </c>
      <c r="T98" s="8"/>
      <c r="U98" s="8">
        <v>3</v>
      </c>
      <c r="V98" s="8"/>
      <c r="W98" s="6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</row>
    <row r="99" spans="1:103" x14ac:dyDescent="0.25">
      <c r="A99" s="1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8"/>
      <c r="U99" s="8"/>
      <c r="V99" s="8"/>
      <c r="W99" s="6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</row>
    <row r="100" spans="1:103" x14ac:dyDescent="0.25">
      <c r="A100" s="14">
        <v>10</v>
      </c>
      <c r="B100" s="13">
        <f>C18</f>
        <v>0</v>
      </c>
      <c r="C100" s="14" t="s">
        <v>511</v>
      </c>
      <c r="D100" s="6">
        <f t="shared" ref="D100:S100" si="55">D18</f>
        <v>0</v>
      </c>
      <c r="E100" s="6">
        <f t="shared" si="55"/>
        <v>0</v>
      </c>
      <c r="F100" s="6">
        <f t="shared" si="55"/>
        <v>0</v>
      </c>
      <c r="G100" s="6">
        <f t="shared" si="55"/>
        <v>0</v>
      </c>
      <c r="H100" s="6">
        <f t="shared" si="55"/>
        <v>0</v>
      </c>
      <c r="I100" s="6">
        <f t="shared" si="55"/>
        <v>0</v>
      </c>
      <c r="J100" s="6">
        <f t="shared" si="55"/>
        <v>0</v>
      </c>
      <c r="K100" s="6">
        <f t="shared" si="55"/>
        <v>0</v>
      </c>
      <c r="L100" s="6">
        <f t="shared" si="55"/>
        <v>0</v>
      </c>
      <c r="M100" s="6">
        <f t="shared" si="55"/>
        <v>0</v>
      </c>
      <c r="N100" s="6">
        <f t="shared" si="55"/>
        <v>0</v>
      </c>
      <c r="O100" s="6">
        <f t="shared" si="55"/>
        <v>0</v>
      </c>
      <c r="P100" s="6">
        <f t="shared" si="55"/>
        <v>0</v>
      </c>
      <c r="Q100" s="6">
        <f t="shared" si="55"/>
        <v>0</v>
      </c>
      <c r="R100" s="6">
        <f t="shared" si="55"/>
        <v>0</v>
      </c>
      <c r="S100" s="6">
        <f t="shared" si="55"/>
        <v>0</v>
      </c>
      <c r="T100" s="8"/>
      <c r="U100" s="8"/>
      <c r="V100" s="8"/>
      <c r="W100" s="6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</row>
    <row r="101" spans="1:103" x14ac:dyDescent="0.25">
      <c r="A101" s="14"/>
      <c r="C101" t="s">
        <v>512</v>
      </c>
      <c r="D101" s="29" t="s">
        <v>22</v>
      </c>
      <c r="E101" s="29" t="s">
        <v>22</v>
      </c>
      <c r="F101" s="6">
        <f t="shared" ref="F101:S101" si="56">IF(F100&lt;$D$4*SUM($F100:$S100),0,F100)</f>
        <v>0</v>
      </c>
      <c r="G101" s="6">
        <f t="shared" si="56"/>
        <v>0</v>
      </c>
      <c r="H101" s="6">
        <f t="shared" si="56"/>
        <v>0</v>
      </c>
      <c r="I101" s="6">
        <f t="shared" si="56"/>
        <v>0</v>
      </c>
      <c r="J101" s="6">
        <f t="shared" si="56"/>
        <v>0</v>
      </c>
      <c r="K101" s="6">
        <f t="shared" si="56"/>
        <v>0</v>
      </c>
      <c r="L101" s="6">
        <f t="shared" si="56"/>
        <v>0</v>
      </c>
      <c r="M101" s="6">
        <f t="shared" si="56"/>
        <v>0</v>
      </c>
      <c r="N101" s="6">
        <f t="shared" si="56"/>
        <v>0</v>
      </c>
      <c r="O101" s="6">
        <f t="shared" si="56"/>
        <v>0</v>
      </c>
      <c r="P101" s="6">
        <f t="shared" si="56"/>
        <v>0</v>
      </c>
      <c r="Q101" s="6">
        <f t="shared" si="56"/>
        <v>0</v>
      </c>
      <c r="R101" s="6">
        <f t="shared" si="56"/>
        <v>0</v>
      </c>
      <c r="S101" s="6">
        <f t="shared" si="56"/>
        <v>0</v>
      </c>
      <c r="T101" s="8"/>
      <c r="U101" s="8"/>
      <c r="V101" s="8"/>
      <c r="W101" s="6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</row>
    <row r="102" spans="1:103" x14ac:dyDescent="0.25">
      <c r="A102" s="14"/>
      <c r="B102" s="13" t="s">
        <v>514</v>
      </c>
      <c r="C102" t="s">
        <v>513</v>
      </c>
      <c r="D102" s="29" t="s">
        <v>22</v>
      </c>
      <c r="E102" s="29" t="s">
        <v>22</v>
      </c>
      <c r="F102" s="35">
        <f t="shared" ref="F102:S102" si="57">IF(SUM($F101:$S101)=0,0,F101/SUM($F101:$S101))</f>
        <v>0</v>
      </c>
      <c r="G102" s="35">
        <f t="shared" si="57"/>
        <v>0</v>
      </c>
      <c r="H102" s="35">
        <f t="shared" si="57"/>
        <v>0</v>
      </c>
      <c r="I102" s="35">
        <f t="shared" si="57"/>
        <v>0</v>
      </c>
      <c r="J102" s="35">
        <f t="shared" si="57"/>
        <v>0</v>
      </c>
      <c r="K102" s="35">
        <f t="shared" si="57"/>
        <v>0</v>
      </c>
      <c r="L102" s="35">
        <f t="shared" si="57"/>
        <v>0</v>
      </c>
      <c r="M102" s="35">
        <f t="shared" si="57"/>
        <v>0</v>
      </c>
      <c r="N102" s="35">
        <f t="shared" si="57"/>
        <v>0</v>
      </c>
      <c r="O102" s="35">
        <f t="shared" si="57"/>
        <v>0</v>
      </c>
      <c r="P102" s="35">
        <f t="shared" si="57"/>
        <v>0</v>
      </c>
      <c r="Q102" s="35">
        <f t="shared" si="57"/>
        <v>0</v>
      </c>
      <c r="R102" s="35">
        <f t="shared" si="57"/>
        <v>0</v>
      </c>
      <c r="S102" s="35">
        <f t="shared" si="57"/>
        <v>0</v>
      </c>
      <c r="T102" s="8"/>
      <c r="U102" s="8"/>
      <c r="V102" s="8"/>
      <c r="W102" s="6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</row>
    <row r="103" spans="1:103" x14ac:dyDescent="0.25">
      <c r="A103" s="14"/>
      <c r="B103" s="13" t="s">
        <v>515</v>
      </c>
      <c r="C103" t="s">
        <v>508</v>
      </c>
      <c r="D103" s="6">
        <f>SUM(F103:S103)</f>
        <v>0</v>
      </c>
      <c r="E103" s="29" t="s">
        <v>22</v>
      </c>
      <c r="F103" s="6">
        <f t="shared" ref="F103:S103" si="58">$D100*F102</f>
        <v>0</v>
      </c>
      <c r="G103" s="6">
        <f t="shared" si="58"/>
        <v>0</v>
      </c>
      <c r="H103" s="6">
        <f t="shared" si="58"/>
        <v>0</v>
      </c>
      <c r="I103" s="6">
        <f t="shared" si="58"/>
        <v>0</v>
      </c>
      <c r="J103" s="6">
        <f t="shared" si="58"/>
        <v>0</v>
      </c>
      <c r="K103" s="6">
        <f t="shared" si="58"/>
        <v>0</v>
      </c>
      <c r="L103" s="6">
        <f t="shared" si="58"/>
        <v>0</v>
      </c>
      <c r="M103" s="6">
        <f t="shared" si="58"/>
        <v>0</v>
      </c>
      <c r="N103" s="6">
        <f t="shared" si="58"/>
        <v>0</v>
      </c>
      <c r="O103" s="6">
        <f t="shared" si="58"/>
        <v>0</v>
      </c>
      <c r="P103" s="6">
        <f t="shared" si="58"/>
        <v>0</v>
      </c>
      <c r="Q103" s="6">
        <f t="shared" si="58"/>
        <v>0</v>
      </c>
      <c r="R103" s="6">
        <f t="shared" si="58"/>
        <v>0</v>
      </c>
      <c r="S103" s="6">
        <f t="shared" si="58"/>
        <v>0</v>
      </c>
      <c r="T103" s="8"/>
      <c r="U103" s="8">
        <v>1</v>
      </c>
      <c r="V103" s="8"/>
      <c r="W103" s="6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</row>
    <row r="104" spans="1:103" x14ac:dyDescent="0.25">
      <c r="A104" s="14"/>
      <c r="B104" s="23">
        <f>IF(D104=0,0,E105/D104)</f>
        <v>0</v>
      </c>
      <c r="C104" t="s">
        <v>509</v>
      </c>
      <c r="D104" s="22">
        <f>SUM(F104:S104)</f>
        <v>0</v>
      </c>
      <c r="E104" s="30" t="s">
        <v>22</v>
      </c>
      <c r="F104" s="22">
        <f t="shared" ref="F104:S104" si="59">$I$4*F103</f>
        <v>0</v>
      </c>
      <c r="G104" s="22">
        <f t="shared" si="59"/>
        <v>0</v>
      </c>
      <c r="H104" s="22">
        <f t="shared" si="59"/>
        <v>0</v>
      </c>
      <c r="I104" s="22">
        <f t="shared" si="59"/>
        <v>0</v>
      </c>
      <c r="J104" s="22">
        <f t="shared" si="59"/>
        <v>0</v>
      </c>
      <c r="K104" s="22">
        <f t="shared" si="59"/>
        <v>0</v>
      </c>
      <c r="L104" s="22">
        <f t="shared" si="59"/>
        <v>0</v>
      </c>
      <c r="M104" s="22">
        <f t="shared" si="59"/>
        <v>0</v>
      </c>
      <c r="N104" s="22">
        <f t="shared" si="59"/>
        <v>0</v>
      </c>
      <c r="O104" s="22">
        <f t="shared" si="59"/>
        <v>0</v>
      </c>
      <c r="P104" s="22">
        <f t="shared" si="59"/>
        <v>0</v>
      </c>
      <c r="Q104" s="22">
        <f t="shared" si="59"/>
        <v>0</v>
      </c>
      <c r="R104" s="22">
        <f t="shared" si="59"/>
        <v>0</v>
      </c>
      <c r="S104" s="22">
        <f t="shared" si="59"/>
        <v>0</v>
      </c>
      <c r="T104" s="8"/>
      <c r="U104" s="8">
        <v>2</v>
      </c>
      <c r="V104" s="8"/>
      <c r="W104" s="6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</row>
    <row r="105" spans="1:103" x14ac:dyDescent="0.25">
      <c r="A105" s="14"/>
      <c r="C105" t="s">
        <v>510</v>
      </c>
      <c r="D105" s="33" t="s">
        <v>22</v>
      </c>
      <c r="E105" s="34">
        <f>SUM(F105:S105)</f>
        <v>0</v>
      </c>
      <c r="F105" s="34">
        <f>$E100*F102</f>
        <v>0</v>
      </c>
      <c r="G105" s="34">
        <f t="shared" ref="G105:S105" si="60">$E100*G102</f>
        <v>0</v>
      </c>
      <c r="H105" s="34">
        <f t="shared" si="60"/>
        <v>0</v>
      </c>
      <c r="I105" s="34">
        <f t="shared" si="60"/>
        <v>0</v>
      </c>
      <c r="J105" s="34">
        <f t="shared" si="60"/>
        <v>0</v>
      </c>
      <c r="K105" s="34">
        <f t="shared" si="60"/>
        <v>0</v>
      </c>
      <c r="L105" s="34">
        <f t="shared" si="60"/>
        <v>0</v>
      </c>
      <c r="M105" s="34">
        <f t="shared" si="60"/>
        <v>0</v>
      </c>
      <c r="N105" s="34">
        <f t="shared" si="60"/>
        <v>0</v>
      </c>
      <c r="O105" s="34">
        <f t="shared" si="60"/>
        <v>0</v>
      </c>
      <c r="P105" s="34">
        <f t="shared" si="60"/>
        <v>0</v>
      </c>
      <c r="Q105" s="34">
        <f t="shared" si="60"/>
        <v>0</v>
      </c>
      <c r="R105" s="34">
        <f t="shared" si="60"/>
        <v>0</v>
      </c>
      <c r="S105" s="34">
        <f t="shared" si="60"/>
        <v>0</v>
      </c>
      <c r="T105" s="8"/>
      <c r="U105" s="8">
        <v>3</v>
      </c>
      <c r="V105" s="8"/>
      <c r="W105" s="6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</row>
    <row r="106" spans="1:103" x14ac:dyDescent="0.25">
      <c r="A106" s="1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8"/>
      <c r="U106" s="8"/>
      <c r="V106" s="8"/>
      <c r="W106" s="6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</row>
    <row r="107" spans="1:103" x14ac:dyDescent="0.25">
      <c r="A107" s="14">
        <v>11</v>
      </c>
      <c r="B107" s="13">
        <f>C19</f>
        <v>0</v>
      </c>
      <c r="C107" s="14" t="s">
        <v>511</v>
      </c>
      <c r="D107" s="6">
        <f t="shared" ref="D107:S107" si="61">D19</f>
        <v>0</v>
      </c>
      <c r="E107" s="6">
        <f t="shared" si="61"/>
        <v>0</v>
      </c>
      <c r="F107" s="6">
        <f t="shared" si="61"/>
        <v>0</v>
      </c>
      <c r="G107" s="6">
        <f t="shared" si="61"/>
        <v>0</v>
      </c>
      <c r="H107" s="6">
        <f t="shared" si="61"/>
        <v>0</v>
      </c>
      <c r="I107" s="6">
        <f t="shared" si="61"/>
        <v>0</v>
      </c>
      <c r="J107" s="6">
        <f t="shared" si="61"/>
        <v>0</v>
      </c>
      <c r="K107" s="6">
        <f t="shared" si="61"/>
        <v>0</v>
      </c>
      <c r="L107" s="6">
        <f t="shared" si="61"/>
        <v>0</v>
      </c>
      <c r="M107" s="6">
        <f t="shared" si="61"/>
        <v>0</v>
      </c>
      <c r="N107" s="6">
        <f t="shared" si="61"/>
        <v>0</v>
      </c>
      <c r="O107" s="6">
        <f t="shared" si="61"/>
        <v>0</v>
      </c>
      <c r="P107" s="6">
        <f t="shared" si="61"/>
        <v>0</v>
      </c>
      <c r="Q107" s="6">
        <f t="shared" si="61"/>
        <v>0</v>
      </c>
      <c r="R107" s="6">
        <f t="shared" si="61"/>
        <v>0</v>
      </c>
      <c r="S107" s="6">
        <f t="shared" si="61"/>
        <v>0</v>
      </c>
      <c r="T107" s="8"/>
      <c r="U107" s="8"/>
      <c r="V107" s="8"/>
      <c r="W107" s="6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</row>
    <row r="108" spans="1:103" x14ac:dyDescent="0.25">
      <c r="A108" s="14"/>
      <c r="C108" t="s">
        <v>512</v>
      </c>
      <c r="D108" s="29" t="s">
        <v>22</v>
      </c>
      <c r="E108" s="29" t="s">
        <v>22</v>
      </c>
      <c r="F108" s="6">
        <f t="shared" ref="F108:S108" si="62">IF(F107&lt;$D$4*SUM($F107:$S107),0,F107)</f>
        <v>0</v>
      </c>
      <c r="G108" s="6">
        <f t="shared" si="62"/>
        <v>0</v>
      </c>
      <c r="H108" s="6">
        <f t="shared" si="62"/>
        <v>0</v>
      </c>
      <c r="I108" s="6">
        <f t="shared" si="62"/>
        <v>0</v>
      </c>
      <c r="J108" s="6">
        <f t="shared" si="62"/>
        <v>0</v>
      </c>
      <c r="K108" s="6">
        <f t="shared" si="62"/>
        <v>0</v>
      </c>
      <c r="L108" s="6">
        <f t="shared" si="62"/>
        <v>0</v>
      </c>
      <c r="M108" s="6">
        <f t="shared" si="62"/>
        <v>0</v>
      </c>
      <c r="N108" s="6">
        <f t="shared" si="62"/>
        <v>0</v>
      </c>
      <c r="O108" s="6">
        <f t="shared" si="62"/>
        <v>0</v>
      </c>
      <c r="P108" s="6">
        <f t="shared" si="62"/>
        <v>0</v>
      </c>
      <c r="Q108" s="6">
        <f t="shared" si="62"/>
        <v>0</v>
      </c>
      <c r="R108" s="6">
        <f t="shared" si="62"/>
        <v>0</v>
      </c>
      <c r="S108" s="6">
        <f t="shared" si="62"/>
        <v>0</v>
      </c>
      <c r="T108" s="8"/>
      <c r="U108" s="8"/>
      <c r="V108" s="8"/>
      <c r="W108" s="6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</row>
    <row r="109" spans="1:103" x14ac:dyDescent="0.25">
      <c r="A109" s="14"/>
      <c r="B109" s="13" t="s">
        <v>514</v>
      </c>
      <c r="C109" t="s">
        <v>513</v>
      </c>
      <c r="D109" s="29" t="s">
        <v>22</v>
      </c>
      <c r="E109" s="29" t="s">
        <v>22</v>
      </c>
      <c r="F109" s="35">
        <f t="shared" ref="F109:S109" si="63">IF(SUM($F108:$S108)=0,0,F108/SUM($F108:$S108))</f>
        <v>0</v>
      </c>
      <c r="G109" s="35">
        <f t="shared" si="63"/>
        <v>0</v>
      </c>
      <c r="H109" s="35">
        <f t="shared" si="63"/>
        <v>0</v>
      </c>
      <c r="I109" s="35">
        <f t="shared" si="63"/>
        <v>0</v>
      </c>
      <c r="J109" s="35">
        <f t="shared" si="63"/>
        <v>0</v>
      </c>
      <c r="K109" s="35">
        <f t="shared" si="63"/>
        <v>0</v>
      </c>
      <c r="L109" s="35">
        <f t="shared" si="63"/>
        <v>0</v>
      </c>
      <c r="M109" s="35">
        <f t="shared" si="63"/>
        <v>0</v>
      </c>
      <c r="N109" s="35">
        <f t="shared" si="63"/>
        <v>0</v>
      </c>
      <c r="O109" s="35">
        <f t="shared" si="63"/>
        <v>0</v>
      </c>
      <c r="P109" s="35">
        <f t="shared" si="63"/>
        <v>0</v>
      </c>
      <c r="Q109" s="35">
        <f t="shared" si="63"/>
        <v>0</v>
      </c>
      <c r="R109" s="35">
        <f t="shared" si="63"/>
        <v>0</v>
      </c>
      <c r="S109" s="35">
        <f t="shared" si="63"/>
        <v>0</v>
      </c>
      <c r="T109" s="8"/>
      <c r="U109" s="8"/>
      <c r="V109" s="8"/>
      <c r="W109" s="6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</row>
    <row r="110" spans="1:103" x14ac:dyDescent="0.25">
      <c r="A110" s="14"/>
      <c r="B110" s="13" t="s">
        <v>515</v>
      </c>
      <c r="C110" t="s">
        <v>508</v>
      </c>
      <c r="D110" s="6">
        <f>SUM(F110:S110)</f>
        <v>0</v>
      </c>
      <c r="E110" s="29" t="s">
        <v>22</v>
      </c>
      <c r="F110" s="6">
        <f t="shared" ref="F110:S110" si="64">$D107*F109</f>
        <v>0</v>
      </c>
      <c r="G110" s="6">
        <f t="shared" si="64"/>
        <v>0</v>
      </c>
      <c r="H110" s="6">
        <f t="shared" si="64"/>
        <v>0</v>
      </c>
      <c r="I110" s="6">
        <f t="shared" si="64"/>
        <v>0</v>
      </c>
      <c r="J110" s="6">
        <f t="shared" si="64"/>
        <v>0</v>
      </c>
      <c r="K110" s="6">
        <f t="shared" si="64"/>
        <v>0</v>
      </c>
      <c r="L110" s="6">
        <f t="shared" si="64"/>
        <v>0</v>
      </c>
      <c r="M110" s="6">
        <f t="shared" si="64"/>
        <v>0</v>
      </c>
      <c r="N110" s="6">
        <f t="shared" si="64"/>
        <v>0</v>
      </c>
      <c r="O110" s="6">
        <f t="shared" si="64"/>
        <v>0</v>
      </c>
      <c r="P110" s="6">
        <f t="shared" si="64"/>
        <v>0</v>
      </c>
      <c r="Q110" s="6">
        <f t="shared" si="64"/>
        <v>0</v>
      </c>
      <c r="R110" s="6">
        <f t="shared" si="64"/>
        <v>0</v>
      </c>
      <c r="S110" s="6">
        <f t="shared" si="64"/>
        <v>0</v>
      </c>
      <c r="T110" s="8"/>
      <c r="U110" s="8">
        <v>1</v>
      </c>
      <c r="V110" s="8"/>
      <c r="W110" s="6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</row>
    <row r="111" spans="1:103" x14ac:dyDescent="0.25">
      <c r="A111" s="14"/>
      <c r="B111" s="23">
        <f>IF(D111=0,0,E112/D111)</f>
        <v>0</v>
      </c>
      <c r="C111" t="s">
        <v>509</v>
      </c>
      <c r="D111" s="22">
        <f>SUM(F111:S111)</f>
        <v>0</v>
      </c>
      <c r="E111" s="30" t="s">
        <v>22</v>
      </c>
      <c r="F111" s="22">
        <f t="shared" ref="F111:S111" si="65">$I$4*F110</f>
        <v>0</v>
      </c>
      <c r="G111" s="22">
        <f t="shared" si="65"/>
        <v>0</v>
      </c>
      <c r="H111" s="22">
        <f t="shared" si="65"/>
        <v>0</v>
      </c>
      <c r="I111" s="22">
        <f t="shared" si="65"/>
        <v>0</v>
      </c>
      <c r="J111" s="22">
        <f t="shared" si="65"/>
        <v>0</v>
      </c>
      <c r="K111" s="22">
        <f t="shared" si="65"/>
        <v>0</v>
      </c>
      <c r="L111" s="22">
        <f t="shared" si="65"/>
        <v>0</v>
      </c>
      <c r="M111" s="22">
        <f t="shared" si="65"/>
        <v>0</v>
      </c>
      <c r="N111" s="22">
        <f t="shared" si="65"/>
        <v>0</v>
      </c>
      <c r="O111" s="22">
        <f t="shared" si="65"/>
        <v>0</v>
      </c>
      <c r="P111" s="22">
        <f t="shared" si="65"/>
        <v>0</v>
      </c>
      <c r="Q111" s="22">
        <f t="shared" si="65"/>
        <v>0</v>
      </c>
      <c r="R111" s="22">
        <f t="shared" si="65"/>
        <v>0</v>
      </c>
      <c r="S111" s="22">
        <f t="shared" si="65"/>
        <v>0</v>
      </c>
      <c r="T111" s="8"/>
      <c r="U111" s="8">
        <v>2</v>
      </c>
      <c r="V111" s="8"/>
      <c r="W111" s="6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</row>
    <row r="112" spans="1:103" x14ac:dyDescent="0.25">
      <c r="A112" s="14"/>
      <c r="C112" t="s">
        <v>510</v>
      </c>
      <c r="D112" s="33" t="s">
        <v>22</v>
      </c>
      <c r="E112" s="34">
        <f>SUM(F112:S112)</f>
        <v>0</v>
      </c>
      <c r="F112" s="34">
        <f>$E107*F109</f>
        <v>0</v>
      </c>
      <c r="G112" s="34">
        <f t="shared" ref="G112:S112" si="66">$E107*G109</f>
        <v>0</v>
      </c>
      <c r="H112" s="34">
        <f t="shared" si="66"/>
        <v>0</v>
      </c>
      <c r="I112" s="34">
        <f t="shared" si="66"/>
        <v>0</v>
      </c>
      <c r="J112" s="34">
        <f t="shared" si="66"/>
        <v>0</v>
      </c>
      <c r="K112" s="34">
        <f t="shared" si="66"/>
        <v>0</v>
      </c>
      <c r="L112" s="34">
        <f t="shared" si="66"/>
        <v>0</v>
      </c>
      <c r="M112" s="34">
        <f t="shared" si="66"/>
        <v>0</v>
      </c>
      <c r="N112" s="34">
        <f t="shared" si="66"/>
        <v>0</v>
      </c>
      <c r="O112" s="34">
        <f t="shared" si="66"/>
        <v>0</v>
      </c>
      <c r="P112" s="34">
        <f t="shared" si="66"/>
        <v>0</v>
      </c>
      <c r="Q112" s="34">
        <f t="shared" si="66"/>
        <v>0</v>
      </c>
      <c r="R112" s="34">
        <f t="shared" si="66"/>
        <v>0</v>
      </c>
      <c r="S112" s="34">
        <f t="shared" si="66"/>
        <v>0</v>
      </c>
      <c r="T112" s="8"/>
      <c r="U112" s="8">
        <v>3</v>
      </c>
      <c r="V112" s="8"/>
      <c r="W112" s="6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</row>
    <row r="113" spans="1:103" x14ac:dyDescent="0.25">
      <c r="A113" s="1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8"/>
      <c r="U113" s="8"/>
      <c r="V113" s="8"/>
      <c r="W113" s="6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</row>
    <row r="114" spans="1:103" x14ac:dyDescent="0.25">
      <c r="A114" s="14">
        <v>12</v>
      </c>
      <c r="B114" s="13">
        <f>C20</f>
        <v>0</v>
      </c>
      <c r="C114" s="14" t="s">
        <v>511</v>
      </c>
      <c r="D114" s="6">
        <f t="shared" ref="D114:S114" si="67">D20</f>
        <v>0</v>
      </c>
      <c r="E114" s="6">
        <f t="shared" si="67"/>
        <v>0</v>
      </c>
      <c r="F114" s="6">
        <f t="shared" si="67"/>
        <v>0</v>
      </c>
      <c r="G114" s="6">
        <f t="shared" si="67"/>
        <v>0</v>
      </c>
      <c r="H114" s="6">
        <f t="shared" si="67"/>
        <v>0</v>
      </c>
      <c r="I114" s="6">
        <f t="shared" si="67"/>
        <v>0</v>
      </c>
      <c r="J114" s="6">
        <f t="shared" si="67"/>
        <v>0</v>
      </c>
      <c r="K114" s="6">
        <f t="shared" si="67"/>
        <v>0</v>
      </c>
      <c r="L114" s="6">
        <f t="shared" si="67"/>
        <v>0</v>
      </c>
      <c r="M114" s="6">
        <f t="shared" si="67"/>
        <v>0</v>
      </c>
      <c r="N114" s="6">
        <f t="shared" si="67"/>
        <v>0</v>
      </c>
      <c r="O114" s="6">
        <f t="shared" si="67"/>
        <v>0</v>
      </c>
      <c r="P114" s="6">
        <f t="shared" si="67"/>
        <v>0</v>
      </c>
      <c r="Q114" s="6">
        <f t="shared" si="67"/>
        <v>0</v>
      </c>
      <c r="R114" s="6">
        <f t="shared" si="67"/>
        <v>0</v>
      </c>
      <c r="S114" s="6">
        <f t="shared" si="67"/>
        <v>0</v>
      </c>
      <c r="T114" s="8"/>
      <c r="U114" s="8"/>
      <c r="V114" s="8"/>
      <c r="W114" s="6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</row>
    <row r="115" spans="1:103" x14ac:dyDescent="0.25">
      <c r="A115" s="14"/>
      <c r="C115" t="s">
        <v>512</v>
      </c>
      <c r="D115" s="29" t="s">
        <v>22</v>
      </c>
      <c r="E115" s="29" t="s">
        <v>22</v>
      </c>
      <c r="F115" s="6">
        <f t="shared" ref="F115:S115" si="68">IF(F114&lt;$D$4*SUM($F114:$S114),0,F114)</f>
        <v>0</v>
      </c>
      <c r="G115" s="6">
        <f t="shared" si="68"/>
        <v>0</v>
      </c>
      <c r="H115" s="6">
        <f t="shared" si="68"/>
        <v>0</v>
      </c>
      <c r="I115" s="6">
        <f t="shared" si="68"/>
        <v>0</v>
      </c>
      <c r="J115" s="6">
        <f t="shared" si="68"/>
        <v>0</v>
      </c>
      <c r="K115" s="6">
        <f t="shared" si="68"/>
        <v>0</v>
      </c>
      <c r="L115" s="6">
        <f t="shared" si="68"/>
        <v>0</v>
      </c>
      <c r="M115" s="6">
        <f t="shared" si="68"/>
        <v>0</v>
      </c>
      <c r="N115" s="6">
        <f t="shared" si="68"/>
        <v>0</v>
      </c>
      <c r="O115" s="6">
        <f t="shared" si="68"/>
        <v>0</v>
      </c>
      <c r="P115" s="6">
        <f t="shared" si="68"/>
        <v>0</v>
      </c>
      <c r="Q115" s="6">
        <f t="shared" si="68"/>
        <v>0</v>
      </c>
      <c r="R115" s="6">
        <f t="shared" si="68"/>
        <v>0</v>
      </c>
      <c r="S115" s="6">
        <f t="shared" si="68"/>
        <v>0</v>
      </c>
      <c r="T115" s="8"/>
      <c r="U115" s="8"/>
      <c r="V115" s="8"/>
      <c r="W115" s="6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</row>
    <row r="116" spans="1:103" x14ac:dyDescent="0.25">
      <c r="A116" s="14"/>
      <c r="B116" s="13" t="s">
        <v>514</v>
      </c>
      <c r="C116" t="s">
        <v>513</v>
      </c>
      <c r="D116" s="29" t="s">
        <v>22</v>
      </c>
      <c r="E116" s="29" t="s">
        <v>22</v>
      </c>
      <c r="F116" s="35">
        <f t="shared" ref="F116:S116" si="69">IF(SUM($F115:$S115)=0,0,F115/SUM($F115:$S115))</f>
        <v>0</v>
      </c>
      <c r="G116" s="35">
        <f t="shared" si="69"/>
        <v>0</v>
      </c>
      <c r="H116" s="35">
        <f t="shared" si="69"/>
        <v>0</v>
      </c>
      <c r="I116" s="35">
        <f t="shared" si="69"/>
        <v>0</v>
      </c>
      <c r="J116" s="35">
        <f t="shared" si="69"/>
        <v>0</v>
      </c>
      <c r="K116" s="35">
        <f t="shared" si="69"/>
        <v>0</v>
      </c>
      <c r="L116" s="35">
        <f t="shared" si="69"/>
        <v>0</v>
      </c>
      <c r="M116" s="35">
        <f t="shared" si="69"/>
        <v>0</v>
      </c>
      <c r="N116" s="35">
        <f t="shared" si="69"/>
        <v>0</v>
      </c>
      <c r="O116" s="35">
        <f t="shared" si="69"/>
        <v>0</v>
      </c>
      <c r="P116" s="35">
        <f t="shared" si="69"/>
        <v>0</v>
      </c>
      <c r="Q116" s="35">
        <f t="shared" si="69"/>
        <v>0</v>
      </c>
      <c r="R116" s="35">
        <f t="shared" si="69"/>
        <v>0</v>
      </c>
      <c r="S116" s="35">
        <f t="shared" si="69"/>
        <v>0</v>
      </c>
      <c r="T116" s="8"/>
      <c r="U116" s="8"/>
      <c r="V116" s="8"/>
      <c r="W116" s="6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</row>
    <row r="117" spans="1:103" x14ac:dyDescent="0.25">
      <c r="A117" s="14"/>
      <c r="B117" s="13" t="s">
        <v>515</v>
      </c>
      <c r="C117" t="s">
        <v>508</v>
      </c>
      <c r="D117" s="6">
        <f>SUM(F117:S117)</f>
        <v>0</v>
      </c>
      <c r="E117" s="29" t="s">
        <v>22</v>
      </c>
      <c r="F117" s="6">
        <f t="shared" ref="F117:S117" si="70">$D114*F116</f>
        <v>0</v>
      </c>
      <c r="G117" s="6">
        <f t="shared" si="70"/>
        <v>0</v>
      </c>
      <c r="H117" s="6">
        <f t="shared" si="70"/>
        <v>0</v>
      </c>
      <c r="I117" s="6">
        <f t="shared" si="70"/>
        <v>0</v>
      </c>
      <c r="J117" s="6">
        <f t="shared" si="70"/>
        <v>0</v>
      </c>
      <c r="K117" s="6">
        <f t="shared" si="70"/>
        <v>0</v>
      </c>
      <c r="L117" s="6">
        <f t="shared" si="70"/>
        <v>0</v>
      </c>
      <c r="M117" s="6">
        <f t="shared" si="70"/>
        <v>0</v>
      </c>
      <c r="N117" s="6">
        <f t="shared" si="70"/>
        <v>0</v>
      </c>
      <c r="O117" s="6">
        <f t="shared" si="70"/>
        <v>0</v>
      </c>
      <c r="P117" s="6">
        <f t="shared" si="70"/>
        <v>0</v>
      </c>
      <c r="Q117" s="6">
        <f t="shared" si="70"/>
        <v>0</v>
      </c>
      <c r="R117" s="6">
        <f t="shared" si="70"/>
        <v>0</v>
      </c>
      <c r="S117" s="6">
        <f t="shared" si="70"/>
        <v>0</v>
      </c>
      <c r="T117" s="8"/>
      <c r="U117" s="8">
        <v>1</v>
      </c>
      <c r="V117" s="8"/>
      <c r="W117" s="6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</row>
    <row r="118" spans="1:103" x14ac:dyDescent="0.25">
      <c r="A118" s="14"/>
      <c r="B118" s="23">
        <f>IF(D118=0,0,E119/D118)</f>
        <v>0</v>
      </c>
      <c r="C118" t="s">
        <v>509</v>
      </c>
      <c r="D118" s="22">
        <f>SUM(F118:S118)</f>
        <v>0</v>
      </c>
      <c r="E118" s="30" t="s">
        <v>22</v>
      </c>
      <c r="F118" s="22">
        <f t="shared" ref="F118:S118" si="71">$I$4*F117</f>
        <v>0</v>
      </c>
      <c r="G118" s="22">
        <f t="shared" si="71"/>
        <v>0</v>
      </c>
      <c r="H118" s="22">
        <f t="shared" si="71"/>
        <v>0</v>
      </c>
      <c r="I118" s="22">
        <f t="shared" si="71"/>
        <v>0</v>
      </c>
      <c r="J118" s="22">
        <f t="shared" si="71"/>
        <v>0</v>
      </c>
      <c r="K118" s="22">
        <f t="shared" si="71"/>
        <v>0</v>
      </c>
      <c r="L118" s="22">
        <f t="shared" si="71"/>
        <v>0</v>
      </c>
      <c r="M118" s="22">
        <f t="shared" si="71"/>
        <v>0</v>
      </c>
      <c r="N118" s="22">
        <f t="shared" si="71"/>
        <v>0</v>
      </c>
      <c r="O118" s="22">
        <f t="shared" si="71"/>
        <v>0</v>
      </c>
      <c r="P118" s="22">
        <f t="shared" si="71"/>
        <v>0</v>
      </c>
      <c r="Q118" s="22">
        <f t="shared" si="71"/>
        <v>0</v>
      </c>
      <c r="R118" s="22">
        <f t="shared" si="71"/>
        <v>0</v>
      </c>
      <c r="S118" s="22">
        <f t="shared" si="71"/>
        <v>0</v>
      </c>
      <c r="T118" s="8"/>
      <c r="U118" s="8">
        <v>2</v>
      </c>
      <c r="V118" s="8"/>
      <c r="W118" s="6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</row>
    <row r="119" spans="1:103" x14ac:dyDescent="0.25">
      <c r="A119" s="14"/>
      <c r="C119" t="s">
        <v>510</v>
      </c>
      <c r="D119" s="33" t="s">
        <v>22</v>
      </c>
      <c r="E119" s="34">
        <f>SUM(F119:S119)</f>
        <v>0</v>
      </c>
      <c r="F119" s="34">
        <f>$E114*F116</f>
        <v>0</v>
      </c>
      <c r="G119" s="34">
        <f t="shared" ref="G119:S119" si="72">$E114*G116</f>
        <v>0</v>
      </c>
      <c r="H119" s="34">
        <f t="shared" si="72"/>
        <v>0</v>
      </c>
      <c r="I119" s="34">
        <f t="shared" si="72"/>
        <v>0</v>
      </c>
      <c r="J119" s="34">
        <f t="shared" si="72"/>
        <v>0</v>
      </c>
      <c r="K119" s="34">
        <f t="shared" si="72"/>
        <v>0</v>
      </c>
      <c r="L119" s="34">
        <f t="shared" si="72"/>
        <v>0</v>
      </c>
      <c r="M119" s="34">
        <f t="shared" si="72"/>
        <v>0</v>
      </c>
      <c r="N119" s="34">
        <f t="shared" si="72"/>
        <v>0</v>
      </c>
      <c r="O119" s="34">
        <f t="shared" si="72"/>
        <v>0</v>
      </c>
      <c r="P119" s="34">
        <f t="shared" si="72"/>
        <v>0</v>
      </c>
      <c r="Q119" s="34">
        <f t="shared" si="72"/>
        <v>0</v>
      </c>
      <c r="R119" s="34">
        <f t="shared" si="72"/>
        <v>0</v>
      </c>
      <c r="S119" s="34">
        <f t="shared" si="72"/>
        <v>0</v>
      </c>
      <c r="T119" s="8"/>
      <c r="U119" s="8">
        <v>3</v>
      </c>
      <c r="V119" s="8"/>
      <c r="W119" s="6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</row>
    <row r="120" spans="1:103" x14ac:dyDescent="0.25">
      <c r="A120" s="1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/>
      <c r="U120" s="8"/>
      <c r="V120" s="8"/>
      <c r="W120" s="6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</row>
    <row r="121" spans="1:103" x14ac:dyDescent="0.25">
      <c r="A121" s="14">
        <v>13</v>
      </c>
      <c r="B121" s="13">
        <f>C21</f>
        <v>0</v>
      </c>
      <c r="C121" s="14" t="s">
        <v>511</v>
      </c>
      <c r="D121" s="6">
        <f t="shared" ref="D121:S121" si="73">D21</f>
        <v>0</v>
      </c>
      <c r="E121" s="6">
        <f t="shared" si="73"/>
        <v>0</v>
      </c>
      <c r="F121" s="6">
        <f t="shared" si="73"/>
        <v>0</v>
      </c>
      <c r="G121" s="6">
        <f t="shared" si="73"/>
        <v>0</v>
      </c>
      <c r="H121" s="6">
        <f t="shared" si="73"/>
        <v>0</v>
      </c>
      <c r="I121" s="6">
        <f t="shared" si="73"/>
        <v>0</v>
      </c>
      <c r="J121" s="6">
        <f t="shared" si="73"/>
        <v>0</v>
      </c>
      <c r="K121" s="6">
        <f t="shared" si="73"/>
        <v>0</v>
      </c>
      <c r="L121" s="6">
        <f t="shared" si="73"/>
        <v>0</v>
      </c>
      <c r="M121" s="6">
        <f t="shared" si="73"/>
        <v>0</v>
      </c>
      <c r="N121" s="6">
        <f t="shared" si="73"/>
        <v>0</v>
      </c>
      <c r="O121" s="6">
        <f t="shared" si="73"/>
        <v>0</v>
      </c>
      <c r="P121" s="6">
        <f t="shared" si="73"/>
        <v>0</v>
      </c>
      <c r="Q121" s="6">
        <f t="shared" si="73"/>
        <v>0</v>
      </c>
      <c r="R121" s="6">
        <f t="shared" si="73"/>
        <v>0</v>
      </c>
      <c r="S121" s="6">
        <f t="shared" si="73"/>
        <v>0</v>
      </c>
      <c r="T121" s="8"/>
      <c r="U121" s="8"/>
      <c r="V121" s="8"/>
      <c r="W121" s="6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</row>
    <row r="122" spans="1:103" x14ac:dyDescent="0.25">
      <c r="A122" s="14"/>
      <c r="C122" t="s">
        <v>512</v>
      </c>
      <c r="D122" s="29" t="s">
        <v>22</v>
      </c>
      <c r="E122" s="29" t="s">
        <v>22</v>
      </c>
      <c r="F122" s="6">
        <f t="shared" ref="F122:S122" si="74">IF(F121&lt;$D$4*SUM($F121:$S121),0,F121)</f>
        <v>0</v>
      </c>
      <c r="G122" s="6">
        <f t="shared" si="74"/>
        <v>0</v>
      </c>
      <c r="H122" s="6">
        <f t="shared" si="74"/>
        <v>0</v>
      </c>
      <c r="I122" s="6">
        <f t="shared" si="74"/>
        <v>0</v>
      </c>
      <c r="J122" s="6">
        <f t="shared" si="74"/>
        <v>0</v>
      </c>
      <c r="K122" s="6">
        <f t="shared" si="74"/>
        <v>0</v>
      </c>
      <c r="L122" s="6">
        <f t="shared" si="74"/>
        <v>0</v>
      </c>
      <c r="M122" s="6">
        <f t="shared" si="74"/>
        <v>0</v>
      </c>
      <c r="N122" s="6">
        <f t="shared" si="74"/>
        <v>0</v>
      </c>
      <c r="O122" s="6">
        <f t="shared" si="74"/>
        <v>0</v>
      </c>
      <c r="P122" s="6">
        <f t="shared" si="74"/>
        <v>0</v>
      </c>
      <c r="Q122" s="6">
        <f t="shared" si="74"/>
        <v>0</v>
      </c>
      <c r="R122" s="6">
        <f t="shared" si="74"/>
        <v>0</v>
      </c>
      <c r="S122" s="6">
        <f t="shared" si="74"/>
        <v>0</v>
      </c>
      <c r="T122" s="8"/>
      <c r="U122" s="8"/>
      <c r="V122" s="8"/>
      <c r="W122" s="6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</row>
    <row r="123" spans="1:103" x14ac:dyDescent="0.25">
      <c r="A123" s="14"/>
      <c r="B123" s="13" t="s">
        <v>514</v>
      </c>
      <c r="C123" t="s">
        <v>513</v>
      </c>
      <c r="D123" s="29" t="s">
        <v>22</v>
      </c>
      <c r="E123" s="29" t="s">
        <v>22</v>
      </c>
      <c r="F123" s="35">
        <f t="shared" ref="F123:S123" si="75">IF(SUM($F122:$S122)=0,0,F122/SUM($F122:$S122))</f>
        <v>0</v>
      </c>
      <c r="G123" s="35">
        <f t="shared" si="75"/>
        <v>0</v>
      </c>
      <c r="H123" s="35">
        <f t="shared" si="75"/>
        <v>0</v>
      </c>
      <c r="I123" s="35">
        <f t="shared" si="75"/>
        <v>0</v>
      </c>
      <c r="J123" s="35">
        <f t="shared" si="75"/>
        <v>0</v>
      </c>
      <c r="K123" s="35">
        <f t="shared" si="75"/>
        <v>0</v>
      </c>
      <c r="L123" s="35">
        <f t="shared" si="75"/>
        <v>0</v>
      </c>
      <c r="M123" s="35">
        <f t="shared" si="75"/>
        <v>0</v>
      </c>
      <c r="N123" s="35">
        <f t="shared" si="75"/>
        <v>0</v>
      </c>
      <c r="O123" s="35">
        <f t="shared" si="75"/>
        <v>0</v>
      </c>
      <c r="P123" s="35">
        <f t="shared" si="75"/>
        <v>0</v>
      </c>
      <c r="Q123" s="35">
        <f t="shared" si="75"/>
        <v>0</v>
      </c>
      <c r="R123" s="35">
        <f t="shared" si="75"/>
        <v>0</v>
      </c>
      <c r="S123" s="35">
        <f t="shared" si="75"/>
        <v>0</v>
      </c>
      <c r="T123" s="8"/>
      <c r="U123" s="8"/>
      <c r="V123" s="8"/>
      <c r="W123" s="6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</row>
    <row r="124" spans="1:103" x14ac:dyDescent="0.25">
      <c r="A124" s="14"/>
      <c r="B124" s="13" t="s">
        <v>515</v>
      </c>
      <c r="C124" t="s">
        <v>508</v>
      </c>
      <c r="D124" s="6">
        <f>SUM(F124:S124)</f>
        <v>0</v>
      </c>
      <c r="E124" s="29" t="s">
        <v>22</v>
      </c>
      <c r="F124" s="6">
        <f t="shared" ref="F124:S124" si="76">$D121*F123</f>
        <v>0</v>
      </c>
      <c r="G124" s="6">
        <f t="shared" si="76"/>
        <v>0</v>
      </c>
      <c r="H124" s="6">
        <f t="shared" si="76"/>
        <v>0</v>
      </c>
      <c r="I124" s="6">
        <f t="shared" si="76"/>
        <v>0</v>
      </c>
      <c r="J124" s="6">
        <f t="shared" si="76"/>
        <v>0</v>
      </c>
      <c r="K124" s="6">
        <f t="shared" si="76"/>
        <v>0</v>
      </c>
      <c r="L124" s="6">
        <f t="shared" si="76"/>
        <v>0</v>
      </c>
      <c r="M124" s="6">
        <f t="shared" si="76"/>
        <v>0</v>
      </c>
      <c r="N124" s="6">
        <f t="shared" si="76"/>
        <v>0</v>
      </c>
      <c r="O124" s="6">
        <f t="shared" si="76"/>
        <v>0</v>
      </c>
      <c r="P124" s="6">
        <f t="shared" si="76"/>
        <v>0</v>
      </c>
      <c r="Q124" s="6">
        <f t="shared" si="76"/>
        <v>0</v>
      </c>
      <c r="R124" s="6">
        <f t="shared" si="76"/>
        <v>0</v>
      </c>
      <c r="S124" s="6">
        <f t="shared" si="76"/>
        <v>0</v>
      </c>
      <c r="T124" s="8"/>
      <c r="U124" s="8">
        <v>1</v>
      </c>
      <c r="V124" s="8"/>
      <c r="W124" s="6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</row>
    <row r="125" spans="1:103" x14ac:dyDescent="0.25">
      <c r="A125" s="14"/>
      <c r="B125" s="23">
        <f>IF(D125=0,0,E126/D125)</f>
        <v>0</v>
      </c>
      <c r="C125" t="s">
        <v>509</v>
      </c>
      <c r="D125" s="22">
        <f>SUM(F125:S125)</f>
        <v>0</v>
      </c>
      <c r="E125" s="30" t="s">
        <v>22</v>
      </c>
      <c r="F125" s="22">
        <f t="shared" ref="F125:S125" si="77">$I$4*F124</f>
        <v>0</v>
      </c>
      <c r="G125" s="22">
        <f t="shared" si="77"/>
        <v>0</v>
      </c>
      <c r="H125" s="22">
        <f t="shared" si="77"/>
        <v>0</v>
      </c>
      <c r="I125" s="22">
        <f t="shared" si="77"/>
        <v>0</v>
      </c>
      <c r="J125" s="22">
        <f t="shared" si="77"/>
        <v>0</v>
      </c>
      <c r="K125" s="22">
        <f t="shared" si="77"/>
        <v>0</v>
      </c>
      <c r="L125" s="22">
        <f t="shared" si="77"/>
        <v>0</v>
      </c>
      <c r="M125" s="22">
        <f t="shared" si="77"/>
        <v>0</v>
      </c>
      <c r="N125" s="22">
        <f t="shared" si="77"/>
        <v>0</v>
      </c>
      <c r="O125" s="22">
        <f t="shared" si="77"/>
        <v>0</v>
      </c>
      <c r="P125" s="22">
        <f t="shared" si="77"/>
        <v>0</v>
      </c>
      <c r="Q125" s="22">
        <f t="shared" si="77"/>
        <v>0</v>
      </c>
      <c r="R125" s="22">
        <f t="shared" si="77"/>
        <v>0</v>
      </c>
      <c r="S125" s="22">
        <f t="shared" si="77"/>
        <v>0</v>
      </c>
      <c r="T125" s="8"/>
      <c r="U125" s="8">
        <v>2</v>
      </c>
      <c r="V125" s="8"/>
      <c r="W125" s="6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</row>
    <row r="126" spans="1:103" x14ac:dyDescent="0.25">
      <c r="A126" s="14"/>
      <c r="C126" t="s">
        <v>510</v>
      </c>
      <c r="D126" s="33" t="s">
        <v>22</v>
      </c>
      <c r="E126" s="34">
        <f>SUM(F126:S126)</f>
        <v>0</v>
      </c>
      <c r="F126" s="34">
        <f>$E121*F123</f>
        <v>0</v>
      </c>
      <c r="G126" s="34">
        <f t="shared" ref="G126:S126" si="78">$E121*G123</f>
        <v>0</v>
      </c>
      <c r="H126" s="34">
        <f t="shared" si="78"/>
        <v>0</v>
      </c>
      <c r="I126" s="34">
        <f t="shared" si="78"/>
        <v>0</v>
      </c>
      <c r="J126" s="34">
        <f t="shared" si="78"/>
        <v>0</v>
      </c>
      <c r="K126" s="34">
        <f t="shared" si="78"/>
        <v>0</v>
      </c>
      <c r="L126" s="34">
        <f t="shared" si="78"/>
        <v>0</v>
      </c>
      <c r="M126" s="34">
        <f t="shared" si="78"/>
        <v>0</v>
      </c>
      <c r="N126" s="34">
        <f t="shared" si="78"/>
        <v>0</v>
      </c>
      <c r="O126" s="34">
        <f t="shared" si="78"/>
        <v>0</v>
      </c>
      <c r="P126" s="34">
        <f t="shared" si="78"/>
        <v>0</v>
      </c>
      <c r="Q126" s="34">
        <f t="shared" si="78"/>
        <v>0</v>
      </c>
      <c r="R126" s="34">
        <f t="shared" si="78"/>
        <v>0</v>
      </c>
      <c r="S126" s="34">
        <f t="shared" si="78"/>
        <v>0</v>
      </c>
      <c r="T126" s="8"/>
      <c r="U126" s="8">
        <v>3</v>
      </c>
      <c r="V126" s="8"/>
      <c r="W126" s="6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</row>
    <row r="127" spans="1:103" x14ac:dyDescent="0.25">
      <c r="A127" s="14"/>
      <c r="C127" s="1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/>
      <c r="U127" s="8"/>
      <c r="V127" s="8"/>
      <c r="W127" s="6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</row>
    <row r="128" spans="1:103" x14ac:dyDescent="0.25">
      <c r="A128" s="14">
        <v>14</v>
      </c>
      <c r="B128" s="13">
        <f>C22</f>
        <v>0</v>
      </c>
      <c r="C128" s="14" t="s">
        <v>511</v>
      </c>
      <c r="D128" s="6">
        <f t="shared" ref="D128:S128" si="79">D22</f>
        <v>0</v>
      </c>
      <c r="E128" s="6">
        <f t="shared" si="79"/>
        <v>0</v>
      </c>
      <c r="F128" s="6">
        <f t="shared" si="79"/>
        <v>0</v>
      </c>
      <c r="G128" s="6">
        <f t="shared" si="79"/>
        <v>0</v>
      </c>
      <c r="H128" s="6">
        <f t="shared" si="79"/>
        <v>0</v>
      </c>
      <c r="I128" s="6">
        <f t="shared" si="79"/>
        <v>0</v>
      </c>
      <c r="J128" s="6">
        <f t="shared" si="79"/>
        <v>0</v>
      </c>
      <c r="K128" s="6">
        <f t="shared" si="79"/>
        <v>0</v>
      </c>
      <c r="L128" s="6">
        <f t="shared" si="79"/>
        <v>0</v>
      </c>
      <c r="M128" s="6">
        <f t="shared" si="79"/>
        <v>0</v>
      </c>
      <c r="N128" s="6">
        <f t="shared" si="79"/>
        <v>0</v>
      </c>
      <c r="O128" s="6">
        <f t="shared" si="79"/>
        <v>0</v>
      </c>
      <c r="P128" s="6">
        <f t="shared" si="79"/>
        <v>0</v>
      </c>
      <c r="Q128" s="6">
        <f t="shared" si="79"/>
        <v>0</v>
      </c>
      <c r="R128" s="6">
        <f t="shared" si="79"/>
        <v>0</v>
      </c>
      <c r="S128" s="6">
        <f t="shared" si="79"/>
        <v>0</v>
      </c>
      <c r="T128" s="8"/>
      <c r="U128" s="8"/>
      <c r="V128" s="8"/>
      <c r="W128" s="6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</row>
    <row r="129" spans="1:103" x14ac:dyDescent="0.25">
      <c r="A129" s="14"/>
      <c r="C129" t="s">
        <v>512</v>
      </c>
      <c r="D129" s="29" t="s">
        <v>22</v>
      </c>
      <c r="E129" s="29" t="s">
        <v>22</v>
      </c>
      <c r="F129" s="6">
        <f t="shared" ref="F129:S129" si="80">IF(F128&lt;$D$4*SUM($F128:$S128),0,F128)</f>
        <v>0</v>
      </c>
      <c r="G129" s="6">
        <f t="shared" si="80"/>
        <v>0</v>
      </c>
      <c r="H129" s="6">
        <f t="shared" si="80"/>
        <v>0</v>
      </c>
      <c r="I129" s="6">
        <f t="shared" si="80"/>
        <v>0</v>
      </c>
      <c r="J129" s="6">
        <f t="shared" si="80"/>
        <v>0</v>
      </c>
      <c r="K129" s="6">
        <f t="shared" si="80"/>
        <v>0</v>
      </c>
      <c r="L129" s="6">
        <f t="shared" si="80"/>
        <v>0</v>
      </c>
      <c r="M129" s="6">
        <f t="shared" si="80"/>
        <v>0</v>
      </c>
      <c r="N129" s="6">
        <f t="shared" si="80"/>
        <v>0</v>
      </c>
      <c r="O129" s="6">
        <f t="shared" si="80"/>
        <v>0</v>
      </c>
      <c r="P129" s="6">
        <f t="shared" si="80"/>
        <v>0</v>
      </c>
      <c r="Q129" s="6">
        <f t="shared" si="80"/>
        <v>0</v>
      </c>
      <c r="R129" s="6">
        <f t="shared" si="80"/>
        <v>0</v>
      </c>
      <c r="S129" s="6">
        <f t="shared" si="80"/>
        <v>0</v>
      </c>
      <c r="T129" s="8"/>
      <c r="U129" s="8"/>
      <c r="V129" s="8"/>
      <c r="W129" s="6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</row>
    <row r="130" spans="1:103" x14ac:dyDescent="0.25">
      <c r="A130" s="14"/>
      <c r="B130" s="13" t="s">
        <v>514</v>
      </c>
      <c r="C130" t="s">
        <v>513</v>
      </c>
      <c r="D130" s="29" t="s">
        <v>22</v>
      </c>
      <c r="E130" s="29" t="s">
        <v>22</v>
      </c>
      <c r="F130" s="35">
        <f t="shared" ref="F130:S130" si="81">IF(SUM($F129:$S129)=0,0,F129/SUM($F129:$S129))</f>
        <v>0</v>
      </c>
      <c r="G130" s="35">
        <f t="shared" si="81"/>
        <v>0</v>
      </c>
      <c r="H130" s="35">
        <f t="shared" si="81"/>
        <v>0</v>
      </c>
      <c r="I130" s="35">
        <f t="shared" si="81"/>
        <v>0</v>
      </c>
      <c r="J130" s="35">
        <f t="shared" si="81"/>
        <v>0</v>
      </c>
      <c r="K130" s="35">
        <f t="shared" si="81"/>
        <v>0</v>
      </c>
      <c r="L130" s="35">
        <f t="shared" si="81"/>
        <v>0</v>
      </c>
      <c r="M130" s="35">
        <f t="shared" si="81"/>
        <v>0</v>
      </c>
      <c r="N130" s="35">
        <f t="shared" si="81"/>
        <v>0</v>
      </c>
      <c r="O130" s="35">
        <f t="shared" si="81"/>
        <v>0</v>
      </c>
      <c r="P130" s="35">
        <f t="shared" si="81"/>
        <v>0</v>
      </c>
      <c r="Q130" s="35">
        <f t="shared" si="81"/>
        <v>0</v>
      </c>
      <c r="R130" s="35">
        <f t="shared" si="81"/>
        <v>0</v>
      </c>
      <c r="S130" s="35">
        <f t="shared" si="81"/>
        <v>0</v>
      </c>
      <c r="T130" s="8"/>
      <c r="U130" s="8"/>
      <c r="V130" s="8"/>
      <c r="W130" s="6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</row>
    <row r="131" spans="1:103" x14ac:dyDescent="0.25">
      <c r="A131" s="14"/>
      <c r="B131" s="13" t="s">
        <v>515</v>
      </c>
      <c r="C131" t="s">
        <v>508</v>
      </c>
      <c r="D131" s="6">
        <f>SUM(F131:S131)</f>
        <v>0</v>
      </c>
      <c r="E131" s="29" t="s">
        <v>22</v>
      </c>
      <c r="F131" s="6">
        <f t="shared" ref="F131:S131" si="82">$D128*F130</f>
        <v>0</v>
      </c>
      <c r="G131" s="6">
        <f t="shared" si="82"/>
        <v>0</v>
      </c>
      <c r="H131" s="6">
        <f t="shared" si="82"/>
        <v>0</v>
      </c>
      <c r="I131" s="6">
        <f t="shared" si="82"/>
        <v>0</v>
      </c>
      <c r="J131" s="6">
        <f t="shared" si="82"/>
        <v>0</v>
      </c>
      <c r="K131" s="6">
        <f t="shared" si="82"/>
        <v>0</v>
      </c>
      <c r="L131" s="6">
        <f t="shared" si="82"/>
        <v>0</v>
      </c>
      <c r="M131" s="6">
        <f t="shared" si="82"/>
        <v>0</v>
      </c>
      <c r="N131" s="6">
        <f t="shared" si="82"/>
        <v>0</v>
      </c>
      <c r="O131" s="6">
        <f t="shared" si="82"/>
        <v>0</v>
      </c>
      <c r="P131" s="6">
        <f t="shared" si="82"/>
        <v>0</v>
      </c>
      <c r="Q131" s="6">
        <f t="shared" si="82"/>
        <v>0</v>
      </c>
      <c r="R131" s="6">
        <f t="shared" si="82"/>
        <v>0</v>
      </c>
      <c r="S131" s="6">
        <f t="shared" si="82"/>
        <v>0</v>
      </c>
      <c r="T131" s="8"/>
      <c r="U131" s="8">
        <v>1</v>
      </c>
      <c r="V131" s="8"/>
      <c r="W131" s="6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</row>
    <row r="132" spans="1:103" x14ac:dyDescent="0.25">
      <c r="A132" s="14"/>
      <c r="B132" s="23">
        <f>IF(D132=0,0,E133/D132)</f>
        <v>0</v>
      </c>
      <c r="C132" t="s">
        <v>509</v>
      </c>
      <c r="D132" s="22">
        <f>SUM(F132:S132)</f>
        <v>0</v>
      </c>
      <c r="E132" s="30" t="s">
        <v>22</v>
      </c>
      <c r="F132" s="22">
        <f t="shared" ref="F132:S132" si="83">$I$4*F131</f>
        <v>0</v>
      </c>
      <c r="G132" s="22">
        <f t="shared" si="83"/>
        <v>0</v>
      </c>
      <c r="H132" s="22">
        <f t="shared" si="83"/>
        <v>0</v>
      </c>
      <c r="I132" s="22">
        <f t="shared" si="83"/>
        <v>0</v>
      </c>
      <c r="J132" s="22">
        <f t="shared" si="83"/>
        <v>0</v>
      </c>
      <c r="K132" s="22">
        <f t="shared" si="83"/>
        <v>0</v>
      </c>
      <c r="L132" s="22">
        <f t="shared" si="83"/>
        <v>0</v>
      </c>
      <c r="M132" s="22">
        <f t="shared" si="83"/>
        <v>0</v>
      </c>
      <c r="N132" s="22">
        <f t="shared" si="83"/>
        <v>0</v>
      </c>
      <c r="O132" s="22">
        <f t="shared" si="83"/>
        <v>0</v>
      </c>
      <c r="P132" s="22">
        <f t="shared" si="83"/>
        <v>0</v>
      </c>
      <c r="Q132" s="22">
        <f t="shared" si="83"/>
        <v>0</v>
      </c>
      <c r="R132" s="22">
        <f t="shared" si="83"/>
        <v>0</v>
      </c>
      <c r="S132" s="22">
        <f t="shared" si="83"/>
        <v>0</v>
      </c>
      <c r="T132" s="8"/>
      <c r="U132" s="8">
        <v>2</v>
      </c>
      <c r="V132" s="8"/>
      <c r="W132" s="6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</row>
    <row r="133" spans="1:103" x14ac:dyDescent="0.25">
      <c r="A133" s="14"/>
      <c r="C133" t="s">
        <v>510</v>
      </c>
      <c r="D133" s="33" t="s">
        <v>22</v>
      </c>
      <c r="E133" s="34">
        <f>SUM(F133:S133)</f>
        <v>0</v>
      </c>
      <c r="F133" s="34">
        <f>$E128*F130</f>
        <v>0</v>
      </c>
      <c r="G133" s="34">
        <f t="shared" ref="G133:S133" si="84">$E128*G130</f>
        <v>0</v>
      </c>
      <c r="H133" s="34">
        <f t="shared" si="84"/>
        <v>0</v>
      </c>
      <c r="I133" s="34">
        <f t="shared" si="84"/>
        <v>0</v>
      </c>
      <c r="J133" s="34">
        <f t="shared" si="84"/>
        <v>0</v>
      </c>
      <c r="K133" s="34">
        <f t="shared" si="84"/>
        <v>0</v>
      </c>
      <c r="L133" s="34">
        <f t="shared" si="84"/>
        <v>0</v>
      </c>
      <c r="M133" s="34">
        <f t="shared" si="84"/>
        <v>0</v>
      </c>
      <c r="N133" s="34">
        <f t="shared" si="84"/>
        <v>0</v>
      </c>
      <c r="O133" s="34">
        <f t="shared" si="84"/>
        <v>0</v>
      </c>
      <c r="P133" s="34">
        <f t="shared" si="84"/>
        <v>0</v>
      </c>
      <c r="Q133" s="34">
        <f t="shared" si="84"/>
        <v>0</v>
      </c>
      <c r="R133" s="34">
        <f t="shared" si="84"/>
        <v>0</v>
      </c>
      <c r="S133" s="34">
        <f t="shared" si="84"/>
        <v>0</v>
      </c>
      <c r="T133" s="8"/>
      <c r="U133" s="8">
        <v>3</v>
      </c>
      <c r="V133" s="8"/>
      <c r="W133" s="6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</row>
    <row r="134" spans="1:103" x14ac:dyDescent="0.25">
      <c r="A134" s="14"/>
      <c r="C134" s="1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8"/>
      <c r="U134" s="8"/>
      <c r="V134" s="8"/>
      <c r="W134" s="6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</row>
    <row r="135" spans="1:103" x14ac:dyDescent="0.25">
      <c r="A135" s="14">
        <v>15</v>
      </c>
      <c r="B135" s="13">
        <f>C23</f>
        <v>0</v>
      </c>
      <c r="C135" s="14" t="s">
        <v>511</v>
      </c>
      <c r="D135" s="6">
        <f t="shared" ref="D135:S135" si="85">D23</f>
        <v>0</v>
      </c>
      <c r="E135" s="6">
        <f t="shared" si="85"/>
        <v>0</v>
      </c>
      <c r="F135" s="6">
        <f t="shared" si="85"/>
        <v>0</v>
      </c>
      <c r="G135" s="6">
        <f t="shared" si="85"/>
        <v>0</v>
      </c>
      <c r="H135" s="6">
        <f t="shared" si="85"/>
        <v>0</v>
      </c>
      <c r="I135" s="6">
        <f t="shared" si="85"/>
        <v>0</v>
      </c>
      <c r="J135" s="6">
        <f t="shared" si="85"/>
        <v>0</v>
      </c>
      <c r="K135" s="6">
        <f t="shared" si="85"/>
        <v>0</v>
      </c>
      <c r="L135" s="6">
        <f t="shared" si="85"/>
        <v>0</v>
      </c>
      <c r="M135" s="6">
        <f t="shared" si="85"/>
        <v>0</v>
      </c>
      <c r="N135" s="6">
        <f t="shared" si="85"/>
        <v>0</v>
      </c>
      <c r="O135" s="6">
        <f t="shared" si="85"/>
        <v>0</v>
      </c>
      <c r="P135" s="6">
        <f t="shared" si="85"/>
        <v>0</v>
      </c>
      <c r="Q135" s="6">
        <f t="shared" si="85"/>
        <v>0</v>
      </c>
      <c r="R135" s="6">
        <f t="shared" si="85"/>
        <v>0</v>
      </c>
      <c r="S135" s="6">
        <f t="shared" si="85"/>
        <v>0</v>
      </c>
      <c r="T135" s="8"/>
      <c r="U135" s="8"/>
      <c r="V135" s="8"/>
      <c r="W135" s="6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</row>
    <row r="136" spans="1:103" x14ac:dyDescent="0.25">
      <c r="A136" s="14"/>
      <c r="C136" t="s">
        <v>512</v>
      </c>
      <c r="D136" s="29" t="s">
        <v>22</v>
      </c>
      <c r="E136" s="29" t="s">
        <v>22</v>
      </c>
      <c r="F136" s="6">
        <f t="shared" ref="F136:S136" si="86">IF(F135&lt;$D$4*SUM($F135:$S135),0,F135)</f>
        <v>0</v>
      </c>
      <c r="G136" s="6">
        <f t="shared" si="86"/>
        <v>0</v>
      </c>
      <c r="H136" s="6">
        <f t="shared" si="86"/>
        <v>0</v>
      </c>
      <c r="I136" s="6">
        <f t="shared" si="86"/>
        <v>0</v>
      </c>
      <c r="J136" s="6">
        <f t="shared" si="86"/>
        <v>0</v>
      </c>
      <c r="K136" s="6">
        <f t="shared" si="86"/>
        <v>0</v>
      </c>
      <c r="L136" s="6">
        <f t="shared" si="86"/>
        <v>0</v>
      </c>
      <c r="M136" s="6">
        <f t="shared" si="86"/>
        <v>0</v>
      </c>
      <c r="N136" s="6">
        <f t="shared" si="86"/>
        <v>0</v>
      </c>
      <c r="O136" s="6">
        <f t="shared" si="86"/>
        <v>0</v>
      </c>
      <c r="P136" s="6">
        <f t="shared" si="86"/>
        <v>0</v>
      </c>
      <c r="Q136" s="6">
        <f t="shared" si="86"/>
        <v>0</v>
      </c>
      <c r="R136" s="6">
        <f t="shared" si="86"/>
        <v>0</v>
      </c>
      <c r="S136" s="6">
        <f t="shared" si="86"/>
        <v>0</v>
      </c>
      <c r="T136" s="8"/>
      <c r="U136" s="8"/>
      <c r="V136" s="8"/>
      <c r="W136" s="6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</row>
    <row r="137" spans="1:103" x14ac:dyDescent="0.25">
      <c r="A137" s="14"/>
      <c r="B137" s="13" t="s">
        <v>514</v>
      </c>
      <c r="C137" t="s">
        <v>513</v>
      </c>
      <c r="D137" s="29" t="s">
        <v>22</v>
      </c>
      <c r="E137" s="29" t="s">
        <v>22</v>
      </c>
      <c r="F137" s="35">
        <f t="shared" ref="F137:S137" si="87">IF(SUM($F136:$S136)=0,0,F136/SUM($F136:$S136))</f>
        <v>0</v>
      </c>
      <c r="G137" s="35">
        <f t="shared" si="87"/>
        <v>0</v>
      </c>
      <c r="H137" s="35">
        <f t="shared" si="87"/>
        <v>0</v>
      </c>
      <c r="I137" s="35">
        <f t="shared" si="87"/>
        <v>0</v>
      </c>
      <c r="J137" s="35">
        <f t="shared" si="87"/>
        <v>0</v>
      </c>
      <c r="K137" s="35">
        <f t="shared" si="87"/>
        <v>0</v>
      </c>
      <c r="L137" s="35">
        <f t="shared" si="87"/>
        <v>0</v>
      </c>
      <c r="M137" s="35">
        <f t="shared" si="87"/>
        <v>0</v>
      </c>
      <c r="N137" s="35">
        <f t="shared" si="87"/>
        <v>0</v>
      </c>
      <c r="O137" s="35">
        <f t="shared" si="87"/>
        <v>0</v>
      </c>
      <c r="P137" s="35">
        <f t="shared" si="87"/>
        <v>0</v>
      </c>
      <c r="Q137" s="35">
        <f t="shared" si="87"/>
        <v>0</v>
      </c>
      <c r="R137" s="35">
        <f t="shared" si="87"/>
        <v>0</v>
      </c>
      <c r="S137" s="35">
        <f t="shared" si="87"/>
        <v>0</v>
      </c>
      <c r="T137" s="8"/>
      <c r="U137" s="8"/>
      <c r="V137" s="8"/>
      <c r="W137" s="6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</row>
    <row r="138" spans="1:103" x14ac:dyDescent="0.25">
      <c r="A138" s="14"/>
      <c r="B138" s="13" t="s">
        <v>515</v>
      </c>
      <c r="C138" t="s">
        <v>508</v>
      </c>
      <c r="D138" s="6">
        <f>SUM(F138:S138)</f>
        <v>0</v>
      </c>
      <c r="E138" s="29" t="s">
        <v>22</v>
      </c>
      <c r="F138" s="6">
        <f t="shared" ref="F138:S138" si="88">$D135*F137</f>
        <v>0</v>
      </c>
      <c r="G138" s="6">
        <f t="shared" si="88"/>
        <v>0</v>
      </c>
      <c r="H138" s="6">
        <f t="shared" si="88"/>
        <v>0</v>
      </c>
      <c r="I138" s="6">
        <f t="shared" si="88"/>
        <v>0</v>
      </c>
      <c r="J138" s="6">
        <f t="shared" si="88"/>
        <v>0</v>
      </c>
      <c r="K138" s="6">
        <f t="shared" si="88"/>
        <v>0</v>
      </c>
      <c r="L138" s="6">
        <f t="shared" si="88"/>
        <v>0</v>
      </c>
      <c r="M138" s="6">
        <f t="shared" si="88"/>
        <v>0</v>
      </c>
      <c r="N138" s="6">
        <f t="shared" si="88"/>
        <v>0</v>
      </c>
      <c r="O138" s="6">
        <f t="shared" si="88"/>
        <v>0</v>
      </c>
      <c r="P138" s="6">
        <f t="shared" si="88"/>
        <v>0</v>
      </c>
      <c r="Q138" s="6">
        <f t="shared" si="88"/>
        <v>0</v>
      </c>
      <c r="R138" s="6">
        <f t="shared" si="88"/>
        <v>0</v>
      </c>
      <c r="S138" s="6">
        <f t="shared" si="88"/>
        <v>0</v>
      </c>
      <c r="T138" s="8"/>
      <c r="U138" s="8">
        <v>1</v>
      </c>
      <c r="V138" s="8"/>
      <c r="W138" s="6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</row>
    <row r="139" spans="1:103" x14ac:dyDescent="0.25">
      <c r="A139" s="14"/>
      <c r="B139" s="23">
        <f>IF(D139=0,0,E140/D139)</f>
        <v>0</v>
      </c>
      <c r="C139" t="s">
        <v>509</v>
      </c>
      <c r="D139" s="22">
        <f>SUM(F139:S139)</f>
        <v>0</v>
      </c>
      <c r="E139" s="30" t="s">
        <v>22</v>
      </c>
      <c r="F139" s="22">
        <f t="shared" ref="F139:S139" si="89">$I$4*F138</f>
        <v>0</v>
      </c>
      <c r="G139" s="22">
        <f t="shared" si="89"/>
        <v>0</v>
      </c>
      <c r="H139" s="22">
        <f t="shared" si="89"/>
        <v>0</v>
      </c>
      <c r="I139" s="22">
        <f t="shared" si="89"/>
        <v>0</v>
      </c>
      <c r="J139" s="22">
        <f t="shared" si="89"/>
        <v>0</v>
      </c>
      <c r="K139" s="22">
        <f t="shared" si="89"/>
        <v>0</v>
      </c>
      <c r="L139" s="22">
        <f t="shared" si="89"/>
        <v>0</v>
      </c>
      <c r="M139" s="22">
        <f t="shared" si="89"/>
        <v>0</v>
      </c>
      <c r="N139" s="22">
        <f t="shared" si="89"/>
        <v>0</v>
      </c>
      <c r="O139" s="22">
        <f t="shared" si="89"/>
        <v>0</v>
      </c>
      <c r="P139" s="22">
        <f t="shared" si="89"/>
        <v>0</v>
      </c>
      <c r="Q139" s="22">
        <f t="shared" si="89"/>
        <v>0</v>
      </c>
      <c r="R139" s="22">
        <f t="shared" si="89"/>
        <v>0</v>
      </c>
      <c r="S139" s="22">
        <f t="shared" si="89"/>
        <v>0</v>
      </c>
      <c r="T139" s="8"/>
      <c r="U139" s="8">
        <v>2</v>
      </c>
      <c r="V139" s="8"/>
      <c r="W139" s="6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</row>
    <row r="140" spans="1:103" x14ac:dyDescent="0.25">
      <c r="A140" s="14"/>
      <c r="C140" t="s">
        <v>510</v>
      </c>
      <c r="D140" s="33" t="s">
        <v>22</v>
      </c>
      <c r="E140" s="34">
        <f>SUM(F140:S140)</f>
        <v>0</v>
      </c>
      <c r="F140" s="34">
        <f>$E135*F137</f>
        <v>0</v>
      </c>
      <c r="G140" s="34">
        <f t="shared" ref="G140:S140" si="90">$E135*G137</f>
        <v>0</v>
      </c>
      <c r="H140" s="34">
        <f t="shared" si="90"/>
        <v>0</v>
      </c>
      <c r="I140" s="34">
        <f t="shared" si="90"/>
        <v>0</v>
      </c>
      <c r="J140" s="34">
        <f t="shared" si="90"/>
        <v>0</v>
      </c>
      <c r="K140" s="34">
        <f t="shared" si="90"/>
        <v>0</v>
      </c>
      <c r="L140" s="34">
        <f t="shared" si="90"/>
        <v>0</v>
      </c>
      <c r="M140" s="34">
        <f t="shared" si="90"/>
        <v>0</v>
      </c>
      <c r="N140" s="34">
        <f t="shared" si="90"/>
        <v>0</v>
      </c>
      <c r="O140" s="34">
        <f t="shared" si="90"/>
        <v>0</v>
      </c>
      <c r="P140" s="34">
        <f t="shared" si="90"/>
        <v>0</v>
      </c>
      <c r="Q140" s="34">
        <f t="shared" si="90"/>
        <v>0</v>
      </c>
      <c r="R140" s="34">
        <f t="shared" si="90"/>
        <v>0</v>
      </c>
      <c r="S140" s="34">
        <f t="shared" si="90"/>
        <v>0</v>
      </c>
      <c r="T140" s="8"/>
      <c r="U140" s="8">
        <v>3</v>
      </c>
      <c r="V140" s="8"/>
      <c r="W140" s="6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</row>
    <row r="141" spans="1:103" x14ac:dyDescent="0.25">
      <c r="A141" s="1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8"/>
      <c r="U141" s="8"/>
      <c r="V141" s="8"/>
      <c r="W141" s="6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</row>
    <row r="142" spans="1:103" x14ac:dyDescent="0.25">
      <c r="A142" s="14">
        <v>16</v>
      </c>
      <c r="B142" s="13">
        <f>C24</f>
        <v>0</v>
      </c>
      <c r="C142" s="14" t="s">
        <v>511</v>
      </c>
      <c r="D142" s="6">
        <f t="shared" ref="D142:S142" si="91">D24</f>
        <v>0</v>
      </c>
      <c r="E142" s="6">
        <f t="shared" si="91"/>
        <v>0</v>
      </c>
      <c r="F142" s="6">
        <f t="shared" si="91"/>
        <v>0</v>
      </c>
      <c r="G142" s="6">
        <f t="shared" si="91"/>
        <v>0</v>
      </c>
      <c r="H142" s="6">
        <f t="shared" si="91"/>
        <v>0</v>
      </c>
      <c r="I142" s="6">
        <f t="shared" si="91"/>
        <v>0</v>
      </c>
      <c r="J142" s="6">
        <f t="shared" si="91"/>
        <v>0</v>
      </c>
      <c r="K142" s="6">
        <f t="shared" si="91"/>
        <v>0</v>
      </c>
      <c r="L142" s="6">
        <f t="shared" si="91"/>
        <v>0</v>
      </c>
      <c r="M142" s="6">
        <f t="shared" si="91"/>
        <v>0</v>
      </c>
      <c r="N142" s="6">
        <f t="shared" si="91"/>
        <v>0</v>
      </c>
      <c r="O142" s="6">
        <f t="shared" si="91"/>
        <v>0</v>
      </c>
      <c r="P142" s="6">
        <f t="shared" si="91"/>
        <v>0</v>
      </c>
      <c r="Q142" s="6">
        <f t="shared" si="91"/>
        <v>0</v>
      </c>
      <c r="R142" s="6">
        <f t="shared" si="91"/>
        <v>0</v>
      </c>
      <c r="S142" s="6">
        <f t="shared" si="91"/>
        <v>0</v>
      </c>
      <c r="T142" s="8"/>
      <c r="U142" s="8"/>
      <c r="V142" s="8"/>
      <c r="W142" s="6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</row>
    <row r="143" spans="1:103" x14ac:dyDescent="0.25">
      <c r="A143" s="14"/>
      <c r="C143" t="s">
        <v>512</v>
      </c>
      <c r="D143" s="29" t="s">
        <v>22</v>
      </c>
      <c r="E143" s="29" t="s">
        <v>22</v>
      </c>
      <c r="F143" s="6">
        <f t="shared" ref="F143:S143" si="92">IF(F142&lt;$D$4*SUM($F142:$S142),0,F142)</f>
        <v>0</v>
      </c>
      <c r="G143" s="6">
        <f t="shared" si="92"/>
        <v>0</v>
      </c>
      <c r="H143" s="6">
        <f t="shared" si="92"/>
        <v>0</v>
      </c>
      <c r="I143" s="6">
        <f t="shared" si="92"/>
        <v>0</v>
      </c>
      <c r="J143" s="6">
        <f t="shared" si="92"/>
        <v>0</v>
      </c>
      <c r="K143" s="6">
        <f t="shared" si="92"/>
        <v>0</v>
      </c>
      <c r="L143" s="6">
        <f t="shared" si="92"/>
        <v>0</v>
      </c>
      <c r="M143" s="6">
        <f t="shared" si="92"/>
        <v>0</v>
      </c>
      <c r="N143" s="6">
        <f t="shared" si="92"/>
        <v>0</v>
      </c>
      <c r="O143" s="6">
        <f t="shared" si="92"/>
        <v>0</v>
      </c>
      <c r="P143" s="6">
        <f t="shared" si="92"/>
        <v>0</v>
      </c>
      <c r="Q143" s="6">
        <f t="shared" si="92"/>
        <v>0</v>
      </c>
      <c r="R143" s="6">
        <f t="shared" si="92"/>
        <v>0</v>
      </c>
      <c r="S143" s="6">
        <f t="shared" si="92"/>
        <v>0</v>
      </c>
      <c r="T143" s="8"/>
      <c r="U143" s="8"/>
      <c r="V143" s="8"/>
      <c r="W143" s="6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</row>
    <row r="144" spans="1:103" x14ac:dyDescent="0.25">
      <c r="A144" s="14"/>
      <c r="B144" s="13" t="s">
        <v>514</v>
      </c>
      <c r="C144" t="s">
        <v>513</v>
      </c>
      <c r="D144" s="29" t="s">
        <v>22</v>
      </c>
      <c r="E144" s="29" t="s">
        <v>22</v>
      </c>
      <c r="F144" s="35">
        <f t="shared" ref="F144:S144" si="93">IF(SUM($F143:$S143)=0,0,F143/SUM($F143:$S143))</f>
        <v>0</v>
      </c>
      <c r="G144" s="35">
        <f t="shared" si="93"/>
        <v>0</v>
      </c>
      <c r="H144" s="35">
        <f t="shared" si="93"/>
        <v>0</v>
      </c>
      <c r="I144" s="35">
        <f t="shared" si="93"/>
        <v>0</v>
      </c>
      <c r="J144" s="35">
        <f t="shared" si="93"/>
        <v>0</v>
      </c>
      <c r="K144" s="35">
        <f t="shared" si="93"/>
        <v>0</v>
      </c>
      <c r="L144" s="35">
        <f t="shared" si="93"/>
        <v>0</v>
      </c>
      <c r="M144" s="35">
        <f t="shared" si="93"/>
        <v>0</v>
      </c>
      <c r="N144" s="35">
        <f t="shared" si="93"/>
        <v>0</v>
      </c>
      <c r="O144" s="35">
        <f t="shared" si="93"/>
        <v>0</v>
      </c>
      <c r="P144" s="35">
        <f t="shared" si="93"/>
        <v>0</v>
      </c>
      <c r="Q144" s="35">
        <f t="shared" si="93"/>
        <v>0</v>
      </c>
      <c r="R144" s="35">
        <f t="shared" si="93"/>
        <v>0</v>
      </c>
      <c r="S144" s="35">
        <f t="shared" si="93"/>
        <v>0</v>
      </c>
      <c r="T144" s="8"/>
      <c r="U144" s="8"/>
      <c r="V144" s="8"/>
      <c r="W144" s="6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</row>
    <row r="145" spans="1:103" x14ac:dyDescent="0.25">
      <c r="A145" s="14"/>
      <c r="B145" s="13" t="s">
        <v>515</v>
      </c>
      <c r="C145" t="s">
        <v>508</v>
      </c>
      <c r="D145" s="6">
        <f>SUM(F145:S145)</f>
        <v>0</v>
      </c>
      <c r="E145" s="29" t="s">
        <v>22</v>
      </c>
      <c r="F145" s="6">
        <f t="shared" ref="F145:S145" si="94">$D142*F144</f>
        <v>0</v>
      </c>
      <c r="G145" s="6">
        <f t="shared" si="94"/>
        <v>0</v>
      </c>
      <c r="H145" s="6">
        <f t="shared" si="94"/>
        <v>0</v>
      </c>
      <c r="I145" s="6">
        <f t="shared" si="94"/>
        <v>0</v>
      </c>
      <c r="J145" s="6">
        <f t="shared" si="94"/>
        <v>0</v>
      </c>
      <c r="K145" s="6">
        <f t="shared" si="94"/>
        <v>0</v>
      </c>
      <c r="L145" s="6">
        <f t="shared" si="94"/>
        <v>0</v>
      </c>
      <c r="M145" s="6">
        <f t="shared" si="94"/>
        <v>0</v>
      </c>
      <c r="N145" s="6">
        <f t="shared" si="94"/>
        <v>0</v>
      </c>
      <c r="O145" s="6">
        <f t="shared" si="94"/>
        <v>0</v>
      </c>
      <c r="P145" s="6">
        <f t="shared" si="94"/>
        <v>0</v>
      </c>
      <c r="Q145" s="6">
        <f t="shared" si="94"/>
        <v>0</v>
      </c>
      <c r="R145" s="6">
        <f t="shared" si="94"/>
        <v>0</v>
      </c>
      <c r="S145" s="6">
        <f t="shared" si="94"/>
        <v>0</v>
      </c>
      <c r="T145" s="8"/>
      <c r="U145" s="8">
        <v>1</v>
      </c>
      <c r="V145" s="8"/>
      <c r="W145" s="6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</row>
    <row r="146" spans="1:103" x14ac:dyDescent="0.25">
      <c r="A146" s="14"/>
      <c r="B146" s="23">
        <f>IF(D146=0,0,E147/D146)</f>
        <v>0</v>
      </c>
      <c r="C146" t="s">
        <v>509</v>
      </c>
      <c r="D146" s="22">
        <f>SUM(F146:S146)</f>
        <v>0</v>
      </c>
      <c r="E146" s="30" t="s">
        <v>22</v>
      </c>
      <c r="F146" s="22">
        <f t="shared" ref="F146:S146" si="95">$I$4*F145</f>
        <v>0</v>
      </c>
      <c r="G146" s="22">
        <f t="shared" si="95"/>
        <v>0</v>
      </c>
      <c r="H146" s="22">
        <f t="shared" si="95"/>
        <v>0</v>
      </c>
      <c r="I146" s="22">
        <f t="shared" si="95"/>
        <v>0</v>
      </c>
      <c r="J146" s="22">
        <f t="shared" si="95"/>
        <v>0</v>
      </c>
      <c r="K146" s="22">
        <f t="shared" si="95"/>
        <v>0</v>
      </c>
      <c r="L146" s="22">
        <f t="shared" si="95"/>
        <v>0</v>
      </c>
      <c r="M146" s="22">
        <f t="shared" si="95"/>
        <v>0</v>
      </c>
      <c r="N146" s="22">
        <f t="shared" si="95"/>
        <v>0</v>
      </c>
      <c r="O146" s="22">
        <f t="shared" si="95"/>
        <v>0</v>
      </c>
      <c r="P146" s="22">
        <f t="shared" si="95"/>
        <v>0</v>
      </c>
      <c r="Q146" s="22">
        <f t="shared" si="95"/>
        <v>0</v>
      </c>
      <c r="R146" s="22">
        <f t="shared" si="95"/>
        <v>0</v>
      </c>
      <c r="S146" s="22">
        <f t="shared" si="95"/>
        <v>0</v>
      </c>
      <c r="T146" s="8"/>
      <c r="U146" s="8">
        <v>2</v>
      </c>
      <c r="V146" s="8"/>
      <c r="W146" s="6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</row>
    <row r="147" spans="1:103" x14ac:dyDescent="0.25">
      <c r="A147" s="14"/>
      <c r="C147" t="s">
        <v>510</v>
      </c>
      <c r="D147" s="33" t="s">
        <v>22</v>
      </c>
      <c r="E147" s="34">
        <f>SUM(F147:S147)</f>
        <v>0</v>
      </c>
      <c r="F147" s="34">
        <f>$E142*F144</f>
        <v>0</v>
      </c>
      <c r="G147" s="34">
        <f t="shared" ref="G147:S147" si="96">$E142*G144</f>
        <v>0</v>
      </c>
      <c r="H147" s="34">
        <f t="shared" si="96"/>
        <v>0</v>
      </c>
      <c r="I147" s="34">
        <f t="shared" si="96"/>
        <v>0</v>
      </c>
      <c r="J147" s="34">
        <f t="shared" si="96"/>
        <v>0</v>
      </c>
      <c r="K147" s="34">
        <f t="shared" si="96"/>
        <v>0</v>
      </c>
      <c r="L147" s="34">
        <f t="shared" si="96"/>
        <v>0</v>
      </c>
      <c r="M147" s="34">
        <f t="shared" si="96"/>
        <v>0</v>
      </c>
      <c r="N147" s="34">
        <f t="shared" si="96"/>
        <v>0</v>
      </c>
      <c r="O147" s="34">
        <f t="shared" si="96"/>
        <v>0</v>
      </c>
      <c r="P147" s="34">
        <f t="shared" si="96"/>
        <v>0</v>
      </c>
      <c r="Q147" s="34">
        <f t="shared" si="96"/>
        <v>0</v>
      </c>
      <c r="R147" s="34">
        <f t="shared" si="96"/>
        <v>0</v>
      </c>
      <c r="S147" s="34">
        <f t="shared" si="96"/>
        <v>0</v>
      </c>
      <c r="T147" s="8"/>
      <c r="U147" s="8">
        <v>3</v>
      </c>
      <c r="V147" s="8"/>
      <c r="W147" s="6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</row>
    <row r="148" spans="1:103" x14ac:dyDescent="0.25">
      <c r="A148" s="1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8"/>
      <c r="U148" s="8"/>
      <c r="V148" s="8"/>
      <c r="W148" s="6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</row>
    <row r="149" spans="1:103" x14ac:dyDescent="0.25">
      <c r="A149" s="14">
        <v>17</v>
      </c>
      <c r="B149" s="13">
        <f>C25</f>
        <v>0</v>
      </c>
      <c r="C149" s="14" t="s">
        <v>511</v>
      </c>
      <c r="D149" s="6">
        <f t="shared" ref="D149:S149" si="97">D25</f>
        <v>0</v>
      </c>
      <c r="E149" s="6">
        <f t="shared" si="97"/>
        <v>0</v>
      </c>
      <c r="F149" s="6">
        <f t="shared" si="97"/>
        <v>0</v>
      </c>
      <c r="G149" s="6">
        <f t="shared" si="97"/>
        <v>0</v>
      </c>
      <c r="H149" s="6">
        <f t="shared" si="97"/>
        <v>0</v>
      </c>
      <c r="I149" s="6">
        <f t="shared" si="97"/>
        <v>0</v>
      </c>
      <c r="J149" s="6">
        <f t="shared" si="97"/>
        <v>0</v>
      </c>
      <c r="K149" s="6">
        <f t="shared" si="97"/>
        <v>0</v>
      </c>
      <c r="L149" s="6">
        <f t="shared" si="97"/>
        <v>0</v>
      </c>
      <c r="M149" s="6">
        <f t="shared" si="97"/>
        <v>0</v>
      </c>
      <c r="N149" s="6">
        <f t="shared" si="97"/>
        <v>0</v>
      </c>
      <c r="O149" s="6">
        <f t="shared" si="97"/>
        <v>0</v>
      </c>
      <c r="P149" s="6">
        <f t="shared" si="97"/>
        <v>0</v>
      </c>
      <c r="Q149" s="6">
        <f t="shared" si="97"/>
        <v>0</v>
      </c>
      <c r="R149" s="6">
        <f t="shared" si="97"/>
        <v>0</v>
      </c>
      <c r="S149" s="6">
        <f t="shared" si="97"/>
        <v>0</v>
      </c>
      <c r="T149" s="8"/>
      <c r="U149" s="8"/>
      <c r="V149" s="8"/>
      <c r="W149" s="6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</row>
    <row r="150" spans="1:103" x14ac:dyDescent="0.25">
      <c r="A150" s="14"/>
      <c r="C150" t="s">
        <v>512</v>
      </c>
      <c r="D150" s="29" t="s">
        <v>22</v>
      </c>
      <c r="E150" s="29" t="s">
        <v>22</v>
      </c>
      <c r="F150" s="6">
        <f t="shared" ref="F150:S150" si="98">IF(F149&lt;$D$4*SUM($F149:$S149),0,F149)</f>
        <v>0</v>
      </c>
      <c r="G150" s="6">
        <f t="shared" si="98"/>
        <v>0</v>
      </c>
      <c r="H150" s="6">
        <f t="shared" si="98"/>
        <v>0</v>
      </c>
      <c r="I150" s="6">
        <f t="shared" si="98"/>
        <v>0</v>
      </c>
      <c r="J150" s="6">
        <f t="shared" si="98"/>
        <v>0</v>
      </c>
      <c r="K150" s="6">
        <f t="shared" si="98"/>
        <v>0</v>
      </c>
      <c r="L150" s="6">
        <f t="shared" si="98"/>
        <v>0</v>
      </c>
      <c r="M150" s="6">
        <f t="shared" si="98"/>
        <v>0</v>
      </c>
      <c r="N150" s="6">
        <f t="shared" si="98"/>
        <v>0</v>
      </c>
      <c r="O150" s="6">
        <f t="shared" si="98"/>
        <v>0</v>
      </c>
      <c r="P150" s="6">
        <f t="shared" si="98"/>
        <v>0</v>
      </c>
      <c r="Q150" s="6">
        <f t="shared" si="98"/>
        <v>0</v>
      </c>
      <c r="R150" s="6">
        <f t="shared" si="98"/>
        <v>0</v>
      </c>
      <c r="S150" s="6">
        <f t="shared" si="98"/>
        <v>0</v>
      </c>
      <c r="T150" s="8"/>
      <c r="U150" s="8"/>
      <c r="V150" s="8"/>
      <c r="W150" s="6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</row>
    <row r="151" spans="1:103" x14ac:dyDescent="0.25">
      <c r="A151" s="14"/>
      <c r="B151" s="13" t="s">
        <v>514</v>
      </c>
      <c r="C151" t="s">
        <v>513</v>
      </c>
      <c r="D151" s="29" t="s">
        <v>22</v>
      </c>
      <c r="E151" s="29" t="s">
        <v>22</v>
      </c>
      <c r="F151" s="35">
        <f t="shared" ref="F151:S151" si="99">IF(SUM($F150:$S150)=0,0,F150/SUM($F150:$S150))</f>
        <v>0</v>
      </c>
      <c r="G151" s="35">
        <f t="shared" si="99"/>
        <v>0</v>
      </c>
      <c r="H151" s="35">
        <f t="shared" si="99"/>
        <v>0</v>
      </c>
      <c r="I151" s="35">
        <f t="shared" si="99"/>
        <v>0</v>
      </c>
      <c r="J151" s="35">
        <f t="shared" si="99"/>
        <v>0</v>
      </c>
      <c r="K151" s="35">
        <f t="shared" si="99"/>
        <v>0</v>
      </c>
      <c r="L151" s="35">
        <f t="shared" si="99"/>
        <v>0</v>
      </c>
      <c r="M151" s="35">
        <f t="shared" si="99"/>
        <v>0</v>
      </c>
      <c r="N151" s="35">
        <f t="shared" si="99"/>
        <v>0</v>
      </c>
      <c r="O151" s="35">
        <f t="shared" si="99"/>
        <v>0</v>
      </c>
      <c r="P151" s="35">
        <f t="shared" si="99"/>
        <v>0</v>
      </c>
      <c r="Q151" s="35">
        <f t="shared" si="99"/>
        <v>0</v>
      </c>
      <c r="R151" s="35">
        <f t="shared" si="99"/>
        <v>0</v>
      </c>
      <c r="S151" s="35">
        <f t="shared" si="99"/>
        <v>0</v>
      </c>
      <c r="T151" s="8"/>
      <c r="U151" s="8"/>
      <c r="V151" s="8"/>
      <c r="W151" s="6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</row>
    <row r="152" spans="1:103" x14ac:dyDescent="0.25">
      <c r="A152" s="14"/>
      <c r="B152" s="13" t="s">
        <v>515</v>
      </c>
      <c r="C152" t="s">
        <v>508</v>
      </c>
      <c r="D152" s="6">
        <f>SUM(F152:S152)</f>
        <v>0</v>
      </c>
      <c r="E152" s="29" t="s">
        <v>22</v>
      </c>
      <c r="F152" s="6">
        <f t="shared" ref="F152:S152" si="100">$D149*F151</f>
        <v>0</v>
      </c>
      <c r="G152" s="6">
        <f t="shared" si="100"/>
        <v>0</v>
      </c>
      <c r="H152" s="6">
        <f t="shared" si="100"/>
        <v>0</v>
      </c>
      <c r="I152" s="6">
        <f t="shared" si="100"/>
        <v>0</v>
      </c>
      <c r="J152" s="6">
        <f t="shared" si="100"/>
        <v>0</v>
      </c>
      <c r="K152" s="6">
        <f t="shared" si="100"/>
        <v>0</v>
      </c>
      <c r="L152" s="6">
        <f t="shared" si="100"/>
        <v>0</v>
      </c>
      <c r="M152" s="6">
        <f t="shared" si="100"/>
        <v>0</v>
      </c>
      <c r="N152" s="6">
        <f t="shared" si="100"/>
        <v>0</v>
      </c>
      <c r="O152" s="6">
        <f t="shared" si="100"/>
        <v>0</v>
      </c>
      <c r="P152" s="6">
        <f t="shared" si="100"/>
        <v>0</v>
      </c>
      <c r="Q152" s="6">
        <f t="shared" si="100"/>
        <v>0</v>
      </c>
      <c r="R152" s="6">
        <f t="shared" si="100"/>
        <v>0</v>
      </c>
      <c r="S152" s="6">
        <f t="shared" si="100"/>
        <v>0</v>
      </c>
      <c r="T152" s="8"/>
      <c r="U152" s="8">
        <v>1</v>
      </c>
      <c r="V152" s="8"/>
      <c r="W152" s="6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</row>
    <row r="153" spans="1:103" x14ac:dyDescent="0.25">
      <c r="A153" s="14"/>
      <c r="B153" s="23">
        <f>IF(D153=0,0,E154/D153)</f>
        <v>0</v>
      </c>
      <c r="C153" t="s">
        <v>509</v>
      </c>
      <c r="D153" s="22">
        <f>SUM(F153:S153)</f>
        <v>0</v>
      </c>
      <c r="E153" s="30" t="s">
        <v>22</v>
      </c>
      <c r="F153" s="22">
        <f t="shared" ref="F153:S153" si="101">$I$4*F152</f>
        <v>0</v>
      </c>
      <c r="G153" s="22">
        <f t="shared" si="101"/>
        <v>0</v>
      </c>
      <c r="H153" s="22">
        <f t="shared" si="101"/>
        <v>0</v>
      </c>
      <c r="I153" s="22">
        <f t="shared" si="101"/>
        <v>0</v>
      </c>
      <c r="J153" s="22">
        <f t="shared" si="101"/>
        <v>0</v>
      </c>
      <c r="K153" s="22">
        <f t="shared" si="101"/>
        <v>0</v>
      </c>
      <c r="L153" s="22">
        <f t="shared" si="101"/>
        <v>0</v>
      </c>
      <c r="M153" s="22">
        <f t="shared" si="101"/>
        <v>0</v>
      </c>
      <c r="N153" s="22">
        <f t="shared" si="101"/>
        <v>0</v>
      </c>
      <c r="O153" s="22">
        <f t="shared" si="101"/>
        <v>0</v>
      </c>
      <c r="P153" s="22">
        <f t="shared" si="101"/>
        <v>0</v>
      </c>
      <c r="Q153" s="22">
        <f t="shared" si="101"/>
        <v>0</v>
      </c>
      <c r="R153" s="22">
        <f t="shared" si="101"/>
        <v>0</v>
      </c>
      <c r="S153" s="22">
        <f t="shared" si="101"/>
        <v>0</v>
      </c>
      <c r="T153" s="8"/>
      <c r="U153" s="8">
        <v>2</v>
      </c>
      <c r="V153" s="8"/>
      <c r="W153" s="6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</row>
    <row r="154" spans="1:103" x14ac:dyDescent="0.25">
      <c r="A154" s="14"/>
      <c r="C154" t="s">
        <v>510</v>
      </c>
      <c r="D154" s="33" t="s">
        <v>22</v>
      </c>
      <c r="E154" s="34">
        <f>SUM(F154:S154)</f>
        <v>0</v>
      </c>
      <c r="F154" s="34">
        <f>$E149*F151</f>
        <v>0</v>
      </c>
      <c r="G154" s="34">
        <f t="shared" ref="G154:S154" si="102">$E149*G151</f>
        <v>0</v>
      </c>
      <c r="H154" s="34">
        <f t="shared" si="102"/>
        <v>0</v>
      </c>
      <c r="I154" s="34">
        <f t="shared" si="102"/>
        <v>0</v>
      </c>
      <c r="J154" s="34">
        <f t="shared" si="102"/>
        <v>0</v>
      </c>
      <c r="K154" s="34">
        <f t="shared" si="102"/>
        <v>0</v>
      </c>
      <c r="L154" s="34">
        <f t="shared" si="102"/>
        <v>0</v>
      </c>
      <c r="M154" s="34">
        <f t="shared" si="102"/>
        <v>0</v>
      </c>
      <c r="N154" s="34">
        <f t="shared" si="102"/>
        <v>0</v>
      </c>
      <c r="O154" s="34">
        <f t="shared" si="102"/>
        <v>0</v>
      </c>
      <c r="P154" s="34">
        <f t="shared" si="102"/>
        <v>0</v>
      </c>
      <c r="Q154" s="34">
        <f t="shared" si="102"/>
        <v>0</v>
      </c>
      <c r="R154" s="34">
        <f t="shared" si="102"/>
        <v>0</v>
      </c>
      <c r="S154" s="34">
        <f t="shared" si="102"/>
        <v>0</v>
      </c>
      <c r="T154" s="8"/>
      <c r="U154" s="8">
        <v>3</v>
      </c>
      <c r="V154" s="8"/>
      <c r="W154" s="6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</row>
    <row r="155" spans="1:103" x14ac:dyDescent="0.25">
      <c r="A155" s="1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8"/>
      <c r="U155" s="8"/>
      <c r="V155" s="8"/>
      <c r="W155" s="6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</row>
    <row r="156" spans="1:103" x14ac:dyDescent="0.25">
      <c r="A156" s="14">
        <v>18</v>
      </c>
      <c r="B156" s="13">
        <f>C26</f>
        <v>0</v>
      </c>
      <c r="C156" s="14" t="s">
        <v>511</v>
      </c>
      <c r="D156" s="6">
        <f t="shared" ref="D156:S156" si="103">D26</f>
        <v>0</v>
      </c>
      <c r="E156" s="6">
        <f t="shared" si="103"/>
        <v>0</v>
      </c>
      <c r="F156" s="6">
        <f t="shared" si="103"/>
        <v>0</v>
      </c>
      <c r="G156" s="6">
        <f t="shared" si="103"/>
        <v>0</v>
      </c>
      <c r="H156" s="6">
        <f t="shared" si="103"/>
        <v>0</v>
      </c>
      <c r="I156" s="6">
        <f t="shared" si="103"/>
        <v>0</v>
      </c>
      <c r="J156" s="6">
        <f t="shared" si="103"/>
        <v>0</v>
      </c>
      <c r="K156" s="6">
        <f t="shared" si="103"/>
        <v>0</v>
      </c>
      <c r="L156" s="6">
        <f t="shared" si="103"/>
        <v>0</v>
      </c>
      <c r="M156" s="6">
        <f t="shared" si="103"/>
        <v>0</v>
      </c>
      <c r="N156" s="6">
        <f t="shared" si="103"/>
        <v>0</v>
      </c>
      <c r="O156" s="6">
        <f t="shared" si="103"/>
        <v>0</v>
      </c>
      <c r="P156" s="6">
        <f t="shared" si="103"/>
        <v>0</v>
      </c>
      <c r="Q156" s="6">
        <f t="shared" si="103"/>
        <v>0</v>
      </c>
      <c r="R156" s="6">
        <f t="shared" si="103"/>
        <v>0</v>
      </c>
      <c r="S156" s="6">
        <f t="shared" si="103"/>
        <v>0</v>
      </c>
      <c r="T156" s="8"/>
      <c r="U156" s="8"/>
      <c r="V156" s="8"/>
      <c r="W156" s="6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</row>
    <row r="157" spans="1:103" x14ac:dyDescent="0.25">
      <c r="A157" s="14"/>
      <c r="C157" t="s">
        <v>512</v>
      </c>
      <c r="D157" s="29" t="s">
        <v>22</v>
      </c>
      <c r="E157" s="29" t="s">
        <v>22</v>
      </c>
      <c r="F157" s="6">
        <f t="shared" ref="F157:S157" si="104">IF(F156&lt;$D$4*SUM($F156:$S156),0,F156)</f>
        <v>0</v>
      </c>
      <c r="G157" s="6">
        <f t="shared" si="104"/>
        <v>0</v>
      </c>
      <c r="H157" s="6">
        <f t="shared" si="104"/>
        <v>0</v>
      </c>
      <c r="I157" s="6">
        <f t="shared" si="104"/>
        <v>0</v>
      </c>
      <c r="J157" s="6">
        <f t="shared" si="104"/>
        <v>0</v>
      </c>
      <c r="K157" s="6">
        <f t="shared" si="104"/>
        <v>0</v>
      </c>
      <c r="L157" s="6">
        <f t="shared" si="104"/>
        <v>0</v>
      </c>
      <c r="M157" s="6">
        <f t="shared" si="104"/>
        <v>0</v>
      </c>
      <c r="N157" s="6">
        <f t="shared" si="104"/>
        <v>0</v>
      </c>
      <c r="O157" s="6">
        <f t="shared" si="104"/>
        <v>0</v>
      </c>
      <c r="P157" s="6">
        <f t="shared" si="104"/>
        <v>0</v>
      </c>
      <c r="Q157" s="6">
        <f t="shared" si="104"/>
        <v>0</v>
      </c>
      <c r="R157" s="6">
        <f t="shared" si="104"/>
        <v>0</v>
      </c>
      <c r="S157" s="6">
        <f t="shared" si="104"/>
        <v>0</v>
      </c>
      <c r="T157" s="8"/>
      <c r="U157" s="8"/>
      <c r="V157" s="8"/>
      <c r="W157" s="6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</row>
    <row r="158" spans="1:103" x14ac:dyDescent="0.25">
      <c r="A158" s="14"/>
      <c r="B158" s="13" t="s">
        <v>514</v>
      </c>
      <c r="C158" t="s">
        <v>513</v>
      </c>
      <c r="D158" s="29" t="s">
        <v>22</v>
      </c>
      <c r="E158" s="29" t="s">
        <v>22</v>
      </c>
      <c r="F158" s="35">
        <f t="shared" ref="F158:S158" si="105">IF(SUM($F157:$S157)=0,0,F157/SUM($F157:$S157))</f>
        <v>0</v>
      </c>
      <c r="G158" s="35">
        <f t="shared" si="105"/>
        <v>0</v>
      </c>
      <c r="H158" s="35">
        <f t="shared" si="105"/>
        <v>0</v>
      </c>
      <c r="I158" s="35">
        <f t="shared" si="105"/>
        <v>0</v>
      </c>
      <c r="J158" s="35">
        <f t="shared" si="105"/>
        <v>0</v>
      </c>
      <c r="K158" s="35">
        <f t="shared" si="105"/>
        <v>0</v>
      </c>
      <c r="L158" s="35">
        <f t="shared" si="105"/>
        <v>0</v>
      </c>
      <c r="M158" s="35">
        <f t="shared" si="105"/>
        <v>0</v>
      </c>
      <c r="N158" s="35">
        <f t="shared" si="105"/>
        <v>0</v>
      </c>
      <c r="O158" s="35">
        <f t="shared" si="105"/>
        <v>0</v>
      </c>
      <c r="P158" s="35">
        <f t="shared" si="105"/>
        <v>0</v>
      </c>
      <c r="Q158" s="35">
        <f t="shared" si="105"/>
        <v>0</v>
      </c>
      <c r="R158" s="35">
        <f t="shared" si="105"/>
        <v>0</v>
      </c>
      <c r="S158" s="35">
        <f t="shared" si="105"/>
        <v>0</v>
      </c>
      <c r="T158" s="8"/>
      <c r="U158" s="8"/>
      <c r="V158" s="8"/>
      <c r="W158" s="6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</row>
    <row r="159" spans="1:103" x14ac:dyDescent="0.25">
      <c r="A159" s="14"/>
      <c r="B159" s="13" t="s">
        <v>515</v>
      </c>
      <c r="C159" t="s">
        <v>508</v>
      </c>
      <c r="D159" s="6">
        <f>SUM(F159:S159)</f>
        <v>0</v>
      </c>
      <c r="E159" s="29" t="s">
        <v>22</v>
      </c>
      <c r="F159" s="6">
        <f t="shared" ref="F159:S159" si="106">$D156*F158</f>
        <v>0</v>
      </c>
      <c r="G159" s="6">
        <f t="shared" si="106"/>
        <v>0</v>
      </c>
      <c r="H159" s="6">
        <f t="shared" si="106"/>
        <v>0</v>
      </c>
      <c r="I159" s="6">
        <f t="shared" si="106"/>
        <v>0</v>
      </c>
      <c r="J159" s="6">
        <f t="shared" si="106"/>
        <v>0</v>
      </c>
      <c r="K159" s="6">
        <f t="shared" si="106"/>
        <v>0</v>
      </c>
      <c r="L159" s="6">
        <f t="shared" si="106"/>
        <v>0</v>
      </c>
      <c r="M159" s="6">
        <f t="shared" si="106"/>
        <v>0</v>
      </c>
      <c r="N159" s="6">
        <f t="shared" si="106"/>
        <v>0</v>
      </c>
      <c r="O159" s="6">
        <f t="shared" si="106"/>
        <v>0</v>
      </c>
      <c r="P159" s="6">
        <f t="shared" si="106"/>
        <v>0</v>
      </c>
      <c r="Q159" s="6">
        <f t="shared" si="106"/>
        <v>0</v>
      </c>
      <c r="R159" s="6">
        <f t="shared" si="106"/>
        <v>0</v>
      </c>
      <c r="S159" s="6">
        <f t="shared" si="106"/>
        <v>0</v>
      </c>
      <c r="T159" s="8"/>
      <c r="U159" s="8">
        <v>1</v>
      </c>
      <c r="V159" s="8"/>
      <c r="W159" s="6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</row>
    <row r="160" spans="1:103" x14ac:dyDescent="0.25">
      <c r="A160" s="14"/>
      <c r="B160" s="23">
        <f>IF(D160=0,0,E161/D160)</f>
        <v>0</v>
      </c>
      <c r="C160" t="s">
        <v>509</v>
      </c>
      <c r="D160" s="22">
        <f>SUM(F160:S160)</f>
        <v>0</v>
      </c>
      <c r="E160" s="30" t="s">
        <v>22</v>
      </c>
      <c r="F160" s="22">
        <f t="shared" ref="F160:S160" si="107">$I$4*F159</f>
        <v>0</v>
      </c>
      <c r="G160" s="22">
        <f t="shared" si="107"/>
        <v>0</v>
      </c>
      <c r="H160" s="22">
        <f t="shared" si="107"/>
        <v>0</v>
      </c>
      <c r="I160" s="22">
        <f t="shared" si="107"/>
        <v>0</v>
      </c>
      <c r="J160" s="22">
        <f t="shared" si="107"/>
        <v>0</v>
      </c>
      <c r="K160" s="22">
        <f t="shared" si="107"/>
        <v>0</v>
      </c>
      <c r="L160" s="22">
        <f t="shared" si="107"/>
        <v>0</v>
      </c>
      <c r="M160" s="22">
        <f t="shared" si="107"/>
        <v>0</v>
      </c>
      <c r="N160" s="22">
        <f t="shared" si="107"/>
        <v>0</v>
      </c>
      <c r="O160" s="22">
        <f t="shared" si="107"/>
        <v>0</v>
      </c>
      <c r="P160" s="22">
        <f t="shared" si="107"/>
        <v>0</v>
      </c>
      <c r="Q160" s="22">
        <f t="shared" si="107"/>
        <v>0</v>
      </c>
      <c r="R160" s="22">
        <f t="shared" si="107"/>
        <v>0</v>
      </c>
      <c r="S160" s="22">
        <f t="shared" si="107"/>
        <v>0</v>
      </c>
      <c r="T160" s="8"/>
      <c r="U160" s="8">
        <v>2</v>
      </c>
      <c r="V160" s="8"/>
      <c r="W160" s="6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</row>
    <row r="161" spans="1:103" x14ac:dyDescent="0.25">
      <c r="A161" s="14"/>
      <c r="C161" t="s">
        <v>510</v>
      </c>
      <c r="D161" s="33" t="s">
        <v>22</v>
      </c>
      <c r="E161" s="34">
        <f>SUM(F161:S161)</f>
        <v>0</v>
      </c>
      <c r="F161" s="34">
        <f>$E156*F158</f>
        <v>0</v>
      </c>
      <c r="G161" s="34">
        <f t="shared" ref="G161:S161" si="108">$E156*G158</f>
        <v>0</v>
      </c>
      <c r="H161" s="34">
        <f t="shared" si="108"/>
        <v>0</v>
      </c>
      <c r="I161" s="34">
        <f t="shared" si="108"/>
        <v>0</v>
      </c>
      <c r="J161" s="34">
        <f t="shared" si="108"/>
        <v>0</v>
      </c>
      <c r="K161" s="34">
        <f t="shared" si="108"/>
        <v>0</v>
      </c>
      <c r="L161" s="34">
        <f t="shared" si="108"/>
        <v>0</v>
      </c>
      <c r="M161" s="34">
        <f t="shared" si="108"/>
        <v>0</v>
      </c>
      <c r="N161" s="34">
        <f t="shared" si="108"/>
        <v>0</v>
      </c>
      <c r="O161" s="34">
        <f t="shared" si="108"/>
        <v>0</v>
      </c>
      <c r="P161" s="34">
        <f t="shared" si="108"/>
        <v>0</v>
      </c>
      <c r="Q161" s="34">
        <f t="shared" si="108"/>
        <v>0</v>
      </c>
      <c r="R161" s="34">
        <f t="shared" si="108"/>
        <v>0</v>
      </c>
      <c r="S161" s="34">
        <f t="shared" si="108"/>
        <v>0</v>
      </c>
      <c r="T161" s="8"/>
      <c r="U161" s="8">
        <v>3</v>
      </c>
      <c r="V161" s="8"/>
      <c r="W161" s="6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</row>
    <row r="162" spans="1:103" x14ac:dyDescent="0.25">
      <c r="A162" s="1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8"/>
      <c r="U162" s="8"/>
      <c r="V162" s="8"/>
      <c r="W162" s="6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</row>
    <row r="163" spans="1:103" x14ac:dyDescent="0.25">
      <c r="A163" s="14">
        <v>19</v>
      </c>
      <c r="B163" s="13">
        <f>C27</f>
        <v>0</v>
      </c>
      <c r="C163" s="14" t="s">
        <v>511</v>
      </c>
      <c r="D163" s="6">
        <f t="shared" ref="D163:S163" si="109">D27</f>
        <v>0</v>
      </c>
      <c r="E163" s="6">
        <f t="shared" si="109"/>
        <v>0</v>
      </c>
      <c r="F163" s="6">
        <f t="shared" si="109"/>
        <v>0</v>
      </c>
      <c r="G163" s="6">
        <f t="shared" si="109"/>
        <v>0</v>
      </c>
      <c r="H163" s="6">
        <f t="shared" si="109"/>
        <v>0</v>
      </c>
      <c r="I163" s="6">
        <f t="shared" si="109"/>
        <v>0</v>
      </c>
      <c r="J163" s="6">
        <f t="shared" si="109"/>
        <v>0</v>
      </c>
      <c r="K163" s="6">
        <f t="shared" si="109"/>
        <v>0</v>
      </c>
      <c r="L163" s="6">
        <f t="shared" si="109"/>
        <v>0</v>
      </c>
      <c r="M163" s="6">
        <f t="shared" si="109"/>
        <v>0</v>
      </c>
      <c r="N163" s="6">
        <f t="shared" si="109"/>
        <v>0</v>
      </c>
      <c r="O163" s="6">
        <f t="shared" si="109"/>
        <v>0</v>
      </c>
      <c r="P163" s="6">
        <f t="shared" si="109"/>
        <v>0</v>
      </c>
      <c r="Q163" s="6">
        <f t="shared" si="109"/>
        <v>0</v>
      </c>
      <c r="R163" s="6">
        <f t="shared" si="109"/>
        <v>0</v>
      </c>
      <c r="S163" s="6">
        <f t="shared" si="109"/>
        <v>0</v>
      </c>
      <c r="T163" s="8"/>
      <c r="U163" s="8"/>
      <c r="V163" s="8"/>
      <c r="W163" s="6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</row>
    <row r="164" spans="1:103" x14ac:dyDescent="0.25">
      <c r="A164" s="14"/>
      <c r="C164" t="s">
        <v>512</v>
      </c>
      <c r="D164" s="29" t="s">
        <v>22</v>
      </c>
      <c r="E164" s="29" t="s">
        <v>22</v>
      </c>
      <c r="F164" s="6">
        <f t="shared" ref="F164:S164" si="110">IF(F163&lt;$D$4*SUM($F163:$S163),0,F163)</f>
        <v>0</v>
      </c>
      <c r="G164" s="6">
        <f t="shared" si="110"/>
        <v>0</v>
      </c>
      <c r="H164" s="6">
        <f t="shared" si="110"/>
        <v>0</v>
      </c>
      <c r="I164" s="6">
        <f t="shared" si="110"/>
        <v>0</v>
      </c>
      <c r="J164" s="6">
        <f t="shared" si="110"/>
        <v>0</v>
      </c>
      <c r="K164" s="6">
        <f t="shared" si="110"/>
        <v>0</v>
      </c>
      <c r="L164" s="6">
        <f t="shared" si="110"/>
        <v>0</v>
      </c>
      <c r="M164" s="6">
        <f t="shared" si="110"/>
        <v>0</v>
      </c>
      <c r="N164" s="6">
        <f t="shared" si="110"/>
        <v>0</v>
      </c>
      <c r="O164" s="6">
        <f t="shared" si="110"/>
        <v>0</v>
      </c>
      <c r="P164" s="6">
        <f t="shared" si="110"/>
        <v>0</v>
      </c>
      <c r="Q164" s="6">
        <f t="shared" si="110"/>
        <v>0</v>
      </c>
      <c r="R164" s="6">
        <f t="shared" si="110"/>
        <v>0</v>
      </c>
      <c r="S164" s="6">
        <f t="shared" si="110"/>
        <v>0</v>
      </c>
      <c r="T164" s="8"/>
      <c r="U164" s="8"/>
      <c r="V164" s="8"/>
      <c r="W164" s="6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</row>
    <row r="165" spans="1:103" x14ac:dyDescent="0.25">
      <c r="A165" s="14"/>
      <c r="B165" s="13" t="s">
        <v>514</v>
      </c>
      <c r="C165" t="s">
        <v>513</v>
      </c>
      <c r="D165" s="29" t="s">
        <v>22</v>
      </c>
      <c r="E165" s="29" t="s">
        <v>22</v>
      </c>
      <c r="F165" s="35">
        <f t="shared" ref="F165:S165" si="111">IF(SUM($F164:$S164)=0,0,F164/SUM($F164:$S164))</f>
        <v>0</v>
      </c>
      <c r="G165" s="35">
        <f t="shared" si="111"/>
        <v>0</v>
      </c>
      <c r="H165" s="35">
        <f t="shared" si="111"/>
        <v>0</v>
      </c>
      <c r="I165" s="35">
        <f t="shared" si="111"/>
        <v>0</v>
      </c>
      <c r="J165" s="35">
        <f t="shared" si="111"/>
        <v>0</v>
      </c>
      <c r="K165" s="35">
        <f t="shared" si="111"/>
        <v>0</v>
      </c>
      <c r="L165" s="35">
        <f t="shared" si="111"/>
        <v>0</v>
      </c>
      <c r="M165" s="35">
        <f t="shared" si="111"/>
        <v>0</v>
      </c>
      <c r="N165" s="35">
        <f t="shared" si="111"/>
        <v>0</v>
      </c>
      <c r="O165" s="35">
        <f t="shared" si="111"/>
        <v>0</v>
      </c>
      <c r="P165" s="35">
        <f t="shared" si="111"/>
        <v>0</v>
      </c>
      <c r="Q165" s="35">
        <f t="shared" si="111"/>
        <v>0</v>
      </c>
      <c r="R165" s="35">
        <f t="shared" si="111"/>
        <v>0</v>
      </c>
      <c r="S165" s="35">
        <f t="shared" si="111"/>
        <v>0</v>
      </c>
      <c r="T165" s="8"/>
      <c r="U165" s="8"/>
      <c r="V165" s="8"/>
      <c r="W165" s="6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</row>
    <row r="166" spans="1:103" x14ac:dyDescent="0.25">
      <c r="A166" s="14"/>
      <c r="B166" s="13" t="s">
        <v>515</v>
      </c>
      <c r="C166" t="s">
        <v>508</v>
      </c>
      <c r="D166" s="6">
        <f>SUM(F166:S166)</f>
        <v>0</v>
      </c>
      <c r="E166" s="29" t="s">
        <v>22</v>
      </c>
      <c r="F166" s="6">
        <f t="shared" ref="F166:S166" si="112">$D163*F165</f>
        <v>0</v>
      </c>
      <c r="G166" s="6">
        <f t="shared" si="112"/>
        <v>0</v>
      </c>
      <c r="H166" s="6">
        <f t="shared" si="112"/>
        <v>0</v>
      </c>
      <c r="I166" s="6">
        <f t="shared" si="112"/>
        <v>0</v>
      </c>
      <c r="J166" s="6">
        <f t="shared" si="112"/>
        <v>0</v>
      </c>
      <c r="K166" s="6">
        <f t="shared" si="112"/>
        <v>0</v>
      </c>
      <c r="L166" s="6">
        <f t="shared" si="112"/>
        <v>0</v>
      </c>
      <c r="M166" s="6">
        <f t="shared" si="112"/>
        <v>0</v>
      </c>
      <c r="N166" s="6">
        <f t="shared" si="112"/>
        <v>0</v>
      </c>
      <c r="O166" s="6">
        <f t="shared" si="112"/>
        <v>0</v>
      </c>
      <c r="P166" s="6">
        <f t="shared" si="112"/>
        <v>0</v>
      </c>
      <c r="Q166" s="6">
        <f t="shared" si="112"/>
        <v>0</v>
      </c>
      <c r="R166" s="6">
        <f t="shared" si="112"/>
        <v>0</v>
      </c>
      <c r="S166" s="6">
        <f t="shared" si="112"/>
        <v>0</v>
      </c>
      <c r="T166" s="8"/>
      <c r="U166" s="8">
        <v>1</v>
      </c>
      <c r="V166" s="8"/>
      <c r="W166" s="6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</row>
    <row r="167" spans="1:103" x14ac:dyDescent="0.25">
      <c r="A167" s="14"/>
      <c r="B167" s="23">
        <f>IF(D167=0,0,E168/D167)</f>
        <v>0</v>
      </c>
      <c r="C167" t="s">
        <v>509</v>
      </c>
      <c r="D167" s="22">
        <f>SUM(F167:S167)</f>
        <v>0</v>
      </c>
      <c r="E167" s="30" t="s">
        <v>22</v>
      </c>
      <c r="F167" s="22">
        <f t="shared" ref="F167:S167" si="113">$I$4*F166</f>
        <v>0</v>
      </c>
      <c r="G167" s="22">
        <f t="shared" si="113"/>
        <v>0</v>
      </c>
      <c r="H167" s="22">
        <f t="shared" si="113"/>
        <v>0</v>
      </c>
      <c r="I167" s="22">
        <f t="shared" si="113"/>
        <v>0</v>
      </c>
      <c r="J167" s="22">
        <f t="shared" si="113"/>
        <v>0</v>
      </c>
      <c r="K167" s="22">
        <f t="shared" si="113"/>
        <v>0</v>
      </c>
      <c r="L167" s="22">
        <f t="shared" si="113"/>
        <v>0</v>
      </c>
      <c r="M167" s="22">
        <f t="shared" si="113"/>
        <v>0</v>
      </c>
      <c r="N167" s="22">
        <f t="shared" si="113"/>
        <v>0</v>
      </c>
      <c r="O167" s="22">
        <f t="shared" si="113"/>
        <v>0</v>
      </c>
      <c r="P167" s="22">
        <f t="shared" si="113"/>
        <v>0</v>
      </c>
      <c r="Q167" s="22">
        <f t="shared" si="113"/>
        <v>0</v>
      </c>
      <c r="R167" s="22">
        <f t="shared" si="113"/>
        <v>0</v>
      </c>
      <c r="S167" s="22">
        <f t="shared" si="113"/>
        <v>0</v>
      </c>
      <c r="T167" s="8"/>
      <c r="U167" s="8">
        <v>2</v>
      </c>
      <c r="V167" s="8"/>
      <c r="W167" s="6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</row>
    <row r="168" spans="1:103" x14ac:dyDescent="0.25">
      <c r="A168" s="14"/>
      <c r="C168" t="s">
        <v>510</v>
      </c>
      <c r="D168" s="33" t="s">
        <v>22</v>
      </c>
      <c r="E168" s="34">
        <f>SUM(F168:S168)</f>
        <v>0</v>
      </c>
      <c r="F168" s="34">
        <f>$E163*F165</f>
        <v>0</v>
      </c>
      <c r="G168" s="34">
        <f t="shared" ref="G168:S168" si="114">$E163*G165</f>
        <v>0</v>
      </c>
      <c r="H168" s="34">
        <f t="shared" si="114"/>
        <v>0</v>
      </c>
      <c r="I168" s="34">
        <f t="shared" si="114"/>
        <v>0</v>
      </c>
      <c r="J168" s="34">
        <f t="shared" si="114"/>
        <v>0</v>
      </c>
      <c r="K168" s="34">
        <f t="shared" si="114"/>
        <v>0</v>
      </c>
      <c r="L168" s="34">
        <f t="shared" si="114"/>
        <v>0</v>
      </c>
      <c r="M168" s="34">
        <f t="shared" si="114"/>
        <v>0</v>
      </c>
      <c r="N168" s="34">
        <f t="shared" si="114"/>
        <v>0</v>
      </c>
      <c r="O168" s="34">
        <f t="shared" si="114"/>
        <v>0</v>
      </c>
      <c r="P168" s="34">
        <f t="shared" si="114"/>
        <v>0</v>
      </c>
      <c r="Q168" s="34">
        <f t="shared" si="114"/>
        <v>0</v>
      </c>
      <c r="R168" s="34">
        <f t="shared" si="114"/>
        <v>0</v>
      </c>
      <c r="S168" s="34">
        <f t="shared" si="114"/>
        <v>0</v>
      </c>
      <c r="T168" s="8"/>
      <c r="U168" s="8">
        <v>3</v>
      </c>
      <c r="V168" s="8"/>
      <c r="W168" s="6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</row>
    <row r="169" spans="1:103" x14ac:dyDescent="0.25">
      <c r="A169" s="1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8"/>
      <c r="U169" s="8"/>
      <c r="V169" s="8"/>
      <c r="W169" s="6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</row>
    <row r="170" spans="1:103" x14ac:dyDescent="0.25">
      <c r="A170" s="14">
        <v>20</v>
      </c>
      <c r="B170" s="13">
        <f>C28</f>
        <v>0</v>
      </c>
      <c r="C170" s="14" t="s">
        <v>511</v>
      </c>
      <c r="D170" s="6">
        <f t="shared" ref="D170:S170" si="115">D28</f>
        <v>0</v>
      </c>
      <c r="E170" s="6">
        <f t="shared" si="115"/>
        <v>0</v>
      </c>
      <c r="F170" s="6">
        <f t="shared" si="115"/>
        <v>0</v>
      </c>
      <c r="G170" s="6">
        <f t="shared" si="115"/>
        <v>0</v>
      </c>
      <c r="H170" s="6">
        <f t="shared" si="115"/>
        <v>0</v>
      </c>
      <c r="I170" s="6">
        <f t="shared" si="115"/>
        <v>0</v>
      </c>
      <c r="J170" s="6">
        <f t="shared" si="115"/>
        <v>0</v>
      </c>
      <c r="K170" s="6">
        <f t="shared" si="115"/>
        <v>0</v>
      </c>
      <c r="L170" s="6">
        <f t="shared" si="115"/>
        <v>0</v>
      </c>
      <c r="M170" s="6">
        <f t="shared" si="115"/>
        <v>0</v>
      </c>
      <c r="N170" s="6">
        <f t="shared" si="115"/>
        <v>0</v>
      </c>
      <c r="O170" s="6">
        <f t="shared" si="115"/>
        <v>0</v>
      </c>
      <c r="P170" s="6">
        <f t="shared" si="115"/>
        <v>0</v>
      </c>
      <c r="Q170" s="6">
        <f t="shared" si="115"/>
        <v>0</v>
      </c>
      <c r="R170" s="6">
        <f t="shared" si="115"/>
        <v>0</v>
      </c>
      <c r="S170" s="6">
        <f t="shared" si="115"/>
        <v>0</v>
      </c>
      <c r="T170" s="8"/>
      <c r="U170" s="8"/>
      <c r="V170" s="8"/>
      <c r="W170" s="6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</row>
    <row r="171" spans="1:103" x14ac:dyDescent="0.25">
      <c r="A171" s="14"/>
      <c r="C171" t="s">
        <v>512</v>
      </c>
      <c r="D171" s="29" t="s">
        <v>22</v>
      </c>
      <c r="E171" s="29" t="s">
        <v>22</v>
      </c>
      <c r="F171" s="6">
        <f t="shared" ref="F171:S171" si="116">IF(F170&lt;$D$4*SUM($F170:$S170),0,F170)</f>
        <v>0</v>
      </c>
      <c r="G171" s="6">
        <f t="shared" si="116"/>
        <v>0</v>
      </c>
      <c r="H171" s="6">
        <f t="shared" si="116"/>
        <v>0</v>
      </c>
      <c r="I171" s="6">
        <f t="shared" si="116"/>
        <v>0</v>
      </c>
      <c r="J171" s="6">
        <f t="shared" si="116"/>
        <v>0</v>
      </c>
      <c r="K171" s="6">
        <f t="shared" si="116"/>
        <v>0</v>
      </c>
      <c r="L171" s="6">
        <f t="shared" si="116"/>
        <v>0</v>
      </c>
      <c r="M171" s="6">
        <f t="shared" si="116"/>
        <v>0</v>
      </c>
      <c r="N171" s="6">
        <f t="shared" si="116"/>
        <v>0</v>
      </c>
      <c r="O171" s="6">
        <f t="shared" si="116"/>
        <v>0</v>
      </c>
      <c r="P171" s="6">
        <f t="shared" si="116"/>
        <v>0</v>
      </c>
      <c r="Q171" s="6">
        <f t="shared" si="116"/>
        <v>0</v>
      </c>
      <c r="R171" s="6">
        <f t="shared" si="116"/>
        <v>0</v>
      </c>
      <c r="S171" s="6">
        <f t="shared" si="116"/>
        <v>0</v>
      </c>
      <c r="T171" s="8"/>
      <c r="U171" s="8"/>
      <c r="V171" s="8"/>
      <c r="W171" s="6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</row>
    <row r="172" spans="1:103" x14ac:dyDescent="0.25">
      <c r="A172" s="14"/>
      <c r="B172" s="13" t="s">
        <v>514</v>
      </c>
      <c r="C172" t="s">
        <v>513</v>
      </c>
      <c r="D172" s="29" t="s">
        <v>22</v>
      </c>
      <c r="E172" s="29" t="s">
        <v>22</v>
      </c>
      <c r="F172" s="35">
        <f t="shared" ref="F172:S172" si="117">IF(SUM($F171:$S171)=0,0,F171/SUM($F171:$S171))</f>
        <v>0</v>
      </c>
      <c r="G172" s="35">
        <f t="shared" si="117"/>
        <v>0</v>
      </c>
      <c r="H172" s="35">
        <f t="shared" si="117"/>
        <v>0</v>
      </c>
      <c r="I172" s="35">
        <f t="shared" si="117"/>
        <v>0</v>
      </c>
      <c r="J172" s="35">
        <f t="shared" si="117"/>
        <v>0</v>
      </c>
      <c r="K172" s="35">
        <f t="shared" si="117"/>
        <v>0</v>
      </c>
      <c r="L172" s="35">
        <f t="shared" si="117"/>
        <v>0</v>
      </c>
      <c r="M172" s="35">
        <f t="shared" si="117"/>
        <v>0</v>
      </c>
      <c r="N172" s="35">
        <f t="shared" si="117"/>
        <v>0</v>
      </c>
      <c r="O172" s="35">
        <f t="shared" si="117"/>
        <v>0</v>
      </c>
      <c r="P172" s="35">
        <f t="shared" si="117"/>
        <v>0</v>
      </c>
      <c r="Q172" s="35">
        <f t="shared" si="117"/>
        <v>0</v>
      </c>
      <c r="R172" s="35">
        <f t="shared" si="117"/>
        <v>0</v>
      </c>
      <c r="S172" s="35">
        <f t="shared" si="117"/>
        <v>0</v>
      </c>
      <c r="T172" s="8"/>
      <c r="U172" s="6"/>
      <c r="V172" s="8"/>
      <c r="W172" s="6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</row>
    <row r="173" spans="1:103" x14ac:dyDescent="0.25">
      <c r="A173" s="14"/>
      <c r="B173" s="13" t="s">
        <v>515</v>
      </c>
      <c r="C173" t="s">
        <v>508</v>
      </c>
      <c r="D173" s="6">
        <f>SUM(F173:S173)</f>
        <v>0</v>
      </c>
      <c r="E173" s="29" t="s">
        <v>22</v>
      </c>
      <c r="F173" s="6">
        <f t="shared" ref="F173:S173" si="118">$D170*F172</f>
        <v>0</v>
      </c>
      <c r="G173" s="6">
        <f t="shared" si="118"/>
        <v>0</v>
      </c>
      <c r="H173" s="6">
        <f t="shared" si="118"/>
        <v>0</v>
      </c>
      <c r="I173" s="6">
        <f t="shared" si="118"/>
        <v>0</v>
      </c>
      <c r="J173" s="6">
        <f t="shared" si="118"/>
        <v>0</v>
      </c>
      <c r="K173" s="6">
        <f t="shared" si="118"/>
        <v>0</v>
      </c>
      <c r="L173" s="6">
        <f t="shared" si="118"/>
        <v>0</v>
      </c>
      <c r="M173" s="6">
        <f t="shared" si="118"/>
        <v>0</v>
      </c>
      <c r="N173" s="6">
        <f t="shared" si="118"/>
        <v>0</v>
      </c>
      <c r="O173" s="6">
        <f t="shared" si="118"/>
        <v>0</v>
      </c>
      <c r="P173" s="6">
        <f t="shared" si="118"/>
        <v>0</v>
      </c>
      <c r="Q173" s="6">
        <f t="shared" si="118"/>
        <v>0</v>
      </c>
      <c r="R173" s="6">
        <f t="shared" si="118"/>
        <v>0</v>
      </c>
      <c r="S173" s="6">
        <f t="shared" si="118"/>
        <v>0</v>
      </c>
      <c r="T173" s="8"/>
      <c r="U173" s="8">
        <v>1</v>
      </c>
      <c r="V173" s="8"/>
      <c r="W173" s="6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</row>
    <row r="174" spans="1:103" x14ac:dyDescent="0.25">
      <c r="A174" s="14"/>
      <c r="B174" s="23">
        <f>IF(D174=0,0,E175/D174)</f>
        <v>0</v>
      </c>
      <c r="C174" t="s">
        <v>509</v>
      </c>
      <c r="D174" s="22">
        <f>SUM(F174:S174)</f>
        <v>0</v>
      </c>
      <c r="E174" s="30" t="s">
        <v>22</v>
      </c>
      <c r="F174" s="22">
        <f t="shared" ref="F174:S174" si="119">$I$4*F173</f>
        <v>0</v>
      </c>
      <c r="G174" s="22">
        <f t="shared" si="119"/>
        <v>0</v>
      </c>
      <c r="H174" s="22">
        <f t="shared" si="119"/>
        <v>0</v>
      </c>
      <c r="I174" s="22">
        <f t="shared" si="119"/>
        <v>0</v>
      </c>
      <c r="J174" s="22">
        <f t="shared" si="119"/>
        <v>0</v>
      </c>
      <c r="K174" s="22">
        <f t="shared" si="119"/>
        <v>0</v>
      </c>
      <c r="L174" s="22">
        <f t="shared" si="119"/>
        <v>0</v>
      </c>
      <c r="M174" s="22">
        <f t="shared" si="119"/>
        <v>0</v>
      </c>
      <c r="N174" s="22">
        <f t="shared" si="119"/>
        <v>0</v>
      </c>
      <c r="O174" s="22">
        <f t="shared" si="119"/>
        <v>0</v>
      </c>
      <c r="P174" s="22">
        <f t="shared" si="119"/>
        <v>0</v>
      </c>
      <c r="Q174" s="22">
        <f t="shared" si="119"/>
        <v>0</v>
      </c>
      <c r="R174" s="22">
        <f t="shared" si="119"/>
        <v>0</v>
      </c>
      <c r="S174" s="22">
        <f t="shared" si="119"/>
        <v>0</v>
      </c>
      <c r="T174" s="8"/>
      <c r="U174" s="8">
        <v>2</v>
      </c>
      <c r="V174" s="8"/>
      <c r="W174" s="6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</row>
    <row r="175" spans="1:103" x14ac:dyDescent="0.25">
      <c r="A175" s="14"/>
      <c r="C175" t="s">
        <v>510</v>
      </c>
      <c r="D175" s="33" t="s">
        <v>22</v>
      </c>
      <c r="E175" s="34">
        <f>SUM(F175:S175)</f>
        <v>0</v>
      </c>
      <c r="F175" s="34">
        <f>$E170*F172</f>
        <v>0</v>
      </c>
      <c r="G175" s="34">
        <f t="shared" ref="G175:S175" si="120">$E170*G172</f>
        <v>0</v>
      </c>
      <c r="H175" s="34">
        <f t="shared" si="120"/>
        <v>0</v>
      </c>
      <c r="I175" s="34">
        <f t="shared" si="120"/>
        <v>0</v>
      </c>
      <c r="J175" s="34">
        <f t="shared" si="120"/>
        <v>0</v>
      </c>
      <c r="K175" s="34">
        <f t="shared" si="120"/>
        <v>0</v>
      </c>
      <c r="L175" s="34">
        <f t="shared" si="120"/>
        <v>0</v>
      </c>
      <c r="M175" s="34">
        <f t="shared" si="120"/>
        <v>0</v>
      </c>
      <c r="N175" s="34">
        <f t="shared" si="120"/>
        <v>0</v>
      </c>
      <c r="O175" s="34">
        <f t="shared" si="120"/>
        <v>0</v>
      </c>
      <c r="P175" s="34">
        <f t="shared" si="120"/>
        <v>0</v>
      </c>
      <c r="Q175" s="34">
        <f t="shared" si="120"/>
        <v>0</v>
      </c>
      <c r="R175" s="34">
        <f t="shared" si="120"/>
        <v>0</v>
      </c>
      <c r="S175" s="34">
        <f t="shared" si="120"/>
        <v>0</v>
      </c>
      <c r="T175" s="8"/>
      <c r="U175" s="8">
        <v>3</v>
      </c>
      <c r="V175" s="8"/>
      <c r="W175" s="6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</row>
    <row r="176" spans="1:103" x14ac:dyDescent="0.25">
      <c r="A176" s="47" t="s">
        <v>575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</row>
    <row r="177" spans="1:103" hidden="1" x14ac:dyDescent="0.25">
      <c r="A177" s="14"/>
      <c r="C177" s="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</row>
    <row r="178" spans="1:103" hidden="1" x14ac:dyDescent="0.25">
      <c r="C178" s="1"/>
      <c r="D178" s="28"/>
      <c r="E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</row>
    <row r="179" spans="1:103" hidden="1" x14ac:dyDescent="0.25">
      <c r="C179" s="1"/>
      <c r="D179" s="28"/>
      <c r="E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</row>
    <row r="180" spans="1:103" hidden="1" x14ac:dyDescent="0.25">
      <c r="A180" s="14"/>
      <c r="D180" s="25"/>
      <c r="E180" s="5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</row>
    <row r="181" spans="1:103" hidden="1" x14ac:dyDescent="0.25">
      <c r="A181" s="14"/>
      <c r="C181" s="1"/>
      <c r="D181" s="25"/>
      <c r="E181" s="5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</row>
    <row r="182" spans="1:103" hidden="1" x14ac:dyDescent="0.25">
      <c r="A182" s="14"/>
      <c r="C182" s="1"/>
      <c r="D182" s="25"/>
      <c r="E182" s="5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</row>
    <row r="183" spans="1:103" hidden="1" x14ac:dyDescent="0.25">
      <c r="A183" s="14"/>
      <c r="C183" s="1"/>
      <c r="D183" s="25"/>
      <c r="E183" s="5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</row>
    <row r="184" spans="1:103" hidden="1" x14ac:dyDescent="0.25">
      <c r="A184" s="14"/>
      <c r="C184" s="1"/>
      <c r="D184" s="25"/>
      <c r="E184" s="5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</row>
    <row r="185" spans="1:103" hidden="1" x14ac:dyDescent="0.25">
      <c r="A185" s="14"/>
      <c r="C185" s="1"/>
      <c r="D185" s="25"/>
      <c r="E185" s="5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</row>
    <row r="186" spans="1:103" hidden="1" x14ac:dyDescent="0.25">
      <c r="A186" s="14"/>
      <c r="C186" s="1"/>
      <c r="D186" s="25"/>
      <c r="E186" s="5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</row>
    <row r="187" spans="1:103" hidden="1" x14ac:dyDescent="0.25">
      <c r="A187" s="14"/>
      <c r="C187" s="1"/>
      <c r="D187" s="25"/>
      <c r="E187" s="5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</row>
    <row r="188" spans="1:103" hidden="1" x14ac:dyDescent="0.25">
      <c r="A188" s="14"/>
      <c r="C188" s="1"/>
      <c r="D188" s="25"/>
      <c r="E188" s="5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</row>
    <row r="189" spans="1:103" hidden="1" x14ac:dyDescent="0.25">
      <c r="A189" s="14"/>
      <c r="C189" s="1"/>
      <c r="D189" s="25"/>
      <c r="E189" s="5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</row>
    <row r="190" spans="1:103" hidden="1" x14ac:dyDescent="0.25">
      <c r="A190" s="14"/>
      <c r="C190" s="1"/>
      <c r="D190" s="25"/>
      <c r="E190" s="5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</row>
    <row r="191" spans="1:103" hidden="1" x14ac:dyDescent="0.25">
      <c r="A191" s="14"/>
      <c r="C191" s="1"/>
      <c r="D191" s="25"/>
      <c r="E191" s="5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</row>
    <row r="192" spans="1:103" hidden="1" x14ac:dyDescent="0.25">
      <c r="A192" s="14"/>
      <c r="C192" s="1"/>
      <c r="D192" s="25"/>
      <c r="E192" s="5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</row>
    <row r="193" spans="1:103" hidden="1" x14ac:dyDescent="0.25">
      <c r="A193" s="14"/>
      <c r="C193" s="1"/>
      <c r="D193" s="25"/>
      <c r="E193" s="5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</row>
    <row r="194" spans="1:103" hidden="1" x14ac:dyDescent="0.25">
      <c r="A194" s="14"/>
      <c r="C194" s="1"/>
      <c r="D194" s="25"/>
      <c r="E194" s="5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</row>
    <row r="195" spans="1:103" hidden="1" x14ac:dyDescent="0.25">
      <c r="A195" s="14"/>
      <c r="C195" s="1"/>
      <c r="D195" s="25"/>
      <c r="E195" s="5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</row>
    <row r="196" spans="1:103" hidden="1" x14ac:dyDescent="0.25">
      <c r="A196" s="14"/>
      <c r="C196" s="1"/>
      <c r="D196" s="25"/>
      <c r="E196" s="5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</row>
    <row r="197" spans="1:103" hidden="1" x14ac:dyDescent="0.25">
      <c r="A197" s="14"/>
      <c r="C197" s="1"/>
      <c r="D197" s="25"/>
      <c r="E197" s="5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</row>
    <row r="198" spans="1:103" hidden="1" x14ac:dyDescent="0.25">
      <c r="A198" s="14"/>
      <c r="C198" s="1"/>
      <c r="D198" s="25"/>
      <c r="E198" s="5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</row>
    <row r="199" spans="1:103" hidden="1" x14ac:dyDescent="0.25">
      <c r="A199" s="14"/>
      <c r="C199" s="1"/>
      <c r="D199" s="25"/>
      <c r="E199" s="5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</row>
    <row r="200" spans="1:103" hidden="1" x14ac:dyDescent="0.25">
      <c r="C200" s="1"/>
      <c r="D200" s="2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</row>
    <row r="201" spans="1:103" hidden="1" x14ac:dyDescent="0.25">
      <c r="C201" s="1"/>
      <c r="D201" s="2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</row>
    <row r="202" spans="1:103" hidden="1" x14ac:dyDescent="0.25">
      <c r="C202" s="1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</row>
    <row r="203" spans="1:103" hidden="1" x14ac:dyDescent="0.25">
      <c r="A203" s="14"/>
      <c r="C203" s="1"/>
      <c r="D203" s="25"/>
      <c r="E203" s="25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</row>
    <row r="204" spans="1:103" hidden="1" x14ac:dyDescent="0.25">
      <c r="A204" s="14"/>
      <c r="C204" s="1"/>
      <c r="D204" s="25"/>
      <c r="E204" s="25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</row>
    <row r="205" spans="1:103" hidden="1" x14ac:dyDescent="0.25">
      <c r="A205" s="14"/>
      <c r="C205" s="1"/>
      <c r="D205" s="25"/>
      <c r="E205" s="25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</row>
    <row r="206" spans="1:103" hidden="1" x14ac:dyDescent="0.25">
      <c r="A206" s="14"/>
      <c r="C206" s="1"/>
      <c r="D206" s="25"/>
      <c r="E206" s="25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</row>
    <row r="207" spans="1:103" hidden="1" x14ac:dyDescent="0.25">
      <c r="A207" s="14"/>
      <c r="C207" s="1"/>
      <c r="D207" s="25"/>
      <c r="E207" s="25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</row>
    <row r="208" spans="1:103" hidden="1" x14ac:dyDescent="0.25">
      <c r="A208" s="14"/>
      <c r="C208" s="1"/>
      <c r="D208" s="25"/>
      <c r="E208" s="25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</row>
    <row r="209" spans="1:103" hidden="1" x14ac:dyDescent="0.25">
      <c r="A209" s="14"/>
      <c r="C209" s="1"/>
      <c r="D209" s="25"/>
      <c r="E209" s="25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</row>
    <row r="210" spans="1:103" hidden="1" x14ac:dyDescent="0.25">
      <c r="A210" s="14"/>
      <c r="C210" s="1"/>
      <c r="D210" s="25"/>
      <c r="E210" s="25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</row>
    <row r="211" spans="1:103" hidden="1" x14ac:dyDescent="0.25">
      <c r="A211" s="14"/>
      <c r="C211" s="1"/>
      <c r="D211" s="25"/>
      <c r="E211" s="25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</row>
    <row r="212" spans="1:103" hidden="1" x14ac:dyDescent="0.25">
      <c r="A212" s="14"/>
      <c r="C212" s="1"/>
      <c r="D212" s="25"/>
      <c r="E212" s="25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</row>
    <row r="213" spans="1:103" hidden="1" x14ac:dyDescent="0.25">
      <c r="A213" s="14"/>
      <c r="C213" s="1"/>
      <c r="D213" s="25"/>
      <c r="E213" s="25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</row>
    <row r="214" spans="1:103" hidden="1" x14ac:dyDescent="0.25">
      <c r="A214" s="14"/>
      <c r="C214" s="1"/>
      <c r="D214" s="25"/>
      <c r="E214" s="25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</row>
    <row r="215" spans="1:103" hidden="1" x14ac:dyDescent="0.25">
      <c r="A215" s="14"/>
      <c r="C215" s="1"/>
      <c r="D215" s="25"/>
      <c r="E215" s="25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</row>
    <row r="216" spans="1:103" hidden="1" x14ac:dyDescent="0.25">
      <c r="A216" s="14"/>
      <c r="C216" s="1"/>
      <c r="D216" s="25"/>
      <c r="E216" s="25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</row>
    <row r="217" spans="1:103" hidden="1" x14ac:dyDescent="0.25">
      <c r="A217" s="14"/>
      <c r="C217" s="1"/>
      <c r="D217" s="25"/>
      <c r="E217" s="25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</row>
    <row r="218" spans="1:103" hidden="1" x14ac:dyDescent="0.25">
      <c r="A218" s="14"/>
      <c r="C218" s="1"/>
      <c r="D218" s="25"/>
      <c r="E218" s="25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</row>
    <row r="219" spans="1:103" hidden="1" x14ac:dyDescent="0.25">
      <c r="A219" s="14"/>
      <c r="C219" s="1"/>
      <c r="D219" s="25"/>
      <c r="E219" s="25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</row>
    <row r="220" spans="1:103" hidden="1" x14ac:dyDescent="0.25">
      <c r="A220" s="14"/>
      <c r="C220" s="1"/>
      <c r="D220" s="25"/>
      <c r="E220" s="25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</row>
    <row r="221" spans="1:103" hidden="1" x14ac:dyDescent="0.25">
      <c r="A221" s="14"/>
      <c r="C221" s="1"/>
      <c r="D221" s="25"/>
      <c r="E221" s="25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</row>
    <row r="222" spans="1:103" hidden="1" x14ac:dyDescent="0.25">
      <c r="A222" s="14"/>
      <c r="C222" s="1"/>
      <c r="D222" s="25"/>
      <c r="E222" s="25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</row>
    <row r="223" spans="1:103" hidden="1" x14ac:dyDescent="0.25">
      <c r="C223" s="1"/>
      <c r="D223" s="2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</row>
    <row r="224" spans="1:103" hidden="1" x14ac:dyDescent="0.25">
      <c r="C224" s="1"/>
      <c r="D224" s="2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</row>
    <row r="225" spans="1:103" hidden="1" x14ac:dyDescent="0.25">
      <c r="C225" s="1"/>
      <c r="D225" s="25"/>
      <c r="E225" s="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</row>
    <row r="226" spans="1:103" hidden="1" x14ac:dyDescent="0.25">
      <c r="A226" s="14"/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</row>
    <row r="227" spans="1:103" hidden="1" x14ac:dyDescent="0.25">
      <c r="A227" s="14"/>
      <c r="D227" s="2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</row>
    <row r="228" spans="1:103" hidden="1" x14ac:dyDescent="0.25">
      <c r="A228" s="14"/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</row>
    <row r="229" spans="1:103" hidden="1" x14ac:dyDescent="0.25">
      <c r="A229" s="14"/>
      <c r="D229" s="2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</row>
    <row r="230" spans="1:103" hidden="1" x14ac:dyDescent="0.25">
      <c r="A230" s="14"/>
      <c r="D230" s="2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</row>
    <row r="231" spans="1:103" hidden="1" x14ac:dyDescent="0.25">
      <c r="A231" s="14"/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</row>
    <row r="232" spans="1:103" hidden="1" x14ac:dyDescent="0.25">
      <c r="A232" s="14"/>
      <c r="D232" s="2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</row>
    <row r="233" spans="1:103" hidden="1" x14ac:dyDescent="0.25">
      <c r="A233" s="14"/>
      <c r="D233" s="2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</row>
    <row r="234" spans="1:103" hidden="1" x14ac:dyDescent="0.25">
      <c r="A234" s="14"/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</row>
    <row r="235" spans="1:103" hidden="1" x14ac:dyDescent="0.25">
      <c r="A235" s="14"/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</row>
    <row r="236" spans="1:103" hidden="1" x14ac:dyDescent="0.25">
      <c r="A236" s="14"/>
      <c r="D236" s="2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</row>
    <row r="237" spans="1:103" hidden="1" x14ac:dyDescent="0.25">
      <c r="A237" s="14"/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</row>
    <row r="238" spans="1:103" hidden="1" x14ac:dyDescent="0.25">
      <c r="A238" s="14"/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</row>
    <row r="239" spans="1:103" hidden="1" x14ac:dyDescent="0.25">
      <c r="A239" s="14"/>
      <c r="D239" s="2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</row>
    <row r="240" spans="1:103" hidden="1" x14ac:dyDescent="0.25">
      <c r="A240" s="14"/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</row>
    <row r="241" spans="1:103" hidden="1" x14ac:dyDescent="0.25">
      <c r="A241" s="14"/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</row>
    <row r="242" spans="1:103" hidden="1" x14ac:dyDescent="0.25">
      <c r="A242" s="14"/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</row>
    <row r="243" spans="1:103" hidden="1" x14ac:dyDescent="0.25">
      <c r="A243" s="14"/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</row>
    <row r="244" spans="1:103" hidden="1" x14ac:dyDescent="0.25">
      <c r="A244" s="14"/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</row>
    <row r="245" spans="1:103" hidden="1" x14ac:dyDescent="0.25">
      <c r="A245" s="14"/>
      <c r="D245" s="2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</row>
    <row r="246" spans="1:103" hidden="1" x14ac:dyDescent="0.25">
      <c r="C246" s="1"/>
      <c r="D246" s="2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</row>
    <row r="247" spans="1:103" hidden="1" x14ac:dyDescent="0.25">
      <c r="C247" s="1"/>
      <c r="D247" s="2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</row>
    <row r="248" spans="1:103" hidden="1" x14ac:dyDescent="0.25">
      <c r="A248" s="14"/>
      <c r="C248" s="1"/>
      <c r="D248" s="2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</row>
    <row r="249" spans="1:103" hidden="1" x14ac:dyDescent="0.25">
      <c r="A249" s="14"/>
      <c r="C249" s="1"/>
      <c r="D249" s="2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</row>
    <row r="250" spans="1:103" hidden="1" x14ac:dyDescent="0.25">
      <c r="A250" s="14"/>
      <c r="C250" s="1"/>
      <c r="D250" s="2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</row>
    <row r="251" spans="1:103" hidden="1" x14ac:dyDescent="0.25">
      <c r="A251" s="14"/>
      <c r="C251" s="1"/>
      <c r="D251" s="2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</row>
    <row r="252" spans="1:103" hidden="1" x14ac:dyDescent="0.25">
      <c r="A252" s="14"/>
      <c r="C252" s="1"/>
      <c r="D252" s="2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</row>
    <row r="253" spans="1:103" hidden="1" x14ac:dyDescent="0.25">
      <c r="A253" s="14"/>
      <c r="C253" s="1"/>
      <c r="D253" s="2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</row>
    <row r="254" spans="1:103" hidden="1" x14ac:dyDescent="0.25">
      <c r="A254" s="14"/>
      <c r="C254" s="1"/>
      <c r="D254" s="2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</row>
    <row r="255" spans="1:103" hidden="1" x14ac:dyDescent="0.25">
      <c r="A255" s="14"/>
      <c r="C255" s="1"/>
      <c r="D255" s="2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</row>
    <row r="256" spans="1:103" hidden="1" x14ac:dyDescent="0.25">
      <c r="A256" s="14"/>
      <c r="C256" s="1"/>
      <c r="D256" s="2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</row>
    <row r="257" spans="1:103" hidden="1" x14ac:dyDescent="0.25">
      <c r="A257" s="14"/>
      <c r="C257" s="1"/>
      <c r="D257" s="2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</row>
    <row r="258" spans="1:103" hidden="1" x14ac:dyDescent="0.25">
      <c r="A258" s="14"/>
      <c r="C258" s="1"/>
      <c r="D258" s="2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</row>
    <row r="259" spans="1:103" hidden="1" x14ac:dyDescent="0.25">
      <c r="A259" s="14"/>
      <c r="C259" s="1"/>
      <c r="D259" s="2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</row>
    <row r="260" spans="1:103" hidden="1" x14ac:dyDescent="0.25">
      <c r="A260" s="14"/>
      <c r="C260" s="1"/>
      <c r="D260" s="2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</row>
    <row r="261" spans="1:103" hidden="1" x14ac:dyDescent="0.25">
      <c r="A261" s="14"/>
      <c r="C261" s="1"/>
      <c r="D261" s="2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</row>
    <row r="262" spans="1:103" hidden="1" x14ac:dyDescent="0.25">
      <c r="A262" s="14"/>
      <c r="C262" s="1"/>
      <c r="D262" s="2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</row>
    <row r="263" spans="1:103" hidden="1" x14ac:dyDescent="0.25">
      <c r="A263" s="14"/>
      <c r="C263" s="1"/>
      <c r="D263" s="2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</row>
    <row r="264" spans="1:103" hidden="1" x14ac:dyDescent="0.25">
      <c r="A264" s="14"/>
      <c r="C264" s="1"/>
      <c r="D264" s="2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</row>
    <row r="265" spans="1:103" hidden="1" x14ac:dyDescent="0.25">
      <c r="A265" s="14"/>
      <c r="C265" s="1"/>
      <c r="D265" s="2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</row>
    <row r="266" spans="1:103" hidden="1" x14ac:dyDescent="0.25">
      <c r="A266" s="14"/>
      <c r="C266" s="1"/>
      <c r="D266" s="2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</row>
    <row r="267" spans="1:103" hidden="1" x14ac:dyDescent="0.25">
      <c r="A267" s="14"/>
      <c r="C267" s="1"/>
      <c r="D267" s="2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</row>
    <row r="268" spans="1:103" hidden="1" x14ac:dyDescent="0.25">
      <c r="C268" s="1"/>
      <c r="D268" s="2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</row>
    <row r="269" spans="1:103" hidden="1" x14ac:dyDescent="0.25">
      <c r="C269" s="1"/>
      <c r="D269" s="2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</row>
    <row r="270" spans="1:103" hidden="1" x14ac:dyDescent="0.25">
      <c r="C270" s="1"/>
      <c r="D270" s="2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</row>
    <row r="271" spans="1:103" hidden="1" x14ac:dyDescent="0.25">
      <c r="C271" s="1"/>
      <c r="D271" s="2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</row>
    <row r="272" spans="1:103" hidden="1" x14ac:dyDescent="0.25">
      <c r="C272" s="1"/>
      <c r="D272" s="2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</row>
    <row r="273" spans="3:103" hidden="1" x14ac:dyDescent="0.25">
      <c r="C273" s="1"/>
      <c r="D273" s="2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</row>
    <row r="274" spans="3:103" hidden="1" x14ac:dyDescent="0.25">
      <c r="C274" s="1"/>
      <c r="D274" s="2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</row>
    <row r="275" spans="3:103" hidden="1" x14ac:dyDescent="0.25">
      <c r="C275" s="1"/>
      <c r="D275" s="2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</row>
    <row r="276" spans="3:103" hidden="1" x14ac:dyDescent="0.25">
      <c r="C276" s="1"/>
      <c r="D276" s="2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</row>
    <row r="277" spans="3:103" hidden="1" x14ac:dyDescent="0.25">
      <c r="C277" s="1"/>
      <c r="D277" s="2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</row>
    <row r="278" spans="3:103" hidden="1" x14ac:dyDescent="0.25">
      <c r="C278" s="1"/>
      <c r="D278" s="2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</row>
    <row r="279" spans="3:103" hidden="1" x14ac:dyDescent="0.25">
      <c r="C279" s="1"/>
      <c r="D279" s="2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</row>
    <row r="280" spans="3:103" hidden="1" x14ac:dyDescent="0.25">
      <c r="C280" s="1"/>
      <c r="D280" s="2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</row>
    <row r="281" spans="3:103" hidden="1" x14ac:dyDescent="0.25">
      <c r="C281" s="1"/>
      <c r="D281" s="2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</row>
    <row r="282" spans="3:103" hidden="1" x14ac:dyDescent="0.25">
      <c r="C282" s="1"/>
      <c r="D282" s="2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</row>
    <row r="283" spans="3:103" hidden="1" x14ac:dyDescent="0.25">
      <c r="C283" s="1"/>
      <c r="D283" s="2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</row>
    <row r="284" spans="3:103" hidden="1" x14ac:dyDescent="0.25">
      <c r="C284" s="1"/>
      <c r="D284" s="2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</row>
    <row r="285" spans="3:103" hidden="1" x14ac:dyDescent="0.25">
      <c r="C285" s="1"/>
      <c r="D285" s="2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</row>
    <row r="286" spans="3:103" hidden="1" x14ac:dyDescent="0.25">
      <c r="C286" s="1"/>
      <c r="D286" s="2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</row>
    <row r="287" spans="3:103" hidden="1" x14ac:dyDescent="0.25">
      <c r="C287" s="1"/>
      <c r="D287" s="2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</row>
    <row r="288" spans="3:103" hidden="1" x14ac:dyDescent="0.25">
      <c r="C288" s="1"/>
      <c r="D288" s="2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</row>
    <row r="289" spans="3:103" hidden="1" x14ac:dyDescent="0.25">
      <c r="C289" s="1"/>
      <c r="D289" s="2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</row>
    <row r="290" spans="3:103" hidden="1" x14ac:dyDescent="0.25">
      <c r="C290" s="1"/>
      <c r="D290" s="2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</row>
    <row r="291" spans="3:103" hidden="1" x14ac:dyDescent="0.25">
      <c r="C291" s="1"/>
      <c r="D291" s="2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</row>
    <row r="292" spans="3:103" hidden="1" x14ac:dyDescent="0.25">
      <c r="C292" s="1"/>
      <c r="D292" s="2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</row>
    <row r="293" spans="3:103" hidden="1" x14ac:dyDescent="0.25">
      <c r="C293" s="1"/>
      <c r="D293" s="2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</row>
    <row r="294" spans="3:103" hidden="1" x14ac:dyDescent="0.25">
      <c r="C294" s="1"/>
      <c r="D294" s="2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</row>
    <row r="295" spans="3:103" hidden="1" x14ac:dyDescent="0.25">
      <c r="C295" s="1"/>
      <c r="D295" s="2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</row>
    <row r="296" spans="3:103" hidden="1" x14ac:dyDescent="0.25">
      <c r="C296" s="1"/>
      <c r="D296" s="2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</row>
    <row r="297" spans="3:103" hidden="1" x14ac:dyDescent="0.25">
      <c r="C297" s="1"/>
      <c r="D297" s="2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</row>
    <row r="298" spans="3:103" hidden="1" x14ac:dyDescent="0.25">
      <c r="C298" s="1"/>
      <c r="D298" s="2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</row>
    <row r="299" spans="3:103" hidden="1" x14ac:dyDescent="0.25">
      <c r="C299" s="1"/>
      <c r="D299" s="2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</row>
    <row r="300" spans="3:103" hidden="1" x14ac:dyDescent="0.25">
      <c r="C300" s="1"/>
      <c r="D300" s="2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</row>
    <row r="301" spans="3:103" hidden="1" x14ac:dyDescent="0.25">
      <c r="C301" s="1"/>
      <c r="D301" s="2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</row>
    <row r="302" spans="3:103" hidden="1" x14ac:dyDescent="0.25">
      <c r="C302" s="1"/>
      <c r="D302" s="2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</row>
    <row r="303" spans="3:103" hidden="1" x14ac:dyDescent="0.25">
      <c r="C303" s="1"/>
      <c r="D303" s="2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</row>
    <row r="304" spans="3:103" hidden="1" x14ac:dyDescent="0.25">
      <c r="C304" s="1"/>
      <c r="D304" s="2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</row>
    <row r="305" spans="3:103" hidden="1" x14ac:dyDescent="0.25">
      <c r="C305" s="1"/>
      <c r="D305" s="2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</row>
    <row r="306" spans="3:103" hidden="1" x14ac:dyDescent="0.25">
      <c r="C306" s="1"/>
      <c r="D306" s="2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</row>
    <row r="307" spans="3:103" hidden="1" x14ac:dyDescent="0.25">
      <c r="C307" s="1"/>
      <c r="D307" s="2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</row>
    <row r="308" spans="3:103" hidden="1" x14ac:dyDescent="0.25">
      <c r="C308" s="1"/>
      <c r="D308" s="2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</row>
    <row r="309" spans="3:103" hidden="1" x14ac:dyDescent="0.25">
      <c r="C309" s="1"/>
      <c r="D309" s="2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</row>
    <row r="310" spans="3:103" hidden="1" x14ac:dyDescent="0.25">
      <c r="C310" s="1"/>
      <c r="D310" s="2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</row>
    <row r="311" spans="3:103" hidden="1" x14ac:dyDescent="0.25">
      <c r="C311" s="1"/>
      <c r="D311" s="2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</row>
    <row r="312" spans="3:103" hidden="1" x14ac:dyDescent="0.25">
      <c r="C312" s="1"/>
      <c r="D312" s="2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</row>
    <row r="313" spans="3:103" hidden="1" x14ac:dyDescent="0.25">
      <c r="C313" s="1"/>
      <c r="D313" s="2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</row>
    <row r="314" spans="3:103" hidden="1" x14ac:dyDescent="0.25">
      <c r="C314" s="1"/>
      <c r="D314" s="2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</row>
    <row r="315" spans="3:103" hidden="1" x14ac:dyDescent="0.25">
      <c r="C315" s="1"/>
      <c r="D315" s="2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</row>
    <row r="316" spans="3:103" hidden="1" x14ac:dyDescent="0.25">
      <c r="C316" s="1"/>
      <c r="D316" s="2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</row>
    <row r="317" spans="3:103" hidden="1" x14ac:dyDescent="0.25">
      <c r="C317" s="1"/>
      <c r="D317" s="2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</row>
    <row r="318" spans="3:103" hidden="1" x14ac:dyDescent="0.25">
      <c r="C318" s="1"/>
      <c r="D318" s="2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</row>
    <row r="319" spans="3:103" hidden="1" x14ac:dyDescent="0.25">
      <c r="C319" s="1"/>
      <c r="D319" s="2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</row>
    <row r="320" spans="3:103" hidden="1" x14ac:dyDescent="0.25">
      <c r="C320" s="1"/>
      <c r="D320" s="2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</row>
    <row r="321" spans="3:103" hidden="1" x14ac:dyDescent="0.25">
      <c r="C321" s="1"/>
      <c r="D321" s="2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</row>
    <row r="322" spans="3:103" hidden="1" x14ac:dyDescent="0.25">
      <c r="C322" s="1"/>
      <c r="D322" s="2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</row>
    <row r="323" spans="3:103" hidden="1" x14ac:dyDescent="0.25">
      <c r="C323" s="1"/>
      <c r="D323" s="2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</row>
    <row r="324" spans="3:103" hidden="1" x14ac:dyDescent="0.25">
      <c r="C324" s="1"/>
      <c r="D324" s="2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</row>
    <row r="325" spans="3:103" hidden="1" x14ac:dyDescent="0.25">
      <c r="C325" s="1"/>
      <c r="D325" s="2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</row>
    <row r="326" spans="3:103" hidden="1" x14ac:dyDescent="0.25">
      <c r="C326" s="1"/>
      <c r="D326" s="2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</row>
    <row r="327" spans="3:103" hidden="1" x14ac:dyDescent="0.25">
      <c r="C327" s="1"/>
      <c r="D327" s="2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</row>
    <row r="328" spans="3:103" hidden="1" x14ac:dyDescent="0.25">
      <c r="C328" s="1"/>
      <c r="D328" s="2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</row>
    <row r="329" spans="3:103" hidden="1" x14ac:dyDescent="0.25">
      <c r="C329" s="1"/>
      <c r="D329" s="2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</row>
    <row r="330" spans="3:103" hidden="1" x14ac:dyDescent="0.25">
      <c r="C330" s="1"/>
      <c r="D330" s="2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</row>
    <row r="331" spans="3:103" hidden="1" x14ac:dyDescent="0.25">
      <c r="C331" s="1"/>
      <c r="D331" s="2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</row>
    <row r="332" spans="3:103" hidden="1" x14ac:dyDescent="0.25">
      <c r="C332" s="1"/>
      <c r="D332" s="2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</row>
    <row r="333" spans="3:103" hidden="1" x14ac:dyDescent="0.25">
      <c r="C333" s="1"/>
      <c r="D333" s="2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</row>
    <row r="334" spans="3:103" hidden="1" x14ac:dyDescent="0.25">
      <c r="C334" s="1"/>
      <c r="D334" s="2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</row>
    <row r="335" spans="3:103" hidden="1" x14ac:dyDescent="0.25">
      <c r="C335" s="1"/>
      <c r="D335" s="2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</row>
    <row r="336" spans="3:103" hidden="1" x14ac:dyDescent="0.25">
      <c r="C336" s="1"/>
      <c r="D336" s="2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</row>
    <row r="337" spans="3:103" hidden="1" x14ac:dyDescent="0.25">
      <c r="C337" s="1"/>
      <c r="D337" s="2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</row>
    <row r="338" spans="3:103" hidden="1" x14ac:dyDescent="0.25">
      <c r="C338" s="1"/>
      <c r="D338" s="2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</row>
    <row r="339" spans="3:103" hidden="1" x14ac:dyDescent="0.25">
      <c r="C339" s="1"/>
      <c r="D339" s="2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</row>
    <row r="340" spans="3:103" hidden="1" x14ac:dyDescent="0.25">
      <c r="C340" s="1"/>
      <c r="D340" s="2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</row>
    <row r="341" spans="3:103" hidden="1" x14ac:dyDescent="0.25">
      <c r="C341" s="1"/>
      <c r="D341" s="2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</row>
    <row r="342" spans="3:103" hidden="1" x14ac:dyDescent="0.25">
      <c r="C342" s="1"/>
      <c r="D342" s="2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</row>
    <row r="343" spans="3:103" hidden="1" x14ac:dyDescent="0.25">
      <c r="C343" s="1"/>
      <c r="D343" s="2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</row>
    <row r="344" spans="3:103" hidden="1" x14ac:dyDescent="0.25">
      <c r="C344" s="1"/>
      <c r="D344" s="2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</row>
    <row r="345" spans="3:103" hidden="1" x14ac:dyDescent="0.25">
      <c r="C345" s="1"/>
      <c r="D345" s="2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</row>
    <row r="346" spans="3:103" hidden="1" x14ac:dyDescent="0.25">
      <c r="C346" s="1"/>
      <c r="D346" s="2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</row>
    <row r="347" spans="3:103" hidden="1" x14ac:dyDescent="0.25">
      <c r="C347" s="1"/>
      <c r="D347" s="2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</row>
    <row r="348" spans="3:103" hidden="1" x14ac:dyDescent="0.25">
      <c r="C348" s="1"/>
      <c r="D348" s="2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</row>
    <row r="349" spans="3:103" hidden="1" x14ac:dyDescent="0.25">
      <c r="C349" s="1"/>
      <c r="D349" s="2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</row>
    <row r="350" spans="3:103" hidden="1" x14ac:dyDescent="0.25">
      <c r="C350" s="1"/>
      <c r="D350" s="2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</row>
    <row r="351" spans="3:103" hidden="1" x14ac:dyDescent="0.25">
      <c r="C351" s="1"/>
      <c r="D351" s="2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</row>
    <row r="352" spans="3:103" hidden="1" x14ac:dyDescent="0.25">
      <c r="C352" s="1"/>
      <c r="D352" s="2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</row>
    <row r="353" spans="3:103" hidden="1" x14ac:dyDescent="0.25">
      <c r="C353" s="1"/>
      <c r="D353" s="2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</row>
    <row r="354" spans="3:103" hidden="1" x14ac:dyDescent="0.25">
      <c r="C354" s="1"/>
      <c r="D354" s="2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</row>
    <row r="355" spans="3:103" hidden="1" x14ac:dyDescent="0.25">
      <c r="C355" s="1"/>
      <c r="D355" s="2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</row>
    <row r="356" spans="3:103" hidden="1" x14ac:dyDescent="0.25">
      <c r="C356" s="1"/>
      <c r="D356" s="2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</row>
    <row r="357" spans="3:103" hidden="1" x14ac:dyDescent="0.25">
      <c r="C357" s="1"/>
      <c r="D357" s="2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</row>
    <row r="358" spans="3:103" hidden="1" x14ac:dyDescent="0.25">
      <c r="C358" s="1"/>
      <c r="D358" s="2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</row>
    <row r="359" spans="3:103" hidden="1" x14ac:dyDescent="0.25">
      <c r="C359" s="1"/>
      <c r="D359" s="2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</row>
    <row r="360" spans="3:103" hidden="1" x14ac:dyDescent="0.25">
      <c r="C360" s="1"/>
      <c r="D360" s="2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</row>
    <row r="361" spans="3:103" hidden="1" x14ac:dyDescent="0.25">
      <c r="C361" s="1"/>
      <c r="D361" s="2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</row>
    <row r="362" spans="3:103" hidden="1" x14ac:dyDescent="0.25">
      <c r="C362" s="1"/>
      <c r="D362" s="2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</row>
    <row r="363" spans="3:103" hidden="1" x14ac:dyDescent="0.25">
      <c r="C363" s="1"/>
      <c r="D363" s="2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</row>
    <row r="364" spans="3:103" hidden="1" x14ac:dyDescent="0.25">
      <c r="C364" s="1"/>
      <c r="D364" s="2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</row>
    <row r="365" spans="3:103" hidden="1" x14ac:dyDescent="0.25">
      <c r="C365" s="1"/>
      <c r="D365" s="2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</row>
    <row r="366" spans="3:103" hidden="1" x14ac:dyDescent="0.25">
      <c r="C366" s="1"/>
      <c r="D366" s="2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</row>
    <row r="367" spans="3:103" hidden="1" x14ac:dyDescent="0.25">
      <c r="C367" s="1"/>
      <c r="D367" s="2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</row>
    <row r="368" spans="3:103" hidden="1" x14ac:dyDescent="0.25">
      <c r="C368" s="1"/>
      <c r="D368" s="2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</row>
    <row r="369" spans="3:103" hidden="1" x14ac:dyDescent="0.25">
      <c r="C369" s="1"/>
      <c r="D369" s="2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</row>
    <row r="370" spans="3:103" hidden="1" x14ac:dyDescent="0.25">
      <c r="C370" s="1"/>
      <c r="D370" s="2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</row>
    <row r="371" spans="3:103" hidden="1" x14ac:dyDescent="0.25">
      <c r="C371" s="1"/>
      <c r="D371" s="2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</row>
    <row r="372" spans="3:103" hidden="1" x14ac:dyDescent="0.25">
      <c r="C372" s="1"/>
      <c r="D372" s="2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</row>
    <row r="373" spans="3:103" hidden="1" x14ac:dyDescent="0.25">
      <c r="C373" s="1"/>
      <c r="D373" s="2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</row>
    <row r="374" spans="3:103" hidden="1" x14ac:dyDescent="0.25">
      <c r="C374" s="1"/>
      <c r="D374" s="2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</row>
    <row r="375" spans="3:103" hidden="1" x14ac:dyDescent="0.25">
      <c r="C375" s="1"/>
      <c r="D375" s="2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</row>
    <row r="376" spans="3:103" hidden="1" x14ac:dyDescent="0.25">
      <c r="C376" s="1"/>
      <c r="D376" s="2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</row>
    <row r="377" spans="3:103" hidden="1" x14ac:dyDescent="0.25">
      <c r="C377" s="1"/>
      <c r="D377" s="2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</row>
    <row r="378" spans="3:103" hidden="1" x14ac:dyDescent="0.25">
      <c r="C378" s="1"/>
      <c r="D378" s="2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</row>
    <row r="379" spans="3:103" hidden="1" x14ac:dyDescent="0.25">
      <c r="C379" s="1"/>
      <c r="D379" s="2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</row>
    <row r="380" spans="3:103" hidden="1" x14ac:dyDescent="0.25">
      <c r="C380" s="1"/>
      <c r="D380" s="2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</row>
    <row r="381" spans="3:103" hidden="1" x14ac:dyDescent="0.25">
      <c r="C381" s="1"/>
      <c r="D381" s="2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</row>
    <row r="382" spans="3:103" hidden="1" x14ac:dyDescent="0.25">
      <c r="C382" s="1"/>
      <c r="D382" s="2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</row>
    <row r="383" spans="3:103" hidden="1" x14ac:dyDescent="0.25">
      <c r="C383" s="1"/>
      <c r="D383" s="2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</row>
    <row r="384" spans="3:103" hidden="1" x14ac:dyDescent="0.25">
      <c r="C384" s="1"/>
      <c r="D384" s="2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</row>
    <row r="385" spans="3:103" hidden="1" x14ac:dyDescent="0.25">
      <c r="C385" s="1"/>
      <c r="D385" s="2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</row>
    <row r="386" spans="3:103" hidden="1" x14ac:dyDescent="0.25">
      <c r="C386" s="1"/>
      <c r="D386" s="2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</row>
    <row r="387" spans="3:103" hidden="1" x14ac:dyDescent="0.25">
      <c r="C387" s="1"/>
      <c r="D387" s="2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</row>
    <row r="388" spans="3:103" hidden="1" x14ac:dyDescent="0.25">
      <c r="C388" s="1"/>
      <c r="D388" s="2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</row>
    <row r="389" spans="3:103" hidden="1" x14ac:dyDescent="0.25">
      <c r="C389" s="1"/>
      <c r="D389" s="2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</row>
    <row r="390" spans="3:103" hidden="1" x14ac:dyDescent="0.25">
      <c r="C390" s="1"/>
      <c r="D390" s="2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</row>
    <row r="391" spans="3:103" hidden="1" x14ac:dyDescent="0.25">
      <c r="C391" s="1"/>
      <c r="D391" s="2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</row>
    <row r="392" spans="3:103" hidden="1" x14ac:dyDescent="0.25">
      <c r="C392" s="1"/>
      <c r="D392" s="2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</row>
    <row r="393" spans="3:103" hidden="1" x14ac:dyDescent="0.25">
      <c r="C393" s="1"/>
      <c r="D393" s="2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</row>
    <row r="394" spans="3:103" hidden="1" x14ac:dyDescent="0.25">
      <c r="C394" s="1"/>
      <c r="D394" s="2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</row>
    <row r="395" spans="3:103" hidden="1" x14ac:dyDescent="0.25">
      <c r="C395" s="1"/>
      <c r="D395" s="2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</row>
    <row r="396" spans="3:103" hidden="1" x14ac:dyDescent="0.25">
      <c r="C396" s="1"/>
      <c r="D396" s="2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</row>
    <row r="397" spans="3:103" hidden="1" x14ac:dyDescent="0.25">
      <c r="C397" s="1"/>
      <c r="D397" s="2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</row>
    <row r="398" spans="3:103" hidden="1" x14ac:dyDescent="0.25">
      <c r="C398" s="1"/>
      <c r="D398" s="2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</row>
    <row r="399" spans="3:103" hidden="1" x14ac:dyDescent="0.25">
      <c r="C399" s="1"/>
      <c r="D399" s="2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</row>
    <row r="400" spans="3:103" hidden="1" x14ac:dyDescent="0.25">
      <c r="C400" s="1"/>
      <c r="D400" s="2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</row>
    <row r="401" spans="3:103" hidden="1" x14ac:dyDescent="0.25">
      <c r="C401" s="1"/>
      <c r="D401" s="2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</row>
    <row r="402" spans="3:103" hidden="1" x14ac:dyDescent="0.25">
      <c r="C402" s="1"/>
      <c r="D402" s="2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</row>
    <row r="403" spans="3:103" hidden="1" x14ac:dyDescent="0.25">
      <c r="C403" s="1"/>
      <c r="D403" s="2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</row>
    <row r="404" spans="3:103" hidden="1" x14ac:dyDescent="0.25">
      <c r="C404" s="1"/>
      <c r="D404" s="2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</row>
    <row r="405" spans="3:103" hidden="1" x14ac:dyDescent="0.25">
      <c r="C405" s="1"/>
      <c r="D405" s="2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</row>
    <row r="406" spans="3:103" hidden="1" x14ac:dyDescent="0.25">
      <c r="C406" s="1"/>
      <c r="D406" s="2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</row>
    <row r="407" spans="3:103" hidden="1" x14ac:dyDescent="0.25">
      <c r="C407" s="1"/>
      <c r="D407" s="2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</row>
    <row r="408" spans="3:103" hidden="1" x14ac:dyDescent="0.25">
      <c r="C408" s="1"/>
      <c r="D408" s="2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</row>
    <row r="409" spans="3:103" hidden="1" x14ac:dyDescent="0.25">
      <c r="C409" s="1"/>
      <c r="D409" s="2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</row>
    <row r="410" spans="3:103" hidden="1" x14ac:dyDescent="0.25">
      <c r="C410" s="1"/>
      <c r="D410" s="2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</row>
    <row r="411" spans="3:103" hidden="1" x14ac:dyDescent="0.25">
      <c r="C411" s="1"/>
      <c r="D411" s="2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</row>
    <row r="412" spans="3:103" hidden="1" x14ac:dyDescent="0.25">
      <c r="C412" s="1"/>
      <c r="D412" s="2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</row>
    <row r="413" spans="3:103" hidden="1" x14ac:dyDescent="0.25">
      <c r="C413" s="1"/>
      <c r="D413" s="2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</row>
    <row r="414" spans="3:103" hidden="1" x14ac:dyDescent="0.25">
      <c r="C414" s="1"/>
      <c r="D414" s="2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</row>
    <row r="415" spans="3:103" hidden="1" x14ac:dyDescent="0.25">
      <c r="C415" s="1"/>
      <c r="D415" s="2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</row>
    <row r="416" spans="3:103" hidden="1" x14ac:dyDescent="0.25">
      <c r="C416" s="1"/>
      <c r="D416" s="2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</row>
    <row r="417" spans="3:103" hidden="1" x14ac:dyDescent="0.25">
      <c r="C417" s="1"/>
      <c r="D417" s="2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</row>
    <row r="418" spans="3:103" hidden="1" x14ac:dyDescent="0.25">
      <c r="C418" s="1"/>
      <c r="D418" s="2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</row>
    <row r="419" spans="3:103" hidden="1" x14ac:dyDescent="0.25">
      <c r="C419" s="1"/>
      <c r="D419" s="2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</row>
    <row r="420" spans="3:103" hidden="1" x14ac:dyDescent="0.25">
      <c r="C420" s="1"/>
      <c r="D420" s="2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</row>
    <row r="421" spans="3:103" hidden="1" x14ac:dyDescent="0.25">
      <c r="C421" s="1"/>
      <c r="D421" s="2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</row>
    <row r="422" spans="3:103" hidden="1" x14ac:dyDescent="0.25">
      <c r="C422" s="1"/>
      <c r="D422" s="2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</row>
    <row r="423" spans="3:103" hidden="1" x14ac:dyDescent="0.25">
      <c r="C423" s="1"/>
      <c r="D423" s="2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</row>
    <row r="424" spans="3:103" hidden="1" x14ac:dyDescent="0.25">
      <c r="C424" s="1"/>
      <c r="D424" s="2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</row>
    <row r="425" spans="3:103" hidden="1" x14ac:dyDescent="0.25">
      <c r="C425" s="1"/>
      <c r="D425" s="2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</row>
    <row r="426" spans="3:103" hidden="1" x14ac:dyDescent="0.25">
      <c r="C426" s="1"/>
      <c r="D426" s="2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</row>
    <row r="427" spans="3:103" hidden="1" x14ac:dyDescent="0.25">
      <c r="C427" s="1"/>
      <c r="D427" s="2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</row>
    <row r="428" spans="3:103" hidden="1" x14ac:dyDescent="0.25">
      <c r="C428" s="1"/>
      <c r="D428" s="2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</row>
    <row r="429" spans="3:103" hidden="1" x14ac:dyDescent="0.25">
      <c r="C429" s="1"/>
      <c r="D429" s="2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</row>
    <row r="430" spans="3:103" hidden="1" x14ac:dyDescent="0.25">
      <c r="C430" s="1"/>
      <c r="D430" s="2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</row>
    <row r="431" spans="3:103" hidden="1" x14ac:dyDescent="0.25">
      <c r="C431" s="1"/>
      <c r="D431" s="2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</row>
    <row r="432" spans="3:103" hidden="1" x14ac:dyDescent="0.25">
      <c r="C432" s="1"/>
      <c r="D432" s="2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</row>
    <row r="433" spans="3:103" hidden="1" x14ac:dyDescent="0.25">
      <c r="C433" s="1"/>
      <c r="D433" s="2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</row>
    <row r="434" spans="3:103" hidden="1" x14ac:dyDescent="0.25">
      <c r="C434" s="1"/>
      <c r="D434" s="2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</row>
    <row r="435" spans="3:103" hidden="1" x14ac:dyDescent="0.25">
      <c r="C435" s="1"/>
      <c r="D435" s="2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</row>
    <row r="436" spans="3:103" hidden="1" x14ac:dyDescent="0.25">
      <c r="C436" s="1"/>
      <c r="D436" s="2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</row>
    <row r="437" spans="3:103" hidden="1" x14ac:dyDescent="0.25">
      <c r="C437" s="1"/>
      <c r="D437" s="2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</row>
    <row r="438" spans="3:103" hidden="1" x14ac:dyDescent="0.25">
      <c r="C438" s="1"/>
      <c r="D438" s="2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</row>
    <row r="439" spans="3:103" hidden="1" x14ac:dyDescent="0.25">
      <c r="C439" s="1"/>
      <c r="D439" s="2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</row>
    <row r="440" spans="3:103" hidden="1" x14ac:dyDescent="0.25">
      <c r="C440" s="1"/>
      <c r="D440" s="2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</row>
    <row r="441" spans="3:103" hidden="1" x14ac:dyDescent="0.25">
      <c r="C441" s="1"/>
      <c r="D441" s="2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</row>
    <row r="442" spans="3:103" hidden="1" x14ac:dyDescent="0.25">
      <c r="C442" s="1"/>
      <c r="D442" s="2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</row>
    <row r="443" spans="3:103" hidden="1" x14ac:dyDescent="0.25">
      <c r="C443" s="1"/>
      <c r="D443" s="2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</row>
    <row r="444" spans="3:103" hidden="1" x14ac:dyDescent="0.25">
      <c r="C444" s="1"/>
      <c r="D444" s="2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</row>
    <row r="445" spans="3:103" hidden="1" x14ac:dyDescent="0.25">
      <c r="C445" s="1"/>
      <c r="D445" s="2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</row>
    <row r="446" spans="3:103" hidden="1" x14ac:dyDescent="0.25">
      <c r="C446" s="1"/>
      <c r="D446" s="2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</row>
    <row r="447" spans="3:103" hidden="1" x14ac:dyDescent="0.25">
      <c r="C447" s="1"/>
      <c r="D447" s="2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</row>
    <row r="448" spans="3:103" hidden="1" x14ac:dyDescent="0.25">
      <c r="C448" s="1"/>
      <c r="D448" s="2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</row>
    <row r="449" spans="3:103" hidden="1" x14ac:dyDescent="0.25">
      <c r="C449" s="1"/>
      <c r="D449" s="2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</row>
    <row r="450" spans="3:103" hidden="1" x14ac:dyDescent="0.25">
      <c r="C450" s="1"/>
      <c r="D450" s="2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</row>
    <row r="451" spans="3:103" hidden="1" x14ac:dyDescent="0.25">
      <c r="C451" s="1"/>
      <c r="D451" s="2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</row>
    <row r="452" spans="3:103" hidden="1" x14ac:dyDescent="0.25">
      <c r="C452" s="1"/>
      <c r="D452" s="2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</row>
    <row r="453" spans="3:103" hidden="1" x14ac:dyDescent="0.25">
      <c r="C453" s="1"/>
      <c r="D453" s="2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</row>
    <row r="454" spans="3:103" hidden="1" x14ac:dyDescent="0.25">
      <c r="C454" s="1"/>
      <c r="D454" s="2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</row>
    <row r="455" spans="3:103" hidden="1" x14ac:dyDescent="0.25">
      <c r="C455" s="1"/>
      <c r="D455" s="2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</row>
    <row r="456" spans="3:103" hidden="1" x14ac:dyDescent="0.25">
      <c r="C456" s="1"/>
      <c r="D456" s="2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</row>
    <row r="457" spans="3:103" hidden="1" x14ac:dyDescent="0.25">
      <c r="C457" s="1"/>
      <c r="D457" s="2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</row>
    <row r="458" spans="3:103" hidden="1" x14ac:dyDescent="0.25">
      <c r="C458" s="1"/>
      <c r="D458" s="2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</row>
    <row r="459" spans="3:103" hidden="1" x14ac:dyDescent="0.25">
      <c r="C459" s="1"/>
      <c r="D459" s="2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</row>
    <row r="460" spans="3:103" hidden="1" x14ac:dyDescent="0.25">
      <c r="C460" s="1"/>
      <c r="D460" s="2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</row>
    <row r="461" spans="3:103" hidden="1" x14ac:dyDescent="0.25">
      <c r="C461" s="1"/>
      <c r="D461" s="2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</row>
    <row r="462" spans="3:103" hidden="1" x14ac:dyDescent="0.25">
      <c r="C462" s="1"/>
      <c r="D462" s="2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</row>
    <row r="463" spans="3:103" hidden="1" x14ac:dyDescent="0.25">
      <c r="C463" s="1"/>
      <c r="D463" s="2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</row>
    <row r="464" spans="3:103" hidden="1" x14ac:dyDescent="0.25">
      <c r="C464" s="1"/>
      <c r="D464" s="2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</row>
    <row r="465" spans="3:103" hidden="1" x14ac:dyDescent="0.25">
      <c r="C465" s="1"/>
      <c r="D465" s="2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</row>
    <row r="466" spans="3:103" hidden="1" x14ac:dyDescent="0.25">
      <c r="C466" s="1"/>
      <c r="D466" s="2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</row>
    <row r="467" spans="3:103" hidden="1" x14ac:dyDescent="0.25">
      <c r="C467" s="1"/>
      <c r="D467" s="2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</row>
    <row r="468" spans="3:103" hidden="1" x14ac:dyDescent="0.25">
      <c r="C468" s="1"/>
      <c r="D468" s="2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</row>
    <row r="469" spans="3:103" hidden="1" x14ac:dyDescent="0.25">
      <c r="C469" s="1"/>
      <c r="D469" s="2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</row>
    <row r="470" spans="3:103" hidden="1" x14ac:dyDescent="0.25">
      <c r="C470" s="1"/>
      <c r="D470" s="2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</row>
    <row r="471" spans="3:103" hidden="1" x14ac:dyDescent="0.25">
      <c r="C471" s="1"/>
      <c r="D471" s="2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</row>
    <row r="472" spans="3:103" hidden="1" x14ac:dyDescent="0.25">
      <c r="C472" s="1"/>
      <c r="D472" s="2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</row>
    <row r="473" spans="3:103" hidden="1" x14ac:dyDescent="0.25">
      <c r="C473" s="1"/>
      <c r="D473" s="2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</row>
    <row r="474" spans="3:103" hidden="1" x14ac:dyDescent="0.25">
      <c r="C474" s="1"/>
      <c r="D474" s="2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</row>
    <row r="475" spans="3:103" hidden="1" x14ac:dyDescent="0.25">
      <c r="C475" s="1"/>
      <c r="D475" s="2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</row>
    <row r="476" spans="3:103" hidden="1" x14ac:dyDescent="0.25">
      <c r="C476" s="1"/>
      <c r="D476" s="2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</row>
    <row r="477" spans="3:103" hidden="1" x14ac:dyDescent="0.25">
      <c r="C477" s="1"/>
      <c r="D477" s="2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</row>
    <row r="478" spans="3:103" hidden="1" x14ac:dyDescent="0.25">
      <c r="C478" s="1"/>
      <c r="D478" s="2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</row>
    <row r="479" spans="3:103" hidden="1" x14ac:dyDescent="0.25">
      <c r="C479" s="1"/>
      <c r="D479" s="2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</row>
    <row r="480" spans="3:103" hidden="1" x14ac:dyDescent="0.25">
      <c r="C480" s="1"/>
      <c r="D480" s="2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</row>
    <row r="481" spans="3:103" hidden="1" x14ac:dyDescent="0.25">
      <c r="C481" s="1"/>
      <c r="D481" s="2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</row>
    <row r="482" spans="3:103" hidden="1" x14ac:dyDescent="0.25">
      <c r="C482" s="1"/>
      <c r="D482" s="2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</row>
    <row r="483" spans="3:103" hidden="1" x14ac:dyDescent="0.25">
      <c r="C483" s="1"/>
      <c r="D483" s="2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</row>
    <row r="484" spans="3:103" hidden="1" x14ac:dyDescent="0.25">
      <c r="C484" s="1"/>
      <c r="D484" s="2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</row>
    <row r="485" spans="3:103" hidden="1" x14ac:dyDescent="0.25">
      <c r="C485" s="1"/>
      <c r="D485" s="2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</row>
    <row r="486" spans="3:103" hidden="1" x14ac:dyDescent="0.25">
      <c r="C486" s="1"/>
      <c r="D486" s="2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</row>
    <row r="487" spans="3:103" hidden="1" x14ac:dyDescent="0.25">
      <c r="C487" s="1"/>
      <c r="D487" s="2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</row>
    <row r="488" spans="3:103" hidden="1" x14ac:dyDescent="0.25">
      <c r="C488" s="1"/>
      <c r="D488" s="2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</row>
    <row r="489" spans="3:103" hidden="1" x14ac:dyDescent="0.25">
      <c r="C489" s="1"/>
      <c r="D489" s="2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</row>
    <row r="490" spans="3:103" hidden="1" x14ac:dyDescent="0.25">
      <c r="C490" s="1"/>
      <c r="D490" s="2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</row>
    <row r="491" spans="3:103" hidden="1" x14ac:dyDescent="0.25">
      <c r="C491" s="1"/>
      <c r="D491" s="2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</row>
    <row r="492" spans="3:103" hidden="1" x14ac:dyDescent="0.25">
      <c r="C492" s="1"/>
      <c r="D492" s="2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</row>
    <row r="493" spans="3:103" hidden="1" x14ac:dyDescent="0.25">
      <c r="C493" s="1"/>
      <c r="D493" s="2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</row>
    <row r="494" spans="3:103" hidden="1" x14ac:dyDescent="0.25">
      <c r="C494" s="1"/>
      <c r="D494" s="2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</row>
    <row r="495" spans="3:103" hidden="1" x14ac:dyDescent="0.25">
      <c r="C495" s="1"/>
      <c r="D495" s="2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</row>
    <row r="496" spans="3:103" hidden="1" x14ac:dyDescent="0.25">
      <c r="C496" s="1"/>
      <c r="D496" s="2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</row>
    <row r="497" spans="3:103" hidden="1" x14ac:dyDescent="0.25">
      <c r="C497" s="1"/>
      <c r="D497" s="2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</row>
    <row r="498" spans="3:103" hidden="1" x14ac:dyDescent="0.25">
      <c r="C498" s="1"/>
      <c r="D498" s="2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</row>
    <row r="499" spans="3:103" hidden="1" x14ac:dyDescent="0.25">
      <c r="C499" s="1"/>
      <c r="D499" s="2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</row>
    <row r="500" spans="3:103" hidden="1" x14ac:dyDescent="0.25">
      <c r="C500" s="1"/>
      <c r="D500" s="2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</row>
    <row r="501" spans="3:103" hidden="1" x14ac:dyDescent="0.25">
      <c r="C501" s="1"/>
      <c r="D501" s="2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</row>
    <row r="502" spans="3:103" hidden="1" x14ac:dyDescent="0.25">
      <c r="C502" s="1"/>
      <c r="D502" s="2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</row>
    <row r="503" spans="3:103" hidden="1" x14ac:dyDescent="0.25">
      <c r="C503" s="1"/>
      <c r="D503" s="2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</row>
    <row r="504" spans="3:103" hidden="1" x14ac:dyDescent="0.25">
      <c r="C504" s="1"/>
      <c r="D504" s="2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</row>
    <row r="505" spans="3:103" hidden="1" x14ac:dyDescent="0.25">
      <c r="C505" s="1"/>
      <c r="D505" s="2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</row>
    <row r="506" spans="3:103" hidden="1" x14ac:dyDescent="0.25">
      <c r="C506" s="1"/>
      <c r="D506" s="2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</row>
    <row r="507" spans="3:103" hidden="1" x14ac:dyDescent="0.25">
      <c r="C507" s="1"/>
      <c r="D507" s="2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</row>
    <row r="508" spans="3:103" hidden="1" x14ac:dyDescent="0.25">
      <c r="C508" s="1"/>
      <c r="D508" s="2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</row>
    <row r="509" spans="3:103" hidden="1" x14ac:dyDescent="0.25">
      <c r="C509" s="1"/>
      <c r="D509" s="2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</row>
    <row r="510" spans="3:103" hidden="1" x14ac:dyDescent="0.25">
      <c r="C510" s="1"/>
      <c r="D510" s="2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</row>
    <row r="511" spans="3:103" hidden="1" x14ac:dyDescent="0.25">
      <c r="C511" s="1"/>
      <c r="D511" s="2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</row>
    <row r="512" spans="3:103" hidden="1" x14ac:dyDescent="0.25">
      <c r="C512" s="1"/>
      <c r="D512" s="2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</row>
    <row r="513" spans="3:103" hidden="1" x14ac:dyDescent="0.25">
      <c r="C513" s="1"/>
      <c r="D513" s="2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</row>
    <row r="514" spans="3:103" hidden="1" x14ac:dyDescent="0.25">
      <c r="C514" s="1"/>
      <c r="D514" s="2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</row>
    <row r="515" spans="3:103" hidden="1" x14ac:dyDescent="0.25">
      <c r="C515" s="1"/>
      <c r="D515" s="2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</row>
    <row r="516" spans="3:103" hidden="1" x14ac:dyDescent="0.25">
      <c r="C516" s="1"/>
      <c r="D516" s="2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</row>
    <row r="517" spans="3:103" hidden="1" x14ac:dyDescent="0.25">
      <c r="C517" s="1"/>
      <c r="D517" s="2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</row>
    <row r="518" spans="3:103" hidden="1" x14ac:dyDescent="0.25">
      <c r="C518" s="1"/>
      <c r="D518" s="2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</row>
    <row r="519" spans="3:103" hidden="1" x14ac:dyDescent="0.25">
      <c r="C519" s="1"/>
      <c r="D519" s="2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</row>
    <row r="520" spans="3:103" hidden="1" x14ac:dyDescent="0.25">
      <c r="C520" s="1"/>
      <c r="D520" s="2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</row>
    <row r="521" spans="3:103" hidden="1" x14ac:dyDescent="0.25">
      <c r="C521" s="1"/>
      <c r="D521" s="2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</row>
    <row r="522" spans="3:103" hidden="1" x14ac:dyDescent="0.25">
      <c r="C522" s="1"/>
      <c r="D522" s="2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</row>
    <row r="523" spans="3:103" hidden="1" x14ac:dyDescent="0.25">
      <c r="C523" s="1"/>
      <c r="D523" s="2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</row>
    <row r="524" spans="3:103" hidden="1" x14ac:dyDescent="0.25">
      <c r="C524" s="1"/>
      <c r="D524" s="2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</row>
    <row r="525" spans="3:103" hidden="1" x14ac:dyDescent="0.25">
      <c r="C525" s="1"/>
      <c r="D525" s="2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</row>
    <row r="526" spans="3:103" hidden="1" x14ac:dyDescent="0.25">
      <c r="C526" s="1"/>
      <c r="D526" s="2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</row>
    <row r="527" spans="3:103" hidden="1" x14ac:dyDescent="0.25">
      <c r="C527" s="1"/>
      <c r="D527" s="2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</row>
    <row r="528" spans="3:103" hidden="1" x14ac:dyDescent="0.25">
      <c r="C528" s="1"/>
      <c r="D528" s="2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</row>
    <row r="529" spans="3:103" hidden="1" x14ac:dyDescent="0.25">
      <c r="C529" s="1"/>
      <c r="D529" s="2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</row>
    <row r="530" spans="3:103" hidden="1" x14ac:dyDescent="0.25">
      <c r="C530" s="1"/>
      <c r="D530" s="2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</row>
    <row r="531" spans="3:103" hidden="1" x14ac:dyDescent="0.25">
      <c r="C531" s="1"/>
      <c r="D531" s="2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</row>
    <row r="532" spans="3:103" hidden="1" x14ac:dyDescent="0.25">
      <c r="C532" s="1"/>
      <c r="D532" s="2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</row>
    <row r="533" spans="3:103" hidden="1" x14ac:dyDescent="0.25">
      <c r="C533" s="1"/>
      <c r="D533" s="2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</row>
    <row r="534" spans="3:103" hidden="1" x14ac:dyDescent="0.25">
      <c r="C534" s="1"/>
      <c r="D534" s="2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</row>
    <row r="535" spans="3:103" hidden="1" x14ac:dyDescent="0.25">
      <c r="C535" s="1"/>
      <c r="D535" s="2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</row>
    <row r="536" spans="3:103" hidden="1" x14ac:dyDescent="0.25">
      <c r="C536" s="1"/>
      <c r="D536" s="2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</row>
    <row r="537" spans="3:103" hidden="1" x14ac:dyDescent="0.25">
      <c r="C537" s="1"/>
      <c r="D537" s="2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</row>
    <row r="538" spans="3:103" hidden="1" x14ac:dyDescent="0.25">
      <c r="C538" s="1"/>
      <c r="D538" s="2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</row>
    <row r="539" spans="3:103" hidden="1" x14ac:dyDescent="0.25">
      <c r="C539" s="1"/>
      <c r="D539" s="2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</row>
    <row r="540" spans="3:103" hidden="1" x14ac:dyDescent="0.25">
      <c r="C540" s="1"/>
      <c r="D540" s="2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</row>
    <row r="541" spans="3:103" hidden="1" x14ac:dyDescent="0.25">
      <c r="C541" s="1"/>
      <c r="D541" s="2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</row>
    <row r="542" spans="3:103" hidden="1" x14ac:dyDescent="0.25">
      <c r="C542" s="1"/>
      <c r="D542" s="2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</row>
    <row r="543" spans="3:103" hidden="1" x14ac:dyDescent="0.25">
      <c r="C543" s="1"/>
      <c r="D543" s="2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</row>
    <row r="544" spans="3:103" hidden="1" x14ac:dyDescent="0.25">
      <c r="C544" s="1"/>
      <c r="D544" s="2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</row>
    <row r="545" spans="3:103" hidden="1" x14ac:dyDescent="0.25">
      <c r="C545" s="1"/>
      <c r="D545" s="2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</row>
    <row r="546" spans="3:103" hidden="1" x14ac:dyDescent="0.25">
      <c r="C546" s="1"/>
      <c r="D546" s="2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</row>
    <row r="547" spans="3:103" hidden="1" x14ac:dyDescent="0.25">
      <c r="C547" s="1"/>
      <c r="D547" s="2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</row>
    <row r="548" spans="3:103" hidden="1" x14ac:dyDescent="0.25">
      <c r="C548" s="1"/>
      <c r="D548" s="2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</row>
    <row r="549" spans="3:103" hidden="1" x14ac:dyDescent="0.25">
      <c r="C549" s="1"/>
      <c r="D549" s="2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</row>
    <row r="550" spans="3:103" hidden="1" x14ac:dyDescent="0.25">
      <c r="C550" s="1"/>
      <c r="D550" s="2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</row>
    <row r="551" spans="3:103" hidden="1" x14ac:dyDescent="0.25">
      <c r="C551" s="1"/>
      <c r="D551" s="2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</row>
    <row r="552" spans="3:103" hidden="1" x14ac:dyDescent="0.25">
      <c r="C552" s="1"/>
      <c r="D552" s="2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</row>
    <row r="553" spans="3:103" hidden="1" x14ac:dyDescent="0.25">
      <c r="C553" s="1"/>
      <c r="D553" s="2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</row>
    <row r="554" spans="3:103" hidden="1" x14ac:dyDescent="0.25">
      <c r="C554" s="1"/>
      <c r="D554" s="2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</row>
    <row r="555" spans="3:103" hidden="1" x14ac:dyDescent="0.25">
      <c r="C555" s="1"/>
      <c r="D555" s="2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</row>
    <row r="556" spans="3:103" hidden="1" x14ac:dyDescent="0.25">
      <c r="C556" s="1"/>
      <c r="D556" s="2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</row>
    <row r="557" spans="3:103" hidden="1" x14ac:dyDescent="0.25">
      <c r="C557" s="1"/>
      <c r="D557" s="2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</row>
    <row r="558" spans="3:103" hidden="1" x14ac:dyDescent="0.25">
      <c r="C558" s="1"/>
      <c r="D558" s="2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</row>
    <row r="559" spans="3:103" hidden="1" x14ac:dyDescent="0.25">
      <c r="C559" s="1"/>
      <c r="D559" s="2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</row>
    <row r="560" spans="3:103" hidden="1" x14ac:dyDescent="0.25">
      <c r="C560" s="1"/>
      <c r="D560" s="2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</row>
    <row r="561" spans="3:103" hidden="1" x14ac:dyDescent="0.25">
      <c r="C561" s="1"/>
      <c r="D561" s="2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</row>
    <row r="562" spans="3:103" hidden="1" x14ac:dyDescent="0.25">
      <c r="C562" s="1"/>
      <c r="D562" s="2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</row>
    <row r="563" spans="3:103" hidden="1" x14ac:dyDescent="0.25">
      <c r="C563" s="1"/>
      <c r="D563" s="2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</row>
    <row r="564" spans="3:103" hidden="1" x14ac:dyDescent="0.25">
      <c r="C564" s="1"/>
      <c r="D564" s="2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</row>
    <row r="565" spans="3:103" hidden="1" x14ac:dyDescent="0.25">
      <c r="C565" s="1"/>
      <c r="D565" s="2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</row>
    <row r="566" spans="3:103" hidden="1" x14ac:dyDescent="0.25">
      <c r="C566" s="1"/>
      <c r="D566" s="2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</row>
    <row r="567" spans="3:103" hidden="1" x14ac:dyDescent="0.25">
      <c r="C567" s="1"/>
      <c r="D567" s="2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</row>
    <row r="568" spans="3:103" hidden="1" x14ac:dyDescent="0.25">
      <c r="C568" s="1"/>
      <c r="D568" s="2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</row>
    <row r="569" spans="3:103" hidden="1" x14ac:dyDescent="0.25">
      <c r="C569" s="1"/>
      <c r="D569" s="2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</row>
    <row r="570" spans="3:103" hidden="1" x14ac:dyDescent="0.25">
      <c r="C570" s="1"/>
      <c r="D570" s="2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</row>
    <row r="571" spans="3:103" hidden="1" x14ac:dyDescent="0.25">
      <c r="C571" s="1"/>
      <c r="D571" s="2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</row>
    <row r="572" spans="3:103" hidden="1" x14ac:dyDescent="0.25">
      <c r="C572" s="1"/>
      <c r="D572" s="2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</row>
    <row r="573" spans="3:103" hidden="1" x14ac:dyDescent="0.25">
      <c r="C573" s="1"/>
      <c r="D573" s="2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</row>
    <row r="574" spans="3:103" hidden="1" x14ac:dyDescent="0.25">
      <c r="C574" s="1"/>
      <c r="D574" s="2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</row>
    <row r="575" spans="3:103" hidden="1" x14ac:dyDescent="0.25">
      <c r="C575" s="1"/>
      <c r="D575" s="2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</row>
    <row r="576" spans="3:103" hidden="1" x14ac:dyDescent="0.25">
      <c r="C576" s="1"/>
      <c r="D576" s="2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</row>
    <row r="577" spans="3:103" hidden="1" x14ac:dyDescent="0.25">
      <c r="C577" s="1"/>
      <c r="D577" s="2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</row>
    <row r="578" spans="3:103" hidden="1" x14ac:dyDescent="0.25">
      <c r="C578" s="1"/>
      <c r="D578" s="2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</row>
    <row r="579" spans="3:103" hidden="1" x14ac:dyDescent="0.25">
      <c r="C579" s="1"/>
      <c r="D579" s="2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</row>
    <row r="580" spans="3:103" hidden="1" x14ac:dyDescent="0.25">
      <c r="C580" s="1"/>
      <c r="D580" s="2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</row>
    <row r="581" spans="3:103" hidden="1" x14ac:dyDescent="0.25">
      <c r="C581" s="1"/>
      <c r="D581" s="2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</row>
    <row r="582" spans="3:103" hidden="1" x14ac:dyDescent="0.25">
      <c r="C582" s="1"/>
      <c r="D582" s="2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</row>
    <row r="583" spans="3:103" hidden="1" x14ac:dyDescent="0.25">
      <c r="C583" s="1"/>
      <c r="D583" s="2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</row>
    <row r="584" spans="3:103" hidden="1" x14ac:dyDescent="0.25">
      <c r="C584" s="1"/>
      <c r="D584" s="2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</row>
    <row r="585" spans="3:103" hidden="1" x14ac:dyDescent="0.25">
      <c r="C585" s="1"/>
      <c r="D585" s="2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</row>
    <row r="586" spans="3:103" hidden="1" x14ac:dyDescent="0.25">
      <c r="C586" s="1"/>
      <c r="D586" s="2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</row>
    <row r="587" spans="3:103" hidden="1" x14ac:dyDescent="0.25">
      <c r="C587" s="1"/>
      <c r="D587" s="2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</row>
    <row r="588" spans="3:103" hidden="1" x14ac:dyDescent="0.25">
      <c r="C588" s="1"/>
      <c r="D588" s="2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</row>
    <row r="589" spans="3:103" hidden="1" x14ac:dyDescent="0.25">
      <c r="C589" s="1"/>
      <c r="D589" s="2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</row>
    <row r="590" spans="3:103" hidden="1" x14ac:dyDescent="0.25">
      <c r="C590" s="1"/>
      <c r="D590" s="2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</row>
    <row r="591" spans="3:103" hidden="1" x14ac:dyDescent="0.25">
      <c r="C591" s="1"/>
      <c r="D591" s="2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</row>
    <row r="592" spans="3:103" hidden="1" x14ac:dyDescent="0.25">
      <c r="C592" s="1"/>
      <c r="D592" s="2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</row>
    <row r="593" spans="3:103" hidden="1" x14ac:dyDescent="0.25">
      <c r="C593" s="1"/>
      <c r="D593" s="2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</row>
    <row r="594" spans="3:103" hidden="1" x14ac:dyDescent="0.25">
      <c r="C594" s="1"/>
      <c r="D594" s="2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</row>
    <row r="595" spans="3:103" hidden="1" x14ac:dyDescent="0.25">
      <c r="C595" s="1"/>
      <c r="D595" s="2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</row>
    <row r="596" spans="3:103" hidden="1" x14ac:dyDescent="0.25">
      <c r="C596" s="1"/>
      <c r="D596" s="2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</row>
    <row r="597" spans="3:103" hidden="1" x14ac:dyDescent="0.25">
      <c r="C597" s="1"/>
      <c r="D597" s="2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</row>
    <row r="598" spans="3:103" hidden="1" x14ac:dyDescent="0.25">
      <c r="C598" s="1"/>
      <c r="D598" s="2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</row>
    <row r="599" spans="3:103" hidden="1" x14ac:dyDescent="0.25">
      <c r="C599" s="1"/>
      <c r="D599" s="2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</row>
    <row r="600" spans="3:103" hidden="1" x14ac:dyDescent="0.25">
      <c r="C600" s="1"/>
      <c r="D600" s="2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</row>
    <row r="601" spans="3:103" hidden="1" x14ac:dyDescent="0.25">
      <c r="C601" s="1"/>
      <c r="D601" s="2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</row>
    <row r="602" spans="3:103" hidden="1" x14ac:dyDescent="0.25">
      <c r="C602" s="1"/>
      <c r="D602" s="2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</row>
    <row r="603" spans="3:103" hidden="1" x14ac:dyDescent="0.25">
      <c r="C603" s="1"/>
      <c r="D603" s="2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</row>
    <row r="604" spans="3:103" hidden="1" x14ac:dyDescent="0.25">
      <c r="C604" s="1"/>
      <c r="D604" s="2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</row>
    <row r="605" spans="3:103" hidden="1" x14ac:dyDescent="0.25">
      <c r="C605" s="1"/>
      <c r="D605" s="2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</row>
    <row r="606" spans="3:103" hidden="1" x14ac:dyDescent="0.25">
      <c r="C606" s="1"/>
      <c r="D606" s="2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</row>
    <row r="607" spans="3:103" hidden="1" x14ac:dyDescent="0.25">
      <c r="C607" s="1"/>
      <c r="D607" s="2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</row>
    <row r="608" spans="3:103" hidden="1" x14ac:dyDescent="0.25">
      <c r="C608" s="1"/>
      <c r="D608" s="2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</row>
    <row r="609" spans="3:103" hidden="1" x14ac:dyDescent="0.25">
      <c r="C609" s="1"/>
      <c r="D609" s="2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</row>
    <row r="610" spans="3:103" hidden="1" x14ac:dyDescent="0.25">
      <c r="C610" s="1"/>
      <c r="D610" s="2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</row>
    <row r="611" spans="3:103" hidden="1" x14ac:dyDescent="0.25">
      <c r="C611" s="1"/>
      <c r="D611" s="2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</row>
    <row r="612" spans="3:103" hidden="1" x14ac:dyDescent="0.25">
      <c r="C612" s="1"/>
      <c r="D612" s="2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</row>
    <row r="613" spans="3:103" hidden="1" x14ac:dyDescent="0.25">
      <c r="C613" s="1"/>
      <c r="D613" s="2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</row>
    <row r="614" spans="3:103" hidden="1" x14ac:dyDescent="0.25">
      <c r="C614" s="1"/>
      <c r="D614" s="2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</row>
    <row r="615" spans="3:103" hidden="1" x14ac:dyDescent="0.25">
      <c r="C615" s="1"/>
      <c r="D615" s="2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</row>
    <row r="616" spans="3:103" hidden="1" x14ac:dyDescent="0.25">
      <c r="C616" s="1"/>
      <c r="D616" s="2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</row>
    <row r="617" spans="3:103" hidden="1" x14ac:dyDescent="0.25">
      <c r="C617" s="1"/>
      <c r="D617" s="2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</row>
    <row r="618" spans="3:103" hidden="1" x14ac:dyDescent="0.25">
      <c r="C618" s="1"/>
      <c r="D618" s="2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</row>
    <row r="619" spans="3:103" hidden="1" x14ac:dyDescent="0.25">
      <c r="C619" s="1"/>
      <c r="D619" s="2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</row>
    <row r="620" spans="3:103" hidden="1" x14ac:dyDescent="0.25">
      <c r="C620" s="1"/>
      <c r="D620" s="2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</row>
    <row r="621" spans="3:103" hidden="1" x14ac:dyDescent="0.25">
      <c r="C621" s="1"/>
      <c r="D621" s="2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</row>
    <row r="622" spans="3:103" hidden="1" x14ac:dyDescent="0.25">
      <c r="C622" s="1"/>
      <c r="D622" s="2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</row>
    <row r="623" spans="3:103" hidden="1" x14ac:dyDescent="0.25">
      <c r="C623" s="1"/>
      <c r="D623" s="2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</row>
    <row r="624" spans="3:103" hidden="1" x14ac:dyDescent="0.25">
      <c r="C624" s="1"/>
      <c r="D624" s="2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</row>
    <row r="625" spans="3:103" hidden="1" x14ac:dyDescent="0.25">
      <c r="C625" s="1"/>
      <c r="D625" s="2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</row>
    <row r="626" spans="3:103" hidden="1" x14ac:dyDescent="0.25">
      <c r="C626" s="1"/>
      <c r="D626" s="2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</row>
    <row r="627" spans="3:103" hidden="1" x14ac:dyDescent="0.25">
      <c r="C627" s="1"/>
      <c r="D627" s="2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</row>
    <row r="628" spans="3:103" hidden="1" x14ac:dyDescent="0.25">
      <c r="C628" s="1"/>
      <c r="D628" s="2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</row>
    <row r="629" spans="3:103" hidden="1" x14ac:dyDescent="0.25">
      <c r="C629" s="1"/>
      <c r="D629" s="2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</row>
    <row r="630" spans="3:103" hidden="1" x14ac:dyDescent="0.25">
      <c r="C630" s="1"/>
      <c r="D630" s="2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</row>
    <row r="631" spans="3:103" hidden="1" x14ac:dyDescent="0.25">
      <c r="C631" s="1"/>
      <c r="D631" s="2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</row>
    <row r="632" spans="3:103" hidden="1" x14ac:dyDescent="0.25">
      <c r="C632" s="1"/>
      <c r="D632" s="2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</row>
    <row r="633" spans="3:103" hidden="1" x14ac:dyDescent="0.25">
      <c r="C633" s="1"/>
      <c r="D633" s="2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</row>
    <row r="634" spans="3:103" hidden="1" x14ac:dyDescent="0.25">
      <c r="C634" s="1"/>
      <c r="D634" s="2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</row>
    <row r="635" spans="3:103" hidden="1" x14ac:dyDescent="0.25">
      <c r="C635" s="1"/>
      <c r="D635" s="2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</row>
    <row r="636" spans="3:103" hidden="1" x14ac:dyDescent="0.25">
      <c r="C636" s="1"/>
      <c r="D636" s="2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</row>
    <row r="637" spans="3:103" hidden="1" x14ac:dyDescent="0.25">
      <c r="C637" s="1"/>
      <c r="D637" s="2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</row>
    <row r="638" spans="3:103" hidden="1" x14ac:dyDescent="0.25">
      <c r="C638" s="1"/>
      <c r="D638" s="2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</row>
    <row r="639" spans="3:103" hidden="1" x14ac:dyDescent="0.25">
      <c r="C639" s="1"/>
      <c r="D639" s="2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</row>
    <row r="640" spans="3:103" hidden="1" x14ac:dyDescent="0.25">
      <c r="C640" s="1"/>
      <c r="D640" s="2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</row>
    <row r="641" spans="3:103" hidden="1" x14ac:dyDescent="0.25">
      <c r="C641" s="1"/>
      <c r="D641" s="2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</row>
    <row r="642" spans="3:103" hidden="1" x14ac:dyDescent="0.25">
      <c r="C642" s="1"/>
      <c r="D642" s="2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</row>
    <row r="643" spans="3:103" hidden="1" x14ac:dyDescent="0.25">
      <c r="C643" s="1"/>
      <c r="D643" s="2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</row>
    <row r="644" spans="3:103" hidden="1" x14ac:dyDescent="0.25">
      <c r="C644" s="1"/>
      <c r="D644" s="2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</row>
    <row r="645" spans="3:103" hidden="1" x14ac:dyDescent="0.25">
      <c r="C645" s="1"/>
      <c r="D645" s="2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</row>
    <row r="646" spans="3:103" hidden="1" x14ac:dyDescent="0.25">
      <c r="C646" s="1"/>
      <c r="D646" s="2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</row>
    <row r="647" spans="3:103" hidden="1" x14ac:dyDescent="0.25">
      <c r="C647" s="1"/>
      <c r="D647" s="2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</row>
    <row r="648" spans="3:103" hidden="1" x14ac:dyDescent="0.25">
      <c r="C648" s="1"/>
      <c r="D648" s="2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</row>
    <row r="649" spans="3:103" hidden="1" x14ac:dyDescent="0.25">
      <c r="C649" s="1"/>
      <c r="D649" s="2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</row>
    <row r="650" spans="3:103" hidden="1" x14ac:dyDescent="0.25">
      <c r="C650" s="1"/>
      <c r="D650" s="2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</row>
    <row r="651" spans="3:103" hidden="1" x14ac:dyDescent="0.25">
      <c r="C651" s="1"/>
      <c r="D651" s="2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</row>
    <row r="652" spans="3:103" hidden="1" x14ac:dyDescent="0.25">
      <c r="C652" s="1"/>
      <c r="D652" s="2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</row>
    <row r="653" spans="3:103" hidden="1" x14ac:dyDescent="0.25">
      <c r="C653" s="1"/>
      <c r="D653" s="2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</row>
    <row r="654" spans="3:103" hidden="1" x14ac:dyDescent="0.25">
      <c r="C654" s="1"/>
      <c r="D654" s="2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</row>
    <row r="655" spans="3:103" hidden="1" x14ac:dyDescent="0.25">
      <c r="C655" s="1"/>
      <c r="D655" s="2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</row>
    <row r="656" spans="3:103" hidden="1" x14ac:dyDescent="0.25">
      <c r="C656" s="1"/>
      <c r="D656" s="2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</row>
    <row r="657" spans="3:103" hidden="1" x14ac:dyDescent="0.25">
      <c r="C657" s="1"/>
      <c r="D657" s="2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</row>
    <row r="658" spans="3:103" hidden="1" x14ac:dyDescent="0.25">
      <c r="C658" s="1"/>
      <c r="D658" s="2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</row>
    <row r="659" spans="3:103" hidden="1" x14ac:dyDescent="0.25">
      <c r="C659" s="1"/>
      <c r="D659" s="2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</row>
    <row r="660" spans="3:103" hidden="1" x14ac:dyDescent="0.25">
      <c r="C660" s="1"/>
      <c r="D660" s="2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</row>
    <row r="661" spans="3:103" hidden="1" x14ac:dyDescent="0.25">
      <c r="C661" s="1"/>
      <c r="D661" s="2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</row>
    <row r="662" spans="3:103" hidden="1" x14ac:dyDescent="0.25">
      <c r="C662" s="1"/>
      <c r="D662" s="2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</row>
    <row r="663" spans="3:103" hidden="1" x14ac:dyDescent="0.25">
      <c r="C663" s="1"/>
      <c r="D663" s="2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</row>
    <row r="664" spans="3:103" hidden="1" x14ac:dyDescent="0.25">
      <c r="C664" s="1"/>
      <c r="D664" s="2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</row>
    <row r="665" spans="3:103" hidden="1" x14ac:dyDescent="0.25">
      <c r="C665" s="1"/>
      <c r="D665" s="2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</row>
    <row r="666" spans="3:103" hidden="1" x14ac:dyDescent="0.25">
      <c r="C666" s="1"/>
      <c r="D666" s="2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</row>
    <row r="667" spans="3:103" hidden="1" x14ac:dyDescent="0.25">
      <c r="C667" s="1"/>
      <c r="D667" s="2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</row>
    <row r="668" spans="3:103" hidden="1" x14ac:dyDescent="0.25">
      <c r="C668" s="1"/>
      <c r="D668" s="2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</row>
    <row r="669" spans="3:103" hidden="1" x14ac:dyDescent="0.25">
      <c r="C669" s="1"/>
      <c r="D669" s="2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</row>
    <row r="670" spans="3:103" hidden="1" x14ac:dyDescent="0.25">
      <c r="C670" s="1"/>
      <c r="D670" s="2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</row>
    <row r="671" spans="3:103" hidden="1" x14ac:dyDescent="0.25">
      <c r="C671" s="1"/>
      <c r="D671" s="2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</row>
    <row r="672" spans="3:103" hidden="1" x14ac:dyDescent="0.25">
      <c r="C672" s="1"/>
      <c r="D672" s="2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</row>
    <row r="673" spans="3:103" hidden="1" x14ac:dyDescent="0.25">
      <c r="C673" s="1"/>
      <c r="D673" s="2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</row>
    <row r="674" spans="3:103" hidden="1" x14ac:dyDescent="0.25">
      <c r="C674" s="1"/>
      <c r="D674" s="2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</row>
    <row r="675" spans="3:103" hidden="1" x14ac:dyDescent="0.25">
      <c r="C675" s="1"/>
      <c r="D675" s="2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</row>
    <row r="676" spans="3:103" hidden="1" x14ac:dyDescent="0.25">
      <c r="C676" s="1"/>
      <c r="D676" s="2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</row>
    <row r="677" spans="3:103" hidden="1" x14ac:dyDescent="0.25">
      <c r="C677" s="1"/>
      <c r="D677" s="2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</row>
    <row r="678" spans="3:103" hidden="1" x14ac:dyDescent="0.25">
      <c r="C678" s="1"/>
      <c r="D678" s="2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</row>
    <row r="679" spans="3:103" hidden="1" x14ac:dyDescent="0.25">
      <c r="C679" s="1"/>
      <c r="D679" s="2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</row>
    <row r="680" spans="3:103" hidden="1" x14ac:dyDescent="0.25">
      <c r="C680" s="1"/>
      <c r="D680" s="2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</row>
    <row r="681" spans="3:103" hidden="1" x14ac:dyDescent="0.25">
      <c r="C681" s="1"/>
      <c r="D681" s="2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</row>
    <row r="682" spans="3:103" hidden="1" x14ac:dyDescent="0.25">
      <c r="C682" s="1"/>
      <c r="D682" s="2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</row>
    <row r="683" spans="3:103" hidden="1" x14ac:dyDescent="0.25">
      <c r="C683" s="1"/>
      <c r="D683" s="2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</row>
    <row r="684" spans="3:103" hidden="1" x14ac:dyDescent="0.25">
      <c r="C684" s="1"/>
      <c r="D684" s="2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</row>
    <row r="685" spans="3:103" hidden="1" x14ac:dyDescent="0.25">
      <c r="C685" s="1"/>
      <c r="D685" s="2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</row>
    <row r="686" spans="3:103" hidden="1" x14ac:dyDescent="0.25">
      <c r="C686" s="1"/>
      <c r="D686" s="2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</row>
    <row r="687" spans="3:103" hidden="1" x14ac:dyDescent="0.25">
      <c r="C687" s="1"/>
      <c r="D687" s="2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</row>
    <row r="688" spans="3:103" hidden="1" x14ac:dyDescent="0.25">
      <c r="C688" s="1"/>
      <c r="D688" s="2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</row>
    <row r="689" spans="3:103" hidden="1" x14ac:dyDescent="0.25">
      <c r="C689" s="1"/>
      <c r="D689" s="2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</row>
    <row r="690" spans="3:103" hidden="1" x14ac:dyDescent="0.25">
      <c r="C690" s="1"/>
      <c r="D690" s="2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</row>
    <row r="691" spans="3:103" hidden="1" x14ac:dyDescent="0.25">
      <c r="C691" s="1"/>
      <c r="D691" s="2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</row>
    <row r="692" spans="3:103" hidden="1" x14ac:dyDescent="0.25">
      <c r="C692" s="1"/>
      <c r="D692" s="2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</row>
    <row r="693" spans="3:103" hidden="1" x14ac:dyDescent="0.25">
      <c r="C693" s="1"/>
      <c r="D693" s="2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</row>
    <row r="694" spans="3:103" hidden="1" x14ac:dyDescent="0.25">
      <c r="C694" s="1"/>
      <c r="D694" s="2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</row>
    <row r="695" spans="3:103" hidden="1" x14ac:dyDescent="0.25">
      <c r="C695" s="1"/>
      <c r="D695" s="2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</row>
    <row r="696" spans="3:103" hidden="1" x14ac:dyDescent="0.25">
      <c r="C696" s="1"/>
      <c r="D696" s="2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</row>
    <row r="697" spans="3:103" hidden="1" x14ac:dyDescent="0.25">
      <c r="C697" s="1"/>
      <c r="D697" s="2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</row>
    <row r="698" spans="3:103" hidden="1" x14ac:dyDescent="0.25">
      <c r="C698" s="1"/>
      <c r="D698" s="2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</row>
    <row r="699" spans="3:103" hidden="1" x14ac:dyDescent="0.25">
      <c r="C699" s="1"/>
      <c r="D699" s="2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</row>
    <row r="700" spans="3:103" hidden="1" x14ac:dyDescent="0.25">
      <c r="C700" s="1"/>
      <c r="D700" s="2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</row>
    <row r="701" spans="3:103" hidden="1" x14ac:dyDescent="0.25">
      <c r="C701" s="1"/>
      <c r="D701" s="2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</row>
    <row r="702" spans="3:103" hidden="1" x14ac:dyDescent="0.25">
      <c r="C702" s="1"/>
      <c r="D702" s="2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</row>
    <row r="703" spans="3:103" hidden="1" x14ac:dyDescent="0.25">
      <c r="C703" s="1"/>
      <c r="D703" s="2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</row>
    <row r="704" spans="3:103" hidden="1" x14ac:dyDescent="0.25">
      <c r="C704" s="1"/>
      <c r="D704" s="2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</row>
    <row r="705" spans="3:103" hidden="1" x14ac:dyDescent="0.25">
      <c r="C705" s="1"/>
      <c r="D705" s="2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</row>
    <row r="706" spans="3:103" hidden="1" x14ac:dyDescent="0.25">
      <c r="C706" s="1"/>
      <c r="D706" s="2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</row>
    <row r="707" spans="3:103" hidden="1" x14ac:dyDescent="0.25">
      <c r="C707" s="1"/>
      <c r="D707" s="2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</row>
    <row r="708" spans="3:103" hidden="1" x14ac:dyDescent="0.25">
      <c r="C708" s="1"/>
      <c r="D708" s="2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</row>
    <row r="709" spans="3:103" hidden="1" x14ac:dyDescent="0.25">
      <c r="C709" s="1"/>
      <c r="D709" s="2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</row>
    <row r="710" spans="3:103" hidden="1" x14ac:dyDescent="0.25">
      <c r="C710" s="1"/>
      <c r="D710" s="2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</row>
    <row r="711" spans="3:103" hidden="1" x14ac:dyDescent="0.25">
      <c r="C711" s="1"/>
      <c r="D711" s="2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</row>
    <row r="712" spans="3:103" hidden="1" x14ac:dyDescent="0.25">
      <c r="C712" s="1"/>
      <c r="D712" s="2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</row>
    <row r="713" spans="3:103" hidden="1" x14ac:dyDescent="0.25">
      <c r="C713" s="1"/>
      <c r="D713" s="2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</row>
    <row r="714" spans="3:103" hidden="1" x14ac:dyDescent="0.25">
      <c r="C714" s="1"/>
      <c r="D714" s="2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</row>
    <row r="715" spans="3:103" hidden="1" x14ac:dyDescent="0.25">
      <c r="C715" s="1"/>
      <c r="D715" s="2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</row>
    <row r="716" spans="3:103" hidden="1" x14ac:dyDescent="0.25">
      <c r="C716" s="1"/>
      <c r="D716" s="2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</row>
    <row r="717" spans="3:103" hidden="1" x14ac:dyDescent="0.25">
      <c r="C717" s="1"/>
      <c r="D717" s="2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</row>
    <row r="718" spans="3:103" hidden="1" x14ac:dyDescent="0.25">
      <c r="C718" s="1"/>
      <c r="D718" s="2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</row>
    <row r="719" spans="3:103" hidden="1" x14ac:dyDescent="0.25">
      <c r="C719" s="1"/>
      <c r="D719" s="2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</row>
    <row r="720" spans="3:103" hidden="1" x14ac:dyDescent="0.25">
      <c r="C720" s="1"/>
      <c r="D720" s="2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</row>
    <row r="721" spans="3:103" hidden="1" x14ac:dyDescent="0.25">
      <c r="C721" s="1"/>
      <c r="D721" s="2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</row>
    <row r="722" spans="3:103" hidden="1" x14ac:dyDescent="0.25">
      <c r="C722" s="1"/>
      <c r="D722" s="2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</row>
    <row r="723" spans="3:103" hidden="1" x14ac:dyDescent="0.25">
      <c r="C723" s="1"/>
      <c r="D723" s="2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</row>
    <row r="724" spans="3:103" hidden="1" x14ac:dyDescent="0.25">
      <c r="C724" s="1"/>
      <c r="D724" s="2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</row>
    <row r="725" spans="3:103" hidden="1" x14ac:dyDescent="0.25">
      <c r="C725" s="1"/>
      <c r="D725" s="2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</row>
    <row r="726" spans="3:103" hidden="1" x14ac:dyDescent="0.25">
      <c r="C726" s="1"/>
      <c r="D726" s="2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</row>
    <row r="727" spans="3:103" hidden="1" x14ac:dyDescent="0.25">
      <c r="C727" s="1"/>
      <c r="D727" s="2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</row>
    <row r="728" spans="3:103" hidden="1" x14ac:dyDescent="0.25">
      <c r="C728" s="1"/>
      <c r="D728" s="2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</row>
    <row r="729" spans="3:103" hidden="1" x14ac:dyDescent="0.25">
      <c r="C729" s="1"/>
      <c r="D729" s="2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</row>
    <row r="730" spans="3:103" hidden="1" x14ac:dyDescent="0.25">
      <c r="C730" s="1"/>
      <c r="D730" s="2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</row>
    <row r="731" spans="3:103" hidden="1" x14ac:dyDescent="0.25">
      <c r="C731" s="1"/>
      <c r="D731" s="2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</row>
    <row r="732" spans="3:103" hidden="1" x14ac:dyDescent="0.25">
      <c r="C732" s="1"/>
      <c r="D732" s="2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</row>
    <row r="733" spans="3:103" hidden="1" x14ac:dyDescent="0.25">
      <c r="C733" s="1"/>
      <c r="D733" s="2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</row>
    <row r="734" spans="3:103" hidden="1" x14ac:dyDescent="0.25">
      <c r="C734" s="1"/>
      <c r="D734" s="2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</row>
    <row r="735" spans="3:103" hidden="1" x14ac:dyDescent="0.25">
      <c r="C735" s="1"/>
      <c r="D735" s="2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</row>
    <row r="736" spans="3:103" hidden="1" x14ac:dyDescent="0.25">
      <c r="C736" s="1"/>
      <c r="D736" s="2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</row>
    <row r="737" spans="3:103" hidden="1" x14ac:dyDescent="0.25">
      <c r="C737" s="1"/>
      <c r="D737" s="2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</row>
    <row r="738" spans="3:103" hidden="1" x14ac:dyDescent="0.25">
      <c r="C738" s="1"/>
      <c r="D738" s="2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</row>
    <row r="739" spans="3:103" hidden="1" x14ac:dyDescent="0.25">
      <c r="C739" s="1"/>
      <c r="D739" s="2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</row>
    <row r="740" spans="3:103" hidden="1" x14ac:dyDescent="0.25">
      <c r="C740" s="1"/>
      <c r="D740" s="2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</row>
    <row r="741" spans="3:103" hidden="1" x14ac:dyDescent="0.25">
      <c r="C741" s="1"/>
      <c r="D741" s="2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</row>
    <row r="742" spans="3:103" hidden="1" x14ac:dyDescent="0.25">
      <c r="C742" s="1"/>
      <c r="D742" s="2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</row>
    <row r="743" spans="3:103" hidden="1" x14ac:dyDescent="0.25">
      <c r="C743" s="1"/>
      <c r="D743" s="2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</row>
    <row r="744" spans="3:103" hidden="1" x14ac:dyDescent="0.25">
      <c r="C744" s="1"/>
      <c r="D744" s="2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</row>
    <row r="745" spans="3:103" hidden="1" x14ac:dyDescent="0.25">
      <c r="C745" s="1"/>
      <c r="D745" s="2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</row>
    <row r="746" spans="3:103" hidden="1" x14ac:dyDescent="0.25">
      <c r="C746" s="1"/>
      <c r="D746" s="2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</row>
    <row r="747" spans="3:103" hidden="1" x14ac:dyDescent="0.25">
      <c r="C747" s="1"/>
      <c r="D747" s="2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</row>
    <row r="748" spans="3:103" hidden="1" x14ac:dyDescent="0.25">
      <c r="C748" s="1"/>
      <c r="D748" s="2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</row>
    <row r="749" spans="3:103" hidden="1" x14ac:dyDescent="0.25">
      <c r="C749" s="1"/>
      <c r="D749" s="2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</row>
    <row r="750" spans="3:103" hidden="1" x14ac:dyDescent="0.25">
      <c r="C750" s="1"/>
      <c r="D750" s="2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</row>
    <row r="751" spans="3:103" hidden="1" x14ac:dyDescent="0.25">
      <c r="C751" s="1"/>
      <c r="D751" s="2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</row>
    <row r="752" spans="3:103" hidden="1" x14ac:dyDescent="0.25">
      <c r="C752" s="1"/>
      <c r="D752" s="2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</row>
    <row r="753" spans="3:103" hidden="1" x14ac:dyDescent="0.25">
      <c r="C753" s="1"/>
      <c r="D753" s="2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</row>
    <row r="754" spans="3:103" hidden="1" x14ac:dyDescent="0.25">
      <c r="C754" s="1"/>
      <c r="D754" s="2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</row>
    <row r="755" spans="3:103" hidden="1" x14ac:dyDescent="0.25">
      <c r="C755" s="1"/>
      <c r="D755" s="2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</row>
    <row r="756" spans="3:103" hidden="1" x14ac:dyDescent="0.25">
      <c r="C756" s="1"/>
      <c r="D756" s="2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</row>
    <row r="757" spans="3:103" hidden="1" x14ac:dyDescent="0.25">
      <c r="C757" s="1"/>
      <c r="D757" s="2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</row>
    <row r="758" spans="3:103" hidden="1" x14ac:dyDescent="0.25">
      <c r="C758" s="1"/>
      <c r="D758" s="2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</row>
    <row r="759" spans="3:103" hidden="1" x14ac:dyDescent="0.25">
      <c r="C759" s="1"/>
      <c r="D759" s="2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</row>
    <row r="760" spans="3:103" hidden="1" x14ac:dyDescent="0.25">
      <c r="C760" s="1"/>
      <c r="D760" s="2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</row>
    <row r="761" spans="3:103" hidden="1" x14ac:dyDescent="0.25">
      <c r="C761" s="1"/>
      <c r="D761" s="2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</row>
    <row r="762" spans="3:103" hidden="1" x14ac:dyDescent="0.25">
      <c r="C762" s="1"/>
      <c r="D762" s="2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</row>
    <row r="763" spans="3:103" hidden="1" x14ac:dyDescent="0.25">
      <c r="C763" s="1"/>
      <c r="D763" s="2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</row>
    <row r="764" spans="3:103" hidden="1" x14ac:dyDescent="0.25">
      <c r="C764" s="1"/>
      <c r="D764" s="2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</row>
    <row r="765" spans="3:103" hidden="1" x14ac:dyDescent="0.25">
      <c r="C765" s="1"/>
      <c r="D765" s="2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</row>
    <row r="766" spans="3:103" hidden="1" x14ac:dyDescent="0.25">
      <c r="C766" s="1"/>
      <c r="D766" s="2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</row>
    <row r="767" spans="3:103" hidden="1" x14ac:dyDescent="0.25">
      <c r="C767" s="1"/>
      <c r="D767" s="2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</row>
    <row r="768" spans="3:103" hidden="1" x14ac:dyDescent="0.25">
      <c r="C768" s="1"/>
      <c r="D768" s="2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</row>
    <row r="769" spans="3:103" hidden="1" x14ac:dyDescent="0.25">
      <c r="C769" s="1"/>
      <c r="D769" s="2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</row>
    <row r="770" spans="3:103" hidden="1" x14ac:dyDescent="0.25">
      <c r="C770" s="1"/>
      <c r="D770" s="2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</row>
    <row r="771" spans="3:103" hidden="1" x14ac:dyDescent="0.25">
      <c r="C771" s="1"/>
      <c r="D771" s="2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</row>
    <row r="772" spans="3:103" hidden="1" x14ac:dyDescent="0.25">
      <c r="C772" s="1"/>
      <c r="D772" s="2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</row>
    <row r="773" spans="3:103" hidden="1" x14ac:dyDescent="0.25">
      <c r="C773" s="1"/>
      <c r="D773" s="2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</row>
    <row r="774" spans="3:103" hidden="1" x14ac:dyDescent="0.25">
      <c r="C774" s="1"/>
      <c r="D774" s="2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</row>
    <row r="775" spans="3:103" hidden="1" x14ac:dyDescent="0.25">
      <c r="C775" s="1"/>
      <c r="D775" s="2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</row>
    <row r="776" spans="3:103" hidden="1" x14ac:dyDescent="0.25">
      <c r="C776" s="1"/>
      <c r="D776" s="2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</row>
    <row r="777" spans="3:103" hidden="1" x14ac:dyDescent="0.25">
      <c r="C777" s="1"/>
      <c r="D777" s="2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</row>
    <row r="778" spans="3:103" hidden="1" x14ac:dyDescent="0.25">
      <c r="C778" s="1"/>
      <c r="D778" s="2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</row>
    <row r="779" spans="3:103" hidden="1" x14ac:dyDescent="0.25">
      <c r="C779" s="1"/>
      <c r="D779" s="2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</row>
    <row r="780" spans="3:103" hidden="1" x14ac:dyDescent="0.25">
      <c r="C780" s="1"/>
      <c r="D780" s="2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</row>
    <row r="781" spans="3:103" hidden="1" x14ac:dyDescent="0.25">
      <c r="C781" s="1"/>
      <c r="D781" s="2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</row>
    <row r="782" spans="3:103" hidden="1" x14ac:dyDescent="0.25">
      <c r="C782" s="1"/>
      <c r="D782" s="2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</row>
    <row r="783" spans="3:103" hidden="1" x14ac:dyDescent="0.25">
      <c r="C783" s="1"/>
      <c r="D783" s="2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</row>
    <row r="784" spans="3:103" hidden="1" x14ac:dyDescent="0.25">
      <c r="C784" s="1"/>
      <c r="D784" s="2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</row>
    <row r="785" spans="3:103" hidden="1" x14ac:dyDescent="0.25">
      <c r="C785" s="1"/>
      <c r="D785" s="2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</row>
    <row r="786" spans="3:103" hidden="1" x14ac:dyDescent="0.25">
      <c r="C786" s="1"/>
      <c r="D786" s="2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</row>
    <row r="787" spans="3:103" hidden="1" x14ac:dyDescent="0.25">
      <c r="C787" s="1"/>
      <c r="D787" s="2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</row>
    <row r="788" spans="3:103" hidden="1" x14ac:dyDescent="0.25">
      <c r="C788" s="1"/>
      <c r="D788" s="2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</row>
    <row r="789" spans="3:103" hidden="1" x14ac:dyDescent="0.25">
      <c r="C789" s="1"/>
      <c r="D789" s="2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</row>
    <row r="790" spans="3:103" hidden="1" x14ac:dyDescent="0.25">
      <c r="C790" s="1"/>
      <c r="D790" s="2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</row>
    <row r="791" spans="3:103" hidden="1" x14ac:dyDescent="0.25">
      <c r="C791" s="1"/>
      <c r="D791" s="2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</row>
    <row r="792" spans="3:103" hidden="1" x14ac:dyDescent="0.25">
      <c r="C792" s="1"/>
      <c r="D792" s="2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</row>
    <row r="793" spans="3:103" hidden="1" x14ac:dyDescent="0.25">
      <c r="C793" s="1"/>
      <c r="D793" s="2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</row>
    <row r="794" spans="3:103" hidden="1" x14ac:dyDescent="0.25">
      <c r="C794" s="1"/>
      <c r="D794" s="2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</row>
    <row r="795" spans="3:103" hidden="1" x14ac:dyDescent="0.25">
      <c r="C795" s="1"/>
      <c r="D795" s="2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</row>
    <row r="796" spans="3:103" hidden="1" x14ac:dyDescent="0.25">
      <c r="C796" s="1"/>
      <c r="D796" s="2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</row>
    <row r="797" spans="3:103" hidden="1" x14ac:dyDescent="0.25">
      <c r="C797" s="1"/>
      <c r="D797" s="2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</row>
    <row r="798" spans="3:103" hidden="1" x14ac:dyDescent="0.25">
      <c r="C798" s="1"/>
      <c r="D798" s="2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</row>
    <row r="799" spans="3:103" hidden="1" x14ac:dyDescent="0.25">
      <c r="C799" s="1"/>
      <c r="D799" s="2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</row>
    <row r="800" spans="3:103" hidden="1" x14ac:dyDescent="0.25">
      <c r="C800" s="1"/>
      <c r="D800" s="2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</row>
    <row r="801" spans="3:103" hidden="1" x14ac:dyDescent="0.25">
      <c r="C801" s="1"/>
      <c r="D801" s="2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</row>
    <row r="802" spans="3:103" hidden="1" x14ac:dyDescent="0.25">
      <c r="C802" s="1"/>
      <c r="D802" s="2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</row>
    <row r="803" spans="3:103" hidden="1" x14ac:dyDescent="0.25">
      <c r="C803" s="1"/>
      <c r="D803" s="2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</row>
    <row r="804" spans="3:103" hidden="1" x14ac:dyDescent="0.25">
      <c r="C804" s="1"/>
      <c r="D804" s="2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</row>
    <row r="805" spans="3:103" hidden="1" x14ac:dyDescent="0.25">
      <c r="C805" s="1"/>
      <c r="D805" s="2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</row>
    <row r="806" spans="3:103" hidden="1" x14ac:dyDescent="0.25">
      <c r="C806" s="1"/>
      <c r="D806" s="2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</row>
    <row r="807" spans="3:103" hidden="1" x14ac:dyDescent="0.25">
      <c r="C807" s="1"/>
      <c r="D807" s="2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</row>
    <row r="808" spans="3:103" hidden="1" x14ac:dyDescent="0.25">
      <c r="C808" s="1"/>
      <c r="D808" s="2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</row>
    <row r="809" spans="3:103" hidden="1" x14ac:dyDescent="0.25">
      <c r="C809" s="1"/>
      <c r="D809" s="2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</row>
    <row r="810" spans="3:103" hidden="1" x14ac:dyDescent="0.25">
      <c r="C810" s="1"/>
      <c r="D810" s="2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</row>
    <row r="811" spans="3:103" hidden="1" x14ac:dyDescent="0.25">
      <c r="C811" s="1"/>
      <c r="D811" s="2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</row>
    <row r="812" spans="3:103" hidden="1" x14ac:dyDescent="0.25">
      <c r="C812" s="1"/>
      <c r="D812" s="2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</row>
    <row r="813" spans="3:103" hidden="1" x14ac:dyDescent="0.25">
      <c r="C813" s="1"/>
      <c r="D813" s="2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</row>
    <row r="814" spans="3:103" hidden="1" x14ac:dyDescent="0.25">
      <c r="C814" s="1"/>
      <c r="D814" s="2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</row>
    <row r="815" spans="3:103" hidden="1" x14ac:dyDescent="0.25">
      <c r="C815" s="1"/>
      <c r="D815" s="2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</row>
    <row r="816" spans="3:103" hidden="1" x14ac:dyDescent="0.25">
      <c r="C816" s="1"/>
      <c r="D816" s="2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</row>
    <row r="817" spans="3:103" hidden="1" x14ac:dyDescent="0.25">
      <c r="C817" s="1"/>
      <c r="D817" s="2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</row>
    <row r="818" spans="3:103" hidden="1" x14ac:dyDescent="0.25">
      <c r="C818" s="1"/>
      <c r="D818" s="2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</row>
    <row r="819" spans="3:103" hidden="1" x14ac:dyDescent="0.25">
      <c r="C819" s="1"/>
      <c r="D819" s="2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</row>
    <row r="820" spans="3:103" hidden="1" x14ac:dyDescent="0.25">
      <c r="C820" s="1"/>
      <c r="D820" s="2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</row>
    <row r="821" spans="3:103" hidden="1" x14ac:dyDescent="0.25">
      <c r="C821" s="1"/>
      <c r="D821" s="2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</row>
    <row r="822" spans="3:103" hidden="1" x14ac:dyDescent="0.25">
      <c r="C822" s="1"/>
      <c r="D822" s="2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</row>
    <row r="823" spans="3:103" hidden="1" x14ac:dyDescent="0.25">
      <c r="C823" s="1"/>
      <c r="D823" s="2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</row>
    <row r="824" spans="3:103" hidden="1" x14ac:dyDescent="0.25">
      <c r="C824" s="1"/>
      <c r="D824" s="2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</row>
    <row r="825" spans="3:103" hidden="1" x14ac:dyDescent="0.25">
      <c r="C825" s="1"/>
      <c r="D825" s="2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</row>
    <row r="826" spans="3:103" hidden="1" x14ac:dyDescent="0.25">
      <c r="C826" s="1"/>
      <c r="D826" s="2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</row>
    <row r="827" spans="3:103" hidden="1" x14ac:dyDescent="0.25">
      <c r="C827" s="1"/>
      <c r="D827" s="2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</row>
    <row r="828" spans="3:103" hidden="1" x14ac:dyDescent="0.25">
      <c r="C828" s="1"/>
      <c r="D828" s="2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</row>
    <row r="829" spans="3:103" hidden="1" x14ac:dyDescent="0.25">
      <c r="C829" s="1"/>
      <c r="D829" s="2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</row>
    <row r="830" spans="3:103" hidden="1" x14ac:dyDescent="0.25">
      <c r="C830" s="1"/>
      <c r="D830" s="2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</row>
    <row r="831" spans="3:103" hidden="1" x14ac:dyDescent="0.25">
      <c r="C831" s="1"/>
      <c r="D831" s="2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</row>
    <row r="832" spans="3:103" hidden="1" x14ac:dyDescent="0.25">
      <c r="C832" s="1"/>
      <c r="D832" s="2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</row>
    <row r="833" spans="3:103" hidden="1" x14ac:dyDescent="0.25">
      <c r="C833" s="1"/>
      <c r="D833" s="2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</row>
    <row r="834" spans="3:103" hidden="1" x14ac:dyDescent="0.25">
      <c r="C834" s="1"/>
      <c r="D834" s="2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</row>
    <row r="835" spans="3:103" hidden="1" x14ac:dyDescent="0.25">
      <c r="C835" s="1"/>
      <c r="D835" s="2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</row>
    <row r="836" spans="3:103" hidden="1" x14ac:dyDescent="0.25">
      <c r="C836" s="1"/>
      <c r="D836" s="2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</row>
    <row r="837" spans="3:103" hidden="1" x14ac:dyDescent="0.25">
      <c r="C837" s="1"/>
      <c r="D837" s="2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</row>
    <row r="838" spans="3:103" hidden="1" x14ac:dyDescent="0.25">
      <c r="C838" s="1"/>
      <c r="D838" s="2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</row>
    <row r="839" spans="3:103" hidden="1" x14ac:dyDescent="0.25">
      <c r="C839" s="1"/>
      <c r="D839" s="2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</row>
    <row r="840" spans="3:103" hidden="1" x14ac:dyDescent="0.25">
      <c r="C840" s="1"/>
      <c r="D840" s="2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</row>
    <row r="841" spans="3:103" hidden="1" x14ac:dyDescent="0.25">
      <c r="C841" s="1"/>
      <c r="D841" s="2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</row>
    <row r="842" spans="3:103" hidden="1" x14ac:dyDescent="0.25">
      <c r="C842" s="1"/>
      <c r="D842" s="2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</row>
    <row r="843" spans="3:103" hidden="1" x14ac:dyDescent="0.25">
      <c r="C843" s="1"/>
      <c r="D843" s="2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</row>
    <row r="844" spans="3:103" hidden="1" x14ac:dyDescent="0.25">
      <c r="C844" s="1"/>
      <c r="D844" s="2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</row>
    <row r="845" spans="3:103" hidden="1" x14ac:dyDescent="0.25">
      <c r="C845" s="1"/>
      <c r="D845" s="2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</row>
    <row r="846" spans="3:103" hidden="1" x14ac:dyDescent="0.25">
      <c r="C846" s="1"/>
      <c r="D846" s="2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</row>
    <row r="847" spans="3:103" hidden="1" x14ac:dyDescent="0.25">
      <c r="C847" s="1"/>
      <c r="D847" s="2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</row>
    <row r="848" spans="3:103" hidden="1" x14ac:dyDescent="0.25">
      <c r="C848" s="1"/>
      <c r="D848" s="2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</row>
    <row r="849" spans="3:103" hidden="1" x14ac:dyDescent="0.25">
      <c r="C849" s="1"/>
      <c r="D849" s="2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</row>
    <row r="850" spans="3:103" hidden="1" x14ac:dyDescent="0.25">
      <c r="C850" s="1"/>
      <c r="D850" s="2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</row>
    <row r="851" spans="3:103" hidden="1" x14ac:dyDescent="0.25">
      <c r="C851" s="1"/>
      <c r="D851" s="2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</row>
    <row r="852" spans="3:103" hidden="1" x14ac:dyDescent="0.25">
      <c r="C852" s="1"/>
      <c r="D852" s="2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</row>
    <row r="853" spans="3:103" hidden="1" x14ac:dyDescent="0.25">
      <c r="C853" s="1"/>
      <c r="D853" s="2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</row>
    <row r="854" spans="3:103" hidden="1" x14ac:dyDescent="0.25">
      <c r="C854" s="1"/>
      <c r="D854" s="2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</row>
    <row r="855" spans="3:103" hidden="1" x14ac:dyDescent="0.25">
      <c r="C855" s="1"/>
      <c r="D855" s="2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</row>
    <row r="856" spans="3:103" hidden="1" x14ac:dyDescent="0.25">
      <c r="C856" s="1"/>
      <c r="D856" s="2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</row>
    <row r="857" spans="3:103" hidden="1" x14ac:dyDescent="0.25">
      <c r="C857" s="1"/>
      <c r="D857" s="2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</row>
    <row r="858" spans="3:103" hidden="1" x14ac:dyDescent="0.25">
      <c r="C858" s="1"/>
      <c r="D858" s="2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</row>
    <row r="859" spans="3:103" hidden="1" x14ac:dyDescent="0.25">
      <c r="C859" s="1"/>
      <c r="D859" s="2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</row>
    <row r="860" spans="3:103" hidden="1" x14ac:dyDescent="0.25">
      <c r="C860" s="1"/>
      <c r="D860" s="2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</row>
    <row r="861" spans="3:103" hidden="1" x14ac:dyDescent="0.25">
      <c r="C861" s="1"/>
      <c r="D861" s="2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</row>
    <row r="862" spans="3:103" hidden="1" x14ac:dyDescent="0.25">
      <c r="C862" s="1"/>
      <c r="D862" s="2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</row>
    <row r="863" spans="3:103" hidden="1" x14ac:dyDescent="0.25">
      <c r="C863" s="1"/>
      <c r="D863" s="2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</row>
    <row r="864" spans="3:103" hidden="1" x14ac:dyDescent="0.25">
      <c r="C864" s="1"/>
      <c r="D864" s="2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</row>
    <row r="865" spans="3:103" hidden="1" x14ac:dyDescent="0.25">
      <c r="C865" s="1"/>
      <c r="D865" s="2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</row>
    <row r="866" spans="3:103" hidden="1" x14ac:dyDescent="0.25">
      <c r="C866" s="1"/>
      <c r="D866" s="2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</row>
    <row r="867" spans="3:103" hidden="1" x14ac:dyDescent="0.25">
      <c r="C867" s="1"/>
      <c r="D867" s="2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</row>
    <row r="868" spans="3:103" hidden="1" x14ac:dyDescent="0.25">
      <c r="C868" s="1"/>
      <c r="D868" s="2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</row>
    <row r="869" spans="3:103" hidden="1" x14ac:dyDescent="0.25">
      <c r="C869" s="1"/>
      <c r="D869" s="2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</row>
    <row r="870" spans="3:103" hidden="1" x14ac:dyDescent="0.25">
      <c r="C870" s="1"/>
      <c r="D870" s="2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</row>
    <row r="871" spans="3:103" hidden="1" x14ac:dyDescent="0.25">
      <c r="C871" s="1"/>
      <c r="D871" s="2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</row>
    <row r="872" spans="3:103" hidden="1" x14ac:dyDescent="0.25">
      <c r="C872" s="1"/>
      <c r="D872" s="2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</row>
    <row r="873" spans="3:103" hidden="1" x14ac:dyDescent="0.25">
      <c r="C873" s="1"/>
      <c r="D873" s="2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</row>
    <row r="874" spans="3:103" hidden="1" x14ac:dyDescent="0.25">
      <c r="C874" s="1"/>
      <c r="D874" s="2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</row>
    <row r="875" spans="3:103" hidden="1" x14ac:dyDescent="0.25">
      <c r="C875" s="1"/>
      <c r="D875" s="2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</row>
    <row r="876" spans="3:103" hidden="1" x14ac:dyDescent="0.25">
      <c r="C876" s="1"/>
      <c r="D876" s="2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</row>
    <row r="877" spans="3:103" hidden="1" x14ac:dyDescent="0.25">
      <c r="C877" s="1"/>
      <c r="D877" s="2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</row>
    <row r="878" spans="3:103" hidden="1" x14ac:dyDescent="0.25">
      <c r="C878" s="1"/>
      <c r="D878" s="2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</row>
    <row r="879" spans="3:103" hidden="1" x14ac:dyDescent="0.25">
      <c r="C879" s="1"/>
      <c r="D879" s="2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</row>
    <row r="880" spans="3:103" hidden="1" x14ac:dyDescent="0.25">
      <c r="C880" s="1"/>
      <c r="D880" s="2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</row>
    <row r="881" spans="3:103" hidden="1" x14ac:dyDescent="0.25">
      <c r="C881" s="1"/>
      <c r="D881" s="2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</row>
    <row r="882" spans="3:103" hidden="1" x14ac:dyDescent="0.25">
      <c r="C882" s="1"/>
      <c r="D882" s="2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</row>
    <row r="883" spans="3:103" hidden="1" x14ac:dyDescent="0.25">
      <c r="C883" s="1"/>
      <c r="D883" s="2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</row>
    <row r="884" spans="3:103" hidden="1" x14ac:dyDescent="0.25">
      <c r="C884" s="1"/>
      <c r="D884" s="2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</row>
    <row r="885" spans="3:103" hidden="1" x14ac:dyDescent="0.25">
      <c r="C885" s="1"/>
      <c r="D885" s="2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</row>
    <row r="886" spans="3:103" hidden="1" x14ac:dyDescent="0.25">
      <c r="C886" s="1"/>
      <c r="D886" s="2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</row>
    <row r="887" spans="3:103" hidden="1" x14ac:dyDescent="0.25">
      <c r="C887" s="1"/>
      <c r="D887" s="2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</row>
    <row r="888" spans="3:103" hidden="1" x14ac:dyDescent="0.25">
      <c r="C888" s="1"/>
      <c r="D888" s="2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</row>
    <row r="889" spans="3:103" hidden="1" x14ac:dyDescent="0.25">
      <c r="C889" s="1"/>
      <c r="D889" s="2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</row>
    <row r="890" spans="3:103" hidden="1" x14ac:dyDescent="0.25">
      <c r="C890" s="1"/>
      <c r="D890" s="2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</row>
    <row r="891" spans="3:103" hidden="1" x14ac:dyDescent="0.25">
      <c r="C891" s="1"/>
      <c r="D891" s="2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</row>
    <row r="892" spans="3:103" hidden="1" x14ac:dyDescent="0.25">
      <c r="C892" s="1"/>
      <c r="D892" s="2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</row>
    <row r="893" spans="3:103" hidden="1" x14ac:dyDescent="0.25">
      <c r="C893" s="1"/>
      <c r="D893" s="2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</row>
    <row r="894" spans="3:103" hidden="1" x14ac:dyDescent="0.25">
      <c r="C894" s="1"/>
      <c r="D894" s="2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</row>
    <row r="895" spans="3:103" hidden="1" x14ac:dyDescent="0.25">
      <c r="C895" s="1"/>
      <c r="D895" s="2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</row>
    <row r="896" spans="3:103" hidden="1" x14ac:dyDescent="0.25">
      <c r="C896" s="1"/>
      <c r="D896" s="2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</row>
    <row r="897" spans="3:103" hidden="1" x14ac:dyDescent="0.25">
      <c r="C897" s="1"/>
      <c r="D897" s="2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</row>
    <row r="898" spans="3:103" hidden="1" x14ac:dyDescent="0.25">
      <c r="C898" s="1"/>
      <c r="D898" s="2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</row>
    <row r="899" spans="3:103" hidden="1" x14ac:dyDescent="0.25">
      <c r="C899" s="1"/>
      <c r="D899" s="2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</row>
    <row r="900" spans="3:103" hidden="1" x14ac:dyDescent="0.25">
      <c r="C900" s="1"/>
      <c r="D900" s="2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</row>
    <row r="901" spans="3:103" hidden="1" x14ac:dyDescent="0.25">
      <c r="C901" s="1"/>
      <c r="D901" s="2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</row>
    <row r="902" spans="3:103" hidden="1" x14ac:dyDescent="0.25">
      <c r="C902" s="1"/>
      <c r="D902" s="2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</row>
    <row r="903" spans="3:103" hidden="1" x14ac:dyDescent="0.25">
      <c r="C903" s="1"/>
      <c r="D903" s="2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</row>
    <row r="904" spans="3:103" hidden="1" x14ac:dyDescent="0.25">
      <c r="C904" s="1"/>
      <c r="D904" s="2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</row>
    <row r="905" spans="3:103" hidden="1" x14ac:dyDescent="0.25">
      <c r="C905" s="1"/>
      <c r="D905" s="2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</row>
    <row r="906" spans="3:103" hidden="1" x14ac:dyDescent="0.25">
      <c r="C906" s="1"/>
      <c r="D906" s="2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</row>
    <row r="907" spans="3:103" hidden="1" x14ac:dyDescent="0.25">
      <c r="C907" s="1"/>
      <c r="D907" s="2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</row>
    <row r="908" spans="3:103" hidden="1" x14ac:dyDescent="0.25">
      <c r="C908" s="1"/>
      <c r="D908" s="2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</row>
    <row r="909" spans="3:103" hidden="1" x14ac:dyDescent="0.25">
      <c r="C909" s="1"/>
      <c r="D909" s="2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</row>
    <row r="910" spans="3:103" hidden="1" x14ac:dyDescent="0.25">
      <c r="C910" s="1"/>
      <c r="D910" s="2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</row>
    <row r="911" spans="3:103" hidden="1" x14ac:dyDescent="0.25">
      <c r="C911" s="1"/>
      <c r="D911" s="2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</row>
    <row r="912" spans="3:103" hidden="1" x14ac:dyDescent="0.25">
      <c r="C912" s="1"/>
      <c r="D912" s="2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</row>
    <row r="913" spans="3:103" hidden="1" x14ac:dyDescent="0.25">
      <c r="C913" s="1"/>
      <c r="D913" s="2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</row>
    <row r="914" spans="3:103" hidden="1" x14ac:dyDescent="0.25">
      <c r="C914" s="1"/>
      <c r="D914" s="2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</row>
    <row r="915" spans="3:103" hidden="1" x14ac:dyDescent="0.25">
      <c r="C915" s="1"/>
      <c r="D915" s="2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</row>
    <row r="916" spans="3:103" hidden="1" x14ac:dyDescent="0.25">
      <c r="C916" s="1"/>
      <c r="D916" s="2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</row>
    <row r="917" spans="3:103" hidden="1" x14ac:dyDescent="0.25">
      <c r="C917" s="1"/>
      <c r="D917" s="2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</row>
    <row r="918" spans="3:103" hidden="1" x14ac:dyDescent="0.25">
      <c r="C918" s="1"/>
      <c r="D918" s="2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</row>
    <row r="919" spans="3:103" hidden="1" x14ac:dyDescent="0.25">
      <c r="C919" s="1"/>
      <c r="D919" s="2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</row>
    <row r="920" spans="3:103" hidden="1" x14ac:dyDescent="0.25">
      <c r="C920" s="1"/>
      <c r="D920" s="2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</row>
    <row r="921" spans="3:103" hidden="1" x14ac:dyDescent="0.25">
      <c r="C921" s="1"/>
      <c r="D921" s="2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</row>
    <row r="922" spans="3:103" hidden="1" x14ac:dyDescent="0.25">
      <c r="C922" s="1"/>
      <c r="D922" s="2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</row>
    <row r="923" spans="3:103" hidden="1" x14ac:dyDescent="0.25">
      <c r="C923" s="1"/>
      <c r="D923" s="2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</row>
    <row r="924" spans="3:103" hidden="1" x14ac:dyDescent="0.25">
      <c r="C924" s="1"/>
      <c r="D924" s="2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</row>
    <row r="925" spans="3:103" hidden="1" x14ac:dyDescent="0.25">
      <c r="C925" s="1"/>
      <c r="D925" s="2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</row>
    <row r="926" spans="3:103" hidden="1" x14ac:dyDescent="0.25">
      <c r="C926" s="1"/>
      <c r="D926" s="2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</row>
    <row r="927" spans="3:103" hidden="1" x14ac:dyDescent="0.25">
      <c r="C927" s="1"/>
      <c r="D927" s="2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</row>
    <row r="928" spans="3:103" hidden="1" x14ac:dyDescent="0.25">
      <c r="C928" s="1"/>
      <c r="D928" s="2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</row>
    <row r="929" spans="3:103" hidden="1" x14ac:dyDescent="0.25">
      <c r="C929" s="1"/>
      <c r="D929" s="2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</row>
    <row r="930" spans="3:103" hidden="1" x14ac:dyDescent="0.25">
      <c r="C930" s="1"/>
      <c r="D930" s="2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</row>
    <row r="931" spans="3:103" hidden="1" x14ac:dyDescent="0.25">
      <c r="C931" s="1"/>
      <c r="D931" s="2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</row>
    <row r="932" spans="3:103" hidden="1" x14ac:dyDescent="0.25">
      <c r="C932" s="1"/>
      <c r="D932" s="2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</row>
    <row r="933" spans="3:103" hidden="1" x14ac:dyDescent="0.25">
      <c r="C933" s="1"/>
      <c r="D933" s="2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</row>
    <row r="934" spans="3:103" hidden="1" x14ac:dyDescent="0.25">
      <c r="C934" s="1"/>
      <c r="D934" s="2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</row>
    <row r="935" spans="3:103" hidden="1" x14ac:dyDescent="0.25">
      <c r="C935" s="1"/>
      <c r="D935" s="2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</row>
    <row r="936" spans="3:103" hidden="1" x14ac:dyDescent="0.25">
      <c r="C936" s="1"/>
      <c r="D936" s="2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</row>
    <row r="937" spans="3:103" hidden="1" x14ac:dyDescent="0.25">
      <c r="C937" s="1"/>
      <c r="D937" s="2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</row>
    <row r="938" spans="3:103" hidden="1" x14ac:dyDescent="0.25">
      <c r="C938" s="1"/>
      <c r="D938" s="2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</row>
    <row r="939" spans="3:103" hidden="1" x14ac:dyDescent="0.25">
      <c r="C939" s="1"/>
      <c r="D939" s="2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</row>
    <row r="940" spans="3:103" hidden="1" x14ac:dyDescent="0.25">
      <c r="C940" s="1"/>
      <c r="D940" s="2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</row>
    <row r="941" spans="3:103" hidden="1" x14ac:dyDescent="0.25">
      <c r="C941" s="1"/>
      <c r="D941" s="2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</row>
    <row r="942" spans="3:103" hidden="1" x14ac:dyDescent="0.25">
      <c r="C942" s="1"/>
      <c r="D942" s="2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</row>
    <row r="943" spans="3:103" hidden="1" x14ac:dyDescent="0.25">
      <c r="C943" s="1"/>
      <c r="D943" s="2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</row>
    <row r="944" spans="3:103" hidden="1" x14ac:dyDescent="0.25">
      <c r="C944" s="1"/>
      <c r="D944" s="2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</row>
    <row r="945" spans="3:103" hidden="1" x14ac:dyDescent="0.25">
      <c r="C945" s="1"/>
      <c r="D945" s="2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</row>
    <row r="946" spans="3:103" hidden="1" x14ac:dyDescent="0.25">
      <c r="C946" s="1"/>
      <c r="D946" s="2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</row>
    <row r="947" spans="3:103" hidden="1" x14ac:dyDescent="0.25">
      <c r="C947" s="1"/>
      <c r="D947" s="2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</row>
    <row r="948" spans="3:103" hidden="1" x14ac:dyDescent="0.25">
      <c r="C948" s="1"/>
      <c r="D948" s="2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</row>
    <row r="949" spans="3:103" hidden="1" x14ac:dyDescent="0.25">
      <c r="C949" s="1"/>
      <c r="D949" s="2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</row>
    <row r="950" spans="3:103" hidden="1" x14ac:dyDescent="0.25">
      <c r="C950" s="1"/>
      <c r="D950" s="2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</row>
    <row r="951" spans="3:103" hidden="1" x14ac:dyDescent="0.25">
      <c r="C951" s="1"/>
      <c r="D951" s="2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</row>
    <row r="952" spans="3:103" hidden="1" x14ac:dyDescent="0.25">
      <c r="C952" s="1"/>
      <c r="D952" s="2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</row>
    <row r="953" spans="3:103" hidden="1" x14ac:dyDescent="0.25">
      <c r="C953" s="1"/>
      <c r="D953" s="2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</row>
    <row r="954" spans="3:103" hidden="1" x14ac:dyDescent="0.25">
      <c r="C954" s="1"/>
      <c r="D954" s="2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</row>
    <row r="955" spans="3:103" hidden="1" x14ac:dyDescent="0.25">
      <c r="C955" s="1"/>
      <c r="D955" s="2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</row>
    <row r="956" spans="3:103" hidden="1" x14ac:dyDescent="0.25">
      <c r="C956" s="1"/>
      <c r="D956" s="2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</row>
    <row r="957" spans="3:103" hidden="1" x14ac:dyDescent="0.25">
      <c r="C957" s="1"/>
      <c r="D957" s="2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</row>
    <row r="958" spans="3:103" hidden="1" x14ac:dyDescent="0.25">
      <c r="C958" s="1"/>
      <c r="D958" s="2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</row>
    <row r="959" spans="3:103" hidden="1" x14ac:dyDescent="0.25">
      <c r="C959" s="1"/>
      <c r="D959" s="2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</row>
    <row r="960" spans="3:103" hidden="1" x14ac:dyDescent="0.25">
      <c r="C960" s="1"/>
      <c r="D960" s="2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</row>
    <row r="961" spans="3:103" hidden="1" x14ac:dyDescent="0.25">
      <c r="C961" s="1"/>
      <c r="D961" s="2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</row>
    <row r="962" spans="3:103" hidden="1" x14ac:dyDescent="0.25">
      <c r="C962" s="1"/>
      <c r="D962" s="2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</row>
    <row r="963" spans="3:103" hidden="1" x14ac:dyDescent="0.25">
      <c r="C963" s="1"/>
      <c r="D963" s="2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</row>
    <row r="964" spans="3:103" hidden="1" x14ac:dyDescent="0.25">
      <c r="C964" s="1"/>
      <c r="D964" s="2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</row>
    <row r="965" spans="3:103" hidden="1" x14ac:dyDescent="0.25">
      <c r="C965" s="1"/>
      <c r="D965" s="2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</row>
    <row r="966" spans="3:103" hidden="1" x14ac:dyDescent="0.25">
      <c r="C966" s="1"/>
      <c r="D966" s="2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</row>
    <row r="967" spans="3:103" hidden="1" x14ac:dyDescent="0.25">
      <c r="C967" s="1"/>
      <c r="D967" s="2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</row>
    <row r="968" spans="3:103" hidden="1" x14ac:dyDescent="0.25">
      <c r="C968" s="1"/>
      <c r="D968" s="2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</row>
    <row r="969" spans="3:103" hidden="1" x14ac:dyDescent="0.25">
      <c r="C969" s="1"/>
      <c r="D969" s="2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</row>
    <row r="970" spans="3:103" hidden="1" x14ac:dyDescent="0.25">
      <c r="C970" s="1"/>
      <c r="D970" s="2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</row>
    <row r="971" spans="3:103" hidden="1" x14ac:dyDescent="0.25">
      <c r="C971" s="1"/>
      <c r="D971" s="2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</row>
    <row r="972" spans="3:103" hidden="1" x14ac:dyDescent="0.25">
      <c r="C972" s="1"/>
      <c r="D972" s="2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</row>
    <row r="973" spans="3:103" hidden="1" x14ac:dyDescent="0.25">
      <c r="C973" s="1"/>
      <c r="D973" s="2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</row>
    <row r="974" spans="3:103" hidden="1" x14ac:dyDescent="0.25">
      <c r="C974" s="1"/>
      <c r="D974" s="2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</row>
    <row r="975" spans="3:103" hidden="1" x14ac:dyDescent="0.25">
      <c r="C975" s="1"/>
      <c r="D975" s="2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</row>
    <row r="976" spans="3:103" hidden="1" x14ac:dyDescent="0.25">
      <c r="C976" s="1"/>
      <c r="D976" s="2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</row>
    <row r="977" spans="3:103" hidden="1" x14ac:dyDescent="0.25">
      <c r="C977" s="1"/>
      <c r="D977" s="2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</row>
    <row r="978" spans="3:103" hidden="1" x14ac:dyDescent="0.25">
      <c r="C978" s="1"/>
      <c r="D978" s="2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</row>
    <row r="979" spans="3:103" hidden="1" x14ac:dyDescent="0.25">
      <c r="C979" s="1"/>
      <c r="D979" s="2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</row>
    <row r="980" spans="3:103" hidden="1" x14ac:dyDescent="0.25">
      <c r="C980" s="1"/>
      <c r="D980" s="2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</row>
    <row r="981" spans="3:103" hidden="1" x14ac:dyDescent="0.25">
      <c r="C981" s="1"/>
      <c r="D981" s="2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</row>
    <row r="982" spans="3:103" hidden="1" x14ac:dyDescent="0.25">
      <c r="C982" s="1"/>
      <c r="D982" s="2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</row>
    <row r="983" spans="3:103" hidden="1" x14ac:dyDescent="0.25">
      <c r="C983" s="1"/>
      <c r="D983" s="2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</row>
    <row r="984" spans="3:103" hidden="1" x14ac:dyDescent="0.25">
      <c r="C984" s="1"/>
      <c r="D984" s="2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</row>
    <row r="985" spans="3:103" hidden="1" x14ac:dyDescent="0.25">
      <c r="C985" s="1"/>
      <c r="D985" s="2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</row>
    <row r="986" spans="3:103" hidden="1" x14ac:dyDescent="0.25">
      <c r="C986" s="1"/>
      <c r="D986" s="2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</row>
    <row r="987" spans="3:103" hidden="1" x14ac:dyDescent="0.25">
      <c r="C987" s="1"/>
      <c r="D987" s="2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</row>
    <row r="988" spans="3:103" hidden="1" x14ac:dyDescent="0.25">
      <c r="C988" s="1"/>
      <c r="D988" s="2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</row>
    <row r="989" spans="3:103" hidden="1" x14ac:dyDescent="0.25">
      <c r="C989" s="1"/>
      <c r="D989" s="2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</row>
    <row r="990" spans="3:103" hidden="1" x14ac:dyDescent="0.25">
      <c r="C990" s="1"/>
      <c r="D990" s="2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</row>
    <row r="991" spans="3:103" hidden="1" x14ac:dyDescent="0.25">
      <c r="C991" s="1"/>
      <c r="D991" s="2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</row>
    <row r="992" spans="3:103" hidden="1" x14ac:dyDescent="0.25">
      <c r="C992" s="1"/>
      <c r="D992" s="2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</row>
    <row r="993" spans="3:103" hidden="1" x14ac:dyDescent="0.25">
      <c r="C993" s="1"/>
      <c r="D993" s="2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</row>
    <row r="994" spans="3:103" hidden="1" x14ac:dyDescent="0.25">
      <c r="C994" s="1"/>
      <c r="D994" s="2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</row>
    <row r="995" spans="3:103" hidden="1" x14ac:dyDescent="0.25">
      <c r="C995" s="1"/>
      <c r="D995" s="2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</row>
    <row r="996" spans="3:103" hidden="1" x14ac:dyDescent="0.25">
      <c r="C996" s="1"/>
      <c r="D996" s="2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</row>
    <row r="997" spans="3:103" hidden="1" x14ac:dyDescent="0.25">
      <c r="C997" s="1"/>
      <c r="D997" s="2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</row>
    <row r="998" spans="3:103" hidden="1" x14ac:dyDescent="0.25">
      <c r="C998" s="1"/>
      <c r="D998" s="2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</row>
    <row r="999" spans="3:103" hidden="1" x14ac:dyDescent="0.25">
      <c r="C999" s="1"/>
      <c r="D999" s="2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</row>
    <row r="1000" spans="3:103" hidden="1" x14ac:dyDescent="0.25">
      <c r="C1000" s="1"/>
      <c r="D1000" s="2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</row>
    <row r="1001" spans="3:103" hidden="1" x14ac:dyDescent="0.25">
      <c r="C1001" s="1"/>
      <c r="D1001" s="2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</row>
    <row r="1002" spans="3:103" hidden="1" x14ac:dyDescent="0.25">
      <c r="C1002" s="1"/>
      <c r="D1002" s="2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</row>
    <row r="1003" spans="3:103" hidden="1" x14ac:dyDescent="0.25">
      <c r="C1003" s="1"/>
      <c r="D1003" s="2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</row>
    <row r="1004" spans="3:103" hidden="1" x14ac:dyDescent="0.25">
      <c r="C1004" s="1"/>
      <c r="D1004" s="2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</row>
    <row r="1005" spans="3:103" hidden="1" x14ac:dyDescent="0.25">
      <c r="C1005" s="1"/>
      <c r="D1005" s="2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</row>
    <row r="1006" spans="3:103" hidden="1" x14ac:dyDescent="0.25">
      <c r="C1006" s="1"/>
      <c r="D1006" s="2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</row>
    <row r="1007" spans="3:103" hidden="1" x14ac:dyDescent="0.25">
      <c r="C1007" s="1"/>
      <c r="D1007" s="2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</row>
    <row r="1008" spans="3:103" hidden="1" x14ac:dyDescent="0.25">
      <c r="C1008" s="1"/>
      <c r="D1008" s="2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</row>
    <row r="1009" spans="3:103" hidden="1" x14ac:dyDescent="0.25">
      <c r="C1009" s="1"/>
      <c r="D1009" s="2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</row>
    <row r="1010" spans="3:103" hidden="1" x14ac:dyDescent="0.25">
      <c r="C1010" s="1"/>
      <c r="D1010" s="2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</row>
    <row r="1011" spans="3:103" hidden="1" x14ac:dyDescent="0.25">
      <c r="C1011" s="1"/>
      <c r="D1011" s="2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</row>
    <row r="1012" spans="3:103" hidden="1" x14ac:dyDescent="0.25">
      <c r="C1012" s="1"/>
      <c r="D1012" s="2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</row>
    <row r="1013" spans="3:103" hidden="1" x14ac:dyDescent="0.25">
      <c r="C1013" s="1"/>
      <c r="D1013" s="2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</row>
    <row r="1014" spans="3:103" hidden="1" x14ac:dyDescent="0.25">
      <c r="C1014" s="1"/>
      <c r="D1014" s="2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</row>
    <row r="1015" spans="3:103" hidden="1" x14ac:dyDescent="0.25">
      <c r="C1015" s="1"/>
      <c r="D1015" s="2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</row>
    <row r="1016" spans="3:103" hidden="1" x14ac:dyDescent="0.25">
      <c r="C1016" s="1"/>
      <c r="D1016" s="2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</row>
    <row r="1017" spans="3:103" hidden="1" x14ac:dyDescent="0.25">
      <c r="C1017" s="1"/>
      <c r="D1017" s="2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</row>
    <row r="1018" spans="3:103" hidden="1" x14ac:dyDescent="0.25">
      <c r="C1018" s="1"/>
      <c r="D1018" s="2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</row>
    <row r="1019" spans="3:103" hidden="1" x14ac:dyDescent="0.25">
      <c r="C1019" s="1"/>
      <c r="D1019" s="2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</row>
    <row r="1020" spans="3:103" hidden="1" x14ac:dyDescent="0.25">
      <c r="C1020" s="1"/>
      <c r="D1020" s="2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</row>
    <row r="1021" spans="3:103" hidden="1" x14ac:dyDescent="0.25">
      <c r="C1021" s="1"/>
      <c r="D1021" s="2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</row>
    <row r="1022" spans="3:103" hidden="1" x14ac:dyDescent="0.25">
      <c r="C1022" s="1"/>
      <c r="D1022" s="2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</row>
    <row r="1023" spans="3:103" hidden="1" x14ac:dyDescent="0.25">
      <c r="C1023" s="1"/>
      <c r="D1023" s="2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</row>
    <row r="1024" spans="3:103" hidden="1" x14ac:dyDescent="0.25">
      <c r="C1024" s="1"/>
      <c r="D1024" s="2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</row>
    <row r="1025" spans="1:103" hidden="1" x14ac:dyDescent="0.25">
      <c r="C1025" s="1"/>
      <c r="D1025" s="2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</row>
    <row r="1026" spans="1:103" hidden="1" x14ac:dyDescent="0.25">
      <c r="C1026" s="1"/>
      <c r="D1026" s="2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</row>
    <row r="1027" spans="1:103" hidden="1" x14ac:dyDescent="0.25">
      <c r="C1027" s="1"/>
      <c r="D1027" s="2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</row>
    <row r="1028" spans="1:103" hidden="1" x14ac:dyDescent="0.25">
      <c r="C1028" s="1"/>
      <c r="D1028" s="2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</row>
    <row r="1029" spans="1:103" hidden="1" x14ac:dyDescent="0.25">
      <c r="C1029" s="1"/>
      <c r="D1029" s="2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</row>
    <row r="1030" spans="1:103" hidden="1" x14ac:dyDescent="0.25">
      <c r="C1030" s="1"/>
      <c r="D1030" s="2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</row>
    <row r="1031" spans="1:103" hidden="1" x14ac:dyDescent="0.25">
      <c r="C1031" s="1"/>
      <c r="D1031" s="2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</row>
    <row r="1032" spans="1:103" hidden="1" x14ac:dyDescent="0.25">
      <c r="C1032" s="1"/>
      <c r="D1032" s="2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</row>
    <row r="1033" spans="1:103" hidden="1" x14ac:dyDescent="0.25">
      <c r="C1033" s="7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</row>
    <row r="1034" spans="1:103" hidden="1" x14ac:dyDescent="0.25"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</row>
    <row r="1035" spans="1:103" hidden="1" x14ac:dyDescent="0.25">
      <c r="C1035" s="7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</row>
    <row r="1036" spans="1:103" hidden="1" x14ac:dyDescent="0.25">
      <c r="C1036" s="1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</row>
    <row r="1037" spans="1:103" hidden="1" x14ac:dyDescent="0.25">
      <c r="C1037" s="7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</row>
    <row r="1038" spans="1:103" hidden="1" x14ac:dyDescent="0.25">
      <c r="A1038" s="14"/>
      <c r="B1038" s="24"/>
      <c r="C1038" s="7"/>
      <c r="D1038" s="8"/>
      <c r="E1038" s="5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</row>
    <row r="1039" spans="1:103" hidden="1" x14ac:dyDescent="0.25">
      <c r="A1039" s="14"/>
      <c r="B1039" s="24"/>
      <c r="C1039" s="7"/>
      <c r="D1039" s="8"/>
      <c r="E1039" s="5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</row>
    <row r="1040" spans="1:103" hidden="1" x14ac:dyDescent="0.25">
      <c r="A1040" s="14"/>
      <c r="B1040" s="24"/>
      <c r="C1040" s="7"/>
      <c r="D1040" s="8"/>
      <c r="E1040" s="5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</row>
    <row r="1041" spans="1:103" hidden="1" x14ac:dyDescent="0.25">
      <c r="A1041" s="14"/>
      <c r="B1041" s="24"/>
      <c r="C1041" s="7"/>
      <c r="D1041" s="8"/>
      <c r="E1041" s="5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</row>
    <row r="1042" spans="1:103" hidden="1" x14ac:dyDescent="0.25">
      <c r="A1042" s="14"/>
      <c r="B1042" s="24"/>
      <c r="C1042" s="7"/>
      <c r="D1042" s="8"/>
      <c r="E1042" s="5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</row>
    <row r="1043" spans="1:103" hidden="1" x14ac:dyDescent="0.25">
      <c r="A1043" s="14"/>
      <c r="B1043" s="24"/>
      <c r="C1043" s="7"/>
      <c r="D1043" s="8"/>
      <c r="E1043" s="5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</row>
    <row r="1044" spans="1:103" hidden="1" x14ac:dyDescent="0.25">
      <c r="A1044" s="14"/>
      <c r="B1044" s="24"/>
      <c r="C1044" s="7"/>
      <c r="D1044" s="8"/>
      <c r="E1044" s="5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</row>
    <row r="1045" spans="1:103" hidden="1" x14ac:dyDescent="0.25">
      <c r="A1045" s="14"/>
      <c r="B1045" s="24"/>
      <c r="C1045" s="7"/>
      <c r="D1045" s="8"/>
      <c r="E1045" s="5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</row>
    <row r="1046" spans="1:103" hidden="1" x14ac:dyDescent="0.25">
      <c r="A1046" s="14"/>
      <c r="B1046" s="24"/>
      <c r="C1046" s="7"/>
      <c r="D1046" s="8"/>
      <c r="E1046" s="5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</row>
    <row r="1047" spans="1:103" hidden="1" x14ac:dyDescent="0.25">
      <c r="A1047" s="14"/>
      <c r="B1047" s="24"/>
      <c r="C1047" s="7"/>
      <c r="D1047" s="8"/>
      <c r="E1047" s="5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</row>
    <row r="1048" spans="1:103" hidden="1" x14ac:dyDescent="0.25">
      <c r="A1048" s="14"/>
      <c r="B1048" s="24"/>
      <c r="C1048" s="7"/>
      <c r="D1048" s="8"/>
      <c r="E1048" s="5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</row>
    <row r="1049" spans="1:103" hidden="1" x14ac:dyDescent="0.25">
      <c r="A1049" s="14"/>
      <c r="B1049" s="24"/>
      <c r="C1049" s="7"/>
      <c r="D1049" s="8"/>
      <c r="E1049" s="5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</row>
    <row r="1050" spans="1:103" hidden="1" x14ac:dyDescent="0.25">
      <c r="A1050" s="14"/>
      <c r="B1050" s="24"/>
      <c r="C1050" s="7"/>
      <c r="D1050" s="8"/>
      <c r="E1050" s="5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</row>
    <row r="1051" spans="1:103" hidden="1" x14ac:dyDescent="0.25">
      <c r="A1051" s="14"/>
      <c r="B1051" s="24"/>
      <c r="C1051" s="7"/>
      <c r="D1051" s="8"/>
      <c r="E1051" s="5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</row>
    <row r="1052" spans="1:103" hidden="1" x14ac:dyDescent="0.25">
      <c r="A1052" s="14"/>
      <c r="B1052" s="24"/>
      <c r="C1052" s="7"/>
      <c r="D1052" s="8"/>
      <c r="E1052" s="5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</row>
    <row r="1053" spans="1:103" hidden="1" x14ac:dyDescent="0.25">
      <c r="A1053" s="14"/>
      <c r="B1053" s="24"/>
      <c r="C1053" s="7"/>
      <c r="D1053" s="8"/>
      <c r="E1053" s="5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</row>
    <row r="1054" spans="1:103" hidden="1" x14ac:dyDescent="0.25">
      <c r="A1054" s="14"/>
      <c r="B1054" s="24"/>
      <c r="C1054" s="7"/>
      <c r="D1054" s="8"/>
      <c r="E1054" s="5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</row>
    <row r="1055" spans="1:103" hidden="1" x14ac:dyDescent="0.25">
      <c r="A1055" s="14"/>
      <c r="B1055" s="24"/>
      <c r="C1055" s="7"/>
      <c r="D1055" s="8"/>
      <c r="E1055" s="5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</row>
    <row r="1056" spans="1:103" hidden="1" x14ac:dyDescent="0.25">
      <c r="A1056" s="14"/>
      <c r="B1056" s="24"/>
      <c r="C1056" s="7"/>
      <c r="D1056" s="8"/>
      <c r="E1056" s="5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</row>
    <row r="1057" spans="1:103" hidden="1" x14ac:dyDescent="0.25">
      <c r="A1057" s="14"/>
      <c r="B1057" s="24"/>
      <c r="C1057" s="7"/>
      <c r="D1057" s="8"/>
      <c r="E1057" s="5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</row>
    <row r="1058" spans="1:103" hidden="1" x14ac:dyDescent="0.25">
      <c r="A1058" s="14"/>
      <c r="B1058" s="24"/>
      <c r="C1058" s="7"/>
      <c r="D1058" s="8"/>
      <c r="E1058" s="5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</row>
    <row r="1059" spans="1:103" hidden="1" x14ac:dyDescent="0.25">
      <c r="A1059" s="14"/>
      <c r="B1059" s="24"/>
      <c r="C1059" s="7"/>
      <c r="D1059" s="8"/>
      <c r="E1059" s="5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</row>
    <row r="1060" spans="1:103" hidden="1" x14ac:dyDescent="0.25">
      <c r="A1060" s="14"/>
      <c r="B1060" s="24"/>
      <c r="C1060" s="7"/>
      <c r="D1060" s="8"/>
      <c r="E1060" s="5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</row>
    <row r="1061" spans="1:103" hidden="1" x14ac:dyDescent="0.25">
      <c r="A1061" s="14"/>
      <c r="B1061" s="24"/>
      <c r="C1061" s="7"/>
      <c r="D1061" s="8"/>
      <c r="E1061" s="5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</row>
    <row r="1062" spans="1:103" hidden="1" x14ac:dyDescent="0.25">
      <c r="A1062" s="14"/>
      <c r="B1062" s="24"/>
      <c r="C1062" s="7"/>
      <c r="D1062" s="8"/>
      <c r="E1062" s="5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</row>
    <row r="1063" spans="1:103" hidden="1" x14ac:dyDescent="0.25">
      <c r="A1063" s="14"/>
      <c r="B1063" s="24"/>
      <c r="C1063" s="7"/>
      <c r="D1063" s="8"/>
      <c r="E1063" s="5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</row>
    <row r="1064" spans="1:103" hidden="1" x14ac:dyDescent="0.25">
      <c r="A1064" s="14"/>
      <c r="B1064" s="24"/>
      <c r="C1064" s="7"/>
      <c r="D1064" s="8"/>
      <c r="E1064" s="5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</row>
    <row r="1065" spans="1:103" hidden="1" x14ac:dyDescent="0.25">
      <c r="A1065" s="14"/>
      <c r="B1065" s="24"/>
      <c r="C1065" s="7"/>
      <c r="D1065" s="8"/>
      <c r="E1065" s="5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</row>
    <row r="1066" spans="1:103" hidden="1" x14ac:dyDescent="0.25">
      <c r="A1066" s="14"/>
      <c r="B1066" s="24"/>
      <c r="C1066" s="7"/>
      <c r="D1066" s="8"/>
      <c r="E1066" s="5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</row>
    <row r="1067" spans="1:103" hidden="1" x14ac:dyDescent="0.25">
      <c r="A1067" s="14"/>
      <c r="B1067" s="24"/>
      <c r="C1067" s="7"/>
      <c r="D1067" s="8"/>
      <c r="E1067" s="5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</row>
    <row r="1068" spans="1:103" hidden="1" x14ac:dyDescent="0.25">
      <c r="A1068" s="14"/>
      <c r="B1068" s="24"/>
      <c r="C1068" s="7"/>
      <c r="D1068" s="8"/>
      <c r="E1068" s="5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</row>
    <row r="1069" spans="1:103" hidden="1" x14ac:dyDescent="0.25">
      <c r="A1069" s="14"/>
      <c r="B1069" s="24"/>
      <c r="C1069" s="7"/>
      <c r="D1069" s="8"/>
      <c r="E1069" s="5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</row>
    <row r="1070" spans="1:103" hidden="1" x14ac:dyDescent="0.25">
      <c r="A1070" s="14"/>
      <c r="B1070" s="24"/>
      <c r="C1070" s="7"/>
      <c r="D1070" s="8"/>
      <c r="E1070" s="5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</row>
    <row r="1071" spans="1:103" hidden="1" x14ac:dyDescent="0.25">
      <c r="A1071" s="14"/>
      <c r="B1071" s="24"/>
      <c r="C1071" s="7"/>
      <c r="D1071" s="8"/>
      <c r="E1071" s="5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</row>
    <row r="1072" spans="1:103" hidden="1" x14ac:dyDescent="0.25">
      <c r="A1072" s="14"/>
      <c r="B1072" s="24"/>
      <c r="C1072" s="7"/>
      <c r="D1072" s="8"/>
      <c r="E1072" s="5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</row>
    <row r="1073" spans="1:103" hidden="1" x14ac:dyDescent="0.25">
      <c r="A1073" s="14"/>
      <c r="B1073" s="24"/>
      <c r="C1073" s="7"/>
      <c r="D1073" s="8"/>
      <c r="E1073" s="5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</row>
    <row r="1074" spans="1:103" hidden="1" x14ac:dyDescent="0.25">
      <c r="A1074" s="14"/>
      <c r="B1074" s="24"/>
      <c r="C1074" s="7"/>
      <c r="D1074" s="8"/>
      <c r="E1074" s="5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</row>
    <row r="1075" spans="1:103" hidden="1" x14ac:dyDescent="0.25">
      <c r="A1075" s="14"/>
      <c r="B1075" s="24"/>
      <c r="C1075" s="7"/>
      <c r="D1075" s="8"/>
      <c r="E1075" s="5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</row>
    <row r="1076" spans="1:103" hidden="1" x14ac:dyDescent="0.25">
      <c r="A1076" s="14"/>
      <c r="B1076" s="24"/>
      <c r="C1076" s="7"/>
      <c r="D1076" s="8"/>
      <c r="E1076" s="5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</row>
    <row r="1077" spans="1:103" hidden="1" x14ac:dyDescent="0.25">
      <c r="A1077" s="14"/>
      <c r="B1077" s="24"/>
      <c r="C1077" s="7"/>
      <c r="D1077" s="8"/>
      <c r="E1077" s="5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</row>
    <row r="1078" spans="1:103" hidden="1" x14ac:dyDescent="0.25">
      <c r="A1078" s="14"/>
      <c r="B1078" s="24"/>
      <c r="C1078" s="7"/>
      <c r="D1078" s="8"/>
      <c r="E1078" s="5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</row>
    <row r="1079" spans="1:103" hidden="1" x14ac:dyDescent="0.25">
      <c r="A1079" s="14"/>
      <c r="B1079" s="24"/>
      <c r="C1079" s="7"/>
      <c r="D1079" s="8"/>
      <c r="E1079" s="5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</row>
    <row r="1080" spans="1:103" hidden="1" x14ac:dyDescent="0.25">
      <c r="A1080" s="14"/>
      <c r="B1080" s="24"/>
      <c r="C1080" s="7"/>
      <c r="D1080" s="8"/>
      <c r="E1080" s="5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</row>
    <row r="1081" spans="1:103" hidden="1" x14ac:dyDescent="0.25">
      <c r="A1081" s="14"/>
      <c r="B1081" s="24"/>
      <c r="C1081" s="7"/>
      <c r="D1081" s="8"/>
      <c r="E1081" s="5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</row>
    <row r="1082" spans="1:103" hidden="1" x14ac:dyDescent="0.25">
      <c r="A1082" s="14"/>
      <c r="B1082" s="24"/>
      <c r="C1082" s="7"/>
      <c r="D1082" s="8"/>
      <c r="E1082" s="5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</row>
    <row r="1083" spans="1:103" hidden="1" x14ac:dyDescent="0.25">
      <c r="A1083" s="14"/>
      <c r="B1083" s="24"/>
      <c r="C1083" s="7"/>
      <c r="D1083" s="8"/>
      <c r="E1083" s="5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</row>
    <row r="1084" spans="1:103" hidden="1" x14ac:dyDescent="0.25">
      <c r="A1084" s="14"/>
      <c r="B1084" s="24"/>
      <c r="C1084" s="7"/>
      <c r="D1084" s="8"/>
      <c r="E1084" s="5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</row>
    <row r="1085" spans="1:103" hidden="1" x14ac:dyDescent="0.25">
      <c r="A1085" s="14"/>
      <c r="B1085" s="24"/>
      <c r="C1085" s="7"/>
      <c r="D1085" s="8"/>
      <c r="E1085" s="5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</row>
    <row r="1086" spans="1:103" hidden="1" x14ac:dyDescent="0.25">
      <c r="A1086" s="14"/>
      <c r="B1086" s="24"/>
      <c r="C1086" s="7"/>
      <c r="D1086" s="8"/>
      <c r="E1086" s="5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</row>
    <row r="1087" spans="1:103" hidden="1" x14ac:dyDescent="0.25">
      <c r="A1087" s="14"/>
      <c r="B1087" s="24"/>
      <c r="C1087" s="7"/>
      <c r="D1087" s="8"/>
      <c r="E1087" s="5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</row>
    <row r="1088" spans="1:103" hidden="1" x14ac:dyDescent="0.25">
      <c r="A1088" s="14"/>
      <c r="B1088" s="24"/>
      <c r="C1088" s="7"/>
      <c r="D1088" s="8"/>
      <c r="E1088" s="5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</row>
    <row r="1089" spans="1:103" hidden="1" x14ac:dyDescent="0.25">
      <c r="A1089" s="14"/>
      <c r="B1089" s="24"/>
      <c r="C1089" s="7"/>
      <c r="D1089" s="8"/>
      <c r="E1089" s="5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</row>
    <row r="1090" spans="1:103" hidden="1" x14ac:dyDescent="0.25">
      <c r="A1090" s="14"/>
      <c r="B1090" s="24"/>
      <c r="C1090" s="7"/>
      <c r="D1090" s="8"/>
      <c r="E1090" s="5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</row>
    <row r="1091" spans="1:103" hidden="1" x14ac:dyDescent="0.25">
      <c r="A1091" s="14"/>
      <c r="B1091" s="24"/>
      <c r="C1091" s="7"/>
      <c r="D1091" s="8"/>
      <c r="E1091" s="5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</row>
    <row r="1092" spans="1:103" hidden="1" x14ac:dyDescent="0.25">
      <c r="A1092" s="14"/>
      <c r="B1092" s="24"/>
      <c r="C1092" s="7"/>
      <c r="D1092" s="8"/>
      <c r="E1092" s="5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</row>
    <row r="1093" spans="1:103" hidden="1" x14ac:dyDescent="0.25">
      <c r="A1093" s="14"/>
      <c r="B1093" s="24"/>
      <c r="C1093" s="7"/>
      <c r="D1093" s="8"/>
      <c r="E1093" s="5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</row>
    <row r="1094" spans="1:103" hidden="1" x14ac:dyDescent="0.25">
      <c r="A1094" s="14"/>
      <c r="B1094" s="24"/>
      <c r="C1094" s="7"/>
      <c r="D1094" s="8"/>
      <c r="E1094" s="5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</row>
    <row r="1095" spans="1:103" hidden="1" x14ac:dyDescent="0.25">
      <c r="A1095" s="14"/>
      <c r="B1095" s="24"/>
      <c r="C1095" s="7"/>
      <c r="D1095" s="8"/>
      <c r="E1095" s="5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</row>
    <row r="1096" spans="1:103" hidden="1" x14ac:dyDescent="0.25">
      <c r="A1096" s="14"/>
      <c r="B1096" s="24"/>
      <c r="C1096" s="7"/>
      <c r="D1096" s="8"/>
      <c r="E1096" s="5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</row>
    <row r="1097" spans="1:103" hidden="1" x14ac:dyDescent="0.25">
      <c r="A1097" s="14"/>
      <c r="B1097" s="24"/>
      <c r="C1097" s="7"/>
      <c r="D1097" s="8"/>
      <c r="E1097" s="5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</row>
    <row r="1098" spans="1:103" hidden="1" x14ac:dyDescent="0.25">
      <c r="A1098" s="14"/>
      <c r="B1098" s="24"/>
      <c r="C1098" s="7"/>
      <c r="D1098" s="8"/>
      <c r="E1098" s="5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</row>
    <row r="1099" spans="1:103" hidden="1" x14ac:dyDescent="0.25">
      <c r="A1099" s="14"/>
      <c r="B1099" s="24"/>
      <c r="C1099" s="7"/>
      <c r="D1099" s="8"/>
      <c r="E1099" s="5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</row>
    <row r="1100" spans="1:103" hidden="1" x14ac:dyDescent="0.25">
      <c r="A1100" s="14"/>
      <c r="B1100" s="24"/>
      <c r="C1100" s="7"/>
      <c r="D1100" s="8"/>
      <c r="E1100" s="5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</row>
    <row r="1101" spans="1:103" hidden="1" x14ac:dyDescent="0.25">
      <c r="A1101" s="14"/>
      <c r="B1101" s="24"/>
      <c r="C1101" s="7"/>
      <c r="D1101" s="8"/>
      <c r="E1101" s="5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</row>
    <row r="1102" spans="1:103" hidden="1" x14ac:dyDescent="0.25">
      <c r="A1102" s="14"/>
      <c r="B1102" s="24"/>
      <c r="C1102" s="7"/>
      <c r="D1102" s="8"/>
      <c r="E1102" s="5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</row>
    <row r="1103" spans="1:103" hidden="1" x14ac:dyDescent="0.25">
      <c r="A1103" s="14"/>
      <c r="B1103" s="24"/>
      <c r="C1103" s="7"/>
      <c r="D1103" s="8"/>
      <c r="E1103" s="5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</row>
    <row r="1104" spans="1:103" hidden="1" x14ac:dyDescent="0.25">
      <c r="A1104" s="14"/>
      <c r="B1104" s="24"/>
      <c r="C1104" s="7"/>
      <c r="D1104" s="8"/>
      <c r="E1104" s="5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</row>
    <row r="1105" spans="1:103" hidden="1" x14ac:dyDescent="0.25">
      <c r="A1105" s="14"/>
      <c r="B1105" s="24"/>
      <c r="C1105" s="7"/>
      <c r="D1105" s="8"/>
      <c r="E1105" s="5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</row>
    <row r="1106" spans="1:103" hidden="1" x14ac:dyDescent="0.25">
      <c r="A1106" s="14"/>
      <c r="B1106" s="24"/>
      <c r="C1106" s="7"/>
      <c r="D1106" s="8"/>
      <c r="E1106" s="5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</row>
    <row r="1107" spans="1:103" hidden="1" x14ac:dyDescent="0.25">
      <c r="A1107" s="14"/>
      <c r="B1107" s="24"/>
      <c r="C1107" s="7"/>
      <c r="D1107" s="8"/>
      <c r="E1107" s="5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</row>
    <row r="1108" spans="1:103" hidden="1" x14ac:dyDescent="0.25">
      <c r="A1108" s="14"/>
      <c r="B1108" s="24"/>
      <c r="C1108" s="7"/>
      <c r="D1108" s="8"/>
      <c r="E1108" s="5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</row>
    <row r="1109" spans="1:103" hidden="1" x14ac:dyDescent="0.25">
      <c r="A1109" s="14"/>
      <c r="B1109" s="24"/>
      <c r="C1109" s="7"/>
      <c r="D1109" s="8"/>
      <c r="E1109" s="5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</row>
    <row r="1110" spans="1:103" hidden="1" x14ac:dyDescent="0.25">
      <c r="A1110" s="14"/>
      <c r="B1110" s="24"/>
      <c r="C1110" s="7"/>
      <c r="D1110" s="8"/>
      <c r="E1110" s="5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</row>
    <row r="1111" spans="1:103" hidden="1" x14ac:dyDescent="0.25">
      <c r="A1111" s="14"/>
      <c r="B1111" s="24"/>
      <c r="C1111" s="7"/>
      <c r="D1111" s="8"/>
      <c r="E1111" s="5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</row>
    <row r="1112" spans="1:103" hidden="1" x14ac:dyDescent="0.25">
      <c r="A1112" s="14"/>
      <c r="B1112" s="24"/>
      <c r="C1112" s="7"/>
      <c r="D1112" s="8"/>
      <c r="E1112" s="5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</row>
    <row r="1113" spans="1:103" hidden="1" x14ac:dyDescent="0.25">
      <c r="A1113" s="14"/>
      <c r="B1113" s="24"/>
      <c r="C1113" s="7"/>
      <c r="D1113" s="8"/>
      <c r="E1113" s="5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</row>
    <row r="1114" spans="1:103" hidden="1" x14ac:dyDescent="0.25">
      <c r="A1114" s="14"/>
      <c r="B1114" s="24"/>
      <c r="C1114" s="7"/>
      <c r="D1114" s="8"/>
      <c r="E1114" s="5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</row>
    <row r="1115" spans="1:103" hidden="1" x14ac:dyDescent="0.25">
      <c r="A1115" s="14"/>
      <c r="B1115" s="24"/>
      <c r="C1115" s="7"/>
      <c r="D1115" s="8"/>
      <c r="E1115" s="5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</row>
    <row r="1116" spans="1:103" hidden="1" x14ac:dyDescent="0.25">
      <c r="A1116" s="14"/>
      <c r="B1116" s="24"/>
      <c r="C1116" s="7"/>
      <c r="D1116" s="8"/>
      <c r="E1116" s="5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</row>
    <row r="1117" spans="1:103" hidden="1" x14ac:dyDescent="0.25">
      <c r="A1117" s="14"/>
      <c r="B1117" s="24"/>
      <c r="C1117" s="7"/>
      <c r="D1117" s="8"/>
      <c r="E1117" s="5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</row>
    <row r="1118" spans="1:103" hidden="1" x14ac:dyDescent="0.25">
      <c r="A1118" s="14"/>
      <c r="B1118" s="24"/>
      <c r="C1118" s="7"/>
      <c r="D1118" s="8"/>
      <c r="E1118" s="5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</row>
    <row r="1119" spans="1:103" hidden="1" x14ac:dyDescent="0.25">
      <c r="A1119" s="14"/>
      <c r="B1119" s="24"/>
      <c r="C1119" s="7"/>
      <c r="D1119" s="8"/>
      <c r="E1119" s="5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</row>
    <row r="1120" spans="1:103" hidden="1" x14ac:dyDescent="0.25">
      <c r="A1120" s="14"/>
      <c r="B1120" s="24"/>
      <c r="C1120" s="7"/>
      <c r="D1120" s="8"/>
      <c r="E1120" s="5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</row>
    <row r="1121" spans="1:103" hidden="1" x14ac:dyDescent="0.25">
      <c r="A1121" s="14"/>
      <c r="B1121" s="24"/>
      <c r="C1121" s="7"/>
      <c r="D1121" s="8"/>
      <c r="E1121" s="5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</row>
    <row r="1122" spans="1:103" hidden="1" x14ac:dyDescent="0.25">
      <c r="A1122" s="14"/>
      <c r="B1122" s="24"/>
      <c r="C1122" s="7"/>
      <c r="D1122" s="8"/>
      <c r="E1122" s="5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</row>
    <row r="1123" spans="1:103" hidden="1" x14ac:dyDescent="0.25">
      <c r="A1123" s="14"/>
      <c r="B1123" s="24"/>
      <c r="C1123" s="7"/>
      <c r="D1123" s="8"/>
      <c r="E1123" s="5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</row>
    <row r="1124" spans="1:103" hidden="1" x14ac:dyDescent="0.25">
      <c r="A1124" s="14"/>
      <c r="B1124" s="24"/>
      <c r="C1124" s="7"/>
      <c r="D1124" s="8"/>
      <c r="E1124" s="5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</row>
    <row r="1125" spans="1:103" hidden="1" x14ac:dyDescent="0.25">
      <c r="A1125" s="14"/>
      <c r="B1125" s="24"/>
      <c r="C1125" s="7"/>
      <c r="D1125" s="8"/>
      <c r="E1125" s="5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</row>
    <row r="1126" spans="1:103" hidden="1" x14ac:dyDescent="0.25">
      <c r="A1126" s="14"/>
      <c r="B1126" s="24"/>
      <c r="C1126" s="7"/>
      <c r="D1126" s="8"/>
      <c r="E1126" s="5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</row>
    <row r="1127" spans="1:103" hidden="1" x14ac:dyDescent="0.25">
      <c r="A1127" s="14"/>
      <c r="B1127" s="24"/>
      <c r="C1127" s="7"/>
      <c r="D1127" s="8"/>
      <c r="E1127" s="5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</row>
    <row r="1128" spans="1:103" hidden="1" x14ac:dyDescent="0.25">
      <c r="A1128" s="14"/>
      <c r="B1128" s="24"/>
      <c r="C1128" s="7"/>
      <c r="D1128" s="8"/>
      <c r="E1128" s="5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</row>
    <row r="1129" spans="1:103" hidden="1" x14ac:dyDescent="0.25">
      <c r="A1129" s="14"/>
      <c r="B1129" s="24"/>
      <c r="C1129" s="7"/>
      <c r="D1129" s="8"/>
      <c r="E1129" s="5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</row>
    <row r="1130" spans="1:103" hidden="1" x14ac:dyDescent="0.25">
      <c r="A1130" s="14"/>
      <c r="B1130" s="24"/>
      <c r="C1130" s="7"/>
      <c r="D1130" s="8"/>
      <c r="E1130" s="5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</row>
    <row r="1131" spans="1:103" hidden="1" x14ac:dyDescent="0.25">
      <c r="A1131" s="14"/>
      <c r="B1131" s="24"/>
      <c r="C1131" s="7"/>
      <c r="D1131" s="8"/>
      <c r="E1131" s="5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</row>
    <row r="1132" spans="1:103" hidden="1" x14ac:dyDescent="0.25">
      <c r="A1132" s="14"/>
      <c r="B1132" s="24"/>
      <c r="C1132" s="7"/>
      <c r="D1132" s="8"/>
      <c r="E1132" s="5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</row>
    <row r="1133" spans="1:103" hidden="1" x14ac:dyDescent="0.25">
      <c r="A1133" s="14"/>
      <c r="B1133" s="24"/>
      <c r="C1133" s="7"/>
      <c r="D1133" s="8"/>
      <c r="E1133" s="5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</row>
    <row r="1134" spans="1:103" hidden="1" x14ac:dyDescent="0.25">
      <c r="A1134" s="14"/>
      <c r="B1134" s="24"/>
      <c r="C1134" s="7"/>
      <c r="D1134" s="8"/>
      <c r="E1134" s="5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</row>
    <row r="1135" spans="1:103" hidden="1" x14ac:dyDescent="0.25">
      <c r="A1135" s="14"/>
      <c r="B1135" s="24"/>
      <c r="C1135" s="7"/>
      <c r="D1135" s="8"/>
      <c r="E1135" s="5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</row>
    <row r="1136" spans="1:103" hidden="1" x14ac:dyDescent="0.25">
      <c r="A1136" s="14"/>
      <c r="B1136" s="24"/>
      <c r="C1136" s="7"/>
      <c r="D1136" s="8"/>
      <c r="E1136" s="5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</row>
    <row r="1137" spans="1:103" hidden="1" x14ac:dyDescent="0.25">
      <c r="A1137" s="14"/>
      <c r="B1137" s="24"/>
      <c r="C1137" s="7"/>
      <c r="D1137" s="8"/>
      <c r="E1137" s="5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</row>
    <row r="1138" spans="1:103" hidden="1" x14ac:dyDescent="0.25">
      <c r="C1138" s="1"/>
      <c r="D1138" s="8"/>
      <c r="E1138" s="8"/>
      <c r="F1138" s="5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</row>
    <row r="1139" spans="1:103" hidden="1" x14ac:dyDescent="0.25">
      <c r="C1139" s="1"/>
      <c r="D1139" s="8"/>
      <c r="E1139" s="8"/>
      <c r="F1139" s="5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</row>
    <row r="1140" spans="1:103" hidden="1" x14ac:dyDescent="0.25">
      <c r="D1140" s="8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</row>
    <row r="1141" spans="1:103" hidden="1" x14ac:dyDescent="0.25">
      <c r="C1141" s="1"/>
      <c r="D1141" s="8"/>
      <c r="E1141" s="8"/>
      <c r="F1141" s="5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</row>
    <row r="1142" spans="1:103" hidden="1" x14ac:dyDescent="0.25">
      <c r="A1142" s="14"/>
      <c r="B1142" s="24"/>
      <c r="C1142" s="7"/>
      <c r="D1142" s="5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</row>
    <row r="1143" spans="1:103" hidden="1" x14ac:dyDescent="0.25">
      <c r="A1143" s="14"/>
      <c r="B1143" s="24"/>
      <c r="C1143" s="7"/>
      <c r="D1143" s="5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</row>
    <row r="1144" spans="1:103" hidden="1" x14ac:dyDescent="0.25">
      <c r="A1144" s="14"/>
      <c r="B1144" s="24"/>
      <c r="C1144" s="7"/>
      <c r="D1144" s="5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</row>
    <row r="1145" spans="1:103" hidden="1" x14ac:dyDescent="0.25">
      <c r="A1145" s="14"/>
      <c r="B1145" s="24"/>
      <c r="C1145" s="7"/>
      <c r="D1145" s="5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</row>
    <row r="1146" spans="1:103" hidden="1" x14ac:dyDescent="0.25">
      <c r="A1146" s="14"/>
      <c r="B1146" s="24"/>
      <c r="C1146" s="7"/>
      <c r="D1146" s="5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</row>
    <row r="1147" spans="1:103" hidden="1" x14ac:dyDescent="0.25">
      <c r="A1147" s="14"/>
      <c r="B1147" s="24"/>
      <c r="C1147" s="7"/>
      <c r="D1147" s="5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</row>
    <row r="1148" spans="1:103" hidden="1" x14ac:dyDescent="0.25">
      <c r="A1148" s="14"/>
      <c r="B1148" s="24"/>
      <c r="C1148" s="7"/>
      <c r="D1148" s="5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</row>
    <row r="1149" spans="1:103" hidden="1" x14ac:dyDescent="0.25">
      <c r="A1149" s="14"/>
      <c r="B1149" s="24"/>
      <c r="C1149" s="7"/>
      <c r="D1149" s="5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</row>
    <row r="1150" spans="1:103" hidden="1" x14ac:dyDescent="0.25">
      <c r="A1150" s="14"/>
      <c r="B1150" s="24"/>
      <c r="C1150" s="7"/>
      <c r="D1150" s="5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</row>
    <row r="1151" spans="1:103" hidden="1" x14ac:dyDescent="0.25">
      <c r="A1151" s="14"/>
      <c r="B1151" s="24"/>
      <c r="C1151" s="7"/>
      <c r="D1151" s="5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</row>
    <row r="1152" spans="1:103" hidden="1" x14ac:dyDescent="0.25">
      <c r="A1152" s="14"/>
      <c r="B1152" s="24"/>
      <c r="C1152" s="7"/>
      <c r="D1152" s="5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</row>
    <row r="1153" spans="1:103" hidden="1" x14ac:dyDescent="0.25">
      <c r="A1153" s="14"/>
      <c r="B1153" s="24"/>
      <c r="C1153" s="7"/>
      <c r="D1153" s="5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</row>
    <row r="1154" spans="1:103" hidden="1" x14ac:dyDescent="0.25">
      <c r="A1154" s="14"/>
      <c r="B1154" s="24"/>
      <c r="C1154" s="7"/>
      <c r="D1154" s="5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</row>
    <row r="1155" spans="1:103" hidden="1" x14ac:dyDescent="0.25">
      <c r="A1155" s="14"/>
      <c r="B1155" s="24"/>
      <c r="C1155" s="7"/>
      <c r="D1155" s="5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</row>
    <row r="1156" spans="1:103" hidden="1" x14ac:dyDescent="0.25">
      <c r="A1156" s="14"/>
      <c r="B1156" s="24"/>
      <c r="C1156" s="7"/>
      <c r="D1156" s="5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</row>
    <row r="1157" spans="1:103" hidden="1" x14ac:dyDescent="0.25">
      <c r="A1157" s="14"/>
      <c r="B1157" s="24"/>
      <c r="C1157" s="7"/>
      <c r="D1157" s="5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</row>
    <row r="1158" spans="1:103" hidden="1" x14ac:dyDescent="0.25">
      <c r="A1158" s="14"/>
      <c r="B1158" s="24"/>
      <c r="C1158" s="7"/>
      <c r="D1158" s="5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</row>
    <row r="1159" spans="1:103" hidden="1" x14ac:dyDescent="0.25">
      <c r="A1159" s="14"/>
      <c r="B1159" s="24"/>
      <c r="C1159" s="7"/>
      <c r="D1159" s="5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</row>
    <row r="1160" spans="1:103" hidden="1" x14ac:dyDescent="0.25">
      <c r="A1160" s="14"/>
      <c r="B1160" s="24"/>
      <c r="C1160" s="7"/>
      <c r="D1160" s="5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</row>
    <row r="1161" spans="1:103" hidden="1" x14ac:dyDescent="0.25">
      <c r="A1161" s="14"/>
      <c r="B1161" s="24"/>
      <c r="C1161" s="7"/>
      <c r="D1161" s="5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</row>
    <row r="1162" spans="1:103" hidden="1" x14ac:dyDescent="0.25">
      <c r="A1162" s="14"/>
      <c r="B1162" s="24"/>
      <c r="C1162" s="7"/>
      <c r="D1162" s="5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</row>
    <row r="1163" spans="1:103" hidden="1" x14ac:dyDescent="0.25">
      <c r="A1163" s="14"/>
      <c r="B1163" s="24"/>
      <c r="C1163" s="7"/>
      <c r="D1163" s="5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</row>
    <row r="1164" spans="1:103" hidden="1" x14ac:dyDescent="0.25">
      <c r="A1164" s="14"/>
      <c r="B1164" s="24"/>
      <c r="C1164" s="7"/>
      <c r="D1164" s="5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</row>
    <row r="1165" spans="1:103" hidden="1" x14ac:dyDescent="0.25">
      <c r="A1165" s="14"/>
      <c r="B1165" s="24"/>
      <c r="C1165" s="7"/>
      <c r="D1165" s="5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</row>
    <row r="1166" spans="1:103" hidden="1" x14ac:dyDescent="0.25">
      <c r="A1166" s="14"/>
      <c r="B1166" s="24"/>
      <c r="C1166" s="7"/>
      <c r="D1166" s="5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</row>
    <row r="1167" spans="1:103" hidden="1" x14ac:dyDescent="0.25">
      <c r="A1167" s="14"/>
      <c r="B1167" s="24"/>
      <c r="C1167" s="7"/>
      <c r="D1167" s="5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</row>
    <row r="1168" spans="1:103" hidden="1" x14ac:dyDescent="0.25">
      <c r="A1168" s="14"/>
      <c r="B1168" s="24"/>
      <c r="C1168" s="7"/>
      <c r="D1168" s="5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</row>
    <row r="1169" spans="1:103" hidden="1" x14ac:dyDescent="0.25">
      <c r="A1169" s="14"/>
      <c r="B1169" s="24"/>
      <c r="C1169" s="7"/>
      <c r="D1169" s="5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</row>
    <row r="1170" spans="1:103" hidden="1" x14ac:dyDescent="0.25">
      <c r="A1170" s="14"/>
      <c r="B1170" s="24"/>
      <c r="C1170" s="7"/>
      <c r="D1170" s="5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</row>
    <row r="1171" spans="1:103" hidden="1" x14ac:dyDescent="0.25">
      <c r="A1171" s="14"/>
      <c r="B1171" s="24"/>
      <c r="C1171" s="7"/>
      <c r="D1171" s="5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</row>
    <row r="1172" spans="1:103" hidden="1" x14ac:dyDescent="0.25">
      <c r="A1172" s="14"/>
      <c r="B1172" s="24"/>
      <c r="C1172" s="7"/>
      <c r="D1172" s="5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</row>
    <row r="1173" spans="1:103" hidden="1" x14ac:dyDescent="0.25">
      <c r="A1173" s="14"/>
      <c r="B1173" s="24"/>
      <c r="C1173" s="7"/>
      <c r="D1173" s="5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</row>
    <row r="1174" spans="1:103" hidden="1" x14ac:dyDescent="0.25">
      <c r="A1174" s="14"/>
      <c r="B1174" s="24"/>
      <c r="C1174" s="7"/>
      <c r="D1174" s="5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</row>
    <row r="1175" spans="1:103" hidden="1" x14ac:dyDescent="0.25">
      <c r="A1175" s="14"/>
      <c r="B1175" s="24"/>
      <c r="C1175" s="7"/>
      <c r="D1175" s="5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</row>
    <row r="1176" spans="1:103" hidden="1" x14ac:dyDescent="0.25">
      <c r="A1176" s="14"/>
      <c r="B1176" s="24"/>
      <c r="C1176" s="7"/>
      <c r="D1176" s="5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</row>
    <row r="1177" spans="1:103" hidden="1" x14ac:dyDescent="0.25">
      <c r="A1177" s="14"/>
      <c r="B1177" s="24"/>
      <c r="C1177" s="7"/>
      <c r="D1177" s="5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</row>
    <row r="1178" spans="1:103" hidden="1" x14ac:dyDescent="0.25">
      <c r="A1178" s="14"/>
      <c r="B1178" s="24"/>
      <c r="C1178" s="7"/>
      <c r="D1178" s="5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</row>
    <row r="1179" spans="1:103" hidden="1" x14ac:dyDescent="0.25">
      <c r="A1179" s="14"/>
      <c r="B1179" s="24"/>
      <c r="C1179" s="7"/>
      <c r="D1179" s="5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</row>
    <row r="1180" spans="1:103" hidden="1" x14ac:dyDescent="0.25">
      <c r="A1180" s="14"/>
      <c r="B1180" s="24"/>
      <c r="C1180" s="7"/>
      <c r="D1180" s="5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</row>
    <row r="1181" spans="1:103" hidden="1" x14ac:dyDescent="0.25">
      <c r="A1181" s="14"/>
      <c r="B1181" s="24"/>
      <c r="C1181" s="7"/>
      <c r="D1181" s="5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</row>
    <row r="1182" spans="1:103" hidden="1" x14ac:dyDescent="0.25">
      <c r="A1182" s="14"/>
      <c r="B1182" s="24"/>
      <c r="C1182" s="7"/>
      <c r="D1182" s="5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</row>
    <row r="1183" spans="1:103" hidden="1" x14ac:dyDescent="0.25">
      <c r="A1183" s="14"/>
      <c r="B1183" s="24"/>
      <c r="C1183" s="7"/>
      <c r="D1183" s="5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</row>
    <row r="1184" spans="1:103" hidden="1" x14ac:dyDescent="0.25">
      <c r="A1184" s="14"/>
      <c r="B1184" s="24"/>
      <c r="C1184" s="7"/>
      <c r="D1184" s="5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</row>
    <row r="1185" spans="1:103" hidden="1" x14ac:dyDescent="0.25">
      <c r="A1185" s="14"/>
      <c r="B1185" s="24"/>
      <c r="C1185" s="7"/>
      <c r="D1185" s="5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</row>
    <row r="1186" spans="1:103" hidden="1" x14ac:dyDescent="0.25">
      <c r="A1186" s="14"/>
      <c r="B1186" s="24"/>
      <c r="C1186" s="7"/>
      <c r="D1186" s="5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</row>
    <row r="1187" spans="1:103" hidden="1" x14ac:dyDescent="0.25">
      <c r="A1187" s="14"/>
      <c r="B1187" s="24"/>
      <c r="C1187" s="7"/>
      <c r="D1187" s="5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</row>
    <row r="1188" spans="1:103" hidden="1" x14ac:dyDescent="0.25">
      <c r="A1188" s="14"/>
      <c r="B1188" s="24"/>
      <c r="C1188" s="7"/>
      <c r="D1188" s="5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</row>
    <row r="1189" spans="1:103" hidden="1" x14ac:dyDescent="0.25">
      <c r="A1189" s="14"/>
      <c r="B1189" s="24"/>
      <c r="C1189" s="7"/>
      <c r="D1189" s="5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</row>
    <row r="1190" spans="1:103" hidden="1" x14ac:dyDescent="0.25">
      <c r="A1190" s="14"/>
      <c r="B1190" s="24"/>
      <c r="C1190" s="7"/>
      <c r="D1190" s="5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</row>
    <row r="1191" spans="1:103" hidden="1" x14ac:dyDescent="0.25">
      <c r="A1191" s="14"/>
      <c r="B1191" s="24"/>
      <c r="C1191" s="7"/>
      <c r="D1191" s="5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</row>
    <row r="1192" spans="1:103" hidden="1" x14ac:dyDescent="0.25">
      <c r="A1192" s="14"/>
      <c r="B1192" s="24"/>
      <c r="C1192" s="7"/>
      <c r="D1192" s="5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</row>
    <row r="1193" spans="1:103" hidden="1" x14ac:dyDescent="0.25">
      <c r="A1193" s="14"/>
      <c r="B1193" s="24"/>
      <c r="C1193" s="7"/>
      <c r="D1193" s="5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</row>
    <row r="1194" spans="1:103" hidden="1" x14ac:dyDescent="0.25">
      <c r="A1194" s="14"/>
      <c r="B1194" s="24"/>
      <c r="C1194" s="7"/>
      <c r="D1194" s="5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</row>
    <row r="1195" spans="1:103" hidden="1" x14ac:dyDescent="0.25">
      <c r="A1195" s="14"/>
      <c r="B1195" s="24"/>
      <c r="C1195" s="7"/>
      <c r="D1195" s="5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</row>
    <row r="1196" spans="1:103" hidden="1" x14ac:dyDescent="0.25">
      <c r="A1196" s="14"/>
      <c r="B1196" s="24"/>
      <c r="C1196" s="7"/>
      <c r="D1196" s="5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</row>
    <row r="1197" spans="1:103" hidden="1" x14ac:dyDescent="0.25">
      <c r="A1197" s="14"/>
      <c r="B1197" s="24"/>
      <c r="C1197" s="7"/>
      <c r="D1197" s="5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</row>
    <row r="1198" spans="1:103" hidden="1" x14ac:dyDescent="0.25">
      <c r="A1198" s="14"/>
      <c r="B1198" s="24"/>
      <c r="C1198" s="7"/>
      <c r="D1198" s="5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</row>
    <row r="1199" spans="1:103" hidden="1" x14ac:dyDescent="0.25">
      <c r="A1199" s="14"/>
      <c r="B1199" s="24"/>
      <c r="C1199" s="7"/>
      <c r="D1199" s="5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</row>
    <row r="1200" spans="1:103" hidden="1" x14ac:dyDescent="0.25">
      <c r="A1200" s="14"/>
      <c r="B1200" s="24"/>
      <c r="C1200" s="7"/>
      <c r="D1200" s="5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</row>
    <row r="1201" spans="1:103" hidden="1" x14ac:dyDescent="0.25">
      <c r="A1201" s="14"/>
      <c r="B1201" s="24"/>
      <c r="C1201" s="7"/>
      <c r="D1201" s="5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</row>
    <row r="1202" spans="1:103" hidden="1" x14ac:dyDescent="0.25">
      <c r="A1202" s="14"/>
      <c r="B1202" s="24"/>
      <c r="C1202" s="7"/>
      <c r="D1202" s="5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</row>
    <row r="1203" spans="1:103" hidden="1" x14ac:dyDescent="0.25">
      <c r="A1203" s="14"/>
      <c r="B1203" s="24"/>
      <c r="C1203" s="7"/>
      <c r="D1203" s="5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</row>
    <row r="1204" spans="1:103" hidden="1" x14ac:dyDescent="0.25">
      <c r="A1204" s="14"/>
      <c r="B1204" s="24"/>
      <c r="C1204" s="7"/>
      <c r="D1204" s="5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</row>
    <row r="1205" spans="1:103" hidden="1" x14ac:dyDescent="0.25">
      <c r="A1205" s="14"/>
      <c r="B1205" s="24"/>
      <c r="C1205" s="7"/>
      <c r="D1205" s="5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</row>
    <row r="1206" spans="1:103" hidden="1" x14ac:dyDescent="0.25">
      <c r="A1206" s="14"/>
      <c r="B1206" s="24"/>
      <c r="C1206" s="7"/>
      <c r="D1206" s="5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</row>
    <row r="1207" spans="1:103" hidden="1" x14ac:dyDescent="0.25">
      <c r="A1207" s="14"/>
      <c r="B1207" s="24"/>
      <c r="C1207" s="7"/>
      <c r="D1207" s="5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</row>
    <row r="1208" spans="1:103" hidden="1" x14ac:dyDescent="0.25">
      <c r="A1208" s="14"/>
      <c r="B1208" s="24"/>
      <c r="C1208" s="7"/>
      <c r="D1208" s="5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</row>
    <row r="1209" spans="1:103" hidden="1" x14ac:dyDescent="0.25">
      <c r="A1209" s="14"/>
      <c r="B1209" s="24"/>
      <c r="C1209" s="7"/>
      <c r="D1209" s="5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</row>
    <row r="1210" spans="1:103" hidden="1" x14ac:dyDescent="0.25">
      <c r="A1210" s="14"/>
      <c r="B1210" s="24"/>
      <c r="C1210" s="7"/>
      <c r="D1210" s="5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</row>
    <row r="1211" spans="1:103" hidden="1" x14ac:dyDescent="0.25">
      <c r="A1211" s="14"/>
      <c r="B1211" s="24"/>
      <c r="C1211" s="7"/>
      <c r="D1211" s="5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</row>
    <row r="1212" spans="1:103" hidden="1" x14ac:dyDescent="0.25">
      <c r="A1212" s="14"/>
      <c r="B1212" s="24"/>
      <c r="C1212" s="7"/>
      <c r="D1212" s="5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</row>
    <row r="1213" spans="1:103" hidden="1" x14ac:dyDescent="0.25">
      <c r="A1213" s="14"/>
      <c r="B1213" s="24"/>
      <c r="C1213" s="7"/>
      <c r="D1213" s="5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</row>
    <row r="1214" spans="1:103" hidden="1" x14ac:dyDescent="0.25">
      <c r="A1214" s="14"/>
      <c r="B1214" s="24"/>
      <c r="C1214" s="7"/>
      <c r="D1214" s="5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</row>
    <row r="1215" spans="1:103" hidden="1" x14ac:dyDescent="0.25">
      <c r="A1215" s="14"/>
      <c r="B1215" s="24"/>
      <c r="C1215" s="7"/>
      <c r="D1215" s="5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</row>
    <row r="1216" spans="1:103" hidden="1" x14ac:dyDescent="0.25">
      <c r="A1216" s="14"/>
      <c r="B1216" s="24"/>
      <c r="C1216" s="7"/>
      <c r="D1216" s="5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</row>
    <row r="1217" spans="1:103" hidden="1" x14ac:dyDescent="0.25">
      <c r="A1217" s="14"/>
      <c r="B1217" s="24"/>
      <c r="C1217" s="7"/>
      <c r="D1217" s="5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</row>
    <row r="1218" spans="1:103" hidden="1" x14ac:dyDescent="0.25">
      <c r="A1218" s="14"/>
      <c r="B1218" s="24"/>
      <c r="C1218" s="7"/>
      <c r="D1218" s="5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</row>
    <row r="1219" spans="1:103" hidden="1" x14ac:dyDescent="0.25">
      <c r="A1219" s="14"/>
      <c r="B1219" s="24"/>
      <c r="C1219" s="7"/>
      <c r="D1219" s="5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</row>
    <row r="1220" spans="1:103" hidden="1" x14ac:dyDescent="0.25">
      <c r="A1220" s="14"/>
      <c r="B1220" s="24"/>
      <c r="C1220" s="7"/>
      <c r="D1220" s="5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</row>
    <row r="1221" spans="1:103" hidden="1" x14ac:dyDescent="0.25">
      <c r="A1221" s="14"/>
      <c r="B1221" s="24"/>
      <c r="C1221" s="7"/>
      <c r="D1221" s="5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</row>
    <row r="1222" spans="1:103" hidden="1" x14ac:dyDescent="0.25">
      <c r="A1222" s="14"/>
      <c r="B1222" s="24"/>
      <c r="C1222" s="7"/>
      <c r="D1222" s="5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</row>
    <row r="1223" spans="1:103" hidden="1" x14ac:dyDescent="0.25">
      <c r="A1223" s="14"/>
      <c r="B1223" s="24"/>
      <c r="C1223" s="7"/>
      <c r="D1223" s="5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</row>
    <row r="1224" spans="1:103" hidden="1" x14ac:dyDescent="0.25">
      <c r="A1224" s="14"/>
      <c r="B1224" s="24"/>
      <c r="C1224" s="7"/>
      <c r="D1224" s="5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</row>
    <row r="1225" spans="1:103" hidden="1" x14ac:dyDescent="0.25">
      <c r="A1225" s="14"/>
      <c r="B1225" s="24"/>
      <c r="C1225" s="7"/>
      <c r="D1225" s="5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</row>
    <row r="1226" spans="1:103" hidden="1" x14ac:dyDescent="0.25">
      <c r="A1226" s="14"/>
      <c r="B1226" s="24"/>
      <c r="C1226" s="7"/>
      <c r="D1226" s="5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</row>
    <row r="1227" spans="1:103" hidden="1" x14ac:dyDescent="0.25">
      <c r="A1227" s="14"/>
      <c r="B1227" s="24"/>
      <c r="C1227" s="7"/>
      <c r="D1227" s="5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</row>
    <row r="1228" spans="1:103" hidden="1" x14ac:dyDescent="0.25">
      <c r="A1228" s="14"/>
      <c r="B1228" s="24"/>
      <c r="C1228" s="7"/>
      <c r="D1228" s="5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</row>
    <row r="1229" spans="1:103" hidden="1" x14ac:dyDescent="0.25">
      <c r="A1229" s="14"/>
      <c r="B1229" s="24"/>
      <c r="C1229" s="7"/>
      <c r="D1229" s="5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</row>
    <row r="1230" spans="1:103" hidden="1" x14ac:dyDescent="0.25">
      <c r="A1230" s="14"/>
      <c r="B1230" s="24"/>
      <c r="C1230" s="7"/>
      <c r="D1230" s="5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</row>
    <row r="1231" spans="1:103" hidden="1" x14ac:dyDescent="0.25">
      <c r="A1231" s="14"/>
      <c r="B1231" s="24"/>
      <c r="C1231" s="7"/>
      <c r="D1231" s="5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</row>
    <row r="1232" spans="1:103" hidden="1" x14ac:dyDescent="0.25">
      <c r="A1232" s="14"/>
      <c r="B1232" s="24"/>
      <c r="C1232" s="7"/>
      <c r="D1232" s="5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</row>
    <row r="1233" spans="1:103" hidden="1" x14ac:dyDescent="0.25">
      <c r="A1233" s="14"/>
      <c r="B1233" s="24"/>
      <c r="C1233" s="7"/>
      <c r="D1233" s="5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</row>
    <row r="1234" spans="1:103" hidden="1" x14ac:dyDescent="0.25">
      <c r="A1234" s="14"/>
      <c r="B1234" s="24"/>
      <c r="C1234" s="7"/>
      <c r="D1234" s="5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</row>
    <row r="1235" spans="1:103" hidden="1" x14ac:dyDescent="0.25">
      <c r="A1235" s="14"/>
      <c r="B1235" s="24"/>
      <c r="C1235" s="7"/>
      <c r="D1235" s="5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</row>
    <row r="1236" spans="1:103" hidden="1" x14ac:dyDescent="0.25">
      <c r="A1236" s="14"/>
      <c r="B1236" s="24"/>
      <c r="C1236" s="7"/>
      <c r="D1236" s="5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</row>
    <row r="1237" spans="1:103" hidden="1" x14ac:dyDescent="0.25">
      <c r="A1237" s="14"/>
      <c r="B1237" s="24"/>
      <c r="C1237" s="7"/>
      <c r="D1237" s="5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</row>
    <row r="1238" spans="1:103" hidden="1" x14ac:dyDescent="0.25">
      <c r="A1238" s="14"/>
      <c r="B1238" s="24"/>
      <c r="C1238" s="7"/>
      <c r="D1238" s="5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</row>
    <row r="1239" spans="1:103" hidden="1" x14ac:dyDescent="0.25">
      <c r="A1239" s="14"/>
      <c r="B1239" s="24"/>
      <c r="C1239" s="7"/>
      <c r="D1239" s="5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</row>
    <row r="1240" spans="1:103" hidden="1" x14ac:dyDescent="0.25">
      <c r="A1240" s="14"/>
      <c r="B1240" s="24"/>
      <c r="C1240" s="7"/>
      <c r="D1240" s="5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</row>
    <row r="1241" spans="1:103" hidden="1" x14ac:dyDescent="0.25">
      <c r="A1241" s="14"/>
      <c r="B1241" s="24"/>
      <c r="C1241" s="7"/>
      <c r="D1241" s="5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</row>
    <row r="1242" spans="1:103" hidden="1" x14ac:dyDescent="0.25">
      <c r="C1242" s="1"/>
      <c r="D1242" s="5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</row>
    <row r="1243" spans="1:103" hidden="1" x14ac:dyDescent="0.25">
      <c r="C1243" s="1"/>
      <c r="D1243" s="5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</row>
    <row r="1244" spans="1:103" hidden="1" x14ac:dyDescent="0.25">
      <c r="C1244" s="1"/>
      <c r="D1244" s="5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</row>
    <row r="1245" spans="1:103" hidden="1" x14ac:dyDescent="0.25">
      <c r="C1245" s="1"/>
      <c r="D1245" s="5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</row>
    <row r="1246" spans="1:103" hidden="1" x14ac:dyDescent="0.25">
      <c r="C1246" s="1"/>
      <c r="D1246" s="5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</row>
    <row r="1247" spans="1:103" hidden="1" x14ac:dyDescent="0.25">
      <c r="C1247" s="1"/>
      <c r="D1247" s="5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</row>
    <row r="1248" spans="1:103" hidden="1" x14ac:dyDescent="0.25">
      <c r="C1248" s="1"/>
      <c r="D1248" s="5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</row>
    <row r="1249" spans="3:103" hidden="1" x14ac:dyDescent="0.25">
      <c r="C1249" s="1"/>
      <c r="D1249" s="5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</row>
    <row r="1250" spans="3:103" hidden="1" x14ac:dyDescent="0.25">
      <c r="C1250" s="1"/>
      <c r="D1250" s="5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</row>
    <row r="1251" spans="3:103" hidden="1" x14ac:dyDescent="0.25">
      <c r="C1251" s="1"/>
      <c r="D1251" s="5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</row>
    <row r="1252" spans="3:103" hidden="1" x14ac:dyDescent="0.25">
      <c r="C1252" s="1"/>
      <c r="D1252" s="5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</row>
    <row r="1253" spans="3:103" hidden="1" x14ac:dyDescent="0.25">
      <c r="C1253" s="1"/>
      <c r="D1253" s="5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</row>
    <row r="1254" spans="3:103" hidden="1" x14ac:dyDescent="0.25">
      <c r="C1254" s="1"/>
      <c r="D1254" s="5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</row>
    <row r="1255" spans="3:103" hidden="1" x14ac:dyDescent="0.25">
      <c r="C1255" s="1"/>
      <c r="D1255" s="5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</row>
    <row r="1256" spans="3:103" hidden="1" x14ac:dyDescent="0.25">
      <c r="C1256" s="1"/>
      <c r="D1256" s="5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</row>
    <row r="1257" spans="3:103" hidden="1" x14ac:dyDescent="0.25">
      <c r="C1257" s="1"/>
      <c r="D1257" s="5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</row>
    <row r="1258" spans="3:103" hidden="1" x14ac:dyDescent="0.25">
      <c r="C1258" s="1"/>
      <c r="D1258" s="5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</row>
    <row r="1259" spans="3:103" hidden="1" x14ac:dyDescent="0.25">
      <c r="C1259" s="1"/>
      <c r="D1259" s="5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</row>
    <row r="1260" spans="3:103" hidden="1" x14ac:dyDescent="0.25">
      <c r="C1260" s="1"/>
      <c r="D1260" s="5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</row>
    <row r="1261" spans="3:103" hidden="1" x14ac:dyDescent="0.25">
      <c r="C1261" s="1"/>
      <c r="D1261" s="5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</row>
    <row r="1262" spans="3:103" hidden="1" x14ac:dyDescent="0.25">
      <c r="C1262" s="1"/>
      <c r="D1262" s="5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</row>
    <row r="1263" spans="3:103" hidden="1" x14ac:dyDescent="0.25">
      <c r="C1263" s="1"/>
      <c r="D1263" s="5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</row>
    <row r="1264" spans="3:103" hidden="1" x14ac:dyDescent="0.25">
      <c r="C1264" s="1"/>
      <c r="D1264" s="5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</row>
    <row r="1265" spans="3:103" hidden="1" x14ac:dyDescent="0.25">
      <c r="C1265" s="1"/>
      <c r="D1265" s="5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</row>
    <row r="1266" spans="3:103" hidden="1" x14ac:dyDescent="0.25">
      <c r="C1266" s="1"/>
      <c r="D1266" s="5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</row>
    <row r="1267" spans="3:103" hidden="1" x14ac:dyDescent="0.25">
      <c r="C1267" s="1"/>
      <c r="D1267" s="5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</row>
    <row r="1268" spans="3:103" hidden="1" x14ac:dyDescent="0.25">
      <c r="C1268" s="1"/>
      <c r="D1268" s="5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</row>
    <row r="1269" spans="3:103" hidden="1" x14ac:dyDescent="0.25">
      <c r="C1269" s="1"/>
      <c r="D1269" s="5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</row>
    <row r="1270" spans="3:103" hidden="1" x14ac:dyDescent="0.25">
      <c r="C1270" s="1"/>
      <c r="D1270" s="5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</row>
    <row r="1271" spans="3:103" hidden="1" x14ac:dyDescent="0.25">
      <c r="C1271" s="1"/>
      <c r="D1271" s="5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</row>
    <row r="1272" spans="3:103" hidden="1" x14ac:dyDescent="0.25">
      <c r="C1272" s="1"/>
      <c r="D1272" s="5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</row>
    <row r="1273" spans="3:103" hidden="1" x14ac:dyDescent="0.25">
      <c r="C1273" s="1"/>
      <c r="D1273" s="5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</row>
    <row r="1274" spans="3:103" hidden="1" x14ac:dyDescent="0.25">
      <c r="C1274" s="1"/>
      <c r="D1274" s="5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</row>
    <row r="1275" spans="3:103" hidden="1" x14ac:dyDescent="0.25">
      <c r="C1275" s="1"/>
      <c r="D1275" s="5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</row>
    <row r="1276" spans="3:103" hidden="1" x14ac:dyDescent="0.25">
      <c r="C1276" s="1"/>
      <c r="D1276" s="5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</row>
    <row r="1277" spans="3:103" hidden="1" x14ac:dyDescent="0.25">
      <c r="C1277" s="1"/>
      <c r="D1277" s="5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</row>
    <row r="1278" spans="3:103" hidden="1" x14ac:dyDescent="0.25">
      <c r="C1278" s="1"/>
      <c r="D1278" s="5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</row>
    <row r="1279" spans="3:103" hidden="1" x14ac:dyDescent="0.25">
      <c r="C1279" s="1"/>
      <c r="D1279" s="5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</row>
    <row r="1280" spans="3:103" hidden="1" x14ac:dyDescent="0.25">
      <c r="C1280" s="1"/>
      <c r="D1280" s="5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</row>
    <row r="1281" spans="3:103" hidden="1" x14ac:dyDescent="0.25">
      <c r="C1281" s="1"/>
      <c r="D1281" s="5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</row>
    <row r="1282" spans="3:103" hidden="1" x14ac:dyDescent="0.25">
      <c r="C1282" s="1"/>
      <c r="D1282" s="5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</row>
    <row r="1283" spans="3:103" hidden="1" x14ac:dyDescent="0.25">
      <c r="C1283" s="1"/>
      <c r="D1283" s="5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</row>
    <row r="1284" spans="3:103" hidden="1" x14ac:dyDescent="0.25">
      <c r="C1284" s="1"/>
      <c r="D1284" s="5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</row>
    <row r="1285" spans="3:103" hidden="1" x14ac:dyDescent="0.25">
      <c r="C1285" s="1"/>
      <c r="D1285" s="5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</row>
    <row r="1286" spans="3:103" hidden="1" x14ac:dyDescent="0.25">
      <c r="C1286" s="1"/>
      <c r="D1286" s="5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</row>
    <row r="1287" spans="3:103" hidden="1" x14ac:dyDescent="0.25">
      <c r="C1287" s="1"/>
      <c r="D1287" s="5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</row>
    <row r="1288" spans="3:103" hidden="1" x14ac:dyDescent="0.25">
      <c r="C1288" s="1"/>
      <c r="D1288" s="5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</row>
    <row r="1289" spans="3:103" hidden="1" x14ac:dyDescent="0.25">
      <c r="C1289" s="1"/>
      <c r="D1289" s="5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</row>
    <row r="1290" spans="3:103" hidden="1" x14ac:dyDescent="0.25">
      <c r="C1290" s="1"/>
      <c r="D1290" s="5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</row>
    <row r="1291" spans="3:103" hidden="1" x14ac:dyDescent="0.25">
      <c r="C1291" s="1"/>
      <c r="D1291" s="5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</row>
    <row r="1292" spans="3:103" hidden="1" x14ac:dyDescent="0.25">
      <c r="C1292" s="1"/>
      <c r="D1292" s="5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</row>
    <row r="1293" spans="3:103" hidden="1" x14ac:dyDescent="0.25">
      <c r="C1293" s="1"/>
      <c r="D1293" s="5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</row>
    <row r="1294" spans="3:103" hidden="1" x14ac:dyDescent="0.25">
      <c r="C1294" s="1"/>
      <c r="D1294" s="5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</row>
    <row r="1295" spans="3:103" hidden="1" x14ac:dyDescent="0.25">
      <c r="C1295" s="1"/>
      <c r="D1295" s="5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</row>
    <row r="1296" spans="3:103" hidden="1" x14ac:dyDescent="0.25">
      <c r="C1296" s="1"/>
      <c r="D1296" s="5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</row>
    <row r="1297" spans="3:103" hidden="1" x14ac:dyDescent="0.25">
      <c r="C1297" s="1"/>
      <c r="D1297" s="5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</row>
    <row r="1298" spans="3:103" hidden="1" x14ac:dyDescent="0.25">
      <c r="C1298" s="1"/>
      <c r="D1298" s="5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</row>
    <row r="1299" spans="3:103" hidden="1" x14ac:dyDescent="0.25">
      <c r="C1299" s="1"/>
      <c r="D1299" s="5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</row>
    <row r="1300" spans="3:103" hidden="1" x14ac:dyDescent="0.25">
      <c r="C1300" s="1"/>
      <c r="D1300" s="5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</row>
    <row r="1301" spans="3:103" hidden="1" x14ac:dyDescent="0.25">
      <c r="C1301" s="1"/>
      <c r="D1301" s="5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</row>
    <row r="1302" spans="3:103" hidden="1" x14ac:dyDescent="0.25">
      <c r="C1302" s="1"/>
      <c r="D1302" s="5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</row>
    <row r="1303" spans="3:103" hidden="1" x14ac:dyDescent="0.25">
      <c r="C1303" s="1"/>
      <c r="D1303" s="5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</row>
    <row r="1304" spans="3:103" hidden="1" x14ac:dyDescent="0.25">
      <c r="C1304" s="1"/>
      <c r="D1304" s="5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</row>
    <row r="1305" spans="3:103" hidden="1" x14ac:dyDescent="0.25">
      <c r="C1305" s="1"/>
      <c r="D1305" s="5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</row>
    <row r="1306" spans="3:103" hidden="1" x14ac:dyDescent="0.25">
      <c r="C1306" s="1"/>
      <c r="D1306" s="5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</row>
    <row r="1307" spans="3:103" hidden="1" x14ac:dyDescent="0.25">
      <c r="C1307" s="1"/>
      <c r="D1307" s="5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</row>
    <row r="1308" spans="3:103" hidden="1" x14ac:dyDescent="0.25">
      <c r="C1308" s="1"/>
      <c r="D1308" s="5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</row>
    <row r="1309" spans="3:103" hidden="1" x14ac:dyDescent="0.25">
      <c r="C1309" s="1"/>
      <c r="D1309" s="5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</row>
    <row r="1310" spans="3:103" hidden="1" x14ac:dyDescent="0.25">
      <c r="C1310" s="1"/>
      <c r="D1310" s="5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</row>
    <row r="1311" spans="3:103" hidden="1" x14ac:dyDescent="0.25">
      <c r="C1311" s="1"/>
      <c r="D1311" s="5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</row>
    <row r="1312" spans="3:103" hidden="1" x14ac:dyDescent="0.25">
      <c r="C1312" s="1"/>
      <c r="D1312" s="5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</row>
    <row r="1313" spans="3:103" hidden="1" x14ac:dyDescent="0.25">
      <c r="C1313" s="1"/>
      <c r="D1313" s="5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</row>
    <row r="1314" spans="3:103" hidden="1" x14ac:dyDescent="0.25">
      <c r="C1314" s="1"/>
      <c r="D1314" s="5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</row>
    <row r="1315" spans="3:103" hidden="1" x14ac:dyDescent="0.25">
      <c r="C1315" s="1"/>
      <c r="D1315" s="5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</row>
    <row r="1316" spans="3:103" hidden="1" x14ac:dyDescent="0.25">
      <c r="C1316" s="1"/>
      <c r="D1316" s="5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</row>
    <row r="1317" spans="3:103" hidden="1" x14ac:dyDescent="0.25">
      <c r="C1317" s="1"/>
      <c r="D1317" s="5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</row>
    <row r="1318" spans="3:103" hidden="1" x14ac:dyDescent="0.25">
      <c r="C1318" s="1"/>
      <c r="D1318" s="5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</row>
    <row r="1319" spans="3:103" hidden="1" x14ac:dyDescent="0.25">
      <c r="C1319" s="1"/>
      <c r="D1319" s="5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</row>
    <row r="1320" spans="3:103" hidden="1" x14ac:dyDescent="0.25">
      <c r="C1320" s="1"/>
      <c r="D1320" s="5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</row>
    <row r="1321" spans="3:103" hidden="1" x14ac:dyDescent="0.25">
      <c r="C1321" s="1"/>
      <c r="D1321" s="5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</row>
    <row r="1322" spans="3:103" hidden="1" x14ac:dyDescent="0.25">
      <c r="C1322" s="1"/>
      <c r="D1322" s="5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</row>
    <row r="1323" spans="3:103" hidden="1" x14ac:dyDescent="0.25">
      <c r="C1323" s="1"/>
      <c r="D1323" s="5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</row>
    <row r="1324" spans="3:103" hidden="1" x14ac:dyDescent="0.25">
      <c r="C1324" s="1"/>
      <c r="D1324" s="5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</row>
    <row r="1325" spans="3:103" hidden="1" x14ac:dyDescent="0.25">
      <c r="C1325" s="1"/>
      <c r="D1325" s="5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</row>
    <row r="1326" spans="3:103" hidden="1" x14ac:dyDescent="0.25">
      <c r="C1326" s="1"/>
      <c r="D1326" s="5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</row>
    <row r="1327" spans="3:103" hidden="1" x14ac:dyDescent="0.25">
      <c r="C1327" s="1"/>
      <c r="D1327" s="5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  <c r="CV1327" s="8"/>
      <c r="CW1327" s="8"/>
      <c r="CX1327" s="8"/>
      <c r="CY1327" s="8"/>
    </row>
    <row r="1328" spans="3:103" hidden="1" x14ac:dyDescent="0.25">
      <c r="C1328" s="1"/>
      <c r="D1328" s="5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</row>
    <row r="1329" spans="3:103" hidden="1" x14ac:dyDescent="0.25">
      <c r="C1329" s="1"/>
      <c r="D1329" s="5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</row>
    <row r="1330" spans="3:103" hidden="1" x14ac:dyDescent="0.25">
      <c r="C1330" s="1"/>
      <c r="D1330" s="5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</row>
    <row r="1331" spans="3:103" hidden="1" x14ac:dyDescent="0.25">
      <c r="C1331" s="1"/>
      <c r="D1331" s="5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</row>
    <row r="1332" spans="3:103" hidden="1" x14ac:dyDescent="0.25">
      <c r="C1332" s="1"/>
      <c r="D1332" s="5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</row>
    <row r="1333" spans="3:103" hidden="1" x14ac:dyDescent="0.25">
      <c r="C1333" s="1"/>
      <c r="D1333" s="5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</row>
    <row r="1334" spans="3:103" hidden="1" x14ac:dyDescent="0.25">
      <c r="C1334" s="1"/>
      <c r="D1334" s="5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  <c r="CV1334" s="8"/>
      <c r="CW1334" s="8"/>
      <c r="CX1334" s="8"/>
      <c r="CY1334" s="8"/>
    </row>
    <row r="1335" spans="3:103" hidden="1" x14ac:dyDescent="0.25">
      <c r="C1335" s="1"/>
      <c r="D1335" s="5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</row>
    <row r="1336" spans="3:103" hidden="1" x14ac:dyDescent="0.25">
      <c r="C1336" s="1"/>
      <c r="D1336" s="5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</row>
    <row r="1337" spans="3:103" hidden="1" x14ac:dyDescent="0.25">
      <c r="C1337" s="1"/>
      <c r="D1337" s="5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</row>
    <row r="1338" spans="3:103" hidden="1" x14ac:dyDescent="0.25">
      <c r="C1338" s="1"/>
      <c r="D1338" s="5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</row>
    <row r="1339" spans="3:103" hidden="1" x14ac:dyDescent="0.25"/>
    <row r="1340" spans="3:103" hidden="1" x14ac:dyDescent="0.25"/>
    <row r="1341" spans="3:103" hidden="1" x14ac:dyDescent="0.25"/>
  </sheetData>
  <phoneticPr fontId="3" type="noConversion"/>
  <printOptions gridLines="1"/>
  <pageMargins left="0.75" right="0.5" top="0.75" bottom="0.5" header="0.5" footer="0.5"/>
  <pageSetup scale="31" fitToHeight="3" orientation="landscape" r:id="rId1"/>
  <headerFooter alignWithMargins="0"/>
  <rowBreaks count="4" manualBreakCount="4">
    <brk id="178" max="18" man="1"/>
    <brk id="201" max="18" man="1"/>
    <brk id="224" max="18" man="1"/>
    <brk id="246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980"/>
  <sheetViews>
    <sheetView zoomScale="75" zoomScaleNormal="75" workbookViewId="0">
      <pane ySplit="7" topLeftCell="A8" activePane="bottomLeft" state="frozen"/>
      <selection pane="bottomLeft"/>
    </sheetView>
  </sheetViews>
  <sheetFormatPr defaultColWidth="0" defaultRowHeight="13.2" zeroHeight="1" x14ac:dyDescent="0.25"/>
  <cols>
    <col min="1" max="1" width="8.5546875" bestFit="1" customWidth="1"/>
    <col min="2" max="2" width="7.33203125" bestFit="1" customWidth="1"/>
    <col min="3" max="3" width="20.6640625" style="13" customWidth="1"/>
    <col min="4" max="7" width="16.6640625" customWidth="1"/>
    <col min="8" max="10" width="9.109375" hidden="1" customWidth="1"/>
    <col min="11" max="14" width="18.6640625" hidden="1" customWidth="1"/>
    <col min="15" max="15" width="18.88671875" hidden="1" customWidth="1"/>
    <col min="16" max="16384" width="9.109375" hidden="1"/>
  </cols>
  <sheetData>
    <row r="1" spans="1:14" ht="20.399999999999999" thickBot="1" x14ac:dyDescent="0.45">
      <c r="A1" s="48" t="s">
        <v>27</v>
      </c>
      <c r="B1" s="4"/>
      <c r="C1" s="7"/>
      <c r="D1" s="50" t="s">
        <v>576</v>
      </c>
      <c r="E1" s="50" t="s">
        <v>576</v>
      </c>
      <c r="F1" s="50" t="s">
        <v>576</v>
      </c>
      <c r="G1" s="50" t="s">
        <v>576</v>
      </c>
    </row>
    <row r="2" spans="1:14" ht="13.8" thickTop="1" x14ac:dyDescent="0.25">
      <c r="A2" s="4" t="s">
        <v>28</v>
      </c>
      <c r="B2" s="4" t="s">
        <v>29</v>
      </c>
      <c r="C2" s="7"/>
      <c r="D2" s="4" t="s">
        <v>30</v>
      </c>
      <c r="E2" s="4" t="s">
        <v>31</v>
      </c>
      <c r="F2" s="4" t="s">
        <v>32</v>
      </c>
      <c r="G2" s="50" t="s">
        <v>576</v>
      </c>
    </row>
    <row r="3" spans="1:14" x14ac:dyDescent="0.25">
      <c r="A3" s="50" t="s">
        <v>576</v>
      </c>
      <c r="B3" s="50" t="s">
        <v>576</v>
      </c>
      <c r="C3" s="50" t="s">
        <v>576</v>
      </c>
      <c r="D3" s="4" t="s">
        <v>2</v>
      </c>
      <c r="E3" s="4" t="s">
        <v>3</v>
      </c>
      <c r="F3" s="4" t="s">
        <v>4</v>
      </c>
      <c r="G3" s="4" t="s">
        <v>5</v>
      </c>
    </row>
    <row r="4" spans="1:14" x14ac:dyDescent="0.25">
      <c r="A4" s="50" t="s">
        <v>576</v>
      </c>
      <c r="B4" s="50" t="s">
        <v>576</v>
      </c>
      <c r="C4" s="50" t="s">
        <v>576</v>
      </c>
      <c r="D4" s="50" t="s">
        <v>576</v>
      </c>
      <c r="E4" s="50" t="s">
        <v>576</v>
      </c>
      <c r="F4" s="4" t="s">
        <v>33</v>
      </c>
      <c r="G4" s="9" t="s">
        <v>33</v>
      </c>
    </row>
    <row r="5" spans="1:14" x14ac:dyDescent="0.25">
      <c r="A5" s="50" t="s">
        <v>576</v>
      </c>
      <c r="B5" s="50" t="s">
        <v>576</v>
      </c>
      <c r="C5" s="50" t="s">
        <v>576</v>
      </c>
      <c r="D5" s="4" t="s">
        <v>34</v>
      </c>
      <c r="E5" s="4" t="s">
        <v>26</v>
      </c>
      <c r="F5" s="4" t="s">
        <v>35</v>
      </c>
      <c r="G5" s="4" t="s">
        <v>36</v>
      </c>
    </row>
    <row r="6" spans="1:14" x14ac:dyDescent="0.25">
      <c r="A6" s="50" t="s">
        <v>576</v>
      </c>
      <c r="B6" s="50" t="s">
        <v>576</v>
      </c>
      <c r="C6" s="50" t="s">
        <v>576</v>
      </c>
      <c r="D6" s="4" t="s">
        <v>36</v>
      </c>
      <c r="E6" s="4" t="s">
        <v>35</v>
      </c>
      <c r="F6" s="4" t="str">
        <f>+"= ("&amp;+D3&amp;" X "&amp;+E3&amp;")/60"</f>
        <v>= (A X B)/60</v>
      </c>
      <c r="G6" s="9" t="str">
        <f>+"= "&amp;+D3&amp;"/60"</f>
        <v>= A/60</v>
      </c>
      <c r="K6" s="9"/>
      <c r="L6" s="9"/>
      <c r="M6" s="9"/>
      <c r="N6" s="9"/>
    </row>
    <row r="7" spans="1:14" x14ac:dyDescent="0.25">
      <c r="A7" s="49" t="s">
        <v>578</v>
      </c>
      <c r="B7" s="4"/>
      <c r="C7" s="7"/>
      <c r="D7" s="4"/>
      <c r="E7" s="4"/>
      <c r="F7" s="4"/>
    </row>
    <row r="8" spans="1:14" x14ac:dyDescent="0.25">
      <c r="A8" s="4">
        <v>1</v>
      </c>
      <c r="B8" s="4">
        <v>1</v>
      </c>
      <c r="C8" s="7" t="s">
        <v>38</v>
      </c>
      <c r="D8" s="5">
        <v>380</v>
      </c>
      <c r="E8" s="5">
        <v>168</v>
      </c>
      <c r="F8" s="5">
        <v>1064</v>
      </c>
      <c r="G8" s="11">
        <v>6.333333333333333</v>
      </c>
      <c r="M8" s="11"/>
      <c r="N8" s="11"/>
    </row>
    <row r="9" spans="1:14" x14ac:dyDescent="0.25">
      <c r="A9" s="4">
        <v>1.2</v>
      </c>
      <c r="B9" s="4">
        <v>3</v>
      </c>
      <c r="C9" s="7" t="s">
        <v>39</v>
      </c>
      <c r="D9" s="5">
        <v>359</v>
      </c>
      <c r="E9" s="5">
        <v>171</v>
      </c>
      <c r="F9" s="5">
        <v>1023.15</v>
      </c>
      <c r="G9" s="11">
        <v>5.9833333333333334</v>
      </c>
      <c r="M9" s="11"/>
      <c r="N9" s="11"/>
    </row>
    <row r="10" spans="1:14" x14ac:dyDescent="0.25">
      <c r="A10" s="4">
        <v>2</v>
      </c>
      <c r="B10" s="4">
        <v>1</v>
      </c>
      <c r="C10" s="7" t="s">
        <v>40</v>
      </c>
      <c r="D10" s="5">
        <v>370</v>
      </c>
      <c r="E10" s="5">
        <v>168</v>
      </c>
      <c r="F10" s="5">
        <v>1036</v>
      </c>
      <c r="G10" s="11">
        <v>6.166666666666667</v>
      </c>
      <c r="M10" s="11"/>
      <c r="N10" s="11"/>
    </row>
    <row r="11" spans="1:14" x14ac:dyDescent="0.25">
      <c r="A11" s="4">
        <v>4</v>
      </c>
      <c r="B11" s="4">
        <v>1</v>
      </c>
      <c r="C11" s="7" t="s">
        <v>41</v>
      </c>
      <c r="D11" s="5">
        <v>373</v>
      </c>
      <c r="E11" s="5">
        <v>170</v>
      </c>
      <c r="F11" s="5">
        <v>1056.8333333333333</v>
      </c>
      <c r="G11" s="11">
        <v>6.2166666666666668</v>
      </c>
      <c r="M11" s="11"/>
      <c r="N11" s="11"/>
    </row>
    <row r="12" spans="1:14" x14ac:dyDescent="0.25">
      <c r="A12" s="4">
        <v>6</v>
      </c>
      <c r="B12" s="4">
        <v>3</v>
      </c>
      <c r="C12" s="7" t="s">
        <v>42</v>
      </c>
      <c r="D12" s="5">
        <v>373</v>
      </c>
      <c r="E12" s="5">
        <v>167</v>
      </c>
      <c r="F12" s="5">
        <v>1038.1833333333334</v>
      </c>
      <c r="G12" s="11">
        <v>6.2166666666666668</v>
      </c>
      <c r="M12" s="11"/>
      <c r="N12" s="11"/>
    </row>
    <row r="13" spans="1:14" x14ac:dyDescent="0.25">
      <c r="A13" s="4">
        <v>11</v>
      </c>
      <c r="B13" s="4">
        <v>1</v>
      </c>
      <c r="C13" s="7" t="s">
        <v>43</v>
      </c>
      <c r="D13" s="5">
        <v>366</v>
      </c>
      <c r="E13" s="5">
        <v>166</v>
      </c>
      <c r="F13" s="5">
        <v>1012.6</v>
      </c>
      <c r="G13" s="11">
        <v>6.1</v>
      </c>
      <c r="M13" s="11"/>
      <c r="N13" s="11"/>
    </row>
    <row r="14" spans="1:14" x14ac:dyDescent="0.25">
      <c r="A14" s="4">
        <v>12</v>
      </c>
      <c r="B14" s="4">
        <v>1</v>
      </c>
      <c r="C14" s="7" t="s">
        <v>44</v>
      </c>
      <c r="D14" s="5">
        <v>364</v>
      </c>
      <c r="E14" s="5">
        <v>168</v>
      </c>
      <c r="F14" s="5">
        <v>1019.2</v>
      </c>
      <c r="G14" s="11">
        <v>6.0666666666666664</v>
      </c>
      <c r="M14" s="11"/>
      <c r="N14" s="11"/>
    </row>
    <row r="15" spans="1:14" x14ac:dyDescent="0.25">
      <c r="A15" s="4">
        <v>13</v>
      </c>
      <c r="B15" s="4">
        <v>1</v>
      </c>
      <c r="C15" s="7" t="s">
        <v>45</v>
      </c>
      <c r="D15" s="5">
        <v>362</v>
      </c>
      <c r="E15" s="5">
        <v>167</v>
      </c>
      <c r="F15" s="5">
        <v>1007.5666666666667</v>
      </c>
      <c r="G15" s="11">
        <v>6.0333333333333332</v>
      </c>
      <c r="M15" s="11"/>
      <c r="N15" s="11"/>
    </row>
    <row r="16" spans="1:14" x14ac:dyDescent="0.25">
      <c r="A16" s="4">
        <v>14</v>
      </c>
      <c r="B16" s="4">
        <v>1</v>
      </c>
      <c r="C16" s="7" t="s">
        <v>46</v>
      </c>
      <c r="D16" s="5">
        <v>372</v>
      </c>
      <c r="E16" s="5">
        <v>168</v>
      </c>
      <c r="F16" s="5">
        <v>1041.5999999999999</v>
      </c>
      <c r="G16" s="11">
        <v>6.2</v>
      </c>
      <c r="M16" s="11"/>
      <c r="N16" s="11"/>
    </row>
    <row r="17" spans="1:14" x14ac:dyDescent="0.25">
      <c r="A17" s="4">
        <v>15</v>
      </c>
      <c r="B17" s="4">
        <v>1</v>
      </c>
      <c r="C17" s="7" t="s">
        <v>47</v>
      </c>
      <c r="D17" s="5">
        <v>380</v>
      </c>
      <c r="E17" s="5">
        <v>170</v>
      </c>
      <c r="F17" s="5">
        <v>1076.6666666666667</v>
      </c>
      <c r="G17" s="11">
        <v>6.333333333333333</v>
      </c>
      <c r="M17" s="11"/>
      <c r="N17" s="11"/>
    </row>
    <row r="18" spans="1:14" x14ac:dyDescent="0.25">
      <c r="A18" s="4">
        <v>16</v>
      </c>
      <c r="B18" s="4">
        <v>1</v>
      </c>
      <c r="C18" s="7" t="s">
        <v>48</v>
      </c>
      <c r="D18" s="5">
        <v>385</v>
      </c>
      <c r="E18" s="5">
        <v>162</v>
      </c>
      <c r="F18" s="5">
        <v>1039.5</v>
      </c>
      <c r="G18" s="11">
        <v>6.416666666666667</v>
      </c>
      <c r="M18" s="11"/>
      <c r="N18" s="11"/>
    </row>
    <row r="19" spans="1:14" x14ac:dyDescent="0.25">
      <c r="A19" s="4">
        <v>22</v>
      </c>
      <c r="B19" s="4">
        <v>1</v>
      </c>
      <c r="C19" s="7" t="s">
        <v>49</v>
      </c>
      <c r="D19" s="5">
        <v>409</v>
      </c>
      <c r="E19" s="5">
        <v>166</v>
      </c>
      <c r="F19" s="5">
        <v>1131.5666666666666</v>
      </c>
      <c r="G19" s="11">
        <v>6.8166666666666664</v>
      </c>
      <c r="M19" s="11"/>
      <c r="N19" s="11"/>
    </row>
    <row r="20" spans="1:14" x14ac:dyDescent="0.25">
      <c r="A20" s="4">
        <v>23</v>
      </c>
      <c r="B20" s="4">
        <v>1</v>
      </c>
      <c r="C20" s="7" t="s">
        <v>50</v>
      </c>
      <c r="D20" s="5">
        <v>390</v>
      </c>
      <c r="E20" s="5">
        <v>166</v>
      </c>
      <c r="F20" s="5">
        <v>1079</v>
      </c>
      <c r="G20" s="11">
        <v>6.5</v>
      </c>
      <c r="M20" s="11"/>
      <c r="N20" s="11"/>
    </row>
    <row r="21" spans="1:14" x14ac:dyDescent="0.25">
      <c r="A21" s="4">
        <v>25</v>
      </c>
      <c r="B21" s="4">
        <v>1</v>
      </c>
      <c r="C21" s="7" t="s">
        <v>51</v>
      </c>
      <c r="D21" s="5">
        <v>360</v>
      </c>
      <c r="E21" s="5">
        <v>171</v>
      </c>
      <c r="F21" s="5">
        <v>1026</v>
      </c>
      <c r="G21" s="11">
        <v>6</v>
      </c>
      <c r="M21" s="11"/>
      <c r="N21" s="11"/>
    </row>
    <row r="22" spans="1:14" x14ac:dyDescent="0.25">
      <c r="A22" s="4">
        <v>31</v>
      </c>
      <c r="B22" s="4">
        <v>1</v>
      </c>
      <c r="C22" s="7" t="s">
        <v>52</v>
      </c>
      <c r="D22" s="5">
        <v>372</v>
      </c>
      <c r="E22" s="5">
        <v>173</v>
      </c>
      <c r="F22" s="5">
        <v>1072.5999999999999</v>
      </c>
      <c r="G22" s="11">
        <v>6.2</v>
      </c>
      <c r="M22" s="11"/>
      <c r="N22" s="11"/>
    </row>
    <row r="23" spans="1:14" x14ac:dyDescent="0.25">
      <c r="A23" s="4">
        <v>32</v>
      </c>
      <c r="B23" s="4">
        <v>1</v>
      </c>
      <c r="C23" s="7" t="s">
        <v>53</v>
      </c>
      <c r="D23" s="5">
        <v>423</v>
      </c>
      <c r="E23" s="5">
        <v>146</v>
      </c>
      <c r="F23" s="5">
        <v>1029.3</v>
      </c>
      <c r="G23" s="11">
        <v>7.05</v>
      </c>
      <c r="M23" s="11"/>
      <c r="N23" s="11"/>
    </row>
    <row r="24" spans="1:14" x14ac:dyDescent="0.25">
      <c r="A24" s="4">
        <v>36</v>
      </c>
      <c r="B24" s="4">
        <v>1</v>
      </c>
      <c r="C24" s="7" t="s">
        <v>54</v>
      </c>
      <c r="D24" s="5">
        <v>374</v>
      </c>
      <c r="E24" s="5">
        <v>167</v>
      </c>
      <c r="F24" s="5">
        <v>1040.9666666666667</v>
      </c>
      <c r="G24" s="11">
        <v>6.2333333333333334</v>
      </c>
      <c r="M24" s="11"/>
      <c r="N24" s="11"/>
    </row>
    <row r="25" spans="1:14" x14ac:dyDescent="0.25">
      <c r="A25" s="4">
        <v>38</v>
      </c>
      <c r="B25" s="4">
        <v>1</v>
      </c>
      <c r="C25" s="7" t="s">
        <v>55</v>
      </c>
      <c r="D25" s="5">
        <v>360</v>
      </c>
      <c r="E25" s="5">
        <v>173</v>
      </c>
      <c r="F25" s="5">
        <v>1038</v>
      </c>
      <c r="G25" s="11">
        <v>6</v>
      </c>
      <c r="M25" s="11"/>
      <c r="N25" s="11"/>
    </row>
    <row r="26" spans="1:14" x14ac:dyDescent="0.25">
      <c r="A26" s="4">
        <v>47</v>
      </c>
      <c r="B26" s="4">
        <v>1</v>
      </c>
      <c r="C26" s="7" t="s">
        <v>56</v>
      </c>
      <c r="D26" s="5">
        <v>378</v>
      </c>
      <c r="E26" s="5">
        <v>171</v>
      </c>
      <c r="F26" s="5">
        <v>1077.3</v>
      </c>
      <c r="G26" s="11">
        <v>6.3</v>
      </c>
      <c r="M26" s="11"/>
      <c r="N26" s="11"/>
    </row>
    <row r="27" spans="1:14" x14ac:dyDescent="0.25">
      <c r="A27" s="4">
        <v>51</v>
      </c>
      <c r="B27" s="4">
        <v>1</v>
      </c>
      <c r="C27" s="7" t="s">
        <v>57</v>
      </c>
      <c r="D27" s="5">
        <v>380</v>
      </c>
      <c r="E27" s="5">
        <v>166</v>
      </c>
      <c r="F27" s="5">
        <v>1051.3333333333333</v>
      </c>
      <c r="G27" s="11">
        <v>6.333333333333333</v>
      </c>
      <c r="M27" s="11"/>
      <c r="N27" s="11"/>
    </row>
    <row r="28" spans="1:14" x14ac:dyDescent="0.25">
      <c r="A28" s="4">
        <v>75</v>
      </c>
      <c r="B28" s="4">
        <v>1</v>
      </c>
      <c r="C28" s="7" t="s">
        <v>58</v>
      </c>
      <c r="D28" s="5">
        <v>389</v>
      </c>
      <c r="E28" s="5">
        <v>172</v>
      </c>
      <c r="F28" s="5">
        <v>1115.1333333333334</v>
      </c>
      <c r="G28" s="11">
        <v>6.4833333333333334</v>
      </c>
      <c r="M28" s="11"/>
      <c r="N28" s="11"/>
    </row>
    <row r="29" spans="1:14" x14ac:dyDescent="0.25">
      <c r="A29" s="4">
        <v>77</v>
      </c>
      <c r="B29" s="4">
        <v>1</v>
      </c>
      <c r="C29" s="7" t="s">
        <v>59</v>
      </c>
      <c r="D29" s="5">
        <v>359</v>
      </c>
      <c r="E29" s="5">
        <v>166</v>
      </c>
      <c r="F29" s="5">
        <v>993.23333333333335</v>
      </c>
      <c r="G29" s="11">
        <v>5.9833333333333334</v>
      </c>
      <c r="M29" s="11"/>
      <c r="N29" s="11"/>
    </row>
    <row r="30" spans="1:14" x14ac:dyDescent="0.25">
      <c r="A30" s="4">
        <v>81</v>
      </c>
      <c r="B30" s="4">
        <v>1</v>
      </c>
      <c r="C30" s="7" t="s">
        <v>60</v>
      </c>
      <c r="D30" s="5">
        <v>368</v>
      </c>
      <c r="E30" s="5">
        <v>173</v>
      </c>
      <c r="F30" s="5">
        <v>1061.0666666666666</v>
      </c>
      <c r="G30" s="11">
        <v>6.1333333333333337</v>
      </c>
      <c r="M30" s="11"/>
      <c r="N30" s="11"/>
    </row>
    <row r="31" spans="1:14" x14ac:dyDescent="0.25">
      <c r="A31" s="4">
        <v>84</v>
      </c>
      <c r="B31" s="4">
        <v>1</v>
      </c>
      <c r="C31" s="7" t="s">
        <v>61</v>
      </c>
      <c r="D31" s="5">
        <v>394</v>
      </c>
      <c r="E31" s="5">
        <v>168</v>
      </c>
      <c r="F31" s="5">
        <v>1103.2</v>
      </c>
      <c r="G31" s="11">
        <v>6.5666666666666664</v>
      </c>
      <c r="M31" s="11"/>
      <c r="N31" s="11"/>
    </row>
    <row r="32" spans="1:14" x14ac:dyDescent="0.25">
      <c r="A32" s="4">
        <v>85</v>
      </c>
      <c r="B32" s="4">
        <v>1</v>
      </c>
      <c r="C32" s="7" t="s">
        <v>62</v>
      </c>
      <c r="D32" s="5">
        <v>385</v>
      </c>
      <c r="E32" s="5">
        <v>172</v>
      </c>
      <c r="F32" s="5">
        <v>1103.6666666666667</v>
      </c>
      <c r="G32" s="11">
        <v>6.416666666666667</v>
      </c>
      <c r="M32" s="11"/>
      <c r="N32" s="11"/>
    </row>
    <row r="33" spans="1:14" x14ac:dyDescent="0.25">
      <c r="A33" s="4">
        <v>88</v>
      </c>
      <c r="B33" s="4">
        <v>1</v>
      </c>
      <c r="C33" s="7" t="s">
        <v>63</v>
      </c>
      <c r="D33" s="5">
        <v>380</v>
      </c>
      <c r="E33" s="5">
        <v>168</v>
      </c>
      <c r="F33" s="5">
        <v>1064</v>
      </c>
      <c r="G33" s="11">
        <v>6.333333333333333</v>
      </c>
      <c r="M33" s="11"/>
      <c r="N33" s="11"/>
    </row>
    <row r="34" spans="1:14" x14ac:dyDescent="0.25">
      <c r="A34" s="4">
        <v>91</v>
      </c>
      <c r="B34" s="4">
        <v>1</v>
      </c>
      <c r="C34" s="7" t="s">
        <v>64</v>
      </c>
      <c r="D34" s="5">
        <v>372</v>
      </c>
      <c r="E34" s="5">
        <v>170</v>
      </c>
      <c r="F34" s="5">
        <v>1054</v>
      </c>
      <c r="G34" s="11">
        <v>6.2</v>
      </c>
      <c r="M34" s="11"/>
      <c r="N34" s="11"/>
    </row>
    <row r="35" spans="1:14" x14ac:dyDescent="0.25">
      <c r="A35" s="4">
        <v>93</v>
      </c>
      <c r="B35" s="4">
        <v>1</v>
      </c>
      <c r="C35" s="7" t="s">
        <v>65</v>
      </c>
      <c r="D35" s="5">
        <v>384</v>
      </c>
      <c r="E35" s="5">
        <v>166</v>
      </c>
      <c r="F35" s="5">
        <v>1062.4000000000001</v>
      </c>
      <c r="G35" s="11">
        <v>6.4</v>
      </c>
      <c r="M35" s="11"/>
      <c r="N35" s="11"/>
    </row>
    <row r="36" spans="1:14" x14ac:dyDescent="0.25">
      <c r="A36" s="4">
        <v>94</v>
      </c>
      <c r="B36" s="4">
        <v>1</v>
      </c>
      <c r="C36" s="7" t="s">
        <v>66</v>
      </c>
      <c r="D36" s="5">
        <v>385</v>
      </c>
      <c r="E36" s="5">
        <v>162</v>
      </c>
      <c r="F36" s="5">
        <v>1039.5</v>
      </c>
      <c r="G36" s="11">
        <v>6.416666666666667</v>
      </c>
      <c r="M36" s="11"/>
      <c r="N36" s="11"/>
    </row>
    <row r="37" spans="1:14" x14ac:dyDescent="0.25">
      <c r="A37" s="4">
        <v>95</v>
      </c>
      <c r="B37" s="4">
        <v>1</v>
      </c>
      <c r="C37" s="7" t="s">
        <v>67</v>
      </c>
      <c r="D37" s="5">
        <v>382</v>
      </c>
      <c r="E37" s="5">
        <v>171</v>
      </c>
      <c r="F37" s="5">
        <v>1088.7</v>
      </c>
      <c r="G37" s="11">
        <v>6.3666666666666663</v>
      </c>
      <c r="M37" s="11"/>
      <c r="N37" s="11"/>
    </row>
    <row r="38" spans="1:14" x14ac:dyDescent="0.25">
      <c r="A38" s="4">
        <v>97</v>
      </c>
      <c r="B38" s="4">
        <v>1</v>
      </c>
      <c r="C38" s="7" t="s">
        <v>68</v>
      </c>
      <c r="D38" s="5">
        <v>386</v>
      </c>
      <c r="E38" s="5">
        <v>165</v>
      </c>
      <c r="F38" s="5">
        <v>1061.5</v>
      </c>
      <c r="G38" s="11">
        <v>6.4333333333333336</v>
      </c>
      <c r="M38" s="11"/>
      <c r="N38" s="11"/>
    </row>
    <row r="39" spans="1:14" x14ac:dyDescent="0.25">
      <c r="A39" s="4">
        <v>99</v>
      </c>
      <c r="B39" s="4">
        <v>1</v>
      </c>
      <c r="C39" s="7" t="s">
        <v>69</v>
      </c>
      <c r="D39" s="5">
        <v>390</v>
      </c>
      <c r="E39" s="5">
        <v>171</v>
      </c>
      <c r="F39" s="5">
        <v>1111.5</v>
      </c>
      <c r="G39" s="11">
        <v>6.5</v>
      </c>
      <c r="M39" s="11"/>
      <c r="N39" s="11"/>
    </row>
    <row r="40" spans="1:14" x14ac:dyDescent="0.25">
      <c r="A40" s="4">
        <v>100</v>
      </c>
      <c r="B40" s="4">
        <v>1</v>
      </c>
      <c r="C40" s="7" t="s">
        <v>70</v>
      </c>
      <c r="D40" s="5">
        <v>381</v>
      </c>
      <c r="E40" s="5">
        <v>166</v>
      </c>
      <c r="F40" s="5">
        <v>1054.0999999999999</v>
      </c>
      <c r="G40" s="11">
        <v>6.35</v>
      </c>
      <c r="M40" s="11"/>
      <c r="N40" s="11"/>
    </row>
    <row r="41" spans="1:14" x14ac:dyDescent="0.25">
      <c r="A41" s="4">
        <v>108</v>
      </c>
      <c r="B41" s="4">
        <v>1</v>
      </c>
      <c r="C41" s="7" t="s">
        <v>71</v>
      </c>
      <c r="D41" s="5">
        <v>368</v>
      </c>
      <c r="E41" s="5">
        <v>170</v>
      </c>
      <c r="F41" s="5">
        <v>1042.6666666666667</v>
      </c>
      <c r="G41" s="11">
        <v>6.1333333333333337</v>
      </c>
      <c r="M41" s="11"/>
      <c r="N41" s="11"/>
    </row>
    <row r="42" spans="1:14" x14ac:dyDescent="0.25">
      <c r="A42" s="4">
        <v>110</v>
      </c>
      <c r="B42" s="4">
        <v>1</v>
      </c>
      <c r="C42" s="7" t="s">
        <v>72</v>
      </c>
      <c r="D42" s="5">
        <v>373</v>
      </c>
      <c r="E42" s="5">
        <v>170</v>
      </c>
      <c r="F42" s="5">
        <v>1056.8333333333333</v>
      </c>
      <c r="G42" s="11">
        <v>6.2166666666666668</v>
      </c>
      <c r="M42" s="11"/>
      <c r="N42" s="11"/>
    </row>
    <row r="43" spans="1:14" x14ac:dyDescent="0.25">
      <c r="A43" s="4">
        <v>111</v>
      </c>
      <c r="B43" s="4">
        <v>1</v>
      </c>
      <c r="C43" s="7" t="s">
        <v>73</v>
      </c>
      <c r="D43" s="5">
        <v>375</v>
      </c>
      <c r="E43" s="5">
        <v>168</v>
      </c>
      <c r="F43" s="5">
        <v>1050</v>
      </c>
      <c r="G43" s="11">
        <v>6.25</v>
      </c>
      <c r="M43" s="11"/>
      <c r="N43" s="11"/>
    </row>
    <row r="44" spans="1:14" x14ac:dyDescent="0.25">
      <c r="A44" s="4">
        <v>112</v>
      </c>
      <c r="B44" s="4">
        <v>1</v>
      </c>
      <c r="C44" s="7" t="s">
        <v>74</v>
      </c>
      <c r="D44" s="5">
        <v>372</v>
      </c>
      <c r="E44" s="5">
        <v>168</v>
      </c>
      <c r="F44" s="5">
        <v>1041.5999999999999</v>
      </c>
      <c r="G44" s="11">
        <v>6.2</v>
      </c>
      <c r="M44" s="11"/>
      <c r="N44" s="11"/>
    </row>
    <row r="45" spans="1:14" x14ac:dyDescent="0.25">
      <c r="A45" s="4">
        <v>113</v>
      </c>
      <c r="B45" s="4">
        <v>1</v>
      </c>
      <c r="C45" s="7" t="s">
        <v>75</v>
      </c>
      <c r="D45" s="5">
        <v>370</v>
      </c>
      <c r="E45" s="5">
        <v>170</v>
      </c>
      <c r="F45" s="5">
        <v>1048.3333333333333</v>
      </c>
      <c r="G45" s="11">
        <v>6.166666666666667</v>
      </c>
      <c r="M45" s="11"/>
      <c r="N45" s="11"/>
    </row>
    <row r="46" spans="1:14" x14ac:dyDescent="0.25">
      <c r="A46" s="4">
        <v>115</v>
      </c>
      <c r="B46" s="4">
        <v>1</v>
      </c>
      <c r="C46" s="7" t="s">
        <v>76</v>
      </c>
      <c r="D46" s="5">
        <v>407</v>
      </c>
      <c r="E46" s="5">
        <v>169</v>
      </c>
      <c r="F46" s="5">
        <v>1146.3833333333334</v>
      </c>
      <c r="G46" s="11">
        <v>6.7833333333333332</v>
      </c>
      <c r="M46" s="11"/>
      <c r="N46" s="11"/>
    </row>
    <row r="47" spans="1:14" x14ac:dyDescent="0.25">
      <c r="A47" s="4">
        <v>116</v>
      </c>
      <c r="B47" s="4">
        <v>1</v>
      </c>
      <c r="C47" s="7" t="s">
        <v>77</v>
      </c>
      <c r="D47" s="5">
        <v>382</v>
      </c>
      <c r="E47" s="5">
        <v>170</v>
      </c>
      <c r="F47" s="5">
        <v>1082.3333333333333</v>
      </c>
      <c r="G47" s="11">
        <v>6.3666666666666663</v>
      </c>
      <c r="M47" s="11"/>
      <c r="N47" s="11"/>
    </row>
    <row r="48" spans="1:14" x14ac:dyDescent="0.25">
      <c r="A48" s="4">
        <v>118</v>
      </c>
      <c r="B48" s="4">
        <v>1</v>
      </c>
      <c r="C48" s="7" t="s">
        <v>78</v>
      </c>
      <c r="D48" s="5">
        <v>370</v>
      </c>
      <c r="E48" s="5">
        <v>167</v>
      </c>
      <c r="F48" s="5">
        <v>1029.8333333333333</v>
      </c>
      <c r="G48" s="11">
        <v>6.166666666666667</v>
      </c>
      <c r="M48" s="11"/>
      <c r="N48" s="11"/>
    </row>
    <row r="49" spans="1:14" x14ac:dyDescent="0.25">
      <c r="A49" s="4">
        <v>129</v>
      </c>
      <c r="B49" s="4">
        <v>1</v>
      </c>
      <c r="C49" s="7" t="s">
        <v>79</v>
      </c>
      <c r="D49" s="5">
        <v>386</v>
      </c>
      <c r="E49" s="5">
        <v>175</v>
      </c>
      <c r="F49" s="5">
        <v>1125.8333333333333</v>
      </c>
      <c r="G49" s="11">
        <v>6.4333333333333336</v>
      </c>
      <c r="M49" s="11"/>
      <c r="N49" s="11"/>
    </row>
    <row r="50" spans="1:14" x14ac:dyDescent="0.25">
      <c r="A50" s="4">
        <v>138</v>
      </c>
      <c r="B50" s="4">
        <v>1</v>
      </c>
      <c r="C50" s="7" t="s">
        <v>80</v>
      </c>
      <c r="D50" s="5">
        <v>442</v>
      </c>
      <c r="E50" s="5">
        <v>149</v>
      </c>
      <c r="F50" s="5">
        <v>1097.6333333333334</v>
      </c>
      <c r="G50" s="11">
        <v>7.3666666666666663</v>
      </c>
      <c r="M50" s="11"/>
      <c r="N50" s="11"/>
    </row>
    <row r="51" spans="1:14" x14ac:dyDescent="0.25">
      <c r="A51" s="4">
        <v>139</v>
      </c>
      <c r="B51" s="4">
        <v>1</v>
      </c>
      <c r="C51" s="7" t="s">
        <v>81</v>
      </c>
      <c r="D51" s="5">
        <v>368</v>
      </c>
      <c r="E51" s="5">
        <v>166</v>
      </c>
      <c r="F51" s="5">
        <v>1018.1333333333333</v>
      </c>
      <c r="G51" s="11">
        <v>6.1333333333333337</v>
      </c>
      <c r="M51" s="11"/>
      <c r="N51" s="11"/>
    </row>
    <row r="52" spans="1:14" x14ac:dyDescent="0.25">
      <c r="A52" s="4">
        <v>146</v>
      </c>
      <c r="B52" s="4">
        <v>1</v>
      </c>
      <c r="C52" s="7" t="s">
        <v>82</v>
      </c>
      <c r="D52" s="5">
        <v>374</v>
      </c>
      <c r="E52" s="5">
        <v>171</v>
      </c>
      <c r="F52" s="5">
        <v>1065.9000000000001</v>
      </c>
      <c r="G52" s="11">
        <v>6.2333333333333334</v>
      </c>
      <c r="M52" s="11"/>
      <c r="N52" s="11"/>
    </row>
    <row r="53" spans="1:14" x14ac:dyDescent="0.25">
      <c r="A53" s="4">
        <v>150</v>
      </c>
      <c r="B53" s="4">
        <v>1</v>
      </c>
      <c r="C53" s="7" t="s">
        <v>83</v>
      </c>
      <c r="D53" s="5">
        <v>388</v>
      </c>
      <c r="E53" s="5">
        <v>169</v>
      </c>
      <c r="F53" s="5">
        <v>1092.8666666666666</v>
      </c>
      <c r="G53" s="11">
        <v>6.4666666666666668</v>
      </c>
      <c r="M53" s="11"/>
      <c r="N53" s="11"/>
    </row>
    <row r="54" spans="1:14" x14ac:dyDescent="0.25">
      <c r="A54" s="4">
        <v>152</v>
      </c>
      <c r="B54" s="4">
        <v>1</v>
      </c>
      <c r="C54" s="7" t="s">
        <v>84</v>
      </c>
      <c r="D54" s="5">
        <v>375</v>
      </c>
      <c r="E54" s="5">
        <v>170</v>
      </c>
      <c r="F54" s="5">
        <v>1062.5</v>
      </c>
      <c r="G54" s="11">
        <v>6.25</v>
      </c>
      <c r="M54" s="11"/>
      <c r="N54" s="11"/>
    </row>
    <row r="55" spans="1:14" x14ac:dyDescent="0.25">
      <c r="A55" s="4">
        <v>160</v>
      </c>
      <c r="B55" s="4">
        <v>70</v>
      </c>
      <c r="C55" s="7" t="s">
        <v>502</v>
      </c>
      <c r="D55" s="6">
        <v>0</v>
      </c>
      <c r="E55" s="6">
        <v>0</v>
      </c>
      <c r="F55" s="6">
        <v>0</v>
      </c>
      <c r="G55" s="42">
        <v>0</v>
      </c>
      <c r="M55" s="11"/>
      <c r="N55" s="11"/>
    </row>
    <row r="56" spans="1:14" x14ac:dyDescent="0.25">
      <c r="A56" s="4">
        <v>162</v>
      </c>
      <c r="B56" s="4">
        <v>1</v>
      </c>
      <c r="C56" s="7" t="s">
        <v>85</v>
      </c>
      <c r="D56" s="5">
        <v>360</v>
      </c>
      <c r="E56" s="5">
        <v>169</v>
      </c>
      <c r="F56" s="5">
        <v>1014</v>
      </c>
      <c r="G56" s="11">
        <v>6</v>
      </c>
      <c r="M56" s="11"/>
      <c r="N56" s="11"/>
    </row>
    <row r="57" spans="1:14" x14ac:dyDescent="0.25">
      <c r="A57" s="4">
        <v>166</v>
      </c>
      <c r="B57" s="4">
        <v>1</v>
      </c>
      <c r="C57" s="7" t="s">
        <v>86</v>
      </c>
      <c r="D57" s="5">
        <v>401</v>
      </c>
      <c r="E57" s="5">
        <v>156</v>
      </c>
      <c r="F57" s="5">
        <v>1042.5999999999999</v>
      </c>
      <c r="G57" s="11">
        <v>6.6833333333333336</v>
      </c>
      <c r="M57" s="11"/>
      <c r="N57" s="11"/>
    </row>
    <row r="58" spans="1:14" x14ac:dyDescent="0.25">
      <c r="A58" s="4">
        <v>173</v>
      </c>
      <c r="B58" s="4">
        <v>1</v>
      </c>
      <c r="C58" s="7" t="s">
        <v>87</v>
      </c>
      <c r="D58" s="5">
        <v>384</v>
      </c>
      <c r="E58" s="5">
        <v>169</v>
      </c>
      <c r="F58" s="5">
        <v>1081.5999999999999</v>
      </c>
      <c r="G58" s="11">
        <v>6.4</v>
      </c>
      <c r="M58" s="11"/>
      <c r="N58" s="11"/>
    </row>
    <row r="59" spans="1:14" x14ac:dyDescent="0.25">
      <c r="A59" s="4">
        <v>177</v>
      </c>
      <c r="B59" s="4">
        <v>1</v>
      </c>
      <c r="C59" s="7" t="s">
        <v>88</v>
      </c>
      <c r="D59" s="5">
        <v>396</v>
      </c>
      <c r="E59" s="5">
        <v>172</v>
      </c>
      <c r="F59" s="5">
        <v>1135.2</v>
      </c>
      <c r="G59" s="11">
        <v>6.6</v>
      </c>
      <c r="M59" s="11"/>
      <c r="N59" s="11"/>
    </row>
    <row r="60" spans="1:14" x14ac:dyDescent="0.25">
      <c r="A60" s="4">
        <v>181</v>
      </c>
      <c r="B60" s="4">
        <v>1</v>
      </c>
      <c r="C60" s="7" t="s">
        <v>89</v>
      </c>
      <c r="D60" s="5">
        <v>393</v>
      </c>
      <c r="E60" s="5">
        <v>169</v>
      </c>
      <c r="F60" s="5">
        <v>1106.95</v>
      </c>
      <c r="G60" s="11">
        <v>6.55</v>
      </c>
      <c r="M60" s="11"/>
      <c r="N60" s="11"/>
    </row>
    <row r="61" spans="1:14" x14ac:dyDescent="0.25">
      <c r="A61" s="4">
        <v>182</v>
      </c>
      <c r="B61" s="4">
        <v>1</v>
      </c>
      <c r="C61" s="7" t="s">
        <v>90</v>
      </c>
      <c r="D61" s="5">
        <v>359</v>
      </c>
      <c r="E61" s="5">
        <v>175</v>
      </c>
      <c r="F61" s="5">
        <v>1047.0833333333333</v>
      </c>
      <c r="G61" s="11">
        <v>5.9833333333333334</v>
      </c>
      <c r="M61" s="11"/>
      <c r="N61" s="11"/>
    </row>
    <row r="62" spans="1:14" x14ac:dyDescent="0.25">
      <c r="A62" s="4">
        <v>186</v>
      </c>
      <c r="B62" s="4">
        <v>1</v>
      </c>
      <c r="C62" s="7" t="s">
        <v>91</v>
      </c>
      <c r="D62" s="5">
        <v>387</v>
      </c>
      <c r="E62" s="5">
        <v>170</v>
      </c>
      <c r="F62" s="5">
        <v>1096.5</v>
      </c>
      <c r="G62" s="11">
        <v>6.45</v>
      </c>
      <c r="M62" s="11"/>
      <c r="N62" s="11"/>
    </row>
    <row r="63" spans="1:14" x14ac:dyDescent="0.25">
      <c r="A63" s="4">
        <v>191</v>
      </c>
      <c r="B63" s="4">
        <v>1</v>
      </c>
      <c r="C63" s="7" t="s">
        <v>92</v>
      </c>
      <c r="D63" s="5">
        <v>357</v>
      </c>
      <c r="E63" s="5">
        <v>167</v>
      </c>
      <c r="F63" s="5">
        <v>993.65</v>
      </c>
      <c r="G63" s="11">
        <v>5.95</v>
      </c>
      <c r="M63" s="11"/>
      <c r="N63" s="11"/>
    </row>
    <row r="64" spans="1:14" x14ac:dyDescent="0.25">
      <c r="A64" s="4">
        <v>192</v>
      </c>
      <c r="B64" s="4">
        <v>1</v>
      </c>
      <c r="C64" s="7" t="s">
        <v>93</v>
      </c>
      <c r="D64" s="5">
        <v>374</v>
      </c>
      <c r="E64" s="5">
        <v>167</v>
      </c>
      <c r="F64" s="5">
        <v>1040.9666666666667</v>
      </c>
      <c r="G64" s="11">
        <v>6.2333333333333334</v>
      </c>
      <c r="M64" s="11"/>
      <c r="N64" s="11"/>
    </row>
    <row r="65" spans="1:14" x14ac:dyDescent="0.25">
      <c r="A65" s="4">
        <v>194</v>
      </c>
      <c r="B65" s="4">
        <v>1</v>
      </c>
      <c r="C65" s="7" t="s">
        <v>94</v>
      </c>
      <c r="D65" s="5">
        <v>368</v>
      </c>
      <c r="E65" s="5">
        <v>169</v>
      </c>
      <c r="F65" s="5">
        <v>1036.5333333333333</v>
      </c>
      <c r="G65" s="11">
        <v>6.1333333333333337</v>
      </c>
      <c r="M65" s="11"/>
      <c r="N65" s="11"/>
    </row>
    <row r="66" spans="1:14" x14ac:dyDescent="0.25">
      <c r="A66" s="4">
        <v>195</v>
      </c>
      <c r="B66" s="4">
        <v>1</v>
      </c>
      <c r="C66" s="7" t="s">
        <v>95</v>
      </c>
      <c r="D66" s="5">
        <v>380</v>
      </c>
      <c r="E66" s="5">
        <v>171</v>
      </c>
      <c r="F66" s="5">
        <v>1083</v>
      </c>
      <c r="G66" s="11">
        <v>6.333333333333333</v>
      </c>
      <c r="M66" s="11"/>
      <c r="N66" s="11"/>
    </row>
    <row r="67" spans="1:14" x14ac:dyDescent="0.25">
      <c r="A67" s="4">
        <v>196</v>
      </c>
      <c r="B67" s="4">
        <v>1</v>
      </c>
      <c r="C67" s="7" t="s">
        <v>96</v>
      </c>
      <c r="D67" s="5">
        <v>371</v>
      </c>
      <c r="E67" s="5">
        <v>165</v>
      </c>
      <c r="F67" s="5">
        <v>1020.25</v>
      </c>
      <c r="G67" s="11">
        <v>6.1833333333333336</v>
      </c>
      <c r="M67" s="11"/>
      <c r="N67" s="11"/>
    </row>
    <row r="68" spans="1:14" x14ac:dyDescent="0.25">
      <c r="A68" s="4">
        <v>197</v>
      </c>
      <c r="B68" s="4">
        <v>1</v>
      </c>
      <c r="C68" s="7" t="s">
        <v>97</v>
      </c>
      <c r="D68" s="5">
        <v>362</v>
      </c>
      <c r="E68" s="5">
        <v>165</v>
      </c>
      <c r="F68" s="5">
        <v>995.5</v>
      </c>
      <c r="G68" s="11">
        <v>6.0333333333333332</v>
      </c>
      <c r="M68" s="11"/>
      <c r="N68" s="11"/>
    </row>
    <row r="69" spans="1:14" x14ac:dyDescent="0.25">
      <c r="A69" s="4">
        <v>199</v>
      </c>
      <c r="B69" s="4">
        <v>1</v>
      </c>
      <c r="C69" s="7" t="s">
        <v>98</v>
      </c>
      <c r="D69" s="5">
        <v>370</v>
      </c>
      <c r="E69" s="5">
        <v>167</v>
      </c>
      <c r="F69" s="5">
        <v>1029.8333333333333</v>
      </c>
      <c r="G69" s="11">
        <v>6.166666666666667</v>
      </c>
      <c r="M69" s="11"/>
      <c r="N69" s="11"/>
    </row>
    <row r="70" spans="1:14" x14ac:dyDescent="0.25">
      <c r="A70" s="4">
        <v>200</v>
      </c>
      <c r="B70" s="4">
        <v>1</v>
      </c>
      <c r="C70" s="7" t="s">
        <v>99</v>
      </c>
      <c r="D70" s="5">
        <v>378</v>
      </c>
      <c r="E70" s="5">
        <v>167</v>
      </c>
      <c r="F70" s="5">
        <v>1052.0999999999999</v>
      </c>
      <c r="G70" s="11">
        <v>6.3</v>
      </c>
      <c r="M70" s="11"/>
      <c r="N70" s="11"/>
    </row>
    <row r="71" spans="1:14" x14ac:dyDescent="0.25">
      <c r="A71" s="4">
        <v>203</v>
      </c>
      <c r="B71" s="4">
        <v>1</v>
      </c>
      <c r="C71" s="7" t="s">
        <v>100</v>
      </c>
      <c r="D71" s="5">
        <v>384</v>
      </c>
      <c r="E71" s="5">
        <v>167</v>
      </c>
      <c r="F71" s="5">
        <v>1068.8</v>
      </c>
      <c r="G71" s="11">
        <v>6.4</v>
      </c>
      <c r="M71" s="11"/>
      <c r="N71" s="11"/>
    </row>
    <row r="72" spans="1:14" x14ac:dyDescent="0.25">
      <c r="A72" s="4">
        <v>204</v>
      </c>
      <c r="B72" s="4">
        <v>1</v>
      </c>
      <c r="C72" s="7" t="s">
        <v>101</v>
      </c>
      <c r="D72" s="5">
        <v>380</v>
      </c>
      <c r="E72" s="5">
        <v>170</v>
      </c>
      <c r="F72" s="5">
        <v>1076.6666666666667</v>
      </c>
      <c r="G72" s="11">
        <v>6.333333333333333</v>
      </c>
      <c r="M72" s="11"/>
      <c r="N72" s="11"/>
    </row>
    <row r="73" spans="1:14" x14ac:dyDescent="0.25">
      <c r="A73" s="4">
        <v>206</v>
      </c>
      <c r="B73" s="4">
        <v>1</v>
      </c>
      <c r="C73" s="7" t="s">
        <v>102</v>
      </c>
      <c r="D73" s="5">
        <v>360</v>
      </c>
      <c r="E73" s="5">
        <v>167</v>
      </c>
      <c r="F73" s="5">
        <v>1002</v>
      </c>
      <c r="G73" s="11">
        <v>6</v>
      </c>
      <c r="M73" s="11"/>
      <c r="N73" s="11"/>
    </row>
    <row r="74" spans="1:14" x14ac:dyDescent="0.25">
      <c r="A74" s="4">
        <v>213</v>
      </c>
      <c r="B74" s="4">
        <v>1</v>
      </c>
      <c r="C74" s="7" t="s">
        <v>104</v>
      </c>
      <c r="D74" s="5">
        <v>363</v>
      </c>
      <c r="E74" s="5">
        <v>172</v>
      </c>
      <c r="F74" s="5">
        <v>1040.5999999999999</v>
      </c>
      <c r="G74" s="11">
        <v>6.05</v>
      </c>
      <c r="M74" s="11"/>
      <c r="N74" s="11"/>
    </row>
    <row r="75" spans="1:14" x14ac:dyDescent="0.25">
      <c r="A75" s="4">
        <v>227</v>
      </c>
      <c r="B75" s="4">
        <v>1</v>
      </c>
      <c r="C75" s="7" t="s">
        <v>105</v>
      </c>
      <c r="D75" s="5">
        <v>365</v>
      </c>
      <c r="E75" s="5">
        <v>170</v>
      </c>
      <c r="F75" s="5">
        <v>1034.1666666666667</v>
      </c>
      <c r="G75" s="11">
        <v>6.083333333333333</v>
      </c>
      <c r="M75" s="11"/>
      <c r="N75" s="11"/>
    </row>
    <row r="76" spans="1:14" x14ac:dyDescent="0.25">
      <c r="A76" s="4">
        <v>229</v>
      </c>
      <c r="B76" s="4">
        <v>1</v>
      </c>
      <c r="C76" s="7" t="s">
        <v>106</v>
      </c>
      <c r="D76" s="5">
        <v>390</v>
      </c>
      <c r="E76" s="5">
        <v>170</v>
      </c>
      <c r="F76" s="5">
        <v>1105</v>
      </c>
      <c r="G76" s="11">
        <v>6.5</v>
      </c>
      <c r="M76" s="11"/>
      <c r="N76" s="11"/>
    </row>
    <row r="77" spans="1:14" x14ac:dyDescent="0.25">
      <c r="A77" s="4">
        <v>238</v>
      </c>
      <c r="B77" s="4">
        <v>1</v>
      </c>
      <c r="C77" s="7" t="s">
        <v>107</v>
      </c>
      <c r="D77" s="5">
        <v>375</v>
      </c>
      <c r="E77" s="5">
        <v>169</v>
      </c>
      <c r="F77" s="5">
        <v>1056.25</v>
      </c>
      <c r="G77" s="11">
        <v>6.25</v>
      </c>
      <c r="M77" s="11"/>
      <c r="N77" s="11"/>
    </row>
    <row r="78" spans="1:14" x14ac:dyDescent="0.25">
      <c r="A78" s="4">
        <v>239</v>
      </c>
      <c r="B78" s="4">
        <v>1</v>
      </c>
      <c r="C78" s="7" t="s">
        <v>108</v>
      </c>
      <c r="D78" s="5">
        <v>383</v>
      </c>
      <c r="E78" s="5">
        <v>170</v>
      </c>
      <c r="F78" s="5">
        <v>1085.1666666666667</v>
      </c>
      <c r="G78" s="11">
        <v>6.3833333333333337</v>
      </c>
      <c r="M78" s="11"/>
      <c r="N78" s="11"/>
    </row>
    <row r="79" spans="1:14" x14ac:dyDescent="0.25">
      <c r="A79" s="4">
        <v>241</v>
      </c>
      <c r="B79" s="4">
        <v>1</v>
      </c>
      <c r="C79" s="7" t="s">
        <v>109</v>
      </c>
      <c r="D79" s="5">
        <v>367</v>
      </c>
      <c r="E79" s="5">
        <v>169</v>
      </c>
      <c r="F79" s="5">
        <v>1033.7166666666667</v>
      </c>
      <c r="G79" s="11">
        <v>6.1166666666666663</v>
      </c>
      <c r="M79" s="11"/>
      <c r="N79" s="11"/>
    </row>
    <row r="80" spans="1:14" x14ac:dyDescent="0.25">
      <c r="A80" s="4">
        <v>242</v>
      </c>
      <c r="B80" s="4">
        <v>1</v>
      </c>
      <c r="C80" s="7" t="s">
        <v>110</v>
      </c>
      <c r="D80" s="5">
        <v>391</v>
      </c>
      <c r="E80" s="5">
        <v>167</v>
      </c>
      <c r="F80" s="5">
        <v>1088.2833333333333</v>
      </c>
      <c r="G80" s="11">
        <v>6.5166666666666666</v>
      </c>
      <c r="M80" s="11"/>
      <c r="N80" s="11"/>
    </row>
    <row r="81" spans="1:14" x14ac:dyDescent="0.25">
      <c r="A81" s="4">
        <v>252</v>
      </c>
      <c r="B81" s="4">
        <v>1</v>
      </c>
      <c r="C81" s="7" t="s">
        <v>111</v>
      </c>
      <c r="D81" s="5">
        <v>390</v>
      </c>
      <c r="E81" s="5">
        <v>171</v>
      </c>
      <c r="F81" s="5">
        <v>1111.5</v>
      </c>
      <c r="G81" s="11">
        <v>6.5</v>
      </c>
      <c r="M81" s="11"/>
      <c r="N81" s="11"/>
    </row>
    <row r="82" spans="1:14" x14ac:dyDescent="0.25">
      <c r="A82" s="4">
        <v>253</v>
      </c>
      <c r="B82" s="4">
        <v>1</v>
      </c>
      <c r="C82" s="7" t="s">
        <v>112</v>
      </c>
      <c r="D82" s="5">
        <v>352</v>
      </c>
      <c r="E82" s="5">
        <v>167</v>
      </c>
      <c r="F82" s="5">
        <v>979.73333333333335</v>
      </c>
      <c r="G82" s="11">
        <v>5.8666666666666663</v>
      </c>
      <c r="M82" s="11"/>
      <c r="N82" s="11"/>
    </row>
    <row r="83" spans="1:14" x14ac:dyDescent="0.25">
      <c r="A83" s="4">
        <v>255</v>
      </c>
      <c r="B83" s="4">
        <v>1</v>
      </c>
      <c r="C83" s="7" t="s">
        <v>113</v>
      </c>
      <c r="D83" s="5">
        <v>397</v>
      </c>
      <c r="E83" s="5">
        <v>165</v>
      </c>
      <c r="F83" s="5">
        <v>1091.75</v>
      </c>
      <c r="G83" s="11">
        <v>6.6166666666666663</v>
      </c>
      <c r="M83" s="11"/>
      <c r="N83" s="11"/>
    </row>
    <row r="84" spans="1:14" x14ac:dyDescent="0.25">
      <c r="A84" s="4">
        <v>256</v>
      </c>
      <c r="B84" s="4">
        <v>1</v>
      </c>
      <c r="C84" s="7" t="s">
        <v>114</v>
      </c>
      <c r="D84" s="5">
        <v>363</v>
      </c>
      <c r="E84" s="5">
        <v>168</v>
      </c>
      <c r="F84" s="5">
        <v>1016.4</v>
      </c>
      <c r="G84" s="11">
        <v>6.05</v>
      </c>
      <c r="M84" s="11"/>
      <c r="N84" s="11"/>
    </row>
    <row r="85" spans="1:14" x14ac:dyDescent="0.25">
      <c r="A85" s="4">
        <v>261</v>
      </c>
      <c r="B85" s="4">
        <v>1</v>
      </c>
      <c r="C85" s="7" t="s">
        <v>115</v>
      </c>
      <c r="D85" s="5">
        <v>375</v>
      </c>
      <c r="E85" s="5">
        <v>171</v>
      </c>
      <c r="F85" s="5">
        <v>1068.75</v>
      </c>
      <c r="G85" s="11">
        <v>6.25</v>
      </c>
      <c r="M85" s="11"/>
      <c r="N85" s="11"/>
    </row>
    <row r="86" spans="1:14" x14ac:dyDescent="0.25">
      <c r="A86" s="4">
        <v>264</v>
      </c>
      <c r="B86" s="4">
        <v>1</v>
      </c>
      <c r="C86" s="7" t="s">
        <v>116</v>
      </c>
      <c r="D86" s="5">
        <v>360</v>
      </c>
      <c r="E86" s="5">
        <v>171</v>
      </c>
      <c r="F86" s="5">
        <v>1026</v>
      </c>
      <c r="G86" s="11">
        <v>6</v>
      </c>
      <c r="M86" s="11"/>
      <c r="N86" s="11"/>
    </row>
    <row r="87" spans="1:14" x14ac:dyDescent="0.25">
      <c r="A87" s="4">
        <v>270</v>
      </c>
      <c r="B87" s="4">
        <v>1</v>
      </c>
      <c r="C87" s="7" t="s">
        <v>117</v>
      </c>
      <c r="D87" s="5">
        <v>373</v>
      </c>
      <c r="E87" s="5">
        <v>165</v>
      </c>
      <c r="F87" s="5">
        <v>1025.75</v>
      </c>
      <c r="G87" s="11">
        <v>6.2166666666666668</v>
      </c>
      <c r="M87" s="11"/>
      <c r="N87" s="11"/>
    </row>
    <row r="88" spans="1:14" x14ac:dyDescent="0.25">
      <c r="A88" s="4">
        <v>271</v>
      </c>
      <c r="B88" s="4">
        <v>1</v>
      </c>
      <c r="C88" s="7" t="s">
        <v>118</v>
      </c>
      <c r="D88" s="5">
        <v>361</v>
      </c>
      <c r="E88" s="5">
        <v>167</v>
      </c>
      <c r="F88" s="5">
        <v>1004.7833333333333</v>
      </c>
      <c r="G88" s="11">
        <v>6.0166666666666666</v>
      </c>
      <c r="M88" s="11"/>
      <c r="N88" s="11"/>
    </row>
    <row r="89" spans="1:14" x14ac:dyDescent="0.25">
      <c r="A89" s="4">
        <v>272</v>
      </c>
      <c r="B89" s="4">
        <v>1</v>
      </c>
      <c r="C89" s="7" t="s">
        <v>119</v>
      </c>
      <c r="D89" s="5">
        <v>361</v>
      </c>
      <c r="E89" s="5">
        <v>169</v>
      </c>
      <c r="F89" s="5">
        <v>1016.8166666666667</v>
      </c>
      <c r="G89" s="11">
        <v>6.0166666666666666</v>
      </c>
      <c r="M89" s="11"/>
      <c r="N89" s="11"/>
    </row>
    <row r="90" spans="1:14" x14ac:dyDescent="0.25">
      <c r="A90" s="4">
        <v>273</v>
      </c>
      <c r="B90" s="4">
        <v>1</v>
      </c>
      <c r="C90" s="7" t="s">
        <v>120</v>
      </c>
      <c r="D90" s="5">
        <v>362</v>
      </c>
      <c r="E90" s="5">
        <v>168</v>
      </c>
      <c r="F90" s="5">
        <v>1013.6</v>
      </c>
      <c r="G90" s="11">
        <v>6.0333333333333332</v>
      </c>
      <c r="M90" s="11"/>
      <c r="N90" s="11"/>
    </row>
    <row r="91" spans="1:14" x14ac:dyDescent="0.25">
      <c r="A91" s="4">
        <v>276</v>
      </c>
      <c r="B91" s="4">
        <v>1</v>
      </c>
      <c r="C91" s="7" t="s">
        <v>121</v>
      </c>
      <c r="D91" s="5">
        <v>381</v>
      </c>
      <c r="E91" s="5">
        <v>168</v>
      </c>
      <c r="F91" s="5">
        <v>1066.8</v>
      </c>
      <c r="G91" s="11">
        <v>6.35</v>
      </c>
      <c r="M91" s="11"/>
      <c r="N91" s="11"/>
    </row>
    <row r="92" spans="1:14" x14ac:dyDescent="0.25">
      <c r="A92" s="4">
        <v>277</v>
      </c>
      <c r="B92" s="4">
        <v>1</v>
      </c>
      <c r="C92" s="7" t="s">
        <v>122</v>
      </c>
      <c r="D92" s="5">
        <v>389</v>
      </c>
      <c r="E92" s="5">
        <v>163</v>
      </c>
      <c r="F92" s="5">
        <v>1056.7833333333333</v>
      </c>
      <c r="G92" s="11">
        <v>6.4833333333333334</v>
      </c>
      <c r="M92" s="11"/>
      <c r="N92" s="11"/>
    </row>
    <row r="93" spans="1:14" x14ac:dyDescent="0.25">
      <c r="A93" s="4">
        <v>278</v>
      </c>
      <c r="B93" s="4">
        <v>1</v>
      </c>
      <c r="C93" s="7" t="s">
        <v>123</v>
      </c>
      <c r="D93" s="5">
        <v>373</v>
      </c>
      <c r="E93" s="5">
        <v>166</v>
      </c>
      <c r="F93" s="5">
        <v>1031.9666666666667</v>
      </c>
      <c r="G93" s="11">
        <v>6.2166666666666668</v>
      </c>
      <c r="M93" s="11"/>
      <c r="N93" s="11"/>
    </row>
    <row r="94" spans="1:14" x14ac:dyDescent="0.25">
      <c r="A94" s="4">
        <v>279</v>
      </c>
      <c r="B94" s="4">
        <v>1</v>
      </c>
      <c r="C94" s="7" t="s">
        <v>124</v>
      </c>
      <c r="D94" s="5">
        <v>360</v>
      </c>
      <c r="E94" s="5">
        <v>168</v>
      </c>
      <c r="F94" s="5">
        <v>1008</v>
      </c>
      <c r="G94" s="11">
        <v>6</v>
      </c>
      <c r="M94" s="11"/>
      <c r="N94" s="11"/>
    </row>
    <row r="95" spans="1:14" x14ac:dyDescent="0.25">
      <c r="A95" s="4">
        <v>280</v>
      </c>
      <c r="B95" s="4">
        <v>1</v>
      </c>
      <c r="C95" s="7" t="s">
        <v>125</v>
      </c>
      <c r="D95" s="5">
        <v>365</v>
      </c>
      <c r="E95" s="5">
        <v>166</v>
      </c>
      <c r="F95" s="5">
        <v>1009.8333333333334</v>
      </c>
      <c r="G95" s="11">
        <v>6.083333333333333</v>
      </c>
      <c r="M95" s="11"/>
      <c r="N95" s="11"/>
    </row>
    <row r="96" spans="1:14" x14ac:dyDescent="0.25">
      <c r="A96" s="4">
        <v>281</v>
      </c>
      <c r="B96" s="4">
        <v>1</v>
      </c>
      <c r="C96" s="7" t="s">
        <v>126</v>
      </c>
      <c r="D96" s="5">
        <v>364</v>
      </c>
      <c r="E96" s="5">
        <v>165</v>
      </c>
      <c r="F96" s="5">
        <v>1001</v>
      </c>
      <c r="G96" s="11">
        <v>6.0666666666666664</v>
      </c>
      <c r="M96" s="11"/>
      <c r="N96" s="11"/>
    </row>
    <row r="97" spans="1:14" x14ac:dyDescent="0.25">
      <c r="A97" s="4">
        <v>282</v>
      </c>
      <c r="B97" s="4">
        <v>1</v>
      </c>
      <c r="C97" s="7" t="s">
        <v>127</v>
      </c>
      <c r="D97" s="5">
        <v>359</v>
      </c>
      <c r="E97" s="5">
        <v>170</v>
      </c>
      <c r="F97" s="5">
        <v>1017.1666666666666</v>
      </c>
      <c r="G97" s="11">
        <v>5.9833333333333334</v>
      </c>
      <c r="M97" s="11"/>
      <c r="N97" s="11"/>
    </row>
    <row r="98" spans="1:14" x14ac:dyDescent="0.25">
      <c r="A98" s="4">
        <v>283</v>
      </c>
      <c r="B98" s="4">
        <v>1</v>
      </c>
      <c r="C98" s="7" t="s">
        <v>128</v>
      </c>
      <c r="D98" s="5">
        <v>359</v>
      </c>
      <c r="E98" s="5">
        <v>169</v>
      </c>
      <c r="F98" s="5">
        <v>1011.1833333333333</v>
      </c>
      <c r="G98" s="11">
        <v>5.9833333333333334</v>
      </c>
      <c r="M98" s="11"/>
      <c r="N98" s="11"/>
    </row>
    <row r="99" spans="1:14" x14ac:dyDescent="0.25">
      <c r="A99" s="4">
        <v>284</v>
      </c>
      <c r="B99" s="4">
        <v>1</v>
      </c>
      <c r="C99" s="7" t="s">
        <v>129</v>
      </c>
      <c r="D99" s="5">
        <v>378</v>
      </c>
      <c r="E99" s="5">
        <v>168</v>
      </c>
      <c r="F99" s="5">
        <v>1058.4000000000001</v>
      </c>
      <c r="G99" s="11">
        <v>6.3</v>
      </c>
      <c r="M99" s="11"/>
      <c r="N99" s="11"/>
    </row>
    <row r="100" spans="1:14" x14ac:dyDescent="0.25">
      <c r="A100" s="4">
        <v>286</v>
      </c>
      <c r="B100" s="4">
        <v>1</v>
      </c>
      <c r="C100" s="7" t="s">
        <v>130</v>
      </c>
      <c r="D100" s="5">
        <v>371</v>
      </c>
      <c r="E100" s="5">
        <v>167</v>
      </c>
      <c r="F100" s="5">
        <v>1032.6166666666666</v>
      </c>
      <c r="G100" s="11">
        <v>6.1833333333333336</v>
      </c>
      <c r="M100" s="11"/>
      <c r="N100" s="11"/>
    </row>
    <row r="101" spans="1:14" x14ac:dyDescent="0.25">
      <c r="A101" s="4">
        <v>287</v>
      </c>
      <c r="B101" s="4">
        <v>6</v>
      </c>
      <c r="C101" s="7" t="s">
        <v>502</v>
      </c>
      <c r="D101" s="6">
        <v>0</v>
      </c>
      <c r="E101" s="6">
        <v>0</v>
      </c>
      <c r="F101" s="6">
        <v>0</v>
      </c>
      <c r="G101" s="42">
        <v>0</v>
      </c>
      <c r="M101" s="11"/>
      <c r="N101" s="11"/>
    </row>
    <row r="102" spans="1:14" x14ac:dyDescent="0.25">
      <c r="A102" s="4">
        <v>294</v>
      </c>
      <c r="B102" s="4">
        <v>1</v>
      </c>
      <c r="C102" s="7" t="s">
        <v>131</v>
      </c>
      <c r="D102" s="5">
        <v>378</v>
      </c>
      <c r="E102" s="5">
        <v>169</v>
      </c>
      <c r="F102" s="5">
        <v>1064.7</v>
      </c>
      <c r="G102" s="11">
        <v>6.3</v>
      </c>
      <c r="M102" s="11"/>
      <c r="N102" s="11"/>
    </row>
    <row r="103" spans="1:14" x14ac:dyDescent="0.25">
      <c r="A103" s="4">
        <v>297</v>
      </c>
      <c r="B103" s="4">
        <v>1</v>
      </c>
      <c r="C103" s="7" t="s">
        <v>132</v>
      </c>
      <c r="D103" s="5">
        <v>369</v>
      </c>
      <c r="E103" s="5">
        <v>169</v>
      </c>
      <c r="F103" s="5">
        <v>1039.3499999999999</v>
      </c>
      <c r="G103" s="11">
        <v>6.15</v>
      </c>
      <c r="M103" s="11"/>
      <c r="N103" s="11"/>
    </row>
    <row r="104" spans="1:14" x14ac:dyDescent="0.25">
      <c r="A104" s="4">
        <v>299</v>
      </c>
      <c r="B104" s="4">
        <v>1</v>
      </c>
      <c r="C104" s="7" t="s">
        <v>133</v>
      </c>
      <c r="D104" s="5">
        <v>385</v>
      </c>
      <c r="E104" s="5">
        <v>170</v>
      </c>
      <c r="F104" s="5">
        <v>1090.8333333333333</v>
      </c>
      <c r="G104" s="11">
        <v>6.416666666666667</v>
      </c>
      <c r="M104" s="11"/>
      <c r="N104" s="11"/>
    </row>
    <row r="105" spans="1:14" x14ac:dyDescent="0.25">
      <c r="A105" s="4">
        <v>300</v>
      </c>
      <c r="B105" s="4">
        <v>1</v>
      </c>
      <c r="C105" s="7" t="s">
        <v>134</v>
      </c>
      <c r="D105" s="5">
        <v>387</v>
      </c>
      <c r="E105" s="5">
        <v>171</v>
      </c>
      <c r="F105" s="5">
        <v>1102.95</v>
      </c>
      <c r="G105" s="11">
        <v>6.45</v>
      </c>
      <c r="M105" s="11"/>
      <c r="N105" s="11"/>
    </row>
    <row r="106" spans="1:14" x14ac:dyDescent="0.25">
      <c r="A106" s="4">
        <v>306</v>
      </c>
      <c r="B106" s="4">
        <v>1</v>
      </c>
      <c r="C106" s="7" t="s">
        <v>135</v>
      </c>
      <c r="D106" s="5">
        <v>375</v>
      </c>
      <c r="E106" s="5">
        <v>173</v>
      </c>
      <c r="F106" s="5">
        <v>1081.25</v>
      </c>
      <c r="G106" s="11">
        <v>6.25</v>
      </c>
      <c r="M106" s="11"/>
      <c r="N106" s="11"/>
    </row>
    <row r="107" spans="1:14" x14ac:dyDescent="0.25">
      <c r="A107" s="4">
        <v>308</v>
      </c>
      <c r="B107" s="4">
        <v>1</v>
      </c>
      <c r="C107" s="7" t="s">
        <v>136</v>
      </c>
      <c r="D107" s="5">
        <v>376</v>
      </c>
      <c r="E107" s="5">
        <v>171</v>
      </c>
      <c r="F107" s="5">
        <v>1071.5999999999999</v>
      </c>
      <c r="G107" s="11">
        <v>6.2666666666666666</v>
      </c>
      <c r="M107" s="11"/>
      <c r="N107" s="11"/>
    </row>
    <row r="108" spans="1:14" x14ac:dyDescent="0.25">
      <c r="A108" s="4">
        <v>309</v>
      </c>
      <c r="B108" s="4">
        <v>1</v>
      </c>
      <c r="C108" s="7" t="s">
        <v>137</v>
      </c>
      <c r="D108" s="5">
        <v>370</v>
      </c>
      <c r="E108" s="5">
        <v>172</v>
      </c>
      <c r="F108" s="5">
        <v>1060.6666666666667</v>
      </c>
      <c r="G108" s="11">
        <v>6.166666666666667</v>
      </c>
      <c r="M108" s="11"/>
      <c r="N108" s="11"/>
    </row>
    <row r="109" spans="1:14" x14ac:dyDescent="0.25">
      <c r="A109" s="4">
        <v>314</v>
      </c>
      <c r="B109" s="4">
        <v>1</v>
      </c>
      <c r="C109" s="7" t="s">
        <v>138</v>
      </c>
      <c r="D109" s="5">
        <v>387</v>
      </c>
      <c r="E109" s="5">
        <v>167</v>
      </c>
      <c r="F109" s="5">
        <v>1077.1500000000001</v>
      </c>
      <c r="G109" s="11">
        <v>6.45</v>
      </c>
      <c r="M109" s="11"/>
      <c r="N109" s="11"/>
    </row>
    <row r="110" spans="1:14" x14ac:dyDescent="0.25">
      <c r="A110" s="4">
        <v>316</v>
      </c>
      <c r="B110" s="4">
        <v>1</v>
      </c>
      <c r="C110" s="7" t="s">
        <v>139</v>
      </c>
      <c r="D110" s="5">
        <v>369</v>
      </c>
      <c r="E110" s="5">
        <v>167</v>
      </c>
      <c r="F110" s="5">
        <v>1027.05</v>
      </c>
      <c r="G110" s="11">
        <v>6.15</v>
      </c>
      <c r="M110" s="11"/>
      <c r="N110" s="11"/>
    </row>
    <row r="111" spans="1:14" x14ac:dyDescent="0.25">
      <c r="A111" s="4">
        <v>317</v>
      </c>
      <c r="B111" s="4">
        <v>1</v>
      </c>
      <c r="C111" s="7" t="s">
        <v>140</v>
      </c>
      <c r="D111" s="5">
        <v>364</v>
      </c>
      <c r="E111" s="5">
        <v>169</v>
      </c>
      <c r="F111" s="5">
        <v>1025.2666666666667</v>
      </c>
      <c r="G111" s="11">
        <v>6.0666666666666664</v>
      </c>
      <c r="M111" s="11"/>
      <c r="N111" s="11"/>
    </row>
    <row r="112" spans="1:14" x14ac:dyDescent="0.25">
      <c r="A112" s="4">
        <v>318</v>
      </c>
      <c r="B112" s="4">
        <v>1</v>
      </c>
      <c r="C112" s="7" t="s">
        <v>141</v>
      </c>
      <c r="D112" s="5">
        <v>362</v>
      </c>
      <c r="E112" s="5">
        <v>167</v>
      </c>
      <c r="F112" s="5">
        <v>1007.5666666666667</v>
      </c>
      <c r="G112" s="11">
        <v>6.0333333333333332</v>
      </c>
      <c r="M112" s="11"/>
      <c r="N112" s="11"/>
    </row>
    <row r="113" spans="1:14" x14ac:dyDescent="0.25">
      <c r="A113" s="4">
        <v>319</v>
      </c>
      <c r="B113" s="4">
        <v>1</v>
      </c>
      <c r="C113" s="7" t="s">
        <v>142</v>
      </c>
      <c r="D113" s="5">
        <v>363</v>
      </c>
      <c r="E113" s="5">
        <v>167</v>
      </c>
      <c r="F113" s="5">
        <v>1010.35</v>
      </c>
      <c r="G113" s="11">
        <v>6.05</v>
      </c>
      <c r="M113" s="11"/>
      <c r="N113" s="11"/>
    </row>
    <row r="114" spans="1:14" x14ac:dyDescent="0.25">
      <c r="A114" s="4">
        <v>323</v>
      </c>
      <c r="B114" s="4">
        <v>2</v>
      </c>
      <c r="C114" s="7" t="s">
        <v>143</v>
      </c>
      <c r="D114" s="5">
        <v>0</v>
      </c>
      <c r="E114" s="5">
        <v>0</v>
      </c>
      <c r="F114" s="5">
        <v>0</v>
      </c>
      <c r="G114" s="11">
        <v>0</v>
      </c>
      <c r="M114" s="11"/>
      <c r="N114" s="11"/>
    </row>
    <row r="115" spans="1:14" x14ac:dyDescent="0.25">
      <c r="A115" s="4">
        <v>330</v>
      </c>
      <c r="B115" s="4">
        <v>1</v>
      </c>
      <c r="C115" s="7" t="s">
        <v>144</v>
      </c>
      <c r="D115" s="5">
        <v>373</v>
      </c>
      <c r="E115" s="5">
        <v>170</v>
      </c>
      <c r="F115" s="5">
        <v>1056.8333333333333</v>
      </c>
      <c r="G115" s="11">
        <v>6.2166666666666668</v>
      </c>
      <c r="M115" s="11"/>
      <c r="N115" s="11"/>
    </row>
    <row r="116" spans="1:14" x14ac:dyDescent="0.25">
      <c r="A116" s="4">
        <v>332</v>
      </c>
      <c r="B116" s="4">
        <v>1</v>
      </c>
      <c r="C116" s="7" t="s">
        <v>145</v>
      </c>
      <c r="D116" s="5">
        <v>382</v>
      </c>
      <c r="E116" s="5">
        <v>170</v>
      </c>
      <c r="F116" s="5">
        <v>1082.3333333333333</v>
      </c>
      <c r="G116" s="11">
        <v>6.3666666666666663</v>
      </c>
      <c r="M116" s="11"/>
      <c r="N116" s="11"/>
    </row>
    <row r="117" spans="1:14" x14ac:dyDescent="0.25">
      <c r="A117" s="4">
        <v>333</v>
      </c>
      <c r="B117" s="4">
        <v>1</v>
      </c>
      <c r="C117" s="7" t="s">
        <v>146</v>
      </c>
      <c r="D117" s="5">
        <v>360</v>
      </c>
      <c r="E117" s="5">
        <v>147</v>
      </c>
      <c r="F117" s="5">
        <v>882</v>
      </c>
      <c r="G117" s="11">
        <v>6</v>
      </c>
      <c r="M117" s="11"/>
      <c r="N117" s="11"/>
    </row>
    <row r="118" spans="1:14" x14ac:dyDescent="0.25">
      <c r="A118" s="4">
        <v>345</v>
      </c>
      <c r="B118" s="4">
        <v>1</v>
      </c>
      <c r="C118" s="7" t="s">
        <v>147</v>
      </c>
      <c r="D118" s="5">
        <v>395</v>
      </c>
      <c r="E118" s="5">
        <v>168</v>
      </c>
      <c r="F118" s="5">
        <v>1106</v>
      </c>
      <c r="G118" s="11">
        <v>6.583333333333333</v>
      </c>
      <c r="M118" s="11"/>
      <c r="N118" s="11"/>
    </row>
    <row r="119" spans="1:14" x14ac:dyDescent="0.25">
      <c r="A119" s="4">
        <v>347</v>
      </c>
      <c r="B119" s="4">
        <v>1</v>
      </c>
      <c r="C119" s="7" t="s">
        <v>148</v>
      </c>
      <c r="D119" s="5">
        <v>383</v>
      </c>
      <c r="E119" s="5">
        <v>169</v>
      </c>
      <c r="F119" s="5">
        <v>1078.7833333333333</v>
      </c>
      <c r="G119" s="11">
        <v>6.3833333333333337</v>
      </c>
      <c r="M119" s="11"/>
      <c r="N119" s="11"/>
    </row>
    <row r="120" spans="1:14" x14ac:dyDescent="0.25">
      <c r="A120" s="4">
        <v>356</v>
      </c>
      <c r="B120" s="4">
        <v>1</v>
      </c>
      <c r="C120" s="7" t="s">
        <v>149</v>
      </c>
      <c r="D120" s="5">
        <v>375</v>
      </c>
      <c r="E120" s="5">
        <v>167</v>
      </c>
      <c r="F120" s="5">
        <v>1043.75</v>
      </c>
      <c r="G120" s="11">
        <v>6.25</v>
      </c>
      <c r="M120" s="11"/>
      <c r="N120" s="11"/>
    </row>
    <row r="121" spans="1:14" x14ac:dyDescent="0.25">
      <c r="A121" s="4">
        <v>361</v>
      </c>
      <c r="B121" s="4">
        <v>1</v>
      </c>
      <c r="C121" s="7" t="s">
        <v>150</v>
      </c>
      <c r="D121" s="5">
        <v>383</v>
      </c>
      <c r="E121" s="5">
        <v>171</v>
      </c>
      <c r="F121" s="5">
        <v>1091.55</v>
      </c>
      <c r="G121" s="11">
        <v>6.3833333333333337</v>
      </c>
      <c r="M121" s="11"/>
      <c r="N121" s="11"/>
    </row>
    <row r="122" spans="1:14" x14ac:dyDescent="0.25">
      <c r="A122" s="4">
        <v>362</v>
      </c>
      <c r="B122" s="4">
        <v>1</v>
      </c>
      <c r="C122" s="7" t="s">
        <v>151</v>
      </c>
      <c r="D122" s="5">
        <v>368</v>
      </c>
      <c r="E122" s="5">
        <v>167</v>
      </c>
      <c r="F122" s="5">
        <v>1024.2666666666667</v>
      </c>
      <c r="G122" s="11">
        <v>6.1333333333333337</v>
      </c>
      <c r="M122" s="11"/>
      <c r="N122" s="11"/>
    </row>
    <row r="123" spans="1:14" x14ac:dyDescent="0.25">
      <c r="A123" s="4">
        <v>363</v>
      </c>
      <c r="B123" s="4">
        <v>1</v>
      </c>
      <c r="C123" s="7" t="s">
        <v>152</v>
      </c>
      <c r="D123" s="5">
        <v>375</v>
      </c>
      <c r="E123" s="5">
        <v>173</v>
      </c>
      <c r="F123" s="5">
        <v>1081.25</v>
      </c>
      <c r="G123" s="11">
        <v>6.25</v>
      </c>
      <c r="M123" s="11"/>
      <c r="N123" s="11"/>
    </row>
    <row r="124" spans="1:14" x14ac:dyDescent="0.25">
      <c r="A124" s="4">
        <v>378</v>
      </c>
      <c r="B124" s="4">
        <v>1</v>
      </c>
      <c r="C124" s="7" t="s">
        <v>154</v>
      </c>
      <c r="D124" s="5">
        <v>359</v>
      </c>
      <c r="E124" s="5">
        <v>169</v>
      </c>
      <c r="F124" s="5">
        <v>1011.1833333333333</v>
      </c>
      <c r="G124" s="11">
        <v>5.9833333333333334</v>
      </c>
      <c r="M124" s="11"/>
      <c r="N124" s="11"/>
    </row>
    <row r="125" spans="1:14" x14ac:dyDescent="0.25">
      <c r="A125" s="4">
        <v>381</v>
      </c>
      <c r="B125" s="4">
        <v>1</v>
      </c>
      <c r="C125" s="7" t="s">
        <v>155</v>
      </c>
      <c r="D125" s="5">
        <v>429</v>
      </c>
      <c r="E125" s="5">
        <v>140</v>
      </c>
      <c r="F125" s="5">
        <v>1001</v>
      </c>
      <c r="G125" s="11">
        <v>7.15</v>
      </c>
      <c r="M125" s="11"/>
      <c r="N125" s="11"/>
    </row>
    <row r="126" spans="1:14" x14ac:dyDescent="0.25">
      <c r="A126" s="4">
        <v>382</v>
      </c>
      <c r="B126" s="4">
        <v>52</v>
      </c>
      <c r="C126" s="7" t="s">
        <v>502</v>
      </c>
      <c r="D126" s="6">
        <v>0</v>
      </c>
      <c r="E126" s="6">
        <v>0</v>
      </c>
      <c r="F126" s="6">
        <v>0</v>
      </c>
      <c r="G126" s="42">
        <v>0</v>
      </c>
      <c r="M126" s="11"/>
      <c r="N126" s="11"/>
    </row>
    <row r="127" spans="1:14" x14ac:dyDescent="0.25">
      <c r="A127" s="4">
        <v>390</v>
      </c>
      <c r="B127" s="4">
        <v>1</v>
      </c>
      <c r="C127" s="7" t="s">
        <v>156</v>
      </c>
      <c r="D127" s="5">
        <v>390</v>
      </c>
      <c r="E127" s="5">
        <v>170</v>
      </c>
      <c r="F127" s="5">
        <v>1105</v>
      </c>
      <c r="G127" s="11">
        <v>6.5</v>
      </c>
      <c r="M127" s="11"/>
      <c r="N127" s="11"/>
    </row>
    <row r="128" spans="1:14" x14ac:dyDescent="0.25">
      <c r="A128" s="4">
        <v>391</v>
      </c>
      <c r="B128" s="4">
        <v>1</v>
      </c>
      <c r="C128" s="7" t="s">
        <v>157</v>
      </c>
      <c r="D128" s="5">
        <v>378</v>
      </c>
      <c r="E128" s="5">
        <v>168</v>
      </c>
      <c r="F128" s="5">
        <v>1058.4000000000001</v>
      </c>
      <c r="G128" s="11">
        <v>6.3</v>
      </c>
      <c r="M128" s="11"/>
      <c r="N128" s="11"/>
    </row>
    <row r="129" spans="1:14" x14ac:dyDescent="0.25">
      <c r="A129" s="4">
        <v>397</v>
      </c>
      <c r="B129" s="4">
        <v>52</v>
      </c>
      <c r="C129" s="7" t="s">
        <v>502</v>
      </c>
      <c r="D129" s="6">
        <v>0</v>
      </c>
      <c r="E129" s="6">
        <v>0</v>
      </c>
      <c r="F129" s="6">
        <v>0</v>
      </c>
      <c r="G129" s="42">
        <v>0</v>
      </c>
      <c r="M129" s="11"/>
      <c r="N129" s="11"/>
    </row>
    <row r="130" spans="1:14" x14ac:dyDescent="0.25">
      <c r="A130" s="4">
        <v>398</v>
      </c>
      <c r="B130" s="4">
        <v>52</v>
      </c>
      <c r="C130" s="7" t="s">
        <v>502</v>
      </c>
      <c r="D130" s="6">
        <v>0</v>
      </c>
      <c r="E130" s="6">
        <v>0</v>
      </c>
      <c r="F130" s="6">
        <v>0</v>
      </c>
      <c r="G130" s="42">
        <v>0</v>
      </c>
      <c r="M130" s="11"/>
      <c r="N130" s="11"/>
    </row>
    <row r="131" spans="1:14" x14ac:dyDescent="0.25">
      <c r="A131" s="4">
        <v>402</v>
      </c>
      <c r="B131" s="4">
        <v>1</v>
      </c>
      <c r="C131" s="7" t="s">
        <v>159</v>
      </c>
      <c r="D131" s="5">
        <v>375</v>
      </c>
      <c r="E131" s="5">
        <v>174</v>
      </c>
      <c r="F131" s="5">
        <v>1087.5</v>
      </c>
      <c r="G131" s="11">
        <v>6.25</v>
      </c>
      <c r="M131" s="11"/>
      <c r="N131" s="11"/>
    </row>
    <row r="132" spans="1:14" x14ac:dyDescent="0.25">
      <c r="A132" s="4">
        <v>403</v>
      </c>
      <c r="B132" s="4">
        <v>1</v>
      </c>
      <c r="C132" s="7" t="s">
        <v>160</v>
      </c>
      <c r="D132" s="5">
        <v>396</v>
      </c>
      <c r="E132" s="5">
        <v>175</v>
      </c>
      <c r="F132" s="5">
        <v>1155</v>
      </c>
      <c r="G132" s="11">
        <v>6.6</v>
      </c>
      <c r="M132" s="11"/>
      <c r="N132" s="11"/>
    </row>
    <row r="133" spans="1:14" x14ac:dyDescent="0.25">
      <c r="A133" s="4">
        <v>404</v>
      </c>
      <c r="B133" s="4">
        <v>1</v>
      </c>
      <c r="C133" s="7" t="s">
        <v>161</v>
      </c>
      <c r="D133" s="5">
        <v>388</v>
      </c>
      <c r="E133" s="5">
        <v>173</v>
      </c>
      <c r="F133" s="5">
        <v>1118.7333333333333</v>
      </c>
      <c r="G133" s="11">
        <v>6.4666666666666668</v>
      </c>
      <c r="M133" s="11"/>
      <c r="N133" s="11"/>
    </row>
    <row r="134" spans="1:14" x14ac:dyDescent="0.25">
      <c r="A134" s="4">
        <v>413</v>
      </c>
      <c r="B134" s="4">
        <v>1</v>
      </c>
      <c r="C134" s="7" t="s">
        <v>163</v>
      </c>
      <c r="D134" s="5">
        <v>375</v>
      </c>
      <c r="E134" s="5">
        <v>172</v>
      </c>
      <c r="F134" s="5">
        <v>1075</v>
      </c>
      <c r="G134" s="11">
        <v>6.25</v>
      </c>
      <c r="M134" s="11"/>
      <c r="N134" s="11"/>
    </row>
    <row r="135" spans="1:14" x14ac:dyDescent="0.25">
      <c r="A135" s="4">
        <v>414</v>
      </c>
      <c r="B135" s="4">
        <v>1</v>
      </c>
      <c r="C135" s="7" t="s">
        <v>164</v>
      </c>
      <c r="D135" s="5">
        <v>389</v>
      </c>
      <c r="E135" s="5">
        <v>170</v>
      </c>
      <c r="F135" s="5">
        <v>1102.1666666666667</v>
      </c>
      <c r="G135" s="11">
        <v>6.4833333333333334</v>
      </c>
      <c r="M135" s="11"/>
      <c r="N135" s="11"/>
    </row>
    <row r="136" spans="1:14" x14ac:dyDescent="0.25">
      <c r="A136" s="4">
        <v>415</v>
      </c>
      <c r="B136" s="4">
        <v>1</v>
      </c>
      <c r="C136" s="7" t="s">
        <v>165</v>
      </c>
      <c r="D136" s="5">
        <v>480</v>
      </c>
      <c r="E136" s="5">
        <v>168</v>
      </c>
      <c r="F136" s="5">
        <v>1344</v>
      </c>
      <c r="G136" s="11">
        <v>8</v>
      </c>
      <c r="M136" s="11"/>
      <c r="N136" s="11"/>
    </row>
    <row r="137" spans="1:14" x14ac:dyDescent="0.25">
      <c r="A137" s="4">
        <v>423</v>
      </c>
      <c r="B137" s="4">
        <v>1</v>
      </c>
      <c r="C137" s="7" t="s">
        <v>166</v>
      </c>
      <c r="D137" s="5">
        <v>375</v>
      </c>
      <c r="E137" s="5">
        <v>170</v>
      </c>
      <c r="F137" s="5">
        <v>1062.5</v>
      </c>
      <c r="G137" s="11">
        <v>6.25</v>
      </c>
      <c r="M137" s="11"/>
      <c r="N137" s="11"/>
    </row>
    <row r="138" spans="1:14" x14ac:dyDescent="0.25">
      <c r="A138" s="4">
        <v>424</v>
      </c>
      <c r="B138" s="4">
        <v>1</v>
      </c>
      <c r="C138" s="7" t="s">
        <v>167</v>
      </c>
      <c r="D138" s="5">
        <v>370</v>
      </c>
      <c r="E138" s="5">
        <v>172</v>
      </c>
      <c r="F138" s="5">
        <v>1060.6666666666667</v>
      </c>
      <c r="G138" s="11">
        <v>6.166666666666667</v>
      </c>
      <c r="M138" s="11"/>
      <c r="N138" s="11"/>
    </row>
    <row r="139" spans="1:14" x14ac:dyDescent="0.25">
      <c r="A139" s="4">
        <v>432</v>
      </c>
      <c r="B139" s="4">
        <v>1</v>
      </c>
      <c r="C139" s="7" t="s">
        <v>168</v>
      </c>
      <c r="D139" s="5">
        <v>385</v>
      </c>
      <c r="E139" s="5">
        <v>170</v>
      </c>
      <c r="F139" s="5">
        <v>1090.8333333333333</v>
      </c>
      <c r="G139" s="11">
        <v>6.416666666666667</v>
      </c>
      <c r="M139" s="11"/>
      <c r="N139" s="11"/>
    </row>
    <row r="140" spans="1:14" x14ac:dyDescent="0.25">
      <c r="A140" s="4">
        <v>435</v>
      </c>
      <c r="B140" s="4">
        <v>1</v>
      </c>
      <c r="C140" s="7" t="s">
        <v>169</v>
      </c>
      <c r="D140" s="5">
        <v>408</v>
      </c>
      <c r="E140" s="5">
        <v>169</v>
      </c>
      <c r="F140" s="5">
        <v>1149.2</v>
      </c>
      <c r="G140" s="11">
        <v>6.8</v>
      </c>
      <c r="M140" s="11"/>
      <c r="N140" s="11"/>
    </row>
    <row r="141" spans="1:14" x14ac:dyDescent="0.25">
      <c r="A141" s="4">
        <v>441</v>
      </c>
      <c r="B141" s="4">
        <v>1</v>
      </c>
      <c r="C141" s="7" t="s">
        <v>170</v>
      </c>
      <c r="D141" s="5">
        <v>387</v>
      </c>
      <c r="E141" s="5">
        <v>167</v>
      </c>
      <c r="F141" s="5">
        <v>1077.1500000000001</v>
      </c>
      <c r="G141" s="11">
        <v>6.45</v>
      </c>
      <c r="M141" s="11"/>
      <c r="N141" s="11"/>
    </row>
    <row r="142" spans="1:14" x14ac:dyDescent="0.25">
      <c r="A142" s="4">
        <v>447</v>
      </c>
      <c r="B142" s="4">
        <v>1</v>
      </c>
      <c r="C142" s="7" t="s">
        <v>171</v>
      </c>
      <c r="D142" s="5">
        <v>395</v>
      </c>
      <c r="E142" s="5">
        <v>170</v>
      </c>
      <c r="F142" s="5">
        <v>1119.1666666666667</v>
      </c>
      <c r="G142" s="11">
        <v>6.583333333333333</v>
      </c>
      <c r="M142" s="11"/>
      <c r="N142" s="11"/>
    </row>
    <row r="143" spans="1:14" x14ac:dyDescent="0.25">
      <c r="A143" s="4">
        <v>458</v>
      </c>
      <c r="B143" s="4">
        <v>1</v>
      </c>
      <c r="C143" s="7" t="s">
        <v>172</v>
      </c>
      <c r="D143" s="5">
        <v>370</v>
      </c>
      <c r="E143" s="5">
        <v>171</v>
      </c>
      <c r="F143" s="5">
        <v>1054.5</v>
      </c>
      <c r="G143" s="11">
        <v>6.166666666666667</v>
      </c>
      <c r="M143" s="11"/>
      <c r="N143" s="11"/>
    </row>
    <row r="144" spans="1:14" x14ac:dyDescent="0.25">
      <c r="A144" s="4">
        <v>463</v>
      </c>
      <c r="B144" s="4">
        <v>1</v>
      </c>
      <c r="C144" s="7" t="s">
        <v>173</v>
      </c>
      <c r="D144" s="5">
        <v>389</v>
      </c>
      <c r="E144" s="5">
        <v>170</v>
      </c>
      <c r="F144" s="5">
        <v>1102.1666666666667</v>
      </c>
      <c r="G144" s="11">
        <v>6.4833333333333334</v>
      </c>
      <c r="M144" s="11"/>
      <c r="N144" s="11"/>
    </row>
    <row r="145" spans="1:14" x14ac:dyDescent="0.25">
      <c r="A145" s="4">
        <v>465</v>
      </c>
      <c r="B145" s="4">
        <v>1</v>
      </c>
      <c r="C145" s="7" t="s">
        <v>174</v>
      </c>
      <c r="D145" s="5">
        <v>360</v>
      </c>
      <c r="E145" s="5">
        <v>173</v>
      </c>
      <c r="F145" s="5">
        <v>1038</v>
      </c>
      <c r="G145" s="11">
        <v>6</v>
      </c>
      <c r="M145" s="11"/>
      <c r="N145" s="11"/>
    </row>
    <row r="146" spans="1:14" x14ac:dyDescent="0.25">
      <c r="A146" s="4">
        <v>466</v>
      </c>
      <c r="B146" s="4">
        <v>1</v>
      </c>
      <c r="C146" s="7" t="s">
        <v>175</v>
      </c>
      <c r="D146" s="5">
        <v>369</v>
      </c>
      <c r="E146" s="5">
        <v>171</v>
      </c>
      <c r="F146" s="5">
        <v>1051.6500000000001</v>
      </c>
      <c r="G146" s="11">
        <v>6.15</v>
      </c>
      <c r="M146" s="11"/>
      <c r="N146" s="11"/>
    </row>
    <row r="147" spans="1:14" x14ac:dyDescent="0.25">
      <c r="A147" s="4">
        <v>473</v>
      </c>
      <c r="B147" s="4">
        <v>1</v>
      </c>
      <c r="C147" s="7" t="s">
        <v>176</v>
      </c>
      <c r="D147" s="5">
        <v>383</v>
      </c>
      <c r="E147" s="5">
        <v>173</v>
      </c>
      <c r="F147" s="5">
        <v>1104.3166666666666</v>
      </c>
      <c r="G147" s="11">
        <v>6.3833333333333337</v>
      </c>
      <c r="M147" s="11"/>
      <c r="N147" s="11"/>
    </row>
    <row r="148" spans="1:14" x14ac:dyDescent="0.25">
      <c r="A148" s="4">
        <v>477</v>
      </c>
      <c r="B148" s="4">
        <v>1</v>
      </c>
      <c r="C148" s="7" t="s">
        <v>177</v>
      </c>
      <c r="D148" s="5">
        <v>375</v>
      </c>
      <c r="E148" s="5">
        <v>172</v>
      </c>
      <c r="F148" s="5">
        <v>1075</v>
      </c>
      <c r="G148" s="11">
        <v>6.25</v>
      </c>
      <c r="M148" s="11"/>
      <c r="N148" s="11"/>
    </row>
    <row r="149" spans="1:14" x14ac:dyDescent="0.25">
      <c r="A149" s="4">
        <v>480</v>
      </c>
      <c r="B149" s="4">
        <v>1</v>
      </c>
      <c r="C149" s="7" t="s">
        <v>178</v>
      </c>
      <c r="D149" s="5">
        <v>458</v>
      </c>
      <c r="E149" s="5">
        <v>144</v>
      </c>
      <c r="F149" s="5">
        <v>1099.2</v>
      </c>
      <c r="G149" s="11">
        <v>7.6333333333333337</v>
      </c>
      <c r="M149" s="11"/>
      <c r="N149" s="11"/>
    </row>
    <row r="150" spans="1:14" x14ac:dyDescent="0.25">
      <c r="A150" s="4">
        <v>482</v>
      </c>
      <c r="B150" s="4">
        <v>1</v>
      </c>
      <c r="C150" s="7" t="s">
        <v>179</v>
      </c>
      <c r="D150" s="5">
        <v>373</v>
      </c>
      <c r="E150" s="5">
        <v>169</v>
      </c>
      <c r="F150" s="5">
        <v>1050.6166666666666</v>
      </c>
      <c r="G150" s="11">
        <v>6.2166666666666668</v>
      </c>
      <c r="M150" s="11"/>
      <c r="N150" s="11"/>
    </row>
    <row r="151" spans="1:14" x14ac:dyDescent="0.25">
      <c r="A151" s="4">
        <v>484</v>
      </c>
      <c r="B151" s="4">
        <v>1</v>
      </c>
      <c r="C151" s="7" t="s">
        <v>180</v>
      </c>
      <c r="D151" s="5">
        <v>380</v>
      </c>
      <c r="E151" s="5">
        <v>170</v>
      </c>
      <c r="F151" s="5">
        <v>1076.6666666666667</v>
      </c>
      <c r="G151" s="11">
        <v>6.333333333333333</v>
      </c>
      <c r="M151" s="11"/>
      <c r="N151" s="11"/>
    </row>
    <row r="152" spans="1:14" x14ac:dyDescent="0.25">
      <c r="A152" s="4">
        <v>485</v>
      </c>
      <c r="B152" s="4">
        <v>1</v>
      </c>
      <c r="C152" s="7" t="s">
        <v>181</v>
      </c>
      <c r="D152" s="5">
        <v>382</v>
      </c>
      <c r="E152" s="5">
        <v>168</v>
      </c>
      <c r="F152" s="5">
        <v>1069.5999999999999</v>
      </c>
      <c r="G152" s="11">
        <v>6.3666666666666663</v>
      </c>
      <c r="M152" s="11"/>
      <c r="N152" s="11"/>
    </row>
    <row r="153" spans="1:14" x14ac:dyDescent="0.25">
      <c r="A153" s="4">
        <v>486</v>
      </c>
      <c r="B153" s="4">
        <v>1</v>
      </c>
      <c r="C153" s="7" t="s">
        <v>182</v>
      </c>
      <c r="D153" s="5">
        <v>363</v>
      </c>
      <c r="E153" s="5">
        <v>170</v>
      </c>
      <c r="F153" s="5">
        <v>1028.5</v>
      </c>
      <c r="G153" s="11">
        <v>6.05</v>
      </c>
      <c r="M153" s="11"/>
      <c r="N153" s="11"/>
    </row>
    <row r="154" spans="1:14" x14ac:dyDescent="0.25">
      <c r="A154" s="4">
        <v>487</v>
      </c>
      <c r="B154" s="4">
        <v>1</v>
      </c>
      <c r="C154" s="7" t="s">
        <v>183</v>
      </c>
      <c r="D154" s="5">
        <v>387</v>
      </c>
      <c r="E154" s="5">
        <v>169</v>
      </c>
      <c r="F154" s="5">
        <v>1090.05</v>
      </c>
      <c r="G154" s="11">
        <v>6.45</v>
      </c>
      <c r="M154" s="11"/>
      <c r="N154" s="11"/>
    </row>
    <row r="155" spans="1:14" x14ac:dyDescent="0.25">
      <c r="A155" s="4">
        <v>492</v>
      </c>
      <c r="B155" s="4">
        <v>1</v>
      </c>
      <c r="C155" s="7" t="s">
        <v>184</v>
      </c>
      <c r="D155" s="5">
        <v>374</v>
      </c>
      <c r="E155" s="5">
        <v>170</v>
      </c>
      <c r="F155" s="5">
        <v>1059.6666666666667</v>
      </c>
      <c r="G155" s="11">
        <v>6.2333333333333334</v>
      </c>
      <c r="M155" s="11"/>
      <c r="N155" s="11"/>
    </row>
    <row r="156" spans="1:14" x14ac:dyDescent="0.25">
      <c r="A156" s="4">
        <v>495</v>
      </c>
      <c r="B156" s="4">
        <v>1</v>
      </c>
      <c r="C156" s="7" t="s">
        <v>185</v>
      </c>
      <c r="D156" s="5">
        <v>383</v>
      </c>
      <c r="E156" s="5">
        <v>167</v>
      </c>
      <c r="F156" s="5">
        <v>1066.0166666666667</v>
      </c>
      <c r="G156" s="11">
        <v>6.3833333333333337</v>
      </c>
      <c r="M156" s="11"/>
      <c r="N156" s="11"/>
    </row>
    <row r="157" spans="1:14" x14ac:dyDescent="0.25">
      <c r="A157" s="4">
        <v>497</v>
      </c>
      <c r="B157" s="4">
        <v>1</v>
      </c>
      <c r="C157" s="7" t="s">
        <v>186</v>
      </c>
      <c r="D157" s="5">
        <v>374</v>
      </c>
      <c r="E157" s="5">
        <v>167</v>
      </c>
      <c r="F157" s="5">
        <v>1040.9666666666667</v>
      </c>
      <c r="G157" s="11">
        <v>6.2333333333333334</v>
      </c>
      <c r="M157" s="11"/>
      <c r="N157" s="11"/>
    </row>
    <row r="158" spans="1:14" x14ac:dyDescent="0.25">
      <c r="A158" s="4">
        <v>499</v>
      </c>
      <c r="B158" s="4">
        <v>1</v>
      </c>
      <c r="C158" s="7" t="s">
        <v>187</v>
      </c>
      <c r="D158" s="5">
        <v>386</v>
      </c>
      <c r="E158" s="5">
        <v>167</v>
      </c>
      <c r="F158" s="5">
        <v>1074.3666666666666</v>
      </c>
      <c r="G158" s="11">
        <v>6.4333333333333336</v>
      </c>
      <c r="M158" s="11"/>
      <c r="N158" s="11"/>
    </row>
    <row r="159" spans="1:14" x14ac:dyDescent="0.25">
      <c r="A159" s="4">
        <v>500</v>
      </c>
      <c r="B159" s="4">
        <v>1</v>
      </c>
      <c r="C159" s="7" t="s">
        <v>188</v>
      </c>
      <c r="D159" s="5">
        <v>365</v>
      </c>
      <c r="E159" s="5">
        <v>169</v>
      </c>
      <c r="F159" s="5">
        <v>1028.0833333333333</v>
      </c>
      <c r="G159" s="11">
        <v>6.083333333333333</v>
      </c>
      <c r="M159" s="11"/>
      <c r="N159" s="11"/>
    </row>
    <row r="160" spans="1:14" x14ac:dyDescent="0.25">
      <c r="A160" s="4">
        <v>505</v>
      </c>
      <c r="B160" s="4">
        <v>1</v>
      </c>
      <c r="C160" s="7" t="s">
        <v>189</v>
      </c>
      <c r="D160" s="5">
        <v>383</v>
      </c>
      <c r="E160" s="5">
        <v>172</v>
      </c>
      <c r="F160" s="5">
        <v>1097.9333333333334</v>
      </c>
      <c r="G160" s="11">
        <v>6.3833333333333337</v>
      </c>
      <c r="M160" s="11"/>
      <c r="N160" s="11"/>
    </row>
    <row r="161" spans="1:14" x14ac:dyDescent="0.25">
      <c r="A161" s="4">
        <v>507</v>
      </c>
      <c r="B161" s="4">
        <v>1</v>
      </c>
      <c r="C161" s="7" t="s">
        <v>190</v>
      </c>
      <c r="D161" s="5">
        <v>381</v>
      </c>
      <c r="E161" s="5">
        <v>170</v>
      </c>
      <c r="F161" s="5">
        <v>1079.5</v>
      </c>
      <c r="G161" s="11">
        <v>6.35</v>
      </c>
      <c r="M161" s="11"/>
      <c r="N161" s="11"/>
    </row>
    <row r="162" spans="1:14" x14ac:dyDescent="0.25">
      <c r="A162" s="4">
        <v>508</v>
      </c>
      <c r="B162" s="4">
        <v>1</v>
      </c>
      <c r="C162" s="7" t="s">
        <v>191</v>
      </c>
      <c r="D162" s="5">
        <v>388</v>
      </c>
      <c r="E162" s="5">
        <v>172</v>
      </c>
      <c r="F162" s="5">
        <v>1112.2666666666667</v>
      </c>
      <c r="G162" s="11">
        <v>6.4666666666666668</v>
      </c>
      <c r="M162" s="11"/>
      <c r="N162" s="11"/>
    </row>
    <row r="163" spans="1:14" x14ac:dyDescent="0.25">
      <c r="A163" s="4">
        <v>511</v>
      </c>
      <c r="B163" s="4">
        <v>1</v>
      </c>
      <c r="C163" s="7" t="s">
        <v>192</v>
      </c>
      <c r="D163" s="5">
        <v>388</v>
      </c>
      <c r="E163" s="5">
        <v>174</v>
      </c>
      <c r="F163" s="5">
        <v>1125.2</v>
      </c>
      <c r="G163" s="11">
        <v>6.4666666666666668</v>
      </c>
      <c r="M163" s="11"/>
      <c r="N163" s="11"/>
    </row>
    <row r="164" spans="1:14" x14ac:dyDescent="0.25">
      <c r="A164" s="4">
        <v>514</v>
      </c>
      <c r="B164" s="4">
        <v>1</v>
      </c>
      <c r="C164" s="7" t="s">
        <v>194</v>
      </c>
      <c r="D164" s="5">
        <v>370</v>
      </c>
      <c r="E164" s="5">
        <v>172</v>
      </c>
      <c r="F164" s="5">
        <v>1060.6666666666667</v>
      </c>
      <c r="G164" s="11">
        <v>6.166666666666667</v>
      </c>
      <c r="M164" s="11"/>
      <c r="N164" s="11"/>
    </row>
    <row r="165" spans="1:14" x14ac:dyDescent="0.25">
      <c r="A165" s="4">
        <v>518</v>
      </c>
      <c r="B165" s="4">
        <v>1</v>
      </c>
      <c r="C165" s="7" t="s">
        <v>195</v>
      </c>
      <c r="D165" s="5">
        <v>369</v>
      </c>
      <c r="E165" s="5">
        <v>172</v>
      </c>
      <c r="F165" s="5">
        <v>1057.8</v>
      </c>
      <c r="G165" s="11">
        <v>6.15</v>
      </c>
      <c r="M165" s="11"/>
      <c r="N165" s="11"/>
    </row>
    <row r="166" spans="1:14" x14ac:dyDescent="0.25">
      <c r="A166" s="4">
        <v>531</v>
      </c>
      <c r="B166" s="4">
        <v>1</v>
      </c>
      <c r="C166" s="7" t="s">
        <v>196</v>
      </c>
      <c r="D166" s="5">
        <v>393</v>
      </c>
      <c r="E166" s="5">
        <v>171</v>
      </c>
      <c r="F166" s="5">
        <v>1120.05</v>
      </c>
      <c r="G166" s="11">
        <v>6.55</v>
      </c>
      <c r="M166" s="11"/>
      <c r="N166" s="11"/>
    </row>
    <row r="167" spans="1:14" x14ac:dyDescent="0.25">
      <c r="A167" s="4">
        <v>533</v>
      </c>
      <c r="B167" s="4">
        <v>1</v>
      </c>
      <c r="C167" s="7" t="s">
        <v>197</v>
      </c>
      <c r="D167" s="5">
        <v>367</v>
      </c>
      <c r="E167" s="5">
        <v>172</v>
      </c>
      <c r="F167" s="5">
        <v>1052.0666666666666</v>
      </c>
      <c r="G167" s="11">
        <v>6.1166666666666663</v>
      </c>
      <c r="M167" s="11"/>
      <c r="N167" s="11"/>
    </row>
    <row r="168" spans="1:14" x14ac:dyDescent="0.25">
      <c r="A168" s="4">
        <v>534</v>
      </c>
      <c r="B168" s="4">
        <v>1</v>
      </c>
      <c r="C168" s="7" t="s">
        <v>198</v>
      </c>
      <c r="D168" s="5">
        <v>379</v>
      </c>
      <c r="E168" s="5">
        <v>171</v>
      </c>
      <c r="F168" s="5">
        <v>1080.1500000000001</v>
      </c>
      <c r="G168" s="11">
        <v>6.3166666666666664</v>
      </c>
      <c r="M168" s="11"/>
      <c r="N168" s="11"/>
    </row>
    <row r="169" spans="1:14" x14ac:dyDescent="0.25">
      <c r="A169" s="4">
        <v>535</v>
      </c>
      <c r="B169" s="4">
        <v>1</v>
      </c>
      <c r="C169" s="7" t="s">
        <v>199</v>
      </c>
      <c r="D169" s="5">
        <v>364</v>
      </c>
      <c r="E169" s="5">
        <v>168</v>
      </c>
      <c r="F169" s="5">
        <v>1019.2</v>
      </c>
      <c r="G169" s="11">
        <v>6.0666666666666664</v>
      </c>
      <c r="M169" s="11"/>
      <c r="N169" s="11"/>
    </row>
    <row r="170" spans="1:14" x14ac:dyDescent="0.25">
      <c r="A170" s="4">
        <v>542</v>
      </c>
      <c r="B170" s="4">
        <v>1</v>
      </c>
      <c r="C170" s="7" t="s">
        <v>200</v>
      </c>
      <c r="D170" s="5">
        <v>361</v>
      </c>
      <c r="E170" s="5">
        <v>173</v>
      </c>
      <c r="F170" s="5">
        <v>1040.8833333333334</v>
      </c>
      <c r="G170" s="11">
        <v>6.0166666666666666</v>
      </c>
      <c r="M170" s="11"/>
      <c r="N170" s="11"/>
    </row>
    <row r="171" spans="1:14" x14ac:dyDescent="0.25">
      <c r="A171" s="4">
        <v>544</v>
      </c>
      <c r="B171" s="4">
        <v>1</v>
      </c>
      <c r="C171" s="7" t="s">
        <v>201</v>
      </c>
      <c r="D171" s="5">
        <v>385</v>
      </c>
      <c r="E171" s="5">
        <v>167</v>
      </c>
      <c r="F171" s="5">
        <v>1071.5833333333333</v>
      </c>
      <c r="G171" s="11">
        <v>6.416666666666667</v>
      </c>
      <c r="M171" s="11"/>
      <c r="N171" s="11"/>
    </row>
    <row r="172" spans="1:14" x14ac:dyDescent="0.25">
      <c r="A172" s="4">
        <v>545</v>
      </c>
      <c r="B172" s="4">
        <v>1</v>
      </c>
      <c r="C172" s="7" t="s">
        <v>202</v>
      </c>
      <c r="D172" s="5">
        <v>372</v>
      </c>
      <c r="E172" s="5">
        <v>172</v>
      </c>
      <c r="F172" s="5">
        <v>1066.4000000000001</v>
      </c>
      <c r="G172" s="11">
        <v>6.2</v>
      </c>
      <c r="M172" s="11"/>
      <c r="N172" s="11"/>
    </row>
    <row r="173" spans="1:14" x14ac:dyDescent="0.25">
      <c r="A173" s="4">
        <v>547</v>
      </c>
      <c r="B173" s="4">
        <v>1</v>
      </c>
      <c r="C173" s="7" t="s">
        <v>203</v>
      </c>
      <c r="D173" s="5">
        <v>371</v>
      </c>
      <c r="E173" s="5">
        <v>170</v>
      </c>
      <c r="F173" s="5">
        <v>1051.1666666666667</v>
      </c>
      <c r="G173" s="11">
        <v>6.1833333333333336</v>
      </c>
      <c r="M173" s="11"/>
      <c r="N173" s="11"/>
    </row>
    <row r="174" spans="1:14" x14ac:dyDescent="0.25">
      <c r="A174" s="4">
        <v>548</v>
      </c>
      <c r="B174" s="4">
        <v>1</v>
      </c>
      <c r="C174" s="7" t="s">
        <v>204</v>
      </c>
      <c r="D174" s="5">
        <v>440</v>
      </c>
      <c r="E174" s="5">
        <v>146</v>
      </c>
      <c r="F174" s="5">
        <v>1070.6666666666667</v>
      </c>
      <c r="G174" s="11">
        <v>7.333333333333333</v>
      </c>
      <c r="M174" s="11"/>
      <c r="N174" s="11"/>
    </row>
    <row r="175" spans="1:14" x14ac:dyDescent="0.25">
      <c r="A175" s="4">
        <v>549</v>
      </c>
      <c r="B175" s="4">
        <v>1</v>
      </c>
      <c r="C175" s="7" t="s">
        <v>205</v>
      </c>
      <c r="D175" s="5">
        <v>377</v>
      </c>
      <c r="E175" s="5">
        <v>169</v>
      </c>
      <c r="F175" s="5">
        <v>1061.8833333333334</v>
      </c>
      <c r="G175" s="11">
        <v>6.2833333333333332</v>
      </c>
      <c r="M175" s="11"/>
      <c r="N175" s="11"/>
    </row>
    <row r="176" spans="1:14" x14ac:dyDescent="0.25">
      <c r="A176" s="4">
        <v>550</v>
      </c>
      <c r="B176" s="4">
        <v>1</v>
      </c>
      <c r="C176" s="7" t="s">
        <v>206</v>
      </c>
      <c r="D176" s="5">
        <v>377</v>
      </c>
      <c r="E176" s="5">
        <v>174</v>
      </c>
      <c r="F176" s="5">
        <v>1093.3</v>
      </c>
      <c r="G176" s="11">
        <v>6.2833333333333332</v>
      </c>
      <c r="M176" s="11"/>
      <c r="N176" s="11"/>
    </row>
    <row r="177" spans="1:14" x14ac:dyDescent="0.25">
      <c r="A177" s="4">
        <v>553</v>
      </c>
      <c r="B177" s="4">
        <v>1</v>
      </c>
      <c r="C177" s="7" t="s">
        <v>207</v>
      </c>
      <c r="D177" s="5">
        <v>356</v>
      </c>
      <c r="E177" s="5">
        <v>177</v>
      </c>
      <c r="F177" s="5">
        <v>1050.2</v>
      </c>
      <c r="G177" s="11">
        <v>5.9333333333333336</v>
      </c>
      <c r="M177" s="11"/>
      <c r="N177" s="11"/>
    </row>
    <row r="178" spans="1:14" x14ac:dyDescent="0.25">
      <c r="A178" s="4">
        <v>561</v>
      </c>
      <c r="B178" s="4">
        <v>1</v>
      </c>
      <c r="C178" s="7" t="s">
        <v>208</v>
      </c>
      <c r="D178" s="5">
        <v>382</v>
      </c>
      <c r="E178" s="5">
        <v>170</v>
      </c>
      <c r="F178" s="5">
        <v>1082.3333333333333</v>
      </c>
      <c r="G178" s="11">
        <v>6.3666666666666663</v>
      </c>
      <c r="M178" s="11"/>
      <c r="N178" s="11"/>
    </row>
    <row r="179" spans="1:14" x14ac:dyDescent="0.25">
      <c r="A179" s="4">
        <v>564</v>
      </c>
      <c r="B179" s="4">
        <v>1</v>
      </c>
      <c r="C179" s="7" t="s">
        <v>209</v>
      </c>
      <c r="D179" s="5">
        <v>365</v>
      </c>
      <c r="E179" s="5">
        <v>166</v>
      </c>
      <c r="F179" s="5">
        <v>1009.8333333333334</v>
      </c>
      <c r="G179" s="11">
        <v>6.083333333333333</v>
      </c>
      <c r="M179" s="11"/>
      <c r="N179" s="11"/>
    </row>
    <row r="180" spans="1:14" x14ac:dyDescent="0.25">
      <c r="A180" s="4">
        <v>577</v>
      </c>
      <c r="B180" s="4">
        <v>1</v>
      </c>
      <c r="C180" s="7" t="s">
        <v>210</v>
      </c>
      <c r="D180" s="5">
        <v>365</v>
      </c>
      <c r="E180" s="5">
        <v>167</v>
      </c>
      <c r="F180" s="5">
        <v>1015.9166666666666</v>
      </c>
      <c r="G180" s="11">
        <v>6.083333333333333</v>
      </c>
      <c r="M180" s="11"/>
      <c r="N180" s="11"/>
    </row>
    <row r="181" spans="1:14" x14ac:dyDescent="0.25">
      <c r="A181" s="4">
        <v>578</v>
      </c>
      <c r="B181" s="4">
        <v>1</v>
      </c>
      <c r="C181" s="7" t="s">
        <v>211</v>
      </c>
      <c r="D181" s="5">
        <v>368</v>
      </c>
      <c r="E181" s="5">
        <v>171</v>
      </c>
      <c r="F181" s="5">
        <v>1048.8</v>
      </c>
      <c r="G181" s="11">
        <v>6.1333333333333337</v>
      </c>
      <c r="M181" s="11"/>
      <c r="N181" s="11"/>
    </row>
    <row r="182" spans="1:14" x14ac:dyDescent="0.25">
      <c r="A182" s="4">
        <v>581</v>
      </c>
      <c r="B182" s="4">
        <v>1</v>
      </c>
      <c r="C182" s="7" t="s">
        <v>212</v>
      </c>
      <c r="D182" s="5">
        <v>386</v>
      </c>
      <c r="E182" s="5">
        <v>173</v>
      </c>
      <c r="F182" s="5">
        <v>1112.9666666666667</v>
      </c>
      <c r="G182" s="11">
        <v>6.4333333333333336</v>
      </c>
      <c r="M182" s="11"/>
      <c r="N182" s="11"/>
    </row>
    <row r="183" spans="1:14" x14ac:dyDescent="0.25">
      <c r="A183" s="4">
        <v>592</v>
      </c>
      <c r="B183" s="4">
        <v>1</v>
      </c>
      <c r="C183" s="7" t="s">
        <v>213</v>
      </c>
      <c r="D183" s="5">
        <v>382</v>
      </c>
      <c r="E183" s="5">
        <v>168</v>
      </c>
      <c r="F183" s="5">
        <v>1069.5999999999999</v>
      </c>
      <c r="G183" s="11">
        <v>6.3666666666666663</v>
      </c>
      <c r="M183" s="11"/>
      <c r="N183" s="11"/>
    </row>
    <row r="184" spans="1:14" x14ac:dyDescent="0.25">
      <c r="A184" s="4">
        <v>593</v>
      </c>
      <c r="B184" s="4">
        <v>1</v>
      </c>
      <c r="C184" s="7" t="s">
        <v>214</v>
      </c>
      <c r="D184" s="5">
        <v>386</v>
      </c>
      <c r="E184" s="5">
        <v>165</v>
      </c>
      <c r="F184" s="5">
        <v>1061.5</v>
      </c>
      <c r="G184" s="11">
        <v>6.4333333333333336</v>
      </c>
      <c r="M184" s="11"/>
      <c r="N184" s="11"/>
    </row>
    <row r="185" spans="1:14" x14ac:dyDescent="0.25">
      <c r="A185" s="4">
        <v>595</v>
      </c>
      <c r="B185" s="4">
        <v>1</v>
      </c>
      <c r="C185" s="7" t="s">
        <v>215</v>
      </c>
      <c r="D185" s="5">
        <v>367</v>
      </c>
      <c r="E185" s="5">
        <v>172</v>
      </c>
      <c r="F185" s="5">
        <v>1052.0666666666666</v>
      </c>
      <c r="G185" s="11">
        <v>6.1166666666666663</v>
      </c>
      <c r="M185" s="11"/>
      <c r="N185" s="11"/>
    </row>
    <row r="186" spans="1:14" x14ac:dyDescent="0.25">
      <c r="A186" s="4">
        <v>599</v>
      </c>
      <c r="B186" s="4">
        <v>1</v>
      </c>
      <c r="C186" s="7" t="s">
        <v>216</v>
      </c>
      <c r="D186" s="5">
        <v>381</v>
      </c>
      <c r="E186" s="5">
        <v>170</v>
      </c>
      <c r="F186" s="5">
        <v>1079.5</v>
      </c>
      <c r="G186" s="11">
        <v>6.35</v>
      </c>
      <c r="M186" s="11"/>
      <c r="N186" s="11"/>
    </row>
    <row r="187" spans="1:14" x14ac:dyDescent="0.25">
      <c r="A187" s="4">
        <v>600</v>
      </c>
      <c r="B187" s="4">
        <v>1</v>
      </c>
      <c r="C187" s="7" t="s">
        <v>217</v>
      </c>
      <c r="D187" s="5">
        <v>371</v>
      </c>
      <c r="E187" s="5">
        <v>165</v>
      </c>
      <c r="F187" s="5">
        <v>1020.25</v>
      </c>
      <c r="G187" s="11">
        <v>6.1833333333333336</v>
      </c>
      <c r="M187" s="11"/>
      <c r="N187" s="11"/>
    </row>
    <row r="188" spans="1:14" x14ac:dyDescent="0.25">
      <c r="A188" s="4">
        <v>601</v>
      </c>
      <c r="B188" s="4">
        <v>1</v>
      </c>
      <c r="C188" s="7" t="s">
        <v>218</v>
      </c>
      <c r="D188" s="5">
        <v>353</v>
      </c>
      <c r="E188" s="5">
        <v>171</v>
      </c>
      <c r="F188" s="5">
        <v>1006.05</v>
      </c>
      <c r="G188" s="11">
        <v>5.8833333333333337</v>
      </c>
      <c r="M188" s="11"/>
      <c r="N188" s="11"/>
    </row>
    <row r="189" spans="1:14" x14ac:dyDescent="0.25">
      <c r="A189" s="4">
        <v>621</v>
      </c>
      <c r="B189" s="4">
        <v>1</v>
      </c>
      <c r="C189" s="7" t="s">
        <v>220</v>
      </c>
      <c r="D189" s="5">
        <v>380</v>
      </c>
      <c r="E189" s="5">
        <v>165</v>
      </c>
      <c r="F189" s="5">
        <v>1045</v>
      </c>
      <c r="G189" s="11">
        <v>6.333333333333333</v>
      </c>
      <c r="M189" s="11"/>
      <c r="N189" s="11"/>
    </row>
    <row r="190" spans="1:14" x14ac:dyDescent="0.25">
      <c r="A190" s="4">
        <v>622</v>
      </c>
      <c r="B190" s="4">
        <v>1</v>
      </c>
      <c r="C190" s="7" t="s">
        <v>221</v>
      </c>
      <c r="D190" s="5">
        <v>360</v>
      </c>
      <c r="E190" s="5">
        <v>169</v>
      </c>
      <c r="F190" s="5">
        <v>1014</v>
      </c>
      <c r="G190" s="11">
        <v>6</v>
      </c>
      <c r="M190" s="11"/>
      <c r="N190" s="11"/>
    </row>
    <row r="191" spans="1:14" x14ac:dyDescent="0.25">
      <c r="A191" s="4">
        <v>623</v>
      </c>
      <c r="B191" s="4">
        <v>1</v>
      </c>
      <c r="C191" s="7" t="s">
        <v>222</v>
      </c>
      <c r="D191" s="5">
        <v>348</v>
      </c>
      <c r="E191" s="5">
        <v>167</v>
      </c>
      <c r="F191" s="5">
        <v>968.6</v>
      </c>
      <c r="G191" s="11">
        <v>5.8</v>
      </c>
      <c r="M191" s="11"/>
      <c r="N191" s="11"/>
    </row>
    <row r="192" spans="1:14" x14ac:dyDescent="0.25">
      <c r="A192" s="4">
        <v>624</v>
      </c>
      <c r="B192" s="4">
        <v>1</v>
      </c>
      <c r="C192" s="7" t="s">
        <v>223</v>
      </c>
      <c r="D192" s="5">
        <v>370</v>
      </c>
      <c r="E192" s="5">
        <v>169</v>
      </c>
      <c r="F192" s="5">
        <v>1042.1666666666667</v>
      </c>
      <c r="G192" s="11">
        <v>6.166666666666667</v>
      </c>
      <c r="M192" s="11"/>
      <c r="N192" s="11"/>
    </row>
    <row r="193" spans="1:14" x14ac:dyDescent="0.25">
      <c r="A193" s="4">
        <v>625</v>
      </c>
      <c r="B193" s="4">
        <v>1</v>
      </c>
      <c r="C193" s="7" t="s">
        <v>224</v>
      </c>
      <c r="D193" s="5">
        <v>360</v>
      </c>
      <c r="E193" s="5">
        <v>168</v>
      </c>
      <c r="F193" s="5">
        <v>1008</v>
      </c>
      <c r="G193" s="11">
        <v>6</v>
      </c>
      <c r="M193" s="11"/>
      <c r="N193" s="11"/>
    </row>
    <row r="194" spans="1:14" x14ac:dyDescent="0.25">
      <c r="A194" s="4">
        <v>630</v>
      </c>
      <c r="B194" s="4">
        <v>1</v>
      </c>
      <c r="C194" s="7" t="s">
        <v>226</v>
      </c>
      <c r="D194" s="5">
        <v>378</v>
      </c>
      <c r="E194" s="5">
        <v>172</v>
      </c>
      <c r="F194" s="5">
        <v>1083.5999999999999</v>
      </c>
      <c r="G194" s="11">
        <v>6.3</v>
      </c>
      <c r="M194" s="11"/>
      <c r="N194" s="11"/>
    </row>
    <row r="195" spans="1:14" x14ac:dyDescent="0.25">
      <c r="A195" s="4">
        <v>635</v>
      </c>
      <c r="B195" s="4">
        <v>1</v>
      </c>
      <c r="C195" s="7" t="s">
        <v>227</v>
      </c>
      <c r="D195" s="5">
        <v>405</v>
      </c>
      <c r="E195" s="5">
        <v>172</v>
      </c>
      <c r="F195" s="5">
        <v>1161</v>
      </c>
      <c r="G195" s="11">
        <v>6.75</v>
      </c>
      <c r="M195" s="11"/>
      <c r="N195" s="11"/>
    </row>
    <row r="196" spans="1:14" x14ac:dyDescent="0.25">
      <c r="A196" s="4">
        <v>640</v>
      </c>
      <c r="B196" s="4">
        <v>1</v>
      </c>
      <c r="C196" s="7" t="s">
        <v>228</v>
      </c>
      <c r="D196" s="5">
        <v>376</v>
      </c>
      <c r="E196" s="5">
        <v>170</v>
      </c>
      <c r="F196" s="5">
        <v>1065.3333333333333</v>
      </c>
      <c r="G196" s="11">
        <v>6.2666666666666666</v>
      </c>
      <c r="M196" s="11"/>
      <c r="N196" s="11"/>
    </row>
    <row r="197" spans="1:14" x14ac:dyDescent="0.25">
      <c r="A197" s="4">
        <v>656</v>
      </c>
      <c r="B197" s="4">
        <v>1</v>
      </c>
      <c r="C197" s="7" t="s">
        <v>229</v>
      </c>
      <c r="D197" s="5">
        <v>373</v>
      </c>
      <c r="E197" s="5">
        <v>168</v>
      </c>
      <c r="F197" s="5">
        <v>1044.4000000000001</v>
      </c>
      <c r="G197" s="11">
        <v>6.2166666666666668</v>
      </c>
      <c r="M197" s="11"/>
      <c r="N197" s="11"/>
    </row>
    <row r="198" spans="1:14" x14ac:dyDescent="0.25">
      <c r="A198" s="4">
        <v>659</v>
      </c>
      <c r="B198" s="4">
        <v>1</v>
      </c>
      <c r="C198" s="7" t="s">
        <v>230</v>
      </c>
      <c r="D198" s="5">
        <v>377</v>
      </c>
      <c r="E198" s="5">
        <v>170</v>
      </c>
      <c r="F198" s="5">
        <v>1068.1666666666667</v>
      </c>
      <c r="G198" s="11">
        <v>6.2833333333333332</v>
      </c>
      <c r="M198" s="11"/>
      <c r="N198" s="11"/>
    </row>
    <row r="199" spans="1:14" x14ac:dyDescent="0.25">
      <c r="A199" s="4">
        <v>671</v>
      </c>
      <c r="B199" s="4">
        <v>1</v>
      </c>
      <c r="C199" s="7" t="s">
        <v>231</v>
      </c>
      <c r="D199" s="5">
        <v>385</v>
      </c>
      <c r="E199" s="5">
        <v>172</v>
      </c>
      <c r="F199" s="5">
        <v>1103.6666666666667</v>
      </c>
      <c r="G199" s="11">
        <v>6.416666666666667</v>
      </c>
      <c r="M199" s="11"/>
      <c r="N199" s="11"/>
    </row>
    <row r="200" spans="1:14" x14ac:dyDescent="0.25">
      <c r="A200" s="4">
        <v>676</v>
      </c>
      <c r="B200" s="4">
        <v>1</v>
      </c>
      <c r="C200" s="7" t="s">
        <v>232</v>
      </c>
      <c r="D200" s="5">
        <v>370</v>
      </c>
      <c r="E200" s="5">
        <v>170</v>
      </c>
      <c r="F200" s="5">
        <v>1048.3333333333333</v>
      </c>
      <c r="G200" s="11">
        <v>6.166666666666667</v>
      </c>
      <c r="M200" s="11"/>
      <c r="N200" s="11"/>
    </row>
    <row r="201" spans="1:14" x14ac:dyDescent="0.25">
      <c r="A201" s="4">
        <v>682</v>
      </c>
      <c r="B201" s="4">
        <v>1</v>
      </c>
      <c r="C201" s="7" t="s">
        <v>233</v>
      </c>
      <c r="D201" s="5">
        <v>380</v>
      </c>
      <c r="E201" s="5">
        <v>171</v>
      </c>
      <c r="F201" s="5">
        <v>1083</v>
      </c>
      <c r="G201" s="11">
        <v>6.333333333333333</v>
      </c>
      <c r="M201" s="11"/>
      <c r="N201" s="11"/>
    </row>
    <row r="202" spans="1:14" x14ac:dyDescent="0.25">
      <c r="A202" s="4">
        <v>690</v>
      </c>
      <c r="B202" s="4">
        <v>1</v>
      </c>
      <c r="C202" s="7" t="s">
        <v>234</v>
      </c>
      <c r="D202" s="5">
        <v>434</v>
      </c>
      <c r="E202" s="5">
        <v>143</v>
      </c>
      <c r="F202" s="5">
        <v>1034.3666666666666</v>
      </c>
      <c r="G202" s="11">
        <v>7.2333333333333334</v>
      </c>
      <c r="M202" s="11"/>
      <c r="N202" s="11"/>
    </row>
    <row r="203" spans="1:14" x14ac:dyDescent="0.25">
      <c r="A203" s="4">
        <v>695</v>
      </c>
      <c r="B203" s="4">
        <v>1</v>
      </c>
      <c r="C203" s="7" t="s">
        <v>235</v>
      </c>
      <c r="D203" s="5">
        <v>373</v>
      </c>
      <c r="E203" s="5">
        <v>165</v>
      </c>
      <c r="F203" s="5">
        <v>1025.75</v>
      </c>
      <c r="G203" s="11">
        <v>6.2166666666666668</v>
      </c>
      <c r="M203" s="11"/>
      <c r="N203" s="11"/>
    </row>
    <row r="204" spans="1:14" x14ac:dyDescent="0.25">
      <c r="A204" s="4">
        <v>696</v>
      </c>
      <c r="B204" s="4">
        <v>1</v>
      </c>
      <c r="C204" s="7" t="s">
        <v>236</v>
      </c>
      <c r="D204" s="5">
        <v>375</v>
      </c>
      <c r="E204" s="5">
        <v>165</v>
      </c>
      <c r="F204" s="5">
        <v>1031.25</v>
      </c>
      <c r="G204" s="11">
        <v>6.25</v>
      </c>
      <c r="M204" s="11"/>
      <c r="N204" s="11"/>
    </row>
    <row r="205" spans="1:14" x14ac:dyDescent="0.25">
      <c r="A205" s="4">
        <v>698</v>
      </c>
      <c r="B205" s="4">
        <v>1</v>
      </c>
      <c r="C205" s="7" t="s">
        <v>237</v>
      </c>
      <c r="D205" s="5">
        <v>373</v>
      </c>
      <c r="E205" s="5">
        <v>168</v>
      </c>
      <c r="F205" s="5">
        <v>1044.4000000000001</v>
      </c>
      <c r="G205" s="11">
        <v>6.2166666666666668</v>
      </c>
      <c r="M205" s="11"/>
      <c r="N205" s="11"/>
    </row>
    <row r="206" spans="1:14" x14ac:dyDescent="0.25">
      <c r="A206" s="4">
        <v>700</v>
      </c>
      <c r="B206" s="4">
        <v>1</v>
      </c>
      <c r="C206" s="7" t="s">
        <v>238</v>
      </c>
      <c r="D206" s="5">
        <v>380</v>
      </c>
      <c r="E206" s="5">
        <v>166</v>
      </c>
      <c r="F206" s="5">
        <v>1051.3333333333333</v>
      </c>
      <c r="G206" s="11">
        <v>6.333333333333333</v>
      </c>
      <c r="M206" s="11"/>
      <c r="N206" s="11"/>
    </row>
    <row r="207" spans="1:14" x14ac:dyDescent="0.25">
      <c r="A207" s="4">
        <v>701</v>
      </c>
      <c r="B207" s="4">
        <v>1</v>
      </c>
      <c r="C207" s="7" t="s">
        <v>239</v>
      </c>
      <c r="D207" s="5">
        <v>343</v>
      </c>
      <c r="E207" s="5">
        <v>169</v>
      </c>
      <c r="F207" s="5">
        <v>966.11666666666667</v>
      </c>
      <c r="G207" s="11">
        <v>5.7166666666666668</v>
      </c>
      <c r="M207" s="11"/>
      <c r="N207" s="11"/>
    </row>
    <row r="208" spans="1:14" x14ac:dyDescent="0.25">
      <c r="A208" s="4">
        <v>704</v>
      </c>
      <c r="B208" s="4">
        <v>1</v>
      </c>
      <c r="C208" s="7" t="s">
        <v>240</v>
      </c>
      <c r="D208" s="5">
        <v>366</v>
      </c>
      <c r="E208" s="5">
        <v>162</v>
      </c>
      <c r="F208" s="5">
        <v>988.2</v>
      </c>
      <c r="G208" s="11">
        <v>6.1</v>
      </c>
      <c r="M208" s="11"/>
      <c r="N208" s="11"/>
    </row>
    <row r="209" spans="1:14" x14ac:dyDescent="0.25">
      <c r="A209" s="4">
        <v>706</v>
      </c>
      <c r="B209" s="4">
        <v>1</v>
      </c>
      <c r="C209" s="7" t="s">
        <v>241</v>
      </c>
      <c r="D209" s="5">
        <v>375</v>
      </c>
      <c r="E209" s="5">
        <v>167</v>
      </c>
      <c r="F209" s="5">
        <v>1043.75</v>
      </c>
      <c r="G209" s="11">
        <v>6.25</v>
      </c>
      <c r="M209" s="11"/>
      <c r="N209" s="11"/>
    </row>
    <row r="210" spans="1:14" x14ac:dyDescent="0.25">
      <c r="A210" s="4">
        <v>707</v>
      </c>
      <c r="B210" s="4">
        <v>1</v>
      </c>
      <c r="C210" s="7" t="s">
        <v>242</v>
      </c>
      <c r="D210" s="5">
        <v>385</v>
      </c>
      <c r="E210" s="5">
        <v>166</v>
      </c>
      <c r="F210" s="5">
        <v>1065.1666666666667</v>
      </c>
      <c r="G210" s="11">
        <v>6.416666666666667</v>
      </c>
      <c r="M210" s="11"/>
      <c r="N210" s="11"/>
    </row>
    <row r="211" spans="1:14" x14ac:dyDescent="0.25">
      <c r="A211" s="4">
        <v>709</v>
      </c>
      <c r="B211" s="4">
        <v>1</v>
      </c>
      <c r="C211" s="7" t="s">
        <v>243</v>
      </c>
      <c r="D211" s="5">
        <v>361</v>
      </c>
      <c r="E211" s="5">
        <v>164</v>
      </c>
      <c r="F211" s="5">
        <v>986.73333333333335</v>
      </c>
      <c r="G211" s="11">
        <v>6.0166666666666666</v>
      </c>
      <c r="M211" s="11"/>
      <c r="N211" s="11"/>
    </row>
    <row r="212" spans="1:14" x14ac:dyDescent="0.25">
      <c r="A212" s="4">
        <v>712</v>
      </c>
      <c r="B212" s="4">
        <v>1</v>
      </c>
      <c r="C212" s="7" t="s">
        <v>244</v>
      </c>
      <c r="D212" s="5">
        <v>365</v>
      </c>
      <c r="E212" s="5">
        <v>167</v>
      </c>
      <c r="F212" s="5">
        <v>1015.9166666666666</v>
      </c>
      <c r="G212" s="11">
        <v>6.083333333333333</v>
      </c>
      <c r="M212" s="11"/>
      <c r="N212" s="11"/>
    </row>
    <row r="213" spans="1:14" x14ac:dyDescent="0.25">
      <c r="A213" s="4">
        <v>716</v>
      </c>
      <c r="B213" s="4">
        <v>1</v>
      </c>
      <c r="C213" s="7" t="s">
        <v>245</v>
      </c>
      <c r="D213" s="5">
        <v>365</v>
      </c>
      <c r="E213" s="5">
        <v>169</v>
      </c>
      <c r="F213" s="5">
        <v>1028.0833333333333</v>
      </c>
      <c r="G213" s="11">
        <v>6.083333333333333</v>
      </c>
      <c r="M213" s="11"/>
      <c r="N213" s="11"/>
    </row>
    <row r="214" spans="1:14" x14ac:dyDescent="0.25">
      <c r="A214" s="4">
        <v>717</v>
      </c>
      <c r="B214" s="4">
        <v>1</v>
      </c>
      <c r="C214" s="7" t="s">
        <v>246</v>
      </c>
      <c r="D214" s="5">
        <v>373</v>
      </c>
      <c r="E214" s="5">
        <v>171</v>
      </c>
      <c r="F214" s="5">
        <v>1063.05</v>
      </c>
      <c r="G214" s="11">
        <v>6.2166666666666668</v>
      </c>
      <c r="M214" s="11"/>
      <c r="N214" s="11"/>
    </row>
    <row r="215" spans="1:14" x14ac:dyDescent="0.25">
      <c r="A215" s="4">
        <v>719</v>
      </c>
      <c r="B215" s="4">
        <v>1</v>
      </c>
      <c r="C215" s="7" t="s">
        <v>247</v>
      </c>
      <c r="D215" s="5">
        <v>360</v>
      </c>
      <c r="E215" s="5">
        <v>166</v>
      </c>
      <c r="F215" s="5">
        <v>996</v>
      </c>
      <c r="G215" s="11">
        <v>6</v>
      </c>
      <c r="M215" s="11"/>
      <c r="N215" s="11"/>
    </row>
    <row r="216" spans="1:14" x14ac:dyDescent="0.25">
      <c r="A216" s="4">
        <v>720</v>
      </c>
      <c r="B216" s="4">
        <v>1</v>
      </c>
      <c r="C216" s="7" t="s">
        <v>248</v>
      </c>
      <c r="D216" s="5">
        <v>375</v>
      </c>
      <c r="E216" s="5">
        <v>170</v>
      </c>
      <c r="F216" s="5">
        <v>1062.5</v>
      </c>
      <c r="G216" s="11">
        <v>6.25</v>
      </c>
      <c r="M216" s="11"/>
      <c r="N216" s="11"/>
    </row>
    <row r="217" spans="1:14" x14ac:dyDescent="0.25">
      <c r="A217" s="4">
        <v>721</v>
      </c>
      <c r="B217" s="4">
        <v>1</v>
      </c>
      <c r="C217" s="7" t="s">
        <v>249</v>
      </c>
      <c r="D217" s="5">
        <v>362</v>
      </c>
      <c r="E217" s="5">
        <v>167</v>
      </c>
      <c r="F217" s="5">
        <v>1007.5666666666667</v>
      </c>
      <c r="G217" s="11">
        <v>6.0333333333333332</v>
      </c>
      <c r="M217" s="11"/>
      <c r="N217" s="11"/>
    </row>
    <row r="218" spans="1:14" x14ac:dyDescent="0.25">
      <c r="A218" s="4">
        <v>726</v>
      </c>
      <c r="B218" s="4">
        <v>1</v>
      </c>
      <c r="C218" s="7" t="s">
        <v>250</v>
      </c>
      <c r="D218" s="5">
        <v>373</v>
      </c>
      <c r="E218" s="5">
        <v>168</v>
      </c>
      <c r="F218" s="5">
        <v>1044.4000000000001</v>
      </c>
      <c r="G218" s="11">
        <v>6.2166666666666668</v>
      </c>
      <c r="M218" s="11"/>
      <c r="N218" s="11"/>
    </row>
    <row r="219" spans="1:14" x14ac:dyDescent="0.25">
      <c r="A219" s="4">
        <v>727</v>
      </c>
      <c r="B219" s="4">
        <v>1</v>
      </c>
      <c r="C219" s="7" t="s">
        <v>251</v>
      </c>
      <c r="D219" s="5">
        <v>374</v>
      </c>
      <c r="E219" s="5">
        <v>167</v>
      </c>
      <c r="F219" s="5">
        <v>1040.9666666666667</v>
      </c>
      <c r="G219" s="11">
        <v>6.2333333333333334</v>
      </c>
      <c r="M219" s="11"/>
      <c r="N219" s="11"/>
    </row>
    <row r="220" spans="1:14" x14ac:dyDescent="0.25">
      <c r="A220" s="4">
        <v>728</v>
      </c>
      <c r="B220" s="4">
        <v>1</v>
      </c>
      <c r="C220" s="7" t="s">
        <v>252</v>
      </c>
      <c r="D220" s="5">
        <v>369</v>
      </c>
      <c r="E220" s="5">
        <v>167</v>
      </c>
      <c r="F220" s="5">
        <v>1027.05</v>
      </c>
      <c r="G220" s="11">
        <v>6.15</v>
      </c>
      <c r="M220" s="11"/>
      <c r="N220" s="11"/>
    </row>
    <row r="221" spans="1:14" x14ac:dyDescent="0.25">
      <c r="A221" s="4">
        <v>738</v>
      </c>
      <c r="B221" s="4">
        <v>1</v>
      </c>
      <c r="C221" s="7" t="s">
        <v>253</v>
      </c>
      <c r="D221" s="5">
        <v>375</v>
      </c>
      <c r="E221" s="5">
        <v>167</v>
      </c>
      <c r="F221" s="5">
        <v>1043.75</v>
      </c>
      <c r="G221" s="11">
        <v>6.25</v>
      </c>
      <c r="M221" s="11"/>
      <c r="N221" s="11"/>
    </row>
    <row r="222" spans="1:14" x14ac:dyDescent="0.25">
      <c r="A222" s="4">
        <v>739</v>
      </c>
      <c r="B222" s="4">
        <v>1</v>
      </c>
      <c r="C222" s="7" t="s">
        <v>254</v>
      </c>
      <c r="D222" s="5">
        <v>371</v>
      </c>
      <c r="E222" s="5">
        <v>169</v>
      </c>
      <c r="F222" s="5">
        <v>1044.9833333333333</v>
      </c>
      <c r="G222" s="11">
        <v>6.1833333333333336</v>
      </c>
      <c r="M222" s="11"/>
      <c r="N222" s="11"/>
    </row>
    <row r="223" spans="1:14" x14ac:dyDescent="0.25">
      <c r="A223" s="4">
        <v>740</v>
      </c>
      <c r="B223" s="4">
        <v>1</v>
      </c>
      <c r="C223" s="7" t="s">
        <v>255</v>
      </c>
      <c r="D223" s="5">
        <v>377</v>
      </c>
      <c r="E223" s="5">
        <v>168</v>
      </c>
      <c r="F223" s="5">
        <v>1055.5999999999999</v>
      </c>
      <c r="G223" s="11">
        <v>6.2833333333333332</v>
      </c>
      <c r="M223" s="11"/>
      <c r="N223" s="11"/>
    </row>
    <row r="224" spans="1:14" x14ac:dyDescent="0.25">
      <c r="A224" s="4">
        <v>741</v>
      </c>
      <c r="B224" s="4">
        <v>1</v>
      </c>
      <c r="C224" s="7" t="s">
        <v>256</v>
      </c>
      <c r="D224" s="5">
        <v>382</v>
      </c>
      <c r="E224" s="5">
        <v>169</v>
      </c>
      <c r="F224" s="5">
        <v>1075.9666666666667</v>
      </c>
      <c r="G224" s="11">
        <v>6.3666666666666663</v>
      </c>
      <c r="M224" s="11"/>
      <c r="N224" s="11"/>
    </row>
    <row r="225" spans="1:14" x14ac:dyDescent="0.25">
      <c r="A225" s="4">
        <v>742</v>
      </c>
      <c r="B225" s="4">
        <v>1</v>
      </c>
      <c r="C225" s="7" t="s">
        <v>257</v>
      </c>
      <c r="D225" s="5">
        <v>358</v>
      </c>
      <c r="E225" s="5">
        <v>169</v>
      </c>
      <c r="F225" s="5">
        <v>1008.3666666666667</v>
      </c>
      <c r="G225" s="11">
        <v>5.9666666666666668</v>
      </c>
      <c r="M225" s="11"/>
      <c r="N225" s="11"/>
    </row>
    <row r="226" spans="1:14" x14ac:dyDescent="0.25">
      <c r="A226" s="4">
        <v>743</v>
      </c>
      <c r="B226" s="4">
        <v>1</v>
      </c>
      <c r="C226" s="7" t="s">
        <v>258</v>
      </c>
      <c r="D226" s="5">
        <v>360</v>
      </c>
      <c r="E226" s="5">
        <v>174</v>
      </c>
      <c r="F226" s="5">
        <v>1044</v>
      </c>
      <c r="G226" s="11">
        <v>6</v>
      </c>
      <c r="M226" s="11"/>
      <c r="N226" s="11"/>
    </row>
    <row r="227" spans="1:14" x14ac:dyDescent="0.25">
      <c r="A227" s="4">
        <v>745</v>
      </c>
      <c r="B227" s="4">
        <v>1</v>
      </c>
      <c r="C227" s="7" t="s">
        <v>259</v>
      </c>
      <c r="D227" s="5">
        <v>364</v>
      </c>
      <c r="E227" s="5">
        <v>170</v>
      </c>
      <c r="F227" s="5">
        <v>1031.3333333333333</v>
      </c>
      <c r="G227" s="11">
        <v>6.0666666666666664</v>
      </c>
      <c r="M227" s="11"/>
      <c r="N227" s="11"/>
    </row>
    <row r="228" spans="1:14" x14ac:dyDescent="0.25">
      <c r="A228" s="4">
        <v>748</v>
      </c>
      <c r="B228" s="4">
        <v>1</v>
      </c>
      <c r="C228" s="7" t="s">
        <v>260</v>
      </c>
      <c r="D228" s="5">
        <v>398</v>
      </c>
      <c r="E228" s="5">
        <v>168</v>
      </c>
      <c r="F228" s="5">
        <v>1114.4000000000001</v>
      </c>
      <c r="G228" s="11">
        <v>6.6333333333333337</v>
      </c>
      <c r="M228" s="11"/>
      <c r="N228" s="11"/>
    </row>
    <row r="229" spans="1:14" x14ac:dyDescent="0.25">
      <c r="A229" s="4">
        <v>750</v>
      </c>
      <c r="B229" s="4">
        <v>1</v>
      </c>
      <c r="C229" s="7" t="s">
        <v>261</v>
      </c>
      <c r="D229" s="5">
        <v>360</v>
      </c>
      <c r="E229" s="5">
        <v>171</v>
      </c>
      <c r="F229" s="5">
        <v>1026</v>
      </c>
      <c r="G229" s="11">
        <v>6</v>
      </c>
      <c r="M229" s="11"/>
      <c r="N229" s="11"/>
    </row>
    <row r="230" spans="1:14" x14ac:dyDescent="0.25">
      <c r="A230" s="4">
        <v>756</v>
      </c>
      <c r="B230" s="4">
        <v>1</v>
      </c>
      <c r="C230" s="7" t="s">
        <v>262</v>
      </c>
      <c r="D230" s="5">
        <v>369</v>
      </c>
      <c r="E230" s="5">
        <v>169</v>
      </c>
      <c r="F230" s="5">
        <v>1039.3499999999999</v>
      </c>
      <c r="G230" s="11">
        <v>6.15</v>
      </c>
      <c r="M230" s="11"/>
      <c r="N230" s="11"/>
    </row>
    <row r="231" spans="1:14" x14ac:dyDescent="0.25">
      <c r="A231" s="4">
        <v>761</v>
      </c>
      <c r="B231" s="4">
        <v>1</v>
      </c>
      <c r="C231" s="7" t="s">
        <v>263</v>
      </c>
      <c r="D231" s="5">
        <v>362</v>
      </c>
      <c r="E231" s="5">
        <v>168</v>
      </c>
      <c r="F231" s="5">
        <v>1013.6</v>
      </c>
      <c r="G231" s="11">
        <v>6.0333333333333332</v>
      </c>
      <c r="M231" s="11"/>
      <c r="N231" s="11"/>
    </row>
    <row r="232" spans="1:14" x14ac:dyDescent="0.25">
      <c r="A232" s="4">
        <v>763</v>
      </c>
      <c r="B232" s="4">
        <v>1</v>
      </c>
      <c r="C232" s="7" t="s">
        <v>264</v>
      </c>
      <c r="D232" s="5">
        <v>379</v>
      </c>
      <c r="E232" s="5">
        <v>170</v>
      </c>
      <c r="F232" s="5">
        <v>1073.8333333333333</v>
      </c>
      <c r="G232" s="11">
        <v>6.3166666666666664</v>
      </c>
      <c r="M232" s="11"/>
      <c r="N232" s="11"/>
    </row>
    <row r="233" spans="1:14" x14ac:dyDescent="0.25">
      <c r="A233" s="4">
        <v>768</v>
      </c>
      <c r="B233" s="4">
        <v>1</v>
      </c>
      <c r="C233" s="7" t="s">
        <v>265</v>
      </c>
      <c r="D233" s="5">
        <v>374</v>
      </c>
      <c r="E233" s="5">
        <v>169</v>
      </c>
      <c r="F233" s="5">
        <v>1053.4333333333334</v>
      </c>
      <c r="G233" s="11">
        <v>6.2333333333333334</v>
      </c>
      <c r="M233" s="11"/>
      <c r="N233" s="11"/>
    </row>
    <row r="234" spans="1:14" x14ac:dyDescent="0.25">
      <c r="A234" s="4">
        <v>771</v>
      </c>
      <c r="B234" s="4">
        <v>1</v>
      </c>
      <c r="C234" s="7" t="s">
        <v>266</v>
      </c>
      <c r="D234" s="5">
        <v>376</v>
      </c>
      <c r="E234" s="5">
        <v>168</v>
      </c>
      <c r="F234" s="5">
        <v>1052.8</v>
      </c>
      <c r="G234" s="11">
        <v>6.2666666666666666</v>
      </c>
      <c r="M234" s="11"/>
      <c r="N234" s="11"/>
    </row>
    <row r="235" spans="1:14" x14ac:dyDescent="0.25">
      <c r="A235" s="4">
        <v>775</v>
      </c>
      <c r="B235" s="4">
        <v>1</v>
      </c>
      <c r="C235" s="7" t="s">
        <v>267</v>
      </c>
      <c r="D235" s="5">
        <v>374</v>
      </c>
      <c r="E235" s="5">
        <v>171</v>
      </c>
      <c r="F235" s="5">
        <v>1065.9000000000001</v>
      </c>
      <c r="G235" s="11">
        <v>6.2333333333333334</v>
      </c>
      <c r="M235" s="11"/>
      <c r="N235" s="11"/>
    </row>
    <row r="236" spans="1:14" x14ac:dyDescent="0.25">
      <c r="A236" s="4">
        <v>777</v>
      </c>
      <c r="B236" s="4">
        <v>1</v>
      </c>
      <c r="C236" s="7" t="s">
        <v>268</v>
      </c>
      <c r="D236" s="5">
        <v>387</v>
      </c>
      <c r="E236" s="5">
        <v>173</v>
      </c>
      <c r="F236" s="5">
        <v>1115.8499999999999</v>
      </c>
      <c r="G236" s="11">
        <v>6.45</v>
      </c>
      <c r="M236" s="11"/>
      <c r="N236" s="11"/>
    </row>
    <row r="237" spans="1:14" x14ac:dyDescent="0.25">
      <c r="A237" s="4">
        <v>786</v>
      </c>
      <c r="B237" s="4">
        <v>1</v>
      </c>
      <c r="C237" s="7" t="s">
        <v>269</v>
      </c>
      <c r="D237" s="5">
        <v>382</v>
      </c>
      <c r="E237" s="5">
        <v>170</v>
      </c>
      <c r="F237" s="5">
        <v>1082.3333333333333</v>
      </c>
      <c r="G237" s="11">
        <v>6.3666666666666663</v>
      </c>
      <c r="M237" s="11"/>
      <c r="N237" s="11"/>
    </row>
    <row r="238" spans="1:14" x14ac:dyDescent="0.25">
      <c r="A238" s="4">
        <v>787</v>
      </c>
      <c r="B238" s="4">
        <v>1</v>
      </c>
      <c r="C238" s="7" t="s">
        <v>270</v>
      </c>
      <c r="D238" s="5">
        <v>365</v>
      </c>
      <c r="E238" s="5">
        <v>172</v>
      </c>
      <c r="F238" s="5">
        <v>1046.3333333333333</v>
      </c>
      <c r="G238" s="11">
        <v>6.083333333333333</v>
      </c>
      <c r="M238" s="11"/>
      <c r="N238" s="11"/>
    </row>
    <row r="239" spans="1:14" x14ac:dyDescent="0.25">
      <c r="A239" s="4">
        <v>801</v>
      </c>
      <c r="B239" s="4">
        <v>1</v>
      </c>
      <c r="C239" s="7" t="s">
        <v>271</v>
      </c>
      <c r="D239" s="5">
        <v>405</v>
      </c>
      <c r="E239" s="5">
        <v>169</v>
      </c>
      <c r="F239" s="5">
        <v>1140.75</v>
      </c>
      <c r="G239" s="11">
        <v>6.75</v>
      </c>
      <c r="M239" s="11"/>
      <c r="N239" s="11"/>
    </row>
    <row r="240" spans="1:14" x14ac:dyDescent="0.25">
      <c r="A240" s="4">
        <v>803</v>
      </c>
      <c r="B240" s="4">
        <v>1</v>
      </c>
      <c r="C240" s="7" t="s">
        <v>272</v>
      </c>
      <c r="D240" s="5">
        <v>369</v>
      </c>
      <c r="E240" s="5">
        <v>171</v>
      </c>
      <c r="F240" s="5">
        <v>1051.6500000000001</v>
      </c>
      <c r="G240" s="11">
        <v>6.15</v>
      </c>
      <c r="M240" s="11"/>
      <c r="N240" s="11"/>
    </row>
    <row r="241" spans="1:14" x14ac:dyDescent="0.25">
      <c r="A241" s="4">
        <v>811</v>
      </c>
      <c r="B241" s="4">
        <v>1</v>
      </c>
      <c r="C241" s="7" t="s">
        <v>273</v>
      </c>
      <c r="D241" s="5">
        <v>388</v>
      </c>
      <c r="E241" s="5">
        <v>174</v>
      </c>
      <c r="F241" s="5">
        <v>1125.2</v>
      </c>
      <c r="G241" s="11">
        <v>6.4666666666666668</v>
      </c>
      <c r="M241" s="11"/>
      <c r="N241" s="11"/>
    </row>
    <row r="242" spans="1:14" x14ac:dyDescent="0.25">
      <c r="A242" s="4">
        <v>813</v>
      </c>
      <c r="B242" s="4">
        <v>1</v>
      </c>
      <c r="C242" s="7" t="s">
        <v>274</v>
      </c>
      <c r="D242" s="5">
        <v>381</v>
      </c>
      <c r="E242" s="5">
        <v>171</v>
      </c>
      <c r="F242" s="5">
        <v>1085.8499999999999</v>
      </c>
      <c r="G242" s="11">
        <v>6.35</v>
      </c>
      <c r="M242" s="11"/>
      <c r="N242" s="11"/>
    </row>
    <row r="243" spans="1:14" x14ac:dyDescent="0.25">
      <c r="A243" s="4">
        <v>815</v>
      </c>
      <c r="B243" s="4">
        <v>2</v>
      </c>
      <c r="C243" s="7" t="s">
        <v>275</v>
      </c>
      <c r="D243" s="5">
        <v>0</v>
      </c>
      <c r="E243" s="5">
        <v>0</v>
      </c>
      <c r="F243" s="5">
        <v>0</v>
      </c>
      <c r="G243" s="11">
        <v>0</v>
      </c>
      <c r="M243" s="11"/>
      <c r="N243" s="11"/>
    </row>
    <row r="244" spans="1:14" x14ac:dyDescent="0.25">
      <c r="A244" s="4">
        <v>818</v>
      </c>
      <c r="B244" s="4">
        <v>1</v>
      </c>
      <c r="C244" s="7" t="s">
        <v>276</v>
      </c>
      <c r="D244" s="5">
        <v>379</v>
      </c>
      <c r="E244" s="5">
        <v>173</v>
      </c>
      <c r="F244" s="5">
        <v>1092.7833333333333</v>
      </c>
      <c r="G244" s="11">
        <v>6.3166666666666664</v>
      </c>
      <c r="M244" s="11"/>
      <c r="N244" s="11"/>
    </row>
    <row r="245" spans="1:14" x14ac:dyDescent="0.25">
      <c r="A245" s="4">
        <v>820</v>
      </c>
      <c r="B245" s="4">
        <v>1</v>
      </c>
      <c r="C245" s="7" t="s">
        <v>277</v>
      </c>
      <c r="D245" s="5">
        <v>386</v>
      </c>
      <c r="E245" s="5">
        <v>169</v>
      </c>
      <c r="F245" s="5">
        <v>1087.2333333333333</v>
      </c>
      <c r="G245" s="11">
        <v>6.4333333333333336</v>
      </c>
      <c r="M245" s="11"/>
      <c r="N245" s="11"/>
    </row>
    <row r="246" spans="1:14" x14ac:dyDescent="0.25">
      <c r="A246" s="4">
        <v>821</v>
      </c>
      <c r="B246" s="4">
        <v>1</v>
      </c>
      <c r="C246" s="7" t="s">
        <v>278</v>
      </c>
      <c r="D246" s="5">
        <v>393</v>
      </c>
      <c r="E246" s="5">
        <v>172</v>
      </c>
      <c r="F246" s="5">
        <v>1126.5999999999999</v>
      </c>
      <c r="G246" s="11">
        <v>6.55</v>
      </c>
      <c r="M246" s="11"/>
      <c r="N246" s="11"/>
    </row>
    <row r="247" spans="1:14" x14ac:dyDescent="0.25">
      <c r="A247" s="4">
        <v>829</v>
      </c>
      <c r="B247" s="4">
        <v>1</v>
      </c>
      <c r="C247" s="7" t="s">
        <v>279</v>
      </c>
      <c r="D247" s="5">
        <v>373</v>
      </c>
      <c r="E247" s="5">
        <v>165</v>
      </c>
      <c r="F247" s="5">
        <v>1025.75</v>
      </c>
      <c r="G247" s="11">
        <v>6.2166666666666668</v>
      </c>
      <c r="M247" s="11"/>
      <c r="N247" s="11"/>
    </row>
    <row r="248" spans="1:14" x14ac:dyDescent="0.25">
      <c r="A248" s="4">
        <v>831</v>
      </c>
      <c r="B248" s="4">
        <v>1</v>
      </c>
      <c r="C248" s="7" t="s">
        <v>280</v>
      </c>
      <c r="D248" s="5">
        <v>354</v>
      </c>
      <c r="E248" s="5">
        <v>167</v>
      </c>
      <c r="F248" s="5">
        <v>985.3</v>
      </c>
      <c r="G248" s="11">
        <v>5.9</v>
      </c>
      <c r="M248" s="11"/>
      <c r="N248" s="11"/>
    </row>
    <row r="249" spans="1:14" x14ac:dyDescent="0.25">
      <c r="A249" s="4">
        <v>832</v>
      </c>
      <c r="B249" s="4">
        <v>1</v>
      </c>
      <c r="C249" s="7" t="s">
        <v>281</v>
      </c>
      <c r="D249" s="5">
        <v>360</v>
      </c>
      <c r="E249" s="5">
        <v>168</v>
      </c>
      <c r="F249" s="5">
        <v>1008</v>
      </c>
      <c r="G249" s="11">
        <v>6</v>
      </c>
      <c r="M249" s="11"/>
      <c r="N249" s="11"/>
    </row>
    <row r="250" spans="1:14" x14ac:dyDescent="0.25">
      <c r="A250" s="4">
        <v>833</v>
      </c>
      <c r="B250" s="4">
        <v>1</v>
      </c>
      <c r="C250" s="7" t="s">
        <v>282</v>
      </c>
      <c r="D250" s="5">
        <v>360</v>
      </c>
      <c r="E250" s="5">
        <v>169</v>
      </c>
      <c r="F250" s="5">
        <v>1014</v>
      </c>
      <c r="G250" s="11">
        <v>6</v>
      </c>
      <c r="M250" s="11"/>
      <c r="N250" s="11"/>
    </row>
    <row r="251" spans="1:14" x14ac:dyDescent="0.25">
      <c r="A251" s="4">
        <v>834</v>
      </c>
      <c r="B251" s="4">
        <v>1</v>
      </c>
      <c r="C251" s="7" t="s">
        <v>283</v>
      </c>
      <c r="D251" s="5">
        <v>378</v>
      </c>
      <c r="E251" s="5">
        <v>169</v>
      </c>
      <c r="F251" s="5">
        <v>1064.7</v>
      </c>
      <c r="G251" s="11">
        <v>6.3</v>
      </c>
      <c r="M251" s="11"/>
      <c r="N251" s="11"/>
    </row>
    <row r="252" spans="1:14" x14ac:dyDescent="0.25">
      <c r="A252" s="4">
        <v>836</v>
      </c>
      <c r="B252" s="4">
        <v>1</v>
      </c>
      <c r="C252" s="7" t="s">
        <v>284</v>
      </c>
      <c r="D252" s="5">
        <v>383</v>
      </c>
      <c r="E252" s="5">
        <v>162</v>
      </c>
      <c r="F252" s="5">
        <v>1034.0999999999999</v>
      </c>
      <c r="G252" s="11">
        <v>6.3833333333333337</v>
      </c>
      <c r="M252" s="11"/>
      <c r="N252" s="11"/>
    </row>
    <row r="253" spans="1:14" x14ac:dyDescent="0.25">
      <c r="A253" s="4">
        <v>837</v>
      </c>
      <c r="B253" s="4">
        <v>1</v>
      </c>
      <c r="C253" s="7" t="s">
        <v>285</v>
      </c>
      <c r="D253" s="5">
        <v>385</v>
      </c>
      <c r="E253" s="5">
        <v>174</v>
      </c>
      <c r="F253" s="5">
        <v>1116.5</v>
      </c>
      <c r="G253" s="11">
        <v>6.416666666666667</v>
      </c>
      <c r="M253" s="11"/>
      <c r="N253" s="11"/>
    </row>
    <row r="254" spans="1:14" x14ac:dyDescent="0.25">
      <c r="A254" s="4">
        <v>840</v>
      </c>
      <c r="B254" s="4">
        <v>1</v>
      </c>
      <c r="C254" s="7" t="s">
        <v>286</v>
      </c>
      <c r="D254" s="5">
        <v>384</v>
      </c>
      <c r="E254" s="5">
        <v>169</v>
      </c>
      <c r="F254" s="5">
        <v>1081.5999999999999</v>
      </c>
      <c r="G254" s="11">
        <v>6.4</v>
      </c>
      <c r="M254" s="11"/>
      <c r="N254" s="11"/>
    </row>
    <row r="255" spans="1:14" x14ac:dyDescent="0.25">
      <c r="A255" s="4">
        <v>846</v>
      </c>
      <c r="B255" s="4">
        <v>1</v>
      </c>
      <c r="C255" s="7" t="s">
        <v>287</v>
      </c>
      <c r="D255" s="5">
        <v>370</v>
      </c>
      <c r="E255" s="5">
        <v>173</v>
      </c>
      <c r="F255" s="5">
        <v>1066.8333333333333</v>
      </c>
      <c r="G255" s="11">
        <v>6.166666666666667</v>
      </c>
      <c r="M255" s="11"/>
      <c r="N255" s="11"/>
    </row>
    <row r="256" spans="1:14" x14ac:dyDescent="0.25">
      <c r="A256" s="4">
        <v>850</v>
      </c>
      <c r="B256" s="4">
        <v>1</v>
      </c>
      <c r="C256" s="7" t="s">
        <v>288</v>
      </c>
      <c r="D256" s="5">
        <v>360</v>
      </c>
      <c r="E256" s="5">
        <v>172</v>
      </c>
      <c r="F256" s="5">
        <v>1032</v>
      </c>
      <c r="G256" s="11">
        <v>6</v>
      </c>
      <c r="M256" s="11"/>
      <c r="N256" s="11"/>
    </row>
    <row r="257" spans="1:14" x14ac:dyDescent="0.25">
      <c r="A257" s="4">
        <v>852</v>
      </c>
      <c r="B257" s="4">
        <v>1</v>
      </c>
      <c r="C257" s="7" t="s">
        <v>289</v>
      </c>
      <c r="D257" s="5">
        <v>377</v>
      </c>
      <c r="E257" s="5">
        <v>168</v>
      </c>
      <c r="F257" s="5">
        <v>1055.5999999999999</v>
      </c>
      <c r="G257" s="11">
        <v>6.2833333333333332</v>
      </c>
      <c r="M257" s="11"/>
      <c r="N257" s="11"/>
    </row>
    <row r="258" spans="1:14" x14ac:dyDescent="0.25">
      <c r="A258" s="4">
        <v>857</v>
      </c>
      <c r="B258" s="4">
        <v>1</v>
      </c>
      <c r="C258" s="7" t="s">
        <v>290</v>
      </c>
      <c r="D258" s="5">
        <v>380</v>
      </c>
      <c r="E258" s="5">
        <v>173</v>
      </c>
      <c r="F258" s="5">
        <v>1095.6666666666667</v>
      </c>
      <c r="G258" s="11">
        <v>6.333333333333333</v>
      </c>
      <c r="M258" s="11"/>
      <c r="N258" s="11"/>
    </row>
    <row r="259" spans="1:14" x14ac:dyDescent="0.25">
      <c r="A259" s="4">
        <v>858</v>
      </c>
      <c r="B259" s="4">
        <v>1</v>
      </c>
      <c r="C259" s="7" t="s">
        <v>291</v>
      </c>
      <c r="D259" s="5">
        <v>373</v>
      </c>
      <c r="E259" s="5">
        <v>170</v>
      </c>
      <c r="F259" s="5">
        <v>1056.8333333333333</v>
      </c>
      <c r="G259" s="11">
        <v>6.2166666666666668</v>
      </c>
      <c r="M259" s="11"/>
      <c r="N259" s="11"/>
    </row>
    <row r="260" spans="1:14" x14ac:dyDescent="0.25">
      <c r="A260" s="4">
        <v>861</v>
      </c>
      <c r="B260" s="4">
        <v>1</v>
      </c>
      <c r="C260" s="7" t="s">
        <v>292</v>
      </c>
      <c r="D260" s="5">
        <v>353</v>
      </c>
      <c r="E260" s="5">
        <v>169</v>
      </c>
      <c r="F260" s="5">
        <v>994.2833333333333</v>
      </c>
      <c r="G260" s="11">
        <v>5.8833333333333337</v>
      </c>
      <c r="M260" s="11"/>
      <c r="N260" s="11"/>
    </row>
    <row r="261" spans="1:14" x14ac:dyDescent="0.25">
      <c r="A261">
        <v>865</v>
      </c>
      <c r="B261">
        <v>82</v>
      </c>
      <c r="C261" s="7" t="s">
        <v>502</v>
      </c>
      <c r="D261" s="6">
        <v>0</v>
      </c>
      <c r="E261" s="6">
        <v>0</v>
      </c>
      <c r="F261" s="6">
        <v>0</v>
      </c>
      <c r="G261" s="42">
        <v>0</v>
      </c>
      <c r="M261" s="11"/>
      <c r="N261" s="11"/>
    </row>
    <row r="262" spans="1:14" x14ac:dyDescent="0.25">
      <c r="A262">
        <v>866</v>
      </c>
      <c r="B262">
        <v>82</v>
      </c>
      <c r="C262" s="7" t="s">
        <v>502</v>
      </c>
      <c r="D262" s="6">
        <v>0</v>
      </c>
      <c r="E262" s="6">
        <v>0</v>
      </c>
      <c r="F262" s="6">
        <v>0</v>
      </c>
      <c r="G262" s="42">
        <v>0</v>
      </c>
      <c r="M262" s="11"/>
      <c r="N262" s="11"/>
    </row>
    <row r="263" spans="1:14" x14ac:dyDescent="0.25">
      <c r="A263">
        <v>867</v>
      </c>
      <c r="B263">
        <v>82</v>
      </c>
      <c r="C263" s="7" t="s">
        <v>502</v>
      </c>
      <c r="D263" s="6">
        <v>0</v>
      </c>
      <c r="E263" s="6">
        <v>0</v>
      </c>
      <c r="F263" s="6">
        <v>0</v>
      </c>
      <c r="G263" s="42">
        <v>0</v>
      </c>
      <c r="M263" s="11"/>
      <c r="N263" s="11"/>
    </row>
    <row r="264" spans="1:14" x14ac:dyDescent="0.25">
      <c r="A264">
        <v>868</v>
      </c>
      <c r="B264">
        <v>82</v>
      </c>
      <c r="C264" s="7" t="s">
        <v>502</v>
      </c>
      <c r="D264" s="6">
        <v>0</v>
      </c>
      <c r="E264" s="6">
        <v>0</v>
      </c>
      <c r="F264" s="6">
        <v>0</v>
      </c>
      <c r="G264" s="42">
        <v>0</v>
      </c>
      <c r="M264" s="11"/>
      <c r="N264" s="11"/>
    </row>
    <row r="265" spans="1:14" x14ac:dyDescent="0.25">
      <c r="A265">
        <v>869</v>
      </c>
      <c r="B265">
        <v>82</v>
      </c>
      <c r="C265" s="7" t="s">
        <v>502</v>
      </c>
      <c r="D265" s="6">
        <v>0</v>
      </c>
      <c r="E265" s="6">
        <v>0</v>
      </c>
      <c r="F265" s="6">
        <v>0</v>
      </c>
      <c r="G265" s="42">
        <v>0</v>
      </c>
      <c r="M265" s="11"/>
      <c r="N265" s="11"/>
    </row>
    <row r="266" spans="1:14" x14ac:dyDescent="0.25">
      <c r="A266" s="4">
        <v>870</v>
      </c>
      <c r="B266" s="4">
        <v>52</v>
      </c>
      <c r="C266" s="7" t="s">
        <v>502</v>
      </c>
      <c r="D266" s="6">
        <v>0</v>
      </c>
      <c r="E266" s="6">
        <v>0</v>
      </c>
      <c r="F266" s="6">
        <v>0</v>
      </c>
      <c r="G266" s="42">
        <v>0</v>
      </c>
      <c r="M266" s="11"/>
      <c r="N266" s="11"/>
    </row>
    <row r="267" spans="1:14" x14ac:dyDescent="0.25">
      <c r="A267" s="4">
        <v>876</v>
      </c>
      <c r="B267" s="4">
        <v>1</v>
      </c>
      <c r="C267" s="7" t="s">
        <v>293</v>
      </c>
      <c r="D267" s="5">
        <v>378</v>
      </c>
      <c r="E267" s="5">
        <v>170</v>
      </c>
      <c r="F267" s="5">
        <v>1071</v>
      </c>
      <c r="G267" s="11">
        <v>6.3</v>
      </c>
      <c r="M267" s="11"/>
      <c r="N267" s="11"/>
    </row>
    <row r="268" spans="1:14" x14ac:dyDescent="0.25">
      <c r="A268" s="4">
        <v>877</v>
      </c>
      <c r="B268" s="4">
        <v>1</v>
      </c>
      <c r="C268" s="7" t="s">
        <v>294</v>
      </c>
      <c r="D268" s="5">
        <v>377</v>
      </c>
      <c r="E268" s="5">
        <v>168</v>
      </c>
      <c r="F268" s="5">
        <v>1055.5999999999999</v>
      </c>
      <c r="G268" s="11">
        <v>6.2833333333333332</v>
      </c>
      <c r="M268" s="11"/>
      <c r="N268" s="11"/>
    </row>
    <row r="269" spans="1:14" x14ac:dyDescent="0.25">
      <c r="A269" s="4">
        <v>879</v>
      </c>
      <c r="B269" s="4">
        <v>1</v>
      </c>
      <c r="C269" s="7" t="s">
        <v>295</v>
      </c>
      <c r="D269" s="5">
        <v>365</v>
      </c>
      <c r="E269" s="5">
        <v>173</v>
      </c>
      <c r="F269" s="5">
        <v>1052.4166666666667</v>
      </c>
      <c r="G269" s="11">
        <v>6.083333333333333</v>
      </c>
      <c r="M269" s="11"/>
      <c r="N269" s="11"/>
    </row>
    <row r="270" spans="1:14" x14ac:dyDescent="0.25">
      <c r="A270" s="4">
        <v>881</v>
      </c>
      <c r="B270" s="4">
        <v>1</v>
      </c>
      <c r="C270" s="7" t="s">
        <v>296</v>
      </c>
      <c r="D270" s="5">
        <v>385</v>
      </c>
      <c r="E270" s="5">
        <v>170</v>
      </c>
      <c r="F270" s="5">
        <v>1090.8333333333333</v>
      </c>
      <c r="G270" s="11">
        <v>6.416666666666667</v>
      </c>
      <c r="M270" s="11"/>
      <c r="N270" s="11"/>
    </row>
    <row r="271" spans="1:14" x14ac:dyDescent="0.25">
      <c r="A271" s="4">
        <v>882</v>
      </c>
      <c r="B271" s="4">
        <v>1</v>
      </c>
      <c r="C271" s="7" t="s">
        <v>297</v>
      </c>
      <c r="D271" s="5">
        <v>372</v>
      </c>
      <c r="E271" s="5">
        <v>169</v>
      </c>
      <c r="F271" s="5">
        <v>1047.8</v>
      </c>
      <c r="G271" s="11">
        <v>6.2</v>
      </c>
      <c r="M271" s="11"/>
      <c r="N271" s="11"/>
    </row>
    <row r="272" spans="1:14" x14ac:dyDescent="0.25">
      <c r="A272" s="4">
        <v>883</v>
      </c>
      <c r="B272" s="4">
        <v>1</v>
      </c>
      <c r="C272" s="7" t="s">
        <v>298</v>
      </c>
      <c r="D272" s="5">
        <v>381</v>
      </c>
      <c r="E272" s="5">
        <v>170</v>
      </c>
      <c r="F272" s="5">
        <v>1079.5</v>
      </c>
      <c r="G272" s="11">
        <v>6.35</v>
      </c>
      <c r="M272" s="11"/>
      <c r="N272" s="11"/>
    </row>
    <row r="273" spans="1:14" x14ac:dyDescent="0.25">
      <c r="A273" s="4">
        <v>885</v>
      </c>
      <c r="B273" s="4">
        <v>1</v>
      </c>
      <c r="C273" s="7" t="s">
        <v>299</v>
      </c>
      <c r="D273" s="5">
        <v>375</v>
      </c>
      <c r="E273" s="5">
        <v>170</v>
      </c>
      <c r="F273" s="5">
        <v>1062.5</v>
      </c>
      <c r="G273" s="11">
        <v>6.25</v>
      </c>
      <c r="M273" s="11"/>
      <c r="N273" s="11"/>
    </row>
    <row r="274" spans="1:14" x14ac:dyDescent="0.25">
      <c r="A274" s="4">
        <v>891</v>
      </c>
      <c r="B274" s="4">
        <v>1</v>
      </c>
      <c r="C274" s="7" t="s">
        <v>300</v>
      </c>
      <c r="D274" s="5">
        <v>376</v>
      </c>
      <c r="E274" s="5">
        <v>171</v>
      </c>
      <c r="F274" s="5">
        <v>1071.5999999999999</v>
      </c>
      <c r="G274" s="11">
        <v>6.2666666666666666</v>
      </c>
      <c r="M274" s="11"/>
      <c r="N274" s="11"/>
    </row>
    <row r="275" spans="1:14" x14ac:dyDescent="0.25">
      <c r="A275" s="4">
        <v>901</v>
      </c>
      <c r="B275" s="4">
        <v>52</v>
      </c>
      <c r="C275" s="7" t="s">
        <v>502</v>
      </c>
      <c r="D275" s="6">
        <v>0</v>
      </c>
      <c r="E275" s="6">
        <v>0</v>
      </c>
      <c r="F275" s="6">
        <v>0</v>
      </c>
      <c r="G275" s="42">
        <v>0</v>
      </c>
      <c r="M275" s="11"/>
      <c r="N275" s="11"/>
    </row>
    <row r="276" spans="1:14" x14ac:dyDescent="0.25">
      <c r="A276" s="4">
        <v>911</v>
      </c>
      <c r="B276" s="4">
        <v>1</v>
      </c>
      <c r="C276" s="7" t="s">
        <v>301</v>
      </c>
      <c r="D276" s="5">
        <v>383</v>
      </c>
      <c r="E276" s="5">
        <v>171</v>
      </c>
      <c r="F276" s="5">
        <v>1091.55</v>
      </c>
      <c r="G276" s="11">
        <v>6.3833333333333337</v>
      </c>
      <c r="M276" s="11"/>
      <c r="N276" s="11"/>
    </row>
    <row r="277" spans="1:14" x14ac:dyDescent="0.25">
      <c r="A277" s="4">
        <v>912</v>
      </c>
      <c r="B277" s="4">
        <v>1</v>
      </c>
      <c r="C277" s="7" t="s">
        <v>302</v>
      </c>
      <c r="D277" s="5">
        <v>378</v>
      </c>
      <c r="E277" s="5">
        <v>166</v>
      </c>
      <c r="F277" s="5">
        <v>1045.8</v>
      </c>
      <c r="G277" s="11">
        <v>6.3</v>
      </c>
      <c r="M277" s="11"/>
      <c r="N277" s="11"/>
    </row>
    <row r="278" spans="1:14" x14ac:dyDescent="0.25">
      <c r="A278" s="4">
        <v>914</v>
      </c>
      <c r="B278" s="4">
        <v>1</v>
      </c>
      <c r="C278" s="7" t="s">
        <v>303</v>
      </c>
      <c r="D278" s="5">
        <v>388</v>
      </c>
      <c r="E278" s="5">
        <v>172</v>
      </c>
      <c r="F278" s="5">
        <v>1112.2666666666667</v>
      </c>
      <c r="G278" s="11">
        <v>6.4666666666666668</v>
      </c>
      <c r="M278" s="11"/>
      <c r="N278" s="11"/>
    </row>
    <row r="279" spans="1:14" x14ac:dyDescent="0.25">
      <c r="A279" s="4">
        <v>915</v>
      </c>
      <c r="B279" s="4">
        <v>52</v>
      </c>
      <c r="C279" s="7" t="s">
        <v>502</v>
      </c>
      <c r="D279" s="6">
        <v>0</v>
      </c>
      <c r="E279" s="6">
        <v>0</v>
      </c>
      <c r="F279" s="6">
        <v>0</v>
      </c>
      <c r="G279" s="42">
        <v>0</v>
      </c>
      <c r="M279" s="11"/>
      <c r="N279" s="11"/>
    </row>
    <row r="280" spans="1:14" x14ac:dyDescent="0.25">
      <c r="A280" s="4">
        <v>916</v>
      </c>
      <c r="B280" s="4">
        <v>6</v>
      </c>
      <c r="C280" s="7" t="s">
        <v>502</v>
      </c>
      <c r="D280" s="6">
        <v>360</v>
      </c>
      <c r="E280" s="6">
        <v>170</v>
      </c>
      <c r="F280" s="6">
        <v>1020</v>
      </c>
      <c r="G280" s="42">
        <v>6</v>
      </c>
      <c r="M280" s="11"/>
      <c r="N280" s="11"/>
    </row>
    <row r="281" spans="1:14" x14ac:dyDescent="0.25">
      <c r="A281" s="4">
        <v>917</v>
      </c>
      <c r="B281" s="4">
        <v>6</v>
      </c>
      <c r="C281" s="7" t="s">
        <v>502</v>
      </c>
      <c r="D281" s="6">
        <v>0</v>
      </c>
      <c r="E281" s="6">
        <v>0</v>
      </c>
      <c r="F281" s="6">
        <v>0</v>
      </c>
      <c r="G281" s="42">
        <v>0</v>
      </c>
      <c r="M281" s="11"/>
      <c r="N281" s="11"/>
    </row>
    <row r="282" spans="1:14" x14ac:dyDescent="0.25">
      <c r="A282">
        <v>919</v>
      </c>
      <c r="B282">
        <v>51</v>
      </c>
      <c r="C282" s="7" t="s">
        <v>502</v>
      </c>
      <c r="D282" s="6">
        <v>0</v>
      </c>
      <c r="E282" s="6">
        <v>0</v>
      </c>
      <c r="F282" s="6">
        <v>0</v>
      </c>
      <c r="G282" s="42">
        <v>0</v>
      </c>
      <c r="M282" s="11"/>
      <c r="N282" s="11"/>
    </row>
    <row r="283" spans="1:14" x14ac:dyDescent="0.25">
      <c r="A283" s="4">
        <v>920</v>
      </c>
      <c r="B283" s="4">
        <v>83</v>
      </c>
      <c r="C283" s="7" t="s">
        <v>502</v>
      </c>
      <c r="D283" s="6">
        <v>0</v>
      </c>
      <c r="E283" s="6">
        <v>0</v>
      </c>
      <c r="F283" s="6">
        <v>0</v>
      </c>
      <c r="G283" s="42">
        <v>0</v>
      </c>
      <c r="M283" s="11"/>
      <c r="N283" s="11"/>
    </row>
    <row r="284" spans="1:14" x14ac:dyDescent="0.25">
      <c r="A284">
        <v>921</v>
      </c>
      <c r="B284">
        <v>83</v>
      </c>
      <c r="C284" s="7" t="s">
        <v>502</v>
      </c>
      <c r="D284" s="6">
        <v>0</v>
      </c>
      <c r="E284" s="6">
        <v>0</v>
      </c>
      <c r="F284" s="6">
        <v>0</v>
      </c>
      <c r="G284" s="42">
        <v>0</v>
      </c>
      <c r="M284" s="11"/>
      <c r="N284" s="11"/>
    </row>
    <row r="285" spans="1:14" x14ac:dyDescent="0.25">
      <c r="A285" s="4">
        <v>922</v>
      </c>
      <c r="B285" s="4">
        <v>83</v>
      </c>
      <c r="C285" s="7" t="s">
        <v>502</v>
      </c>
      <c r="D285" s="6">
        <v>0</v>
      </c>
      <c r="E285" s="6">
        <v>0</v>
      </c>
      <c r="F285" s="6">
        <v>0</v>
      </c>
      <c r="G285" s="42">
        <v>0</v>
      </c>
      <c r="M285" s="11"/>
      <c r="N285" s="11"/>
    </row>
    <row r="286" spans="1:14" x14ac:dyDescent="0.25">
      <c r="A286">
        <v>923</v>
      </c>
      <c r="B286">
        <v>83</v>
      </c>
      <c r="C286" s="7" t="s">
        <v>502</v>
      </c>
      <c r="D286" s="6">
        <v>0</v>
      </c>
      <c r="E286" s="6">
        <v>0</v>
      </c>
      <c r="F286" s="6">
        <v>0</v>
      </c>
      <c r="G286" s="42">
        <v>0</v>
      </c>
      <c r="M286" s="11"/>
      <c r="N286" s="11"/>
    </row>
    <row r="287" spans="1:14" x14ac:dyDescent="0.25">
      <c r="A287" s="4">
        <v>924</v>
      </c>
      <c r="B287" s="4">
        <v>83</v>
      </c>
      <c r="C287" s="7" t="s">
        <v>502</v>
      </c>
      <c r="D287" s="6">
        <v>0</v>
      </c>
      <c r="E287" s="6">
        <v>0</v>
      </c>
      <c r="F287" s="6">
        <v>0</v>
      </c>
      <c r="G287" s="42">
        <v>0</v>
      </c>
      <c r="M287" s="11"/>
      <c r="N287" s="11"/>
    </row>
    <row r="288" spans="1:14" x14ac:dyDescent="0.25">
      <c r="A288">
        <v>925</v>
      </c>
      <c r="B288">
        <v>82</v>
      </c>
      <c r="C288" s="7" t="s">
        <v>502</v>
      </c>
      <c r="D288" s="6">
        <v>0</v>
      </c>
      <c r="E288" s="6">
        <v>0</v>
      </c>
      <c r="F288" s="6">
        <v>0</v>
      </c>
      <c r="G288" s="42">
        <v>0</v>
      </c>
      <c r="M288" s="11"/>
      <c r="N288" s="11"/>
    </row>
    <row r="289" spans="1:14" x14ac:dyDescent="0.25">
      <c r="A289" s="4">
        <v>926</v>
      </c>
      <c r="B289" s="4">
        <v>83</v>
      </c>
      <c r="C289" s="7" t="s">
        <v>502</v>
      </c>
      <c r="D289" s="6">
        <v>0</v>
      </c>
      <c r="E289" s="6">
        <v>0</v>
      </c>
      <c r="F289" s="6">
        <v>0</v>
      </c>
      <c r="G289" s="42">
        <v>0</v>
      </c>
      <c r="M289" s="11"/>
      <c r="N289" s="11"/>
    </row>
    <row r="290" spans="1:14" x14ac:dyDescent="0.25">
      <c r="A290" s="4">
        <v>927</v>
      </c>
      <c r="B290" s="4">
        <v>83</v>
      </c>
      <c r="C290" s="7" t="s">
        <v>502</v>
      </c>
      <c r="D290" s="6">
        <v>0</v>
      </c>
      <c r="E290" s="6">
        <v>0</v>
      </c>
      <c r="F290" s="6">
        <v>0</v>
      </c>
      <c r="G290" s="42">
        <v>0</v>
      </c>
      <c r="M290" s="11"/>
      <c r="N290" s="11"/>
    </row>
    <row r="291" spans="1:14" x14ac:dyDescent="0.25">
      <c r="A291">
        <v>928</v>
      </c>
      <c r="B291">
        <v>83</v>
      </c>
      <c r="C291" s="7" t="s">
        <v>502</v>
      </c>
      <c r="D291" s="6">
        <v>0</v>
      </c>
      <c r="E291" s="6">
        <v>0</v>
      </c>
      <c r="F291" s="6">
        <v>0</v>
      </c>
      <c r="G291" s="42">
        <v>0</v>
      </c>
      <c r="M291" s="11"/>
      <c r="N291" s="11"/>
    </row>
    <row r="292" spans="1:14" x14ac:dyDescent="0.25">
      <c r="A292" s="4">
        <v>930</v>
      </c>
      <c r="B292" s="4">
        <v>53</v>
      </c>
      <c r="C292" s="7" t="s">
        <v>502</v>
      </c>
      <c r="D292" s="6">
        <v>0</v>
      </c>
      <c r="E292" s="6">
        <v>0</v>
      </c>
      <c r="F292" s="6">
        <v>0</v>
      </c>
      <c r="G292" s="42">
        <v>0</v>
      </c>
      <c r="M292" s="11"/>
      <c r="N292" s="11"/>
    </row>
    <row r="293" spans="1:14" x14ac:dyDescent="0.25">
      <c r="A293" s="4">
        <v>935</v>
      </c>
      <c r="B293" s="4">
        <v>52</v>
      </c>
      <c r="C293" s="7" t="s">
        <v>502</v>
      </c>
      <c r="D293" s="6">
        <v>0</v>
      </c>
      <c r="E293" s="6">
        <v>0</v>
      </c>
      <c r="F293" s="6">
        <v>0</v>
      </c>
      <c r="G293" s="42">
        <v>0</v>
      </c>
      <c r="M293" s="11"/>
      <c r="N293" s="11"/>
    </row>
    <row r="294" spans="1:14" x14ac:dyDescent="0.25">
      <c r="A294" s="4">
        <v>937</v>
      </c>
      <c r="B294" s="4">
        <v>52</v>
      </c>
      <c r="C294" s="7" t="s">
        <v>502</v>
      </c>
      <c r="D294" s="6">
        <v>0</v>
      </c>
      <c r="E294" s="6">
        <v>0</v>
      </c>
      <c r="F294" s="6">
        <v>0</v>
      </c>
      <c r="G294" s="42">
        <v>0</v>
      </c>
      <c r="M294" s="11"/>
      <c r="N294" s="11"/>
    </row>
    <row r="295" spans="1:14" x14ac:dyDescent="0.25">
      <c r="A295" s="4">
        <v>938</v>
      </c>
      <c r="B295" s="4">
        <v>52</v>
      </c>
      <c r="C295" s="7" t="s">
        <v>502</v>
      </c>
      <c r="D295" s="6">
        <v>0</v>
      </c>
      <c r="E295" s="6">
        <v>0</v>
      </c>
      <c r="F295" s="6">
        <v>0</v>
      </c>
      <c r="G295" s="42">
        <v>0</v>
      </c>
      <c r="M295" s="11"/>
      <c r="N295" s="11"/>
    </row>
    <row r="296" spans="1:14" x14ac:dyDescent="0.25">
      <c r="A296">
        <v>957</v>
      </c>
      <c r="B296">
        <v>51</v>
      </c>
      <c r="C296" s="7" t="s">
        <v>502</v>
      </c>
      <c r="D296" s="6">
        <v>0</v>
      </c>
      <c r="E296" s="6">
        <v>0</v>
      </c>
      <c r="F296" s="6">
        <v>0</v>
      </c>
      <c r="G296" s="42">
        <v>0</v>
      </c>
      <c r="M296" s="11"/>
      <c r="N296" s="11"/>
    </row>
    <row r="297" spans="1:14" x14ac:dyDescent="0.25">
      <c r="A297">
        <v>963</v>
      </c>
      <c r="B297">
        <v>51</v>
      </c>
      <c r="C297" s="7" t="s">
        <v>502</v>
      </c>
      <c r="D297" s="6">
        <v>0</v>
      </c>
      <c r="E297" s="6">
        <v>0</v>
      </c>
      <c r="F297" s="6">
        <v>0</v>
      </c>
      <c r="G297" s="42">
        <v>0</v>
      </c>
      <c r="M297" s="11"/>
      <c r="N297" s="11"/>
    </row>
    <row r="298" spans="1:14" x14ac:dyDescent="0.25">
      <c r="A298">
        <v>966</v>
      </c>
      <c r="B298">
        <v>51</v>
      </c>
      <c r="C298" s="7" t="s">
        <v>502</v>
      </c>
      <c r="D298" s="6">
        <v>0</v>
      </c>
      <c r="E298" s="6">
        <v>0</v>
      </c>
      <c r="F298" s="6">
        <v>0</v>
      </c>
      <c r="G298" s="42">
        <v>0</v>
      </c>
      <c r="M298" s="11"/>
      <c r="N298" s="11"/>
    </row>
    <row r="299" spans="1:14" x14ac:dyDescent="0.25">
      <c r="A299" s="4">
        <v>978</v>
      </c>
      <c r="B299" s="4">
        <v>52</v>
      </c>
      <c r="C299" s="7" t="s">
        <v>502</v>
      </c>
      <c r="D299" s="6">
        <v>0</v>
      </c>
      <c r="E299" s="6">
        <v>0</v>
      </c>
      <c r="F299" s="6">
        <v>0</v>
      </c>
      <c r="G299" s="42">
        <v>0</v>
      </c>
      <c r="M299" s="11"/>
      <c r="N299" s="11"/>
    </row>
    <row r="300" spans="1:14" x14ac:dyDescent="0.25">
      <c r="A300">
        <v>985</v>
      </c>
      <c r="B300">
        <v>51</v>
      </c>
      <c r="C300" s="7" t="s">
        <v>502</v>
      </c>
      <c r="D300" s="6">
        <v>0</v>
      </c>
      <c r="E300" s="6">
        <v>0</v>
      </c>
      <c r="F300" s="6">
        <v>0</v>
      </c>
      <c r="G300" s="42">
        <v>0</v>
      </c>
      <c r="M300" s="11"/>
      <c r="N300" s="11"/>
    </row>
    <row r="301" spans="1:14" x14ac:dyDescent="0.25">
      <c r="A301">
        <v>987</v>
      </c>
      <c r="B301">
        <v>82</v>
      </c>
      <c r="C301" s="7" t="s">
        <v>502</v>
      </c>
      <c r="D301" s="6">
        <v>0</v>
      </c>
      <c r="E301" s="6">
        <v>0</v>
      </c>
      <c r="F301" s="6">
        <v>0</v>
      </c>
      <c r="G301" s="42">
        <v>0</v>
      </c>
      <c r="M301" s="11"/>
      <c r="N301" s="11"/>
    </row>
    <row r="302" spans="1:14" x14ac:dyDescent="0.25">
      <c r="A302" s="4">
        <v>991</v>
      </c>
      <c r="B302" s="4">
        <v>83</v>
      </c>
      <c r="C302" s="7" t="s">
        <v>502</v>
      </c>
      <c r="D302" s="6">
        <v>0</v>
      </c>
      <c r="E302" s="6">
        <v>0</v>
      </c>
      <c r="F302" s="6">
        <v>0</v>
      </c>
      <c r="G302" s="42">
        <v>0</v>
      </c>
      <c r="M302" s="11"/>
      <c r="N302" s="11"/>
    </row>
    <row r="303" spans="1:14" x14ac:dyDescent="0.25">
      <c r="A303" s="4">
        <v>993</v>
      </c>
      <c r="B303" s="4">
        <v>52</v>
      </c>
      <c r="C303" s="7" t="s">
        <v>502</v>
      </c>
      <c r="D303" s="6">
        <v>0</v>
      </c>
      <c r="E303" s="6">
        <v>0</v>
      </c>
      <c r="F303" s="6">
        <v>0</v>
      </c>
      <c r="G303" s="42">
        <v>0</v>
      </c>
      <c r="M303" s="11"/>
      <c r="N303" s="11"/>
    </row>
    <row r="304" spans="1:14" x14ac:dyDescent="0.25">
      <c r="A304" s="4">
        <v>997</v>
      </c>
      <c r="B304" s="4">
        <v>52</v>
      </c>
      <c r="C304" s="7" t="s">
        <v>502</v>
      </c>
      <c r="D304" s="6">
        <v>0</v>
      </c>
      <c r="E304" s="6">
        <v>0</v>
      </c>
      <c r="F304" s="6">
        <v>0</v>
      </c>
      <c r="G304" s="42">
        <v>0</v>
      </c>
      <c r="M304" s="11"/>
      <c r="N304" s="11"/>
    </row>
    <row r="305" spans="1:14" x14ac:dyDescent="0.25">
      <c r="A305" s="4">
        <v>998</v>
      </c>
      <c r="B305" s="4">
        <v>52</v>
      </c>
      <c r="C305" s="7" t="s">
        <v>502</v>
      </c>
      <c r="D305" s="6">
        <v>0</v>
      </c>
      <c r="E305" s="6">
        <v>0</v>
      </c>
      <c r="F305" s="6">
        <v>0</v>
      </c>
      <c r="G305" s="42">
        <v>0</v>
      </c>
      <c r="M305" s="11"/>
      <c r="N305" s="11"/>
    </row>
    <row r="306" spans="1:14" x14ac:dyDescent="0.25">
      <c r="A306" s="4">
        <v>1000</v>
      </c>
      <c r="B306" s="4">
        <v>70</v>
      </c>
      <c r="C306" s="7" t="s">
        <v>502</v>
      </c>
      <c r="D306" s="6">
        <v>360</v>
      </c>
      <c r="E306" s="6">
        <v>174</v>
      </c>
      <c r="F306" s="6">
        <v>1044</v>
      </c>
      <c r="G306" s="42">
        <v>6</v>
      </c>
      <c r="M306" s="11"/>
      <c r="N306" s="11"/>
    </row>
    <row r="307" spans="1:14" x14ac:dyDescent="0.25">
      <c r="A307">
        <v>1094</v>
      </c>
      <c r="B307">
        <v>34</v>
      </c>
      <c r="C307" s="7" t="s">
        <v>502</v>
      </c>
      <c r="D307" s="6">
        <v>372</v>
      </c>
      <c r="E307" s="6">
        <v>180</v>
      </c>
      <c r="F307" s="6">
        <v>1116</v>
      </c>
      <c r="G307" s="42">
        <v>6.2</v>
      </c>
      <c r="M307" s="11"/>
      <c r="N307" s="11"/>
    </row>
    <row r="308" spans="1:14" x14ac:dyDescent="0.25">
      <c r="A308" s="4">
        <v>1100</v>
      </c>
      <c r="B308" s="4">
        <v>60</v>
      </c>
      <c r="C308" s="7" t="s">
        <v>502</v>
      </c>
      <c r="D308" s="6">
        <v>0</v>
      </c>
      <c r="E308" s="6">
        <v>0</v>
      </c>
      <c r="F308" s="6">
        <v>0</v>
      </c>
      <c r="G308" s="42">
        <v>0</v>
      </c>
      <c r="M308" s="11"/>
      <c r="N308" s="11"/>
    </row>
    <row r="309" spans="1:14" x14ac:dyDescent="0.25">
      <c r="A309">
        <v>1115</v>
      </c>
      <c r="B309">
        <v>34</v>
      </c>
      <c r="C309" s="7" t="s">
        <v>502</v>
      </c>
      <c r="D309" s="6">
        <v>384</v>
      </c>
      <c r="E309" s="6">
        <v>167</v>
      </c>
      <c r="F309" s="6">
        <v>1068.8</v>
      </c>
      <c r="G309" s="42">
        <v>6.4</v>
      </c>
      <c r="M309" s="11"/>
      <c r="N309" s="11"/>
    </row>
    <row r="310" spans="1:14" x14ac:dyDescent="0.25">
      <c r="A310">
        <v>1435</v>
      </c>
      <c r="B310">
        <v>34</v>
      </c>
      <c r="C310" s="7" t="s">
        <v>502</v>
      </c>
      <c r="D310" s="6">
        <v>405</v>
      </c>
      <c r="E310" s="6">
        <v>169</v>
      </c>
      <c r="F310" s="6">
        <v>1140.75</v>
      </c>
      <c r="G310" s="42">
        <v>6.75</v>
      </c>
      <c r="M310" s="11"/>
      <c r="N310" s="11"/>
    </row>
    <row r="311" spans="1:14" x14ac:dyDescent="0.25">
      <c r="A311">
        <v>1480</v>
      </c>
      <c r="B311">
        <v>34</v>
      </c>
      <c r="C311" s="7" t="s">
        <v>502</v>
      </c>
      <c r="D311" s="6">
        <v>374</v>
      </c>
      <c r="E311" s="6">
        <v>179</v>
      </c>
      <c r="F311" s="6">
        <v>1115.7666666666667</v>
      </c>
      <c r="G311" s="42">
        <v>6.2333333333333334</v>
      </c>
      <c r="M311" s="11"/>
      <c r="N311" s="11"/>
    </row>
    <row r="312" spans="1:14" x14ac:dyDescent="0.25">
      <c r="A312" s="4">
        <v>2071</v>
      </c>
      <c r="B312" s="4">
        <v>1</v>
      </c>
      <c r="C312" s="7" t="s">
        <v>304</v>
      </c>
      <c r="D312" s="5">
        <v>369</v>
      </c>
      <c r="E312" s="5">
        <v>170</v>
      </c>
      <c r="F312" s="5">
        <v>1045.5</v>
      </c>
      <c r="G312" s="11">
        <v>6.15</v>
      </c>
      <c r="M312" s="11"/>
      <c r="N312" s="11"/>
    </row>
    <row r="313" spans="1:14" x14ac:dyDescent="0.25">
      <c r="A313" s="4">
        <v>2125</v>
      </c>
      <c r="B313" s="4">
        <v>1</v>
      </c>
      <c r="C313" s="7" t="s">
        <v>305</v>
      </c>
      <c r="D313" s="5">
        <v>402</v>
      </c>
      <c r="E313" s="5">
        <v>169</v>
      </c>
      <c r="F313" s="5">
        <v>1132.3</v>
      </c>
      <c r="G313" s="11">
        <v>6.7</v>
      </c>
      <c r="M313" s="11"/>
      <c r="N313" s="11"/>
    </row>
    <row r="314" spans="1:14" x14ac:dyDescent="0.25">
      <c r="A314" s="4">
        <v>2134</v>
      </c>
      <c r="B314" s="4">
        <v>1</v>
      </c>
      <c r="C314" s="7" t="s">
        <v>306</v>
      </c>
      <c r="D314" s="5">
        <v>386</v>
      </c>
      <c r="E314" s="5">
        <v>174</v>
      </c>
      <c r="F314" s="5">
        <v>1119.4000000000001</v>
      </c>
      <c r="G314" s="11">
        <v>6.4333333333333336</v>
      </c>
      <c r="M314" s="11"/>
      <c r="N314" s="11"/>
    </row>
    <row r="315" spans="1:14" x14ac:dyDescent="0.25">
      <c r="A315" s="4">
        <v>2135</v>
      </c>
      <c r="B315" s="4">
        <v>1</v>
      </c>
      <c r="C315" s="7" t="s">
        <v>307</v>
      </c>
      <c r="D315" s="5">
        <v>373</v>
      </c>
      <c r="E315" s="5">
        <v>170</v>
      </c>
      <c r="F315" s="5">
        <v>1056.8333333333333</v>
      </c>
      <c r="G315" s="11">
        <v>6.2166666666666668</v>
      </c>
      <c r="M315" s="11"/>
      <c r="N315" s="11"/>
    </row>
    <row r="316" spans="1:14" x14ac:dyDescent="0.25">
      <c r="A316" s="4">
        <v>2137</v>
      </c>
      <c r="B316" s="4">
        <v>1</v>
      </c>
      <c r="C316" s="7" t="s">
        <v>308</v>
      </c>
      <c r="D316" s="5">
        <v>381</v>
      </c>
      <c r="E316" s="5">
        <v>171</v>
      </c>
      <c r="F316" s="5">
        <v>1085.8499999999999</v>
      </c>
      <c r="G316" s="11">
        <v>6.35</v>
      </c>
      <c r="M316" s="11"/>
      <c r="N316" s="11"/>
    </row>
    <row r="317" spans="1:14" x14ac:dyDescent="0.25">
      <c r="A317" s="4">
        <v>2142</v>
      </c>
      <c r="B317" s="4">
        <v>1</v>
      </c>
      <c r="C317" s="7" t="s">
        <v>309</v>
      </c>
      <c r="D317" s="5">
        <v>351</v>
      </c>
      <c r="E317" s="5">
        <v>170</v>
      </c>
      <c r="F317" s="5">
        <v>994.5</v>
      </c>
      <c r="G317" s="11">
        <v>5.85</v>
      </c>
      <c r="M317" s="11"/>
      <c r="N317" s="11"/>
    </row>
    <row r="318" spans="1:14" x14ac:dyDescent="0.25">
      <c r="A318" s="4">
        <v>2143</v>
      </c>
      <c r="B318" s="4">
        <v>1</v>
      </c>
      <c r="C318" s="7" t="s">
        <v>310</v>
      </c>
      <c r="D318" s="5">
        <v>383</v>
      </c>
      <c r="E318" s="5">
        <v>172</v>
      </c>
      <c r="F318" s="5">
        <v>1097.9333333333334</v>
      </c>
      <c r="G318" s="11">
        <v>6.3833333333333337</v>
      </c>
      <c r="M318" s="11"/>
      <c r="N318" s="11"/>
    </row>
    <row r="319" spans="1:14" x14ac:dyDescent="0.25">
      <c r="A319" s="4">
        <v>2144</v>
      </c>
      <c r="B319" s="4">
        <v>1</v>
      </c>
      <c r="C319" s="7" t="s">
        <v>311</v>
      </c>
      <c r="D319" s="5">
        <v>366</v>
      </c>
      <c r="E319" s="5">
        <v>166</v>
      </c>
      <c r="F319" s="5">
        <v>1012.6</v>
      </c>
      <c r="G319" s="11">
        <v>6.1</v>
      </c>
      <c r="M319" s="11"/>
      <c r="N319" s="11"/>
    </row>
    <row r="320" spans="1:14" x14ac:dyDescent="0.25">
      <c r="A320" s="4">
        <v>2149</v>
      </c>
      <c r="B320" s="4">
        <v>1</v>
      </c>
      <c r="C320" s="7" t="s">
        <v>312</v>
      </c>
      <c r="D320" s="5">
        <v>387</v>
      </c>
      <c r="E320" s="5">
        <v>169</v>
      </c>
      <c r="F320" s="5">
        <v>1090.05</v>
      </c>
      <c r="G320" s="11">
        <v>6.45</v>
      </c>
      <c r="M320" s="11"/>
      <c r="N320" s="11"/>
    </row>
    <row r="321" spans="1:14" x14ac:dyDescent="0.25">
      <c r="A321" s="4">
        <v>2154</v>
      </c>
      <c r="B321" s="4">
        <v>1</v>
      </c>
      <c r="C321" s="7" t="s">
        <v>313</v>
      </c>
      <c r="D321" s="5">
        <v>361</v>
      </c>
      <c r="E321" s="5">
        <v>171</v>
      </c>
      <c r="F321" s="5">
        <v>1028.8499999999999</v>
      </c>
      <c r="G321" s="11">
        <v>6.0166666666666666</v>
      </c>
      <c r="M321" s="11"/>
      <c r="N321" s="11"/>
    </row>
    <row r="322" spans="1:14" x14ac:dyDescent="0.25">
      <c r="A322" s="4">
        <v>2155</v>
      </c>
      <c r="B322" s="4">
        <v>1</v>
      </c>
      <c r="C322" s="7" t="s">
        <v>314</v>
      </c>
      <c r="D322" s="5">
        <v>372</v>
      </c>
      <c r="E322" s="5">
        <v>171</v>
      </c>
      <c r="F322" s="5">
        <v>1060.2</v>
      </c>
      <c r="G322" s="11">
        <v>6.2</v>
      </c>
      <c r="M322" s="11"/>
      <c r="N322" s="11"/>
    </row>
    <row r="323" spans="1:14" x14ac:dyDescent="0.25">
      <c r="A323" s="4">
        <v>2159</v>
      </c>
      <c r="B323" s="4">
        <v>1</v>
      </c>
      <c r="C323" s="7" t="s">
        <v>315</v>
      </c>
      <c r="D323" s="5">
        <v>366</v>
      </c>
      <c r="E323" s="5">
        <v>169</v>
      </c>
      <c r="F323" s="5">
        <v>1030.9000000000001</v>
      </c>
      <c r="G323" s="11">
        <v>6.1</v>
      </c>
      <c r="M323" s="11"/>
      <c r="N323" s="11"/>
    </row>
    <row r="324" spans="1:14" x14ac:dyDescent="0.25">
      <c r="A324" s="4">
        <v>2164</v>
      </c>
      <c r="B324" s="4">
        <v>1</v>
      </c>
      <c r="C324" s="7" t="s">
        <v>316</v>
      </c>
      <c r="D324" s="5">
        <v>375</v>
      </c>
      <c r="E324" s="5">
        <v>170</v>
      </c>
      <c r="F324" s="5">
        <v>1062.5</v>
      </c>
      <c r="G324" s="11">
        <v>6.25</v>
      </c>
      <c r="M324" s="11"/>
      <c r="N324" s="11"/>
    </row>
    <row r="325" spans="1:14" x14ac:dyDescent="0.25">
      <c r="A325" s="4">
        <v>2165</v>
      </c>
      <c r="B325" s="4">
        <v>1</v>
      </c>
      <c r="C325" s="7" t="s">
        <v>317</v>
      </c>
      <c r="D325" s="5">
        <v>368</v>
      </c>
      <c r="E325" s="5">
        <v>170</v>
      </c>
      <c r="F325" s="5">
        <v>1042.6666666666667</v>
      </c>
      <c r="G325" s="11">
        <v>6.1333333333333337</v>
      </c>
      <c r="M325" s="11"/>
      <c r="N325" s="11"/>
    </row>
    <row r="326" spans="1:14" x14ac:dyDescent="0.25">
      <c r="A326" s="4">
        <v>2167</v>
      </c>
      <c r="B326" s="4">
        <v>1</v>
      </c>
      <c r="C326" s="7" t="s">
        <v>318</v>
      </c>
      <c r="D326" s="5">
        <v>388</v>
      </c>
      <c r="E326" s="5">
        <v>175</v>
      </c>
      <c r="F326" s="5">
        <v>1131.6666666666667</v>
      </c>
      <c r="G326" s="11">
        <v>6.4666666666666668</v>
      </c>
      <c r="M326" s="11"/>
      <c r="N326" s="11"/>
    </row>
    <row r="327" spans="1:14" x14ac:dyDescent="0.25">
      <c r="A327" s="4">
        <v>2168</v>
      </c>
      <c r="B327" s="4">
        <v>1</v>
      </c>
      <c r="C327" s="7" t="s">
        <v>319</v>
      </c>
      <c r="D327" s="5">
        <v>377</v>
      </c>
      <c r="E327" s="5">
        <v>170</v>
      </c>
      <c r="F327" s="5">
        <v>1068.1666666666667</v>
      </c>
      <c r="G327" s="11">
        <v>6.2833333333333332</v>
      </c>
      <c r="M327" s="11"/>
      <c r="N327" s="11"/>
    </row>
    <row r="328" spans="1:14" x14ac:dyDescent="0.25">
      <c r="A328" s="4">
        <v>2169</v>
      </c>
      <c r="B328" s="4">
        <v>1</v>
      </c>
      <c r="C328" s="7" t="s">
        <v>320</v>
      </c>
      <c r="D328" s="5">
        <v>392</v>
      </c>
      <c r="E328" s="5">
        <v>174</v>
      </c>
      <c r="F328" s="5">
        <v>1136.8</v>
      </c>
      <c r="G328" s="11">
        <v>6.5333333333333332</v>
      </c>
      <c r="M328" s="11"/>
      <c r="N328" s="11"/>
    </row>
    <row r="329" spans="1:14" x14ac:dyDescent="0.25">
      <c r="A329" s="4">
        <v>2170</v>
      </c>
      <c r="B329" s="4">
        <v>1</v>
      </c>
      <c r="C329" s="7" t="s">
        <v>321</v>
      </c>
      <c r="D329" s="5">
        <v>360</v>
      </c>
      <c r="E329" s="5">
        <v>171</v>
      </c>
      <c r="F329" s="5">
        <v>1026</v>
      </c>
      <c r="G329" s="11">
        <v>6</v>
      </c>
      <c r="M329" s="11"/>
      <c r="N329" s="11"/>
    </row>
    <row r="330" spans="1:14" x14ac:dyDescent="0.25">
      <c r="A330" s="4">
        <v>2171</v>
      </c>
      <c r="B330" s="4">
        <v>1</v>
      </c>
      <c r="C330" s="7" t="s">
        <v>322</v>
      </c>
      <c r="D330" s="5">
        <v>370</v>
      </c>
      <c r="E330" s="5">
        <v>165</v>
      </c>
      <c r="F330" s="5">
        <v>1017.5</v>
      </c>
      <c r="G330" s="11">
        <v>6.166666666666667</v>
      </c>
      <c r="M330" s="11"/>
      <c r="N330" s="11"/>
    </row>
    <row r="331" spans="1:14" x14ac:dyDescent="0.25">
      <c r="A331" s="4">
        <v>2172</v>
      </c>
      <c r="B331" s="4">
        <v>1</v>
      </c>
      <c r="C331" s="7" t="s">
        <v>323</v>
      </c>
      <c r="D331" s="5">
        <v>378</v>
      </c>
      <c r="E331" s="5">
        <v>169</v>
      </c>
      <c r="F331" s="5">
        <v>1064.7</v>
      </c>
      <c r="G331" s="11">
        <v>6.3</v>
      </c>
      <c r="M331" s="11"/>
      <c r="N331" s="11"/>
    </row>
    <row r="332" spans="1:14" x14ac:dyDescent="0.25">
      <c r="A332" s="4">
        <v>2174</v>
      </c>
      <c r="B332" s="4">
        <v>1</v>
      </c>
      <c r="C332" s="7" t="s">
        <v>324</v>
      </c>
      <c r="D332" s="5">
        <v>360</v>
      </c>
      <c r="E332" s="5">
        <v>170</v>
      </c>
      <c r="F332" s="5">
        <v>1020</v>
      </c>
      <c r="G332" s="11">
        <v>6</v>
      </c>
      <c r="M332" s="11"/>
      <c r="N332" s="11"/>
    </row>
    <row r="333" spans="1:14" x14ac:dyDescent="0.25">
      <c r="A333" s="4">
        <v>2176</v>
      </c>
      <c r="B333" s="4">
        <v>1</v>
      </c>
      <c r="C333" s="7" t="s">
        <v>325</v>
      </c>
      <c r="D333" s="5">
        <v>380</v>
      </c>
      <c r="E333" s="5">
        <v>168</v>
      </c>
      <c r="F333" s="5">
        <v>1064</v>
      </c>
      <c r="G333" s="11">
        <v>6.333333333333333</v>
      </c>
      <c r="M333" s="11"/>
      <c r="N333" s="11"/>
    </row>
    <row r="334" spans="1:14" x14ac:dyDescent="0.25">
      <c r="A334" s="4">
        <v>2180</v>
      </c>
      <c r="B334" s="4">
        <v>1</v>
      </c>
      <c r="C334" s="7" t="s">
        <v>326</v>
      </c>
      <c r="D334" s="5">
        <v>465</v>
      </c>
      <c r="E334" s="5">
        <v>148</v>
      </c>
      <c r="F334" s="5">
        <v>1147</v>
      </c>
      <c r="G334" s="11">
        <v>7.75</v>
      </c>
    </row>
    <row r="335" spans="1:14" x14ac:dyDescent="0.25">
      <c r="A335" s="4">
        <v>2184</v>
      </c>
      <c r="B335" s="4">
        <v>1</v>
      </c>
      <c r="C335" s="7" t="s">
        <v>327</v>
      </c>
      <c r="D335" s="5">
        <v>393</v>
      </c>
      <c r="E335" s="5">
        <v>174</v>
      </c>
      <c r="F335" s="5">
        <v>1139.7</v>
      </c>
      <c r="G335" s="11">
        <v>6.55</v>
      </c>
      <c r="M335" s="11"/>
      <c r="N335" s="11"/>
    </row>
    <row r="336" spans="1:14" x14ac:dyDescent="0.25">
      <c r="A336" s="4">
        <v>2190</v>
      </c>
      <c r="B336" s="4">
        <v>1</v>
      </c>
      <c r="C336" s="7" t="s">
        <v>328</v>
      </c>
      <c r="D336" s="5">
        <v>373</v>
      </c>
      <c r="E336" s="5">
        <v>167</v>
      </c>
      <c r="F336" s="5">
        <v>1038.1833333333334</v>
      </c>
      <c r="G336" s="11">
        <v>6.2166666666666668</v>
      </c>
      <c r="M336" s="11"/>
      <c r="N336" s="11"/>
    </row>
    <row r="337" spans="1:14" x14ac:dyDescent="0.25">
      <c r="A337" s="4">
        <v>2198</v>
      </c>
      <c r="B337" s="4">
        <v>1</v>
      </c>
      <c r="C337" s="7" t="s">
        <v>329</v>
      </c>
      <c r="D337" s="5">
        <v>395</v>
      </c>
      <c r="E337" s="5">
        <v>171</v>
      </c>
      <c r="F337" s="5">
        <v>1125.75</v>
      </c>
      <c r="G337" s="11">
        <v>6.583333333333333</v>
      </c>
      <c r="M337" s="11"/>
      <c r="N337" s="11"/>
    </row>
    <row r="338" spans="1:14" x14ac:dyDescent="0.25">
      <c r="A338" s="4">
        <v>2215</v>
      </c>
      <c r="B338" s="4">
        <v>1</v>
      </c>
      <c r="C338" s="7" t="s">
        <v>330</v>
      </c>
      <c r="D338" s="5">
        <v>360</v>
      </c>
      <c r="E338" s="5">
        <v>167</v>
      </c>
      <c r="F338" s="5">
        <v>1002</v>
      </c>
      <c r="G338" s="11">
        <v>6</v>
      </c>
      <c r="M338" s="11"/>
      <c r="N338" s="11"/>
    </row>
    <row r="339" spans="1:14" x14ac:dyDescent="0.25">
      <c r="A339" s="4">
        <v>2310</v>
      </c>
      <c r="B339" s="4">
        <v>1</v>
      </c>
      <c r="C339" s="7" t="s">
        <v>331</v>
      </c>
      <c r="D339" s="5">
        <v>391</v>
      </c>
      <c r="E339" s="5">
        <v>169</v>
      </c>
      <c r="F339" s="5">
        <v>1101.3166666666666</v>
      </c>
      <c r="G339" s="11">
        <v>6.5166666666666666</v>
      </c>
      <c r="M339" s="11"/>
      <c r="N339" s="11"/>
    </row>
    <row r="340" spans="1:14" x14ac:dyDescent="0.25">
      <c r="A340" s="4">
        <v>2311</v>
      </c>
      <c r="B340" s="4">
        <v>1</v>
      </c>
      <c r="C340" s="7" t="s">
        <v>332</v>
      </c>
      <c r="D340" s="5">
        <v>474</v>
      </c>
      <c r="E340" s="5">
        <v>142</v>
      </c>
      <c r="F340" s="5">
        <v>1121.8</v>
      </c>
      <c r="G340" s="11">
        <v>7.9</v>
      </c>
      <c r="M340" s="11"/>
      <c r="N340" s="11"/>
    </row>
    <row r="341" spans="1:14" x14ac:dyDescent="0.25">
      <c r="A341" s="4">
        <v>2342</v>
      </c>
      <c r="B341" s="4">
        <v>1</v>
      </c>
      <c r="C341" s="7" t="s">
        <v>333</v>
      </c>
      <c r="D341" s="5">
        <v>384</v>
      </c>
      <c r="E341" s="5">
        <v>171</v>
      </c>
      <c r="F341" s="5">
        <v>1094.4000000000001</v>
      </c>
      <c r="G341" s="11">
        <v>6.4</v>
      </c>
      <c r="M341" s="11"/>
      <c r="N341" s="11"/>
    </row>
    <row r="342" spans="1:14" x14ac:dyDescent="0.25">
      <c r="A342" s="4">
        <v>2358</v>
      </c>
      <c r="B342" s="4">
        <v>1</v>
      </c>
      <c r="C342" s="7" t="s">
        <v>334</v>
      </c>
      <c r="D342" s="5">
        <v>366</v>
      </c>
      <c r="E342" s="5">
        <v>172</v>
      </c>
      <c r="F342" s="5">
        <v>1049.2</v>
      </c>
      <c r="G342" s="11">
        <v>6.1</v>
      </c>
    </row>
    <row r="343" spans="1:14" x14ac:dyDescent="0.25">
      <c r="A343" s="4">
        <v>2364</v>
      </c>
      <c r="B343" s="4">
        <v>1</v>
      </c>
      <c r="C343" s="7" t="s">
        <v>335</v>
      </c>
      <c r="D343" s="5">
        <v>444</v>
      </c>
      <c r="E343" s="5">
        <v>148</v>
      </c>
      <c r="F343" s="5">
        <v>1095.2</v>
      </c>
      <c r="G343" s="11">
        <v>7.4</v>
      </c>
    </row>
    <row r="344" spans="1:14" x14ac:dyDescent="0.25">
      <c r="A344" s="4">
        <v>2365</v>
      </c>
      <c r="B344" s="4">
        <v>1</v>
      </c>
      <c r="C344" s="7" t="s">
        <v>336</v>
      </c>
      <c r="D344" s="5">
        <v>377</v>
      </c>
      <c r="E344" s="5">
        <v>170</v>
      </c>
      <c r="F344" s="5">
        <v>1068.1666666666667</v>
      </c>
      <c r="G344" s="11">
        <v>6.2833333333333332</v>
      </c>
      <c r="M344" s="11"/>
      <c r="N344" s="11"/>
    </row>
    <row r="345" spans="1:14" x14ac:dyDescent="0.25">
      <c r="A345" s="4">
        <v>2396</v>
      </c>
      <c r="B345" s="4">
        <v>1</v>
      </c>
      <c r="C345" s="7" t="s">
        <v>337</v>
      </c>
      <c r="D345" s="5">
        <v>429</v>
      </c>
      <c r="E345" s="5">
        <v>145</v>
      </c>
      <c r="F345" s="5">
        <v>1036.75</v>
      </c>
      <c r="G345" s="11">
        <v>7.15</v>
      </c>
      <c r="M345" s="11"/>
      <c r="N345" s="11"/>
    </row>
    <row r="346" spans="1:14" x14ac:dyDescent="0.25">
      <c r="A346" s="4">
        <v>2397</v>
      </c>
      <c r="B346" s="4">
        <v>1</v>
      </c>
      <c r="C346" s="7" t="s">
        <v>338</v>
      </c>
      <c r="D346" s="5">
        <v>383</v>
      </c>
      <c r="E346" s="5">
        <v>170</v>
      </c>
      <c r="F346" s="5">
        <v>1085.1666666666667</v>
      </c>
      <c r="G346" s="11">
        <v>6.3833333333333337</v>
      </c>
      <c r="M346" s="11"/>
      <c r="N346" s="11"/>
    </row>
    <row r="347" spans="1:14" x14ac:dyDescent="0.25">
      <c r="A347" s="4">
        <v>2448</v>
      </c>
      <c r="B347" s="4">
        <v>1</v>
      </c>
      <c r="C347" s="7" t="s">
        <v>339</v>
      </c>
      <c r="D347" s="5">
        <v>364</v>
      </c>
      <c r="E347" s="5">
        <v>171</v>
      </c>
      <c r="F347" s="5">
        <v>1037.4000000000001</v>
      </c>
      <c r="G347" s="11">
        <v>6.0666666666666664</v>
      </c>
      <c r="M347" s="11"/>
      <c r="N347" s="11"/>
    </row>
    <row r="348" spans="1:14" x14ac:dyDescent="0.25">
      <c r="A348" s="4">
        <v>2527</v>
      </c>
      <c r="B348" s="4">
        <v>1</v>
      </c>
      <c r="C348" s="7" t="s">
        <v>340</v>
      </c>
      <c r="D348" s="5">
        <v>392</v>
      </c>
      <c r="E348" s="5">
        <v>169</v>
      </c>
      <c r="F348" s="5">
        <v>1104.1333333333334</v>
      </c>
      <c r="G348" s="11">
        <v>6.5333333333333332</v>
      </c>
    </row>
    <row r="349" spans="1:14" x14ac:dyDescent="0.25">
      <c r="A349" s="4">
        <v>2534</v>
      </c>
      <c r="B349" s="4">
        <v>1</v>
      </c>
      <c r="C349" s="7" t="s">
        <v>341</v>
      </c>
      <c r="D349" s="5">
        <v>378</v>
      </c>
      <c r="E349" s="5">
        <v>167</v>
      </c>
      <c r="F349" s="5">
        <v>1052.0999999999999</v>
      </c>
      <c r="G349" s="11">
        <v>6.3</v>
      </c>
    </row>
    <row r="350" spans="1:14" x14ac:dyDescent="0.25">
      <c r="A350" s="4">
        <v>2536</v>
      </c>
      <c r="B350" s="4">
        <v>1</v>
      </c>
      <c r="C350" s="7" t="s">
        <v>342</v>
      </c>
      <c r="D350" s="5">
        <v>378</v>
      </c>
      <c r="E350" s="5">
        <v>169</v>
      </c>
      <c r="F350" s="5">
        <v>1064.7</v>
      </c>
      <c r="G350" s="11">
        <v>6.3</v>
      </c>
      <c r="M350" s="11"/>
      <c r="N350" s="11"/>
    </row>
    <row r="351" spans="1:14" x14ac:dyDescent="0.25">
      <c r="A351" s="4">
        <v>2580</v>
      </c>
      <c r="B351" s="4">
        <v>1</v>
      </c>
      <c r="C351" s="7" t="s">
        <v>343</v>
      </c>
      <c r="D351" s="5">
        <v>382</v>
      </c>
      <c r="E351" s="5">
        <v>170</v>
      </c>
      <c r="F351" s="5">
        <v>1082.3333333333333</v>
      </c>
      <c r="G351" s="11">
        <v>6.3666666666666663</v>
      </c>
      <c r="M351" s="11"/>
      <c r="N351" s="11"/>
    </row>
    <row r="352" spans="1:14" x14ac:dyDescent="0.25">
      <c r="A352" s="4">
        <v>2609</v>
      </c>
      <c r="B352" s="4">
        <v>1</v>
      </c>
      <c r="C352" s="7" t="s">
        <v>344</v>
      </c>
      <c r="D352" s="5">
        <v>366</v>
      </c>
      <c r="E352" s="5">
        <v>169</v>
      </c>
      <c r="F352" s="5">
        <v>1030.9000000000001</v>
      </c>
      <c r="G352" s="11">
        <v>6.1</v>
      </c>
    </row>
    <row r="353" spans="1:14" x14ac:dyDescent="0.25">
      <c r="A353" s="4">
        <v>2683</v>
      </c>
      <c r="B353" s="4">
        <v>1</v>
      </c>
      <c r="C353" s="7" t="s">
        <v>345</v>
      </c>
      <c r="D353" s="5">
        <v>372</v>
      </c>
      <c r="E353" s="5">
        <v>171</v>
      </c>
      <c r="F353" s="5">
        <v>1060.2</v>
      </c>
      <c r="G353" s="11">
        <v>6.2</v>
      </c>
      <c r="M353" s="11"/>
      <c r="N353" s="11"/>
    </row>
    <row r="354" spans="1:14" x14ac:dyDescent="0.25">
      <c r="A354" s="4">
        <v>2687</v>
      </c>
      <c r="B354" s="4">
        <v>1</v>
      </c>
      <c r="C354" s="7" t="s">
        <v>346</v>
      </c>
      <c r="D354" s="5">
        <v>373</v>
      </c>
      <c r="E354" s="5">
        <v>172</v>
      </c>
      <c r="F354" s="5">
        <v>1069.2666666666667</v>
      </c>
      <c r="G354" s="11">
        <v>6.2166666666666668</v>
      </c>
      <c r="M354" s="11"/>
      <c r="N354" s="11"/>
    </row>
    <row r="355" spans="1:14" x14ac:dyDescent="0.25">
      <c r="A355" s="4">
        <v>2689</v>
      </c>
      <c r="B355" s="4">
        <v>1</v>
      </c>
      <c r="C355" s="7" t="s">
        <v>347</v>
      </c>
      <c r="D355" s="5">
        <v>370</v>
      </c>
      <c r="E355" s="5">
        <v>173</v>
      </c>
      <c r="F355" s="5">
        <v>1066.8333333333333</v>
      </c>
      <c r="G355" s="11">
        <v>6.166666666666667</v>
      </c>
    </row>
    <row r="356" spans="1:14" x14ac:dyDescent="0.25">
      <c r="A356" s="4">
        <v>2711</v>
      </c>
      <c r="B356" s="4">
        <v>1</v>
      </c>
      <c r="C356" s="7" t="s">
        <v>348</v>
      </c>
      <c r="D356" s="5">
        <v>383</v>
      </c>
      <c r="E356" s="5">
        <v>164</v>
      </c>
      <c r="F356" s="5">
        <v>1046.8666666666666</v>
      </c>
      <c r="G356" s="11">
        <v>6.3833333333333337</v>
      </c>
      <c r="M356" s="11"/>
      <c r="N356" s="11"/>
    </row>
    <row r="357" spans="1:14" x14ac:dyDescent="0.25">
      <c r="A357" s="4">
        <v>2752</v>
      </c>
      <c r="B357" s="4">
        <v>1</v>
      </c>
      <c r="C357" s="7" t="s">
        <v>349</v>
      </c>
      <c r="D357" s="5">
        <v>370</v>
      </c>
      <c r="E357" s="5">
        <v>170</v>
      </c>
      <c r="F357" s="5">
        <v>1048.3333333333333</v>
      </c>
      <c r="G357" s="11">
        <v>6.166666666666667</v>
      </c>
      <c r="M357" s="11"/>
      <c r="N357" s="11"/>
    </row>
    <row r="358" spans="1:14" x14ac:dyDescent="0.25">
      <c r="A358" s="4">
        <v>2753</v>
      </c>
      <c r="B358" s="4">
        <v>1</v>
      </c>
      <c r="C358" s="7" t="s">
        <v>350</v>
      </c>
      <c r="D358" s="5">
        <v>381</v>
      </c>
      <c r="E358" s="5">
        <v>172</v>
      </c>
      <c r="F358" s="5">
        <v>1092.2</v>
      </c>
      <c r="G358" s="11">
        <v>6.35</v>
      </c>
      <c r="M358" s="11"/>
      <c r="N358" s="11"/>
    </row>
    <row r="359" spans="1:14" x14ac:dyDescent="0.25">
      <c r="A359" s="4">
        <v>2754</v>
      </c>
      <c r="B359" s="4">
        <v>1</v>
      </c>
      <c r="C359" s="7" t="s">
        <v>351</v>
      </c>
      <c r="D359" s="5">
        <v>381</v>
      </c>
      <c r="E359" s="5">
        <v>170</v>
      </c>
      <c r="F359" s="5">
        <v>1079.5</v>
      </c>
      <c r="G359" s="11">
        <v>6.35</v>
      </c>
      <c r="M359" s="11"/>
      <c r="N359" s="11"/>
    </row>
    <row r="360" spans="1:14" x14ac:dyDescent="0.25">
      <c r="A360" s="4">
        <v>2759</v>
      </c>
      <c r="B360" s="4">
        <v>1</v>
      </c>
      <c r="C360" s="7" t="s">
        <v>352</v>
      </c>
      <c r="D360" s="5">
        <v>379</v>
      </c>
      <c r="E360" s="5">
        <v>169</v>
      </c>
      <c r="F360" s="5">
        <v>1067.5166666666667</v>
      </c>
      <c r="G360" s="11">
        <v>6.3166666666666664</v>
      </c>
      <c r="M360" s="11"/>
      <c r="N360" s="11"/>
    </row>
    <row r="361" spans="1:14" x14ac:dyDescent="0.25">
      <c r="A361" s="4">
        <v>2769</v>
      </c>
      <c r="B361" s="4">
        <v>1</v>
      </c>
      <c r="C361" s="7" t="s">
        <v>219</v>
      </c>
      <c r="D361" s="5">
        <v>371</v>
      </c>
      <c r="E361" s="5">
        <v>172</v>
      </c>
      <c r="F361" s="5">
        <v>1063.5333333333333</v>
      </c>
      <c r="G361" s="11">
        <v>6.1833333333333336</v>
      </c>
      <c r="M361" s="11"/>
      <c r="N361" s="11"/>
    </row>
    <row r="362" spans="1:14" x14ac:dyDescent="0.25">
      <c r="A362" s="4">
        <v>2805</v>
      </c>
      <c r="B362" s="4">
        <v>1</v>
      </c>
      <c r="C362" s="7" t="s">
        <v>353</v>
      </c>
      <c r="D362" s="5">
        <v>390</v>
      </c>
      <c r="E362" s="5">
        <v>168</v>
      </c>
      <c r="F362" s="5">
        <v>1092</v>
      </c>
      <c r="G362" s="11">
        <v>6.5</v>
      </c>
      <c r="M362" s="11"/>
      <c r="N362" s="11"/>
    </row>
    <row r="363" spans="1:14" x14ac:dyDescent="0.25">
      <c r="A363" s="4">
        <v>2835</v>
      </c>
      <c r="B363" s="4">
        <v>1</v>
      </c>
      <c r="C363" s="7" t="s">
        <v>354</v>
      </c>
      <c r="D363" s="5">
        <v>389</v>
      </c>
      <c r="E363" s="5">
        <v>171</v>
      </c>
      <c r="F363" s="5">
        <v>1108.6500000000001</v>
      </c>
      <c r="G363" s="11">
        <v>6.4833333333333334</v>
      </c>
      <c r="M363" s="11"/>
      <c r="N363" s="11"/>
    </row>
    <row r="364" spans="1:14" x14ac:dyDescent="0.25">
      <c r="A364" s="4">
        <v>2853</v>
      </c>
      <c r="B364" s="4">
        <v>1</v>
      </c>
      <c r="C364" s="7" t="s">
        <v>355</v>
      </c>
      <c r="D364" s="5">
        <v>375</v>
      </c>
      <c r="E364" s="5">
        <v>172</v>
      </c>
      <c r="F364" s="5">
        <v>1075</v>
      </c>
      <c r="G364" s="11">
        <v>6.25</v>
      </c>
      <c r="M364" s="11"/>
      <c r="N364" s="11"/>
    </row>
    <row r="365" spans="1:14" x14ac:dyDescent="0.25">
      <c r="A365" s="4">
        <v>2854</v>
      </c>
      <c r="B365" s="4">
        <v>1</v>
      </c>
      <c r="C365" s="7" t="s">
        <v>356</v>
      </c>
      <c r="D365" s="5">
        <v>381</v>
      </c>
      <c r="E365" s="5">
        <v>169</v>
      </c>
      <c r="F365" s="5">
        <v>1073.1500000000001</v>
      </c>
      <c r="G365" s="11">
        <v>6.35</v>
      </c>
      <c r="M365" s="11"/>
      <c r="N365" s="11"/>
    </row>
    <row r="366" spans="1:14" x14ac:dyDescent="0.25">
      <c r="A366" s="4">
        <v>2856</v>
      </c>
      <c r="B366" s="4">
        <v>1</v>
      </c>
      <c r="C366" s="7" t="s">
        <v>357</v>
      </c>
      <c r="D366" s="5">
        <v>375</v>
      </c>
      <c r="E366" s="5">
        <v>168</v>
      </c>
      <c r="F366" s="5">
        <v>1050</v>
      </c>
      <c r="G366" s="11">
        <v>6.25</v>
      </c>
      <c r="M366" s="11"/>
      <c r="N366" s="11"/>
    </row>
    <row r="367" spans="1:14" x14ac:dyDescent="0.25">
      <c r="A367" s="4">
        <v>2859</v>
      </c>
      <c r="B367" s="4">
        <v>1</v>
      </c>
      <c r="C367" s="7" t="s">
        <v>358</v>
      </c>
      <c r="D367" s="5">
        <v>377</v>
      </c>
      <c r="E367" s="5">
        <v>171</v>
      </c>
      <c r="F367" s="5">
        <v>1074.45</v>
      </c>
      <c r="G367" s="11">
        <v>6.2833333333333332</v>
      </c>
      <c r="M367" s="11"/>
      <c r="N367" s="11"/>
    </row>
    <row r="368" spans="1:14" x14ac:dyDescent="0.25">
      <c r="A368" s="4">
        <v>2860</v>
      </c>
      <c r="B368" s="4">
        <v>1</v>
      </c>
      <c r="C368" s="7" t="s">
        <v>359</v>
      </c>
      <c r="D368" s="5">
        <v>383</v>
      </c>
      <c r="E368" s="5">
        <v>168</v>
      </c>
      <c r="F368" s="5">
        <v>1072.4000000000001</v>
      </c>
      <c r="G368" s="11">
        <v>6.3833333333333337</v>
      </c>
      <c r="M368" s="11"/>
      <c r="N368" s="11"/>
    </row>
    <row r="369" spans="1:14" x14ac:dyDescent="0.25">
      <c r="A369" s="4">
        <v>2884</v>
      </c>
      <c r="B369" s="4">
        <v>1</v>
      </c>
      <c r="C369" s="7" t="s">
        <v>360</v>
      </c>
      <c r="D369" s="5">
        <v>382</v>
      </c>
      <c r="E369" s="5">
        <v>172</v>
      </c>
      <c r="F369" s="5">
        <v>1095.0666666666666</v>
      </c>
      <c r="G369" s="11">
        <v>6.3666666666666663</v>
      </c>
      <c r="M369" s="11"/>
      <c r="N369" s="11"/>
    </row>
    <row r="370" spans="1:14" x14ac:dyDescent="0.25">
      <c r="A370" s="4">
        <v>2886</v>
      </c>
      <c r="B370" s="4">
        <v>1</v>
      </c>
      <c r="C370" s="7" t="s">
        <v>361</v>
      </c>
      <c r="D370" s="5">
        <v>370</v>
      </c>
      <c r="E370" s="5">
        <v>170</v>
      </c>
      <c r="F370" s="5">
        <v>1048.3333333333333</v>
      </c>
      <c r="G370" s="11">
        <v>6.166666666666667</v>
      </c>
      <c r="M370" s="11"/>
      <c r="N370" s="11"/>
    </row>
    <row r="371" spans="1:14" x14ac:dyDescent="0.25">
      <c r="A371" s="4">
        <v>2888</v>
      </c>
      <c r="B371" s="4">
        <v>1</v>
      </c>
      <c r="C371" s="7" t="s">
        <v>362</v>
      </c>
      <c r="D371" s="5">
        <v>371</v>
      </c>
      <c r="E371" s="5">
        <v>173</v>
      </c>
      <c r="F371" s="5">
        <v>1069.7166666666667</v>
      </c>
      <c r="G371" s="11">
        <v>6.1833333333333336</v>
      </c>
      <c r="M371" s="11"/>
      <c r="N371" s="11"/>
    </row>
    <row r="372" spans="1:14" x14ac:dyDescent="0.25">
      <c r="A372" s="4">
        <v>2889</v>
      </c>
      <c r="B372" s="4">
        <v>1</v>
      </c>
      <c r="C372" s="7" t="s">
        <v>363</v>
      </c>
      <c r="D372" s="5">
        <v>371</v>
      </c>
      <c r="E372" s="5">
        <v>173</v>
      </c>
      <c r="F372" s="5">
        <v>1069.7166666666667</v>
      </c>
      <c r="G372" s="11">
        <v>6.1833333333333336</v>
      </c>
      <c r="M372" s="11"/>
      <c r="N372" s="11"/>
    </row>
    <row r="373" spans="1:14" x14ac:dyDescent="0.25">
      <c r="A373" s="4">
        <v>2890</v>
      </c>
      <c r="B373" s="4">
        <v>1</v>
      </c>
      <c r="C373" s="7" t="s">
        <v>364</v>
      </c>
      <c r="D373" s="5">
        <v>384</v>
      </c>
      <c r="E373" s="5">
        <v>173</v>
      </c>
      <c r="F373" s="5">
        <v>1107.2</v>
      </c>
      <c r="G373" s="11">
        <v>6.4</v>
      </c>
      <c r="M373" s="11"/>
      <c r="N373" s="11"/>
    </row>
    <row r="374" spans="1:14" x14ac:dyDescent="0.25">
      <c r="A374" s="4">
        <v>2895</v>
      </c>
      <c r="B374" s="4">
        <v>1</v>
      </c>
      <c r="C374" s="7" t="s">
        <v>365</v>
      </c>
      <c r="D374" s="5">
        <v>391</v>
      </c>
      <c r="E374" s="5">
        <v>173</v>
      </c>
      <c r="F374" s="5">
        <v>1127.3833333333334</v>
      </c>
      <c r="G374" s="11">
        <v>6.5166666666666666</v>
      </c>
      <c r="M374" s="11"/>
      <c r="N374" s="11"/>
    </row>
    <row r="375" spans="1:14" x14ac:dyDescent="0.25">
      <c r="A375" s="4">
        <v>2897</v>
      </c>
      <c r="B375" s="4">
        <v>1</v>
      </c>
      <c r="C375" s="7" t="s">
        <v>366</v>
      </c>
      <c r="D375" s="5">
        <v>370</v>
      </c>
      <c r="E375" s="5">
        <v>174</v>
      </c>
      <c r="F375" s="5">
        <v>1073</v>
      </c>
      <c r="G375" s="11">
        <v>6.166666666666667</v>
      </c>
      <c r="M375" s="11"/>
      <c r="N375" s="11"/>
    </row>
    <row r="376" spans="1:14" x14ac:dyDescent="0.25">
      <c r="A376" s="4">
        <v>2898</v>
      </c>
      <c r="B376" s="4">
        <v>1</v>
      </c>
      <c r="C376" s="7" t="s">
        <v>367</v>
      </c>
      <c r="D376" s="5">
        <v>378</v>
      </c>
      <c r="E376" s="5">
        <v>174</v>
      </c>
      <c r="F376" s="5">
        <v>1096.2</v>
      </c>
      <c r="G376" s="11">
        <v>6.3</v>
      </c>
      <c r="M376" s="11"/>
      <c r="N376" s="11"/>
    </row>
    <row r="377" spans="1:14" x14ac:dyDescent="0.25">
      <c r="A377" s="4">
        <v>2899</v>
      </c>
      <c r="B377" s="4">
        <v>1</v>
      </c>
      <c r="C377" s="7" t="s">
        <v>368</v>
      </c>
      <c r="D377" s="5">
        <v>376</v>
      </c>
      <c r="E377" s="5">
        <v>168</v>
      </c>
      <c r="F377" s="5">
        <v>1052.8</v>
      </c>
      <c r="G377" s="11">
        <v>6.2666666666666666</v>
      </c>
      <c r="M377" s="11"/>
      <c r="N377" s="11"/>
    </row>
    <row r="378" spans="1:14" x14ac:dyDescent="0.25">
      <c r="A378" s="4">
        <v>2902</v>
      </c>
      <c r="B378" s="4">
        <v>1</v>
      </c>
      <c r="C378" s="7" t="s">
        <v>369</v>
      </c>
      <c r="D378" s="5">
        <v>396</v>
      </c>
      <c r="E378" s="5">
        <v>173</v>
      </c>
      <c r="F378" s="5">
        <v>1141.8</v>
      </c>
      <c r="G378" s="11">
        <v>6.6</v>
      </c>
      <c r="M378" s="11"/>
      <c r="N378" s="11"/>
    </row>
    <row r="379" spans="1:14" x14ac:dyDescent="0.25">
      <c r="A379" s="4">
        <v>2903</v>
      </c>
      <c r="B379" s="4">
        <v>1</v>
      </c>
      <c r="C379" s="7" t="s">
        <v>153</v>
      </c>
      <c r="D379" s="5">
        <v>385</v>
      </c>
      <c r="E379" s="5">
        <v>169</v>
      </c>
      <c r="F379" s="5">
        <v>1084.4166666666667</v>
      </c>
      <c r="G379" s="11">
        <v>6.416666666666667</v>
      </c>
      <c r="M379" s="11"/>
      <c r="N379" s="11"/>
    </row>
    <row r="380" spans="1:14" x14ac:dyDescent="0.25">
      <c r="A380" s="4">
        <v>2904</v>
      </c>
      <c r="B380" s="4">
        <v>1</v>
      </c>
      <c r="C380" s="7" t="s">
        <v>162</v>
      </c>
      <c r="D380" s="5">
        <v>394</v>
      </c>
      <c r="E380" s="5">
        <v>174</v>
      </c>
      <c r="F380" s="5">
        <v>1142.5999999999999</v>
      </c>
      <c r="G380" s="11">
        <v>6.5666666666666664</v>
      </c>
      <c r="M380" s="11"/>
      <c r="N380" s="11"/>
    </row>
    <row r="381" spans="1:14" x14ac:dyDescent="0.25">
      <c r="A381" s="4">
        <v>2905</v>
      </c>
      <c r="B381" s="4">
        <v>1</v>
      </c>
      <c r="C381" s="7" t="s">
        <v>158</v>
      </c>
      <c r="D381" s="5">
        <v>384</v>
      </c>
      <c r="E381" s="5">
        <v>171</v>
      </c>
      <c r="F381" s="5">
        <v>1094.4000000000001</v>
      </c>
      <c r="G381" s="11">
        <v>6.4</v>
      </c>
      <c r="M381" s="11"/>
      <c r="N381" s="11"/>
    </row>
    <row r="382" spans="1:14" x14ac:dyDescent="0.25">
      <c r="A382" s="4">
        <v>2906</v>
      </c>
      <c r="B382" s="4">
        <v>1</v>
      </c>
      <c r="C382" s="7" t="s">
        <v>225</v>
      </c>
      <c r="D382" s="5">
        <v>366</v>
      </c>
      <c r="E382" s="5">
        <v>171</v>
      </c>
      <c r="F382" s="5">
        <v>1043.0999999999999</v>
      </c>
      <c r="G382" s="11">
        <v>6.1</v>
      </c>
      <c r="M382" s="11"/>
      <c r="N382" s="11"/>
    </row>
    <row r="383" spans="1:14" x14ac:dyDescent="0.25">
      <c r="A383" s="4">
        <v>2907</v>
      </c>
      <c r="B383" s="4">
        <v>1</v>
      </c>
      <c r="C383" s="7" t="s">
        <v>193</v>
      </c>
      <c r="D383" s="5">
        <v>391</v>
      </c>
      <c r="E383" s="5">
        <v>171</v>
      </c>
      <c r="F383" s="5">
        <v>1114.3499999999999</v>
      </c>
      <c r="G383" s="11">
        <v>6.5166666666666666</v>
      </c>
      <c r="M383" s="11"/>
      <c r="N383" s="11"/>
    </row>
    <row r="384" spans="1:14" x14ac:dyDescent="0.25">
      <c r="A384" s="4">
        <v>2908</v>
      </c>
      <c r="B384" s="4">
        <v>1</v>
      </c>
      <c r="C384" s="7" t="s">
        <v>103</v>
      </c>
      <c r="D384" s="5">
        <v>366</v>
      </c>
      <c r="E384" s="5">
        <v>172</v>
      </c>
      <c r="F384" s="5">
        <v>1049.2</v>
      </c>
      <c r="G384" s="11">
        <v>6.1</v>
      </c>
      <c r="M384" s="11"/>
      <c r="N384" s="11"/>
    </row>
    <row r="385" spans="1:14" x14ac:dyDescent="0.25">
      <c r="A385" s="4">
        <v>4000</v>
      </c>
      <c r="B385" s="4">
        <v>7</v>
      </c>
      <c r="C385" s="7" t="s">
        <v>370</v>
      </c>
      <c r="D385" s="5">
        <v>360</v>
      </c>
      <c r="E385" s="5">
        <v>170</v>
      </c>
      <c r="F385" s="5">
        <v>1020</v>
      </c>
      <c r="G385" s="11">
        <v>6</v>
      </c>
      <c r="M385" s="11"/>
      <c r="N385" s="11"/>
    </row>
    <row r="386" spans="1:14" x14ac:dyDescent="0.25">
      <c r="A386" s="4">
        <v>4001</v>
      </c>
      <c r="B386" s="4">
        <v>7</v>
      </c>
      <c r="C386" s="7" t="s">
        <v>371</v>
      </c>
      <c r="D386" s="5">
        <v>360</v>
      </c>
      <c r="E386" s="5">
        <v>170</v>
      </c>
      <c r="F386" s="5">
        <v>1020</v>
      </c>
      <c r="G386" s="11">
        <v>6</v>
      </c>
      <c r="M386" s="11"/>
      <c r="N386" s="11"/>
    </row>
    <row r="387" spans="1:14" x14ac:dyDescent="0.25">
      <c r="A387" s="4">
        <v>4003</v>
      </c>
      <c r="B387" s="4">
        <v>7</v>
      </c>
      <c r="C387" s="7" t="s">
        <v>372</v>
      </c>
      <c r="D387" s="5">
        <v>375</v>
      </c>
      <c r="E387" s="5">
        <v>164</v>
      </c>
      <c r="F387" s="5">
        <v>1025</v>
      </c>
      <c r="G387" s="11">
        <v>6.25</v>
      </c>
      <c r="M387" s="11"/>
      <c r="N387" s="11"/>
    </row>
    <row r="388" spans="1:14" x14ac:dyDescent="0.25">
      <c r="A388" s="4">
        <v>4004</v>
      </c>
      <c r="B388" s="4">
        <v>7</v>
      </c>
      <c r="C388" s="7" t="s">
        <v>373</v>
      </c>
      <c r="D388" s="5">
        <v>390</v>
      </c>
      <c r="E388" s="5">
        <v>169</v>
      </c>
      <c r="F388" s="5">
        <v>1098.5</v>
      </c>
      <c r="G388" s="11">
        <v>6.5</v>
      </c>
      <c r="M388" s="11"/>
      <c r="N388" s="11"/>
    </row>
    <row r="389" spans="1:14" x14ac:dyDescent="0.25">
      <c r="A389" s="4">
        <v>4005</v>
      </c>
      <c r="B389" s="4">
        <v>7</v>
      </c>
      <c r="C389" s="7" t="s">
        <v>374</v>
      </c>
      <c r="D389" s="5">
        <v>373</v>
      </c>
      <c r="E389" s="5">
        <v>168</v>
      </c>
      <c r="F389" s="5">
        <v>1044.4000000000001</v>
      </c>
      <c r="G389" s="11">
        <v>6.2166666666666668</v>
      </c>
      <c r="M389" s="11"/>
      <c r="N389" s="11"/>
    </row>
    <row r="390" spans="1:14" x14ac:dyDescent="0.25">
      <c r="A390" s="4">
        <v>4006</v>
      </c>
      <c r="B390" s="4">
        <v>7</v>
      </c>
      <c r="C390" s="7" t="s">
        <v>375</v>
      </c>
      <c r="D390" s="5">
        <v>0</v>
      </c>
      <c r="E390" s="5">
        <v>0</v>
      </c>
      <c r="F390" s="5">
        <v>0</v>
      </c>
      <c r="G390" s="11">
        <v>0</v>
      </c>
      <c r="M390" s="11"/>
      <c r="N390" s="11"/>
    </row>
    <row r="391" spans="1:14" x14ac:dyDescent="0.25">
      <c r="A391" s="4">
        <v>4007</v>
      </c>
      <c r="B391" s="4">
        <v>7</v>
      </c>
      <c r="C391" s="7" t="s">
        <v>376</v>
      </c>
      <c r="D391" s="5">
        <v>415</v>
      </c>
      <c r="E391" s="5">
        <v>162</v>
      </c>
      <c r="F391" s="5">
        <v>1120.5</v>
      </c>
      <c r="G391" s="11">
        <v>6.916666666666667</v>
      </c>
      <c r="M391" s="11"/>
      <c r="N391" s="11"/>
    </row>
    <row r="392" spans="1:14" x14ac:dyDescent="0.25">
      <c r="A392" s="4">
        <v>4008</v>
      </c>
      <c r="B392" s="4">
        <v>7</v>
      </c>
      <c r="C392" s="7" t="s">
        <v>377</v>
      </c>
      <c r="D392" s="5">
        <v>398</v>
      </c>
      <c r="E392" s="5">
        <v>152</v>
      </c>
      <c r="F392" s="5">
        <v>1008.2666666666667</v>
      </c>
      <c r="G392" s="11">
        <v>6.6333333333333337</v>
      </c>
      <c r="M392" s="11"/>
      <c r="N392" s="11"/>
    </row>
    <row r="393" spans="1:14" x14ac:dyDescent="0.25">
      <c r="A393" s="4">
        <v>4011</v>
      </c>
      <c r="B393" s="4">
        <v>7</v>
      </c>
      <c r="C393" s="7" t="s">
        <v>378</v>
      </c>
      <c r="D393" s="5">
        <v>420</v>
      </c>
      <c r="E393" s="5">
        <v>168</v>
      </c>
      <c r="F393" s="5">
        <v>1176</v>
      </c>
      <c r="G393" s="11">
        <v>7</v>
      </c>
      <c r="M393" s="11"/>
      <c r="N393" s="11"/>
    </row>
    <row r="394" spans="1:14" x14ac:dyDescent="0.25">
      <c r="A394" s="4">
        <v>4012</v>
      </c>
      <c r="B394" s="4">
        <v>7</v>
      </c>
      <c r="C394" s="7" t="s">
        <v>379</v>
      </c>
      <c r="D394" s="5">
        <v>0</v>
      </c>
      <c r="E394" s="5">
        <v>0</v>
      </c>
      <c r="F394" s="5">
        <v>0</v>
      </c>
      <c r="G394" s="11">
        <v>0</v>
      </c>
      <c r="M394" s="11"/>
      <c r="N394" s="11"/>
    </row>
    <row r="395" spans="1:14" x14ac:dyDescent="0.25">
      <c r="A395" s="4">
        <v>4015</v>
      </c>
      <c r="B395" s="4">
        <v>7</v>
      </c>
      <c r="C395" s="7" t="s">
        <v>380</v>
      </c>
      <c r="D395" s="5">
        <v>360</v>
      </c>
      <c r="E395" s="5">
        <v>170</v>
      </c>
      <c r="F395" s="5">
        <v>1020</v>
      </c>
      <c r="G395" s="11">
        <v>6</v>
      </c>
      <c r="M395" s="11"/>
      <c r="N395" s="11"/>
    </row>
    <row r="396" spans="1:14" x14ac:dyDescent="0.25">
      <c r="A396" s="4">
        <v>4016</v>
      </c>
      <c r="B396" s="4">
        <v>7</v>
      </c>
      <c r="C396" s="7" t="s">
        <v>381</v>
      </c>
      <c r="D396" s="5">
        <v>360</v>
      </c>
      <c r="E396" s="5">
        <v>173</v>
      </c>
      <c r="F396" s="5">
        <v>1038</v>
      </c>
      <c r="G396" s="11">
        <v>6</v>
      </c>
      <c r="M396" s="11"/>
      <c r="N396" s="11"/>
    </row>
    <row r="397" spans="1:14" x14ac:dyDescent="0.25">
      <c r="A397" s="4">
        <v>4017</v>
      </c>
      <c r="B397" s="4">
        <v>7</v>
      </c>
      <c r="C397" s="7" t="s">
        <v>382</v>
      </c>
      <c r="D397" s="5">
        <v>363</v>
      </c>
      <c r="E397" s="5">
        <v>170</v>
      </c>
      <c r="F397" s="5">
        <v>1028.5</v>
      </c>
      <c r="G397" s="11">
        <v>6.05</v>
      </c>
      <c r="M397" s="11"/>
      <c r="N397" s="11"/>
    </row>
    <row r="398" spans="1:14" x14ac:dyDescent="0.25">
      <c r="A398" s="4">
        <v>4018</v>
      </c>
      <c r="B398" s="4">
        <v>7</v>
      </c>
      <c r="C398" s="7" t="s">
        <v>383</v>
      </c>
      <c r="D398" s="5">
        <v>420</v>
      </c>
      <c r="E398" s="5">
        <v>168</v>
      </c>
      <c r="F398" s="5">
        <v>1176</v>
      </c>
      <c r="G398" s="11">
        <v>7</v>
      </c>
      <c r="M398" s="11"/>
      <c r="N398" s="11"/>
    </row>
    <row r="399" spans="1:14" x14ac:dyDescent="0.25">
      <c r="A399" s="4">
        <v>4020</v>
      </c>
      <c r="B399" s="4">
        <v>7</v>
      </c>
      <c r="C399" s="7" t="s">
        <v>384</v>
      </c>
      <c r="D399" s="5">
        <v>411</v>
      </c>
      <c r="E399" s="5">
        <v>166</v>
      </c>
      <c r="F399" s="5">
        <v>1137.0999999999999</v>
      </c>
      <c r="G399" s="11">
        <v>6.85</v>
      </c>
      <c r="M399" s="11"/>
      <c r="N399" s="11"/>
    </row>
    <row r="400" spans="1:14" x14ac:dyDescent="0.25">
      <c r="A400" s="4">
        <v>4025</v>
      </c>
      <c r="B400" s="4">
        <v>7</v>
      </c>
      <c r="C400" s="7" t="s">
        <v>385</v>
      </c>
      <c r="D400" s="5">
        <v>0</v>
      </c>
      <c r="E400" s="5">
        <v>0</v>
      </c>
      <c r="F400" s="5">
        <v>0</v>
      </c>
      <c r="G400" s="11">
        <v>0</v>
      </c>
      <c r="M400" s="11"/>
      <c r="N400" s="11"/>
    </row>
    <row r="401" spans="1:14" x14ac:dyDescent="0.25">
      <c r="A401" s="4">
        <v>4026</v>
      </c>
      <c r="B401" s="4">
        <v>7</v>
      </c>
      <c r="C401" s="7" t="s">
        <v>386</v>
      </c>
      <c r="D401" s="5">
        <v>425</v>
      </c>
      <c r="E401" s="5">
        <v>159</v>
      </c>
      <c r="F401" s="5">
        <v>1126.25</v>
      </c>
      <c r="G401" s="11">
        <v>7.083333333333333</v>
      </c>
      <c r="M401" s="11"/>
      <c r="N401" s="11"/>
    </row>
    <row r="402" spans="1:14" x14ac:dyDescent="0.25">
      <c r="A402" s="4">
        <v>4027</v>
      </c>
      <c r="B402" s="4">
        <v>7</v>
      </c>
      <c r="C402" s="7" t="s">
        <v>387</v>
      </c>
      <c r="D402" s="5">
        <v>360</v>
      </c>
      <c r="E402" s="5">
        <v>171</v>
      </c>
      <c r="F402" s="5">
        <v>1026</v>
      </c>
      <c r="G402" s="11">
        <v>6</v>
      </c>
      <c r="M402" s="11"/>
      <c r="N402" s="11"/>
    </row>
    <row r="403" spans="1:14" x14ac:dyDescent="0.25">
      <c r="A403" s="4">
        <v>4028</v>
      </c>
      <c r="B403" s="4">
        <v>7</v>
      </c>
      <c r="C403" s="7" t="s">
        <v>388</v>
      </c>
      <c r="D403" s="5">
        <v>0</v>
      </c>
      <c r="E403" s="5">
        <v>0</v>
      </c>
      <c r="F403" s="5">
        <v>0</v>
      </c>
      <c r="G403" s="11">
        <v>0</v>
      </c>
      <c r="M403" s="11"/>
      <c r="N403" s="11"/>
    </row>
    <row r="404" spans="1:14" x14ac:dyDescent="0.25">
      <c r="A404" s="4">
        <v>4029</v>
      </c>
      <c r="B404" s="4">
        <v>7</v>
      </c>
      <c r="C404" s="7" t="s">
        <v>389</v>
      </c>
      <c r="D404" s="5">
        <v>403</v>
      </c>
      <c r="E404" s="5">
        <v>173</v>
      </c>
      <c r="F404" s="5">
        <v>1161.9833333333333</v>
      </c>
      <c r="G404" s="11">
        <v>6.7166666666666668</v>
      </c>
      <c r="M404" s="11"/>
      <c r="N404" s="11"/>
    </row>
    <row r="405" spans="1:14" x14ac:dyDescent="0.25">
      <c r="A405" s="4">
        <v>4030</v>
      </c>
      <c r="B405" s="4">
        <v>7</v>
      </c>
      <c r="C405" s="7" t="s">
        <v>390</v>
      </c>
      <c r="D405" s="5">
        <v>390</v>
      </c>
      <c r="E405" s="5">
        <v>170</v>
      </c>
      <c r="F405" s="5">
        <v>1105</v>
      </c>
      <c r="G405" s="11">
        <v>6.5</v>
      </c>
      <c r="I405" s="4"/>
      <c r="J405" s="4"/>
      <c r="M405" s="11"/>
      <c r="N405" s="11"/>
    </row>
    <row r="406" spans="1:14" x14ac:dyDescent="0.25">
      <c r="A406" s="4">
        <v>4031</v>
      </c>
      <c r="B406" s="4">
        <v>7</v>
      </c>
      <c r="C406" s="7" t="s">
        <v>391</v>
      </c>
      <c r="D406" s="5">
        <v>360</v>
      </c>
      <c r="E406" s="5">
        <v>171</v>
      </c>
      <c r="F406" s="5">
        <v>1026</v>
      </c>
      <c r="G406" s="11">
        <v>6</v>
      </c>
      <c r="M406" s="11"/>
      <c r="N406" s="11"/>
    </row>
    <row r="407" spans="1:14" x14ac:dyDescent="0.25">
      <c r="A407" s="4">
        <v>4032</v>
      </c>
      <c r="B407" s="4">
        <v>7</v>
      </c>
      <c r="C407" s="7" t="s">
        <v>392</v>
      </c>
      <c r="D407" s="5">
        <v>425</v>
      </c>
      <c r="E407" s="5">
        <v>174</v>
      </c>
      <c r="F407" s="5">
        <v>1232.5</v>
      </c>
      <c r="G407" s="11">
        <v>7.083333333333333</v>
      </c>
      <c r="M407" s="11"/>
      <c r="N407" s="11"/>
    </row>
    <row r="408" spans="1:14" x14ac:dyDescent="0.25">
      <c r="A408" s="4">
        <v>4035</v>
      </c>
      <c r="B408" s="4">
        <v>7</v>
      </c>
      <c r="C408" s="7" t="s">
        <v>393</v>
      </c>
      <c r="D408" s="5">
        <v>424</v>
      </c>
      <c r="E408" s="5">
        <v>163</v>
      </c>
      <c r="F408" s="5">
        <v>1151.8666666666666</v>
      </c>
      <c r="G408" s="11">
        <v>7.0666666666666664</v>
      </c>
      <c r="M408" s="11"/>
      <c r="N408" s="11"/>
    </row>
    <row r="409" spans="1:14" x14ac:dyDescent="0.25">
      <c r="A409" s="4">
        <v>4036</v>
      </c>
      <c r="B409" s="4">
        <v>7</v>
      </c>
      <c r="C409" s="7" t="s">
        <v>394</v>
      </c>
      <c r="D409" s="5">
        <v>360</v>
      </c>
      <c r="E409" s="5">
        <v>171</v>
      </c>
      <c r="F409" s="5">
        <v>1026</v>
      </c>
      <c r="G409" s="11">
        <v>6</v>
      </c>
      <c r="M409" s="11"/>
      <c r="N409" s="11"/>
    </row>
    <row r="410" spans="1:14" x14ac:dyDescent="0.25">
      <c r="A410" s="4">
        <v>4038</v>
      </c>
      <c r="B410" s="4">
        <v>7</v>
      </c>
      <c r="C410" s="7" t="s">
        <v>395</v>
      </c>
      <c r="D410" s="5">
        <v>388</v>
      </c>
      <c r="E410" s="5">
        <v>171</v>
      </c>
      <c r="F410" s="5">
        <v>1105.8</v>
      </c>
      <c r="G410" s="11">
        <v>6.4666666666666668</v>
      </c>
      <c r="M410" s="11"/>
      <c r="N410" s="11"/>
    </row>
    <row r="411" spans="1:14" x14ac:dyDescent="0.25">
      <c r="A411" s="4">
        <v>4039</v>
      </c>
      <c r="B411" s="4">
        <v>7</v>
      </c>
      <c r="C411" s="7" t="s">
        <v>396</v>
      </c>
      <c r="D411" s="5">
        <v>390</v>
      </c>
      <c r="E411" s="5">
        <v>158</v>
      </c>
      <c r="F411" s="5">
        <v>1027</v>
      </c>
      <c r="G411" s="11">
        <v>6.5</v>
      </c>
      <c r="M411" s="11"/>
      <c r="N411" s="11"/>
    </row>
    <row r="412" spans="1:14" x14ac:dyDescent="0.25">
      <c r="A412" s="4">
        <v>4042</v>
      </c>
      <c r="B412" s="4">
        <v>7</v>
      </c>
      <c r="C412" s="7" t="s">
        <v>397</v>
      </c>
      <c r="D412" s="5">
        <v>360</v>
      </c>
      <c r="E412" s="5">
        <v>174</v>
      </c>
      <c r="F412" s="5">
        <v>1044</v>
      </c>
      <c r="G412" s="11">
        <v>6</v>
      </c>
      <c r="M412" s="11"/>
      <c r="N412" s="11"/>
    </row>
    <row r="413" spans="1:14" x14ac:dyDescent="0.25">
      <c r="A413" s="4">
        <v>4043</v>
      </c>
      <c r="B413" s="4">
        <v>7</v>
      </c>
      <c r="C413" s="7" t="s">
        <v>398</v>
      </c>
      <c r="D413" s="5">
        <v>345</v>
      </c>
      <c r="E413" s="5">
        <v>168</v>
      </c>
      <c r="F413" s="5">
        <v>966</v>
      </c>
      <c r="G413" s="11">
        <v>5.75</v>
      </c>
      <c r="M413" s="11"/>
      <c r="N413" s="11"/>
    </row>
    <row r="414" spans="1:14" x14ac:dyDescent="0.25">
      <c r="A414" s="4">
        <v>4044</v>
      </c>
      <c r="B414" s="4">
        <v>7</v>
      </c>
      <c r="C414" s="7" t="s">
        <v>399</v>
      </c>
      <c r="D414" s="5">
        <v>0</v>
      </c>
      <c r="E414" s="5">
        <v>0</v>
      </c>
      <c r="F414" s="5">
        <v>0</v>
      </c>
      <c r="G414" s="11">
        <v>0</v>
      </c>
      <c r="M414" s="11"/>
      <c r="N414" s="11"/>
    </row>
    <row r="415" spans="1:14" x14ac:dyDescent="0.25">
      <c r="A415" s="4">
        <v>4045</v>
      </c>
      <c r="B415" s="4">
        <v>7</v>
      </c>
      <c r="C415" s="7" t="s">
        <v>400</v>
      </c>
      <c r="D415" s="5">
        <v>0</v>
      </c>
      <c r="E415" s="5">
        <v>0</v>
      </c>
      <c r="F415" s="5">
        <v>0</v>
      </c>
      <c r="G415" s="11">
        <v>0</v>
      </c>
      <c r="M415" s="11"/>
      <c r="N415" s="11"/>
    </row>
    <row r="416" spans="1:14" x14ac:dyDescent="0.25">
      <c r="A416" s="4">
        <v>4046</v>
      </c>
      <c r="B416" s="4">
        <v>7</v>
      </c>
      <c r="C416" s="7" t="s">
        <v>401</v>
      </c>
      <c r="D416" s="5">
        <v>0</v>
      </c>
      <c r="E416" s="5">
        <v>0</v>
      </c>
      <c r="F416" s="5">
        <v>0</v>
      </c>
      <c r="G416" s="11">
        <v>0</v>
      </c>
      <c r="M416" s="11"/>
      <c r="N416" s="11"/>
    </row>
    <row r="417" spans="1:14" x14ac:dyDescent="0.25">
      <c r="A417" s="4">
        <v>4048</v>
      </c>
      <c r="B417" s="4">
        <v>7</v>
      </c>
      <c r="C417" s="7" t="s">
        <v>402</v>
      </c>
      <c r="D417" s="5">
        <v>0</v>
      </c>
      <c r="E417" s="5">
        <v>0</v>
      </c>
      <c r="F417" s="5">
        <v>0</v>
      </c>
      <c r="G417" s="11">
        <v>0</v>
      </c>
      <c r="M417" s="11"/>
      <c r="N417" s="11"/>
    </row>
    <row r="418" spans="1:14" x14ac:dyDescent="0.25">
      <c r="A418" s="4">
        <v>4049</v>
      </c>
      <c r="B418" s="4">
        <v>7</v>
      </c>
      <c r="C418" s="7" t="s">
        <v>403</v>
      </c>
      <c r="D418" s="5">
        <v>400</v>
      </c>
      <c r="E418" s="5">
        <v>153</v>
      </c>
      <c r="F418" s="5">
        <v>1020</v>
      </c>
      <c r="G418" s="11">
        <v>6.666666666666667</v>
      </c>
      <c r="M418" s="11"/>
      <c r="N418" s="11"/>
    </row>
    <row r="419" spans="1:14" x14ac:dyDescent="0.25">
      <c r="A419" s="4">
        <v>4050</v>
      </c>
      <c r="B419" s="4">
        <v>7</v>
      </c>
      <c r="C419" s="7" t="s">
        <v>404</v>
      </c>
      <c r="D419" s="5">
        <v>400</v>
      </c>
      <c r="E419" s="5">
        <v>162</v>
      </c>
      <c r="F419" s="5">
        <v>1080</v>
      </c>
      <c r="G419" s="11">
        <v>6.666666666666667</v>
      </c>
      <c r="M419" s="11"/>
      <c r="N419" s="11"/>
    </row>
    <row r="420" spans="1:14" x14ac:dyDescent="0.25">
      <c r="A420" s="4">
        <v>4052</v>
      </c>
      <c r="B420" s="4">
        <v>7</v>
      </c>
      <c r="C420" s="7" t="s">
        <v>405</v>
      </c>
      <c r="D420" s="5">
        <v>0</v>
      </c>
      <c r="E420" s="5">
        <v>0</v>
      </c>
      <c r="F420" s="5">
        <v>0</v>
      </c>
      <c r="G420" s="11">
        <v>0</v>
      </c>
      <c r="M420" s="11"/>
      <c r="N420" s="11"/>
    </row>
    <row r="421" spans="1:14" x14ac:dyDescent="0.25">
      <c r="A421" s="4">
        <v>4053</v>
      </c>
      <c r="B421" s="4">
        <v>7</v>
      </c>
      <c r="C421" s="7" t="s">
        <v>406</v>
      </c>
      <c r="D421" s="5">
        <v>367</v>
      </c>
      <c r="E421" s="5">
        <v>166</v>
      </c>
      <c r="F421" s="5">
        <v>1015.3666666666667</v>
      </c>
      <c r="G421" s="11">
        <v>6.1166666666666663</v>
      </c>
      <c r="M421" s="11"/>
      <c r="N421" s="11"/>
    </row>
    <row r="422" spans="1:14" x14ac:dyDescent="0.25">
      <c r="A422" s="4">
        <v>4054</v>
      </c>
      <c r="B422" s="4">
        <v>7</v>
      </c>
      <c r="C422" s="7" t="s">
        <v>407</v>
      </c>
      <c r="D422" s="5">
        <v>360</v>
      </c>
      <c r="E422" s="5">
        <v>170</v>
      </c>
      <c r="F422" s="5">
        <v>1020</v>
      </c>
      <c r="G422" s="11">
        <v>6</v>
      </c>
      <c r="M422" s="11"/>
      <c r="N422" s="11"/>
    </row>
    <row r="423" spans="1:14" x14ac:dyDescent="0.25">
      <c r="A423" s="4">
        <v>4055</v>
      </c>
      <c r="B423" s="4">
        <v>7</v>
      </c>
      <c r="C423" s="7" t="s">
        <v>408</v>
      </c>
      <c r="D423" s="5">
        <v>360</v>
      </c>
      <c r="E423" s="5">
        <v>166</v>
      </c>
      <c r="F423" s="5">
        <v>996</v>
      </c>
      <c r="G423" s="11">
        <v>6</v>
      </c>
      <c r="M423" s="11"/>
      <c r="N423" s="11"/>
    </row>
    <row r="424" spans="1:14" x14ac:dyDescent="0.25">
      <c r="A424" s="4">
        <v>4056</v>
      </c>
      <c r="B424" s="4">
        <v>7</v>
      </c>
      <c r="C424" s="7" t="s">
        <v>409</v>
      </c>
      <c r="D424" s="5">
        <v>342</v>
      </c>
      <c r="E424" s="5">
        <v>172</v>
      </c>
      <c r="F424" s="5">
        <v>980.4</v>
      </c>
      <c r="G424" s="11">
        <v>5.7</v>
      </c>
      <c r="M424" s="11"/>
      <c r="N424" s="11"/>
    </row>
    <row r="425" spans="1:14" x14ac:dyDescent="0.25">
      <c r="A425" s="4">
        <v>4057</v>
      </c>
      <c r="B425" s="4">
        <v>7</v>
      </c>
      <c r="C425" s="7" t="s">
        <v>410</v>
      </c>
      <c r="D425" s="5">
        <v>370</v>
      </c>
      <c r="E425" s="5">
        <v>175</v>
      </c>
      <c r="F425" s="5">
        <v>1079.1666666666667</v>
      </c>
      <c r="G425" s="11">
        <v>6.166666666666667</v>
      </c>
      <c r="M425" s="11"/>
      <c r="N425" s="11"/>
    </row>
    <row r="426" spans="1:14" x14ac:dyDescent="0.25">
      <c r="A426" s="4">
        <v>4058</v>
      </c>
      <c r="B426" s="4">
        <v>7</v>
      </c>
      <c r="C426" s="7" t="s">
        <v>411</v>
      </c>
      <c r="D426" s="5">
        <v>346</v>
      </c>
      <c r="E426" s="5">
        <v>172</v>
      </c>
      <c r="F426" s="5">
        <v>991.86666666666667</v>
      </c>
      <c r="G426" s="11">
        <v>5.7666666666666666</v>
      </c>
      <c r="M426" s="11"/>
      <c r="N426" s="11"/>
    </row>
    <row r="427" spans="1:14" x14ac:dyDescent="0.25">
      <c r="A427" s="4">
        <v>4059</v>
      </c>
      <c r="B427" s="4">
        <v>7</v>
      </c>
      <c r="C427" s="7" t="s">
        <v>412</v>
      </c>
      <c r="D427" s="5">
        <v>380</v>
      </c>
      <c r="E427" s="5">
        <v>165</v>
      </c>
      <c r="F427" s="5">
        <v>1045</v>
      </c>
      <c r="G427" s="11">
        <v>6.333333333333333</v>
      </c>
      <c r="M427" s="11"/>
      <c r="N427" s="11"/>
    </row>
    <row r="428" spans="1:14" x14ac:dyDescent="0.25">
      <c r="A428" s="4">
        <v>4061</v>
      </c>
      <c r="B428" s="4">
        <v>7</v>
      </c>
      <c r="C428" s="7" t="s">
        <v>413</v>
      </c>
      <c r="D428" s="5">
        <v>0</v>
      </c>
      <c r="E428" s="5">
        <v>0</v>
      </c>
      <c r="F428" s="5">
        <v>0</v>
      </c>
      <c r="G428" s="11">
        <v>0</v>
      </c>
      <c r="M428" s="11"/>
      <c r="N428" s="11"/>
    </row>
    <row r="429" spans="1:14" x14ac:dyDescent="0.25">
      <c r="A429" s="4">
        <v>4064</v>
      </c>
      <c r="B429" s="4">
        <v>7</v>
      </c>
      <c r="C429" s="7" t="s">
        <v>414</v>
      </c>
      <c r="D429" s="5">
        <v>420</v>
      </c>
      <c r="E429" s="5">
        <v>170</v>
      </c>
      <c r="F429" s="5">
        <v>1190</v>
      </c>
      <c r="G429" s="11">
        <v>7</v>
      </c>
      <c r="M429" s="11"/>
      <c r="N429" s="11"/>
    </row>
    <row r="430" spans="1:14" x14ac:dyDescent="0.25">
      <c r="A430" s="4">
        <v>4066</v>
      </c>
      <c r="B430" s="4">
        <v>7</v>
      </c>
      <c r="C430" s="7" t="s">
        <v>415</v>
      </c>
      <c r="D430" s="5">
        <v>390</v>
      </c>
      <c r="E430" s="5">
        <v>165</v>
      </c>
      <c r="F430" s="5">
        <v>1072.5</v>
      </c>
      <c r="G430" s="11">
        <v>6.5</v>
      </c>
      <c r="M430" s="11"/>
      <c r="N430" s="11"/>
    </row>
    <row r="431" spans="1:14" x14ac:dyDescent="0.25">
      <c r="A431" s="4">
        <v>4067</v>
      </c>
      <c r="B431" s="4">
        <v>7</v>
      </c>
      <c r="C431" s="7" t="s">
        <v>416</v>
      </c>
      <c r="D431" s="5">
        <v>360</v>
      </c>
      <c r="E431" s="5">
        <v>179</v>
      </c>
      <c r="F431" s="5">
        <v>1074</v>
      </c>
      <c r="G431" s="11">
        <v>6</v>
      </c>
      <c r="I431" s="4"/>
      <c r="J431" s="4"/>
      <c r="L431" s="4"/>
      <c r="M431" s="11"/>
      <c r="N431" s="11"/>
    </row>
    <row r="432" spans="1:14" x14ac:dyDescent="0.25">
      <c r="A432" s="4">
        <v>4068</v>
      </c>
      <c r="B432" s="4">
        <v>7</v>
      </c>
      <c r="C432" s="7" t="s">
        <v>417</v>
      </c>
      <c r="D432" s="5">
        <v>390</v>
      </c>
      <c r="E432" s="5">
        <v>170</v>
      </c>
      <c r="F432" s="5">
        <v>1105</v>
      </c>
      <c r="G432" s="11">
        <v>6.5</v>
      </c>
      <c r="M432" s="11"/>
      <c r="N432" s="11"/>
    </row>
    <row r="433" spans="1:14" x14ac:dyDescent="0.25">
      <c r="A433" s="4">
        <v>4070</v>
      </c>
      <c r="B433" s="4">
        <v>7</v>
      </c>
      <c r="C433" s="7" t="s">
        <v>418</v>
      </c>
      <c r="D433" s="5">
        <v>398</v>
      </c>
      <c r="E433" s="5">
        <v>182</v>
      </c>
      <c r="F433" s="5">
        <v>1207.2666666666667</v>
      </c>
      <c r="G433" s="11">
        <v>6.6333333333333337</v>
      </c>
      <c r="M433" s="11"/>
      <c r="N433" s="11"/>
    </row>
    <row r="434" spans="1:14" x14ac:dyDescent="0.25">
      <c r="A434" s="4">
        <v>4072</v>
      </c>
      <c r="B434" s="4">
        <v>7</v>
      </c>
      <c r="C434" s="7" t="s">
        <v>419</v>
      </c>
      <c r="D434" s="5">
        <v>0</v>
      </c>
      <c r="E434" s="5">
        <v>0</v>
      </c>
      <c r="F434" s="5">
        <v>0</v>
      </c>
      <c r="G434" s="11">
        <v>0</v>
      </c>
      <c r="M434" s="11"/>
      <c r="N434" s="11"/>
    </row>
    <row r="435" spans="1:14" x14ac:dyDescent="0.25">
      <c r="A435" s="4">
        <v>4073</v>
      </c>
      <c r="B435" s="4">
        <v>7</v>
      </c>
      <c r="C435" s="7" t="s">
        <v>420</v>
      </c>
      <c r="D435" s="5">
        <v>398</v>
      </c>
      <c r="E435" s="5">
        <v>167</v>
      </c>
      <c r="F435" s="5">
        <v>1107.7666666666667</v>
      </c>
      <c r="G435" s="11">
        <v>6.6333333333333337</v>
      </c>
      <c r="M435" s="11"/>
      <c r="N435" s="11"/>
    </row>
    <row r="436" spans="1:14" x14ac:dyDescent="0.25">
      <c r="A436" s="4">
        <v>4074</v>
      </c>
      <c r="B436" s="4">
        <v>7</v>
      </c>
      <c r="C436" s="7" t="s">
        <v>421</v>
      </c>
      <c r="D436" s="5">
        <v>375</v>
      </c>
      <c r="E436" s="5">
        <v>169</v>
      </c>
      <c r="F436" s="5">
        <v>1056.25</v>
      </c>
      <c r="G436" s="11">
        <v>6.25</v>
      </c>
      <c r="M436" s="11"/>
      <c r="N436" s="11"/>
    </row>
    <row r="437" spans="1:14" x14ac:dyDescent="0.25">
      <c r="A437" s="4">
        <v>4075</v>
      </c>
      <c r="B437" s="4">
        <v>7</v>
      </c>
      <c r="C437" s="7" t="s">
        <v>422</v>
      </c>
      <c r="D437" s="5">
        <v>360</v>
      </c>
      <c r="E437" s="5">
        <v>166</v>
      </c>
      <c r="F437" s="5">
        <v>996</v>
      </c>
      <c r="G437" s="11">
        <v>6</v>
      </c>
      <c r="M437" s="11"/>
      <c r="N437" s="11"/>
    </row>
    <row r="438" spans="1:14" x14ac:dyDescent="0.25">
      <c r="A438" s="4">
        <v>4077</v>
      </c>
      <c r="B438" s="4">
        <v>7</v>
      </c>
      <c r="C438" s="7" t="s">
        <v>423</v>
      </c>
      <c r="D438" s="5">
        <v>365</v>
      </c>
      <c r="E438" s="5">
        <v>168</v>
      </c>
      <c r="F438" s="5">
        <v>1022</v>
      </c>
      <c r="G438" s="11">
        <v>6.083333333333333</v>
      </c>
      <c r="M438" s="11"/>
      <c r="N438" s="11"/>
    </row>
    <row r="439" spans="1:14" x14ac:dyDescent="0.25">
      <c r="A439" s="4">
        <v>4078</v>
      </c>
      <c r="B439" s="4">
        <v>7</v>
      </c>
      <c r="C439" s="7" t="s">
        <v>424</v>
      </c>
      <c r="D439" s="5">
        <v>369</v>
      </c>
      <c r="E439" s="5">
        <v>176</v>
      </c>
      <c r="F439" s="5">
        <v>1082.4000000000001</v>
      </c>
      <c r="G439" s="11">
        <v>6.15</v>
      </c>
      <c r="M439" s="11"/>
      <c r="N439" s="11"/>
    </row>
    <row r="440" spans="1:14" x14ac:dyDescent="0.25">
      <c r="A440" s="4">
        <v>4079</v>
      </c>
      <c r="B440" s="4">
        <v>7</v>
      </c>
      <c r="C440" s="7" t="s">
        <v>425</v>
      </c>
      <c r="D440" s="5">
        <v>390</v>
      </c>
      <c r="E440" s="5">
        <v>176</v>
      </c>
      <c r="F440" s="5">
        <v>1144</v>
      </c>
      <c r="G440" s="11">
        <v>6.5</v>
      </c>
      <c r="M440" s="11"/>
      <c r="N440" s="11"/>
    </row>
    <row r="441" spans="1:14" x14ac:dyDescent="0.25">
      <c r="A441" s="4">
        <v>4080</v>
      </c>
      <c r="B441" s="4">
        <v>7</v>
      </c>
      <c r="C441" s="7" t="s">
        <v>426</v>
      </c>
      <c r="D441" s="5">
        <v>380</v>
      </c>
      <c r="E441" s="5">
        <v>165</v>
      </c>
      <c r="F441" s="5">
        <v>1045</v>
      </c>
      <c r="G441" s="11">
        <v>6.333333333333333</v>
      </c>
      <c r="M441" s="11"/>
      <c r="N441" s="11"/>
    </row>
    <row r="442" spans="1:14" x14ac:dyDescent="0.25">
      <c r="A442" s="4">
        <v>4081</v>
      </c>
      <c r="B442" s="4">
        <v>7</v>
      </c>
      <c r="C442" s="7" t="s">
        <v>427</v>
      </c>
      <c r="D442" s="5">
        <v>378</v>
      </c>
      <c r="E442" s="5">
        <v>164</v>
      </c>
      <c r="F442" s="5">
        <v>1033.2</v>
      </c>
      <c r="G442" s="11">
        <v>6.3</v>
      </c>
      <c r="M442" s="11"/>
      <c r="N442" s="11"/>
    </row>
    <row r="443" spans="1:14" x14ac:dyDescent="0.25">
      <c r="A443" s="4">
        <v>4082</v>
      </c>
      <c r="B443" s="4">
        <v>7</v>
      </c>
      <c r="C443" s="7" t="s">
        <v>428</v>
      </c>
      <c r="D443" s="5">
        <v>0</v>
      </c>
      <c r="E443" s="5">
        <v>0</v>
      </c>
      <c r="F443" s="5">
        <v>0</v>
      </c>
      <c r="G443" s="11">
        <v>0</v>
      </c>
      <c r="M443" s="11"/>
      <c r="N443" s="11"/>
    </row>
    <row r="444" spans="1:14" x14ac:dyDescent="0.25">
      <c r="A444" s="4">
        <v>4083</v>
      </c>
      <c r="B444" s="4">
        <v>7</v>
      </c>
      <c r="C444" s="7" t="s">
        <v>429</v>
      </c>
      <c r="D444" s="5">
        <v>360</v>
      </c>
      <c r="E444" s="5">
        <v>168</v>
      </c>
      <c r="F444" s="5">
        <v>1008</v>
      </c>
      <c r="G444" s="11">
        <v>6</v>
      </c>
      <c r="M444" s="11"/>
      <c r="N444" s="11"/>
    </row>
    <row r="445" spans="1:14" x14ac:dyDescent="0.25">
      <c r="A445" s="4">
        <v>4084</v>
      </c>
      <c r="B445" s="4">
        <v>7</v>
      </c>
      <c r="C445" s="7" t="s">
        <v>430</v>
      </c>
      <c r="D445" s="5">
        <v>384</v>
      </c>
      <c r="E445" s="5">
        <v>162</v>
      </c>
      <c r="F445" s="5">
        <v>1036.8</v>
      </c>
      <c r="G445" s="11">
        <v>6.4</v>
      </c>
      <c r="M445" s="11"/>
      <c r="N445" s="11"/>
    </row>
    <row r="446" spans="1:14" x14ac:dyDescent="0.25">
      <c r="A446" s="4">
        <v>4085</v>
      </c>
      <c r="B446" s="4">
        <v>7</v>
      </c>
      <c r="C446" s="7" t="s">
        <v>431</v>
      </c>
      <c r="D446" s="5">
        <v>366</v>
      </c>
      <c r="E446" s="5">
        <v>162</v>
      </c>
      <c r="F446" s="5">
        <v>988.2</v>
      </c>
      <c r="G446" s="11">
        <v>6.1</v>
      </c>
      <c r="M446" s="11"/>
      <c r="N446" s="11"/>
    </row>
    <row r="447" spans="1:14" x14ac:dyDescent="0.25">
      <c r="A447" s="4">
        <v>4086</v>
      </c>
      <c r="B447" s="4">
        <v>7</v>
      </c>
      <c r="C447" s="7" t="s">
        <v>432</v>
      </c>
      <c r="D447" s="5">
        <v>390</v>
      </c>
      <c r="E447" s="5">
        <v>172</v>
      </c>
      <c r="F447" s="5">
        <v>1118</v>
      </c>
      <c r="G447" s="11">
        <v>6.5</v>
      </c>
      <c r="M447" s="11"/>
      <c r="N447" s="11"/>
    </row>
    <row r="448" spans="1:14" x14ac:dyDescent="0.25">
      <c r="A448" s="4">
        <v>4087</v>
      </c>
      <c r="B448" s="4">
        <v>7</v>
      </c>
      <c r="C448" s="7" t="s">
        <v>433</v>
      </c>
      <c r="D448" s="5">
        <v>370</v>
      </c>
      <c r="E448" s="5">
        <v>167</v>
      </c>
      <c r="F448" s="5">
        <v>1029.8333333333333</v>
      </c>
      <c r="G448" s="11">
        <v>6.166666666666667</v>
      </c>
      <c r="M448" s="11"/>
      <c r="N448" s="11"/>
    </row>
    <row r="449" spans="1:14" x14ac:dyDescent="0.25">
      <c r="A449" s="4">
        <v>4088</v>
      </c>
      <c r="B449" s="4">
        <v>7</v>
      </c>
      <c r="C449" s="7" t="s">
        <v>434</v>
      </c>
      <c r="D449" s="5">
        <v>360</v>
      </c>
      <c r="E449" s="5">
        <v>170</v>
      </c>
      <c r="F449" s="5">
        <v>1020</v>
      </c>
      <c r="G449" s="11">
        <v>6</v>
      </c>
      <c r="M449" s="11"/>
      <c r="N449" s="11"/>
    </row>
    <row r="450" spans="1:14" x14ac:dyDescent="0.25">
      <c r="A450" s="4">
        <v>4089</v>
      </c>
      <c r="B450" s="4">
        <v>7</v>
      </c>
      <c r="C450" s="7" t="s">
        <v>435</v>
      </c>
      <c r="D450" s="5">
        <v>360</v>
      </c>
      <c r="E450" s="5">
        <v>167</v>
      </c>
      <c r="F450" s="5">
        <v>1002</v>
      </c>
      <c r="G450" s="11">
        <v>6</v>
      </c>
      <c r="M450" s="11"/>
      <c r="N450" s="11"/>
    </row>
    <row r="451" spans="1:14" x14ac:dyDescent="0.25">
      <c r="A451" s="4">
        <v>4090</v>
      </c>
      <c r="B451" s="4">
        <v>7</v>
      </c>
      <c r="C451" s="7" t="s">
        <v>436</v>
      </c>
      <c r="D451" s="5">
        <v>375</v>
      </c>
      <c r="E451" s="5">
        <v>166</v>
      </c>
      <c r="F451" s="5">
        <v>1037.5</v>
      </c>
      <c r="G451" s="11">
        <v>6.25</v>
      </c>
      <c r="M451" s="11"/>
      <c r="N451" s="11"/>
    </row>
    <row r="452" spans="1:14" x14ac:dyDescent="0.25">
      <c r="A452" s="4">
        <v>4091</v>
      </c>
      <c r="B452" s="4">
        <v>7</v>
      </c>
      <c r="C452" s="7" t="s">
        <v>437</v>
      </c>
      <c r="D452" s="5">
        <v>360</v>
      </c>
      <c r="E452" s="5">
        <v>170</v>
      </c>
      <c r="F452" s="5">
        <v>1020</v>
      </c>
      <c r="G452" s="11">
        <v>6</v>
      </c>
      <c r="M452" s="11"/>
      <c r="N452" s="11"/>
    </row>
    <row r="453" spans="1:14" x14ac:dyDescent="0.25">
      <c r="A453" s="4">
        <v>4092</v>
      </c>
      <c r="B453" s="4">
        <v>7</v>
      </c>
      <c r="C453" s="7" t="s">
        <v>438</v>
      </c>
      <c r="D453" s="5">
        <v>360</v>
      </c>
      <c r="E453" s="5">
        <v>174</v>
      </c>
      <c r="F453" s="5">
        <v>1044</v>
      </c>
      <c r="G453" s="11">
        <v>6</v>
      </c>
      <c r="M453" s="11"/>
      <c r="N453" s="11"/>
    </row>
    <row r="454" spans="1:14" x14ac:dyDescent="0.25">
      <c r="A454" s="4">
        <v>4093</v>
      </c>
      <c r="B454" s="4">
        <v>7</v>
      </c>
      <c r="C454" s="7" t="s">
        <v>439</v>
      </c>
      <c r="D454" s="5">
        <v>365</v>
      </c>
      <c r="E454" s="5">
        <v>167</v>
      </c>
      <c r="F454" s="5">
        <v>1015.9166666666666</v>
      </c>
      <c r="G454" s="11">
        <v>6.083333333333333</v>
      </c>
      <c r="M454" s="11"/>
      <c r="N454" s="11"/>
    </row>
    <row r="455" spans="1:14" x14ac:dyDescent="0.25">
      <c r="A455" s="4">
        <v>4095</v>
      </c>
      <c r="B455" s="4">
        <v>7</v>
      </c>
      <c r="C455" s="7" t="s">
        <v>440</v>
      </c>
      <c r="D455" s="5">
        <v>0</v>
      </c>
      <c r="E455" s="5">
        <v>0</v>
      </c>
      <c r="F455" s="5">
        <v>0</v>
      </c>
      <c r="G455" s="11">
        <v>0</v>
      </c>
      <c r="M455" s="11"/>
      <c r="N455" s="11"/>
    </row>
    <row r="456" spans="1:14" x14ac:dyDescent="0.25">
      <c r="A456" s="4">
        <v>4097</v>
      </c>
      <c r="B456" s="4">
        <v>7</v>
      </c>
      <c r="C456" s="7" t="s">
        <v>441</v>
      </c>
      <c r="D456" s="5">
        <v>420</v>
      </c>
      <c r="E456" s="5">
        <v>180</v>
      </c>
      <c r="F456" s="5">
        <v>1260</v>
      </c>
      <c r="G456" s="11">
        <v>7</v>
      </c>
      <c r="M456" s="11"/>
      <c r="N456" s="11"/>
    </row>
    <row r="457" spans="1:14" x14ac:dyDescent="0.25">
      <c r="A457" s="4">
        <v>4098</v>
      </c>
      <c r="B457" s="4">
        <v>7</v>
      </c>
      <c r="C457" s="7" t="s">
        <v>442</v>
      </c>
      <c r="D457" s="5">
        <v>412</v>
      </c>
      <c r="E457" s="5">
        <v>173</v>
      </c>
      <c r="F457" s="5">
        <v>1187.9333333333334</v>
      </c>
      <c r="G457" s="11">
        <v>6.8666666666666663</v>
      </c>
      <c r="M457" s="11"/>
      <c r="N457" s="11"/>
    </row>
    <row r="458" spans="1:14" x14ac:dyDescent="0.25">
      <c r="A458" s="4">
        <v>4099</v>
      </c>
      <c r="B458" s="4">
        <v>7</v>
      </c>
      <c r="C458" s="7" t="s">
        <v>443</v>
      </c>
      <c r="D458" s="5">
        <v>0</v>
      </c>
      <c r="E458" s="5">
        <v>0</v>
      </c>
      <c r="F458" s="5">
        <v>0</v>
      </c>
      <c r="G458" s="11">
        <v>0</v>
      </c>
      <c r="M458" s="11"/>
      <c r="N458" s="11"/>
    </row>
    <row r="459" spans="1:14" x14ac:dyDescent="0.25">
      <c r="A459" s="4">
        <v>4100</v>
      </c>
      <c r="B459" s="4">
        <v>7</v>
      </c>
      <c r="C459" s="7" t="s">
        <v>444</v>
      </c>
      <c r="D459" s="5">
        <v>405</v>
      </c>
      <c r="E459" s="5">
        <v>156</v>
      </c>
      <c r="F459" s="5">
        <v>1053</v>
      </c>
      <c r="G459" s="11">
        <v>6.75</v>
      </c>
      <c r="M459" s="11"/>
      <c r="N459" s="11"/>
    </row>
    <row r="460" spans="1:14" x14ac:dyDescent="0.25">
      <c r="A460" s="4">
        <v>4101</v>
      </c>
      <c r="B460" s="4">
        <v>7</v>
      </c>
      <c r="C460" s="7" t="s">
        <v>445</v>
      </c>
      <c r="D460" s="5">
        <v>0</v>
      </c>
      <c r="E460" s="5">
        <v>0</v>
      </c>
      <c r="F460" s="5">
        <v>0</v>
      </c>
      <c r="G460" s="11">
        <v>0</v>
      </c>
      <c r="M460" s="11"/>
      <c r="N460" s="11"/>
    </row>
    <row r="461" spans="1:14" x14ac:dyDescent="0.25">
      <c r="A461" s="4">
        <v>4102</v>
      </c>
      <c r="B461" s="4">
        <v>7</v>
      </c>
      <c r="C461" s="7" t="s">
        <v>446</v>
      </c>
      <c r="D461" s="5">
        <v>360</v>
      </c>
      <c r="E461" s="5">
        <v>171</v>
      </c>
      <c r="F461" s="5">
        <v>1026</v>
      </c>
      <c r="G461" s="11">
        <v>6</v>
      </c>
      <c r="M461" s="11"/>
      <c r="N461" s="11"/>
    </row>
    <row r="462" spans="1:14" x14ac:dyDescent="0.25">
      <c r="A462" s="4">
        <v>4103</v>
      </c>
      <c r="B462" s="4">
        <v>7</v>
      </c>
      <c r="C462" s="7" t="s">
        <v>447</v>
      </c>
      <c r="D462" s="5">
        <v>387</v>
      </c>
      <c r="E462" s="5">
        <v>168</v>
      </c>
      <c r="F462" s="5">
        <v>1083.5999999999999</v>
      </c>
      <c r="G462" s="11">
        <v>6.45</v>
      </c>
      <c r="M462" s="11"/>
      <c r="N462" s="11"/>
    </row>
    <row r="463" spans="1:14" x14ac:dyDescent="0.25">
      <c r="A463" s="4">
        <v>4104</v>
      </c>
      <c r="B463" s="4">
        <v>7</v>
      </c>
      <c r="C463" s="7" t="s">
        <v>448</v>
      </c>
      <c r="D463" s="5">
        <v>360</v>
      </c>
      <c r="E463" s="5">
        <v>170</v>
      </c>
      <c r="F463" s="5">
        <v>1020</v>
      </c>
      <c r="G463" s="11">
        <v>6</v>
      </c>
      <c r="M463" s="11"/>
      <c r="N463" s="11"/>
    </row>
    <row r="464" spans="1:14" x14ac:dyDescent="0.25">
      <c r="A464" s="4">
        <v>4105</v>
      </c>
      <c r="B464" s="4">
        <v>7</v>
      </c>
      <c r="C464" s="7" t="s">
        <v>449</v>
      </c>
      <c r="D464" s="5">
        <v>396</v>
      </c>
      <c r="E464" s="5">
        <v>170</v>
      </c>
      <c r="F464" s="5">
        <v>1122</v>
      </c>
      <c r="G464" s="11">
        <v>6.6</v>
      </c>
      <c r="M464" s="11"/>
      <c r="N464" s="11"/>
    </row>
    <row r="465" spans="1:14" x14ac:dyDescent="0.25">
      <c r="A465" s="4">
        <v>4106</v>
      </c>
      <c r="B465" s="4">
        <v>7</v>
      </c>
      <c r="C465" s="7" t="s">
        <v>450</v>
      </c>
      <c r="D465" s="5">
        <v>370</v>
      </c>
      <c r="E465" s="5">
        <v>168</v>
      </c>
      <c r="F465" s="5">
        <v>1036</v>
      </c>
      <c r="G465" s="11">
        <v>6.166666666666667</v>
      </c>
      <c r="M465" s="11"/>
      <c r="N465" s="11"/>
    </row>
    <row r="466" spans="1:14" x14ac:dyDescent="0.25">
      <c r="A466" s="4">
        <v>4107</v>
      </c>
      <c r="B466" s="4">
        <v>7</v>
      </c>
      <c r="C466" s="7" t="s">
        <v>451</v>
      </c>
      <c r="D466" s="5">
        <v>372</v>
      </c>
      <c r="E466" s="5">
        <v>165</v>
      </c>
      <c r="F466" s="5">
        <v>1023</v>
      </c>
      <c r="G466" s="11">
        <v>6.2</v>
      </c>
      <c r="M466" s="11"/>
      <c r="N466" s="11"/>
    </row>
    <row r="467" spans="1:14" x14ac:dyDescent="0.25">
      <c r="A467" s="4">
        <v>4108</v>
      </c>
      <c r="B467" s="4">
        <v>7</v>
      </c>
      <c r="C467" s="7" t="s">
        <v>452</v>
      </c>
      <c r="D467" s="5">
        <v>0</v>
      </c>
      <c r="E467" s="5">
        <v>0</v>
      </c>
      <c r="F467" s="5">
        <v>0</v>
      </c>
      <c r="G467" s="11">
        <v>0</v>
      </c>
      <c r="M467" s="11"/>
      <c r="N467" s="11"/>
    </row>
    <row r="468" spans="1:14" x14ac:dyDescent="0.25">
      <c r="A468" s="4">
        <v>4109</v>
      </c>
      <c r="B468" s="4">
        <v>7</v>
      </c>
      <c r="C468" s="7" t="s">
        <v>453</v>
      </c>
      <c r="D468" s="5">
        <v>0</v>
      </c>
      <c r="E468" s="5">
        <v>0</v>
      </c>
      <c r="F468" s="5">
        <v>0</v>
      </c>
      <c r="G468" s="11">
        <v>0</v>
      </c>
      <c r="M468" s="11"/>
      <c r="N468" s="11"/>
    </row>
    <row r="469" spans="1:14" x14ac:dyDescent="0.25">
      <c r="A469" s="4">
        <v>4110</v>
      </c>
      <c r="B469" s="4">
        <v>7</v>
      </c>
      <c r="C469" s="7" t="s">
        <v>454</v>
      </c>
      <c r="D469" s="5">
        <v>368</v>
      </c>
      <c r="E469" s="5">
        <v>165</v>
      </c>
      <c r="F469" s="5">
        <v>1012</v>
      </c>
      <c r="G469" s="11">
        <v>6.1333333333333337</v>
      </c>
      <c r="M469" s="11"/>
      <c r="N469" s="11"/>
    </row>
    <row r="470" spans="1:14" x14ac:dyDescent="0.25">
      <c r="A470" s="4">
        <v>4111</v>
      </c>
      <c r="B470" s="4">
        <v>7</v>
      </c>
      <c r="C470" s="7" t="s">
        <v>455</v>
      </c>
      <c r="D470" s="5">
        <v>420</v>
      </c>
      <c r="E470" s="5">
        <v>139</v>
      </c>
      <c r="F470" s="5">
        <v>973</v>
      </c>
      <c r="G470" s="11">
        <v>7</v>
      </c>
      <c r="M470" s="11"/>
      <c r="N470" s="11"/>
    </row>
    <row r="471" spans="1:14" x14ac:dyDescent="0.25">
      <c r="A471" s="4">
        <v>4112</v>
      </c>
      <c r="B471" s="4">
        <v>7</v>
      </c>
      <c r="C471" s="7" t="s">
        <v>456</v>
      </c>
      <c r="D471" s="5">
        <v>405</v>
      </c>
      <c r="E471" s="5">
        <v>169</v>
      </c>
      <c r="F471" s="5">
        <v>1140.75</v>
      </c>
      <c r="G471" s="11">
        <v>6.75</v>
      </c>
      <c r="M471" s="11"/>
      <c r="N471" s="11"/>
    </row>
    <row r="472" spans="1:14" x14ac:dyDescent="0.25">
      <c r="A472" s="4">
        <v>4113</v>
      </c>
      <c r="B472" s="4">
        <v>7</v>
      </c>
      <c r="C472" s="7" t="s">
        <v>457</v>
      </c>
      <c r="D472" s="5">
        <v>360</v>
      </c>
      <c r="E472" s="5">
        <v>164</v>
      </c>
      <c r="F472" s="5">
        <v>984</v>
      </c>
      <c r="G472" s="11">
        <v>6</v>
      </c>
      <c r="M472" s="11"/>
      <c r="N472" s="11"/>
    </row>
    <row r="473" spans="1:14" x14ac:dyDescent="0.25">
      <c r="A473" s="4">
        <v>4114</v>
      </c>
      <c r="B473" s="4">
        <v>7</v>
      </c>
      <c r="C473" s="7" t="s">
        <v>458</v>
      </c>
      <c r="D473" s="5">
        <v>0</v>
      </c>
      <c r="E473" s="5">
        <v>0</v>
      </c>
      <c r="F473" s="5">
        <v>0</v>
      </c>
      <c r="G473" s="11">
        <v>0</v>
      </c>
      <c r="M473" s="11"/>
      <c r="N473" s="11"/>
    </row>
    <row r="474" spans="1:14" x14ac:dyDescent="0.25">
      <c r="A474" s="4">
        <v>4115</v>
      </c>
      <c r="B474" s="4">
        <v>7</v>
      </c>
      <c r="C474" s="7" t="s">
        <v>459</v>
      </c>
      <c r="D474" s="5">
        <v>460</v>
      </c>
      <c r="E474" s="5">
        <v>170</v>
      </c>
      <c r="F474" s="5">
        <v>1303.3333333333333</v>
      </c>
      <c r="G474" s="11">
        <v>7.666666666666667</v>
      </c>
      <c r="M474" s="11"/>
      <c r="N474" s="11"/>
    </row>
    <row r="475" spans="1:14" x14ac:dyDescent="0.25">
      <c r="A475" s="4">
        <v>4116</v>
      </c>
      <c r="B475" s="4">
        <v>7</v>
      </c>
      <c r="C475" s="7" t="s">
        <v>460</v>
      </c>
      <c r="D475" s="5">
        <v>375</v>
      </c>
      <c r="E475" s="5">
        <v>164</v>
      </c>
      <c r="F475" s="5">
        <v>1025</v>
      </c>
      <c r="G475" s="11">
        <v>6.25</v>
      </c>
      <c r="M475" s="11"/>
      <c r="N475" s="11"/>
    </row>
    <row r="476" spans="1:14" x14ac:dyDescent="0.25">
      <c r="A476" s="4">
        <v>4118</v>
      </c>
      <c r="B476" s="4">
        <v>7</v>
      </c>
      <c r="C476" s="7" t="s">
        <v>461</v>
      </c>
      <c r="D476" s="5">
        <v>377</v>
      </c>
      <c r="E476" s="5">
        <v>165</v>
      </c>
      <c r="F476" s="5">
        <v>1036.75</v>
      </c>
      <c r="G476" s="11">
        <v>6.2833333333333332</v>
      </c>
      <c r="M476" s="11"/>
      <c r="N476" s="11"/>
    </row>
    <row r="477" spans="1:14" x14ac:dyDescent="0.25">
      <c r="A477" s="4">
        <v>4119</v>
      </c>
      <c r="B477" s="4">
        <v>7</v>
      </c>
      <c r="C477" s="7" t="s">
        <v>462</v>
      </c>
      <c r="D477" s="5">
        <v>420</v>
      </c>
      <c r="E477" s="5">
        <v>158</v>
      </c>
      <c r="F477" s="5">
        <v>1106</v>
      </c>
      <c r="G477" s="11">
        <v>7</v>
      </c>
      <c r="M477" s="11"/>
      <c r="N477" s="11"/>
    </row>
    <row r="478" spans="1:14" x14ac:dyDescent="0.25">
      <c r="A478" s="4">
        <v>4120</v>
      </c>
      <c r="B478" s="4">
        <v>7</v>
      </c>
      <c r="C478" s="7" t="s">
        <v>463</v>
      </c>
      <c r="D478" s="5">
        <v>365</v>
      </c>
      <c r="E478" s="5">
        <v>168</v>
      </c>
      <c r="F478" s="5">
        <v>1022</v>
      </c>
      <c r="G478" s="11">
        <v>6.083333333333333</v>
      </c>
      <c r="M478" s="11"/>
      <c r="N478" s="11"/>
    </row>
    <row r="479" spans="1:14" x14ac:dyDescent="0.25">
      <c r="A479" s="4">
        <v>4121</v>
      </c>
      <c r="B479" s="4">
        <v>7</v>
      </c>
      <c r="C479" s="7" t="s">
        <v>464</v>
      </c>
      <c r="D479" s="5">
        <v>362</v>
      </c>
      <c r="E479" s="5">
        <v>182</v>
      </c>
      <c r="F479" s="5">
        <v>1098.0666666666666</v>
      </c>
      <c r="G479" s="11">
        <v>6.0333333333333332</v>
      </c>
      <c r="M479" s="11"/>
      <c r="N479" s="11"/>
    </row>
    <row r="480" spans="1:14" x14ac:dyDescent="0.25">
      <c r="A480" s="4">
        <v>4122</v>
      </c>
      <c r="B480" s="4">
        <v>7</v>
      </c>
      <c r="C480" s="7" t="s">
        <v>465</v>
      </c>
      <c r="D480" s="5">
        <v>405</v>
      </c>
      <c r="E480" s="5">
        <v>168</v>
      </c>
      <c r="F480" s="5">
        <v>1134</v>
      </c>
      <c r="G480" s="11">
        <v>6.75</v>
      </c>
      <c r="M480" s="11"/>
      <c r="N480" s="11"/>
    </row>
    <row r="481" spans="1:14" x14ac:dyDescent="0.25">
      <c r="A481" s="4">
        <v>4123</v>
      </c>
      <c r="B481" s="4">
        <v>7</v>
      </c>
      <c r="C481" s="7" t="s">
        <v>466</v>
      </c>
      <c r="D481" s="5">
        <v>360</v>
      </c>
      <c r="E481" s="5">
        <v>173</v>
      </c>
      <c r="F481" s="5">
        <v>1038</v>
      </c>
      <c r="G481" s="11">
        <v>6</v>
      </c>
      <c r="M481" s="11"/>
      <c r="N481" s="11"/>
    </row>
    <row r="482" spans="1:14" x14ac:dyDescent="0.25">
      <c r="A482" s="4">
        <v>4124</v>
      </c>
      <c r="B482" s="4">
        <v>7</v>
      </c>
      <c r="C482" s="7" t="s">
        <v>467</v>
      </c>
      <c r="D482" s="5">
        <v>365</v>
      </c>
      <c r="E482" s="5">
        <v>167</v>
      </c>
      <c r="F482" s="5">
        <v>1015.9166666666666</v>
      </c>
      <c r="G482" s="11">
        <v>6.083333333333333</v>
      </c>
      <c r="M482" s="11"/>
      <c r="N482" s="11"/>
    </row>
    <row r="483" spans="1:14" x14ac:dyDescent="0.25">
      <c r="A483" s="4">
        <v>4125</v>
      </c>
      <c r="B483" s="4">
        <v>7</v>
      </c>
      <c r="C483" s="7" t="s">
        <v>468</v>
      </c>
      <c r="D483" s="5">
        <v>0</v>
      </c>
      <c r="E483" s="5">
        <v>0</v>
      </c>
      <c r="F483" s="5">
        <v>0</v>
      </c>
      <c r="G483" s="11">
        <v>0</v>
      </c>
      <c r="M483" s="11"/>
      <c r="N483" s="11"/>
    </row>
    <row r="484" spans="1:14" x14ac:dyDescent="0.25">
      <c r="A484" s="4">
        <v>4126</v>
      </c>
      <c r="B484" s="4">
        <v>7</v>
      </c>
      <c r="C484" s="7" t="s">
        <v>469</v>
      </c>
      <c r="D484" s="5">
        <v>405</v>
      </c>
      <c r="E484" s="5">
        <v>169</v>
      </c>
      <c r="F484" s="5">
        <v>1140.75</v>
      </c>
      <c r="G484" s="11">
        <v>6.75</v>
      </c>
      <c r="M484" s="11"/>
      <c r="N484" s="11"/>
    </row>
    <row r="485" spans="1:14" x14ac:dyDescent="0.25">
      <c r="A485" s="4">
        <v>4127</v>
      </c>
      <c r="B485" s="4">
        <v>7</v>
      </c>
      <c r="C485" s="7" t="s">
        <v>470</v>
      </c>
      <c r="D485" s="5">
        <v>385</v>
      </c>
      <c r="E485" s="5">
        <v>160</v>
      </c>
      <c r="F485" s="5">
        <v>1026.6666666666667</v>
      </c>
      <c r="G485" s="11">
        <v>6.416666666666667</v>
      </c>
      <c r="M485" s="11"/>
      <c r="N485" s="11"/>
    </row>
    <row r="486" spans="1:14" x14ac:dyDescent="0.25">
      <c r="A486" s="4">
        <v>4129</v>
      </c>
      <c r="B486" s="4">
        <v>7</v>
      </c>
      <c r="C486" s="7" t="s">
        <v>471</v>
      </c>
      <c r="D486" s="5">
        <v>0</v>
      </c>
      <c r="E486" s="5">
        <v>0</v>
      </c>
      <c r="F486" s="5">
        <v>0</v>
      </c>
      <c r="G486" s="11">
        <v>0</v>
      </c>
      <c r="M486" s="11"/>
      <c r="N486" s="11"/>
    </row>
    <row r="487" spans="1:14" x14ac:dyDescent="0.25">
      <c r="A487" s="4">
        <v>4131</v>
      </c>
      <c r="B487" s="4">
        <v>7</v>
      </c>
      <c r="C487" s="7" t="s">
        <v>472</v>
      </c>
      <c r="D487" s="5">
        <v>370</v>
      </c>
      <c r="E487" s="5">
        <v>178</v>
      </c>
      <c r="F487" s="5">
        <v>1097.6666666666667</v>
      </c>
      <c r="G487" s="11">
        <v>6.166666666666667</v>
      </c>
      <c r="M487" s="11"/>
      <c r="N487" s="11"/>
    </row>
    <row r="488" spans="1:14" x14ac:dyDescent="0.25">
      <c r="A488" s="4">
        <v>4132</v>
      </c>
      <c r="B488" s="4">
        <v>7</v>
      </c>
      <c r="C488" s="7" t="s">
        <v>473</v>
      </c>
      <c r="D488" s="5">
        <v>360</v>
      </c>
      <c r="E488" s="5">
        <v>174</v>
      </c>
      <c r="F488" s="5">
        <v>1044</v>
      </c>
      <c r="G488" s="11">
        <v>6</v>
      </c>
      <c r="I488" s="4"/>
      <c r="J488" s="4"/>
      <c r="L488" s="4"/>
      <c r="M488" s="11"/>
      <c r="N488" s="11"/>
    </row>
    <row r="489" spans="1:14" x14ac:dyDescent="0.25">
      <c r="A489" s="4">
        <v>4133</v>
      </c>
      <c r="B489" s="4">
        <v>7</v>
      </c>
      <c r="C489" s="7" t="s">
        <v>474</v>
      </c>
      <c r="D489" s="5">
        <v>360</v>
      </c>
      <c r="E489" s="5">
        <v>171</v>
      </c>
      <c r="F489" s="5">
        <v>1026</v>
      </c>
      <c r="G489" s="11">
        <v>6</v>
      </c>
      <c r="I489" s="4"/>
      <c r="J489" s="4"/>
      <c r="L489" s="4"/>
      <c r="M489" s="11"/>
      <c r="N489" s="11"/>
    </row>
    <row r="490" spans="1:14" x14ac:dyDescent="0.25">
      <c r="A490" s="4">
        <v>4135</v>
      </c>
      <c r="B490" s="4">
        <v>7</v>
      </c>
      <c r="C490" s="7" t="s">
        <v>475</v>
      </c>
      <c r="D490" s="5">
        <v>390</v>
      </c>
      <c r="E490" s="5">
        <v>175</v>
      </c>
      <c r="F490" s="5">
        <v>1137.5</v>
      </c>
      <c r="G490" s="11">
        <v>6.5</v>
      </c>
      <c r="I490" s="4"/>
      <c r="J490" s="4"/>
      <c r="L490" s="4"/>
      <c r="M490" s="11"/>
      <c r="N490" s="11"/>
    </row>
    <row r="491" spans="1:14" x14ac:dyDescent="0.25">
      <c r="A491" s="4">
        <v>4136</v>
      </c>
      <c r="B491" s="4">
        <v>7</v>
      </c>
      <c r="C491" s="7" t="s">
        <v>476</v>
      </c>
      <c r="D491" s="5">
        <v>0</v>
      </c>
      <c r="E491" s="5">
        <v>0</v>
      </c>
      <c r="F491" s="5">
        <v>0</v>
      </c>
      <c r="G491" s="11">
        <v>0</v>
      </c>
      <c r="I491" s="4"/>
      <c r="J491" s="4"/>
      <c r="L491" s="4"/>
      <c r="M491" s="11"/>
      <c r="N491" s="11"/>
    </row>
    <row r="492" spans="1:14" x14ac:dyDescent="0.25">
      <c r="A492" s="4">
        <v>4137</v>
      </c>
      <c r="B492" s="4">
        <v>7</v>
      </c>
      <c r="C492" s="7" t="s">
        <v>477</v>
      </c>
      <c r="D492" s="5">
        <v>353</v>
      </c>
      <c r="E492" s="5">
        <v>168</v>
      </c>
      <c r="F492" s="5">
        <v>988.4</v>
      </c>
      <c r="G492" s="11">
        <v>5.8833333333333337</v>
      </c>
      <c r="I492" s="4"/>
      <c r="J492" s="4"/>
      <c r="L492" s="4"/>
      <c r="M492" s="11"/>
      <c r="N492" s="11"/>
    </row>
    <row r="493" spans="1:14" x14ac:dyDescent="0.25">
      <c r="A493" s="4">
        <v>4138</v>
      </c>
      <c r="B493" s="4">
        <v>7</v>
      </c>
      <c r="C493" s="7" t="s">
        <v>478</v>
      </c>
      <c r="D493" s="5">
        <v>405</v>
      </c>
      <c r="E493" s="5">
        <v>172</v>
      </c>
      <c r="F493" s="5">
        <v>1161</v>
      </c>
      <c r="G493" s="11">
        <v>6.75</v>
      </c>
      <c r="I493" s="4"/>
      <c r="J493" s="4"/>
      <c r="L493" s="4"/>
      <c r="M493" s="11"/>
      <c r="N493" s="11"/>
    </row>
    <row r="494" spans="1:14" x14ac:dyDescent="0.25">
      <c r="A494" s="4">
        <v>4139</v>
      </c>
      <c r="B494" s="4">
        <v>7</v>
      </c>
      <c r="C494" s="7" t="s">
        <v>479</v>
      </c>
      <c r="D494" s="5">
        <v>406</v>
      </c>
      <c r="E494" s="5">
        <v>178</v>
      </c>
      <c r="F494" s="5">
        <v>1204.4666666666667</v>
      </c>
      <c r="G494" s="11">
        <v>6.7666666666666666</v>
      </c>
      <c r="I494" s="4"/>
      <c r="J494" s="4"/>
      <c r="L494" s="4"/>
      <c r="M494" s="11"/>
      <c r="N494" s="11"/>
    </row>
    <row r="495" spans="1:14" x14ac:dyDescent="0.25">
      <c r="A495" s="4">
        <v>4140</v>
      </c>
      <c r="B495" s="4">
        <v>7</v>
      </c>
      <c r="C495" s="7" t="s">
        <v>480</v>
      </c>
      <c r="D495" s="5">
        <v>360</v>
      </c>
      <c r="E495" s="5">
        <v>168</v>
      </c>
      <c r="F495" s="5">
        <v>1008</v>
      </c>
      <c r="G495" s="11">
        <v>6</v>
      </c>
      <c r="I495" s="4"/>
      <c r="J495" s="4"/>
      <c r="L495" s="4"/>
      <c r="M495" s="11"/>
      <c r="N495" s="11"/>
    </row>
    <row r="496" spans="1:14" x14ac:dyDescent="0.25">
      <c r="A496" s="4">
        <v>4141</v>
      </c>
      <c r="B496" s="4">
        <v>7</v>
      </c>
      <c r="C496" s="7" t="s">
        <v>481</v>
      </c>
      <c r="D496" s="5">
        <v>420</v>
      </c>
      <c r="E496" s="5">
        <v>169</v>
      </c>
      <c r="F496" s="5">
        <v>1183</v>
      </c>
      <c r="G496" s="11">
        <v>7</v>
      </c>
      <c r="I496" s="4"/>
      <c r="J496" s="4"/>
      <c r="L496" s="4"/>
      <c r="M496" s="11"/>
      <c r="N496" s="11"/>
    </row>
    <row r="497" spans="1:14" x14ac:dyDescent="0.25">
      <c r="A497" s="4">
        <v>4142</v>
      </c>
      <c r="B497" s="4">
        <v>7</v>
      </c>
      <c r="C497" s="7" t="s">
        <v>482</v>
      </c>
      <c r="D497" s="5">
        <v>353</v>
      </c>
      <c r="E497" s="5">
        <v>179</v>
      </c>
      <c r="F497" s="5">
        <v>1053.1166666666666</v>
      </c>
      <c r="G497" s="11">
        <v>5.8833333333333337</v>
      </c>
      <c r="I497" s="4"/>
      <c r="J497" s="4"/>
      <c r="L497" s="4"/>
      <c r="M497" s="11"/>
      <c r="N497" s="11"/>
    </row>
    <row r="498" spans="1:14" x14ac:dyDescent="0.25">
      <c r="A498" s="4">
        <v>4143</v>
      </c>
      <c r="B498" s="4">
        <v>7</v>
      </c>
      <c r="C498" s="7" t="s">
        <v>483</v>
      </c>
      <c r="D498" s="5">
        <v>360</v>
      </c>
      <c r="E498" s="5">
        <v>168</v>
      </c>
      <c r="F498" s="5">
        <v>1008</v>
      </c>
      <c r="G498" s="11">
        <v>6</v>
      </c>
      <c r="I498" s="4"/>
      <c r="J498" s="4"/>
      <c r="L498" s="4"/>
      <c r="M498" s="11"/>
      <c r="N498" s="11"/>
    </row>
    <row r="499" spans="1:14" x14ac:dyDescent="0.25">
      <c r="A499" s="4">
        <v>4144</v>
      </c>
      <c r="B499" s="4">
        <v>7</v>
      </c>
      <c r="C499" s="7" t="s">
        <v>484</v>
      </c>
      <c r="D499" s="5">
        <v>360</v>
      </c>
      <c r="E499" s="5">
        <v>165</v>
      </c>
      <c r="F499" s="5">
        <v>990</v>
      </c>
      <c r="G499" s="11">
        <v>6</v>
      </c>
      <c r="I499" s="4"/>
      <c r="J499" s="4"/>
      <c r="M499" s="11"/>
      <c r="N499" s="11"/>
    </row>
    <row r="500" spans="1:14" x14ac:dyDescent="0.25">
      <c r="A500" s="4">
        <v>4145</v>
      </c>
      <c r="B500" s="4">
        <v>7</v>
      </c>
      <c r="C500" s="7" t="s">
        <v>485</v>
      </c>
      <c r="D500" s="5">
        <v>390</v>
      </c>
      <c r="E500" s="5">
        <v>163</v>
      </c>
      <c r="F500" s="5">
        <v>1059.5</v>
      </c>
      <c r="G500" s="11">
        <v>6.5</v>
      </c>
      <c r="I500" s="4"/>
      <c r="J500" s="4"/>
      <c r="L500" s="4"/>
      <c r="M500" s="11"/>
      <c r="N500" s="11"/>
    </row>
    <row r="501" spans="1:14" x14ac:dyDescent="0.25">
      <c r="A501" s="4">
        <v>4146</v>
      </c>
      <c r="B501" s="4">
        <v>7</v>
      </c>
      <c r="C501" s="7" t="s">
        <v>486</v>
      </c>
      <c r="D501" s="5">
        <v>367</v>
      </c>
      <c r="E501" s="5">
        <v>169</v>
      </c>
      <c r="F501" s="5">
        <v>1033.7166666666667</v>
      </c>
      <c r="G501" s="11">
        <v>6.1166666666666663</v>
      </c>
      <c r="I501" s="4"/>
      <c r="J501" s="4"/>
      <c r="L501" s="4"/>
      <c r="M501" s="11"/>
      <c r="N501" s="11"/>
    </row>
    <row r="502" spans="1:14" x14ac:dyDescent="0.25">
      <c r="A502" s="4">
        <v>4148</v>
      </c>
      <c r="B502" s="4">
        <v>7</v>
      </c>
      <c r="C502" s="7" t="s">
        <v>487</v>
      </c>
      <c r="D502" s="5">
        <v>0</v>
      </c>
      <c r="E502" s="5">
        <v>0</v>
      </c>
      <c r="F502" s="5">
        <v>0</v>
      </c>
      <c r="G502" s="11">
        <v>0</v>
      </c>
      <c r="I502" s="4"/>
      <c r="J502" s="4"/>
      <c r="L502" s="4"/>
      <c r="M502" s="11"/>
      <c r="N502" s="11"/>
    </row>
    <row r="503" spans="1:14" x14ac:dyDescent="0.25">
      <c r="A503" s="4">
        <v>4149</v>
      </c>
      <c r="B503" s="4">
        <v>7</v>
      </c>
      <c r="C503" s="7" t="s">
        <v>488</v>
      </c>
      <c r="D503" s="5">
        <v>0</v>
      </c>
      <c r="E503" s="5">
        <v>0</v>
      </c>
      <c r="F503" s="5">
        <v>0</v>
      </c>
      <c r="G503" s="11">
        <v>0</v>
      </c>
      <c r="I503" s="4"/>
      <c r="J503" s="4"/>
      <c r="L503" s="4"/>
      <c r="M503" s="11"/>
      <c r="N503" s="11"/>
    </row>
    <row r="504" spans="1:14" x14ac:dyDescent="0.25">
      <c r="A504" s="4">
        <v>4150</v>
      </c>
      <c r="B504" s="4">
        <v>7</v>
      </c>
      <c r="C504" s="7" t="s">
        <v>489</v>
      </c>
      <c r="D504" s="5">
        <v>0</v>
      </c>
      <c r="E504" s="5">
        <v>0</v>
      </c>
      <c r="F504" s="5">
        <v>0</v>
      </c>
      <c r="G504" s="11">
        <v>0</v>
      </c>
      <c r="I504" s="4"/>
      <c r="J504" s="4"/>
      <c r="L504" s="4"/>
      <c r="M504" s="11"/>
      <c r="N504" s="11"/>
    </row>
    <row r="505" spans="1:14" x14ac:dyDescent="0.25">
      <c r="A505" s="4">
        <v>4151</v>
      </c>
      <c r="B505" s="4">
        <v>7</v>
      </c>
      <c r="C505" s="7" t="s">
        <v>490</v>
      </c>
      <c r="D505" s="5">
        <v>0</v>
      </c>
      <c r="E505" s="5">
        <v>0</v>
      </c>
      <c r="F505" s="5">
        <v>0</v>
      </c>
      <c r="G505" s="11">
        <v>0</v>
      </c>
      <c r="I505" s="4"/>
      <c r="J505" s="4"/>
      <c r="L505" s="4"/>
      <c r="M505" s="11"/>
      <c r="N505" s="11"/>
    </row>
    <row r="506" spans="1:14" x14ac:dyDescent="0.25">
      <c r="A506" s="4">
        <v>4152</v>
      </c>
      <c r="B506" s="4">
        <v>7</v>
      </c>
      <c r="C506" s="7" t="s">
        <v>491</v>
      </c>
      <c r="D506" s="5">
        <v>390</v>
      </c>
      <c r="E506" s="5">
        <v>167</v>
      </c>
      <c r="F506" s="5">
        <v>1085.5</v>
      </c>
      <c r="G506" s="11">
        <v>6.5</v>
      </c>
      <c r="I506" s="4"/>
      <c r="J506" s="4"/>
      <c r="L506" s="4"/>
      <c r="M506" s="11"/>
      <c r="N506" s="11"/>
    </row>
    <row r="507" spans="1:14" x14ac:dyDescent="0.25">
      <c r="A507" s="4">
        <v>4153</v>
      </c>
      <c r="B507" s="4">
        <v>7</v>
      </c>
      <c r="C507" s="7" t="s">
        <v>492</v>
      </c>
      <c r="D507" s="5">
        <v>367</v>
      </c>
      <c r="E507" s="5">
        <v>172</v>
      </c>
      <c r="F507" s="5">
        <v>1052.0666666666666</v>
      </c>
      <c r="G507" s="11">
        <v>6.1166666666666663</v>
      </c>
      <c r="I507" s="4"/>
      <c r="J507" s="4"/>
      <c r="L507" s="4"/>
      <c r="M507" s="11"/>
      <c r="N507" s="11"/>
    </row>
    <row r="508" spans="1:14" x14ac:dyDescent="0.25">
      <c r="A508" s="4">
        <v>4154</v>
      </c>
      <c r="B508" s="4">
        <v>7</v>
      </c>
      <c r="C508" s="7" t="s">
        <v>493</v>
      </c>
      <c r="D508" s="5">
        <v>0</v>
      </c>
      <c r="E508" s="5">
        <v>0</v>
      </c>
      <c r="F508" s="5">
        <v>0</v>
      </c>
      <c r="G508" s="11">
        <v>0</v>
      </c>
      <c r="I508" s="4"/>
      <c r="J508" s="4"/>
      <c r="L508" s="4"/>
      <c r="M508" s="11"/>
      <c r="N508" s="11"/>
    </row>
    <row r="509" spans="1:14" x14ac:dyDescent="0.25">
      <c r="A509" s="4">
        <v>4155</v>
      </c>
      <c r="B509" s="4">
        <v>7</v>
      </c>
      <c r="C509" s="7" t="s">
        <v>494</v>
      </c>
      <c r="D509" s="5">
        <v>420</v>
      </c>
      <c r="E509" s="5">
        <v>166</v>
      </c>
      <c r="F509" s="5">
        <v>1162</v>
      </c>
      <c r="G509" s="11">
        <v>7</v>
      </c>
      <c r="I509" s="4"/>
      <c r="J509" s="4"/>
      <c r="L509" s="4"/>
      <c r="M509" s="11"/>
      <c r="N509" s="11"/>
    </row>
    <row r="510" spans="1:14" x14ac:dyDescent="0.25">
      <c r="A510" s="4">
        <v>4157</v>
      </c>
      <c r="B510" s="4">
        <v>7</v>
      </c>
      <c r="C510" s="7" t="s">
        <v>495</v>
      </c>
      <c r="D510" s="5">
        <v>0</v>
      </c>
      <c r="E510" s="5">
        <v>0</v>
      </c>
      <c r="F510" s="5">
        <v>0</v>
      </c>
      <c r="G510" s="11">
        <v>0</v>
      </c>
      <c r="I510" s="4"/>
      <c r="J510" s="4"/>
      <c r="L510" s="4"/>
      <c r="M510" s="11"/>
      <c r="N510" s="11"/>
    </row>
    <row r="511" spans="1:14" x14ac:dyDescent="0.25">
      <c r="A511" s="4">
        <v>4158</v>
      </c>
      <c r="B511" s="4">
        <v>7</v>
      </c>
      <c r="C511" s="7" t="s">
        <v>496</v>
      </c>
      <c r="D511" s="5">
        <v>0</v>
      </c>
      <c r="E511" s="5">
        <v>0</v>
      </c>
      <c r="F511" s="5">
        <v>0</v>
      </c>
      <c r="G511" s="11">
        <v>0</v>
      </c>
      <c r="I511" s="4"/>
      <c r="J511" s="4"/>
      <c r="L511" s="4"/>
      <c r="M511" s="11"/>
      <c r="N511" s="11"/>
    </row>
    <row r="512" spans="1:14" x14ac:dyDescent="0.25">
      <c r="A512" s="4">
        <v>4159</v>
      </c>
      <c r="B512" s="4">
        <v>7</v>
      </c>
      <c r="C512" s="7" t="s">
        <v>497</v>
      </c>
      <c r="D512" s="5">
        <v>395</v>
      </c>
      <c r="E512" s="5">
        <v>171</v>
      </c>
      <c r="F512" s="5">
        <v>1125.75</v>
      </c>
      <c r="G512" s="11">
        <v>6.583333333333333</v>
      </c>
      <c r="I512" s="4"/>
      <c r="J512" s="4"/>
      <c r="L512" s="4"/>
      <c r="M512" s="11"/>
      <c r="N512" s="11"/>
    </row>
    <row r="513" spans="1:14" x14ac:dyDescent="0.25">
      <c r="A513" s="4">
        <v>4160</v>
      </c>
      <c r="B513" s="4">
        <v>7</v>
      </c>
      <c r="C513" s="7" t="s">
        <v>498</v>
      </c>
      <c r="D513" s="5">
        <v>389</v>
      </c>
      <c r="E513" s="5">
        <v>170</v>
      </c>
      <c r="F513" s="5">
        <v>1102.1666666666667</v>
      </c>
      <c r="G513" s="11">
        <v>6.4833333333333334</v>
      </c>
      <c r="I513" s="4"/>
      <c r="J513" s="4"/>
      <c r="L513" s="4"/>
      <c r="M513" s="11"/>
      <c r="N513" s="11"/>
    </row>
    <row r="514" spans="1:14" x14ac:dyDescent="0.25">
      <c r="A514" s="4">
        <v>4161</v>
      </c>
      <c r="B514" s="4">
        <v>7</v>
      </c>
      <c r="C514" s="7" t="s">
        <v>499</v>
      </c>
      <c r="D514" s="5">
        <v>385</v>
      </c>
      <c r="E514" s="5">
        <v>168</v>
      </c>
      <c r="F514" s="5">
        <v>1078</v>
      </c>
      <c r="G514" s="11">
        <v>6.416666666666667</v>
      </c>
      <c r="I514" s="4"/>
      <c r="J514" s="4"/>
      <c r="L514" s="4"/>
      <c r="M514" s="11"/>
      <c r="N514" s="11"/>
    </row>
    <row r="515" spans="1:14" x14ac:dyDescent="0.25">
      <c r="A515" s="4">
        <v>4162</v>
      </c>
      <c r="B515" s="4">
        <v>7</v>
      </c>
      <c r="C515" s="7" t="s">
        <v>500</v>
      </c>
      <c r="D515" s="5">
        <v>390</v>
      </c>
      <c r="E515" s="5">
        <v>166</v>
      </c>
      <c r="F515" s="5">
        <v>1079</v>
      </c>
      <c r="G515" s="11">
        <v>6.5</v>
      </c>
      <c r="I515" s="4"/>
      <c r="J515" s="4"/>
      <c r="L515" s="4"/>
      <c r="M515" s="11"/>
      <c r="N515" s="11"/>
    </row>
    <row r="516" spans="1:14" x14ac:dyDescent="0.25">
      <c r="A516" s="4">
        <v>4163</v>
      </c>
      <c r="B516" s="4">
        <v>7</v>
      </c>
      <c r="C516" s="7" t="s">
        <v>501</v>
      </c>
      <c r="D516" s="5">
        <v>400</v>
      </c>
      <c r="E516" s="5">
        <v>165</v>
      </c>
      <c r="F516" s="5">
        <v>1100</v>
      </c>
      <c r="G516" s="11">
        <v>6.666666666666667</v>
      </c>
      <c r="I516" s="4"/>
      <c r="J516" s="4"/>
      <c r="L516" s="4"/>
      <c r="M516" s="11"/>
      <c r="N516" s="11"/>
    </row>
    <row r="517" spans="1:14" x14ac:dyDescent="0.25">
      <c r="A517" s="4">
        <v>4165</v>
      </c>
      <c r="B517" s="4">
        <v>7</v>
      </c>
      <c r="C517" s="7" t="s">
        <v>502</v>
      </c>
      <c r="D517" s="5">
        <v>360</v>
      </c>
      <c r="E517" s="5">
        <v>175</v>
      </c>
      <c r="F517" s="5">
        <v>1050</v>
      </c>
      <c r="G517" s="11">
        <v>6</v>
      </c>
      <c r="I517" s="4"/>
      <c r="J517" s="4"/>
      <c r="L517" s="4"/>
      <c r="M517" s="11"/>
      <c r="N517" s="11"/>
    </row>
    <row r="518" spans="1:14" x14ac:dyDescent="0.25">
      <c r="A518" s="4">
        <v>4166</v>
      </c>
      <c r="B518" s="4">
        <v>7</v>
      </c>
      <c r="C518" s="7" t="s">
        <v>502</v>
      </c>
      <c r="D518" s="5">
        <v>368</v>
      </c>
      <c r="E518" s="5">
        <v>165</v>
      </c>
      <c r="F518" s="5">
        <v>1012</v>
      </c>
      <c r="G518" s="11">
        <v>6.1333333333333337</v>
      </c>
      <c r="I518" s="4"/>
      <c r="J518" s="4"/>
      <c r="L518" s="4"/>
      <c r="M518" s="11"/>
      <c r="N518" s="11"/>
    </row>
    <row r="519" spans="1:14" x14ac:dyDescent="0.25">
      <c r="A519" s="4">
        <v>4167</v>
      </c>
      <c r="B519" s="4">
        <v>7</v>
      </c>
      <c r="C519" s="7" t="s">
        <v>502</v>
      </c>
      <c r="D519" s="5">
        <v>362</v>
      </c>
      <c r="E519" s="5">
        <v>164</v>
      </c>
      <c r="F519" s="5">
        <v>989.4666666666667</v>
      </c>
      <c r="G519" s="11">
        <v>6.0333333333333332</v>
      </c>
      <c r="I519" s="4"/>
      <c r="J519" s="4"/>
      <c r="L519" s="4"/>
      <c r="M519" s="11"/>
      <c r="N519" s="11"/>
    </row>
    <row r="520" spans="1:14" x14ac:dyDescent="0.25">
      <c r="A520" s="4">
        <v>4168</v>
      </c>
      <c r="B520" s="4">
        <v>7</v>
      </c>
      <c r="C520" s="7" t="s">
        <v>502</v>
      </c>
      <c r="D520" s="5">
        <v>390</v>
      </c>
      <c r="E520" s="5">
        <v>169</v>
      </c>
      <c r="F520" s="5">
        <v>1098.5</v>
      </c>
      <c r="G520" s="11">
        <v>6.5</v>
      </c>
      <c r="I520" s="4"/>
      <c r="J520" s="4"/>
      <c r="L520" s="4"/>
      <c r="M520" s="11"/>
      <c r="N520" s="11"/>
    </row>
    <row r="521" spans="1:14" x14ac:dyDescent="0.25">
      <c r="A521" s="4">
        <v>4169</v>
      </c>
      <c r="B521" s="4">
        <v>7</v>
      </c>
      <c r="C521" s="7" t="s">
        <v>502</v>
      </c>
      <c r="D521" s="5">
        <v>375</v>
      </c>
      <c r="E521" s="5">
        <v>171</v>
      </c>
      <c r="F521" s="5">
        <v>1068.75</v>
      </c>
      <c r="G521" s="11">
        <v>6.25</v>
      </c>
      <c r="I521" s="4"/>
      <c r="J521" s="4"/>
      <c r="L521" s="4"/>
      <c r="M521" s="11"/>
      <c r="N521" s="11"/>
    </row>
    <row r="522" spans="1:14" x14ac:dyDescent="0.25">
      <c r="A522" s="4">
        <v>4170</v>
      </c>
      <c r="B522" s="4">
        <v>7</v>
      </c>
      <c r="C522" s="7" t="s">
        <v>502</v>
      </c>
      <c r="D522" s="5">
        <v>505</v>
      </c>
      <c r="E522" s="5">
        <v>186</v>
      </c>
      <c r="F522" s="5">
        <v>1565.5</v>
      </c>
      <c r="G522" s="11">
        <v>8.4166666666666661</v>
      </c>
      <c r="I522" s="4"/>
      <c r="J522" s="4"/>
      <c r="L522" s="4"/>
      <c r="M522" s="11"/>
      <c r="N522" s="11"/>
    </row>
    <row r="523" spans="1:14" x14ac:dyDescent="0.25">
      <c r="A523" s="4">
        <v>4171</v>
      </c>
      <c r="B523" s="4">
        <v>7</v>
      </c>
      <c r="C523" s="7" t="s">
        <v>502</v>
      </c>
      <c r="D523" s="5">
        <v>360</v>
      </c>
      <c r="E523" s="5">
        <v>173</v>
      </c>
      <c r="F523" s="5">
        <v>1038</v>
      </c>
      <c r="G523" s="11">
        <v>6</v>
      </c>
      <c r="I523" s="4"/>
      <c r="J523" s="4"/>
      <c r="L523" s="4"/>
      <c r="M523" s="11"/>
      <c r="N523" s="11"/>
    </row>
    <row r="524" spans="1:14" x14ac:dyDescent="0.25">
      <c r="A524" s="4">
        <v>4172</v>
      </c>
      <c r="B524" s="4">
        <v>7</v>
      </c>
      <c r="C524" s="7" t="s">
        <v>502</v>
      </c>
      <c r="D524" s="5">
        <v>420</v>
      </c>
      <c r="E524" s="5">
        <v>169</v>
      </c>
      <c r="F524" s="5">
        <v>1183</v>
      </c>
      <c r="G524" s="11">
        <v>7</v>
      </c>
      <c r="I524" s="4"/>
      <c r="J524" s="4"/>
      <c r="L524" s="4"/>
      <c r="M524" s="11"/>
      <c r="N524" s="11"/>
    </row>
    <row r="525" spans="1:14" x14ac:dyDescent="0.25">
      <c r="A525" s="4">
        <v>4173</v>
      </c>
      <c r="B525" s="4">
        <v>7</v>
      </c>
      <c r="C525" s="7" t="s">
        <v>502</v>
      </c>
      <c r="D525" s="5">
        <v>376</v>
      </c>
      <c r="E525" s="5">
        <v>172</v>
      </c>
      <c r="F525" s="5">
        <v>1077.8666666666666</v>
      </c>
      <c r="G525" s="11">
        <v>6.2666666666666666</v>
      </c>
      <c r="I525" s="4"/>
      <c r="J525" s="4"/>
      <c r="L525" s="4"/>
      <c r="M525" s="11"/>
      <c r="N525" s="11"/>
    </row>
    <row r="526" spans="1:14" x14ac:dyDescent="0.25">
      <c r="A526" s="4">
        <v>4174</v>
      </c>
      <c r="B526" s="4">
        <v>7</v>
      </c>
      <c r="C526" s="7" t="s">
        <v>502</v>
      </c>
      <c r="D526" s="5">
        <v>0</v>
      </c>
      <c r="E526" s="5">
        <v>0</v>
      </c>
      <c r="F526" s="5">
        <v>0</v>
      </c>
      <c r="G526" s="11">
        <v>0</v>
      </c>
      <c r="I526" s="4"/>
      <c r="J526" s="4"/>
      <c r="L526" s="4"/>
      <c r="M526" s="11"/>
      <c r="N526" s="11"/>
    </row>
    <row r="527" spans="1:14" x14ac:dyDescent="0.25">
      <c r="A527" s="4">
        <v>4175</v>
      </c>
      <c r="B527" s="4">
        <v>7</v>
      </c>
      <c r="C527" s="7" t="s">
        <v>502</v>
      </c>
      <c r="D527" s="5">
        <v>0</v>
      </c>
      <c r="E527" s="5">
        <v>0</v>
      </c>
      <c r="F527" s="5">
        <v>0</v>
      </c>
      <c r="G527" s="11">
        <v>0</v>
      </c>
      <c r="I527" s="4"/>
      <c r="J527" s="4"/>
      <c r="L527" s="4"/>
      <c r="M527" s="11"/>
      <c r="N527" s="11"/>
    </row>
    <row r="528" spans="1:14" x14ac:dyDescent="0.25">
      <c r="A528" s="4">
        <v>4176</v>
      </c>
      <c r="B528" s="4">
        <v>7</v>
      </c>
      <c r="C528" s="7" t="s">
        <v>502</v>
      </c>
      <c r="D528" s="5">
        <v>0</v>
      </c>
      <c r="E528" s="5">
        <v>0</v>
      </c>
      <c r="F528" s="5">
        <v>0</v>
      </c>
      <c r="G528" s="11">
        <v>0</v>
      </c>
      <c r="I528" s="4"/>
      <c r="J528" s="4"/>
      <c r="L528" s="4"/>
      <c r="M528" s="11"/>
      <c r="N528" s="11"/>
    </row>
    <row r="529" spans="1:14" x14ac:dyDescent="0.25">
      <c r="A529" s="4">
        <v>4177</v>
      </c>
      <c r="B529" s="4">
        <v>7</v>
      </c>
      <c r="C529" s="7" t="s">
        <v>502</v>
      </c>
      <c r="D529" s="5">
        <v>343</v>
      </c>
      <c r="E529" s="5">
        <v>180</v>
      </c>
      <c r="F529" s="5">
        <v>1029</v>
      </c>
      <c r="G529" s="11">
        <v>5.7166666666666668</v>
      </c>
      <c r="I529" s="4"/>
      <c r="J529" s="4"/>
      <c r="L529" s="4"/>
      <c r="M529" s="11"/>
      <c r="N529" s="11"/>
    </row>
    <row r="530" spans="1:14" x14ac:dyDescent="0.25">
      <c r="A530" s="4">
        <v>4178</v>
      </c>
      <c r="B530" s="4">
        <v>7</v>
      </c>
      <c r="C530" s="7" t="s">
        <v>502</v>
      </c>
      <c r="D530" s="5">
        <v>360</v>
      </c>
      <c r="E530" s="5">
        <v>173</v>
      </c>
      <c r="F530" s="5">
        <v>1038</v>
      </c>
      <c r="G530" s="11">
        <v>6</v>
      </c>
      <c r="I530" s="4"/>
      <c r="J530" s="4"/>
      <c r="L530" s="4"/>
      <c r="M530" s="11"/>
      <c r="N530" s="11"/>
    </row>
    <row r="531" spans="1:14" x14ac:dyDescent="0.25">
      <c r="A531" s="4">
        <v>4180</v>
      </c>
      <c r="B531" s="4">
        <v>7</v>
      </c>
      <c r="C531" s="7" t="s">
        <v>502</v>
      </c>
      <c r="D531" s="5">
        <v>0</v>
      </c>
      <c r="E531" s="5">
        <v>0</v>
      </c>
      <c r="F531" s="5">
        <v>0</v>
      </c>
      <c r="G531" s="11">
        <v>0</v>
      </c>
      <c r="I531" s="4"/>
      <c r="J531" s="4"/>
      <c r="L531" s="4"/>
      <c r="M531" s="11"/>
      <c r="N531" s="11"/>
    </row>
    <row r="532" spans="1:14" x14ac:dyDescent="0.25">
      <c r="A532" s="4">
        <v>4181</v>
      </c>
      <c r="B532" s="4">
        <v>7</v>
      </c>
      <c r="C532" s="7" t="s">
        <v>502</v>
      </c>
      <c r="D532" s="5">
        <v>385</v>
      </c>
      <c r="E532" s="5">
        <v>175</v>
      </c>
      <c r="F532" s="5">
        <v>1122.9166666666667</v>
      </c>
      <c r="G532" s="11">
        <v>6.416666666666667</v>
      </c>
      <c r="I532" s="4"/>
      <c r="J532" s="4"/>
      <c r="L532" s="4"/>
      <c r="M532" s="11"/>
      <c r="N532" s="11"/>
    </row>
    <row r="533" spans="1:14" x14ac:dyDescent="0.25">
      <c r="A533">
        <v>4182</v>
      </c>
      <c r="B533">
        <v>7</v>
      </c>
      <c r="C533" s="7" t="s">
        <v>502</v>
      </c>
      <c r="D533" s="5">
        <v>0</v>
      </c>
      <c r="E533" s="5">
        <v>0</v>
      </c>
      <c r="F533" s="5">
        <v>0</v>
      </c>
      <c r="G533" s="11">
        <v>0</v>
      </c>
      <c r="I533" s="4"/>
      <c r="J533" s="4"/>
      <c r="L533" s="4"/>
      <c r="M533" s="11"/>
      <c r="N533" s="11"/>
    </row>
    <row r="534" spans="1:14" x14ac:dyDescent="0.25">
      <c r="A534">
        <v>4183</v>
      </c>
      <c r="B534">
        <v>7</v>
      </c>
      <c r="C534" s="7" t="s">
        <v>502</v>
      </c>
      <c r="D534" s="5">
        <v>399</v>
      </c>
      <c r="E534" s="5">
        <v>165</v>
      </c>
      <c r="F534" s="5">
        <v>1097.25</v>
      </c>
      <c r="G534" s="11">
        <v>6.65</v>
      </c>
      <c r="I534" s="4"/>
      <c r="J534" s="4"/>
      <c r="L534" s="4"/>
      <c r="M534" s="11"/>
      <c r="N534" s="11"/>
    </row>
    <row r="535" spans="1:14" x14ac:dyDescent="0.25">
      <c r="A535">
        <v>4184</v>
      </c>
      <c r="B535">
        <v>7</v>
      </c>
      <c r="C535" s="7" t="s">
        <v>502</v>
      </c>
      <c r="D535" s="5">
        <v>390</v>
      </c>
      <c r="E535" s="5">
        <v>167</v>
      </c>
      <c r="F535" s="5">
        <v>1085.5</v>
      </c>
      <c r="G535" s="11">
        <v>6.5</v>
      </c>
      <c r="I535" s="4"/>
      <c r="J535" s="4"/>
      <c r="L535" s="4"/>
      <c r="M535" s="11"/>
      <c r="N535" s="11"/>
    </row>
    <row r="536" spans="1:14" x14ac:dyDescent="0.25">
      <c r="A536">
        <v>4185</v>
      </c>
      <c r="B536">
        <v>7</v>
      </c>
      <c r="C536" s="7" t="s">
        <v>502</v>
      </c>
      <c r="D536" s="5">
        <v>397</v>
      </c>
      <c r="E536" s="5">
        <v>172</v>
      </c>
      <c r="F536" s="5">
        <v>1138.0666666666666</v>
      </c>
      <c r="G536" s="11">
        <v>6.6166666666666663</v>
      </c>
      <c r="I536" s="4"/>
      <c r="J536" s="4"/>
      <c r="L536" s="4"/>
      <c r="M536" s="11"/>
      <c r="N536" s="11"/>
    </row>
    <row r="537" spans="1:14" x14ac:dyDescent="0.25">
      <c r="A537">
        <v>4186</v>
      </c>
      <c r="B537">
        <v>7</v>
      </c>
      <c r="C537" s="7" t="s">
        <v>502</v>
      </c>
      <c r="D537" s="5">
        <v>420</v>
      </c>
      <c r="E537" s="5">
        <v>174</v>
      </c>
      <c r="F537" s="5">
        <v>1218</v>
      </c>
      <c r="G537" s="11">
        <v>7</v>
      </c>
      <c r="I537" s="4"/>
      <c r="J537" s="4"/>
      <c r="L537" s="4"/>
      <c r="M537" s="11"/>
      <c r="N537" s="11"/>
    </row>
    <row r="538" spans="1:14" x14ac:dyDescent="0.25">
      <c r="A538">
        <v>4187</v>
      </c>
      <c r="B538">
        <v>7</v>
      </c>
      <c r="C538" s="7" t="s">
        <v>502</v>
      </c>
      <c r="D538" s="5">
        <v>360</v>
      </c>
      <c r="E538" s="5">
        <v>165</v>
      </c>
      <c r="F538" s="5">
        <v>990</v>
      </c>
      <c r="G538" s="11">
        <v>6</v>
      </c>
      <c r="I538" s="4"/>
      <c r="J538" s="4"/>
      <c r="L538" s="4"/>
      <c r="M538" s="11"/>
      <c r="N538" s="11"/>
    </row>
    <row r="539" spans="1:14" x14ac:dyDescent="0.25">
      <c r="A539">
        <v>4188</v>
      </c>
      <c r="B539">
        <v>7</v>
      </c>
      <c r="C539" s="7" t="s">
        <v>502</v>
      </c>
      <c r="D539" s="5">
        <v>395</v>
      </c>
      <c r="E539" s="5">
        <v>172</v>
      </c>
      <c r="F539" s="5">
        <v>1132.3333333333333</v>
      </c>
      <c r="G539" s="11">
        <v>6.583333333333333</v>
      </c>
      <c r="I539" s="4"/>
      <c r="J539" s="4"/>
      <c r="L539" s="4"/>
      <c r="M539" s="11"/>
      <c r="N539" s="11"/>
    </row>
    <row r="540" spans="1:14" x14ac:dyDescent="0.25">
      <c r="A540">
        <v>4189</v>
      </c>
      <c r="B540">
        <v>7</v>
      </c>
      <c r="C540" s="7" t="s">
        <v>502</v>
      </c>
      <c r="D540" s="5">
        <v>390</v>
      </c>
      <c r="E540" s="5">
        <v>175</v>
      </c>
      <c r="F540" s="5">
        <v>1137.5</v>
      </c>
      <c r="G540" s="11">
        <v>6.5</v>
      </c>
      <c r="I540" s="4"/>
      <c r="J540" s="4"/>
      <c r="L540" s="4"/>
      <c r="M540" s="11"/>
      <c r="N540" s="11"/>
    </row>
    <row r="541" spans="1:14" x14ac:dyDescent="0.25">
      <c r="A541">
        <v>4190</v>
      </c>
      <c r="B541">
        <v>7</v>
      </c>
      <c r="C541" s="7" t="s">
        <v>502</v>
      </c>
      <c r="D541" s="5">
        <v>335</v>
      </c>
      <c r="E541" s="5">
        <v>172</v>
      </c>
      <c r="F541" s="5">
        <v>960.33333333333337</v>
      </c>
      <c r="G541" s="11">
        <v>5.583333333333333</v>
      </c>
      <c r="I541" s="4"/>
      <c r="J541" s="4"/>
      <c r="L541" s="7"/>
      <c r="M541" s="11"/>
      <c r="N541" s="11"/>
    </row>
    <row r="542" spans="1:14" x14ac:dyDescent="0.25">
      <c r="A542">
        <v>4191</v>
      </c>
      <c r="B542">
        <v>7</v>
      </c>
      <c r="C542" s="7" t="s">
        <v>502</v>
      </c>
      <c r="D542" s="5">
        <v>540</v>
      </c>
      <c r="E542" s="5">
        <v>177</v>
      </c>
      <c r="F542" s="5">
        <v>1593</v>
      </c>
      <c r="G542" s="11">
        <v>9</v>
      </c>
      <c r="H542" s="6"/>
      <c r="I542" s="4"/>
      <c r="J542" s="4"/>
      <c r="L542" s="7"/>
    </row>
    <row r="543" spans="1:14" x14ac:dyDescent="0.25">
      <c r="A543">
        <v>4192</v>
      </c>
      <c r="B543">
        <v>7</v>
      </c>
      <c r="C543" s="7" t="s">
        <v>502</v>
      </c>
      <c r="D543" s="5">
        <v>464</v>
      </c>
      <c r="E543" s="5">
        <v>174</v>
      </c>
      <c r="F543" s="5">
        <v>1345.6</v>
      </c>
      <c r="G543" s="11">
        <v>7.7333333333333334</v>
      </c>
      <c r="H543" s="6"/>
      <c r="I543" s="4"/>
      <c r="J543" s="4"/>
      <c r="K543" s="4"/>
      <c r="L543" s="4"/>
      <c r="M543" s="43"/>
      <c r="N543" s="43"/>
    </row>
    <row r="544" spans="1:14" x14ac:dyDescent="0.25">
      <c r="A544">
        <v>4193</v>
      </c>
      <c r="B544">
        <v>7</v>
      </c>
      <c r="C544" s="7" t="s">
        <v>502</v>
      </c>
      <c r="D544" s="5">
        <v>375</v>
      </c>
      <c r="E544" s="5">
        <v>166</v>
      </c>
      <c r="F544" s="5">
        <v>1037.5</v>
      </c>
      <c r="G544" s="11">
        <v>6.25</v>
      </c>
      <c r="H544" s="6"/>
      <c r="I544" s="4"/>
      <c r="J544" s="4"/>
      <c r="K544" s="4"/>
      <c r="L544" s="4"/>
      <c r="M544" s="43"/>
      <c r="N544" s="43"/>
    </row>
    <row r="545" spans="1:14" x14ac:dyDescent="0.25">
      <c r="A545">
        <v>4194</v>
      </c>
      <c r="B545">
        <v>7</v>
      </c>
      <c r="C545" s="7" t="s">
        <v>502</v>
      </c>
      <c r="D545" s="5">
        <v>371</v>
      </c>
      <c r="E545" s="5">
        <v>167</v>
      </c>
      <c r="F545" s="5">
        <v>1032.6166666666666</v>
      </c>
      <c r="G545" s="11">
        <v>6.1833333333333336</v>
      </c>
      <c r="H545" s="6"/>
      <c r="I545" s="4"/>
      <c r="J545" s="4"/>
      <c r="K545" s="4"/>
      <c r="L545" s="4"/>
      <c r="M545" s="43"/>
      <c r="N545" s="43"/>
    </row>
    <row r="546" spans="1:14" x14ac:dyDescent="0.25">
      <c r="A546">
        <v>4195</v>
      </c>
      <c r="B546">
        <v>7</v>
      </c>
      <c r="C546" s="7" t="s">
        <v>502</v>
      </c>
      <c r="D546" s="5">
        <v>380</v>
      </c>
      <c r="E546" s="5">
        <v>159</v>
      </c>
      <c r="F546" s="5">
        <v>1007</v>
      </c>
      <c r="G546" s="11">
        <v>6.333333333333333</v>
      </c>
      <c r="H546" s="6"/>
      <c r="I546" s="4"/>
      <c r="J546" s="4"/>
      <c r="K546" s="4"/>
      <c r="L546" s="4"/>
      <c r="M546" s="43"/>
      <c r="N546" s="43"/>
    </row>
    <row r="547" spans="1:14" x14ac:dyDescent="0.25">
      <c r="A547">
        <v>4196</v>
      </c>
      <c r="B547">
        <v>7</v>
      </c>
      <c r="C547" s="7" t="s">
        <v>502</v>
      </c>
      <c r="D547" s="5">
        <v>0</v>
      </c>
      <c r="E547" s="5">
        <v>0</v>
      </c>
      <c r="F547" s="5">
        <v>0</v>
      </c>
      <c r="G547" s="11">
        <v>0</v>
      </c>
      <c r="H547" s="6"/>
      <c r="I547" s="4"/>
      <c r="J547" s="4"/>
      <c r="K547" s="4"/>
      <c r="L547" s="4"/>
      <c r="M547" s="43"/>
      <c r="N547" s="43"/>
    </row>
    <row r="548" spans="1:14" x14ac:dyDescent="0.25">
      <c r="A548">
        <v>4197</v>
      </c>
      <c r="B548">
        <v>7</v>
      </c>
      <c r="C548" s="7" t="s">
        <v>502</v>
      </c>
      <c r="D548" s="5">
        <v>0</v>
      </c>
      <c r="E548" s="5">
        <v>0</v>
      </c>
      <c r="F548" s="5">
        <v>0</v>
      </c>
      <c r="G548" s="11">
        <v>0</v>
      </c>
      <c r="H548" s="6"/>
      <c r="I548" s="4"/>
      <c r="J548" s="4"/>
      <c r="K548" s="4"/>
      <c r="L548" s="4"/>
      <c r="M548" s="43"/>
      <c r="N548" s="43"/>
    </row>
    <row r="549" spans="1:14" x14ac:dyDescent="0.25">
      <c r="A549">
        <v>4198</v>
      </c>
      <c r="B549">
        <v>7</v>
      </c>
      <c r="C549" s="7" t="s">
        <v>502</v>
      </c>
      <c r="D549" s="5">
        <v>340</v>
      </c>
      <c r="E549" s="5">
        <v>170</v>
      </c>
      <c r="F549" s="5">
        <v>963.33333333333337</v>
      </c>
      <c r="G549" s="11">
        <v>5.666666666666667</v>
      </c>
      <c r="H549" s="6"/>
      <c r="I549" s="4"/>
      <c r="J549" s="4"/>
      <c r="K549" s="4"/>
      <c r="L549" s="4"/>
      <c r="M549" s="43"/>
      <c r="N549" s="43"/>
    </row>
    <row r="550" spans="1:14" x14ac:dyDescent="0.25">
      <c r="A550">
        <v>4199</v>
      </c>
      <c r="B550">
        <v>7</v>
      </c>
      <c r="C550" s="7" t="s">
        <v>502</v>
      </c>
      <c r="D550" s="5">
        <v>383</v>
      </c>
      <c r="E550" s="5">
        <v>180</v>
      </c>
      <c r="F550" s="5">
        <v>1149</v>
      </c>
      <c r="G550" s="11">
        <v>6.3833333333333337</v>
      </c>
      <c r="H550" s="6"/>
      <c r="I550" s="4"/>
      <c r="J550" s="4"/>
      <c r="K550" s="4"/>
      <c r="L550" s="4"/>
      <c r="M550" s="43"/>
      <c r="N550" s="43"/>
    </row>
    <row r="551" spans="1:14" x14ac:dyDescent="0.25">
      <c r="A551">
        <v>4200</v>
      </c>
      <c r="B551">
        <v>7</v>
      </c>
      <c r="C551" s="7" t="s">
        <v>502</v>
      </c>
      <c r="D551" s="5">
        <v>386</v>
      </c>
      <c r="E551" s="5">
        <v>168</v>
      </c>
      <c r="F551" s="5">
        <v>1080.8</v>
      </c>
      <c r="G551" s="11">
        <v>6.4333333333333336</v>
      </c>
      <c r="H551" s="6"/>
      <c r="I551" s="4"/>
      <c r="J551" s="4"/>
      <c r="K551" s="4"/>
      <c r="L551" s="4"/>
      <c r="M551" s="43"/>
      <c r="N551" s="43"/>
    </row>
    <row r="552" spans="1:14" x14ac:dyDescent="0.25">
      <c r="A552">
        <v>4201</v>
      </c>
      <c r="B552">
        <v>7</v>
      </c>
      <c r="C552" s="7" t="s">
        <v>502</v>
      </c>
      <c r="D552" s="5">
        <v>400</v>
      </c>
      <c r="E552" s="5">
        <v>166</v>
      </c>
      <c r="F552" s="5">
        <v>1106.6666666666667</v>
      </c>
      <c r="G552" s="11">
        <v>6.666666666666667</v>
      </c>
      <c r="H552" s="6"/>
      <c r="I552" s="4"/>
      <c r="J552" s="4"/>
      <c r="K552" s="4"/>
      <c r="L552" s="4"/>
      <c r="M552" s="43"/>
      <c r="N552" s="43"/>
    </row>
    <row r="553" spans="1:14" x14ac:dyDescent="0.25">
      <c r="A553">
        <v>4202</v>
      </c>
      <c r="B553">
        <v>7</v>
      </c>
      <c r="C553" s="7" t="s">
        <v>502</v>
      </c>
      <c r="D553" s="5">
        <v>0</v>
      </c>
      <c r="E553" s="5">
        <v>0</v>
      </c>
      <c r="F553" s="5">
        <v>0</v>
      </c>
      <c r="G553" s="11">
        <v>0</v>
      </c>
      <c r="H553" s="6"/>
      <c r="I553" s="4"/>
      <c r="J553" s="4"/>
      <c r="K553" s="4"/>
      <c r="L553" s="4"/>
      <c r="M553" s="43"/>
      <c r="N553" s="43"/>
    </row>
    <row r="554" spans="1:14" x14ac:dyDescent="0.25">
      <c r="A554">
        <v>4203</v>
      </c>
      <c r="B554">
        <v>7</v>
      </c>
      <c r="C554" s="7" t="s">
        <v>502</v>
      </c>
      <c r="D554" s="5">
        <v>425</v>
      </c>
      <c r="E554" s="5">
        <v>181</v>
      </c>
      <c r="F554" s="5">
        <v>1282.0833333333333</v>
      </c>
      <c r="G554" s="11">
        <v>7.083333333333333</v>
      </c>
      <c r="H554" s="6"/>
      <c r="I554" s="4"/>
      <c r="J554" s="4"/>
      <c r="K554" s="4"/>
      <c r="L554" s="4"/>
      <c r="M554" s="43"/>
      <c r="N554" s="43"/>
    </row>
    <row r="555" spans="1:14" x14ac:dyDescent="0.25">
      <c r="A555">
        <v>4204</v>
      </c>
      <c r="B555">
        <v>7</v>
      </c>
      <c r="C555" s="7" t="s">
        <v>502</v>
      </c>
      <c r="D555" s="5">
        <v>360</v>
      </c>
      <c r="E555" s="5">
        <v>177</v>
      </c>
      <c r="F555" s="5">
        <v>1062</v>
      </c>
      <c r="G555" s="11">
        <v>6</v>
      </c>
      <c r="H555" s="6"/>
      <c r="I555" s="4"/>
      <c r="J555" s="4"/>
      <c r="K555" s="4"/>
      <c r="L555" s="4"/>
      <c r="M555" s="43"/>
      <c r="N555" s="43"/>
    </row>
    <row r="556" spans="1:14" x14ac:dyDescent="0.25">
      <c r="A556">
        <v>4205</v>
      </c>
      <c r="B556">
        <v>7</v>
      </c>
      <c r="C556" s="7" t="s">
        <v>502</v>
      </c>
      <c r="D556" s="5">
        <v>450</v>
      </c>
      <c r="E556" s="5">
        <v>177</v>
      </c>
      <c r="F556" s="5">
        <v>1327.5</v>
      </c>
      <c r="G556" s="11">
        <v>7.5</v>
      </c>
      <c r="H556" s="6"/>
      <c r="I556" s="4"/>
      <c r="J556" s="4"/>
      <c r="K556" s="4"/>
      <c r="L556" s="4"/>
      <c r="M556" s="43"/>
      <c r="N556" s="43"/>
    </row>
    <row r="557" spans="1:14" x14ac:dyDescent="0.25">
      <c r="A557">
        <v>4206</v>
      </c>
      <c r="B557">
        <v>7</v>
      </c>
      <c r="C557" s="7" t="s">
        <v>502</v>
      </c>
      <c r="D557" s="5">
        <v>0</v>
      </c>
      <c r="E557" s="5">
        <v>0</v>
      </c>
      <c r="F557" s="5">
        <v>0</v>
      </c>
      <c r="G557" s="11">
        <v>0</v>
      </c>
      <c r="H557" s="6"/>
      <c r="I557" s="4"/>
      <c r="J557" s="4"/>
      <c r="K557" s="4"/>
      <c r="L557" s="4"/>
      <c r="M557" s="43"/>
      <c r="N557" s="43"/>
    </row>
    <row r="558" spans="1:14" x14ac:dyDescent="0.25">
      <c r="A558">
        <v>4207</v>
      </c>
      <c r="B558">
        <v>7</v>
      </c>
      <c r="C558" s="7" t="s">
        <v>502</v>
      </c>
      <c r="D558" s="5">
        <v>370</v>
      </c>
      <c r="E558" s="5">
        <v>176</v>
      </c>
      <c r="F558" s="5">
        <v>1085.3333333333333</v>
      </c>
      <c r="G558" s="11">
        <v>6.166666666666667</v>
      </c>
      <c r="H558" s="6"/>
      <c r="I558" s="4"/>
      <c r="J558" s="4"/>
      <c r="K558" s="4"/>
      <c r="L558" s="4"/>
      <c r="M558" s="43"/>
      <c r="N558" s="43"/>
    </row>
    <row r="559" spans="1:14" x14ac:dyDescent="0.25">
      <c r="A559">
        <v>4208</v>
      </c>
      <c r="B559">
        <v>7</v>
      </c>
      <c r="C559" s="7" t="s">
        <v>502</v>
      </c>
      <c r="D559" s="5">
        <v>420</v>
      </c>
      <c r="E559" s="5">
        <v>166</v>
      </c>
      <c r="F559" s="5">
        <v>1162</v>
      </c>
      <c r="G559" s="11">
        <v>7</v>
      </c>
      <c r="H559" s="6"/>
      <c r="I559" s="4"/>
      <c r="J559" s="4"/>
      <c r="K559" s="4"/>
      <c r="L559" s="4"/>
      <c r="M559" s="43"/>
      <c r="N559" s="43"/>
    </row>
    <row r="560" spans="1:14" x14ac:dyDescent="0.25">
      <c r="A560">
        <v>4209</v>
      </c>
      <c r="B560">
        <v>7</v>
      </c>
      <c r="C560" s="7" t="s">
        <v>502</v>
      </c>
      <c r="D560" s="5">
        <v>464</v>
      </c>
      <c r="E560" s="5">
        <v>174</v>
      </c>
      <c r="F560" s="5">
        <v>1345.6</v>
      </c>
      <c r="G560" s="11">
        <v>7.7333333333333334</v>
      </c>
      <c r="H560" s="6"/>
      <c r="I560" s="4"/>
      <c r="J560" s="4"/>
      <c r="K560" s="4"/>
      <c r="L560" s="4"/>
      <c r="M560" s="43"/>
      <c r="N560" s="43"/>
    </row>
    <row r="561" spans="1:14" x14ac:dyDescent="0.25">
      <c r="A561">
        <v>4210</v>
      </c>
      <c r="B561">
        <v>7</v>
      </c>
      <c r="C561" s="7" t="s">
        <v>502</v>
      </c>
      <c r="D561" s="5">
        <v>480</v>
      </c>
      <c r="E561" s="5">
        <v>157</v>
      </c>
      <c r="F561" s="5">
        <v>1256</v>
      </c>
      <c r="G561" s="11">
        <v>8</v>
      </c>
      <c r="H561" s="6"/>
      <c r="I561" s="4"/>
      <c r="J561" s="4"/>
      <c r="K561" s="4"/>
      <c r="L561" s="4"/>
      <c r="M561" s="43"/>
      <c r="N561" s="43"/>
    </row>
    <row r="562" spans="1:14" x14ac:dyDescent="0.25">
      <c r="A562">
        <v>4211</v>
      </c>
      <c r="B562">
        <v>7</v>
      </c>
      <c r="C562" s="7" t="s">
        <v>502</v>
      </c>
      <c r="D562" s="5">
        <v>469</v>
      </c>
      <c r="E562" s="5">
        <v>181</v>
      </c>
      <c r="F562" s="5">
        <v>1414.8166666666666</v>
      </c>
      <c r="G562" s="11">
        <v>7.8166666666666664</v>
      </c>
      <c r="H562" s="6"/>
      <c r="I562" s="4"/>
      <c r="J562" s="4"/>
      <c r="K562" s="4"/>
      <c r="L562" s="4"/>
      <c r="M562" s="43"/>
      <c r="N562" s="43"/>
    </row>
    <row r="563" spans="1:14" x14ac:dyDescent="0.25">
      <c r="A563">
        <v>4212</v>
      </c>
      <c r="B563">
        <v>7</v>
      </c>
      <c r="C563" s="7" t="s">
        <v>502</v>
      </c>
      <c r="D563" s="5">
        <v>480</v>
      </c>
      <c r="E563" s="5">
        <v>182</v>
      </c>
      <c r="F563" s="5">
        <v>1456</v>
      </c>
      <c r="G563" s="11">
        <v>8</v>
      </c>
      <c r="H563" s="6"/>
      <c r="I563" s="4"/>
      <c r="J563" s="4"/>
      <c r="K563" s="4"/>
      <c r="L563" s="4"/>
      <c r="M563" s="43"/>
      <c r="N563" s="43"/>
    </row>
    <row r="564" spans="1:14" x14ac:dyDescent="0.25">
      <c r="A564">
        <v>4213</v>
      </c>
      <c r="B564">
        <v>7</v>
      </c>
      <c r="C564" s="7" t="s">
        <v>502</v>
      </c>
      <c r="D564" s="5">
        <v>0</v>
      </c>
      <c r="E564" s="5">
        <v>0</v>
      </c>
      <c r="F564" s="5">
        <v>0</v>
      </c>
      <c r="G564" s="11">
        <v>0</v>
      </c>
      <c r="H564" s="6"/>
      <c r="I564" s="4"/>
      <c r="J564" s="4"/>
      <c r="K564" s="4"/>
      <c r="L564" s="4"/>
      <c r="M564" s="43"/>
      <c r="N564" s="43"/>
    </row>
    <row r="565" spans="1:14" x14ac:dyDescent="0.25">
      <c r="A565">
        <v>4214</v>
      </c>
      <c r="B565">
        <v>7</v>
      </c>
      <c r="C565" s="7" t="s">
        <v>502</v>
      </c>
      <c r="D565" s="5">
        <v>360</v>
      </c>
      <c r="E565" s="5">
        <v>172</v>
      </c>
      <c r="F565" s="5">
        <v>1032</v>
      </c>
      <c r="G565" s="11">
        <v>6</v>
      </c>
      <c r="H565" s="6"/>
      <c r="I565" s="4"/>
      <c r="J565" s="4"/>
      <c r="K565" s="4"/>
      <c r="L565" s="4"/>
      <c r="M565" s="43"/>
      <c r="N565" s="43"/>
    </row>
    <row r="566" spans="1:14" x14ac:dyDescent="0.25">
      <c r="A566">
        <v>4215</v>
      </c>
      <c r="B566">
        <v>7</v>
      </c>
      <c r="C566" s="7" t="s">
        <v>502</v>
      </c>
      <c r="D566" s="5">
        <v>0</v>
      </c>
      <c r="E566" s="5">
        <v>0</v>
      </c>
      <c r="F566" s="5">
        <v>0</v>
      </c>
      <c r="G566" s="11">
        <v>0</v>
      </c>
      <c r="H566" s="6"/>
      <c r="I566" s="4"/>
      <c r="J566" s="4"/>
      <c r="K566" s="4"/>
      <c r="L566" s="4"/>
      <c r="M566" s="43"/>
      <c r="N566" s="43"/>
    </row>
    <row r="567" spans="1:14" x14ac:dyDescent="0.25">
      <c r="A567">
        <v>4216</v>
      </c>
      <c r="B567">
        <v>7</v>
      </c>
      <c r="C567" s="7" t="s">
        <v>502</v>
      </c>
      <c r="D567" s="5">
        <v>0</v>
      </c>
      <c r="E567" s="5">
        <v>0</v>
      </c>
      <c r="F567" s="5">
        <v>0</v>
      </c>
      <c r="G567" s="11">
        <v>0</v>
      </c>
      <c r="H567" s="6"/>
      <c r="I567" s="4"/>
      <c r="J567" s="4"/>
      <c r="K567" s="4"/>
      <c r="L567" s="4"/>
      <c r="M567" s="43"/>
      <c r="N567" s="43"/>
    </row>
    <row r="568" spans="1:14" x14ac:dyDescent="0.25">
      <c r="A568">
        <v>4217</v>
      </c>
      <c r="B568">
        <v>7</v>
      </c>
      <c r="C568" s="7" t="s">
        <v>502</v>
      </c>
      <c r="D568" s="5">
        <v>0</v>
      </c>
      <c r="E568" s="5">
        <v>0</v>
      </c>
      <c r="F568" s="5">
        <v>0</v>
      </c>
      <c r="G568" s="11">
        <v>0</v>
      </c>
      <c r="H568" s="6"/>
      <c r="I568" s="4"/>
      <c r="J568" s="4"/>
      <c r="K568" s="4"/>
      <c r="L568" s="4"/>
      <c r="M568" s="43"/>
      <c r="N568" s="43"/>
    </row>
    <row r="569" spans="1:14" x14ac:dyDescent="0.25">
      <c r="A569">
        <v>4218</v>
      </c>
      <c r="B569">
        <v>7</v>
      </c>
      <c r="C569" s="7" t="s">
        <v>502</v>
      </c>
      <c r="D569" s="5">
        <v>405</v>
      </c>
      <c r="E569" s="5">
        <v>163</v>
      </c>
      <c r="F569" s="5">
        <v>1100.25</v>
      </c>
      <c r="G569" s="11">
        <v>6.75</v>
      </c>
      <c r="H569" s="6"/>
      <c r="I569" s="4"/>
      <c r="J569" s="4"/>
      <c r="K569" s="4"/>
      <c r="L569" s="4"/>
      <c r="M569" s="43"/>
      <c r="N569" s="43"/>
    </row>
    <row r="570" spans="1:14" x14ac:dyDescent="0.25">
      <c r="A570">
        <v>6003</v>
      </c>
      <c r="B570">
        <v>50</v>
      </c>
      <c r="C570" s="7" t="s">
        <v>502</v>
      </c>
      <c r="D570" s="6">
        <v>0</v>
      </c>
      <c r="E570" s="6">
        <v>0</v>
      </c>
      <c r="F570" s="6">
        <v>0</v>
      </c>
      <c r="G570" s="42">
        <v>0</v>
      </c>
      <c r="H570" s="6"/>
      <c r="I570" s="4"/>
      <c r="J570" s="4"/>
      <c r="K570" s="4"/>
      <c r="L570" s="4"/>
      <c r="M570" s="43"/>
      <c r="N570" s="43"/>
    </row>
    <row r="571" spans="1:14" x14ac:dyDescent="0.25">
      <c r="A571" s="4">
        <v>6004</v>
      </c>
      <c r="B571" s="4">
        <v>61</v>
      </c>
      <c r="C571" s="7" t="s">
        <v>502</v>
      </c>
      <c r="D571" s="6">
        <v>0</v>
      </c>
      <c r="E571" s="6">
        <v>0</v>
      </c>
      <c r="F571" s="6">
        <v>0</v>
      </c>
      <c r="G571" s="42">
        <v>0</v>
      </c>
      <c r="H571" s="6"/>
      <c r="I571" s="4"/>
      <c r="J571" s="4"/>
      <c r="K571" s="4"/>
      <c r="L571" s="4"/>
      <c r="M571" s="43"/>
      <c r="N571" s="43"/>
    </row>
    <row r="572" spans="1:14" x14ac:dyDescent="0.25">
      <c r="A572">
        <v>6009</v>
      </c>
      <c r="B572">
        <v>61</v>
      </c>
      <c r="C572" s="7" t="s">
        <v>502</v>
      </c>
      <c r="D572" s="6">
        <v>0</v>
      </c>
      <c r="E572" s="6">
        <v>0</v>
      </c>
      <c r="F572" s="6">
        <v>0</v>
      </c>
      <c r="G572" s="42">
        <v>0</v>
      </c>
      <c r="H572" s="6"/>
      <c r="I572" s="4"/>
      <c r="J572" s="4"/>
      <c r="K572" s="4"/>
      <c r="L572" s="4"/>
      <c r="M572" s="43"/>
      <c r="N572" s="43"/>
    </row>
    <row r="573" spans="1:14" x14ac:dyDescent="0.25">
      <c r="A573" s="4">
        <v>6012</v>
      </c>
      <c r="B573" s="4">
        <v>61</v>
      </c>
      <c r="C573" s="7" t="s">
        <v>502</v>
      </c>
      <c r="D573" s="6">
        <v>0</v>
      </c>
      <c r="E573" s="6">
        <v>0</v>
      </c>
      <c r="F573" s="6">
        <v>0</v>
      </c>
      <c r="G573" s="42">
        <v>0</v>
      </c>
      <c r="H573" s="6"/>
      <c r="I573" s="4"/>
      <c r="J573" s="4"/>
      <c r="K573" s="4"/>
      <c r="L573" s="4"/>
      <c r="M573" s="43"/>
      <c r="N573" s="43"/>
    </row>
    <row r="574" spans="1:14" x14ac:dyDescent="0.25">
      <c r="A574" s="4">
        <v>6013</v>
      </c>
      <c r="B574" s="4">
        <v>61</v>
      </c>
      <c r="C574" s="7" t="s">
        <v>502</v>
      </c>
      <c r="D574" s="6">
        <v>0</v>
      </c>
      <c r="E574" s="6">
        <v>0</v>
      </c>
      <c r="F574" s="6">
        <v>0</v>
      </c>
      <c r="G574" s="42">
        <v>0</v>
      </c>
      <c r="H574" s="6"/>
      <c r="I574" s="4"/>
      <c r="J574" s="4"/>
      <c r="K574" s="4"/>
      <c r="L574" s="4"/>
      <c r="M574" s="43"/>
      <c r="N574" s="43"/>
    </row>
    <row r="575" spans="1:14" x14ac:dyDescent="0.25">
      <c r="A575" s="4">
        <v>6014</v>
      </c>
      <c r="B575" s="4">
        <v>61</v>
      </c>
      <c r="C575" s="7" t="s">
        <v>502</v>
      </c>
      <c r="D575" s="6">
        <v>0</v>
      </c>
      <c r="E575" s="6">
        <v>0</v>
      </c>
      <c r="F575" s="6">
        <v>0</v>
      </c>
      <c r="G575" s="42">
        <v>0</v>
      </c>
      <c r="H575" s="6"/>
      <c r="I575" s="4"/>
      <c r="J575" s="4"/>
      <c r="K575" s="4"/>
      <c r="L575" s="4"/>
      <c r="M575" s="43"/>
      <c r="N575" s="43"/>
    </row>
    <row r="576" spans="1:14" x14ac:dyDescent="0.25">
      <c r="A576" s="4">
        <v>6018</v>
      </c>
      <c r="B576" s="4">
        <v>61</v>
      </c>
      <c r="C576" s="7" t="s">
        <v>502</v>
      </c>
      <c r="D576" s="6">
        <v>0</v>
      </c>
      <c r="E576" s="6">
        <v>0</v>
      </c>
      <c r="F576" s="6">
        <v>0</v>
      </c>
      <c r="G576" s="42">
        <v>0</v>
      </c>
      <c r="H576" s="6"/>
      <c r="I576" s="4"/>
      <c r="J576" s="4"/>
      <c r="K576" s="4"/>
      <c r="L576" s="4"/>
      <c r="M576" s="43"/>
      <c r="N576" s="43"/>
    </row>
    <row r="577" spans="1:14" x14ac:dyDescent="0.25">
      <c r="A577" s="4">
        <v>6026</v>
      </c>
      <c r="B577" s="4">
        <v>61</v>
      </c>
      <c r="C577" s="7" t="s">
        <v>502</v>
      </c>
      <c r="D577" s="6">
        <v>0</v>
      </c>
      <c r="E577" s="6">
        <v>0</v>
      </c>
      <c r="F577" s="6">
        <v>0</v>
      </c>
      <c r="G577" s="42">
        <v>0</v>
      </c>
      <c r="H577" s="6"/>
      <c r="I577" s="4"/>
      <c r="J577" s="4"/>
      <c r="K577" s="4"/>
      <c r="L577" s="4"/>
      <c r="M577" s="43"/>
      <c r="N577" s="43"/>
    </row>
    <row r="578" spans="1:14" x14ac:dyDescent="0.25">
      <c r="A578" s="4">
        <v>6027</v>
      </c>
      <c r="B578" s="4">
        <v>61</v>
      </c>
      <c r="C578" s="7" t="s">
        <v>502</v>
      </c>
      <c r="D578" s="6">
        <v>0</v>
      </c>
      <c r="E578" s="6">
        <v>0</v>
      </c>
      <c r="F578" s="6">
        <v>0</v>
      </c>
      <c r="G578" s="42">
        <v>0</v>
      </c>
      <c r="H578" s="6"/>
      <c r="I578" s="4"/>
      <c r="J578" s="4"/>
      <c r="K578" s="4"/>
      <c r="L578" s="4"/>
      <c r="M578" s="43"/>
      <c r="N578" s="43"/>
    </row>
    <row r="579" spans="1:14" x14ac:dyDescent="0.25">
      <c r="A579">
        <v>6040</v>
      </c>
      <c r="B579">
        <v>50</v>
      </c>
      <c r="C579" s="7" t="s">
        <v>502</v>
      </c>
      <c r="D579" s="6">
        <v>0</v>
      </c>
      <c r="E579" s="6">
        <v>0</v>
      </c>
      <c r="F579" s="6">
        <v>0</v>
      </c>
      <c r="G579" s="42">
        <v>0</v>
      </c>
      <c r="H579" s="6"/>
      <c r="I579" s="4"/>
      <c r="J579" s="4"/>
      <c r="K579" s="4"/>
      <c r="L579" s="4"/>
      <c r="M579" s="43"/>
      <c r="N579" s="43"/>
    </row>
    <row r="580" spans="1:14" x14ac:dyDescent="0.25">
      <c r="A580" s="4">
        <v>6042</v>
      </c>
      <c r="B580" s="4">
        <v>61</v>
      </c>
      <c r="C580" s="7" t="s">
        <v>502</v>
      </c>
      <c r="D580" s="6">
        <v>0</v>
      </c>
      <c r="E580" s="6">
        <v>0</v>
      </c>
      <c r="F580" s="6">
        <v>0</v>
      </c>
      <c r="G580" s="42">
        <v>0</v>
      </c>
      <c r="H580" s="6"/>
      <c r="I580" s="4"/>
      <c r="J580" s="4"/>
      <c r="K580" s="4"/>
      <c r="L580" s="4"/>
      <c r="M580" s="43"/>
      <c r="N580" s="43"/>
    </row>
    <row r="581" spans="1:14" x14ac:dyDescent="0.25">
      <c r="A581">
        <v>6048</v>
      </c>
      <c r="B581">
        <v>50</v>
      </c>
      <c r="C581" s="7" t="s">
        <v>502</v>
      </c>
      <c r="D581" s="6">
        <v>0</v>
      </c>
      <c r="E581" s="6">
        <v>0</v>
      </c>
      <c r="F581" s="6">
        <v>0</v>
      </c>
      <c r="G581" s="42">
        <v>0</v>
      </c>
      <c r="H581" s="6"/>
      <c r="I581" s="4"/>
      <c r="J581" s="4"/>
      <c r="K581" s="4"/>
      <c r="L581" s="4"/>
      <c r="M581" s="43"/>
      <c r="N581" s="43"/>
    </row>
    <row r="582" spans="1:14" x14ac:dyDescent="0.25">
      <c r="A582" s="4">
        <v>6049</v>
      </c>
      <c r="B582" s="4">
        <v>61</v>
      </c>
      <c r="C582" s="7" t="s">
        <v>502</v>
      </c>
      <c r="D582" s="6">
        <v>0</v>
      </c>
      <c r="E582" s="6">
        <v>0</v>
      </c>
      <c r="F582" s="6">
        <v>0</v>
      </c>
      <c r="G582" s="42">
        <v>0</v>
      </c>
      <c r="H582" s="6"/>
      <c r="I582" s="4"/>
      <c r="J582" s="4"/>
      <c r="K582" s="4"/>
      <c r="L582" s="4"/>
      <c r="M582" s="43"/>
      <c r="N582" s="43"/>
    </row>
    <row r="583" spans="1:14" x14ac:dyDescent="0.25">
      <c r="A583">
        <v>6050</v>
      </c>
      <c r="B583">
        <v>52</v>
      </c>
      <c r="C583" s="7" t="s">
        <v>502</v>
      </c>
      <c r="D583" s="6">
        <v>0</v>
      </c>
      <c r="E583" s="6">
        <v>0</v>
      </c>
      <c r="F583" s="6">
        <v>0</v>
      </c>
      <c r="G583" s="42">
        <v>0</v>
      </c>
      <c r="H583" s="6"/>
      <c r="I583" s="4"/>
      <c r="J583" s="4"/>
      <c r="K583" s="4"/>
      <c r="L583" s="4"/>
      <c r="M583" s="43"/>
      <c r="N583" s="43"/>
    </row>
    <row r="584" spans="1:14" x14ac:dyDescent="0.25">
      <c r="A584" s="4">
        <v>6051</v>
      </c>
      <c r="B584" s="4">
        <v>61</v>
      </c>
      <c r="C584" s="7" t="s">
        <v>502</v>
      </c>
      <c r="D584" s="6">
        <v>0</v>
      </c>
      <c r="E584" s="6">
        <v>0</v>
      </c>
      <c r="F584" s="6">
        <v>0</v>
      </c>
      <c r="G584" s="42">
        <v>0</v>
      </c>
      <c r="H584" s="6"/>
      <c r="I584" s="4"/>
      <c r="J584" s="4"/>
      <c r="K584" s="4"/>
      <c r="L584" s="4"/>
      <c r="M584" s="43"/>
      <c r="N584" s="43"/>
    </row>
    <row r="585" spans="1:14" x14ac:dyDescent="0.25">
      <c r="A585">
        <v>6054</v>
      </c>
      <c r="B585">
        <v>50</v>
      </c>
      <c r="C585" s="7" t="s">
        <v>502</v>
      </c>
      <c r="D585" s="6">
        <v>0</v>
      </c>
      <c r="E585" s="6">
        <v>0</v>
      </c>
      <c r="F585" s="6">
        <v>0</v>
      </c>
      <c r="G585" s="42">
        <v>0</v>
      </c>
      <c r="H585" s="6"/>
      <c r="I585" s="4"/>
      <c r="J585" s="4"/>
      <c r="K585" s="4"/>
      <c r="L585" s="4"/>
      <c r="M585" s="43"/>
      <c r="N585" s="43"/>
    </row>
    <row r="586" spans="1:14" x14ac:dyDescent="0.25">
      <c r="A586">
        <v>6065</v>
      </c>
      <c r="B586">
        <v>62</v>
      </c>
      <c r="C586" s="7" t="s">
        <v>502</v>
      </c>
      <c r="D586" s="6">
        <v>0</v>
      </c>
      <c r="E586" s="6">
        <v>0</v>
      </c>
      <c r="F586" s="6">
        <v>0</v>
      </c>
      <c r="G586" s="42">
        <v>0</v>
      </c>
      <c r="H586" s="6"/>
      <c r="I586" s="4"/>
      <c r="J586" s="4"/>
      <c r="K586" s="4"/>
      <c r="L586" s="4"/>
      <c r="M586" s="43"/>
      <c r="N586" s="43"/>
    </row>
    <row r="587" spans="1:14" x14ac:dyDescent="0.25">
      <c r="A587" s="4">
        <v>6067</v>
      </c>
      <c r="B587" s="4">
        <v>62</v>
      </c>
      <c r="C587" s="7" t="s">
        <v>502</v>
      </c>
      <c r="D587" s="6">
        <v>350</v>
      </c>
      <c r="E587" s="6">
        <v>174</v>
      </c>
      <c r="F587" s="6">
        <v>1015</v>
      </c>
      <c r="G587" s="42">
        <v>5.833333333333333</v>
      </c>
      <c r="H587" s="6"/>
      <c r="I587" s="4"/>
      <c r="J587" s="4"/>
      <c r="K587" s="4"/>
      <c r="L587" s="4"/>
      <c r="M587" s="43"/>
      <c r="N587" s="43"/>
    </row>
    <row r="588" spans="1:14" x14ac:dyDescent="0.25">
      <c r="A588" s="4">
        <v>6069</v>
      </c>
      <c r="B588" s="4">
        <v>62</v>
      </c>
      <c r="C588" s="7" t="s">
        <v>502</v>
      </c>
      <c r="D588" s="6">
        <v>360</v>
      </c>
      <c r="E588" s="6">
        <v>170</v>
      </c>
      <c r="F588" s="6">
        <v>1020</v>
      </c>
      <c r="G588" s="42">
        <v>6</v>
      </c>
      <c r="H588" s="6"/>
      <c r="I588" s="4"/>
      <c r="J588" s="4"/>
      <c r="K588" s="4"/>
      <c r="L588" s="4"/>
      <c r="M588" s="43"/>
      <c r="N588" s="43"/>
    </row>
    <row r="589" spans="1:14" x14ac:dyDescent="0.25">
      <c r="A589">
        <v>6070</v>
      </c>
      <c r="B589">
        <v>50</v>
      </c>
      <c r="C589" s="7" t="s">
        <v>502</v>
      </c>
      <c r="D589" s="6">
        <v>0</v>
      </c>
      <c r="E589" s="6">
        <v>0</v>
      </c>
      <c r="F589" s="6">
        <v>0</v>
      </c>
      <c r="G589" s="42">
        <v>0</v>
      </c>
      <c r="H589" s="6"/>
      <c r="I589" s="4"/>
      <c r="J589" s="4"/>
      <c r="K589" s="4"/>
      <c r="L589" s="4"/>
      <c r="M589" s="43"/>
      <c r="N589" s="43"/>
    </row>
    <row r="590" spans="1:14" x14ac:dyDescent="0.25">
      <c r="A590" s="4">
        <v>6072</v>
      </c>
      <c r="B590" s="4">
        <v>62</v>
      </c>
      <c r="C590" s="7" t="s">
        <v>502</v>
      </c>
      <c r="D590" s="6">
        <v>350</v>
      </c>
      <c r="E590" s="6">
        <v>170</v>
      </c>
      <c r="F590" s="6">
        <v>991.66666666666663</v>
      </c>
      <c r="G590" s="42">
        <v>5.833333333333333</v>
      </c>
      <c r="H590" s="6"/>
      <c r="I590" s="4"/>
      <c r="J590" s="4"/>
      <c r="K590" s="4"/>
      <c r="L590" s="4"/>
      <c r="M590" s="43"/>
      <c r="N590" s="43"/>
    </row>
    <row r="591" spans="1:14" x14ac:dyDescent="0.25">
      <c r="A591">
        <v>6074</v>
      </c>
      <c r="B591">
        <v>50</v>
      </c>
      <c r="C591" s="7" t="s">
        <v>502</v>
      </c>
      <c r="D591" s="6">
        <v>0</v>
      </c>
      <c r="E591" s="6">
        <v>0</v>
      </c>
      <c r="F591" s="6">
        <v>0</v>
      </c>
      <c r="G591" s="42">
        <v>0</v>
      </c>
      <c r="H591" s="6"/>
      <c r="I591" s="4"/>
      <c r="J591" s="4"/>
      <c r="K591" s="4"/>
      <c r="L591" s="4"/>
      <c r="M591" s="43"/>
      <c r="N591" s="43"/>
    </row>
    <row r="592" spans="1:14" x14ac:dyDescent="0.25">
      <c r="A592" s="4">
        <v>6076</v>
      </c>
      <c r="B592" s="4">
        <v>50</v>
      </c>
      <c r="C592" s="7" t="s">
        <v>502</v>
      </c>
      <c r="D592" s="6">
        <v>0</v>
      </c>
      <c r="E592" s="6">
        <v>0</v>
      </c>
      <c r="F592" s="6">
        <v>0</v>
      </c>
      <c r="G592" s="42">
        <v>0</v>
      </c>
      <c r="H592" s="6"/>
      <c r="I592" s="4"/>
      <c r="J592" s="4"/>
      <c r="K592" s="4"/>
      <c r="L592" s="4"/>
      <c r="M592" s="43"/>
      <c r="N592" s="43"/>
    </row>
    <row r="593" spans="1:14" x14ac:dyDescent="0.25">
      <c r="A593">
        <v>6078</v>
      </c>
      <c r="B593">
        <v>62</v>
      </c>
      <c r="C593" s="7" t="s">
        <v>502</v>
      </c>
      <c r="D593" s="6">
        <v>0</v>
      </c>
      <c r="E593" s="6">
        <v>0</v>
      </c>
      <c r="F593" s="6">
        <v>0</v>
      </c>
      <c r="G593" s="42">
        <v>0</v>
      </c>
      <c r="H593" s="6"/>
      <c r="I593" s="4"/>
      <c r="J593" s="4"/>
      <c r="K593" s="4"/>
      <c r="L593" s="4"/>
      <c r="M593" s="43"/>
      <c r="N593" s="43"/>
    </row>
    <row r="594" spans="1:14" x14ac:dyDescent="0.25">
      <c r="A594">
        <v>6079</v>
      </c>
      <c r="B594">
        <v>52</v>
      </c>
      <c r="C594" s="7" t="s">
        <v>502</v>
      </c>
      <c r="D594" s="6">
        <v>0</v>
      </c>
      <c r="E594" s="6">
        <v>0</v>
      </c>
      <c r="F594" s="6">
        <v>0</v>
      </c>
      <c r="G594" s="42">
        <v>0</v>
      </c>
      <c r="H594" s="6"/>
      <c r="I594" s="4"/>
      <c r="J594" s="4"/>
      <c r="K594" s="4"/>
      <c r="L594" s="4"/>
      <c r="M594" s="43"/>
      <c r="N594" s="43"/>
    </row>
    <row r="595" spans="1:14" x14ac:dyDescent="0.25">
      <c r="A595">
        <v>6080</v>
      </c>
      <c r="B595">
        <v>50</v>
      </c>
      <c r="C595" s="7" t="s">
        <v>502</v>
      </c>
      <c r="D595" s="6">
        <v>0</v>
      </c>
      <c r="E595" s="6">
        <v>0</v>
      </c>
      <c r="F595" s="6">
        <v>0</v>
      </c>
      <c r="G595" s="42">
        <v>0</v>
      </c>
      <c r="H595" s="6"/>
      <c r="I595" s="4"/>
      <c r="J595" s="4"/>
      <c r="K595" s="4"/>
      <c r="L595" s="4"/>
      <c r="M595" s="43"/>
      <c r="N595" s="43"/>
    </row>
    <row r="596" spans="1:14" x14ac:dyDescent="0.25">
      <c r="A596">
        <v>6083</v>
      </c>
      <c r="B596">
        <v>52</v>
      </c>
      <c r="C596" s="7" t="s">
        <v>502</v>
      </c>
      <c r="D596" s="6">
        <v>0</v>
      </c>
      <c r="E596" s="6">
        <v>0</v>
      </c>
      <c r="F596" s="6">
        <v>0</v>
      </c>
      <c r="G596" s="42">
        <v>0</v>
      </c>
      <c r="H596" s="6"/>
      <c r="I596" s="4"/>
      <c r="J596" s="4"/>
      <c r="K596" s="4"/>
      <c r="L596" s="4"/>
      <c r="M596" s="43"/>
      <c r="N596" s="43"/>
    </row>
    <row r="597" spans="1:14" x14ac:dyDescent="0.25">
      <c r="A597">
        <v>6085</v>
      </c>
      <c r="B597">
        <v>50</v>
      </c>
      <c r="C597" s="7" t="s">
        <v>502</v>
      </c>
      <c r="D597" s="6">
        <v>0</v>
      </c>
      <c r="E597" s="6">
        <v>0</v>
      </c>
      <c r="F597" s="6">
        <v>0</v>
      </c>
      <c r="G597" s="42">
        <v>0</v>
      </c>
      <c r="H597" s="6"/>
      <c r="I597" s="4"/>
      <c r="J597" s="4"/>
      <c r="K597" s="4"/>
      <c r="L597" s="4"/>
      <c r="M597" s="43"/>
      <c r="N597" s="43"/>
    </row>
    <row r="598" spans="1:14" x14ac:dyDescent="0.25">
      <c r="A598">
        <v>6087</v>
      </c>
      <c r="B598">
        <v>50</v>
      </c>
      <c r="C598" s="7" t="s">
        <v>502</v>
      </c>
      <c r="D598" s="6">
        <v>0</v>
      </c>
      <c r="E598" s="6">
        <v>0</v>
      </c>
      <c r="F598" s="6">
        <v>0</v>
      </c>
      <c r="G598" s="42">
        <v>0</v>
      </c>
      <c r="H598" s="6"/>
      <c r="I598" s="4"/>
      <c r="J598" s="4"/>
      <c r="K598" s="4"/>
      <c r="L598" s="4"/>
      <c r="M598" s="43"/>
      <c r="N598" s="43"/>
    </row>
    <row r="599" spans="1:14" x14ac:dyDescent="0.25">
      <c r="A599">
        <v>6088</v>
      </c>
      <c r="B599">
        <v>50</v>
      </c>
      <c r="C599" s="7" t="s">
        <v>502</v>
      </c>
      <c r="D599" s="6">
        <v>0</v>
      </c>
      <c r="E599" s="6">
        <v>0</v>
      </c>
      <c r="F599" s="6">
        <v>0</v>
      </c>
      <c r="G599" s="42">
        <v>0</v>
      </c>
      <c r="H599" s="6"/>
      <c r="I599" s="4"/>
      <c r="J599" s="4"/>
      <c r="K599" s="4"/>
      <c r="L599" s="4"/>
      <c r="M599" s="43"/>
      <c r="N599" s="43"/>
    </row>
    <row r="600" spans="1:14" x14ac:dyDescent="0.25">
      <c r="A600" s="4">
        <v>6383</v>
      </c>
      <c r="B600" s="4">
        <v>61</v>
      </c>
      <c r="C600" s="7" t="s">
        <v>502</v>
      </c>
      <c r="D600" s="6">
        <v>0</v>
      </c>
      <c r="E600" s="6">
        <v>0</v>
      </c>
      <c r="F600" s="6">
        <v>0</v>
      </c>
      <c r="G600" s="42">
        <v>0</v>
      </c>
      <c r="H600" s="6"/>
      <c r="I600" s="4"/>
      <c r="J600" s="4"/>
      <c r="K600" s="4"/>
      <c r="L600" s="4"/>
      <c r="M600" s="43"/>
      <c r="N600" s="43"/>
    </row>
    <row r="601" spans="1:14" x14ac:dyDescent="0.25">
      <c r="A601" s="4">
        <v>6979</v>
      </c>
      <c r="B601" s="4">
        <v>61</v>
      </c>
      <c r="C601" s="7" t="s">
        <v>502</v>
      </c>
      <c r="D601" s="6">
        <v>0</v>
      </c>
      <c r="E601" s="6">
        <v>0</v>
      </c>
      <c r="F601" s="6">
        <v>0</v>
      </c>
      <c r="G601" s="42">
        <v>0</v>
      </c>
      <c r="H601" s="6"/>
      <c r="I601" s="4"/>
      <c r="J601" s="4"/>
      <c r="K601" s="4"/>
      <c r="L601" s="4"/>
      <c r="M601" s="43"/>
      <c r="N601" s="43"/>
    </row>
    <row r="602" spans="1:14" x14ac:dyDescent="0.25">
      <c r="A602">
        <v>9056</v>
      </c>
      <c r="B602">
        <v>38</v>
      </c>
      <c r="C602" s="7" t="s">
        <v>502</v>
      </c>
      <c r="D602" s="6">
        <v>0</v>
      </c>
      <c r="E602" s="6">
        <v>0</v>
      </c>
      <c r="F602" s="6">
        <v>0</v>
      </c>
      <c r="G602" s="42">
        <v>0</v>
      </c>
      <c r="H602" s="6"/>
      <c r="I602" s="4"/>
      <c r="J602" s="4"/>
      <c r="K602" s="4"/>
      <c r="L602" s="4"/>
      <c r="M602" s="43"/>
      <c r="N602" s="43"/>
    </row>
    <row r="603" spans="1:14" x14ac:dyDescent="0.25">
      <c r="A603">
        <v>9194</v>
      </c>
      <c r="B603">
        <v>38</v>
      </c>
      <c r="C603" s="7" t="s">
        <v>502</v>
      </c>
      <c r="D603" s="6">
        <v>0</v>
      </c>
      <c r="E603" s="6">
        <v>0</v>
      </c>
      <c r="F603" s="6">
        <v>0</v>
      </c>
      <c r="G603" s="42">
        <v>0</v>
      </c>
      <c r="H603" s="6"/>
      <c r="I603" s="4"/>
      <c r="J603" s="4"/>
      <c r="K603" s="4"/>
      <c r="L603" s="4"/>
      <c r="M603" s="43"/>
      <c r="N603" s="43"/>
    </row>
    <row r="604" spans="1:14" x14ac:dyDescent="0.25">
      <c r="A604">
        <v>9253</v>
      </c>
      <c r="B604">
        <v>38</v>
      </c>
      <c r="C604" s="7" t="s">
        <v>502</v>
      </c>
      <c r="D604" s="6">
        <v>0</v>
      </c>
      <c r="E604" s="6">
        <v>0</v>
      </c>
      <c r="F604" s="6">
        <v>0</v>
      </c>
      <c r="G604" s="42">
        <v>0</v>
      </c>
      <c r="H604" s="6"/>
      <c r="I604" s="4"/>
      <c r="J604" s="4"/>
      <c r="K604" s="4"/>
      <c r="L604" s="4"/>
      <c r="M604" s="43"/>
      <c r="N604" s="43"/>
    </row>
    <row r="605" spans="1:14" x14ac:dyDescent="0.25">
      <c r="A605">
        <v>9254</v>
      </c>
      <c r="B605">
        <v>38</v>
      </c>
      <c r="C605" s="7" t="s">
        <v>502</v>
      </c>
      <c r="D605" s="6">
        <v>0</v>
      </c>
      <c r="E605" s="6">
        <v>0</v>
      </c>
      <c r="F605" s="6">
        <v>0</v>
      </c>
      <c r="G605" s="42">
        <v>0</v>
      </c>
      <c r="H605" s="6"/>
      <c r="I605" s="4"/>
      <c r="J605" s="4"/>
      <c r="K605" s="4"/>
      <c r="L605" s="4"/>
      <c r="M605" s="43"/>
      <c r="N605" s="43"/>
    </row>
    <row r="606" spans="1:14" x14ac:dyDescent="0.25">
      <c r="A606">
        <v>9492</v>
      </c>
      <c r="B606">
        <v>38</v>
      </c>
      <c r="C606" s="7" t="s">
        <v>502</v>
      </c>
      <c r="D606" s="6">
        <v>0</v>
      </c>
      <c r="E606" s="6">
        <v>0</v>
      </c>
      <c r="F606" s="6">
        <v>0</v>
      </c>
      <c r="G606" s="42">
        <v>0</v>
      </c>
      <c r="H606" s="6"/>
      <c r="I606" s="4"/>
      <c r="J606" s="4"/>
      <c r="K606" s="4"/>
      <c r="L606" s="4"/>
      <c r="M606" s="43"/>
      <c r="N606" s="43"/>
    </row>
    <row r="607" spans="1:14" x14ac:dyDescent="0.25">
      <c r="A607">
        <v>9503</v>
      </c>
      <c r="B607">
        <v>38</v>
      </c>
      <c r="C607" s="7" t="s">
        <v>502</v>
      </c>
      <c r="D607" s="6">
        <v>0</v>
      </c>
      <c r="E607" s="6">
        <v>0</v>
      </c>
      <c r="F607" s="6">
        <v>0</v>
      </c>
      <c r="G607" s="42">
        <v>0</v>
      </c>
      <c r="H607" s="6"/>
      <c r="I607" s="4"/>
      <c r="J607" s="4"/>
      <c r="K607" s="4"/>
      <c r="L607" s="4"/>
      <c r="M607" s="43"/>
      <c r="N607" s="43"/>
    </row>
    <row r="608" spans="1:14" x14ac:dyDescent="0.25">
      <c r="A608">
        <v>9542</v>
      </c>
      <c r="B608">
        <v>38</v>
      </c>
      <c r="C608" s="7" t="s">
        <v>502</v>
      </c>
      <c r="D608" s="6">
        <v>0</v>
      </c>
      <c r="E608" s="6">
        <v>0</v>
      </c>
      <c r="F608" s="6">
        <v>0</v>
      </c>
      <c r="G608" s="42">
        <v>0</v>
      </c>
      <c r="H608" s="6"/>
      <c r="I608" s="4"/>
      <c r="J608" s="4"/>
      <c r="K608" s="4"/>
      <c r="L608" s="4"/>
      <c r="M608" s="43"/>
      <c r="N608" s="43"/>
    </row>
    <row r="609" spans="1:14" x14ac:dyDescent="0.25">
      <c r="A609">
        <v>9547</v>
      </c>
      <c r="B609">
        <v>38</v>
      </c>
      <c r="C609" s="7" t="s">
        <v>502</v>
      </c>
      <c r="D609" s="6">
        <v>0</v>
      </c>
      <c r="E609" s="6">
        <v>0</v>
      </c>
      <c r="F609" s="6">
        <v>0</v>
      </c>
      <c r="G609" s="42">
        <v>0</v>
      </c>
      <c r="H609" s="6"/>
      <c r="I609" s="4"/>
      <c r="J609" s="4"/>
      <c r="K609" s="4"/>
      <c r="L609" s="4"/>
      <c r="M609" s="43"/>
      <c r="N609" s="43"/>
    </row>
    <row r="610" spans="1:14" x14ac:dyDescent="0.25">
      <c r="A610" s="7" t="s">
        <v>575</v>
      </c>
      <c r="B610" s="4"/>
      <c r="C610" s="7"/>
      <c r="D610" s="5"/>
      <c r="E610" s="5"/>
      <c r="F610" s="5"/>
      <c r="G610" s="11"/>
      <c r="H610" s="6"/>
      <c r="I610" s="4"/>
      <c r="J610" s="4"/>
      <c r="K610" s="4"/>
      <c r="L610" s="4"/>
      <c r="M610" s="43"/>
      <c r="N610" s="43"/>
    </row>
    <row r="611" spans="1:14" hidden="1" x14ac:dyDescent="0.25">
      <c r="A611" s="4"/>
      <c r="B611" s="4"/>
      <c r="C611" s="7"/>
      <c r="D611" s="5"/>
      <c r="E611" s="5"/>
      <c r="F611" s="5"/>
      <c r="G611" s="11"/>
      <c r="H611" s="6"/>
      <c r="I611" s="4"/>
      <c r="J611" s="4"/>
      <c r="K611" s="4"/>
      <c r="L611" s="4"/>
      <c r="M611" s="43"/>
      <c r="N611" s="43"/>
    </row>
    <row r="612" spans="1:14" hidden="1" x14ac:dyDescent="0.25">
      <c r="A612" s="4"/>
      <c r="B612" s="4"/>
      <c r="C612" s="7"/>
      <c r="D612" s="5"/>
      <c r="E612" s="5"/>
      <c r="F612" s="5"/>
      <c r="G612" s="11"/>
      <c r="H612" s="6"/>
      <c r="I612" s="4"/>
      <c r="J612" s="4"/>
      <c r="K612" s="4"/>
      <c r="L612" s="4"/>
      <c r="M612" s="43"/>
      <c r="N612" s="43"/>
    </row>
    <row r="613" spans="1:14" hidden="1" x14ac:dyDescent="0.25">
      <c r="A613" s="4"/>
      <c r="B613" s="4"/>
      <c r="C613" s="7"/>
      <c r="D613" s="5"/>
      <c r="E613" s="5"/>
      <c r="F613" s="5"/>
      <c r="G613" s="11"/>
      <c r="H613" s="6"/>
      <c r="I613" s="4"/>
      <c r="J613" s="4"/>
      <c r="K613" s="4"/>
      <c r="L613" s="4"/>
      <c r="M613" s="43"/>
      <c r="N613" s="43"/>
    </row>
    <row r="614" spans="1:14" hidden="1" x14ac:dyDescent="0.25">
      <c r="A614" s="4"/>
      <c r="B614" s="4"/>
      <c r="C614" s="7"/>
      <c r="D614" s="5"/>
      <c r="E614" s="5"/>
      <c r="F614" s="5"/>
      <c r="G614" s="11"/>
      <c r="H614" s="6"/>
      <c r="I614" s="4"/>
      <c r="J614" s="4"/>
      <c r="K614" s="4"/>
      <c r="L614" s="4"/>
      <c r="M614" s="43"/>
      <c r="N614" s="43"/>
    </row>
    <row r="615" spans="1:14" hidden="1" x14ac:dyDescent="0.25">
      <c r="A615" s="4"/>
      <c r="B615" s="4"/>
      <c r="C615" s="7"/>
      <c r="D615" s="5"/>
      <c r="E615" s="5"/>
      <c r="F615" s="5"/>
      <c r="G615" s="11"/>
      <c r="H615" s="6"/>
      <c r="I615" s="4"/>
      <c r="J615" s="4"/>
      <c r="K615" s="4"/>
      <c r="L615" s="4"/>
      <c r="M615" s="43"/>
      <c r="N615" s="43"/>
    </row>
    <row r="616" spans="1:14" hidden="1" x14ac:dyDescent="0.25">
      <c r="A616" s="4"/>
      <c r="B616" s="4"/>
      <c r="C616" s="7"/>
      <c r="D616" s="5"/>
      <c r="E616" s="5"/>
      <c r="F616" s="5"/>
      <c r="G616" s="11"/>
      <c r="H616" s="6"/>
      <c r="I616" s="4"/>
      <c r="J616" s="4"/>
      <c r="K616" s="4"/>
      <c r="L616" s="4"/>
      <c r="M616" s="43"/>
      <c r="N616" s="43"/>
    </row>
    <row r="617" spans="1:14" hidden="1" x14ac:dyDescent="0.25">
      <c r="H617" s="6"/>
      <c r="I617" s="4"/>
      <c r="J617" s="4"/>
      <c r="K617" s="4"/>
      <c r="L617" s="4"/>
      <c r="M617" s="43"/>
      <c r="N617" s="43"/>
    </row>
    <row r="618" spans="1:14" hidden="1" x14ac:dyDescent="0.25">
      <c r="A618" s="4"/>
      <c r="B618" s="4"/>
      <c r="C618" s="7"/>
      <c r="D618" s="5"/>
      <c r="E618" s="5"/>
      <c r="F618" s="5"/>
      <c r="G618" s="11"/>
      <c r="H618" s="6"/>
      <c r="I618" s="4"/>
      <c r="J618" s="4"/>
      <c r="K618" s="4"/>
      <c r="L618" s="4"/>
      <c r="M618" s="43"/>
      <c r="N618" s="43"/>
    </row>
    <row r="619" spans="1:14" hidden="1" x14ac:dyDescent="0.25">
      <c r="A619" s="4"/>
      <c r="B619" s="4"/>
      <c r="C619" s="7"/>
      <c r="D619" s="5"/>
      <c r="E619" s="5"/>
      <c r="F619" s="5"/>
      <c r="G619" s="11"/>
      <c r="H619" s="6"/>
      <c r="I619" s="4"/>
      <c r="J619" s="4"/>
      <c r="K619" s="4"/>
      <c r="L619" s="4"/>
      <c r="M619" s="43"/>
      <c r="N619" s="43"/>
    </row>
    <row r="620" spans="1:14" hidden="1" x14ac:dyDescent="0.25">
      <c r="A620" s="4"/>
      <c r="B620" s="4"/>
      <c r="C620" s="7"/>
      <c r="D620" s="5"/>
      <c r="E620" s="5"/>
      <c r="F620" s="5"/>
      <c r="G620" s="11"/>
      <c r="H620" s="6"/>
      <c r="I620" s="4"/>
      <c r="J620" s="4"/>
      <c r="K620" s="4"/>
      <c r="L620" s="4"/>
      <c r="M620" s="43"/>
      <c r="N620" s="43"/>
    </row>
    <row r="621" spans="1:14" hidden="1" x14ac:dyDescent="0.25">
      <c r="H621" s="6"/>
      <c r="I621" s="4"/>
      <c r="J621" s="4"/>
      <c r="K621" s="4"/>
      <c r="L621" s="4"/>
      <c r="M621" s="43"/>
      <c r="N621" s="43"/>
    </row>
    <row r="622" spans="1:14" hidden="1" x14ac:dyDescent="0.25">
      <c r="A622" s="4"/>
      <c r="B622" s="4"/>
      <c r="C622" s="7"/>
      <c r="D622" s="5"/>
      <c r="E622" s="5"/>
      <c r="F622" s="5"/>
      <c r="G622" s="11"/>
      <c r="H622" s="6"/>
      <c r="I622" s="4"/>
      <c r="J622" s="4"/>
      <c r="K622" s="4"/>
      <c r="L622" s="4"/>
      <c r="M622" s="43"/>
      <c r="N622" s="43"/>
    </row>
    <row r="623" spans="1:14" hidden="1" x14ac:dyDescent="0.25">
      <c r="H623" s="6"/>
      <c r="I623" s="4"/>
      <c r="J623" s="4"/>
      <c r="K623" s="4"/>
      <c r="L623" s="4"/>
      <c r="M623" s="43"/>
      <c r="N623" s="43"/>
    </row>
    <row r="624" spans="1:14" hidden="1" x14ac:dyDescent="0.25">
      <c r="A624" s="4"/>
      <c r="B624" s="4"/>
      <c r="C624" s="7"/>
      <c r="D624" s="5"/>
      <c r="E624" s="5"/>
      <c r="F624" s="5"/>
      <c r="G624" s="11"/>
      <c r="H624" s="6"/>
      <c r="I624" s="4"/>
      <c r="J624" s="4"/>
      <c r="K624" s="4"/>
      <c r="L624" s="4"/>
      <c r="M624" s="43"/>
      <c r="N624" s="43"/>
    </row>
    <row r="625" spans="3:14" hidden="1" x14ac:dyDescent="0.25">
      <c r="H625" s="6"/>
      <c r="I625" s="4"/>
      <c r="J625" s="4"/>
      <c r="K625" s="4"/>
      <c r="L625" s="4"/>
      <c r="M625" s="43"/>
      <c r="N625" s="43"/>
    </row>
    <row r="626" spans="3:14" hidden="1" x14ac:dyDescent="0.25">
      <c r="C626" s="7"/>
      <c r="D626" s="5"/>
      <c r="E626" s="5"/>
      <c r="F626" s="5"/>
      <c r="G626" s="11"/>
      <c r="H626" s="6"/>
      <c r="I626" s="4"/>
      <c r="J626" s="4"/>
      <c r="K626" s="4"/>
      <c r="L626" s="4"/>
      <c r="M626" s="43"/>
      <c r="N626" s="43"/>
    </row>
    <row r="627" spans="3:14" hidden="1" x14ac:dyDescent="0.25">
      <c r="H627" s="6"/>
      <c r="I627" s="4"/>
      <c r="J627" s="4"/>
      <c r="K627" s="4"/>
      <c r="L627" s="4"/>
      <c r="M627" s="43"/>
      <c r="N627" s="43"/>
    </row>
    <row r="628" spans="3:14" hidden="1" x14ac:dyDescent="0.25">
      <c r="C628" s="7"/>
      <c r="H628" s="6"/>
      <c r="I628" s="4"/>
      <c r="J628" s="4"/>
      <c r="L628" s="7"/>
    </row>
    <row r="629" spans="3:14" hidden="1" x14ac:dyDescent="0.25">
      <c r="C629" s="7"/>
      <c r="H629" s="6"/>
      <c r="I629" s="4"/>
      <c r="J629" s="4"/>
      <c r="L629" s="7"/>
    </row>
    <row r="630" spans="3:14" hidden="1" x14ac:dyDescent="0.25">
      <c r="C630" s="7"/>
      <c r="H630" s="6"/>
      <c r="I630" s="4"/>
      <c r="J630" s="4"/>
      <c r="L630" s="7"/>
    </row>
    <row r="631" spans="3:14" hidden="1" x14ac:dyDescent="0.25">
      <c r="C631" s="7"/>
      <c r="H631" s="6"/>
      <c r="I631" s="4"/>
      <c r="J631" s="4"/>
      <c r="L631" s="7"/>
    </row>
    <row r="632" spans="3:14" hidden="1" x14ac:dyDescent="0.25">
      <c r="C632" s="7"/>
      <c r="H632" s="6"/>
      <c r="I632" s="4"/>
      <c r="J632" s="4"/>
      <c r="L632" s="7"/>
    </row>
    <row r="633" spans="3:14" hidden="1" x14ac:dyDescent="0.25">
      <c r="C633" s="7"/>
      <c r="H633" s="6"/>
      <c r="I633" s="4"/>
      <c r="J633" s="4"/>
      <c r="L633" s="7"/>
    </row>
    <row r="634" spans="3:14" hidden="1" x14ac:dyDescent="0.25">
      <c r="C634" s="7"/>
      <c r="H634" s="6"/>
      <c r="I634" s="4"/>
      <c r="J634" s="4"/>
      <c r="L634" s="7"/>
    </row>
    <row r="635" spans="3:14" hidden="1" x14ac:dyDescent="0.25">
      <c r="C635" s="7"/>
      <c r="H635" s="6"/>
      <c r="I635" s="4"/>
      <c r="J635" s="4"/>
      <c r="L635" s="7"/>
    </row>
    <row r="636" spans="3:14" hidden="1" x14ac:dyDescent="0.25">
      <c r="C636" s="7"/>
      <c r="H636" s="6"/>
      <c r="I636" s="4"/>
      <c r="J636" s="4"/>
      <c r="L636" s="7"/>
    </row>
    <row r="637" spans="3:14" hidden="1" x14ac:dyDescent="0.25">
      <c r="C637" s="7"/>
      <c r="H637" s="6"/>
      <c r="I637" s="4"/>
      <c r="J637" s="4"/>
      <c r="L637" s="7"/>
    </row>
    <row r="638" spans="3:14" hidden="1" x14ac:dyDescent="0.25">
      <c r="C638" s="7"/>
      <c r="H638" s="6"/>
      <c r="I638" s="4"/>
      <c r="J638" s="4"/>
      <c r="L638" s="7"/>
    </row>
    <row r="639" spans="3:14" hidden="1" x14ac:dyDescent="0.25">
      <c r="C639" s="7"/>
      <c r="H639" s="6"/>
      <c r="I639" s="4"/>
      <c r="J639" s="4"/>
      <c r="L639" s="7"/>
    </row>
    <row r="640" spans="3:14" hidden="1" x14ac:dyDescent="0.25">
      <c r="C640" s="7"/>
      <c r="H640" s="6"/>
      <c r="I640" s="4"/>
      <c r="J640" s="4"/>
      <c r="L640" s="7"/>
    </row>
    <row r="641" spans="3:12" hidden="1" x14ac:dyDescent="0.25">
      <c r="C641" s="7"/>
      <c r="H641" s="6"/>
      <c r="I641" s="4"/>
      <c r="J641" s="4"/>
      <c r="L641" s="7"/>
    </row>
    <row r="642" spans="3:12" hidden="1" x14ac:dyDescent="0.25">
      <c r="C642" s="7"/>
      <c r="H642" s="6"/>
      <c r="I642" s="4"/>
      <c r="J642" s="4"/>
      <c r="L642" s="7"/>
    </row>
    <row r="643" spans="3:12" hidden="1" x14ac:dyDescent="0.25">
      <c r="C643" s="7"/>
      <c r="H643" s="6"/>
      <c r="I643" s="4"/>
      <c r="J643" s="4"/>
      <c r="L643" s="7"/>
    </row>
    <row r="644" spans="3:12" hidden="1" x14ac:dyDescent="0.25">
      <c r="C644" s="7"/>
      <c r="H644" s="6"/>
      <c r="I644" s="4"/>
      <c r="J644" s="4"/>
      <c r="L644" s="7"/>
    </row>
    <row r="645" spans="3:12" hidden="1" x14ac:dyDescent="0.25">
      <c r="C645" s="7"/>
      <c r="H645" s="6"/>
      <c r="I645" s="4"/>
      <c r="J645" s="4"/>
      <c r="L645" s="7"/>
    </row>
    <row r="646" spans="3:12" hidden="1" x14ac:dyDescent="0.25">
      <c r="C646" s="7"/>
      <c r="H646" s="6"/>
      <c r="I646" s="4"/>
      <c r="J646" s="4"/>
      <c r="L646" s="7"/>
    </row>
    <row r="647" spans="3:12" hidden="1" x14ac:dyDescent="0.25">
      <c r="C647" s="7"/>
      <c r="H647" s="6"/>
      <c r="I647" s="4"/>
      <c r="J647" s="4"/>
      <c r="L647" s="7"/>
    </row>
    <row r="648" spans="3:12" hidden="1" x14ac:dyDescent="0.25">
      <c r="C648" s="7"/>
      <c r="H648" s="6"/>
      <c r="I648" s="4"/>
      <c r="J648" s="4"/>
      <c r="L648" s="7"/>
    </row>
    <row r="649" spans="3:12" hidden="1" x14ac:dyDescent="0.25">
      <c r="C649" s="7"/>
      <c r="H649" s="6"/>
      <c r="I649" s="4"/>
      <c r="J649" s="4"/>
      <c r="L649" s="7"/>
    </row>
    <row r="650" spans="3:12" hidden="1" x14ac:dyDescent="0.25">
      <c r="C650" s="7"/>
      <c r="H650" s="6"/>
      <c r="I650" s="4"/>
      <c r="J650" s="4"/>
      <c r="L650" s="7"/>
    </row>
    <row r="651" spans="3:12" hidden="1" x14ac:dyDescent="0.25">
      <c r="C651" s="7"/>
      <c r="H651" s="6"/>
      <c r="I651" s="4"/>
      <c r="J651" s="4"/>
      <c r="L651" s="7"/>
    </row>
    <row r="652" spans="3:12" hidden="1" x14ac:dyDescent="0.25">
      <c r="C652" s="7"/>
      <c r="H652" s="6"/>
      <c r="I652" s="4"/>
      <c r="J652" s="4"/>
      <c r="L652" s="7"/>
    </row>
    <row r="653" spans="3:12" hidden="1" x14ac:dyDescent="0.25">
      <c r="C653" s="7"/>
      <c r="H653" s="6"/>
      <c r="I653" s="4"/>
      <c r="J653" s="4"/>
      <c r="L653" s="7"/>
    </row>
    <row r="654" spans="3:12" hidden="1" x14ac:dyDescent="0.25">
      <c r="C654" s="7"/>
      <c r="H654" s="6"/>
      <c r="I654" s="4"/>
      <c r="J654" s="4"/>
      <c r="L654" s="7"/>
    </row>
    <row r="655" spans="3:12" hidden="1" x14ac:dyDescent="0.25">
      <c r="C655" s="7"/>
      <c r="H655" s="6"/>
      <c r="I655" s="4"/>
      <c r="J655" s="4"/>
      <c r="L655" s="7"/>
    </row>
    <row r="656" spans="3:12" hidden="1" x14ac:dyDescent="0.25">
      <c r="C656" s="7"/>
      <c r="H656" s="6"/>
      <c r="I656" s="4"/>
      <c r="J656" s="4"/>
      <c r="L656" s="7"/>
    </row>
    <row r="657" spans="3:12" hidden="1" x14ac:dyDescent="0.25">
      <c r="C657" s="7"/>
      <c r="H657" s="6"/>
      <c r="I657" s="4"/>
      <c r="J657" s="4"/>
      <c r="L657" s="7"/>
    </row>
    <row r="658" spans="3:12" hidden="1" x14ac:dyDescent="0.25">
      <c r="C658" s="7"/>
      <c r="H658" s="6"/>
      <c r="I658" s="4"/>
      <c r="J658" s="4"/>
      <c r="L658" s="7"/>
    </row>
    <row r="659" spans="3:12" hidden="1" x14ac:dyDescent="0.25">
      <c r="C659" s="7"/>
      <c r="H659" s="6"/>
      <c r="I659" s="4"/>
      <c r="J659" s="4"/>
      <c r="L659" s="7"/>
    </row>
    <row r="660" spans="3:12" hidden="1" x14ac:dyDescent="0.25">
      <c r="C660" s="7"/>
      <c r="H660" s="6"/>
      <c r="I660" s="4"/>
      <c r="J660" s="4"/>
      <c r="L660" s="7"/>
    </row>
    <row r="661" spans="3:12" hidden="1" x14ac:dyDescent="0.25">
      <c r="C661" s="7"/>
      <c r="H661" s="6"/>
      <c r="I661" s="4"/>
      <c r="J661" s="4"/>
      <c r="L661" s="7"/>
    </row>
    <row r="662" spans="3:12" hidden="1" x14ac:dyDescent="0.25">
      <c r="C662" s="7"/>
      <c r="H662" s="6"/>
      <c r="I662" s="4"/>
      <c r="J662" s="4"/>
      <c r="L662" s="7"/>
    </row>
    <row r="663" spans="3:12" hidden="1" x14ac:dyDescent="0.25">
      <c r="C663" s="7"/>
      <c r="H663" s="6"/>
      <c r="I663" s="4"/>
      <c r="J663" s="4"/>
      <c r="L663" s="7"/>
    </row>
    <row r="664" spans="3:12" hidden="1" x14ac:dyDescent="0.25">
      <c r="C664" s="7"/>
      <c r="H664" s="6"/>
      <c r="I664" s="4"/>
      <c r="J664" s="4"/>
      <c r="L664" s="7"/>
    </row>
    <row r="665" spans="3:12" hidden="1" x14ac:dyDescent="0.25">
      <c r="C665" s="7"/>
      <c r="H665" s="6"/>
      <c r="I665" s="4"/>
      <c r="J665" s="4"/>
      <c r="L665" s="7"/>
    </row>
    <row r="666" spans="3:12" hidden="1" x14ac:dyDescent="0.25">
      <c r="C666" s="7"/>
      <c r="H666" s="6"/>
      <c r="I666" s="4"/>
      <c r="J666" s="4"/>
      <c r="L666" s="7"/>
    </row>
    <row r="667" spans="3:12" hidden="1" x14ac:dyDescent="0.25">
      <c r="C667" s="7"/>
      <c r="H667" s="6"/>
      <c r="I667" s="4"/>
      <c r="J667" s="4"/>
      <c r="L667" s="7"/>
    </row>
    <row r="668" spans="3:12" hidden="1" x14ac:dyDescent="0.25">
      <c r="C668" s="7"/>
      <c r="H668" s="6"/>
      <c r="I668" s="4"/>
      <c r="J668" s="4"/>
      <c r="L668" s="7"/>
    </row>
    <row r="669" spans="3:12" hidden="1" x14ac:dyDescent="0.25">
      <c r="H669" s="6"/>
      <c r="I669" s="4"/>
      <c r="J669" s="4"/>
      <c r="L669" s="7"/>
    </row>
    <row r="670" spans="3:12" hidden="1" x14ac:dyDescent="0.25">
      <c r="H670" s="6"/>
      <c r="I670" s="4"/>
      <c r="J670" s="4"/>
      <c r="L670" s="7"/>
    </row>
    <row r="671" spans="3:12" hidden="1" x14ac:dyDescent="0.25">
      <c r="H671" s="6"/>
      <c r="I671" s="4"/>
      <c r="J671" s="4"/>
      <c r="L671" s="7"/>
    </row>
    <row r="672" spans="3:12" hidden="1" x14ac:dyDescent="0.25">
      <c r="H672" s="6"/>
      <c r="I672" s="4"/>
      <c r="J672" s="4"/>
      <c r="L672" s="7"/>
    </row>
    <row r="673" spans="8:12" hidden="1" x14ac:dyDescent="0.25">
      <c r="H673" s="6"/>
      <c r="I673" s="4"/>
      <c r="J673" s="4"/>
      <c r="L673" s="7"/>
    </row>
    <row r="674" spans="8:12" hidden="1" x14ac:dyDescent="0.25">
      <c r="H674" s="6"/>
      <c r="I674" s="4"/>
      <c r="J674" s="4"/>
      <c r="L674" s="7"/>
    </row>
    <row r="675" spans="8:12" hidden="1" x14ac:dyDescent="0.25">
      <c r="H675" s="6"/>
      <c r="I675" s="4"/>
      <c r="J675" s="4"/>
      <c r="L675" s="7"/>
    </row>
    <row r="676" spans="8:12" hidden="1" x14ac:dyDescent="0.25">
      <c r="H676" s="6"/>
      <c r="I676" s="4"/>
      <c r="J676" s="4"/>
      <c r="L676" s="7"/>
    </row>
    <row r="677" spans="8:12" hidden="1" x14ac:dyDescent="0.25">
      <c r="H677" s="6"/>
      <c r="I677" s="4"/>
      <c r="J677" s="4"/>
      <c r="L677" s="7"/>
    </row>
    <row r="678" spans="8:12" hidden="1" x14ac:dyDescent="0.25">
      <c r="H678" s="6"/>
      <c r="I678" s="4"/>
      <c r="J678" s="4"/>
      <c r="L678" s="7"/>
    </row>
    <row r="679" spans="8:12" hidden="1" x14ac:dyDescent="0.25">
      <c r="H679" s="6"/>
      <c r="I679" s="4"/>
      <c r="J679" s="4"/>
      <c r="L679" s="7"/>
    </row>
    <row r="680" spans="8:12" hidden="1" x14ac:dyDescent="0.25">
      <c r="H680" s="6"/>
      <c r="I680" s="4"/>
      <c r="J680" s="4"/>
      <c r="L680" s="7"/>
    </row>
    <row r="681" spans="8:12" hidden="1" x14ac:dyDescent="0.25">
      <c r="H681" s="6"/>
      <c r="I681" s="4"/>
      <c r="J681" s="4"/>
      <c r="L681" s="7"/>
    </row>
    <row r="682" spans="8:12" hidden="1" x14ac:dyDescent="0.25">
      <c r="H682" s="6"/>
      <c r="I682" s="4"/>
      <c r="J682" s="4"/>
      <c r="L682" s="7"/>
    </row>
    <row r="683" spans="8:12" hidden="1" x14ac:dyDescent="0.25">
      <c r="H683" s="6"/>
      <c r="I683" s="4"/>
      <c r="J683" s="4"/>
      <c r="L683" s="7"/>
    </row>
    <row r="684" spans="8:12" hidden="1" x14ac:dyDescent="0.25">
      <c r="H684" s="6"/>
      <c r="I684" s="4"/>
      <c r="J684" s="4"/>
      <c r="L684" s="7"/>
    </row>
    <row r="685" spans="8:12" hidden="1" x14ac:dyDescent="0.25">
      <c r="H685" s="6"/>
      <c r="I685" s="4"/>
      <c r="J685" s="4"/>
      <c r="L685" s="7"/>
    </row>
    <row r="686" spans="8:12" hidden="1" x14ac:dyDescent="0.25">
      <c r="H686" s="6"/>
      <c r="I686" s="4"/>
      <c r="J686" s="4"/>
      <c r="L686" s="7"/>
    </row>
    <row r="687" spans="8:12" hidden="1" x14ac:dyDescent="0.25">
      <c r="H687" s="6"/>
      <c r="I687" s="4"/>
      <c r="J687" s="4"/>
      <c r="L687" s="7"/>
    </row>
    <row r="688" spans="8:12" hidden="1" x14ac:dyDescent="0.25">
      <c r="H688" s="6"/>
      <c r="I688" s="4"/>
      <c r="J688" s="4"/>
      <c r="L688" s="7"/>
    </row>
    <row r="689" spans="8:12" hidden="1" x14ac:dyDescent="0.25">
      <c r="H689" s="6"/>
      <c r="I689" s="4"/>
      <c r="J689" s="4"/>
      <c r="L689" s="7"/>
    </row>
    <row r="690" spans="8:12" hidden="1" x14ac:dyDescent="0.25">
      <c r="H690" s="6"/>
      <c r="I690" s="4"/>
      <c r="J690" s="4"/>
      <c r="L690" s="7"/>
    </row>
    <row r="691" spans="8:12" hidden="1" x14ac:dyDescent="0.25">
      <c r="H691" s="6"/>
      <c r="I691" s="4"/>
      <c r="J691" s="4"/>
      <c r="L691" s="7"/>
    </row>
    <row r="692" spans="8:12" hidden="1" x14ac:dyDescent="0.25">
      <c r="H692" s="6"/>
      <c r="I692" s="4"/>
      <c r="J692" s="4"/>
      <c r="L692" s="7"/>
    </row>
    <row r="693" spans="8:12" hidden="1" x14ac:dyDescent="0.25">
      <c r="H693" s="6"/>
      <c r="I693" s="4"/>
      <c r="J693" s="4"/>
      <c r="L693" s="7"/>
    </row>
    <row r="694" spans="8:12" hidden="1" x14ac:dyDescent="0.25">
      <c r="H694" s="6"/>
      <c r="I694" s="4"/>
      <c r="J694" s="4"/>
      <c r="L694" s="7"/>
    </row>
    <row r="695" spans="8:12" hidden="1" x14ac:dyDescent="0.25">
      <c r="H695" s="6"/>
      <c r="I695" s="4"/>
      <c r="J695" s="4"/>
      <c r="L695" s="7"/>
    </row>
    <row r="696" spans="8:12" hidden="1" x14ac:dyDescent="0.25">
      <c r="H696" s="6"/>
      <c r="I696" s="4"/>
      <c r="J696" s="4"/>
      <c r="L696" s="7"/>
    </row>
    <row r="697" spans="8:12" hidden="1" x14ac:dyDescent="0.25">
      <c r="H697" s="6"/>
      <c r="I697" s="4"/>
      <c r="J697" s="4"/>
      <c r="L697" s="7"/>
    </row>
    <row r="698" spans="8:12" hidden="1" x14ac:dyDescent="0.25">
      <c r="H698" s="6"/>
      <c r="I698" s="4"/>
      <c r="J698" s="4"/>
      <c r="L698" s="7"/>
    </row>
    <row r="699" spans="8:12" hidden="1" x14ac:dyDescent="0.25">
      <c r="H699" s="6"/>
      <c r="I699" s="4"/>
      <c r="J699" s="4"/>
      <c r="L699" s="7"/>
    </row>
    <row r="700" spans="8:12" hidden="1" x14ac:dyDescent="0.25">
      <c r="H700" s="6"/>
      <c r="I700" s="4"/>
      <c r="J700" s="4"/>
      <c r="L700" s="7"/>
    </row>
    <row r="701" spans="8:12" hidden="1" x14ac:dyDescent="0.25">
      <c r="H701" s="6"/>
      <c r="I701" s="4"/>
      <c r="J701" s="4"/>
      <c r="L701" s="7"/>
    </row>
    <row r="702" spans="8:12" hidden="1" x14ac:dyDescent="0.25">
      <c r="H702" s="6"/>
      <c r="I702" s="4"/>
      <c r="J702" s="4"/>
      <c r="L702" s="7"/>
    </row>
    <row r="703" spans="8:12" hidden="1" x14ac:dyDescent="0.25">
      <c r="H703" s="6"/>
      <c r="I703" s="4"/>
      <c r="J703" s="4"/>
      <c r="L703" s="7"/>
    </row>
    <row r="704" spans="8:12" hidden="1" x14ac:dyDescent="0.25">
      <c r="H704" s="6"/>
      <c r="I704" s="4"/>
      <c r="J704" s="4"/>
      <c r="L704" s="7"/>
    </row>
    <row r="705" spans="8:12" hidden="1" x14ac:dyDescent="0.25">
      <c r="H705" s="6"/>
      <c r="I705" s="4"/>
      <c r="J705" s="4"/>
      <c r="L705" s="7"/>
    </row>
    <row r="706" spans="8:12" hidden="1" x14ac:dyDescent="0.25">
      <c r="H706" s="6"/>
      <c r="I706" s="4"/>
      <c r="J706" s="4"/>
      <c r="L706" s="7"/>
    </row>
    <row r="707" spans="8:12" hidden="1" x14ac:dyDescent="0.25">
      <c r="H707" s="6"/>
      <c r="I707" s="4"/>
      <c r="J707" s="4"/>
      <c r="L707" s="7"/>
    </row>
    <row r="708" spans="8:12" hidden="1" x14ac:dyDescent="0.25">
      <c r="H708" s="6"/>
      <c r="I708" s="4"/>
      <c r="J708" s="4"/>
      <c r="L708" s="7"/>
    </row>
    <row r="709" spans="8:12" hidden="1" x14ac:dyDescent="0.25">
      <c r="H709" s="6"/>
      <c r="I709" s="4"/>
      <c r="J709" s="4"/>
      <c r="L709" s="7"/>
    </row>
    <row r="710" spans="8:12" hidden="1" x14ac:dyDescent="0.25">
      <c r="H710" s="6"/>
      <c r="I710" s="4"/>
      <c r="J710" s="4"/>
      <c r="L710" s="7"/>
    </row>
    <row r="711" spans="8:12" hidden="1" x14ac:dyDescent="0.25">
      <c r="H711" s="6"/>
      <c r="I711" s="4"/>
      <c r="J711" s="4"/>
      <c r="L711" s="7"/>
    </row>
    <row r="712" spans="8:12" hidden="1" x14ac:dyDescent="0.25">
      <c r="H712" s="6"/>
      <c r="I712" s="4"/>
      <c r="J712" s="4"/>
      <c r="L712" s="7"/>
    </row>
    <row r="713" spans="8:12" hidden="1" x14ac:dyDescent="0.25">
      <c r="H713" s="6"/>
      <c r="I713" s="4"/>
      <c r="J713" s="4"/>
      <c r="L713" s="7"/>
    </row>
    <row r="714" spans="8:12" hidden="1" x14ac:dyDescent="0.25">
      <c r="H714" s="6"/>
      <c r="I714" s="4"/>
      <c r="J714" s="4"/>
      <c r="L714" s="7"/>
    </row>
    <row r="715" spans="8:12" hidden="1" x14ac:dyDescent="0.25">
      <c r="H715" s="6"/>
      <c r="I715" s="4"/>
      <c r="J715" s="4"/>
      <c r="L715" s="7"/>
    </row>
    <row r="716" spans="8:12" hidden="1" x14ac:dyDescent="0.25">
      <c r="H716" s="6"/>
      <c r="I716" s="4"/>
      <c r="J716" s="4"/>
      <c r="L716" s="7"/>
    </row>
    <row r="717" spans="8:12" hidden="1" x14ac:dyDescent="0.25">
      <c r="H717" s="6"/>
      <c r="I717" s="4"/>
      <c r="J717" s="4"/>
      <c r="L717" s="7"/>
    </row>
    <row r="718" spans="8:12" hidden="1" x14ac:dyDescent="0.25">
      <c r="H718" s="6"/>
      <c r="I718" s="4"/>
      <c r="J718" s="4"/>
      <c r="L718" s="7"/>
    </row>
    <row r="719" spans="8:12" hidden="1" x14ac:dyDescent="0.25">
      <c r="H719" s="6"/>
      <c r="I719" s="4"/>
      <c r="J719" s="4"/>
      <c r="L719" s="7"/>
    </row>
    <row r="720" spans="8:12" hidden="1" x14ac:dyDescent="0.25">
      <c r="H720" s="6"/>
      <c r="I720" s="4"/>
      <c r="J720" s="4"/>
      <c r="L720" s="7"/>
    </row>
    <row r="721" spans="8:12" hidden="1" x14ac:dyDescent="0.25">
      <c r="H721" s="6"/>
      <c r="I721" s="4"/>
      <c r="J721" s="4"/>
      <c r="L721" s="7"/>
    </row>
    <row r="722" spans="8:12" hidden="1" x14ac:dyDescent="0.25">
      <c r="H722" s="6"/>
      <c r="I722" s="4"/>
      <c r="J722" s="4"/>
      <c r="L722" s="7"/>
    </row>
    <row r="723" spans="8:12" hidden="1" x14ac:dyDescent="0.25">
      <c r="H723" s="6"/>
      <c r="I723" s="4"/>
      <c r="J723" s="4"/>
      <c r="L723" s="7"/>
    </row>
    <row r="724" spans="8:12" hidden="1" x14ac:dyDescent="0.25">
      <c r="H724" s="6"/>
      <c r="I724" s="4"/>
      <c r="J724" s="4"/>
      <c r="L724" s="7"/>
    </row>
    <row r="725" spans="8:12" hidden="1" x14ac:dyDescent="0.25">
      <c r="H725" s="6"/>
      <c r="I725" s="4"/>
      <c r="J725" s="4"/>
      <c r="L725" s="7"/>
    </row>
    <row r="726" spans="8:12" hidden="1" x14ac:dyDescent="0.25">
      <c r="H726" s="6"/>
      <c r="I726" s="4"/>
      <c r="J726" s="4"/>
      <c r="L726" s="7"/>
    </row>
    <row r="727" spans="8:12" hidden="1" x14ac:dyDescent="0.25">
      <c r="H727" s="6"/>
      <c r="I727" s="4"/>
      <c r="J727" s="4"/>
      <c r="L727" s="7"/>
    </row>
    <row r="728" spans="8:12" hidden="1" x14ac:dyDescent="0.25">
      <c r="H728" s="6"/>
      <c r="I728" s="4"/>
      <c r="J728" s="4"/>
      <c r="L728" s="7"/>
    </row>
    <row r="729" spans="8:12" hidden="1" x14ac:dyDescent="0.25">
      <c r="H729" s="6"/>
      <c r="I729" s="4"/>
      <c r="J729" s="4"/>
      <c r="L729" s="7"/>
    </row>
    <row r="730" spans="8:12" hidden="1" x14ac:dyDescent="0.25">
      <c r="H730" s="6"/>
      <c r="I730" s="4"/>
      <c r="J730" s="4"/>
      <c r="L730" s="7"/>
    </row>
    <row r="731" spans="8:12" hidden="1" x14ac:dyDescent="0.25">
      <c r="H731" s="6"/>
      <c r="I731" s="4"/>
      <c r="J731" s="4"/>
      <c r="L731" s="7"/>
    </row>
    <row r="732" spans="8:12" hidden="1" x14ac:dyDescent="0.25">
      <c r="H732" s="6"/>
      <c r="I732" s="4"/>
      <c r="J732" s="4"/>
      <c r="L732" s="7"/>
    </row>
    <row r="733" spans="8:12" hidden="1" x14ac:dyDescent="0.25">
      <c r="H733" s="6"/>
      <c r="I733" s="4"/>
      <c r="J733" s="4"/>
      <c r="L733" s="7"/>
    </row>
    <row r="734" spans="8:12" hidden="1" x14ac:dyDescent="0.25">
      <c r="H734" s="6"/>
      <c r="I734" s="4"/>
      <c r="J734" s="4"/>
      <c r="L734" s="7"/>
    </row>
    <row r="735" spans="8:12" hidden="1" x14ac:dyDescent="0.25">
      <c r="H735" s="6"/>
      <c r="I735" s="4"/>
      <c r="J735" s="4"/>
      <c r="L735" s="7"/>
    </row>
    <row r="736" spans="8:12" hidden="1" x14ac:dyDescent="0.25">
      <c r="H736" s="6"/>
      <c r="I736" s="4"/>
      <c r="J736" s="4"/>
      <c r="L736" s="7"/>
    </row>
    <row r="737" spans="8:12" hidden="1" x14ac:dyDescent="0.25">
      <c r="H737" s="6"/>
      <c r="I737" s="4"/>
      <c r="J737" s="4"/>
      <c r="L737" s="7"/>
    </row>
    <row r="738" spans="8:12" hidden="1" x14ac:dyDescent="0.25">
      <c r="H738" s="6"/>
      <c r="I738" s="4"/>
      <c r="J738" s="4"/>
      <c r="L738" s="7"/>
    </row>
    <row r="739" spans="8:12" hidden="1" x14ac:dyDescent="0.25">
      <c r="H739" s="6"/>
      <c r="I739" s="4"/>
      <c r="J739" s="4"/>
      <c r="L739" s="7"/>
    </row>
    <row r="740" spans="8:12" hidden="1" x14ac:dyDescent="0.25">
      <c r="H740" s="6"/>
      <c r="I740" s="4"/>
      <c r="J740" s="4"/>
      <c r="L740" s="7"/>
    </row>
    <row r="741" spans="8:12" hidden="1" x14ac:dyDescent="0.25">
      <c r="H741" s="6"/>
      <c r="I741" s="4"/>
      <c r="J741" s="4"/>
      <c r="L741" s="7"/>
    </row>
    <row r="742" spans="8:12" hidden="1" x14ac:dyDescent="0.25">
      <c r="H742" s="6"/>
      <c r="I742" s="4"/>
      <c r="J742" s="4"/>
      <c r="L742" s="7"/>
    </row>
    <row r="743" spans="8:12" hidden="1" x14ac:dyDescent="0.25">
      <c r="H743" s="6"/>
      <c r="I743" s="4"/>
      <c r="J743" s="4"/>
      <c r="L743" s="7"/>
    </row>
    <row r="744" spans="8:12" hidden="1" x14ac:dyDescent="0.25">
      <c r="H744" s="6"/>
      <c r="I744" s="4"/>
      <c r="J744" s="4"/>
      <c r="L744" s="7"/>
    </row>
    <row r="745" spans="8:12" hidden="1" x14ac:dyDescent="0.25">
      <c r="H745" s="6"/>
      <c r="I745" s="4"/>
      <c r="J745" s="4"/>
      <c r="L745" s="7"/>
    </row>
    <row r="746" spans="8:12" hidden="1" x14ac:dyDescent="0.25">
      <c r="H746" s="6"/>
      <c r="I746" s="4"/>
      <c r="J746" s="4"/>
      <c r="L746" s="7"/>
    </row>
    <row r="747" spans="8:12" hidden="1" x14ac:dyDescent="0.25">
      <c r="H747" s="6"/>
      <c r="I747" s="4"/>
      <c r="J747" s="4"/>
      <c r="L747" s="7"/>
    </row>
    <row r="748" spans="8:12" hidden="1" x14ac:dyDescent="0.25">
      <c r="H748" s="6"/>
      <c r="I748" s="4"/>
      <c r="J748" s="4"/>
      <c r="L748" s="7"/>
    </row>
    <row r="749" spans="8:12" hidden="1" x14ac:dyDescent="0.25">
      <c r="H749" s="6"/>
      <c r="I749" s="4"/>
      <c r="J749" s="4"/>
      <c r="L749" s="7"/>
    </row>
    <row r="750" spans="8:12" hidden="1" x14ac:dyDescent="0.25">
      <c r="H750" s="6"/>
      <c r="I750" s="4"/>
      <c r="J750" s="4"/>
      <c r="L750" s="7"/>
    </row>
    <row r="751" spans="8:12" hidden="1" x14ac:dyDescent="0.25">
      <c r="H751" s="6"/>
      <c r="I751" s="4"/>
      <c r="J751" s="4"/>
      <c r="L751" s="7"/>
    </row>
    <row r="752" spans="8:12" hidden="1" x14ac:dyDescent="0.25">
      <c r="H752" s="6"/>
      <c r="I752" s="4"/>
      <c r="J752" s="4"/>
      <c r="L752" s="7"/>
    </row>
    <row r="753" spans="8:12" hidden="1" x14ac:dyDescent="0.25">
      <c r="H753" s="6"/>
      <c r="I753" s="4"/>
      <c r="J753" s="4"/>
      <c r="L753" s="7"/>
    </row>
    <row r="754" spans="8:12" hidden="1" x14ac:dyDescent="0.25">
      <c r="H754" s="6"/>
      <c r="I754" s="4"/>
      <c r="J754" s="4"/>
      <c r="L754" s="7"/>
    </row>
    <row r="755" spans="8:12" hidden="1" x14ac:dyDescent="0.25">
      <c r="H755" s="6"/>
      <c r="I755" s="4"/>
      <c r="J755" s="4"/>
      <c r="L755" s="7"/>
    </row>
    <row r="756" spans="8:12" hidden="1" x14ac:dyDescent="0.25">
      <c r="H756" s="6"/>
      <c r="I756" s="4"/>
      <c r="J756" s="4"/>
      <c r="L756" s="7"/>
    </row>
    <row r="757" spans="8:12" hidden="1" x14ac:dyDescent="0.25">
      <c r="H757" s="6"/>
      <c r="I757" s="4"/>
      <c r="J757" s="4"/>
      <c r="L757" s="7"/>
    </row>
    <row r="758" spans="8:12" hidden="1" x14ac:dyDescent="0.25">
      <c r="H758" s="6"/>
      <c r="I758" s="4"/>
      <c r="J758" s="4"/>
      <c r="L758" s="7"/>
    </row>
    <row r="759" spans="8:12" hidden="1" x14ac:dyDescent="0.25">
      <c r="H759" s="6"/>
      <c r="I759" s="4"/>
      <c r="J759" s="4"/>
      <c r="L759" s="7"/>
    </row>
    <row r="760" spans="8:12" hidden="1" x14ac:dyDescent="0.25">
      <c r="H760" s="6"/>
      <c r="I760" s="4"/>
      <c r="J760" s="4"/>
      <c r="L760" s="7"/>
    </row>
    <row r="761" spans="8:12" hidden="1" x14ac:dyDescent="0.25">
      <c r="H761" s="6"/>
      <c r="I761" s="4"/>
      <c r="J761" s="4"/>
      <c r="L761" s="7"/>
    </row>
    <row r="762" spans="8:12" hidden="1" x14ac:dyDescent="0.25">
      <c r="H762" s="6"/>
      <c r="I762" s="4"/>
      <c r="J762" s="4"/>
      <c r="L762" s="7"/>
    </row>
    <row r="763" spans="8:12" hidden="1" x14ac:dyDescent="0.25">
      <c r="H763" s="6"/>
      <c r="I763" s="4"/>
      <c r="J763" s="4"/>
      <c r="L763" s="7"/>
    </row>
    <row r="764" spans="8:12" hidden="1" x14ac:dyDescent="0.25">
      <c r="H764" s="6"/>
      <c r="I764" s="4"/>
      <c r="J764" s="4"/>
      <c r="L764" s="7"/>
    </row>
    <row r="765" spans="8:12" hidden="1" x14ac:dyDescent="0.25">
      <c r="H765" s="6"/>
      <c r="I765" s="4"/>
      <c r="J765" s="4"/>
      <c r="L765" s="7"/>
    </row>
    <row r="766" spans="8:12" hidden="1" x14ac:dyDescent="0.25">
      <c r="H766" s="6"/>
      <c r="I766" s="4"/>
      <c r="J766" s="4"/>
      <c r="L766" s="7"/>
    </row>
    <row r="767" spans="8:12" hidden="1" x14ac:dyDescent="0.25">
      <c r="H767" s="6"/>
      <c r="I767" s="4"/>
      <c r="J767" s="4"/>
      <c r="L767" s="7"/>
    </row>
    <row r="768" spans="8:12" hidden="1" x14ac:dyDescent="0.25">
      <c r="H768" s="6"/>
      <c r="I768" s="4"/>
      <c r="J768" s="4"/>
      <c r="L768" s="7"/>
    </row>
    <row r="769" spans="8:12" hidden="1" x14ac:dyDescent="0.25">
      <c r="H769" s="6"/>
      <c r="I769" s="4"/>
      <c r="J769" s="4"/>
      <c r="L769" s="7"/>
    </row>
    <row r="770" spans="8:12" hidden="1" x14ac:dyDescent="0.25">
      <c r="H770" s="6"/>
      <c r="I770" s="4"/>
      <c r="J770" s="4"/>
      <c r="L770" s="7"/>
    </row>
    <row r="771" spans="8:12" hidden="1" x14ac:dyDescent="0.25">
      <c r="H771" s="6"/>
      <c r="I771" s="4"/>
      <c r="J771" s="4"/>
      <c r="L771" s="7"/>
    </row>
    <row r="772" spans="8:12" hidden="1" x14ac:dyDescent="0.25">
      <c r="H772" s="6"/>
      <c r="I772" s="4"/>
      <c r="J772" s="4"/>
      <c r="L772" s="7"/>
    </row>
    <row r="773" spans="8:12" hidden="1" x14ac:dyDescent="0.25">
      <c r="H773" s="6"/>
      <c r="I773" s="4"/>
      <c r="J773" s="4"/>
      <c r="L773" s="7"/>
    </row>
    <row r="774" spans="8:12" hidden="1" x14ac:dyDescent="0.25">
      <c r="H774" s="6"/>
      <c r="I774" s="4"/>
      <c r="J774" s="4"/>
      <c r="L774" s="7"/>
    </row>
    <row r="775" spans="8:12" hidden="1" x14ac:dyDescent="0.25">
      <c r="H775" s="6"/>
      <c r="I775" s="4"/>
      <c r="J775" s="4"/>
      <c r="L775" s="7"/>
    </row>
    <row r="776" spans="8:12" hidden="1" x14ac:dyDescent="0.25">
      <c r="H776" s="6"/>
      <c r="I776" s="4"/>
      <c r="J776" s="4"/>
      <c r="L776" s="7"/>
    </row>
    <row r="777" spans="8:12" hidden="1" x14ac:dyDescent="0.25">
      <c r="H777" s="6"/>
      <c r="I777" s="4"/>
      <c r="J777" s="4"/>
      <c r="L777" s="7"/>
    </row>
    <row r="778" spans="8:12" hidden="1" x14ac:dyDescent="0.25">
      <c r="H778" s="6"/>
      <c r="I778" s="4"/>
      <c r="J778" s="4"/>
      <c r="L778" s="7"/>
    </row>
    <row r="779" spans="8:12" hidden="1" x14ac:dyDescent="0.25">
      <c r="H779" s="6"/>
      <c r="I779" s="4"/>
      <c r="J779" s="4"/>
      <c r="L779" s="7"/>
    </row>
    <row r="780" spans="8:12" hidden="1" x14ac:dyDescent="0.25">
      <c r="H780" s="6"/>
      <c r="I780" s="4"/>
      <c r="J780" s="4"/>
      <c r="L780" s="7"/>
    </row>
    <row r="781" spans="8:12" hidden="1" x14ac:dyDescent="0.25">
      <c r="H781" s="6"/>
      <c r="I781" s="4"/>
      <c r="J781" s="4"/>
      <c r="L781" s="7"/>
    </row>
    <row r="782" spans="8:12" hidden="1" x14ac:dyDescent="0.25">
      <c r="H782" s="6"/>
      <c r="I782" s="4"/>
      <c r="J782" s="4"/>
      <c r="L782" s="7"/>
    </row>
    <row r="783" spans="8:12" hidden="1" x14ac:dyDescent="0.25">
      <c r="H783" s="6"/>
      <c r="I783" s="4"/>
      <c r="J783" s="4"/>
      <c r="L783" s="7"/>
    </row>
    <row r="784" spans="8:12" hidden="1" x14ac:dyDescent="0.25">
      <c r="H784" s="6"/>
      <c r="I784" s="4"/>
      <c r="J784" s="4"/>
      <c r="L784" s="7"/>
    </row>
    <row r="785" spans="8:12" hidden="1" x14ac:dyDescent="0.25">
      <c r="H785" s="6"/>
      <c r="I785" s="4"/>
      <c r="J785" s="4"/>
      <c r="L785" s="7"/>
    </row>
    <row r="786" spans="8:12" hidden="1" x14ac:dyDescent="0.25">
      <c r="H786" s="6"/>
      <c r="I786" s="4"/>
      <c r="J786" s="4"/>
      <c r="L786" s="7"/>
    </row>
    <row r="787" spans="8:12" hidden="1" x14ac:dyDescent="0.25">
      <c r="H787" s="6"/>
      <c r="I787" s="4"/>
      <c r="J787" s="4"/>
      <c r="L787" s="7"/>
    </row>
    <row r="788" spans="8:12" hidden="1" x14ac:dyDescent="0.25">
      <c r="H788" s="6"/>
      <c r="I788" s="4"/>
      <c r="J788" s="4"/>
      <c r="L788" s="7"/>
    </row>
    <row r="789" spans="8:12" hidden="1" x14ac:dyDescent="0.25">
      <c r="H789" s="6"/>
      <c r="I789" s="4"/>
      <c r="J789" s="4"/>
      <c r="L789" s="7"/>
    </row>
    <row r="790" spans="8:12" hidden="1" x14ac:dyDescent="0.25">
      <c r="H790" s="6"/>
      <c r="I790" s="4"/>
      <c r="J790" s="4"/>
      <c r="L790" s="7"/>
    </row>
    <row r="791" spans="8:12" hidden="1" x14ac:dyDescent="0.25">
      <c r="H791" s="6"/>
      <c r="I791" s="4"/>
      <c r="J791" s="4"/>
      <c r="L791" s="7"/>
    </row>
    <row r="792" spans="8:12" hidden="1" x14ac:dyDescent="0.25">
      <c r="H792" s="6"/>
      <c r="I792" s="4"/>
      <c r="J792" s="4"/>
      <c r="L792" s="7"/>
    </row>
    <row r="793" spans="8:12" hidden="1" x14ac:dyDescent="0.25">
      <c r="H793" s="6"/>
      <c r="I793" s="4"/>
      <c r="J793" s="4"/>
      <c r="L793" s="7"/>
    </row>
    <row r="794" spans="8:12" hidden="1" x14ac:dyDescent="0.25">
      <c r="H794" s="6"/>
      <c r="I794" s="4"/>
      <c r="J794" s="4"/>
      <c r="L794" s="7"/>
    </row>
    <row r="795" spans="8:12" hidden="1" x14ac:dyDescent="0.25">
      <c r="H795" s="6"/>
      <c r="I795" s="4"/>
      <c r="J795" s="4"/>
      <c r="L795" s="7"/>
    </row>
    <row r="796" spans="8:12" hidden="1" x14ac:dyDescent="0.25">
      <c r="H796" s="6"/>
      <c r="I796" s="4"/>
      <c r="J796" s="4"/>
      <c r="L796" s="7"/>
    </row>
    <row r="797" spans="8:12" hidden="1" x14ac:dyDescent="0.25">
      <c r="H797" s="6"/>
      <c r="I797" s="4"/>
      <c r="J797" s="4"/>
      <c r="L797" s="7"/>
    </row>
    <row r="798" spans="8:12" hidden="1" x14ac:dyDescent="0.25">
      <c r="H798" s="6"/>
      <c r="I798" s="4"/>
      <c r="J798" s="4"/>
      <c r="L798" s="7"/>
    </row>
    <row r="799" spans="8:12" hidden="1" x14ac:dyDescent="0.25">
      <c r="H799" s="6"/>
      <c r="I799" s="4"/>
      <c r="J799" s="4"/>
      <c r="L799" s="7"/>
    </row>
    <row r="800" spans="8:12" hidden="1" x14ac:dyDescent="0.25">
      <c r="H800" s="6"/>
      <c r="I800" s="4"/>
      <c r="J800" s="4"/>
      <c r="L800" s="7"/>
    </row>
    <row r="801" spans="8:12" hidden="1" x14ac:dyDescent="0.25">
      <c r="H801" s="6"/>
      <c r="I801" s="4"/>
      <c r="J801" s="4"/>
      <c r="L801" s="7"/>
    </row>
    <row r="802" spans="8:12" hidden="1" x14ac:dyDescent="0.25">
      <c r="H802" s="6"/>
      <c r="I802" s="4"/>
      <c r="J802" s="4"/>
      <c r="L802" s="7"/>
    </row>
    <row r="803" spans="8:12" hidden="1" x14ac:dyDescent="0.25">
      <c r="H803" s="6"/>
      <c r="I803" s="4"/>
      <c r="J803" s="4"/>
      <c r="L803" s="7"/>
    </row>
    <row r="804" spans="8:12" hidden="1" x14ac:dyDescent="0.25">
      <c r="H804" s="6"/>
      <c r="I804" s="4"/>
      <c r="J804" s="4"/>
      <c r="L804" s="7"/>
    </row>
    <row r="805" spans="8:12" hidden="1" x14ac:dyDescent="0.25">
      <c r="H805" s="6"/>
      <c r="I805" s="4"/>
      <c r="J805" s="4"/>
      <c r="L805" s="7"/>
    </row>
    <row r="806" spans="8:12" hidden="1" x14ac:dyDescent="0.25">
      <c r="H806" s="6"/>
      <c r="I806" s="4"/>
      <c r="J806" s="4"/>
      <c r="L806" s="7"/>
    </row>
    <row r="807" spans="8:12" hidden="1" x14ac:dyDescent="0.25">
      <c r="H807" s="6"/>
      <c r="I807" s="4"/>
      <c r="J807" s="4"/>
      <c r="L807" s="7"/>
    </row>
    <row r="808" spans="8:12" hidden="1" x14ac:dyDescent="0.25">
      <c r="H808" s="6"/>
      <c r="I808" s="4"/>
      <c r="J808" s="4"/>
      <c r="L808" s="7"/>
    </row>
    <row r="809" spans="8:12" hidden="1" x14ac:dyDescent="0.25">
      <c r="H809" s="6"/>
      <c r="I809" s="4"/>
      <c r="J809" s="4"/>
      <c r="L809" s="7"/>
    </row>
    <row r="810" spans="8:12" hidden="1" x14ac:dyDescent="0.25">
      <c r="H810" s="6"/>
      <c r="I810" s="4"/>
      <c r="J810" s="4"/>
      <c r="L810" s="7"/>
    </row>
    <row r="811" spans="8:12" hidden="1" x14ac:dyDescent="0.25">
      <c r="H811" s="6"/>
      <c r="I811" s="4"/>
      <c r="J811" s="4"/>
      <c r="L811" s="7"/>
    </row>
    <row r="812" spans="8:12" hidden="1" x14ac:dyDescent="0.25">
      <c r="H812" s="6"/>
      <c r="I812" s="4"/>
      <c r="J812" s="4"/>
      <c r="L812" s="7"/>
    </row>
    <row r="813" spans="8:12" hidden="1" x14ac:dyDescent="0.25">
      <c r="H813" s="6"/>
      <c r="I813" s="4"/>
      <c r="J813" s="4"/>
      <c r="L813" s="7"/>
    </row>
    <row r="814" spans="8:12" hidden="1" x14ac:dyDescent="0.25">
      <c r="H814" s="6"/>
      <c r="I814" s="4"/>
      <c r="J814" s="4"/>
      <c r="L814" s="7"/>
    </row>
    <row r="815" spans="8:12" hidden="1" x14ac:dyDescent="0.25">
      <c r="H815" s="6"/>
      <c r="I815" s="4"/>
      <c r="J815" s="4"/>
      <c r="L815" s="7"/>
    </row>
    <row r="816" spans="8:12" hidden="1" x14ac:dyDescent="0.25">
      <c r="H816" s="6"/>
      <c r="I816" s="4"/>
      <c r="J816" s="4"/>
      <c r="L816" s="7"/>
    </row>
    <row r="817" spans="8:12" hidden="1" x14ac:dyDescent="0.25">
      <c r="H817" s="6"/>
      <c r="I817" s="4"/>
      <c r="J817" s="4"/>
      <c r="L817" s="7"/>
    </row>
    <row r="818" spans="8:12" hidden="1" x14ac:dyDescent="0.25">
      <c r="H818" s="6"/>
      <c r="I818" s="4"/>
      <c r="J818" s="4"/>
      <c r="L818" s="7"/>
    </row>
    <row r="819" spans="8:12" hidden="1" x14ac:dyDescent="0.25">
      <c r="H819" s="6"/>
      <c r="I819" s="4"/>
      <c r="J819" s="4"/>
      <c r="L819" s="7"/>
    </row>
    <row r="820" spans="8:12" hidden="1" x14ac:dyDescent="0.25">
      <c r="H820" s="6"/>
      <c r="I820" s="4"/>
      <c r="J820" s="4"/>
      <c r="L820" s="7"/>
    </row>
    <row r="821" spans="8:12" hidden="1" x14ac:dyDescent="0.25">
      <c r="H821" s="6"/>
      <c r="I821" s="4"/>
      <c r="J821" s="4"/>
      <c r="L821" s="7"/>
    </row>
    <row r="822" spans="8:12" hidden="1" x14ac:dyDescent="0.25">
      <c r="H822" s="6"/>
      <c r="I822" s="4"/>
      <c r="J822" s="4"/>
      <c r="L822" s="7"/>
    </row>
    <row r="823" spans="8:12" hidden="1" x14ac:dyDescent="0.25">
      <c r="H823" s="6"/>
      <c r="I823" s="4"/>
      <c r="J823" s="4"/>
      <c r="L823" s="7"/>
    </row>
    <row r="824" spans="8:12" hidden="1" x14ac:dyDescent="0.25">
      <c r="H824" s="6"/>
      <c r="I824" s="4"/>
      <c r="J824" s="4"/>
      <c r="L824" s="7"/>
    </row>
    <row r="825" spans="8:12" hidden="1" x14ac:dyDescent="0.25">
      <c r="H825" s="6"/>
      <c r="I825" s="4"/>
      <c r="J825" s="4"/>
      <c r="L825" s="7"/>
    </row>
    <row r="826" spans="8:12" hidden="1" x14ac:dyDescent="0.25">
      <c r="H826" s="6"/>
      <c r="I826" s="4"/>
      <c r="J826" s="4"/>
      <c r="L826" s="7"/>
    </row>
    <row r="827" spans="8:12" hidden="1" x14ac:dyDescent="0.25">
      <c r="H827" s="6"/>
      <c r="I827" s="4"/>
      <c r="J827" s="4"/>
      <c r="L827" s="7"/>
    </row>
    <row r="828" spans="8:12" hidden="1" x14ac:dyDescent="0.25">
      <c r="H828" s="6"/>
      <c r="I828" s="4"/>
      <c r="J828" s="4"/>
      <c r="L828" s="7"/>
    </row>
    <row r="829" spans="8:12" hidden="1" x14ac:dyDescent="0.25">
      <c r="H829" s="6"/>
      <c r="I829" s="4"/>
      <c r="J829" s="4"/>
      <c r="L829" s="7"/>
    </row>
    <row r="830" spans="8:12" hidden="1" x14ac:dyDescent="0.25">
      <c r="H830" s="6"/>
      <c r="I830" s="4"/>
      <c r="J830" s="4"/>
      <c r="L830" s="7"/>
    </row>
    <row r="831" spans="8:12" hidden="1" x14ac:dyDescent="0.25">
      <c r="H831" s="6"/>
      <c r="I831" s="4"/>
      <c r="J831" s="4"/>
      <c r="L831" s="7"/>
    </row>
    <row r="832" spans="8:12" hidden="1" x14ac:dyDescent="0.25">
      <c r="H832" s="6"/>
      <c r="I832" s="4"/>
      <c r="J832" s="4"/>
      <c r="L832" s="7"/>
    </row>
    <row r="833" spans="8:12" hidden="1" x14ac:dyDescent="0.25">
      <c r="H833" s="6"/>
      <c r="I833" s="4"/>
      <c r="J833" s="4"/>
      <c r="L833" s="7"/>
    </row>
    <row r="834" spans="8:12" hidden="1" x14ac:dyDescent="0.25">
      <c r="H834" s="6"/>
      <c r="I834" s="4"/>
      <c r="J834" s="4"/>
      <c r="L834" s="7"/>
    </row>
    <row r="835" spans="8:12" hidden="1" x14ac:dyDescent="0.25">
      <c r="H835" s="6"/>
      <c r="I835" s="4"/>
      <c r="J835" s="4"/>
      <c r="L835" s="7"/>
    </row>
    <row r="836" spans="8:12" hidden="1" x14ac:dyDescent="0.25">
      <c r="H836" s="6"/>
      <c r="I836" s="4"/>
      <c r="J836" s="4"/>
      <c r="L836" s="7"/>
    </row>
    <row r="837" spans="8:12" hidden="1" x14ac:dyDescent="0.25">
      <c r="H837" s="6"/>
      <c r="I837" s="4"/>
      <c r="J837" s="4"/>
      <c r="L837" s="7"/>
    </row>
    <row r="838" spans="8:12" hidden="1" x14ac:dyDescent="0.25">
      <c r="H838" s="6"/>
      <c r="I838" s="4"/>
      <c r="J838" s="4"/>
      <c r="L838" s="7"/>
    </row>
    <row r="839" spans="8:12" hidden="1" x14ac:dyDescent="0.25">
      <c r="H839" s="6"/>
      <c r="I839" s="4"/>
      <c r="J839" s="4"/>
      <c r="L839" s="7"/>
    </row>
    <row r="840" spans="8:12" hidden="1" x14ac:dyDescent="0.25">
      <c r="H840" s="6"/>
      <c r="I840" s="4"/>
      <c r="J840" s="4"/>
      <c r="L840" s="7"/>
    </row>
    <row r="841" spans="8:12" hidden="1" x14ac:dyDescent="0.25">
      <c r="H841" s="6"/>
      <c r="I841" s="4"/>
      <c r="J841" s="4"/>
      <c r="L841" s="7"/>
    </row>
    <row r="842" spans="8:12" hidden="1" x14ac:dyDescent="0.25">
      <c r="H842" s="6"/>
      <c r="I842" s="4"/>
      <c r="J842" s="4"/>
      <c r="L842" s="7"/>
    </row>
    <row r="843" spans="8:12" hidden="1" x14ac:dyDescent="0.25">
      <c r="H843" s="6"/>
      <c r="I843" s="4"/>
      <c r="J843" s="4"/>
      <c r="L843" s="7"/>
    </row>
    <row r="844" spans="8:12" hidden="1" x14ac:dyDescent="0.25">
      <c r="H844" s="6"/>
      <c r="I844" s="4"/>
      <c r="J844" s="4"/>
      <c r="L844" s="7"/>
    </row>
    <row r="845" spans="8:12" hidden="1" x14ac:dyDescent="0.25">
      <c r="H845" s="6"/>
      <c r="I845" s="4"/>
      <c r="J845" s="4"/>
      <c r="L845" s="7"/>
    </row>
    <row r="846" spans="8:12" hidden="1" x14ac:dyDescent="0.25">
      <c r="H846" s="6"/>
      <c r="I846" s="4"/>
      <c r="J846" s="4"/>
      <c r="L846" s="7"/>
    </row>
    <row r="847" spans="8:12" hidden="1" x14ac:dyDescent="0.25">
      <c r="H847" s="6"/>
      <c r="I847" s="4"/>
      <c r="J847" s="4"/>
      <c r="L847" s="7"/>
    </row>
    <row r="848" spans="8:12" hidden="1" x14ac:dyDescent="0.25">
      <c r="H848" s="6"/>
      <c r="I848" s="4"/>
      <c r="J848" s="4"/>
      <c r="L848" s="7"/>
    </row>
    <row r="849" spans="8:12" hidden="1" x14ac:dyDescent="0.25">
      <c r="H849" s="6"/>
      <c r="I849" s="4"/>
      <c r="J849" s="4"/>
      <c r="L849" s="7"/>
    </row>
    <row r="850" spans="8:12" hidden="1" x14ac:dyDescent="0.25">
      <c r="H850" s="6"/>
      <c r="I850" s="4"/>
      <c r="J850" s="4"/>
      <c r="L850" s="7"/>
    </row>
    <row r="851" spans="8:12" hidden="1" x14ac:dyDescent="0.25">
      <c r="H851" s="6"/>
      <c r="I851" s="4"/>
      <c r="J851" s="4"/>
      <c r="L851" s="7"/>
    </row>
    <row r="852" spans="8:12" hidden="1" x14ac:dyDescent="0.25">
      <c r="H852" s="6"/>
      <c r="I852" s="4"/>
      <c r="J852" s="4"/>
      <c r="L852" s="7"/>
    </row>
    <row r="853" spans="8:12" hidden="1" x14ac:dyDescent="0.25">
      <c r="H853" s="6"/>
      <c r="I853" s="4"/>
      <c r="J853" s="4"/>
      <c r="L853" s="7"/>
    </row>
    <row r="854" spans="8:12" hidden="1" x14ac:dyDescent="0.25">
      <c r="H854" s="6"/>
      <c r="I854" s="4"/>
      <c r="J854" s="4"/>
      <c r="L854" s="7"/>
    </row>
    <row r="855" spans="8:12" hidden="1" x14ac:dyDescent="0.25">
      <c r="H855" s="6"/>
      <c r="I855" s="4"/>
      <c r="J855" s="4"/>
      <c r="L855" s="7"/>
    </row>
    <row r="856" spans="8:12" hidden="1" x14ac:dyDescent="0.25">
      <c r="H856" s="6"/>
      <c r="I856" s="4"/>
      <c r="J856" s="4"/>
      <c r="L856" s="7"/>
    </row>
    <row r="857" spans="8:12" hidden="1" x14ac:dyDescent="0.25">
      <c r="H857" s="6"/>
      <c r="I857" s="4"/>
      <c r="J857" s="4"/>
      <c r="L857" s="7"/>
    </row>
    <row r="858" spans="8:12" hidden="1" x14ac:dyDescent="0.25">
      <c r="H858" s="6"/>
      <c r="I858" s="4"/>
      <c r="J858" s="4"/>
      <c r="L858" s="7"/>
    </row>
    <row r="859" spans="8:12" hidden="1" x14ac:dyDescent="0.25">
      <c r="H859" s="6"/>
      <c r="I859" s="4"/>
      <c r="J859" s="4"/>
      <c r="L859" s="7"/>
    </row>
    <row r="860" spans="8:12" hidden="1" x14ac:dyDescent="0.25">
      <c r="H860" s="6"/>
      <c r="I860" s="4"/>
      <c r="J860" s="4"/>
      <c r="L860" s="7"/>
    </row>
    <row r="861" spans="8:12" hidden="1" x14ac:dyDescent="0.25">
      <c r="H861" s="6"/>
      <c r="I861" s="4"/>
      <c r="J861" s="4"/>
      <c r="L861" s="7"/>
    </row>
    <row r="862" spans="8:12" hidden="1" x14ac:dyDescent="0.25">
      <c r="H862" s="6"/>
      <c r="I862" s="4"/>
      <c r="J862" s="4"/>
      <c r="L862" s="7"/>
    </row>
    <row r="863" spans="8:12" hidden="1" x14ac:dyDescent="0.25">
      <c r="H863" s="6"/>
      <c r="I863" s="4"/>
      <c r="J863" s="4"/>
      <c r="L863" s="7"/>
    </row>
    <row r="864" spans="8:12" hidden="1" x14ac:dyDescent="0.25">
      <c r="H864" s="6"/>
      <c r="I864" s="4"/>
      <c r="J864" s="4"/>
      <c r="L864" s="7"/>
    </row>
    <row r="865" spans="8:12" hidden="1" x14ac:dyDescent="0.25">
      <c r="H865" s="6"/>
      <c r="I865" s="4"/>
      <c r="J865" s="4"/>
      <c r="L865" s="7"/>
    </row>
    <row r="866" spans="8:12" hidden="1" x14ac:dyDescent="0.25">
      <c r="H866" s="6"/>
      <c r="I866" s="4"/>
      <c r="J866" s="4"/>
      <c r="L866" s="7"/>
    </row>
    <row r="867" spans="8:12" hidden="1" x14ac:dyDescent="0.25">
      <c r="H867" s="6"/>
      <c r="I867" s="4"/>
      <c r="J867" s="4"/>
      <c r="L867" s="7"/>
    </row>
    <row r="868" spans="8:12" hidden="1" x14ac:dyDescent="0.25">
      <c r="H868" s="6"/>
      <c r="I868" s="4"/>
      <c r="J868" s="4"/>
      <c r="L868" s="7"/>
    </row>
    <row r="869" spans="8:12" hidden="1" x14ac:dyDescent="0.25">
      <c r="H869" s="6"/>
      <c r="I869" s="4"/>
      <c r="J869" s="4"/>
      <c r="L869" s="7"/>
    </row>
    <row r="870" spans="8:12" hidden="1" x14ac:dyDescent="0.25">
      <c r="H870" s="6"/>
      <c r="I870" s="4"/>
      <c r="J870" s="4"/>
      <c r="L870" s="7"/>
    </row>
    <row r="871" spans="8:12" hidden="1" x14ac:dyDescent="0.25">
      <c r="H871" s="6"/>
      <c r="I871" s="4"/>
      <c r="J871" s="4"/>
      <c r="L871" s="7"/>
    </row>
    <row r="872" spans="8:12" hidden="1" x14ac:dyDescent="0.25">
      <c r="H872" s="6"/>
      <c r="I872" s="4"/>
      <c r="J872" s="4"/>
      <c r="L872" s="7"/>
    </row>
    <row r="873" spans="8:12" hidden="1" x14ac:dyDescent="0.25">
      <c r="H873" s="6"/>
      <c r="I873" s="4"/>
      <c r="J873" s="4"/>
      <c r="L873" s="7"/>
    </row>
    <row r="874" spans="8:12" hidden="1" x14ac:dyDescent="0.25">
      <c r="H874" s="6"/>
      <c r="I874" s="4"/>
      <c r="J874" s="4"/>
      <c r="L874" s="7"/>
    </row>
    <row r="875" spans="8:12" hidden="1" x14ac:dyDescent="0.25">
      <c r="H875" s="6"/>
      <c r="I875" s="4"/>
      <c r="J875" s="4"/>
      <c r="L875" s="7"/>
    </row>
    <row r="876" spans="8:12" hidden="1" x14ac:dyDescent="0.25">
      <c r="H876" s="6"/>
      <c r="I876" s="4"/>
      <c r="J876" s="4"/>
      <c r="L876" s="7"/>
    </row>
    <row r="877" spans="8:12" hidden="1" x14ac:dyDescent="0.25">
      <c r="H877" s="6"/>
      <c r="I877" s="4"/>
      <c r="J877" s="4"/>
      <c r="L877" s="7"/>
    </row>
    <row r="878" spans="8:12" hidden="1" x14ac:dyDescent="0.25">
      <c r="H878" s="6"/>
      <c r="I878" s="4"/>
      <c r="J878" s="4"/>
      <c r="L878" s="7"/>
    </row>
    <row r="879" spans="8:12" hidden="1" x14ac:dyDescent="0.25">
      <c r="H879" s="6"/>
      <c r="I879" s="4"/>
      <c r="J879" s="4"/>
      <c r="L879" s="7"/>
    </row>
    <row r="880" spans="8:12" hidden="1" x14ac:dyDescent="0.25">
      <c r="H880" s="6"/>
      <c r="I880" s="4"/>
      <c r="J880" s="4"/>
      <c r="L880" s="7"/>
    </row>
    <row r="881" spans="8:12" hidden="1" x14ac:dyDescent="0.25">
      <c r="H881" s="6"/>
      <c r="I881" s="4"/>
      <c r="J881" s="4"/>
      <c r="L881" s="7"/>
    </row>
    <row r="882" spans="8:12" hidden="1" x14ac:dyDescent="0.25">
      <c r="H882" s="6"/>
      <c r="I882" s="4"/>
      <c r="J882" s="4"/>
      <c r="L882" s="7"/>
    </row>
    <row r="883" spans="8:12" hidden="1" x14ac:dyDescent="0.25">
      <c r="H883" s="6"/>
      <c r="I883" s="4"/>
      <c r="J883" s="4"/>
      <c r="L883" s="7"/>
    </row>
    <row r="884" spans="8:12" hidden="1" x14ac:dyDescent="0.25">
      <c r="H884" s="6"/>
      <c r="I884" s="4"/>
      <c r="J884" s="4"/>
      <c r="L884" s="7"/>
    </row>
    <row r="885" spans="8:12" hidden="1" x14ac:dyDescent="0.25">
      <c r="H885" s="6"/>
      <c r="I885" s="4"/>
      <c r="J885" s="4"/>
      <c r="L885" s="7"/>
    </row>
    <row r="886" spans="8:12" hidden="1" x14ac:dyDescent="0.25">
      <c r="H886" s="6"/>
      <c r="I886" s="4"/>
      <c r="J886" s="4"/>
      <c r="L886" s="7"/>
    </row>
    <row r="887" spans="8:12" hidden="1" x14ac:dyDescent="0.25">
      <c r="H887" s="6"/>
      <c r="I887" s="4"/>
      <c r="J887" s="4"/>
      <c r="L887" s="7"/>
    </row>
    <row r="888" spans="8:12" hidden="1" x14ac:dyDescent="0.25">
      <c r="H888" s="6"/>
      <c r="I888" s="4"/>
      <c r="J888" s="4"/>
      <c r="L888" s="7"/>
    </row>
    <row r="889" spans="8:12" hidden="1" x14ac:dyDescent="0.25">
      <c r="H889" s="6"/>
      <c r="I889" s="4"/>
      <c r="J889" s="4"/>
      <c r="L889" s="7"/>
    </row>
    <row r="890" spans="8:12" hidden="1" x14ac:dyDescent="0.25">
      <c r="H890" s="6"/>
      <c r="I890" s="4"/>
      <c r="J890" s="4"/>
      <c r="L890" s="7"/>
    </row>
    <row r="891" spans="8:12" hidden="1" x14ac:dyDescent="0.25">
      <c r="H891" s="6"/>
      <c r="I891" s="4"/>
      <c r="J891" s="4"/>
      <c r="L891" s="7"/>
    </row>
    <row r="892" spans="8:12" hidden="1" x14ac:dyDescent="0.25">
      <c r="H892" s="6"/>
      <c r="I892" s="4"/>
      <c r="J892" s="4"/>
      <c r="L892" s="7"/>
    </row>
    <row r="893" spans="8:12" hidden="1" x14ac:dyDescent="0.25">
      <c r="H893" s="6"/>
      <c r="I893" s="4"/>
      <c r="J893" s="4"/>
      <c r="L893" s="7"/>
    </row>
    <row r="894" spans="8:12" hidden="1" x14ac:dyDescent="0.25">
      <c r="H894" s="6"/>
      <c r="I894" s="4"/>
      <c r="J894" s="4"/>
      <c r="L894" s="7"/>
    </row>
    <row r="895" spans="8:12" hidden="1" x14ac:dyDescent="0.25">
      <c r="H895" s="6"/>
      <c r="I895" s="4"/>
      <c r="J895" s="4"/>
      <c r="L895" s="7"/>
    </row>
    <row r="896" spans="8:12" hidden="1" x14ac:dyDescent="0.25">
      <c r="H896" s="6"/>
      <c r="I896" s="4"/>
      <c r="J896" s="4"/>
      <c r="L896" s="7"/>
    </row>
    <row r="897" spans="8:12" hidden="1" x14ac:dyDescent="0.25">
      <c r="H897" s="6"/>
      <c r="I897" s="4"/>
      <c r="J897" s="4"/>
      <c r="L897" s="7"/>
    </row>
    <row r="898" spans="8:12" hidden="1" x14ac:dyDescent="0.25">
      <c r="H898" s="6"/>
      <c r="I898" s="4"/>
      <c r="J898" s="4"/>
      <c r="L898" s="7"/>
    </row>
    <row r="899" spans="8:12" hidden="1" x14ac:dyDescent="0.25">
      <c r="H899" s="6"/>
      <c r="I899" s="4"/>
      <c r="J899" s="4"/>
      <c r="L899" s="7"/>
    </row>
    <row r="900" spans="8:12" hidden="1" x14ac:dyDescent="0.25">
      <c r="H900" s="6"/>
      <c r="I900" s="4"/>
      <c r="J900" s="4"/>
      <c r="L900" s="7"/>
    </row>
    <row r="901" spans="8:12" hidden="1" x14ac:dyDescent="0.25">
      <c r="H901" s="6"/>
      <c r="I901" s="4"/>
      <c r="J901" s="4"/>
      <c r="L901" s="7"/>
    </row>
    <row r="902" spans="8:12" hidden="1" x14ac:dyDescent="0.25">
      <c r="H902" s="6"/>
      <c r="I902" s="4"/>
      <c r="J902" s="4"/>
      <c r="L902" s="7"/>
    </row>
    <row r="903" spans="8:12" hidden="1" x14ac:dyDescent="0.25">
      <c r="H903" s="6"/>
      <c r="I903" s="4"/>
      <c r="J903" s="4"/>
      <c r="L903" s="7"/>
    </row>
    <row r="904" spans="8:12" hidden="1" x14ac:dyDescent="0.25">
      <c r="H904" s="6"/>
      <c r="I904" s="4"/>
      <c r="J904" s="4"/>
      <c r="L904" s="7"/>
    </row>
    <row r="905" spans="8:12" hidden="1" x14ac:dyDescent="0.25">
      <c r="H905" s="6"/>
      <c r="I905" s="4"/>
      <c r="J905" s="4"/>
      <c r="L905" s="7"/>
    </row>
    <row r="906" spans="8:12" hidden="1" x14ac:dyDescent="0.25">
      <c r="H906" s="6"/>
      <c r="I906" s="4"/>
      <c r="J906" s="4"/>
      <c r="L906" s="7"/>
    </row>
    <row r="907" spans="8:12" hidden="1" x14ac:dyDescent="0.25">
      <c r="H907" s="6"/>
      <c r="I907" s="4"/>
      <c r="J907" s="4"/>
      <c r="L907" s="7"/>
    </row>
    <row r="908" spans="8:12" hidden="1" x14ac:dyDescent="0.25">
      <c r="H908" s="6"/>
      <c r="I908" s="4"/>
      <c r="J908" s="4"/>
      <c r="L908" s="7"/>
    </row>
    <row r="909" spans="8:12" hidden="1" x14ac:dyDescent="0.25">
      <c r="H909" s="6"/>
      <c r="I909" s="4"/>
      <c r="J909" s="4"/>
      <c r="L909" s="7"/>
    </row>
    <row r="910" spans="8:12" hidden="1" x14ac:dyDescent="0.25">
      <c r="H910" s="6"/>
      <c r="I910" s="4"/>
      <c r="J910" s="4"/>
      <c r="L910" s="7"/>
    </row>
    <row r="911" spans="8:12" hidden="1" x14ac:dyDescent="0.25">
      <c r="H911" s="6"/>
      <c r="I911" s="4"/>
      <c r="J911" s="4"/>
      <c r="L911" s="7"/>
    </row>
    <row r="912" spans="8:12" hidden="1" x14ac:dyDescent="0.25">
      <c r="H912" s="6"/>
      <c r="I912" s="4"/>
      <c r="J912" s="4"/>
      <c r="L912" s="7"/>
    </row>
    <row r="913" spans="8:12" hidden="1" x14ac:dyDescent="0.25">
      <c r="H913" s="6"/>
      <c r="I913" s="4"/>
      <c r="J913" s="4"/>
      <c r="L913" s="7"/>
    </row>
    <row r="914" spans="8:12" hidden="1" x14ac:dyDescent="0.25">
      <c r="H914" s="6"/>
      <c r="I914" s="4"/>
      <c r="J914" s="4"/>
      <c r="L914" s="7"/>
    </row>
    <row r="915" spans="8:12" hidden="1" x14ac:dyDescent="0.25">
      <c r="H915" s="6"/>
      <c r="I915" s="4"/>
      <c r="J915" s="4"/>
      <c r="L915" s="7"/>
    </row>
    <row r="916" spans="8:12" hidden="1" x14ac:dyDescent="0.25">
      <c r="H916" s="6"/>
      <c r="I916" s="4"/>
      <c r="J916" s="4"/>
      <c r="L916" s="7"/>
    </row>
    <row r="917" spans="8:12" hidden="1" x14ac:dyDescent="0.25">
      <c r="H917" s="6"/>
      <c r="I917" s="4"/>
      <c r="J917" s="4"/>
      <c r="L917" s="7"/>
    </row>
    <row r="918" spans="8:12" hidden="1" x14ac:dyDescent="0.25">
      <c r="H918" s="6"/>
      <c r="I918" s="4"/>
      <c r="J918" s="4"/>
      <c r="L918" s="7"/>
    </row>
    <row r="919" spans="8:12" hidden="1" x14ac:dyDescent="0.25">
      <c r="H919" s="6"/>
      <c r="I919" s="4"/>
      <c r="J919" s="4"/>
      <c r="L919" s="7"/>
    </row>
    <row r="920" spans="8:12" hidden="1" x14ac:dyDescent="0.25">
      <c r="H920" s="6"/>
      <c r="I920" s="4"/>
      <c r="J920" s="4"/>
      <c r="L920" s="7"/>
    </row>
    <row r="921" spans="8:12" hidden="1" x14ac:dyDescent="0.25">
      <c r="H921" s="6"/>
      <c r="I921" s="4"/>
      <c r="J921" s="4"/>
      <c r="L921" s="7"/>
    </row>
    <row r="922" spans="8:12" hidden="1" x14ac:dyDescent="0.25">
      <c r="H922" s="6"/>
      <c r="I922" s="4"/>
      <c r="J922" s="4"/>
      <c r="L922" s="7"/>
    </row>
    <row r="923" spans="8:12" hidden="1" x14ac:dyDescent="0.25">
      <c r="H923" s="6"/>
      <c r="I923" s="4"/>
      <c r="J923" s="4"/>
      <c r="L923" s="7"/>
    </row>
    <row r="924" spans="8:12" hidden="1" x14ac:dyDescent="0.25">
      <c r="H924" s="6"/>
      <c r="I924" s="4"/>
      <c r="J924" s="4"/>
      <c r="L924" s="7"/>
    </row>
    <row r="925" spans="8:12" hidden="1" x14ac:dyDescent="0.25">
      <c r="H925" s="6"/>
      <c r="I925" s="4"/>
      <c r="J925" s="4"/>
      <c r="L925" s="7"/>
    </row>
    <row r="926" spans="8:12" hidden="1" x14ac:dyDescent="0.25">
      <c r="H926" s="6"/>
      <c r="I926" s="4"/>
      <c r="J926" s="4"/>
      <c r="L926" s="7"/>
    </row>
    <row r="927" spans="8:12" hidden="1" x14ac:dyDescent="0.25">
      <c r="H927" s="6"/>
      <c r="I927" s="4"/>
      <c r="J927" s="4"/>
      <c r="L927" s="7"/>
    </row>
    <row r="928" spans="8:12" hidden="1" x14ac:dyDescent="0.25">
      <c r="H928" s="6"/>
      <c r="I928" s="4"/>
      <c r="J928" s="4"/>
      <c r="L928" s="7"/>
    </row>
    <row r="929" spans="8:12" hidden="1" x14ac:dyDescent="0.25">
      <c r="H929" s="6"/>
      <c r="I929" s="4"/>
      <c r="J929" s="4"/>
      <c r="L929" s="7"/>
    </row>
    <row r="930" spans="8:12" hidden="1" x14ac:dyDescent="0.25">
      <c r="H930" s="6"/>
      <c r="I930" s="4"/>
      <c r="J930" s="4"/>
      <c r="L930" s="7"/>
    </row>
    <row r="931" spans="8:12" hidden="1" x14ac:dyDescent="0.25">
      <c r="H931" s="6"/>
      <c r="I931" s="4"/>
      <c r="J931" s="4"/>
      <c r="L931" s="7"/>
    </row>
    <row r="932" spans="8:12" hidden="1" x14ac:dyDescent="0.25">
      <c r="H932" s="6"/>
      <c r="I932" s="4"/>
      <c r="J932" s="4"/>
      <c r="L932" s="7"/>
    </row>
    <row r="933" spans="8:12" hidden="1" x14ac:dyDescent="0.25">
      <c r="H933" s="6"/>
      <c r="I933" s="4"/>
      <c r="J933" s="4"/>
      <c r="L933" s="7"/>
    </row>
    <row r="934" spans="8:12" hidden="1" x14ac:dyDescent="0.25">
      <c r="H934" s="6"/>
      <c r="I934" s="4"/>
      <c r="J934" s="4"/>
      <c r="L934" s="7"/>
    </row>
    <row r="935" spans="8:12" hidden="1" x14ac:dyDescent="0.25">
      <c r="H935" s="6"/>
      <c r="I935" s="4"/>
      <c r="J935" s="4"/>
      <c r="L935" s="7"/>
    </row>
    <row r="936" spans="8:12" hidden="1" x14ac:dyDescent="0.25">
      <c r="H936" s="6"/>
      <c r="I936" s="4"/>
      <c r="J936" s="4"/>
      <c r="L936" s="7"/>
    </row>
    <row r="937" spans="8:12" hidden="1" x14ac:dyDescent="0.25">
      <c r="H937" s="6"/>
      <c r="I937" s="4"/>
      <c r="J937" s="4"/>
      <c r="L937" s="7"/>
    </row>
    <row r="938" spans="8:12" hidden="1" x14ac:dyDescent="0.25">
      <c r="H938" s="6"/>
      <c r="I938" s="4"/>
      <c r="J938" s="4"/>
      <c r="L938" s="7"/>
    </row>
    <row r="939" spans="8:12" hidden="1" x14ac:dyDescent="0.25">
      <c r="H939" s="6"/>
      <c r="I939" s="4"/>
      <c r="J939" s="4"/>
      <c r="L939" s="7"/>
    </row>
    <row r="940" spans="8:12" hidden="1" x14ac:dyDescent="0.25">
      <c r="H940" s="6"/>
      <c r="I940" s="4"/>
      <c r="J940" s="4"/>
      <c r="L940" s="7"/>
    </row>
    <row r="941" spans="8:12" hidden="1" x14ac:dyDescent="0.25">
      <c r="H941" s="6"/>
      <c r="I941" s="4"/>
      <c r="J941" s="4"/>
      <c r="L941" s="7"/>
    </row>
    <row r="942" spans="8:12" hidden="1" x14ac:dyDescent="0.25">
      <c r="H942" s="6"/>
      <c r="I942" s="4"/>
      <c r="J942" s="4"/>
      <c r="L942" s="7"/>
    </row>
    <row r="943" spans="8:12" hidden="1" x14ac:dyDescent="0.25">
      <c r="H943" s="6"/>
      <c r="I943" s="4"/>
      <c r="J943" s="4"/>
      <c r="L943" s="7"/>
    </row>
    <row r="944" spans="8:12" hidden="1" x14ac:dyDescent="0.25">
      <c r="H944" s="6"/>
      <c r="I944" s="4"/>
      <c r="J944" s="4"/>
      <c r="L944" s="7"/>
    </row>
    <row r="945" spans="8:12" hidden="1" x14ac:dyDescent="0.25">
      <c r="H945" s="6"/>
      <c r="I945" s="4"/>
      <c r="J945" s="4"/>
      <c r="L945" s="7"/>
    </row>
    <row r="946" spans="8:12" hidden="1" x14ac:dyDescent="0.25">
      <c r="H946" s="6"/>
      <c r="I946" s="4"/>
      <c r="J946" s="4"/>
      <c r="L946" s="7"/>
    </row>
    <row r="947" spans="8:12" hidden="1" x14ac:dyDescent="0.25">
      <c r="H947" s="6"/>
      <c r="I947" s="4"/>
      <c r="J947" s="4"/>
      <c r="L947" s="7"/>
    </row>
    <row r="948" spans="8:12" hidden="1" x14ac:dyDescent="0.25">
      <c r="H948" s="6"/>
      <c r="I948" s="4"/>
      <c r="J948" s="4"/>
      <c r="L948" s="7"/>
    </row>
    <row r="949" spans="8:12" hidden="1" x14ac:dyDescent="0.25">
      <c r="H949" s="6"/>
      <c r="I949" s="4"/>
      <c r="J949" s="4"/>
      <c r="L949" s="7"/>
    </row>
    <row r="950" spans="8:12" hidden="1" x14ac:dyDescent="0.25">
      <c r="H950" s="6"/>
      <c r="I950" s="4"/>
      <c r="J950" s="4"/>
      <c r="L950" s="7"/>
    </row>
    <row r="951" spans="8:12" hidden="1" x14ac:dyDescent="0.25">
      <c r="H951" s="6"/>
      <c r="I951" s="4"/>
      <c r="J951" s="4"/>
      <c r="L951" s="7"/>
    </row>
    <row r="952" spans="8:12" hidden="1" x14ac:dyDescent="0.25">
      <c r="H952" s="6"/>
      <c r="I952" s="4"/>
      <c r="J952" s="4"/>
      <c r="L952" s="7"/>
    </row>
    <row r="953" spans="8:12" hidden="1" x14ac:dyDescent="0.25">
      <c r="H953" s="6"/>
      <c r="I953" s="4"/>
      <c r="J953" s="4"/>
      <c r="L953" s="7"/>
    </row>
    <row r="954" spans="8:12" hidden="1" x14ac:dyDescent="0.25">
      <c r="H954" s="6"/>
      <c r="I954" s="4"/>
      <c r="J954" s="4"/>
      <c r="L954" s="7"/>
    </row>
    <row r="955" spans="8:12" hidden="1" x14ac:dyDescent="0.25">
      <c r="H955" s="6"/>
      <c r="I955" s="4"/>
      <c r="J955" s="4"/>
      <c r="L955" s="7"/>
    </row>
    <row r="956" spans="8:12" hidden="1" x14ac:dyDescent="0.25">
      <c r="H956" s="6"/>
      <c r="I956" s="4"/>
      <c r="J956" s="4"/>
      <c r="L956" s="7"/>
    </row>
    <row r="957" spans="8:12" hidden="1" x14ac:dyDescent="0.25">
      <c r="H957" s="6"/>
      <c r="I957" s="4"/>
      <c r="J957" s="4"/>
      <c r="L957" s="7"/>
    </row>
    <row r="958" spans="8:12" hidden="1" x14ac:dyDescent="0.25">
      <c r="H958" s="6"/>
      <c r="I958" s="4"/>
      <c r="J958" s="4"/>
      <c r="L958" s="7"/>
    </row>
    <row r="959" spans="8:12" hidden="1" x14ac:dyDescent="0.25">
      <c r="H959" s="6"/>
      <c r="I959" s="4"/>
      <c r="J959" s="4"/>
      <c r="L959" s="7"/>
    </row>
    <row r="960" spans="8:12" hidden="1" x14ac:dyDescent="0.25">
      <c r="H960" s="6"/>
      <c r="I960" s="4"/>
      <c r="J960" s="4"/>
      <c r="L960" s="7"/>
    </row>
    <row r="961" spans="8:12" hidden="1" x14ac:dyDescent="0.25">
      <c r="H961" s="6"/>
      <c r="I961" s="4"/>
      <c r="J961" s="4"/>
      <c r="L961" s="7"/>
    </row>
    <row r="962" spans="8:12" hidden="1" x14ac:dyDescent="0.25">
      <c r="H962" s="6"/>
      <c r="I962" s="4"/>
      <c r="J962" s="4"/>
      <c r="L962" s="7"/>
    </row>
    <row r="963" spans="8:12" hidden="1" x14ac:dyDescent="0.25">
      <c r="H963" s="6"/>
      <c r="I963" s="4"/>
      <c r="J963" s="4"/>
      <c r="L963" s="7"/>
    </row>
    <row r="964" spans="8:12" hidden="1" x14ac:dyDescent="0.25">
      <c r="H964" s="6"/>
      <c r="I964" s="4"/>
      <c r="J964" s="4"/>
      <c r="L964" s="7"/>
    </row>
    <row r="965" spans="8:12" hidden="1" x14ac:dyDescent="0.25">
      <c r="H965" s="6"/>
      <c r="I965" s="4"/>
      <c r="J965" s="4"/>
      <c r="L965" s="7"/>
    </row>
    <row r="966" spans="8:12" hidden="1" x14ac:dyDescent="0.25">
      <c r="H966" s="6"/>
      <c r="I966" s="4"/>
      <c r="J966" s="4"/>
      <c r="L966" s="7"/>
    </row>
    <row r="967" spans="8:12" hidden="1" x14ac:dyDescent="0.25">
      <c r="H967" s="6"/>
      <c r="I967" s="4"/>
      <c r="J967" s="4"/>
      <c r="L967" s="7"/>
    </row>
    <row r="968" spans="8:12" hidden="1" x14ac:dyDescent="0.25">
      <c r="H968" s="6"/>
      <c r="I968" s="4"/>
      <c r="J968" s="4"/>
      <c r="L968" s="7"/>
    </row>
    <row r="969" spans="8:12" hidden="1" x14ac:dyDescent="0.25">
      <c r="I969" s="4"/>
      <c r="J969" s="4"/>
      <c r="L969" s="7"/>
    </row>
    <row r="970" spans="8:12" hidden="1" x14ac:dyDescent="0.25">
      <c r="I970" s="4"/>
      <c r="J970" s="4"/>
      <c r="L970" s="7"/>
    </row>
    <row r="971" spans="8:12" hidden="1" x14ac:dyDescent="0.25">
      <c r="I971" s="4"/>
      <c r="J971" s="4"/>
      <c r="L971" s="7"/>
    </row>
    <row r="972" spans="8:12" hidden="1" x14ac:dyDescent="0.25">
      <c r="I972" s="4"/>
      <c r="J972" s="4"/>
      <c r="L972" s="7"/>
    </row>
    <row r="973" spans="8:12" hidden="1" x14ac:dyDescent="0.25">
      <c r="I973" s="4"/>
      <c r="J973" s="4"/>
      <c r="L973" s="7"/>
    </row>
    <row r="974" spans="8:12" hidden="1" x14ac:dyDescent="0.25">
      <c r="I974" s="4"/>
      <c r="J974" s="4"/>
      <c r="L974" s="7"/>
    </row>
    <row r="975" spans="8:12" hidden="1" x14ac:dyDescent="0.25">
      <c r="I975" s="4"/>
      <c r="J975" s="4"/>
      <c r="L975" s="7"/>
    </row>
    <row r="976" spans="8:12" hidden="1" x14ac:dyDescent="0.25">
      <c r="I976" s="4"/>
      <c r="J976" s="4"/>
      <c r="L976" s="7"/>
    </row>
    <row r="977" spans="9:12" hidden="1" x14ac:dyDescent="0.25">
      <c r="I977" s="4"/>
      <c r="J977" s="4"/>
      <c r="L977" s="7"/>
    </row>
    <row r="978" spans="9:12" hidden="1" x14ac:dyDescent="0.25"/>
    <row r="979" spans="9:12" hidden="1" x14ac:dyDescent="0.25"/>
    <row r="980" spans="9:12" hidden="1" x14ac:dyDescent="0.25"/>
  </sheetData>
  <sortState ref="A11:G630">
    <sortCondition ref="A11:A630"/>
    <sortCondition ref="B11:B630"/>
  </sortState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Instructions</vt:lpstr>
      <vt:lpstr>Report</vt:lpstr>
      <vt:lpstr>HoursPer</vt:lpstr>
      <vt:lpstr>District</vt:lpstr>
      <vt:lpstr>HoursPer</vt:lpstr>
      <vt:lpstr>Report!Print_Titles</vt:lpstr>
      <vt:lpstr>HoursPer!Query_from_Databridge</vt:lpstr>
      <vt:lpstr>TitleRegion1.a2.b41.1</vt:lpstr>
      <vt:lpstr>TitleRegion1.a2.g609.3</vt:lpstr>
      <vt:lpstr>TitleRegion1.a3.u175.2</vt:lpstr>
      <vt:lpstr>TitleRegion2.x9.an28.2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BOBP;Minnesota Department of Education</dc:creator>
  <cp:lastModifiedBy>McDonald, Gloriann</cp:lastModifiedBy>
  <cp:lastPrinted>2007-09-17T20:43:52Z</cp:lastPrinted>
  <dcterms:created xsi:type="dcterms:W3CDTF">2007-08-29T14:57:07Z</dcterms:created>
  <dcterms:modified xsi:type="dcterms:W3CDTF">2014-10-08T18:01:04Z</dcterms:modified>
</cp:coreProperties>
</file>