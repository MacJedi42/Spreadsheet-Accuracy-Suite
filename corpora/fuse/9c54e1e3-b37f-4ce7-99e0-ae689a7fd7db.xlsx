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workbookProtection workbookPassword="D3BF" lockStructure="1"/>
  <bookViews>
    <workbookView xWindow="0" yWindow="0" windowWidth="17055" windowHeight="11205"/>
  </bookViews>
  <sheets>
    <sheet name="Petition" sheetId="2" r:id="rId1"/>
    <sheet name="Worksheet" sheetId="3" r:id="rId2"/>
  </sheets>
  <calcPr calcId="145621" concurrentCalc="0"/>
</workbook>
</file>

<file path=xl/calcChain.xml><?xml version="1.0" encoding="utf-8"?>
<calcChain xmlns="http://schemas.openxmlformats.org/spreadsheetml/2006/main">
  <c r="I31" i="2" l="1"/>
  <c r="H31" i="2"/>
  <c r="I30" i="2"/>
  <c r="I16" i="3"/>
  <c r="I29" i="2"/>
  <c r="H29" i="2"/>
  <c r="G29" i="2"/>
  <c r="I17" i="2"/>
  <c r="H17" i="2"/>
  <c r="G17" i="2"/>
  <c r="I18" i="2"/>
  <c r="H18" i="2"/>
  <c r="G18" i="2"/>
  <c r="I35" i="2"/>
  <c r="I26" i="2"/>
  <c r="I12" i="2"/>
  <c r="H35" i="2"/>
  <c r="G35" i="2"/>
  <c r="H26" i="2"/>
  <c r="G26" i="2"/>
  <c r="I23" i="2"/>
  <c r="H23" i="2"/>
  <c r="H12" i="2"/>
  <c r="G23" i="2"/>
  <c r="G12" i="2"/>
  <c r="I8" i="3"/>
  <c r="H16" i="3"/>
  <c r="I16" i="2"/>
  <c r="H16" i="2"/>
  <c r="I14" i="2"/>
  <c r="H14" i="2"/>
  <c r="G14" i="2"/>
  <c r="G16" i="2"/>
  <c r="I19" i="2"/>
  <c r="H19" i="2"/>
  <c r="G19" i="2"/>
  <c r="I21" i="2"/>
  <c r="H21" i="2"/>
  <c r="G21" i="2"/>
  <c r="H33" i="3"/>
  <c r="I33" i="3"/>
  <c r="I22" i="2"/>
  <c r="H22" i="2"/>
  <c r="G22" i="2"/>
  <c r="I46" i="3"/>
  <c r="I25" i="2"/>
  <c r="H25" i="2"/>
  <c r="G25" i="2"/>
  <c r="H30" i="2"/>
  <c r="G30" i="2"/>
  <c r="G31" i="2"/>
  <c r="I32" i="2"/>
  <c r="H32" i="2"/>
  <c r="G32" i="2"/>
  <c r="H34" i="2"/>
  <c r="I34" i="2"/>
  <c r="G34" i="2"/>
  <c r="G37" i="2"/>
  <c r="H37" i="2"/>
  <c r="I37" i="2"/>
  <c r="I38" i="2"/>
  <c r="D38" i="2"/>
  <c r="H46" i="3"/>
  <c r="F33" i="3"/>
</calcChain>
</file>

<file path=xl/sharedStrings.xml><?xml version="1.0" encoding="utf-8"?>
<sst xmlns="http://schemas.openxmlformats.org/spreadsheetml/2006/main" count="215" uniqueCount="198">
  <si>
    <t>Objective</t>
  </si>
  <si>
    <t>Yes</t>
  </si>
  <si>
    <t>No</t>
  </si>
  <si>
    <t>Scouting's Journey to Excellence</t>
  </si>
  <si>
    <t>Region</t>
  </si>
  <si>
    <t>Section</t>
  </si>
  <si>
    <t>Finance</t>
  </si>
  <si>
    <t>Membership</t>
  </si>
  <si>
    <t>Program</t>
  </si>
  <si>
    <t>Total achieved</t>
  </si>
  <si>
    <t>Grand total</t>
  </si>
  <si>
    <t xml:space="preserve">Journey to Excellence, the new performance recognition program adopted by the BSA in 2011, changes the basic way we measure and recognize success by moving away from measuring process and toward measuring performance. To be aligned with the BSA and to capitalize on this best practice used in the corporate performance measurement field today, the Order of the Arrow is adopting the Journey to Excellence format to evaluate lodge performance and evaluate opportunities for continuous improvement. Below is specific information to help you understand the criteria and exactly what data will be used to determine the three levels of performance. In planning your strategy, use actual numbers from the previous year to guide your performance improvement goal-planning. </t>
  </si>
  <si>
    <t>Note: In cases where an individual criterion states for example “Achieve 60% retention or a 4% increase over 50” the award level can only be achieved in reference to the previous year’s performance in that area. In this example, if the lodge achieved 50% retention in the previous year, achieving 54% would be required to qualify them in this area in the current year. If they then achieved 54% in the current year, they would have to achieve at least 58% in the next year to qualify.</t>
  </si>
  <si>
    <t>Contribute an average  of $2.00 per lodge member</t>
  </si>
  <si>
    <t>Contribute the equivalent of $3.50 per lodge member</t>
  </si>
  <si>
    <t>Contribute the equivalent of $5.00 per lodge member</t>
  </si>
  <si>
    <t>Close the year with a positive operating balance (i.e., operate in the black)</t>
  </si>
  <si>
    <t xml:space="preserve">Close with an operating balance at least as great as your budget projection </t>
  </si>
  <si>
    <t xml:space="preserve">Written report submitted </t>
  </si>
  <si>
    <t>Achieve at least 85% of eligible members trained or 3% over 80%</t>
  </si>
  <si>
    <t>Achieve at least 80% of eligible members trained or 3% over 75%</t>
  </si>
  <si>
    <t>Achieve at least 75% of eligible members trained or 3% increase</t>
  </si>
  <si>
    <r>
      <t>Council program support:</t>
    </r>
    <r>
      <rPr>
        <sz val="8"/>
        <color indexed="8"/>
        <rFont val="Calibri"/>
        <family val="2"/>
      </rPr>
      <t xml:space="preserve">  Provide OA member staff support for council and district program events.</t>
    </r>
  </si>
  <si>
    <t>Complete one project</t>
  </si>
  <si>
    <t>Complete two projects</t>
  </si>
  <si>
    <t>Complete three projects</t>
  </si>
  <si>
    <t>Support 2 council or district events</t>
  </si>
  <si>
    <t>Support 3 council or district events</t>
  </si>
  <si>
    <t>Support 5 council or district events</t>
  </si>
  <si>
    <t>Complete contacts to at least 75% of units or 3% increase</t>
  </si>
  <si>
    <t>Complete contacts to at least 80% of units or 3% increase over 75%</t>
  </si>
  <si>
    <t>Complete contacts to at least 85% of units or 3% increase over 80%</t>
  </si>
  <si>
    <t>Complete project(s) equal to at least 2 hours of service per lodge member</t>
  </si>
  <si>
    <t>Complete project(s) equal to at least 2.5 hours of service per lodge member</t>
  </si>
  <si>
    <t>Complete project(s) equal to at least 3 hours of service per lodge member</t>
  </si>
  <si>
    <t>Conduct an annual review and update of your plan in conjunction with a review of the Council Strategic Plan</t>
  </si>
  <si>
    <t>Have an annual meeting with the Scout Executive to review your updated plan</t>
  </si>
  <si>
    <r>
      <t>Lodge event participation:</t>
    </r>
    <r>
      <rPr>
        <sz val="8"/>
        <color indexed="8"/>
        <rFont val="Calibri"/>
        <family val="2"/>
      </rPr>
      <t xml:space="preserve"> Improve lodge membership participation at full lodge events.</t>
    </r>
  </si>
  <si>
    <r>
      <t xml:space="preserve">Lodge communications: </t>
    </r>
    <r>
      <rPr>
        <sz val="8"/>
        <color indexed="8"/>
        <rFont val="Calibri"/>
        <family val="2"/>
      </rPr>
      <t xml:space="preserve"> Maintain active communications within the lodge.</t>
    </r>
  </si>
  <si>
    <r>
      <t xml:space="preserve">Section and national event attendance: </t>
    </r>
    <r>
      <rPr>
        <sz val="8"/>
        <color indexed="8"/>
        <rFont val="Calibri"/>
        <family val="2"/>
      </rPr>
      <t xml:space="preserve"> Attend section and national events.</t>
    </r>
  </si>
  <si>
    <t>Complete elections for at least 90% of requesting units</t>
  </si>
  <si>
    <t>Complete elections for at least 95% of requesting units</t>
  </si>
  <si>
    <t>Complete elections for 100% of requesting units</t>
  </si>
  <si>
    <t>Set and achieve  a  lodge attendance goal at scheduled section &amp; national events</t>
  </si>
  <si>
    <t>Exceed the lodge attendance goal  by 10%</t>
  </si>
  <si>
    <t>Exceed the lodge attendance goal  by 20%</t>
  </si>
  <si>
    <t>Have and follow a written lodge communication plan</t>
  </si>
  <si>
    <t>Publish a lodge newsletter or update your lodge web site at least quarterly</t>
  </si>
  <si>
    <t>Average at least 10% of lodge membership at all lodge events</t>
  </si>
  <si>
    <t>Average at least 20% of lodge membership at all lodge events</t>
  </si>
  <si>
    <t>Average at least 30% of lodge membership at all lodge events</t>
  </si>
  <si>
    <r>
      <t>Membership retention:</t>
    </r>
    <r>
      <rPr>
        <sz val="8"/>
        <color indexed="8"/>
        <rFont val="Calibri"/>
        <family val="2"/>
      </rPr>
      <t xml:space="preserve">  Improve retention rate of lodge members.</t>
    </r>
  </si>
  <si>
    <t>Grow membership by at least 1</t>
  </si>
  <si>
    <t xml:space="preserve">Grow membership by at least 1% </t>
  </si>
  <si>
    <t xml:space="preserve">Grow membership by at least 3% </t>
  </si>
  <si>
    <t>Complete induction of at least 60% of Ordeal candidates or 5% increase</t>
  </si>
  <si>
    <t xml:space="preserve">Complete induction of at least 75% of Ordeal candidates or 5% increase over 60% </t>
  </si>
  <si>
    <t>Complete induction of at least 90% of Ordeal candidates or 5% increase over 75%</t>
  </si>
  <si>
    <t>Convert at least 30% or 5% increase over prior year</t>
  </si>
  <si>
    <t>Convert at least 40% or 3% increase over 30%</t>
  </si>
  <si>
    <t>Convert at least 50% or 3% increase over 40%</t>
  </si>
  <si>
    <t>Achieve 50%  or a 4% increase over prior year</t>
  </si>
  <si>
    <t>Achieve 60% or a 4% increase over 50%</t>
  </si>
  <si>
    <t>Achieve 70% or a 5% increase over 60%</t>
  </si>
  <si>
    <t>Amplifying instructions keyed to item numbers above:</t>
  </si>
  <si>
    <t>7.    All troops and teams must have been contacted and given the opportunity to request an election.  Election teams must be trained, all team members in proper uniform during each unit election, and team members must be from units other than the one for which the election is being held.</t>
  </si>
  <si>
    <t xml:space="preserve">8.    Lodge representation at all national events is not required. The intent of this criterion is to encourage lodges to set and meet a goal for participation in as many national events as they can support. Attendance at an OA High Adventure program qualifies under this item. Recognizing that quotas to section and national events can vary from year to year, each year’s goal should be set such that the lodge leadership considers it more challenging than the previous year’s goal. </t>
  </si>
  <si>
    <t>10.  To determine lodge event participation, add the attendance of all events where all lodge members were invited to attend (e.g., fellowships and lodge banquets), then divide by the number of events to get an average attendance number. Divide that number by the total lodge membership to determine the overall average percent of the lodge in attendance.</t>
  </si>
  <si>
    <t>At least one adult and two youth are to attend a National Lodge Adviser Training Seminar (NLATS) and a National Leadership Seminar (NLS) respectively.</t>
  </si>
  <si>
    <t>Total</t>
  </si>
  <si>
    <t>Candidates elected</t>
  </si>
  <si>
    <t>Number requesting elections</t>
  </si>
  <si>
    <t>Elections conducted</t>
  </si>
  <si>
    <t>Section Conclave</t>
  </si>
  <si>
    <t>HQ City/State</t>
  </si>
  <si>
    <t>Dollar value of FOS contributions</t>
  </si>
  <si>
    <t>Event name</t>
  </si>
  <si>
    <t>Complete all shaded fields. Values will automatically be calculated and solved to Journey to Excellence petition</t>
  </si>
  <si>
    <t>Ordeal members</t>
  </si>
  <si>
    <t>Brotherhood members</t>
  </si>
  <si>
    <t>Vigil members</t>
  </si>
  <si>
    <t>Total lodge membership</t>
  </si>
  <si>
    <t>Unit contacts completed</t>
  </si>
  <si>
    <t>Event supported</t>
  </si>
  <si>
    <t>Project</t>
  </si>
  <si>
    <t>Average attendance</t>
  </si>
  <si>
    <t>Hours of service</t>
  </si>
  <si>
    <t>Ordeal inductions (this year)</t>
  </si>
  <si>
    <t>Brotherhood inductions (this year)</t>
  </si>
  <si>
    <t>LEC members (youth and adult)</t>
  </si>
  <si>
    <t>Number participating in LLD</t>
  </si>
  <si>
    <t>Vigil inductions (this year)</t>
  </si>
  <si>
    <t>Lodge annual dues</t>
  </si>
  <si>
    <t>Adult members</t>
  </si>
  <si>
    <t>Youth members (under 21)</t>
  </si>
  <si>
    <t>Award level:</t>
  </si>
  <si>
    <t>4,5</t>
  </si>
  <si>
    <t>3,5,10</t>
  </si>
  <si>
    <t>2,12</t>
  </si>
  <si>
    <t>7,13</t>
  </si>
  <si>
    <t>16.  LLD courses must be conducted with qualified instructors and using current LLD materials (see www.oa-bsa.org) to train lodge and chapter committee chairmen and their advisers. Eligible participants include elected and appointed youth mebers of the LEC and their advisers.</t>
  </si>
  <si>
    <t>*(cash and estimated value of material)</t>
  </si>
  <si>
    <t>Capital contributions*</t>
  </si>
  <si>
    <r>
      <t xml:space="preserve">Lodge and chapter leadership: </t>
    </r>
    <r>
      <rPr>
        <sz val="8"/>
        <color indexed="8"/>
        <rFont val="Calibri"/>
        <family val="2"/>
      </rPr>
      <t xml:space="preserve"> Conduct at least one LLD during the year with qualified instructors using current material.</t>
    </r>
  </si>
  <si>
    <r>
      <t xml:space="preserve">Council designated support: </t>
    </r>
    <r>
      <rPr>
        <sz val="8"/>
        <color indexed="8"/>
        <rFont val="Calibri"/>
        <family val="2"/>
      </rPr>
      <t>Complete Scout Executive designated program support projects.</t>
    </r>
  </si>
  <si>
    <r>
      <t>Brotherhood completion:</t>
    </r>
    <r>
      <rPr>
        <sz val="8"/>
        <color indexed="8"/>
        <rFont val="Calibri"/>
        <family val="2"/>
      </rPr>
      <t xml:space="preserve">  Convert eligible Ordeal members to Brotherhood. [</t>
    </r>
    <r>
      <rPr>
        <b/>
        <i/>
        <sz val="8"/>
        <color indexed="8"/>
        <rFont val="Calibri"/>
        <family val="2"/>
      </rPr>
      <t>REQUIRED</t>
    </r>
    <r>
      <rPr>
        <sz val="8"/>
        <color indexed="8"/>
        <rFont val="Calibri"/>
        <family val="2"/>
      </rPr>
      <t>]</t>
    </r>
  </si>
  <si>
    <r>
      <t xml:space="preserve">Ordeal completion: </t>
    </r>
    <r>
      <rPr>
        <sz val="8"/>
        <color indexed="8"/>
        <rFont val="Calibri"/>
        <family val="2"/>
      </rPr>
      <t>Complete induction of elected Ordeal candidates.</t>
    </r>
  </si>
  <si>
    <r>
      <t xml:space="preserve">Membership impact: </t>
    </r>
    <r>
      <rPr>
        <sz val="8"/>
        <color indexed="8"/>
        <rFont val="Calibri"/>
        <family val="2"/>
      </rPr>
      <t xml:space="preserve"> Experience positive growth in membership over the previous year. [</t>
    </r>
    <r>
      <rPr>
        <b/>
        <i/>
        <sz val="8"/>
        <color indexed="8"/>
        <rFont val="Calibri"/>
        <family val="2"/>
      </rPr>
      <t>REQUIRED</t>
    </r>
    <r>
      <rPr>
        <sz val="8"/>
        <color indexed="8"/>
        <rFont val="Calibri"/>
        <family val="2"/>
      </rPr>
      <t>]</t>
    </r>
  </si>
  <si>
    <r>
      <t xml:space="preserve">Fiscal management: </t>
    </r>
    <r>
      <rPr>
        <sz val="8"/>
        <color indexed="8"/>
        <rFont val="Calibri"/>
        <family val="2"/>
      </rPr>
      <t xml:space="preserve"> Develop and successfully execute a lodge annual budget.</t>
    </r>
  </si>
  <si>
    <r>
      <t>Council camping support:</t>
    </r>
    <r>
      <rPr>
        <sz val="8"/>
        <color indexed="8"/>
        <rFont val="Calibri"/>
        <family val="2"/>
      </rPr>
      <t xml:space="preserve"> Conduct camp promotion contacts  to council troops and teams.</t>
    </r>
  </si>
  <si>
    <r>
      <t>Council service projects:</t>
    </r>
    <r>
      <rPr>
        <sz val="8"/>
        <color indexed="8"/>
        <rFont val="Calibri"/>
        <family val="2"/>
      </rPr>
      <t xml:space="preserve"> Complete Scout Executive approved service project(s) on council property and in the community.</t>
    </r>
  </si>
  <si>
    <t>Scoring the Lodge's performance</t>
  </si>
  <si>
    <t>Council service</t>
  </si>
  <si>
    <t>Leadership and governance</t>
  </si>
  <si>
    <t>Bronze level</t>
  </si>
  <si>
    <t>Silver level</t>
  </si>
  <si>
    <t>Gold level</t>
  </si>
  <si>
    <t>Bronze points</t>
  </si>
  <si>
    <t>Silver points</t>
  </si>
  <si>
    <t>Gold points</t>
  </si>
  <si>
    <t>To qualify for silver or gold points within an individual criterion, a lodge must have completed the lower level criterion (e.g., to qualify for silver level in item number 1, a lodge must have completed the bronze level in that item)</t>
  </si>
  <si>
    <r>
      <rPr>
        <sz val="10"/>
        <color indexed="8"/>
        <rFont val="Calibri"/>
        <family val="2"/>
      </rPr>
      <t>Overall award levels are determined as follows using the grand total points earned:</t>
    </r>
    <r>
      <rPr>
        <b/>
        <sz val="10"/>
        <color indexed="8"/>
        <rFont val="Calibri Bold"/>
      </rPr>
      <t xml:space="preserve"> </t>
    </r>
  </si>
  <si>
    <r>
      <t xml:space="preserve">         - Bronze</t>
    </r>
    <r>
      <rPr>
        <sz val="9"/>
        <color indexed="8"/>
        <rFont val="Calibri"/>
        <family val="2"/>
      </rPr>
      <t xml:space="preserve"> = at least 800 grand total points plus have completed at least bronze performance in 10 criteria, two of which </t>
    </r>
    <r>
      <rPr>
        <u/>
        <sz val="9"/>
        <color indexed="8"/>
        <rFont val="Calibri"/>
        <family val="2"/>
      </rPr>
      <t>must</t>
    </r>
    <r>
      <rPr>
        <sz val="9"/>
        <color indexed="8"/>
        <rFont val="Calibri"/>
        <family val="2"/>
      </rPr>
      <t xml:space="preserve"> be objectives #3 and #5</t>
    </r>
  </si>
  <si>
    <r>
      <t xml:space="preserve">         - </t>
    </r>
    <r>
      <rPr>
        <b/>
        <sz val="9"/>
        <color indexed="8"/>
        <rFont val="Calibri"/>
        <family val="2"/>
      </rPr>
      <t>Silver</t>
    </r>
    <r>
      <rPr>
        <sz val="9"/>
        <color indexed="8"/>
        <rFont val="Calibri"/>
        <family val="2"/>
      </rPr>
      <t xml:space="preserve"> - at least 1100 grand total points plus have completed bronze performance, including items #3 and #5, in at least 12 criteria</t>
    </r>
  </si>
  <si>
    <r>
      <t xml:space="preserve">         - </t>
    </r>
    <r>
      <rPr>
        <b/>
        <sz val="9"/>
        <color indexed="8"/>
        <rFont val="Calibri"/>
        <family val="2"/>
      </rPr>
      <t>Gold</t>
    </r>
    <r>
      <rPr>
        <sz val="9"/>
        <color indexed="8"/>
        <rFont val="Calibri"/>
        <family val="2"/>
      </rPr>
      <t xml:space="preserve"> = at least 1400 grand total points plus have completed bronze performance, including items #3 and #5,  in at least 15 criteria</t>
    </r>
  </si>
  <si>
    <t>6.   To determine retention, take current year total membership less current year Ordeal inductions times 100 and then divide by prior year total membership. For example, ((2012 total membership less 2012 Ordeal inductions) x 100) ÷ (2011 total membership). All numbers are to be taken from the respective lodge charter renewal applications.</t>
  </si>
  <si>
    <t>The lodge Key 3 is to meet with the Scout Executive at least quarterly to discuss progress in the lodge.</t>
  </si>
  <si>
    <t>The lodge is to provide support to a minimum of ten Cub Scout crossover ceremonies.</t>
  </si>
  <si>
    <t>At least one lodge member is to attend an OA national high adventure program.</t>
  </si>
  <si>
    <t>The lodge is to recruit XX lodge members to serve as summer camp staff.</t>
  </si>
  <si>
    <t>Council number</t>
  </si>
  <si>
    <t>Council name</t>
  </si>
  <si>
    <t>Lodge name</t>
  </si>
  <si>
    <t>How many candidates completed their Ordeal? Sealed their Brotherhood? Kept the Vigil?</t>
  </si>
  <si>
    <t>National events</t>
  </si>
  <si>
    <t>How many troops/teams were contacted for camp promotion?</t>
  </si>
  <si>
    <t>How much did the lodge contribute in cash, materials and manpower to the council?</t>
  </si>
  <si>
    <t>Total troops/teams in the council</t>
  </si>
  <si>
    <t>OA High Adventure</t>
  </si>
  <si>
    <t>Of the troops/teams in the council, how many requested elections? How many conducted elections and what number of candidates were elected?</t>
  </si>
  <si>
    <t>How many members attended the last two years section Conclaves, OA High Adventure programs, and other national events (NOAC, Indian Summer, etc.)?</t>
  </si>
  <si>
    <t>Complete and follow an annual budget approved by the lodge executive committee</t>
  </si>
  <si>
    <r>
      <t xml:space="preserve">Contribution to council: </t>
    </r>
    <r>
      <rPr>
        <sz val="8"/>
        <color indexed="8"/>
        <rFont val="Calibri"/>
        <family val="2"/>
      </rPr>
      <t xml:space="preserve"> Contribute cash, materials or both to the council.</t>
    </r>
  </si>
  <si>
    <r>
      <t xml:space="preserve">Unit elections: </t>
    </r>
    <r>
      <rPr>
        <sz val="8"/>
        <color indexed="8"/>
        <rFont val="Calibri"/>
        <family val="2"/>
      </rPr>
      <t xml:space="preserve"> Conduct unit elections in council troops and teams desiring them.</t>
    </r>
  </si>
  <si>
    <t>Contribute to the council newsletter or web site</t>
  </si>
  <si>
    <r>
      <t xml:space="preserve">Lodge planning: </t>
    </r>
    <r>
      <rPr>
        <sz val="8"/>
        <color indexed="8"/>
        <rFont val="Calibri"/>
        <family val="2"/>
      </rPr>
      <t>Maintain an active planning process that guides the lodge program and supports the council strategic plan.</t>
    </r>
  </si>
  <si>
    <t>Have a written annual plan approved by the Scout Executive</t>
  </si>
  <si>
    <r>
      <t>Annual report:</t>
    </r>
    <r>
      <rPr>
        <sz val="8"/>
        <color indexed="8"/>
        <rFont val="Calibri"/>
        <family val="2"/>
      </rPr>
      <t xml:space="preserve">  Submit a written  annual report of accomplishments to the council executive board.</t>
    </r>
  </si>
  <si>
    <t>Written report submitted and verbal report given to the executive board</t>
  </si>
  <si>
    <t>Verbal report given by the lodge chief</t>
  </si>
  <si>
    <r>
      <rPr>
        <sz val="10"/>
        <color indexed="8"/>
        <rFont val="Calibri"/>
        <family val="2"/>
      </rPr>
      <t>To determine the lodge’s overall performance level, the council will use the above matrix to determine the points earned in each of the 17 individual</t>
    </r>
    <r>
      <rPr>
        <b/>
        <sz val="10"/>
        <color indexed="8"/>
        <rFont val="Calibri Bold"/>
      </rPr>
      <t xml:space="preserve"> </t>
    </r>
    <r>
      <rPr>
        <sz val="10"/>
        <color indexed="8"/>
        <rFont val="Calibri"/>
        <family val="2"/>
      </rPr>
      <t xml:space="preserve">criteria, circle the criteria completed,  add the scores in each column to determine the points earned at each award level, then add the three column scores to obtain the Grand Total points earned. </t>
    </r>
  </si>
  <si>
    <t>2.    Contributions are to be in either cash (e.g. an FOS contribution to the council) or materials. In the case of materials, the value should be determined on the basis of current market value or the value determined by the Scout Executive.</t>
  </si>
  <si>
    <t>12.  At least one council project and one community service project must be conducted and a written report of each project included in the lodge annual report.</t>
  </si>
  <si>
    <t>13.  What constitutes an acceptable contact under this category is determined by the Scout Executive or the council’s camping committee if delegated by the Scout Executive.</t>
  </si>
  <si>
    <t>15.  Scout Executive designated projects are to be developed during a meeting with the lodge Key 3 with consideration for both the current local council and national Order of the Arrow strategic plans.  Example projects are listed below.</t>
  </si>
  <si>
    <t>In addition to the contributions in item 2, the lodge is to make a minimum contribution of $1,000 to the council endowment fund through the award of a James E. West Fellowship to a deserving member of the lodge.</t>
  </si>
  <si>
    <t>The lodge is to publish [update] a Where to Go Camping pamphlet, CD, or information published on the council or lodge website.</t>
  </si>
  <si>
    <t>The lodge is to provide manpower, resources, and/or program assistance in support of the council Cub Scout outdoor program.</t>
  </si>
  <si>
    <t>The lodge is to create and activate an OA Mentoring Program within the council.</t>
  </si>
  <si>
    <t>Note: the above project list is provided only as an example of possible projects to consider. Actual projects assigned are entirely at the discretion of the Scout Executive.</t>
  </si>
  <si>
    <t>Item #</t>
  </si>
  <si>
    <t>How many dues-paying members did the lodge have the last two years? What level was the membership?</t>
  </si>
  <si>
    <t>Which lodge events did the lodge host the past year? What was lodge member attendance over the past two years?</t>
  </si>
  <si>
    <t>Which council or district events were supported by the lodge with Order of the Arrow staff?</t>
  </si>
  <si>
    <t>Which programs, designated by the Scout Executive, were completed this year?</t>
  </si>
  <si>
    <t>How many members are there on the lodge executive committee? How many participated in this years LLD?</t>
  </si>
  <si>
    <t>2012 OA Lodge Performance Worksheet</t>
  </si>
  <si>
    <t xml:space="preserve">Examples of item 15 - Council Scout Executive designated Council support projects: </t>
  </si>
  <si>
    <t>2012 OA Lodge Performance Recognition Program</t>
  </si>
  <si>
    <t>To qualify for recognition lodges must renew their 2013 charter on time with appropriate fees and be in compliance with the current editions of the OA Handbook, Guide for Officers and Advisers, Field Operations Guide, Guide to Inductions, and ceremony books.</t>
  </si>
  <si>
    <t>2012 goal</t>
  </si>
  <si>
    <t>2012 actual</t>
  </si>
  <si>
    <t>E-mail address</t>
  </si>
  <si>
    <t>Phone number</t>
  </si>
  <si>
    <t>Form completed by</t>
  </si>
  <si>
    <t xml:space="preserve">May Induction </t>
  </si>
  <si>
    <t>June Induction</t>
  </si>
  <si>
    <t>September Induction</t>
  </si>
  <si>
    <t>October LLD</t>
  </si>
  <si>
    <t xml:space="preserve">December Annual Dinner </t>
  </si>
  <si>
    <t>NYLT</t>
  </si>
  <si>
    <t>FireQuest</t>
  </si>
  <si>
    <t>Cub Day Camp</t>
  </si>
  <si>
    <t>Old Colony</t>
  </si>
  <si>
    <t>Summer Camp Promotions</t>
  </si>
  <si>
    <t>Summer camp Social</t>
  </si>
  <si>
    <t>Bridge Project at PHSR</t>
  </si>
  <si>
    <t>Roosevelt Trail connector Bridge installation</t>
  </si>
  <si>
    <t>Summer camp onsite promotion support</t>
  </si>
  <si>
    <t>Southrn New Jersey</t>
  </si>
  <si>
    <t>Millville</t>
  </si>
  <si>
    <t>NJ</t>
  </si>
  <si>
    <t>Te'Kening</t>
  </si>
  <si>
    <t>NE</t>
  </si>
  <si>
    <t>Allen Thorpe</t>
  </si>
  <si>
    <t>302-275-0949</t>
  </si>
  <si>
    <t>althorpe1@verizon.net</t>
  </si>
  <si>
    <t>yes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</si>
</sst>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
    <numFmt numFmtId="165" formatCode="&quot;$&quot;#,##0.00"/>
  </numFmts>
  <fonts count="35" x14ac:knownFonts="1">
    <font>
      <sz val="11"/>
      <color theme="1"/>
      <name val="Calibri"/>
      <family val="2"/>
      <scheme val="minor"/>
    </font>
    <font>
      <sz val="8"/>
      <name val="Calibri"/>
      <family val="2"/>
    </font>
    <font>
      <sz val="10"/>
      <color indexed="8"/>
      <name val="Calibri"/>
      <family val="2"/>
    </font>
    <font>
      <b/>
      <sz val="10"/>
      <color indexed="8"/>
      <name val="Calibri Bold"/>
    </font>
    <font>
      <b/>
      <sz val="9"/>
      <color indexed="8"/>
      <name val="Calibri"/>
      <family val="2"/>
    </font>
    <font>
      <sz val="9"/>
      <color indexed="8"/>
      <name val="Calibri"/>
      <family val="2"/>
    </font>
    <font>
      <u/>
      <sz val="9"/>
      <color indexed="8"/>
      <name val="Calibri"/>
      <family val="2"/>
    </font>
    <font>
      <sz val="8"/>
      <color indexed="8"/>
      <name val="Calibri"/>
      <family val="2"/>
    </font>
    <font>
      <b/>
      <i/>
      <sz val="8"/>
      <color indexed="8"/>
      <name val="Calibri"/>
      <family val="2"/>
    </font>
    <font>
      <u/>
      <sz val="11"/>
      <color theme="10"/>
      <name val="Calibri"/>
      <family val="2"/>
      <scheme val="minor"/>
    </font>
    <font>
      <b/>
      <sz val="12"/>
      <color theme="1"/>
      <name val="Calibri"/>
      <family val="2"/>
      <scheme val="minor"/>
    </font>
    <font>
      <b/>
      <sz val="9"/>
      <color theme="1"/>
      <name val="Calibri"/>
      <family val="2"/>
      <scheme val="minor"/>
    </font>
    <font>
      <sz val="8"/>
      <color theme="1"/>
      <name val="Calibri"/>
      <family val="2"/>
      <scheme val="minor"/>
    </font>
    <font>
      <sz val="11"/>
      <color theme="0"/>
      <name val="Calibri"/>
      <family val="2"/>
      <scheme val="minor"/>
    </font>
    <font>
      <sz val="11"/>
      <color rgb="FFFFFFFF"/>
      <name val="Calibri"/>
      <family val="2"/>
      <scheme val="minor"/>
    </font>
    <font>
      <sz val="11"/>
      <color rgb="FF000000"/>
      <name val="Calibri"/>
      <family val="2"/>
      <scheme val="minor"/>
    </font>
    <font>
      <b/>
      <sz val="10"/>
      <color theme="1"/>
      <name val="Calibri"/>
      <family val="2"/>
      <scheme val="minor"/>
    </font>
    <font>
      <sz val="10"/>
      <color theme="1"/>
      <name val="Calibri"/>
      <family val="2"/>
      <scheme val="minor"/>
    </font>
    <font>
      <i/>
      <sz val="11"/>
      <color theme="1"/>
      <name val="Calibri"/>
      <family val="2"/>
      <scheme val="minor"/>
    </font>
    <font>
      <sz val="9"/>
      <color theme="1"/>
      <name val="Calibri"/>
      <family val="2"/>
      <scheme val="minor"/>
    </font>
    <font>
      <b/>
      <i/>
      <sz val="11"/>
      <color theme="1"/>
      <name val="Calibri"/>
      <family val="2"/>
      <scheme val="minor"/>
    </font>
    <font>
      <i/>
      <sz val="10"/>
      <color theme="1"/>
      <name val="Calibri"/>
      <family val="2"/>
      <scheme val="minor"/>
    </font>
    <font>
      <sz val="10"/>
      <name val="Calibri"/>
      <family val="2"/>
      <scheme val="minor"/>
    </font>
    <font>
      <b/>
      <sz val="11"/>
      <color theme="1"/>
      <name val="Calibri"/>
      <family val="2"/>
      <scheme val="minor"/>
    </font>
    <font>
      <sz val="8"/>
      <color rgb="FF000000"/>
      <name val="Calibri"/>
      <family val="2"/>
      <scheme val="minor"/>
    </font>
    <font>
      <sz val="10"/>
      <color theme="0"/>
      <name val="Calibri"/>
      <family val="2"/>
      <scheme val="minor"/>
    </font>
    <font>
      <sz val="7"/>
      <color theme="1"/>
      <name val="Calibri"/>
      <family val="2"/>
      <scheme val="minor"/>
    </font>
    <font>
      <i/>
      <sz val="9"/>
      <color theme="1"/>
      <name val="Calibri"/>
      <family val="2"/>
      <scheme val="minor"/>
    </font>
    <font>
      <sz val="9"/>
      <color rgb="FF000000"/>
      <name val="Calibri"/>
      <family val="2"/>
      <scheme val="minor"/>
    </font>
    <font>
      <sz val="10"/>
      <color theme="1"/>
      <name val="Symbol"/>
      <family val="1"/>
    </font>
    <font>
      <b/>
      <sz val="8"/>
      <color theme="1"/>
      <name val="Calibri"/>
      <family val="2"/>
      <scheme val="minor"/>
    </font>
    <font>
      <b/>
      <sz val="13"/>
      <color theme="1"/>
      <name val="Calibri"/>
      <family val="2"/>
      <scheme val="minor"/>
    </font>
    <font>
      <i/>
      <sz val="9.75"/>
      <color theme="1"/>
      <name val="Calibri"/>
      <family val="2"/>
      <scheme val="minor"/>
    </font>
    <font>
      <sz val="9.75"/>
      <color theme="1"/>
      <name val="Calibri"/>
      <family val="2"/>
      <scheme val="minor"/>
    </font>
    <font>
      <b/>
      <i/>
      <sz val="13"/>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rgb="FF000090"/>
        <bgColor indexed="64"/>
      </patternFill>
    </fill>
    <fill>
      <patternFill patternType="solid">
        <fgColor rgb="FF000090"/>
        <bgColor rgb="FF000000"/>
      </patternFill>
    </fill>
    <fill>
      <patternFill patternType="solid">
        <fgColor theme="0"/>
        <bgColor indexed="64"/>
      </patternFill>
    </fill>
    <fill>
      <patternFill patternType="solid">
        <fgColor theme="4" tint="0.79998168889431442"/>
        <bgColor indexed="64"/>
      </patternFill>
    </fill>
    <fill>
      <patternFill patternType="solid">
        <fgColor rgb="FFDCE6F1"/>
        <bgColor rgb="FF000000"/>
      </patternFill>
    </fill>
  </fills>
  <borders count="18">
    <border>
      <left/>
      <right/>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style="thin">
        <color theme="0" tint="-4.9989318521683403E-2"/>
      </left>
      <right/>
      <top/>
      <bottom/>
      <diagonal/>
    </border>
    <border>
      <left style="thin">
        <color theme="0" tint="-4.9989318521683403E-2"/>
      </left>
      <right/>
      <top/>
      <bottom style="thin">
        <color theme="0" tint="-4.9989318521683403E-2"/>
      </bottom>
      <diagonal/>
    </border>
    <border>
      <left/>
      <right style="thin">
        <color theme="0" tint="-4.9989318521683403E-2"/>
      </right>
      <top/>
      <bottom style="thin">
        <color theme="0" tint="-4.9989318521683403E-2"/>
      </bottom>
      <diagonal/>
    </border>
  </borders>
  <cellStyleXfs count="2">
    <xf numFmtId="0" fontId="0" fillId="0" borderId="0"/>
    <xf numFmtId="0" fontId="9" fillId="0" borderId="0" applyNumberFormat="0" applyFill="0" applyBorder="0" applyAlignment="0" applyProtection="0"/>
  </cellStyleXfs>
  <cellXfs count="158">
    <xf numFmtId="0" fontId="0" fillId="0" borderId="0" xfId="0"/>
    <xf numFmtId="0" fontId="0" fillId="0" borderId="0" xfId="0" applyBorder="1"/>
    <xf numFmtId="0" fontId="11" fillId="0" borderId="0" xfId="0" applyFont="1" applyAlignment="1">
      <alignment vertical="center"/>
    </xf>
    <xf numFmtId="0" fontId="0" fillId="2" borderId="1" xfId="0" applyFill="1" applyBorder="1"/>
    <xf numFmtId="0" fontId="0" fillId="2" borderId="2" xfId="0" applyFill="1" applyBorder="1"/>
    <xf numFmtId="0" fontId="0" fillId="2" borderId="3" xfId="0" applyFill="1" applyBorder="1"/>
    <xf numFmtId="0" fontId="12" fillId="0" borderId="4" xfId="0" applyFont="1" applyBorder="1" applyAlignment="1">
      <alignment horizontal="center" vertical="center" wrapText="1"/>
    </xf>
    <xf numFmtId="0" fontId="0" fillId="0" borderId="0" xfId="0" applyAlignment="1">
      <alignment wrapText="1"/>
    </xf>
    <xf numFmtId="0" fontId="0" fillId="0" borderId="0" xfId="0" applyAlignment="1"/>
    <xf numFmtId="0" fontId="0" fillId="0" borderId="0" xfId="0" applyBorder="1" applyAlignment="1">
      <alignment wrapText="1"/>
    </xf>
    <xf numFmtId="0" fontId="0" fillId="3" borderId="0" xfId="0" applyFill="1" applyAlignment="1">
      <alignment vertical="center"/>
    </xf>
    <xf numFmtId="0" fontId="13" fillId="3" borderId="0" xfId="0" applyFont="1" applyFill="1" applyAlignment="1">
      <alignment vertical="center"/>
    </xf>
    <xf numFmtId="0" fontId="14" fillId="4" borderId="0" xfId="0" applyFont="1" applyFill="1" applyAlignment="1">
      <alignment vertical="center"/>
    </xf>
    <xf numFmtId="0" fontId="0" fillId="3" borderId="0" xfId="0" applyFill="1" applyAlignment="1">
      <alignment horizontal="center" vertical="center"/>
    </xf>
    <xf numFmtId="0" fontId="15" fillId="4" borderId="0" xfId="0" applyFont="1" applyFill="1" applyAlignment="1">
      <alignment horizontal="center" vertical="center"/>
    </xf>
    <xf numFmtId="0" fontId="0" fillId="0" borderId="4" xfId="0" applyBorder="1" applyAlignment="1">
      <alignment horizontal="center" vertical="center"/>
    </xf>
    <xf numFmtId="0" fontId="13" fillId="3" borderId="14" xfId="0" applyFont="1" applyFill="1" applyBorder="1" applyAlignment="1">
      <alignment horizontal="center" vertical="center" wrapText="1"/>
    </xf>
    <xf numFmtId="0" fontId="9" fillId="0" borderId="4" xfId="1" applyBorder="1" applyAlignment="1">
      <alignment horizontal="center" vertical="center"/>
    </xf>
    <xf numFmtId="0" fontId="16" fillId="0" borderId="0" xfId="0" applyFont="1" applyAlignment="1">
      <alignment vertical="center"/>
    </xf>
    <xf numFmtId="0" fontId="17" fillId="0" borderId="0" xfId="0" applyFont="1"/>
    <xf numFmtId="0" fontId="17" fillId="0" borderId="0" xfId="0" applyFont="1" applyAlignment="1">
      <alignment horizontal="right"/>
    </xf>
    <xf numFmtId="0" fontId="17" fillId="0" borderId="0" xfId="0" applyFont="1" applyBorder="1"/>
    <xf numFmtId="0" fontId="0" fillId="2" borderId="0" xfId="0" applyFill="1" applyBorder="1"/>
    <xf numFmtId="0" fontId="17" fillId="0" borderId="0" xfId="0" applyFont="1" applyAlignment="1">
      <alignment horizontal="center"/>
    </xf>
    <xf numFmtId="0" fontId="0" fillId="2" borderId="4" xfId="0" applyFill="1" applyBorder="1" applyAlignment="1">
      <alignment horizontal="center" vertical="center"/>
    </xf>
    <xf numFmtId="0" fontId="18" fillId="0" borderId="0" xfId="0" applyFont="1" applyAlignment="1">
      <alignment horizontal="right"/>
    </xf>
    <xf numFmtId="0" fontId="10" fillId="0" borderId="0" xfId="0" applyFont="1" applyAlignment="1">
      <alignment horizontal="right"/>
    </xf>
    <xf numFmtId="0" fontId="13" fillId="3" borderId="15" xfId="0" applyFont="1" applyFill="1" applyBorder="1" applyAlignment="1">
      <alignment vertical="center"/>
    </xf>
    <xf numFmtId="0" fontId="12" fillId="5" borderId="4" xfId="0" applyFont="1" applyFill="1" applyBorder="1" applyAlignment="1">
      <alignment horizontal="center" vertical="center" wrapText="1"/>
    </xf>
    <xf numFmtId="0" fontId="0" fillId="3" borderId="0" xfId="0" applyFill="1"/>
    <xf numFmtId="0" fontId="0" fillId="0" borderId="0" xfId="0" applyBorder="1" applyAlignment="1">
      <alignment horizontal="center" vertical="center"/>
    </xf>
    <xf numFmtId="0" fontId="19" fillId="0" borderId="0" xfId="0" applyFont="1" applyBorder="1" applyAlignment="1">
      <alignment horizontal="right"/>
    </xf>
    <xf numFmtId="0" fontId="0" fillId="0" borderId="0" xfId="0" applyFill="1" applyBorder="1" applyAlignment="1">
      <alignment horizontal="center" vertical="center"/>
    </xf>
    <xf numFmtId="0" fontId="0" fillId="0" borderId="0" xfId="0" applyBorder="1" applyAlignment="1"/>
    <xf numFmtId="0" fontId="13" fillId="3" borderId="0" xfId="0" applyFont="1" applyFill="1" applyBorder="1" applyAlignment="1">
      <alignment vertical="center"/>
    </xf>
    <xf numFmtId="0" fontId="0" fillId="3" borderId="0" xfId="0" applyFill="1" applyBorder="1"/>
    <xf numFmtId="0" fontId="20" fillId="0" borderId="0" xfId="0" applyFont="1" applyAlignment="1">
      <alignment horizontal="center"/>
    </xf>
    <xf numFmtId="0" fontId="12" fillId="5" borderId="5" xfId="0" applyFont="1" applyFill="1" applyBorder="1" applyAlignment="1">
      <alignment horizontal="center" vertical="center" wrapText="1"/>
    </xf>
    <xf numFmtId="0" fontId="12" fillId="0" borderId="4" xfId="0" applyFont="1" applyFill="1" applyBorder="1" applyAlignment="1">
      <alignment horizontal="center" vertical="center" wrapText="1"/>
    </xf>
    <xf numFmtId="0" fontId="20" fillId="0" borderId="0" xfId="0" applyFont="1" applyAlignment="1">
      <alignment horizontal="left"/>
    </xf>
    <xf numFmtId="0" fontId="21" fillId="0" borderId="0" xfId="0" applyFont="1" applyAlignment="1">
      <alignment horizontal="left"/>
    </xf>
    <xf numFmtId="0" fontId="13" fillId="3" borderId="0" xfId="0" applyFont="1" applyFill="1" applyBorder="1" applyAlignment="1">
      <alignment horizontal="center"/>
    </xf>
    <xf numFmtId="0" fontId="0" fillId="0" borderId="0" xfId="0" applyFill="1"/>
    <xf numFmtId="0" fontId="0" fillId="0" borderId="0" xfId="0" applyFill="1" applyBorder="1"/>
    <xf numFmtId="0" fontId="19" fillId="0" borderId="0" xfId="0" applyFont="1" applyAlignment="1">
      <alignment horizontal="right"/>
    </xf>
    <xf numFmtId="0" fontId="13" fillId="3" borderId="0" xfId="0" applyFont="1" applyFill="1"/>
    <xf numFmtId="0" fontId="13" fillId="3" borderId="0" xfId="0" applyFont="1" applyFill="1" applyAlignment="1">
      <alignment horizontal="center"/>
    </xf>
    <xf numFmtId="0" fontId="19" fillId="0" borderId="0" xfId="0" applyFont="1" applyAlignment="1">
      <alignment horizontal="right" vertical="center"/>
    </xf>
    <xf numFmtId="0" fontId="19" fillId="0" borderId="0" xfId="0" applyFont="1" applyAlignment="1">
      <alignment vertical="center"/>
    </xf>
    <xf numFmtId="164" fontId="15" fillId="0" borderId="0" xfId="0" applyNumberFormat="1" applyFont="1" applyFill="1" applyBorder="1" applyAlignment="1">
      <alignment horizontal="center"/>
    </xf>
    <xf numFmtId="0" fontId="22" fillId="0" borderId="0" xfId="0" applyFont="1" applyAlignment="1">
      <alignment horizontal="left" wrapText="1"/>
    </xf>
    <xf numFmtId="0" fontId="23" fillId="2" borderId="6" xfId="0" applyFont="1" applyFill="1" applyBorder="1"/>
    <xf numFmtId="0" fontId="13" fillId="3" borderId="0" xfId="0" applyFont="1" applyFill="1" applyAlignment="1">
      <alignment horizontal="center" wrapText="1"/>
    </xf>
    <xf numFmtId="0" fontId="0" fillId="0" borderId="0" xfId="0" applyAlignment="1">
      <alignment horizontal="center" vertical="center"/>
    </xf>
    <xf numFmtId="0" fontId="11" fillId="6" borderId="4" xfId="0" applyFont="1" applyFill="1" applyBorder="1" applyAlignment="1" applyProtection="1">
      <alignment horizontal="center"/>
      <protection locked="0"/>
    </xf>
    <xf numFmtId="0" fontId="11" fillId="6" borderId="4" xfId="0" applyFont="1" applyFill="1" applyBorder="1" applyAlignment="1" applyProtection="1">
      <alignment horizontal="center" vertical="center"/>
      <protection locked="0"/>
    </xf>
    <xf numFmtId="0" fontId="11" fillId="6" borderId="7" xfId="0" applyFont="1" applyFill="1" applyBorder="1" applyAlignment="1" applyProtection="1">
      <alignment horizontal="center"/>
      <protection locked="0"/>
    </xf>
    <xf numFmtId="0" fontId="0" fillId="0" borderId="4" xfId="0" applyFill="1" applyBorder="1" applyAlignment="1" applyProtection="1">
      <alignment horizontal="center" vertical="center"/>
      <protection hidden="1"/>
    </xf>
    <xf numFmtId="0" fontId="0" fillId="3" borderId="0" xfId="0" applyFill="1" applyAlignment="1" applyProtection="1">
      <alignment horizontal="center" vertical="center"/>
      <protection hidden="1"/>
    </xf>
    <xf numFmtId="0" fontId="15" fillId="4" borderId="0" xfId="0" applyFont="1" applyFill="1" applyAlignment="1" applyProtection="1">
      <alignment horizontal="center" vertical="center"/>
      <protection hidden="1"/>
    </xf>
    <xf numFmtId="0" fontId="15" fillId="0" borderId="4" xfId="0" applyFont="1" applyFill="1" applyBorder="1" applyAlignment="1" applyProtection="1">
      <alignment horizontal="center" vertical="center"/>
      <protection hidden="1"/>
    </xf>
    <xf numFmtId="0" fontId="0" fillId="0" borderId="4" xfId="0" applyBorder="1" applyProtection="1">
      <protection hidden="1"/>
    </xf>
    <xf numFmtId="0" fontId="0" fillId="6" borderId="4" xfId="0" applyFill="1" applyBorder="1" applyAlignment="1" applyProtection="1">
      <alignment horizontal="center" vertical="center"/>
      <protection locked="0"/>
    </xf>
    <xf numFmtId="165" fontId="0" fillId="6" borderId="4" xfId="0" applyNumberFormat="1" applyFill="1" applyBorder="1" applyAlignment="1" applyProtection="1">
      <alignment horizontal="center" vertical="center"/>
      <protection locked="0"/>
    </xf>
    <xf numFmtId="0" fontId="0" fillId="6" borderId="4" xfId="0" applyFill="1" applyBorder="1" applyAlignment="1" applyProtection="1">
      <alignment horizontal="center"/>
      <protection locked="0"/>
    </xf>
    <xf numFmtId="0" fontId="0" fillId="0" borderId="0" xfId="0" applyFill="1" applyBorder="1" applyAlignment="1" applyProtection="1">
      <alignment horizontal="center"/>
      <protection hidden="1"/>
    </xf>
    <xf numFmtId="0" fontId="12" fillId="6" borderId="4" xfId="0" applyFont="1" applyFill="1" applyBorder="1" applyAlignment="1" applyProtection="1">
      <alignment horizontal="center" vertical="center" wrapText="1"/>
      <protection locked="0"/>
    </xf>
    <xf numFmtId="0" fontId="0" fillId="0" borderId="4" xfId="0" applyBorder="1" applyAlignment="1" applyProtection="1">
      <alignment horizontal="center"/>
      <protection hidden="1"/>
    </xf>
    <xf numFmtId="0" fontId="10" fillId="0" borderId="4" xfId="0" applyFont="1" applyBorder="1" applyAlignment="1" applyProtection="1">
      <alignment horizontal="center"/>
      <protection hidden="1"/>
    </xf>
    <xf numFmtId="0" fontId="12" fillId="0" borderId="5" xfId="0" applyFont="1" applyBorder="1" applyAlignment="1">
      <alignment horizontal="center" vertical="center" wrapText="1"/>
    </xf>
    <xf numFmtId="0" fontId="24" fillId="7" borderId="4" xfId="0" applyFont="1" applyFill="1" applyBorder="1" applyAlignment="1" applyProtection="1">
      <alignment horizontal="center" vertical="center" wrapText="1"/>
      <protection locked="0"/>
    </xf>
    <xf numFmtId="0" fontId="19" fillId="0" borderId="0" xfId="0" applyFont="1" applyBorder="1" applyAlignment="1"/>
    <xf numFmtId="0" fontId="25" fillId="0" borderId="0" xfId="0" applyFont="1" applyProtection="1">
      <protection hidden="1"/>
    </xf>
    <xf numFmtId="0" fontId="13" fillId="0" borderId="0" xfId="0" applyFont="1" applyProtection="1">
      <protection hidden="1"/>
    </xf>
    <xf numFmtId="0" fontId="0" fillId="0" borderId="4" xfId="0" quotePrefix="1" applyFill="1" applyBorder="1" applyAlignment="1" applyProtection="1">
      <alignment horizontal="center" vertical="center"/>
      <protection hidden="1"/>
    </xf>
    <xf numFmtId="0" fontId="13" fillId="3" borderId="0" xfId="0" applyFont="1" applyFill="1" applyBorder="1" applyAlignment="1">
      <alignment horizontal="center"/>
    </xf>
    <xf numFmtId="0" fontId="26" fillId="0" borderId="4" xfId="0" applyFont="1" applyBorder="1" applyAlignment="1">
      <alignment horizontal="center" vertical="center" wrapText="1"/>
    </xf>
    <xf numFmtId="0" fontId="0" fillId="0" borderId="5" xfId="0" applyBorder="1" applyAlignment="1">
      <alignment horizontal="center" vertical="center"/>
    </xf>
    <xf numFmtId="0" fontId="0" fillId="0" borderId="13" xfId="0" applyBorder="1" applyAlignment="1">
      <alignment horizontal="center" vertical="center"/>
    </xf>
    <xf numFmtId="0" fontId="0" fillId="0" borderId="5" xfId="0" applyFill="1" applyBorder="1" applyAlignment="1" applyProtection="1">
      <alignment horizontal="center" vertical="center"/>
      <protection hidden="1"/>
    </xf>
    <xf numFmtId="0" fontId="0" fillId="0" borderId="13" xfId="0" applyFill="1" applyBorder="1" applyAlignment="1" applyProtection="1">
      <alignment horizontal="center" vertical="center"/>
      <protection hidden="1"/>
    </xf>
    <xf numFmtId="0" fontId="30" fillId="0" borderId="8" xfId="0" applyFont="1" applyBorder="1" applyAlignment="1">
      <alignment vertical="center" wrapText="1"/>
    </xf>
    <xf numFmtId="0" fontId="0" fillId="0" borderId="7" xfId="0" applyBorder="1" applyAlignment="1">
      <alignment vertical="center" wrapText="1"/>
    </xf>
    <xf numFmtId="0" fontId="0" fillId="0" borderId="4" xfId="0" applyBorder="1" applyAlignment="1">
      <alignment horizontal="center" vertical="center"/>
    </xf>
    <xf numFmtId="0" fontId="30" fillId="0" borderId="4" xfId="0" applyFont="1" applyBorder="1" applyAlignment="1">
      <alignment vertical="center" wrapText="1"/>
    </xf>
    <xf numFmtId="0" fontId="0" fillId="0" borderId="4" xfId="0" applyBorder="1" applyAlignment="1">
      <alignment vertical="center" wrapText="1"/>
    </xf>
    <xf numFmtId="0" fontId="30" fillId="0" borderId="6" xfId="0" applyFont="1" applyBorder="1" applyAlignment="1">
      <alignment vertical="center" wrapText="1"/>
    </xf>
    <xf numFmtId="0" fontId="0" fillId="0" borderId="2" xfId="0" applyBorder="1" applyAlignment="1">
      <alignment vertical="center" wrapText="1"/>
    </xf>
    <xf numFmtId="0" fontId="0" fillId="0" borderId="10" xfId="0" applyBorder="1" applyAlignment="1">
      <alignment vertical="center" wrapText="1"/>
    </xf>
    <xf numFmtId="0" fontId="0" fillId="0" borderId="12" xfId="0" applyBorder="1" applyAlignment="1">
      <alignment vertical="center" wrapText="1"/>
    </xf>
    <xf numFmtId="0" fontId="31" fillId="0" borderId="0" xfId="0" applyFont="1" applyAlignment="1">
      <alignment horizontal="center"/>
    </xf>
    <xf numFmtId="0" fontId="20" fillId="0" borderId="0" xfId="0" applyFont="1" applyAlignment="1">
      <alignment horizontal="center"/>
    </xf>
    <xf numFmtId="0" fontId="13" fillId="3" borderId="16" xfId="0" applyFont="1" applyFill="1" applyBorder="1" applyAlignment="1">
      <alignment horizontal="center" vertical="center" wrapText="1"/>
    </xf>
    <xf numFmtId="0" fontId="0" fillId="0" borderId="17" xfId="0" applyBorder="1" applyAlignment="1">
      <alignment horizontal="center" vertical="center" wrapText="1"/>
    </xf>
    <xf numFmtId="0" fontId="11" fillId="6" borderId="8" xfId="0" applyFont="1" applyFill="1" applyBorder="1" applyAlignment="1" applyProtection="1">
      <protection locked="0"/>
    </xf>
    <xf numFmtId="0" fontId="11" fillId="6" borderId="7" xfId="0" applyFont="1" applyFill="1" applyBorder="1" applyAlignment="1" applyProtection="1">
      <protection locked="0"/>
    </xf>
    <xf numFmtId="0" fontId="30" fillId="0" borderId="3" xfId="0" applyFont="1" applyBorder="1" applyAlignment="1">
      <alignment vertical="center" wrapText="1"/>
    </xf>
    <xf numFmtId="0" fontId="0" fillId="0" borderId="9" xfId="0" applyBorder="1" applyAlignment="1">
      <alignment vertical="center" wrapText="1"/>
    </xf>
    <xf numFmtId="0" fontId="32" fillId="0" borderId="0" xfId="0" applyFont="1" applyAlignment="1">
      <alignment vertical="center" wrapText="1"/>
    </xf>
    <xf numFmtId="0" fontId="33" fillId="0" borderId="0" xfId="0" applyFont="1" applyAlignment="1">
      <alignment wrapText="1"/>
    </xf>
    <xf numFmtId="0" fontId="19" fillId="0" borderId="0" xfId="0" applyFont="1" applyAlignment="1">
      <alignment horizontal="right" wrapText="1"/>
    </xf>
    <xf numFmtId="0" fontId="19" fillId="0" borderId="9" xfId="0" applyFont="1" applyBorder="1" applyAlignment="1">
      <alignment wrapText="1"/>
    </xf>
    <xf numFmtId="0" fontId="13" fillId="3" borderId="0" xfId="0" applyFont="1" applyFill="1" applyAlignment="1">
      <alignment horizontal="center" vertical="center" wrapText="1"/>
    </xf>
    <xf numFmtId="0" fontId="0" fillId="0" borderId="11" xfId="0" applyBorder="1" applyAlignment="1">
      <alignment vertical="center"/>
    </xf>
    <xf numFmtId="0" fontId="27" fillId="0" borderId="0" xfId="0" applyFont="1" applyAlignment="1">
      <alignment vertical="center" wrapText="1"/>
    </xf>
    <xf numFmtId="0" fontId="0" fillId="0" borderId="0" xfId="0" applyAlignment="1"/>
    <xf numFmtId="0" fontId="19" fillId="0" borderId="0" xfId="0" applyFont="1" applyAlignment="1">
      <alignment wrapText="1"/>
    </xf>
    <xf numFmtId="0" fontId="0" fillId="0" borderId="0" xfId="0" applyAlignment="1">
      <alignment wrapText="1"/>
    </xf>
    <xf numFmtId="0" fontId="19" fillId="0" borderId="0" xfId="0" applyFont="1" applyAlignment="1"/>
    <xf numFmtId="0" fontId="19" fillId="0" borderId="0" xfId="0" applyFont="1" applyAlignment="1">
      <alignment vertical="center" wrapText="1"/>
    </xf>
    <xf numFmtId="0" fontId="31" fillId="0" borderId="6" xfId="0" applyFont="1" applyBorder="1" applyAlignment="1">
      <alignment horizontal="right" vertical="center"/>
    </xf>
    <xf numFmtId="0" fontId="31" fillId="0" borderId="1" xfId="0" applyFont="1" applyBorder="1" applyAlignment="1">
      <alignment horizontal="right" vertical="center"/>
    </xf>
    <xf numFmtId="0" fontId="31" fillId="0" borderId="10" xfId="0" applyFont="1" applyBorder="1" applyAlignment="1">
      <alignment horizontal="right" vertical="center"/>
    </xf>
    <xf numFmtId="0" fontId="31" fillId="0" borderId="11" xfId="0" applyFont="1" applyBorder="1" applyAlignment="1">
      <alignment horizontal="right" vertical="center"/>
    </xf>
    <xf numFmtId="0" fontId="31" fillId="0" borderId="2" xfId="0" applyFont="1" applyBorder="1" applyAlignment="1" applyProtection="1">
      <alignment vertical="center"/>
      <protection hidden="1"/>
    </xf>
    <xf numFmtId="0" fontId="31" fillId="0" borderId="12" xfId="0" applyFont="1" applyBorder="1" applyAlignment="1" applyProtection="1">
      <alignment vertical="center"/>
      <protection hidden="1"/>
    </xf>
    <xf numFmtId="0" fontId="27" fillId="2" borderId="10" xfId="0" applyFont="1" applyFill="1" applyBorder="1" applyAlignment="1">
      <alignment vertical="center" wrapText="1"/>
    </xf>
    <xf numFmtId="0" fontId="27" fillId="2" borderId="11" xfId="0" applyFont="1" applyFill="1" applyBorder="1" applyAlignment="1">
      <alignment vertical="center" wrapText="1"/>
    </xf>
    <xf numFmtId="0" fontId="0" fillId="2" borderId="11" xfId="0" applyFill="1" applyBorder="1" applyAlignment="1">
      <alignment wrapText="1"/>
    </xf>
    <xf numFmtId="0" fontId="0" fillId="2" borderId="12" xfId="0" applyFill="1" applyBorder="1" applyAlignment="1">
      <alignment wrapText="1"/>
    </xf>
    <xf numFmtId="0" fontId="28" fillId="0" borderId="0" xfId="0" applyFont="1" applyAlignment="1">
      <alignment vertical="center" wrapText="1"/>
    </xf>
    <xf numFmtId="0" fontId="17" fillId="2" borderId="0" xfId="0" applyFont="1" applyFill="1" applyBorder="1" applyAlignment="1">
      <alignment horizontal="left" vertical="center" wrapText="1" indent="1"/>
    </xf>
    <xf numFmtId="0" fontId="0" fillId="2" borderId="0" xfId="0" applyFill="1" applyBorder="1" applyAlignment="1">
      <alignment wrapText="1"/>
    </xf>
    <xf numFmtId="0" fontId="0" fillId="2" borderId="9" xfId="0" applyFill="1" applyBorder="1" applyAlignment="1">
      <alignment wrapText="1"/>
    </xf>
    <xf numFmtId="0" fontId="29" fillId="2" borderId="0" xfId="0" applyFont="1" applyFill="1" applyBorder="1" applyAlignment="1">
      <alignment horizontal="left" vertical="center" wrapText="1" indent="1"/>
    </xf>
    <xf numFmtId="0" fontId="11" fillId="2" borderId="0" xfId="0" applyFont="1" applyFill="1" applyBorder="1" applyAlignment="1">
      <alignment vertical="center" wrapText="1"/>
    </xf>
    <xf numFmtId="0" fontId="19" fillId="2" borderId="0" xfId="0" applyFont="1" applyFill="1" applyBorder="1" applyAlignment="1">
      <alignment vertical="center" wrapText="1"/>
    </xf>
    <xf numFmtId="0" fontId="17" fillId="0" borderId="0" xfId="0" applyFont="1" applyAlignment="1">
      <alignment horizontal="left" vertical="center" wrapText="1"/>
    </xf>
    <xf numFmtId="0" fontId="0" fillId="0" borderId="0" xfId="0" applyAlignment="1">
      <alignment horizontal="center" vertical="center"/>
    </xf>
    <xf numFmtId="0" fontId="0" fillId="0" borderId="0" xfId="0" applyFill="1" applyAlignment="1">
      <alignment horizontal="center" vertical="center"/>
    </xf>
    <xf numFmtId="0" fontId="34" fillId="0" borderId="0" xfId="0" applyFont="1" applyAlignment="1">
      <alignment horizontal="center"/>
    </xf>
    <xf numFmtId="0" fontId="0" fillId="0" borderId="0" xfId="0" applyAlignment="1">
      <alignment horizontal="center"/>
    </xf>
    <xf numFmtId="0" fontId="0" fillId="6" borderId="4" xfId="0" applyFill="1" applyBorder="1" applyAlignment="1" applyProtection="1">
      <protection locked="0"/>
    </xf>
    <xf numFmtId="0" fontId="13" fillId="3" borderId="11" xfId="0" applyFont="1" applyFill="1" applyBorder="1" applyAlignment="1">
      <alignment horizontal="center"/>
    </xf>
    <xf numFmtId="0" fontId="0" fillId="6" borderId="8" xfId="0" applyFill="1" applyBorder="1" applyAlignment="1" applyProtection="1">
      <alignment horizontal="center"/>
      <protection locked="0"/>
    </xf>
    <xf numFmtId="0" fontId="0" fillId="6" borderId="7" xfId="0" applyFill="1" applyBorder="1" applyAlignment="1" applyProtection="1">
      <alignment horizontal="center"/>
      <protection locked="0"/>
    </xf>
    <xf numFmtId="0" fontId="0" fillId="6" borderId="4" xfId="0" applyFill="1" applyBorder="1" applyAlignment="1" applyProtection="1">
      <alignment horizontal="center"/>
      <protection locked="0"/>
    </xf>
    <xf numFmtId="0" fontId="13" fillId="3" borderId="0" xfId="0" applyFont="1" applyFill="1" applyBorder="1" applyAlignment="1">
      <alignment horizontal="center"/>
    </xf>
    <xf numFmtId="0" fontId="13" fillId="3" borderId="0" xfId="0" applyFont="1" applyFill="1" applyAlignment="1">
      <alignment horizontal="center"/>
    </xf>
    <xf numFmtId="0" fontId="0" fillId="0" borderId="0" xfId="0" applyAlignment="1">
      <alignment horizontal="right"/>
    </xf>
    <xf numFmtId="0" fontId="0" fillId="0" borderId="9" xfId="0" applyBorder="1" applyAlignment="1"/>
    <xf numFmtId="0" fontId="0" fillId="0" borderId="11" xfId="0" applyBorder="1" applyAlignment="1"/>
    <xf numFmtId="0" fontId="0" fillId="0" borderId="1" xfId="0" applyFill="1" applyBorder="1" applyAlignment="1" applyProtection="1">
      <alignment horizontal="center"/>
      <protection hidden="1"/>
    </xf>
    <xf numFmtId="0" fontId="0" fillId="0" borderId="1" xfId="0" applyBorder="1" applyAlignment="1" applyProtection="1">
      <alignment horizontal="center"/>
      <protection hidden="1"/>
    </xf>
    <xf numFmtId="0" fontId="0" fillId="0" borderId="1" xfId="0" applyFill="1" applyBorder="1" applyAlignment="1">
      <alignment horizontal="right"/>
    </xf>
    <xf numFmtId="0" fontId="0" fillId="0" borderId="1" xfId="0" applyBorder="1" applyAlignment="1">
      <alignment horizontal="right"/>
    </xf>
    <xf numFmtId="0" fontId="0" fillId="6" borderId="6" xfId="0" applyFill="1" applyBorder="1" applyAlignment="1" applyProtection="1">
      <alignment horizontal="left" vertical="center" wrapText="1"/>
      <protection locked="0"/>
    </xf>
    <xf numFmtId="0" fontId="0" fillId="6" borderId="1" xfId="0" applyFill="1" applyBorder="1" applyAlignment="1" applyProtection="1">
      <alignment horizontal="left" vertical="center" wrapText="1"/>
      <protection locked="0"/>
    </xf>
    <xf numFmtId="0" fontId="0" fillId="6" borderId="2" xfId="0" applyFill="1" applyBorder="1" applyAlignment="1" applyProtection="1">
      <alignment horizontal="left" vertical="center" wrapText="1"/>
      <protection locked="0"/>
    </xf>
    <xf numFmtId="0" fontId="17" fillId="0" borderId="0" xfId="0" applyFont="1" applyBorder="1" applyAlignment="1">
      <alignment horizontal="left" vertical="center" wrapText="1"/>
    </xf>
    <xf numFmtId="0" fontId="17" fillId="0" borderId="0" xfId="0" applyFont="1" applyAlignment="1">
      <alignment horizontal="left" wrapText="1"/>
    </xf>
    <xf numFmtId="0" fontId="19" fillId="0" borderId="0" xfId="0" applyFont="1" applyBorder="1" applyAlignment="1">
      <alignment horizontal="right"/>
    </xf>
    <xf numFmtId="0" fontId="22" fillId="0" borderId="0" xfId="0" applyFont="1" applyFill="1" applyBorder="1" applyAlignment="1">
      <alignment horizontal="left" vertical="center" wrapText="1"/>
    </xf>
    <xf numFmtId="0" fontId="22" fillId="0" borderId="0" xfId="0" applyFont="1" applyAlignment="1">
      <alignment horizontal="left" wrapText="1"/>
    </xf>
    <xf numFmtId="0" fontId="17" fillId="0" borderId="0" xfId="0" applyFont="1" applyBorder="1" applyAlignment="1">
      <alignment horizontal="center" vertical="center" wrapText="1"/>
    </xf>
    <xf numFmtId="0" fontId="19" fillId="0" borderId="0" xfId="0" applyFont="1" applyFill="1" applyBorder="1" applyAlignment="1">
      <alignment horizontal="right"/>
    </xf>
    <xf numFmtId="165" fontId="0" fillId="6" borderId="4" xfId="0" applyNumberFormat="1" applyFill="1" applyBorder="1" applyAlignment="1" applyProtection="1">
      <alignment horizontal="center"/>
      <protection locked="0"/>
    </xf>
    <xf numFmtId="0" fontId="0" fillId="0" borderId="7" xfId="0" applyBorder="1" applyAlignment="1">
      <alignment horizontal="center"/>
    </xf>
  </cellXfs>
  <cellStyles count="2">
    <cellStyle name="Hyperlink" xfId="1"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3"/>
  <sheetViews>
    <sheetView tabSelected="1" zoomScaleNormal="100" workbookViewId="0">
      <selection activeCell="F31" sqref="F31"/>
    </sheetView>
  </sheetViews>
  <sheetFormatPr defaultColWidth="8.85546875" defaultRowHeight="15" x14ac:dyDescent="0.25"/>
  <cols>
    <col min="1" max="1" width="5.28515625" customWidth="1"/>
    <col min="2" max="2" width="7.85546875" customWidth="1"/>
    <col min="3" max="3" width="16.140625" customWidth="1"/>
    <col min="4" max="6" width="13.85546875" customWidth="1"/>
    <col min="7" max="9" width="7.42578125" customWidth="1"/>
  </cols>
  <sheetData>
    <row r="1" spans="1:11" ht="17.25" x14ac:dyDescent="0.3">
      <c r="A1" s="90" t="s">
        <v>3</v>
      </c>
      <c r="B1" s="90"/>
      <c r="C1" s="90"/>
      <c r="D1" s="90"/>
      <c r="E1" s="90"/>
      <c r="F1" s="90"/>
      <c r="G1" s="90"/>
      <c r="H1" s="90"/>
      <c r="I1" s="90"/>
    </row>
    <row r="2" spans="1:11" x14ac:dyDescent="0.25">
      <c r="A2" s="91" t="s">
        <v>168</v>
      </c>
      <c r="B2" s="91"/>
      <c r="C2" s="91"/>
      <c r="D2" s="91"/>
      <c r="E2" s="91"/>
      <c r="F2" s="91"/>
      <c r="G2" s="91"/>
      <c r="H2" s="91"/>
      <c r="I2" s="91"/>
    </row>
    <row r="4" spans="1:11" x14ac:dyDescent="0.25">
      <c r="B4" s="20" t="s">
        <v>131</v>
      </c>
      <c r="C4" s="54" t="s">
        <v>189</v>
      </c>
      <c r="D4" s="20" t="s">
        <v>130</v>
      </c>
      <c r="E4" s="55">
        <v>3.34</v>
      </c>
      <c r="F4" s="20" t="s">
        <v>74</v>
      </c>
      <c r="G4" s="94" t="s">
        <v>190</v>
      </c>
      <c r="H4" s="95"/>
      <c r="I4" s="56" t="s">
        <v>191</v>
      </c>
      <c r="J4" s="19"/>
    </row>
    <row r="5" spans="1:11" ht="6.75" customHeight="1" x14ac:dyDescent="0.25">
      <c r="A5" s="19"/>
      <c r="B5" s="19"/>
      <c r="C5" s="23"/>
      <c r="D5" s="20"/>
      <c r="E5" s="21"/>
      <c r="F5" s="19"/>
      <c r="G5" s="19"/>
      <c r="H5" s="19"/>
      <c r="I5" s="19"/>
      <c r="J5" s="19"/>
    </row>
    <row r="6" spans="1:11" x14ac:dyDescent="0.25">
      <c r="B6" s="20" t="s">
        <v>132</v>
      </c>
      <c r="C6" s="54" t="s">
        <v>192</v>
      </c>
      <c r="D6" s="20" t="s">
        <v>4</v>
      </c>
      <c r="E6" s="55" t="s">
        <v>193</v>
      </c>
      <c r="F6" s="20" t="s">
        <v>5</v>
      </c>
      <c r="G6" s="54" t="s">
        <v>193</v>
      </c>
      <c r="H6" s="19"/>
      <c r="I6" s="72" t="s">
        <v>1</v>
      </c>
      <c r="J6" s="19"/>
    </row>
    <row r="7" spans="1:11" ht="9" customHeight="1" x14ac:dyDescent="0.25">
      <c r="I7" s="73" t="s">
        <v>2</v>
      </c>
    </row>
    <row r="8" spans="1:11" x14ac:dyDescent="0.25">
      <c r="A8" s="100" t="s">
        <v>174</v>
      </c>
      <c r="B8" s="101"/>
      <c r="C8" s="54" t="s">
        <v>194</v>
      </c>
      <c r="D8" s="20" t="s">
        <v>173</v>
      </c>
      <c r="E8" s="55" t="s">
        <v>195</v>
      </c>
      <c r="F8" s="20" t="s">
        <v>172</v>
      </c>
      <c r="G8" s="94" t="s">
        <v>196</v>
      </c>
      <c r="H8" s="95"/>
      <c r="I8" s="56"/>
      <c r="J8" s="19"/>
    </row>
    <row r="9" spans="1:11" ht="48.75" customHeight="1" x14ac:dyDescent="0.25">
      <c r="A9" s="98" t="s">
        <v>169</v>
      </c>
      <c r="B9" s="98"/>
      <c r="C9" s="99"/>
      <c r="D9" s="99"/>
      <c r="E9" s="99"/>
      <c r="F9" s="99"/>
      <c r="G9" s="99"/>
      <c r="H9" s="99"/>
      <c r="I9" s="99"/>
      <c r="J9" s="7"/>
      <c r="K9" s="7"/>
    </row>
    <row r="10" spans="1:11" ht="30" customHeight="1" x14ac:dyDescent="0.25">
      <c r="A10" s="102" t="s">
        <v>160</v>
      </c>
      <c r="B10" s="92" t="s">
        <v>0</v>
      </c>
      <c r="C10" s="93"/>
      <c r="D10" s="16" t="s">
        <v>114</v>
      </c>
      <c r="E10" s="16" t="s">
        <v>115</v>
      </c>
      <c r="F10" s="16" t="s">
        <v>116</v>
      </c>
      <c r="G10" s="16" t="s">
        <v>117</v>
      </c>
      <c r="H10" s="16" t="s">
        <v>118</v>
      </c>
      <c r="I10" s="16" t="s">
        <v>119</v>
      </c>
    </row>
    <row r="11" spans="1:11" x14ac:dyDescent="0.25">
      <c r="A11" s="103"/>
      <c r="B11" s="27" t="s">
        <v>6</v>
      </c>
      <c r="C11" s="11"/>
      <c r="D11" s="10"/>
      <c r="E11" s="10"/>
      <c r="F11" s="10"/>
      <c r="G11" s="10"/>
      <c r="H11" s="10"/>
      <c r="I11" s="10"/>
    </row>
    <row r="12" spans="1:11" ht="67.5" x14ac:dyDescent="0.25">
      <c r="A12" s="77">
        <v>1</v>
      </c>
      <c r="B12" s="96" t="s">
        <v>108</v>
      </c>
      <c r="C12" s="97"/>
      <c r="D12" s="37" t="s">
        <v>141</v>
      </c>
      <c r="E12" s="69" t="s">
        <v>16</v>
      </c>
      <c r="F12" s="69" t="s">
        <v>17</v>
      </c>
      <c r="G12" s="79">
        <f>IF(H12+I12=0,IF(I13&gt;1,0,(IF(H13&gt;1,0,(IF(D13="Yes",25,0))))),0)</f>
        <v>0</v>
      </c>
      <c r="H12" s="79">
        <f>IF(I12=0,IF(D13="Yes",IF(I12=100,0,(IF(D13=E13,50,0))),0),0)</f>
        <v>0</v>
      </c>
      <c r="I12" s="79">
        <f>IF(D13="Yes",IF(D13=E13,(IF(F13="Yes",100,0)),0),0)</f>
        <v>100</v>
      </c>
    </row>
    <row r="13" spans="1:11" x14ac:dyDescent="0.25">
      <c r="A13" s="78"/>
      <c r="B13" s="88"/>
      <c r="C13" s="89"/>
      <c r="D13" s="66" t="s">
        <v>197</v>
      </c>
      <c r="E13" s="70" t="s">
        <v>197</v>
      </c>
      <c r="F13" s="70" t="s">
        <v>1</v>
      </c>
      <c r="G13" s="80"/>
      <c r="H13" s="80"/>
      <c r="I13" s="80"/>
    </row>
    <row r="14" spans="1:11" ht="45" x14ac:dyDescent="0.25">
      <c r="A14" s="17">
        <v>2</v>
      </c>
      <c r="B14" s="81" t="s">
        <v>142</v>
      </c>
      <c r="C14" s="82"/>
      <c r="D14" s="28" t="s">
        <v>13</v>
      </c>
      <c r="E14" s="6" t="s">
        <v>14</v>
      </c>
      <c r="F14" s="6" t="s">
        <v>15</v>
      </c>
      <c r="G14" s="57">
        <f>IF(Worksheet!I8=0,0,(IF((H14+I14)=0,(IF((Worksheet!I8/Worksheet!I16)&gt;=2,75,0)),0)))</f>
        <v>0</v>
      </c>
      <c r="H14" s="57">
        <f>IF(Worksheet!I8=0,0,(IF(I14=0,(IF((Worksheet!I8/Worksheet!I16)&gt;=3.5,100,0)),0)))</f>
        <v>0</v>
      </c>
      <c r="I14" s="57">
        <f>IF(Worksheet!I8=0,0,(IF((Worksheet!I8/Worksheet!I16)&gt;=5,200,0)))</f>
        <v>200</v>
      </c>
    </row>
    <row r="15" spans="1:11" x14ac:dyDescent="0.25">
      <c r="A15" s="13"/>
      <c r="B15" s="11" t="s">
        <v>7</v>
      </c>
      <c r="C15" s="11"/>
      <c r="D15" s="13"/>
      <c r="E15" s="13"/>
      <c r="F15" s="13"/>
      <c r="G15" s="58"/>
      <c r="H15" s="58"/>
      <c r="I15" s="58"/>
    </row>
    <row r="16" spans="1:11" ht="44.1" customHeight="1" x14ac:dyDescent="0.25">
      <c r="A16" s="24">
        <v>3</v>
      </c>
      <c r="B16" s="81" t="s">
        <v>107</v>
      </c>
      <c r="C16" s="82"/>
      <c r="D16" s="6" t="s">
        <v>52</v>
      </c>
      <c r="E16" s="6" t="s">
        <v>53</v>
      </c>
      <c r="F16" s="6" t="s">
        <v>54</v>
      </c>
      <c r="G16" s="57">
        <f>IF(H16+I16=0,(IF(Worksheet!I16&gt;=(Worksheet!H16+1),75,0)),0)</f>
        <v>0</v>
      </c>
      <c r="H16" s="57">
        <f>IF(Worksheet!I16=0,0,(IF(I16=0,IF(Worksheet!I16&gt;=(Worksheet!H16*1.01),100,0),0)))</f>
        <v>0</v>
      </c>
      <c r="I16" s="57">
        <f>IF(Worksheet!I16=0,0,(IF(Worksheet!I16&gt;=(Worksheet!H16*1.03),200,0)))</f>
        <v>200</v>
      </c>
    </row>
    <row r="17" spans="1:9" ht="67.5" x14ac:dyDescent="0.25">
      <c r="A17" s="15">
        <v>4</v>
      </c>
      <c r="B17" s="81" t="s">
        <v>106</v>
      </c>
      <c r="C17" s="82"/>
      <c r="D17" s="6" t="s">
        <v>55</v>
      </c>
      <c r="E17" s="6" t="s">
        <v>56</v>
      </c>
      <c r="F17" s="6" t="s">
        <v>57</v>
      </c>
      <c r="G17" s="57">
        <f>IF(Worksheet!I16=0,0,(IF(H17+I17=0,IF(OR(Worksheet!I19&gt;=(Worksheet!I27*0.6),Worksheet!I19&gt;=(Worksheet!H19*1.05)),25,0),0)))</f>
        <v>0</v>
      </c>
      <c r="H17" s="57">
        <f>IF(Worksheet!I19=0,0,(IF(Worksheet!I19&gt;=(Worksheet!I27*0.6),IF(I17=0,IF(OR(Worksheet!I19&gt;=(Worksheet!I27*0.75),Worksheet!I19&gt;=(Worksheet!H19*1.05)),50,0),0),0)))</f>
        <v>50</v>
      </c>
      <c r="I17" s="57">
        <f>IF(Worksheet!I19=0,0,(IF(Worksheet!I19&gt;=(Worksheet!I27*0.75),IF(OR(Worksheet!I19&gt;=(Worksheet!I27*0.9),Worksheet!I19&gt;=(Worksheet!H19*1.05)),100,0),0)))</f>
        <v>0</v>
      </c>
    </row>
    <row r="18" spans="1:9" ht="36" customHeight="1" x14ac:dyDescent="0.25">
      <c r="A18" s="24">
        <v>5</v>
      </c>
      <c r="B18" s="81" t="s">
        <v>105</v>
      </c>
      <c r="C18" s="82"/>
      <c r="D18" s="6" t="s">
        <v>58</v>
      </c>
      <c r="E18" s="6" t="s">
        <v>59</v>
      </c>
      <c r="F18" s="6" t="s">
        <v>60</v>
      </c>
      <c r="G18" s="57">
        <f>IF(Worksheet!I20=0,0,(IF(H18+I18=0,IF(OR(Worksheet!I20/(Worksheet!I11-Worksheet!I19+Worksheet!I20)&gt;=0.3,Worksheet!I20&gt;=(Worksheet!H20*1.05)),25,0),0)))</f>
        <v>25</v>
      </c>
      <c r="H18" s="57">
        <f>IF(Worksheet!I20=0,0,IF((Worksheet!I20/(Worksheet!I11-Worksheet!I19+Worksheet!I20)&gt;=0.3),(IF(Worksheet!I20/(Worksheet!I11-Worksheet!I2+Worksheet!I230)&gt;=0.3,IF(I18=0,IF(OR(Worksheet!I20/(Worksheet!I11-Worksheet!I19+Worksheet!I20)&gt;=0.4,Worksheet!I20&gt;=(Worksheet!H20*1.03)),50,0),0),0)),0))</f>
        <v>0</v>
      </c>
      <c r="I18" s="57">
        <f>IF(Worksheet!I20=0,0,IF((Worksheet!I20/(Worksheet!I11-Worksheet!I19+Worksheet!I20)&gt;=0.3),(IF(Worksheet!I20/(Worksheet!I11-Worksheet!I19+Worksheet!I20)&gt;=0.4,IF(OR(Worksheet!I20/(Worksheet!I11-Worksheet!I19+Worksheet!I20)&gt;=0.5,Worksheet!I20&gt;=(Worksheet!H20*1.05)),100,0),0)),0))</f>
        <v>0</v>
      </c>
    </row>
    <row r="19" spans="1:9" ht="33" customHeight="1" x14ac:dyDescent="0.25">
      <c r="A19" s="17">
        <v>6</v>
      </c>
      <c r="B19" s="81" t="s">
        <v>51</v>
      </c>
      <c r="C19" s="82"/>
      <c r="D19" s="6" t="s">
        <v>61</v>
      </c>
      <c r="E19" s="6" t="s">
        <v>62</v>
      </c>
      <c r="F19" s="6" t="s">
        <v>63</v>
      </c>
      <c r="G19" s="57">
        <f>IF(Worksheet!I16=0,0,(IF(H19+I19=0,IF(OR(((Worksheet!I16-Worksheet!I19)/Worksheet!I16&gt;=0.5),(((Worksheet!I16-Worksheet!I19)/Worksheet!I16)-(((Worksheet!H16-Worksheet!H19)/Worksheet!H16))&gt;=0.04)),75,0),0)))</f>
        <v>0</v>
      </c>
      <c r="H19" s="57">
        <f>IF(Worksheet!I16=0,0,(IF(((Worksheet!I16-Worksheet!I19)/Worksheet!I16&gt;=0.5),IF(I19=0,IF(OR(((Worksheet!I16-Worksheet!I19)/Worksheet!I16&gt;=0.6),(((Worksheet!I16-Worksheet!I19)/Worksheet!I16)-(((Worksheet!H16-Worksheet!H19)/Worksheet!H16))&gt;=0.04)),100,0),0),0)))</f>
        <v>0</v>
      </c>
      <c r="I19" s="57">
        <f>IF(Worksheet!I16=0,0,(IF(((Worksheet!I16-Worksheet!I19)/Worksheet!I16&gt;=0.6),IF(OR(((Worksheet!I16-Worksheet!I19)/Worksheet!I16&gt;=0.7),(((Worksheet!I16-Worksheet!I19)/Worksheet!I16)-(((Worksheet!H16-Worksheet!H19)/Worksheet!H16))&gt;=0.05)),200,0),0)))</f>
        <v>200</v>
      </c>
    </row>
    <row r="20" spans="1:9" x14ac:dyDescent="0.25">
      <c r="A20" s="14"/>
      <c r="B20" s="12" t="s">
        <v>8</v>
      </c>
      <c r="C20" s="12"/>
      <c r="D20" s="14"/>
      <c r="E20" s="14"/>
      <c r="F20" s="14"/>
      <c r="G20" s="59"/>
      <c r="H20" s="59"/>
      <c r="I20" s="59"/>
    </row>
    <row r="21" spans="1:9" ht="45" x14ac:dyDescent="0.25">
      <c r="A21" s="17">
        <v>7</v>
      </c>
      <c r="B21" s="81" t="s">
        <v>143</v>
      </c>
      <c r="C21" s="82"/>
      <c r="D21" s="6" t="s">
        <v>40</v>
      </c>
      <c r="E21" s="6" t="s">
        <v>41</v>
      </c>
      <c r="F21" s="6" t="s">
        <v>42</v>
      </c>
      <c r="G21" s="57">
        <f>IF(Worksheet!I25=0,0,(IF(I21+H21=0,(IF((Worksheet!I26/Worksheet!I25)&gt;=0.9,75,0)),0)))</f>
        <v>0</v>
      </c>
      <c r="H21" s="57">
        <f>IF(Worksheet!I25=0,0,(IF(I21=0,(IF((Worksheet!I26/Worksheet!I25)&gt;=0.95,100,0)),0)))</f>
        <v>0</v>
      </c>
      <c r="I21" s="57">
        <f>IF(Worksheet!I25=0,0,(IF((Worksheet!I26/Worksheet!I25)=1,200,0)))</f>
        <v>200</v>
      </c>
    </row>
    <row r="22" spans="1:9" ht="56.25" x14ac:dyDescent="0.25">
      <c r="A22" s="17">
        <v>8</v>
      </c>
      <c r="B22" s="81" t="s">
        <v>39</v>
      </c>
      <c r="C22" s="82"/>
      <c r="D22" s="6" t="s">
        <v>43</v>
      </c>
      <c r="E22" s="6" t="s">
        <v>44</v>
      </c>
      <c r="F22" s="6" t="s">
        <v>45</v>
      </c>
      <c r="G22" s="57">
        <f>IF(Worksheet!H33=0,0,(IF(H22+I22=0,(IF(Worksheet!H33&lt;=Worksheet!I33,25,0)),0)))</f>
        <v>0</v>
      </c>
      <c r="H22" s="57">
        <f>IF(Worksheet!H33=0,0,(IF(I22=0,(IF(Worksheet!H33*1.1&lt;=Worksheet!I33,50,0)),0)))</f>
        <v>0</v>
      </c>
      <c r="I22" s="57">
        <f>IF(Worksheet!H33=0,0,(IF(Worksheet!H33*1.2&lt;=Worksheet!I33,100,0)))</f>
        <v>100</v>
      </c>
    </row>
    <row r="23" spans="1:9" ht="56.25" x14ac:dyDescent="0.25">
      <c r="A23" s="77">
        <v>9</v>
      </c>
      <c r="B23" s="86" t="s">
        <v>38</v>
      </c>
      <c r="C23" s="87"/>
      <c r="D23" s="38" t="s">
        <v>46</v>
      </c>
      <c r="E23" s="38" t="s">
        <v>47</v>
      </c>
      <c r="F23" s="38" t="s">
        <v>144</v>
      </c>
      <c r="G23" s="79">
        <f>IF(H23+I23=0,IF(I23&gt;1,0,(IF(H23&gt;1,0,(IF(D24="Yes",25,0))))),0)</f>
        <v>0</v>
      </c>
      <c r="H23" s="79">
        <f>IF(I23=0,IF(D24="Yes",IF(I23=100,0,(IF(D24=E24,50,0))),0),0)</f>
        <v>0</v>
      </c>
      <c r="I23" s="79">
        <f>IF(D24=E24,(IF(F24="Yes",100,0)),0)</f>
        <v>100</v>
      </c>
    </row>
    <row r="24" spans="1:9" x14ac:dyDescent="0.25">
      <c r="A24" s="78"/>
      <c r="B24" s="88"/>
      <c r="C24" s="89"/>
      <c r="D24" s="66" t="s">
        <v>197</v>
      </c>
      <c r="E24" s="66" t="s">
        <v>197</v>
      </c>
      <c r="F24" s="66" t="s">
        <v>1</v>
      </c>
      <c r="G24" s="80"/>
      <c r="H24" s="80"/>
      <c r="I24" s="80"/>
    </row>
    <row r="25" spans="1:9" ht="38.1" customHeight="1" x14ac:dyDescent="0.25">
      <c r="A25" s="17">
        <v>10</v>
      </c>
      <c r="B25" s="81" t="s">
        <v>37</v>
      </c>
      <c r="C25" s="82"/>
      <c r="D25" s="76" t="s">
        <v>48</v>
      </c>
      <c r="E25" s="76" t="s">
        <v>49</v>
      </c>
      <c r="F25" s="76" t="s">
        <v>50</v>
      </c>
      <c r="G25" s="57">
        <f>IF(Worksheet!I16=0,0,(IF(I25+H25=0,(IF(Worksheet!I46&gt;=(Worksheet!I16*0.1),25,0)),0)))</f>
        <v>0</v>
      </c>
      <c r="H25" s="57">
        <f>IF(Worksheet!I16=0,0,(IF(I25=0,(IF(Worksheet!I46&gt;=(Worksheet!I16*0.2),50,0)),0)))</f>
        <v>50</v>
      </c>
      <c r="I25" s="57">
        <f>IF(Worksheet!I16=0,0,(IF(Worksheet!I46&gt;=(Worksheet!I16*0.3),100,0)))</f>
        <v>0</v>
      </c>
    </row>
    <row r="26" spans="1:9" ht="56.1" customHeight="1" x14ac:dyDescent="0.25">
      <c r="A26" s="83">
        <v>11</v>
      </c>
      <c r="B26" s="84" t="s">
        <v>145</v>
      </c>
      <c r="C26" s="85"/>
      <c r="D26" s="38" t="s">
        <v>146</v>
      </c>
      <c r="E26" s="38" t="s">
        <v>35</v>
      </c>
      <c r="F26" s="38" t="s">
        <v>36</v>
      </c>
      <c r="G26" s="79">
        <f>IF(H26+I26=0,IF(I26&gt;1,0,(IF(H26&gt;1,0,(IF(D27="Yes",25,0))))),0)</f>
        <v>0</v>
      </c>
      <c r="H26" s="79">
        <f>IF(I26=0,IF(D27="Yes",IF(I26=100,0,(IF(D27=E27,50,0))),0),0)</f>
        <v>0</v>
      </c>
      <c r="I26" s="79">
        <f>IF(D27="YES",IF(D27=E27,(IF(F27="Yes",100,0)),0),0)</f>
        <v>100</v>
      </c>
    </row>
    <row r="27" spans="1:9" x14ac:dyDescent="0.25">
      <c r="A27" s="83"/>
      <c r="B27" s="85"/>
      <c r="C27" s="85"/>
      <c r="D27" s="66" t="s">
        <v>197</v>
      </c>
      <c r="E27" s="66" t="s">
        <v>197</v>
      </c>
      <c r="F27" s="66" t="s">
        <v>197</v>
      </c>
      <c r="G27" s="80"/>
      <c r="H27" s="80"/>
      <c r="I27" s="80"/>
    </row>
    <row r="28" spans="1:9" x14ac:dyDescent="0.25">
      <c r="A28" s="14"/>
      <c r="B28" s="12" t="s">
        <v>112</v>
      </c>
      <c r="C28" s="12"/>
      <c r="D28" s="14"/>
      <c r="E28" s="14"/>
      <c r="F28" s="14"/>
      <c r="G28" s="59"/>
      <c r="H28" s="59"/>
      <c r="I28" s="59"/>
    </row>
    <row r="29" spans="1:9" ht="56.25" x14ac:dyDescent="0.25">
      <c r="A29" s="17">
        <v>12</v>
      </c>
      <c r="B29" s="81" t="s">
        <v>110</v>
      </c>
      <c r="C29" s="82"/>
      <c r="D29" s="6" t="s">
        <v>32</v>
      </c>
      <c r="E29" s="6" t="s">
        <v>33</v>
      </c>
      <c r="F29" s="6" t="s">
        <v>34</v>
      </c>
      <c r="G29" s="57">
        <f>IF(Worksheet!H7=0,0,(IF((H29+I29)=0,(IF((Worksheet!H7/Worksheet!I16)&gt;=2,75,0)),0)))</f>
        <v>0</v>
      </c>
      <c r="H29" s="57">
        <f>IF(Worksheet!H7=0,0,(IF(I29=0,(IF((Worksheet!H7/Worksheet!I16)&gt;=2.5,100,0)),0)))</f>
        <v>0</v>
      </c>
      <c r="I29" s="57">
        <f>IF(Worksheet!H7=0,0,(IF((Worksheet!H7/Worksheet!I16)&gt;=3,200,0)))</f>
        <v>200</v>
      </c>
    </row>
    <row r="30" spans="1:9" ht="45" x14ac:dyDescent="0.25">
      <c r="A30" s="17">
        <v>13</v>
      </c>
      <c r="B30" s="81" t="s">
        <v>109</v>
      </c>
      <c r="C30" s="82"/>
      <c r="D30" s="6" t="s">
        <v>29</v>
      </c>
      <c r="E30" s="6" t="s">
        <v>30</v>
      </c>
      <c r="F30" s="6" t="s">
        <v>31</v>
      </c>
      <c r="G30" s="57">
        <f>IF(Worksheet!I49=0,0,(IF(H30+I30=0,IF(OR(Worksheet!I49&gt;=(Worksheet!I24*0.75),Worksheet!I49&gt;=(Worksheet!H49*1.03)),75,0),0)))</f>
        <v>0</v>
      </c>
      <c r="H30" s="57">
        <f>IF(Worksheet!I49=0,0,(IF(Worksheet!I49&gt;=(Worksheet!I24*0.75),IF(I30=0,IF(OR(Worksheet!I49&gt;=(Worksheet!I24*0.8),Worksheet!I49&gt;=(Worksheet!H49*1.03)),100,0),0),0)))</f>
        <v>0</v>
      </c>
      <c r="I30" s="74">
        <f>IF(Worksheet!I49=0,0,(IF(Worksheet!I49&gt;=(Worksheet!I24*0.8),IF(OR(Worksheet!I49&gt;=(Worksheet!I24*0.85),Worksheet!I49&gt;=(Worksheet!H49*1.03)),200,0),0)))</f>
        <v>200</v>
      </c>
    </row>
    <row r="31" spans="1:9" ht="39" customHeight="1" x14ac:dyDescent="0.25">
      <c r="A31" s="15">
        <v>14</v>
      </c>
      <c r="B31" s="81" t="s">
        <v>22</v>
      </c>
      <c r="C31" s="82"/>
      <c r="D31" s="6" t="s">
        <v>26</v>
      </c>
      <c r="E31" s="6" t="s">
        <v>27</v>
      </c>
      <c r="F31" s="6" t="s">
        <v>28</v>
      </c>
      <c r="G31" s="57">
        <f>IF(H31+I31=0,IF((5-(COUNTBLANK(Worksheet!G52:G56)))=2,75,0),0)</f>
        <v>0</v>
      </c>
      <c r="H31" s="57">
        <f>IF(I31=0,IF((5-(COUNTBLANK(Worksheet!G52:G56)))&gt;2,100,0),0)</f>
        <v>0</v>
      </c>
      <c r="I31" s="57">
        <f>IF((5-(COUNTBLANK(Worksheet!G52:G56)))=5,200,0)</f>
        <v>200</v>
      </c>
    </row>
    <row r="32" spans="1:9" ht="22.5" x14ac:dyDescent="0.25">
      <c r="A32" s="17">
        <v>15</v>
      </c>
      <c r="B32" s="81" t="s">
        <v>104</v>
      </c>
      <c r="C32" s="82"/>
      <c r="D32" s="6" t="s">
        <v>23</v>
      </c>
      <c r="E32" s="6" t="s">
        <v>24</v>
      </c>
      <c r="F32" s="6" t="s">
        <v>25</v>
      </c>
      <c r="G32" s="57">
        <f>IF(H32+I32=0,IF((3-(COUNTBLANK(Worksheet!E59:E61)))=1,75,0),0)</f>
        <v>0</v>
      </c>
      <c r="H32" s="57">
        <f>IF(I32=0,IF((3-(COUNTBLANK(Worksheet!E59:E61)))=2,100,0),0)</f>
        <v>0</v>
      </c>
      <c r="I32" s="57">
        <f>IF((3-(COUNTBLANK(Worksheet!E59:E61)))=3,200,0)</f>
        <v>200</v>
      </c>
    </row>
    <row r="33" spans="1:11" x14ac:dyDescent="0.25">
      <c r="A33" s="14"/>
      <c r="B33" s="12" t="s">
        <v>113</v>
      </c>
      <c r="C33" s="12"/>
      <c r="D33" s="14"/>
      <c r="E33" s="14"/>
      <c r="F33" s="14"/>
      <c r="G33" s="59"/>
      <c r="H33" s="59"/>
      <c r="I33" s="59"/>
    </row>
    <row r="34" spans="1:11" ht="45" customHeight="1" x14ac:dyDescent="0.25">
      <c r="A34" s="17">
        <v>16</v>
      </c>
      <c r="B34" s="81" t="s">
        <v>103</v>
      </c>
      <c r="C34" s="82"/>
      <c r="D34" s="6" t="s">
        <v>21</v>
      </c>
      <c r="E34" s="6" t="s">
        <v>20</v>
      </c>
      <c r="F34" s="6" t="s">
        <v>19</v>
      </c>
      <c r="G34" s="60">
        <f>IF(Worksheet!I64=0,0,(IF(H34+I34=0,IF(OR(Worksheet!I65&gt;=(Worksheet!I64*0.75),Worksheet!I65&gt;=(Worksheet!H65*1.03)),25,0),0)))</f>
        <v>25</v>
      </c>
      <c r="H34" s="60">
        <f>IF(Worksheet!I64=0,0,(IF(Worksheet!I65&gt;=(Worksheet!I64*0.75),IF(I34=0,IF(OR(Worksheet!I65&gt;=(Worksheet!I64*0.8),Worksheet!I65&gt;=(Worksheet!H65*1.03)),50,0),0),0)))</f>
        <v>0</v>
      </c>
      <c r="I34" s="60">
        <f>IF(Worksheet!I64=0,0,(IF(Worksheet!I65&gt;=(Worksheet!I64*0.8),IF(OR(Worksheet!I65&gt;=(Worksheet!I64*0.85),Worksheet!I65&gt;=(Worksheet!H65*1.03)),100,0),0)))</f>
        <v>0</v>
      </c>
    </row>
    <row r="35" spans="1:11" ht="56.25" x14ac:dyDescent="0.25">
      <c r="A35" s="83">
        <v>17</v>
      </c>
      <c r="B35" s="84" t="s">
        <v>147</v>
      </c>
      <c r="C35" s="85"/>
      <c r="D35" s="38" t="s">
        <v>18</v>
      </c>
      <c r="E35" s="38" t="s">
        <v>148</v>
      </c>
      <c r="F35" s="38" t="s">
        <v>149</v>
      </c>
      <c r="G35" s="79">
        <f>IF(H35+I35=0,IF(I35&gt;1,0,(IF(H35&gt;1,0,(IF(D36="Yes",25,0))))),0)</f>
        <v>25</v>
      </c>
      <c r="H35" s="79">
        <f>IF(I35=0,IF(D36="Yes",IF(I35=100,0,(IF(D36=E36,50,0))),0),0)</f>
        <v>0</v>
      </c>
      <c r="I35" s="79">
        <f>IF(D36="YES",IF(D36=E36,(IF(F36="Yes",100,0)),0),0)</f>
        <v>0</v>
      </c>
    </row>
    <row r="36" spans="1:11" x14ac:dyDescent="0.25">
      <c r="A36" s="83"/>
      <c r="B36" s="85"/>
      <c r="C36" s="85"/>
      <c r="D36" s="66" t="s">
        <v>197</v>
      </c>
      <c r="E36" s="66"/>
      <c r="F36" s="66"/>
      <c r="G36" s="80"/>
      <c r="H36" s="80"/>
      <c r="I36" s="80"/>
    </row>
    <row r="37" spans="1:11" x14ac:dyDescent="0.25">
      <c r="F37" s="25" t="s">
        <v>9</v>
      </c>
      <c r="G37" s="61">
        <f>SUM(G12:G35)</f>
        <v>75</v>
      </c>
      <c r="H37" s="61">
        <f>SUM(H12:H35)</f>
        <v>100</v>
      </c>
      <c r="I37" s="67">
        <f>SUM(I12:I35)</f>
        <v>2000</v>
      </c>
    </row>
    <row r="38" spans="1:11" ht="15.75" x14ac:dyDescent="0.25">
      <c r="B38" s="110" t="s">
        <v>95</v>
      </c>
      <c r="C38" s="111"/>
      <c r="D38" s="114" t="str">
        <f>IF(AND(I38&gt;=1400,SUM(G16:I16)&gt;0,SUM(G18:I18)&gt;0,COUNTIF(G12:I36,0)&lt;=36),"Gold",(IF(AND(I38&gt;=1100,SUM(G16:I16)&gt;0,SUM(G18:I18)&gt;0,COUNTIF(G12:I36,0)&lt;=39),"Silver",(IF(AND(I38&gt;=800,SUM(G16:I16)&gt;0,SUM(G18:I18)&gt;0,COUNTIF(G12:I36,0)&lt;=41),"Bronze","None")))))</f>
        <v>Gold</v>
      </c>
      <c r="H38" s="26" t="s">
        <v>10</v>
      </c>
      <c r="I38" s="68">
        <f>SUM(G37:I37)</f>
        <v>2175</v>
      </c>
    </row>
    <row r="39" spans="1:11" x14ac:dyDescent="0.25">
      <c r="B39" s="112"/>
      <c r="C39" s="113"/>
      <c r="D39" s="115"/>
    </row>
    <row r="40" spans="1:11" ht="83.1" customHeight="1" x14ac:dyDescent="0.25">
      <c r="A40" s="120" t="s">
        <v>11</v>
      </c>
      <c r="B40" s="120"/>
      <c r="C40" s="105"/>
      <c r="D40" s="105"/>
      <c r="E40" s="105"/>
      <c r="F40" s="105"/>
      <c r="G40" s="105"/>
      <c r="H40" s="105"/>
      <c r="I40" s="105"/>
      <c r="J40" s="8"/>
      <c r="K40" s="8"/>
    </row>
    <row r="41" spans="1:11" x14ac:dyDescent="0.25">
      <c r="J41" s="1"/>
      <c r="K41" s="1"/>
    </row>
    <row r="42" spans="1:11" x14ac:dyDescent="0.25">
      <c r="A42" s="51" t="s">
        <v>111</v>
      </c>
      <c r="B42" s="3"/>
      <c r="C42" s="3"/>
      <c r="D42" s="3"/>
      <c r="E42" s="3"/>
      <c r="F42" s="3"/>
      <c r="G42" s="3"/>
      <c r="H42" s="3"/>
      <c r="I42" s="4"/>
      <c r="J42" s="1"/>
      <c r="K42" s="1"/>
    </row>
    <row r="43" spans="1:11" ht="48.75" customHeight="1" x14ac:dyDescent="0.25">
      <c r="A43" s="5"/>
      <c r="B43" s="22"/>
      <c r="C43" s="121" t="s">
        <v>120</v>
      </c>
      <c r="D43" s="122"/>
      <c r="E43" s="122"/>
      <c r="F43" s="122"/>
      <c r="G43" s="122"/>
      <c r="H43" s="122"/>
      <c r="I43" s="123"/>
      <c r="J43" s="9"/>
      <c r="K43" s="9"/>
    </row>
    <row r="44" spans="1:11" ht="66.75" customHeight="1" x14ac:dyDescent="0.25">
      <c r="A44" s="5"/>
      <c r="B44" s="22"/>
      <c r="C44" s="124" t="s">
        <v>150</v>
      </c>
      <c r="D44" s="122"/>
      <c r="E44" s="122"/>
      <c r="F44" s="122"/>
      <c r="G44" s="122"/>
      <c r="H44" s="122"/>
      <c r="I44" s="123"/>
      <c r="J44" s="9"/>
      <c r="K44" s="9"/>
    </row>
    <row r="45" spans="1:11" x14ac:dyDescent="0.25">
      <c r="A45" s="5"/>
      <c r="B45" s="22"/>
      <c r="C45" s="124" t="s">
        <v>121</v>
      </c>
      <c r="D45" s="122"/>
      <c r="E45" s="122"/>
      <c r="F45" s="122"/>
      <c r="G45" s="122"/>
      <c r="H45" s="122"/>
      <c r="I45" s="123"/>
      <c r="J45" s="9"/>
      <c r="K45" s="9"/>
    </row>
    <row r="46" spans="1:11" ht="33" customHeight="1" x14ac:dyDescent="0.25">
      <c r="A46" s="5"/>
      <c r="B46" s="22"/>
      <c r="C46" s="125" t="s">
        <v>122</v>
      </c>
      <c r="D46" s="122"/>
      <c r="E46" s="122"/>
      <c r="F46" s="122"/>
      <c r="G46" s="122"/>
      <c r="H46" s="122"/>
      <c r="I46" s="123"/>
      <c r="J46" s="1"/>
      <c r="K46" s="1"/>
    </row>
    <row r="47" spans="1:11" ht="32.1" customHeight="1" x14ac:dyDescent="0.25">
      <c r="A47" s="5"/>
      <c r="B47" s="22"/>
      <c r="C47" s="126" t="s">
        <v>123</v>
      </c>
      <c r="D47" s="122"/>
      <c r="E47" s="122"/>
      <c r="F47" s="122"/>
      <c r="G47" s="122"/>
      <c r="H47" s="122"/>
      <c r="I47" s="123"/>
      <c r="J47" s="1"/>
      <c r="K47" s="1"/>
    </row>
    <row r="48" spans="1:11" ht="30.75" customHeight="1" x14ac:dyDescent="0.25">
      <c r="A48" s="5"/>
      <c r="B48" s="22"/>
      <c r="C48" s="126" t="s">
        <v>124</v>
      </c>
      <c r="D48" s="122"/>
      <c r="E48" s="122"/>
      <c r="F48" s="122"/>
      <c r="G48" s="122"/>
      <c r="H48" s="122"/>
      <c r="I48" s="123"/>
      <c r="J48" s="1"/>
      <c r="K48" s="1"/>
    </row>
    <row r="49" spans="1:11" ht="62.1" customHeight="1" x14ac:dyDescent="0.25">
      <c r="A49" s="116" t="s">
        <v>12</v>
      </c>
      <c r="B49" s="117"/>
      <c r="C49" s="118"/>
      <c r="D49" s="118"/>
      <c r="E49" s="118"/>
      <c r="F49" s="118"/>
      <c r="G49" s="118"/>
      <c r="H49" s="118"/>
      <c r="I49" s="119"/>
      <c r="J49" s="9"/>
      <c r="K49" s="9"/>
    </row>
    <row r="50" spans="1:11" x14ac:dyDescent="0.25">
      <c r="A50" s="2" t="s">
        <v>64</v>
      </c>
      <c r="B50" s="2"/>
    </row>
    <row r="52" spans="1:11" ht="35.25" customHeight="1" x14ac:dyDescent="0.25">
      <c r="A52" s="109" t="s">
        <v>151</v>
      </c>
      <c r="B52" s="109"/>
      <c r="C52" s="107"/>
      <c r="D52" s="107"/>
      <c r="E52" s="107"/>
      <c r="F52" s="107"/>
      <c r="G52" s="107"/>
      <c r="H52" s="107"/>
      <c r="I52" s="107"/>
    </row>
    <row r="53" spans="1:11" ht="39.75" customHeight="1" x14ac:dyDescent="0.25">
      <c r="A53" s="109" t="s">
        <v>125</v>
      </c>
      <c r="B53" s="109"/>
      <c r="C53" s="107"/>
      <c r="D53" s="107"/>
      <c r="E53" s="107"/>
      <c r="F53" s="107"/>
      <c r="G53" s="107"/>
      <c r="H53" s="107"/>
      <c r="I53" s="107"/>
    </row>
    <row r="54" spans="1:11" ht="44.1" customHeight="1" x14ac:dyDescent="0.25">
      <c r="A54" s="109" t="s">
        <v>65</v>
      </c>
      <c r="B54" s="109"/>
      <c r="C54" s="107"/>
      <c r="D54" s="107"/>
      <c r="E54" s="107"/>
      <c r="F54" s="107"/>
      <c r="G54" s="107"/>
      <c r="H54" s="107"/>
      <c r="I54" s="107"/>
    </row>
    <row r="55" spans="1:11" ht="58.5" customHeight="1" x14ac:dyDescent="0.25">
      <c r="A55" s="109" t="s">
        <v>66</v>
      </c>
      <c r="B55" s="109"/>
      <c r="C55" s="107"/>
      <c r="D55" s="107"/>
      <c r="E55" s="107"/>
      <c r="F55" s="107"/>
      <c r="G55" s="107"/>
      <c r="H55" s="107"/>
      <c r="I55" s="107"/>
    </row>
    <row r="56" spans="1:11" ht="48.75" customHeight="1" x14ac:dyDescent="0.25">
      <c r="A56" s="109" t="s">
        <v>67</v>
      </c>
      <c r="B56" s="109"/>
      <c r="C56" s="107"/>
      <c r="D56" s="107"/>
      <c r="E56" s="107"/>
      <c r="F56" s="107"/>
      <c r="G56" s="107"/>
      <c r="H56" s="107"/>
      <c r="I56" s="107"/>
    </row>
    <row r="57" spans="1:11" ht="27" customHeight="1" x14ac:dyDescent="0.25">
      <c r="A57" s="109" t="s">
        <v>152</v>
      </c>
      <c r="B57" s="109"/>
      <c r="C57" s="107"/>
      <c r="D57" s="107"/>
      <c r="E57" s="107"/>
      <c r="F57" s="107"/>
      <c r="G57" s="107"/>
      <c r="H57" s="107"/>
      <c r="I57" s="107"/>
    </row>
    <row r="58" spans="1:11" ht="29.1" customHeight="1" x14ac:dyDescent="0.25">
      <c r="A58" s="109" t="s">
        <v>153</v>
      </c>
      <c r="B58" s="109"/>
      <c r="C58" s="107"/>
      <c r="D58" s="107"/>
      <c r="E58" s="107"/>
      <c r="F58" s="107"/>
      <c r="G58" s="107"/>
      <c r="H58" s="107"/>
      <c r="I58" s="107"/>
    </row>
    <row r="59" spans="1:11" ht="29.1" customHeight="1" x14ac:dyDescent="0.25">
      <c r="A59" s="109" t="s">
        <v>154</v>
      </c>
      <c r="B59" s="109"/>
      <c r="C59" s="107"/>
      <c r="D59" s="107"/>
      <c r="E59" s="107"/>
      <c r="F59" s="107"/>
      <c r="G59" s="107"/>
      <c r="H59" s="107"/>
      <c r="I59" s="107"/>
    </row>
    <row r="60" spans="1:11" ht="37.5" customHeight="1" x14ac:dyDescent="0.25">
      <c r="A60" s="106" t="s">
        <v>100</v>
      </c>
      <c r="B60" s="106"/>
      <c r="C60" s="107"/>
      <c r="D60" s="107"/>
      <c r="E60" s="107"/>
      <c r="F60" s="107"/>
      <c r="G60" s="107"/>
      <c r="H60" s="107"/>
      <c r="I60" s="107"/>
    </row>
    <row r="62" spans="1:11" x14ac:dyDescent="0.25">
      <c r="A62" s="18" t="s">
        <v>167</v>
      </c>
      <c r="B62" s="18"/>
    </row>
    <row r="63" spans="1:11" ht="36" customHeight="1" x14ac:dyDescent="0.25">
      <c r="C63" s="106" t="s">
        <v>155</v>
      </c>
      <c r="D63" s="107"/>
      <c r="E63" s="107"/>
      <c r="F63" s="107"/>
      <c r="G63" s="107"/>
      <c r="H63" s="107"/>
      <c r="I63" s="107"/>
    </row>
    <row r="64" spans="1:11" ht="29.1" customHeight="1" x14ac:dyDescent="0.25">
      <c r="C64" s="106" t="s">
        <v>156</v>
      </c>
      <c r="D64" s="107"/>
      <c r="E64" s="107"/>
      <c r="F64" s="107"/>
      <c r="G64" s="107"/>
      <c r="H64" s="107"/>
      <c r="I64" s="107"/>
    </row>
    <row r="65" spans="1:9" x14ac:dyDescent="0.25">
      <c r="C65" s="108" t="s">
        <v>126</v>
      </c>
      <c r="D65" s="105"/>
      <c r="E65" s="105"/>
      <c r="F65" s="105"/>
      <c r="G65" s="105"/>
      <c r="H65" s="105"/>
      <c r="I65" s="105"/>
    </row>
    <row r="66" spans="1:9" ht="29.1" customHeight="1" x14ac:dyDescent="0.25">
      <c r="C66" s="106" t="s">
        <v>157</v>
      </c>
      <c r="D66" s="107"/>
      <c r="E66" s="107"/>
      <c r="F66" s="107"/>
      <c r="G66" s="107"/>
      <c r="H66" s="107"/>
      <c r="I66" s="107"/>
    </row>
    <row r="67" spans="1:9" x14ac:dyDescent="0.25">
      <c r="C67" s="108" t="s">
        <v>127</v>
      </c>
      <c r="D67" s="105"/>
      <c r="E67" s="105"/>
      <c r="F67" s="105"/>
      <c r="G67" s="105"/>
      <c r="H67" s="105"/>
      <c r="I67" s="105"/>
    </row>
    <row r="68" spans="1:9" ht="27.75" customHeight="1" x14ac:dyDescent="0.25">
      <c r="C68" s="106" t="s">
        <v>68</v>
      </c>
      <c r="D68" s="107"/>
      <c r="E68" s="107"/>
      <c r="F68" s="107"/>
      <c r="G68" s="107"/>
      <c r="H68" s="107"/>
      <c r="I68" s="107"/>
    </row>
    <row r="69" spans="1:9" x14ac:dyDescent="0.25">
      <c r="C69" s="108" t="s">
        <v>158</v>
      </c>
      <c r="D69" s="105"/>
      <c r="E69" s="105"/>
      <c r="F69" s="105"/>
      <c r="G69" s="105"/>
      <c r="H69" s="105"/>
      <c r="I69" s="105"/>
    </row>
    <row r="70" spans="1:9" x14ac:dyDescent="0.25">
      <c r="C70" s="108" t="s">
        <v>128</v>
      </c>
      <c r="D70" s="105"/>
      <c r="E70" s="105"/>
      <c r="F70" s="105"/>
      <c r="G70" s="105"/>
      <c r="H70" s="105"/>
      <c r="I70" s="105"/>
    </row>
    <row r="71" spans="1:9" x14ac:dyDescent="0.25">
      <c r="C71" s="108" t="s">
        <v>129</v>
      </c>
      <c r="D71" s="105"/>
      <c r="E71" s="105"/>
      <c r="F71" s="105"/>
      <c r="G71" s="105"/>
      <c r="H71" s="105"/>
      <c r="I71" s="105"/>
    </row>
    <row r="73" spans="1:9" ht="38.1" customHeight="1" x14ac:dyDescent="0.25">
      <c r="A73" s="104" t="s">
        <v>159</v>
      </c>
      <c r="B73" s="104"/>
      <c r="C73" s="105"/>
      <c r="D73" s="105"/>
      <c r="E73" s="105"/>
      <c r="F73" s="105"/>
      <c r="G73" s="105"/>
      <c r="H73" s="105"/>
      <c r="I73" s="105"/>
    </row>
  </sheetData>
  <sheetProtection password="D3BF" sheet="1" objects="1" scenarios="1"/>
  <mergeCells count="70">
    <mergeCell ref="B16:C16"/>
    <mergeCell ref="B17:C17"/>
    <mergeCell ref="B18:C18"/>
    <mergeCell ref="B19:C19"/>
    <mergeCell ref="A58:I58"/>
    <mergeCell ref="A40:I40"/>
    <mergeCell ref="C43:I43"/>
    <mergeCell ref="C44:I44"/>
    <mergeCell ref="C45:I45"/>
    <mergeCell ref="A56:I56"/>
    <mergeCell ref="A57:I57"/>
    <mergeCell ref="C46:I46"/>
    <mergeCell ref="C47:I47"/>
    <mergeCell ref="C48:I48"/>
    <mergeCell ref="B34:C34"/>
    <mergeCell ref="H35:H36"/>
    <mergeCell ref="I35:I36"/>
    <mergeCell ref="B38:C39"/>
    <mergeCell ref="D38:D39"/>
    <mergeCell ref="A59:I59"/>
    <mergeCell ref="A49:I49"/>
    <mergeCell ref="A60:I60"/>
    <mergeCell ref="A52:I52"/>
    <mergeCell ref="A53:I53"/>
    <mergeCell ref="A54:I54"/>
    <mergeCell ref="A55:I55"/>
    <mergeCell ref="A73:I73"/>
    <mergeCell ref="C63:I63"/>
    <mergeCell ref="C64:I64"/>
    <mergeCell ref="C65:I65"/>
    <mergeCell ref="C66:I66"/>
    <mergeCell ref="C67:I67"/>
    <mergeCell ref="C68:I68"/>
    <mergeCell ref="C69:I69"/>
    <mergeCell ref="C70:I70"/>
    <mergeCell ref="C71:I71"/>
    <mergeCell ref="A1:I1"/>
    <mergeCell ref="A2:I2"/>
    <mergeCell ref="B10:C10"/>
    <mergeCell ref="B14:C14"/>
    <mergeCell ref="G4:H4"/>
    <mergeCell ref="B12:C13"/>
    <mergeCell ref="A12:A13"/>
    <mergeCell ref="G12:G13"/>
    <mergeCell ref="H12:H13"/>
    <mergeCell ref="A9:I9"/>
    <mergeCell ref="I12:I13"/>
    <mergeCell ref="G8:H8"/>
    <mergeCell ref="A8:B8"/>
    <mergeCell ref="A10:A11"/>
    <mergeCell ref="B21:C21"/>
    <mergeCell ref="B22:C22"/>
    <mergeCell ref="I23:I24"/>
    <mergeCell ref="I26:I27"/>
    <mergeCell ref="B23:C24"/>
    <mergeCell ref="A23:A24"/>
    <mergeCell ref="G23:G24"/>
    <mergeCell ref="H23:H24"/>
    <mergeCell ref="B25:C25"/>
    <mergeCell ref="A35:A36"/>
    <mergeCell ref="G35:G36"/>
    <mergeCell ref="B26:C27"/>
    <mergeCell ref="A26:A27"/>
    <mergeCell ref="G26:G27"/>
    <mergeCell ref="H26:H27"/>
    <mergeCell ref="B29:C29"/>
    <mergeCell ref="B31:C31"/>
    <mergeCell ref="B30:C30"/>
    <mergeCell ref="B32:C32"/>
    <mergeCell ref="B35:C36"/>
  </mergeCells>
  <phoneticPr fontId="1" type="noConversion"/>
  <hyperlinks>
    <hyperlink ref="A14" location="Petition!A49" display="Petition!A49"/>
    <hyperlink ref="A19" location="Petition!A50" display="Petition!A50"/>
    <hyperlink ref="A21" location="Petition!A51" display="Petition!A51"/>
    <hyperlink ref="A22" location="Petition!A52" display="Petition!A52"/>
    <hyperlink ref="A25" location="Petition!A53" display="Petition!A53"/>
    <hyperlink ref="A29" location="Petition!A54" display="Petition!A54"/>
    <hyperlink ref="A30" location="Petition!A55" display="Petition!A55"/>
    <hyperlink ref="A32" location="Petition!A56" display="Petition!A56"/>
    <hyperlink ref="A34" location="Petition!A57" display="Petition!A57"/>
  </hyperlinks>
  <pageMargins left="0.5" right="0.5" top="0.41" bottom="0.42" header="0.3" footer="0.3"/>
  <pageSetup orientation="portrait" horizontalDpi="4294967292" verticalDpi="4294967292"/>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6"/>
  <sheetViews>
    <sheetView zoomScaleNormal="100" workbookViewId="0">
      <selection sqref="A1:I1"/>
    </sheetView>
  </sheetViews>
  <sheetFormatPr defaultColWidth="8.85546875" defaultRowHeight="15" x14ac:dyDescent="0.25"/>
  <cols>
    <col min="1" max="1" width="5.140625" customWidth="1"/>
    <col min="2" max="2" width="10.140625" customWidth="1"/>
    <col min="3" max="3" width="24.140625" customWidth="1"/>
    <col min="4" max="4" width="9.42578125" customWidth="1"/>
    <col min="5" max="5" width="12.7109375" customWidth="1"/>
    <col min="6" max="6" width="5.42578125" customWidth="1"/>
    <col min="7" max="7" width="5.28515625" customWidth="1"/>
    <col min="8" max="9" width="10.85546875" customWidth="1"/>
    <col min="10" max="10" width="9.7109375" customWidth="1"/>
  </cols>
  <sheetData>
    <row r="1" spans="1:12" ht="14.1" customHeight="1" x14ac:dyDescent="0.3">
      <c r="A1" s="130" t="s">
        <v>166</v>
      </c>
      <c r="B1" s="131"/>
      <c r="C1" s="131"/>
      <c r="D1" s="131"/>
      <c r="E1" s="131"/>
      <c r="F1" s="131"/>
      <c r="G1" s="131"/>
      <c r="H1" s="131"/>
      <c r="I1" s="131"/>
      <c r="J1" s="36"/>
      <c r="K1" s="36"/>
      <c r="L1" s="36"/>
    </row>
    <row r="2" spans="1:12" ht="9" customHeight="1" x14ac:dyDescent="0.25">
      <c r="B2" s="39"/>
      <c r="C2" s="36"/>
      <c r="D2" s="36"/>
      <c r="E2" s="36"/>
      <c r="F2" s="36"/>
      <c r="G2" s="36"/>
      <c r="H2" s="36"/>
      <c r="I2" s="36"/>
      <c r="J2" s="36"/>
      <c r="K2" s="36"/>
      <c r="L2" s="36"/>
    </row>
    <row r="3" spans="1:12" ht="14.1" customHeight="1" x14ac:dyDescent="0.25">
      <c r="A3" s="40" t="s">
        <v>77</v>
      </c>
      <c r="C3" s="1"/>
      <c r="D3" s="1"/>
      <c r="E3" s="1"/>
      <c r="F3" s="1"/>
      <c r="G3" s="1"/>
      <c r="H3" s="1"/>
      <c r="I3" s="1"/>
      <c r="J3" s="1"/>
      <c r="K3" s="1"/>
    </row>
    <row r="4" spans="1:12" ht="32.1" customHeight="1" x14ac:dyDescent="0.25">
      <c r="A4" s="52" t="s">
        <v>160</v>
      </c>
      <c r="B4" s="34" t="s">
        <v>6</v>
      </c>
      <c r="C4" s="35"/>
      <c r="D4" s="35"/>
      <c r="E4" s="35"/>
      <c r="F4" s="35"/>
      <c r="G4" s="35"/>
      <c r="H4" s="41"/>
      <c r="I4" s="41"/>
    </row>
    <row r="5" spans="1:12" x14ac:dyDescent="0.25">
      <c r="A5" s="128" t="s">
        <v>98</v>
      </c>
      <c r="B5" s="149" t="s">
        <v>136</v>
      </c>
      <c r="C5" s="150"/>
      <c r="D5" s="151" t="s">
        <v>75</v>
      </c>
      <c r="E5" s="105"/>
      <c r="F5" s="105"/>
      <c r="G5" s="105"/>
      <c r="H5" s="156">
        <v>1000</v>
      </c>
      <c r="I5" s="156"/>
    </row>
    <row r="6" spans="1:12" x14ac:dyDescent="0.25">
      <c r="A6" s="128"/>
      <c r="B6" s="150"/>
      <c r="C6" s="150"/>
      <c r="D6" s="151" t="s">
        <v>102</v>
      </c>
      <c r="E6" s="105"/>
      <c r="F6" s="105"/>
      <c r="G6" s="105"/>
      <c r="H6" s="156">
        <v>1250</v>
      </c>
      <c r="I6" s="156"/>
    </row>
    <row r="7" spans="1:12" x14ac:dyDescent="0.25">
      <c r="A7" s="128"/>
      <c r="B7" s="150"/>
      <c r="C7" s="150"/>
      <c r="D7" s="151" t="s">
        <v>86</v>
      </c>
      <c r="E7" s="105"/>
      <c r="F7" s="105"/>
      <c r="G7" s="105"/>
      <c r="H7" s="134">
        <v>2354</v>
      </c>
      <c r="I7" s="157"/>
    </row>
    <row r="8" spans="1:12" x14ac:dyDescent="0.25">
      <c r="A8" s="128"/>
      <c r="B8" s="150"/>
      <c r="C8" s="150"/>
      <c r="D8" s="71" t="s">
        <v>101</v>
      </c>
      <c r="E8" s="1"/>
      <c r="F8" s="33"/>
      <c r="G8" s="33"/>
      <c r="H8" s="31" t="s">
        <v>69</v>
      </c>
      <c r="I8" s="49">
        <f>(H7*7.25)+H6+H5</f>
        <v>19316.5</v>
      </c>
    </row>
    <row r="9" spans="1:12" x14ac:dyDescent="0.25">
      <c r="A9" s="13"/>
      <c r="B9" s="34" t="s">
        <v>7</v>
      </c>
      <c r="C9" s="35"/>
      <c r="D9" s="35"/>
      <c r="E9" s="35"/>
      <c r="F9" s="35"/>
      <c r="G9" s="35"/>
      <c r="H9" s="41"/>
      <c r="I9" s="41"/>
    </row>
    <row r="10" spans="1:12" x14ac:dyDescent="0.25">
      <c r="A10" s="129" t="s">
        <v>97</v>
      </c>
      <c r="B10" s="152" t="s">
        <v>161</v>
      </c>
      <c r="C10" s="153"/>
      <c r="D10" s="43"/>
      <c r="E10" s="43"/>
      <c r="F10" s="43"/>
      <c r="G10" s="43"/>
      <c r="H10" s="41">
        <v>2011</v>
      </c>
      <c r="I10" s="41">
        <v>2012</v>
      </c>
    </row>
    <row r="11" spans="1:12" ht="15" customHeight="1" x14ac:dyDescent="0.25">
      <c r="A11" s="128"/>
      <c r="B11" s="153"/>
      <c r="C11" s="153"/>
      <c r="D11" s="151" t="s">
        <v>78</v>
      </c>
      <c r="E11" s="105"/>
      <c r="F11" s="105"/>
      <c r="G11" s="140"/>
      <c r="H11" s="62">
        <v>146</v>
      </c>
      <c r="I11" s="62">
        <v>200</v>
      </c>
    </row>
    <row r="12" spans="1:12" x14ac:dyDescent="0.25">
      <c r="A12" s="128"/>
      <c r="B12" s="153"/>
      <c r="C12" s="153"/>
      <c r="D12" s="151" t="s">
        <v>79</v>
      </c>
      <c r="E12" s="105"/>
      <c r="F12" s="105"/>
      <c r="G12" s="140"/>
      <c r="H12" s="62">
        <v>159</v>
      </c>
      <c r="I12" s="62">
        <v>164</v>
      </c>
    </row>
    <row r="13" spans="1:12" x14ac:dyDescent="0.25">
      <c r="A13" s="128"/>
      <c r="B13" s="153"/>
      <c r="C13" s="153"/>
      <c r="D13" s="151" t="s">
        <v>80</v>
      </c>
      <c r="E13" s="105"/>
      <c r="F13" s="105"/>
      <c r="G13" s="140"/>
      <c r="H13" s="62">
        <v>86</v>
      </c>
      <c r="I13" s="62">
        <v>82</v>
      </c>
    </row>
    <row r="14" spans="1:12" x14ac:dyDescent="0.25">
      <c r="A14" s="128"/>
      <c r="B14" s="153"/>
      <c r="C14" s="153"/>
      <c r="D14" s="151" t="s">
        <v>94</v>
      </c>
      <c r="E14" s="105"/>
      <c r="F14" s="105"/>
      <c r="G14" s="105"/>
      <c r="H14" s="62">
        <v>205</v>
      </c>
      <c r="I14" s="62">
        <v>246</v>
      </c>
    </row>
    <row r="15" spans="1:12" x14ac:dyDescent="0.25">
      <c r="A15" s="128"/>
      <c r="B15" s="153"/>
      <c r="C15" s="153"/>
      <c r="D15" s="151" t="s">
        <v>93</v>
      </c>
      <c r="E15" s="105"/>
      <c r="F15" s="105"/>
      <c r="G15" s="105"/>
      <c r="H15" s="62">
        <v>159</v>
      </c>
      <c r="I15" s="62">
        <v>200</v>
      </c>
    </row>
    <row r="16" spans="1:12" x14ac:dyDescent="0.25">
      <c r="A16" s="128"/>
      <c r="B16" s="153"/>
      <c r="C16" s="153"/>
      <c r="D16" s="151" t="s">
        <v>81</v>
      </c>
      <c r="E16" s="105"/>
      <c r="F16" s="105"/>
      <c r="G16" s="105"/>
      <c r="H16" s="30">
        <f>SUM(H11:H13)</f>
        <v>391</v>
      </c>
      <c r="I16" s="30">
        <f>SUM(I11:I13)</f>
        <v>446</v>
      </c>
    </row>
    <row r="17" spans="1:11" x14ac:dyDescent="0.25">
      <c r="A17" s="53"/>
      <c r="B17" s="50"/>
      <c r="C17" s="50"/>
      <c r="D17" s="151" t="s">
        <v>92</v>
      </c>
      <c r="E17" s="105"/>
      <c r="F17" s="105"/>
      <c r="G17" s="105"/>
      <c r="H17" s="63">
        <v>8</v>
      </c>
      <c r="I17" s="63">
        <v>8</v>
      </c>
    </row>
    <row r="18" spans="1:11" ht="3" customHeight="1" x14ac:dyDescent="0.25">
      <c r="A18" s="13"/>
      <c r="B18" s="35"/>
      <c r="C18" s="35"/>
      <c r="D18" s="35"/>
      <c r="E18" s="35"/>
      <c r="F18" s="35"/>
      <c r="G18" s="35"/>
      <c r="H18" s="35"/>
      <c r="I18" s="35"/>
    </row>
    <row r="19" spans="1:11" x14ac:dyDescent="0.25">
      <c r="A19" s="128" t="s">
        <v>96</v>
      </c>
      <c r="B19" s="154" t="s">
        <v>133</v>
      </c>
      <c r="C19" s="154"/>
      <c r="D19" s="151" t="s">
        <v>87</v>
      </c>
      <c r="E19" s="105"/>
      <c r="F19" s="105"/>
      <c r="G19" s="140"/>
      <c r="H19" s="64">
        <v>64</v>
      </c>
      <c r="I19" s="64">
        <v>123</v>
      </c>
    </row>
    <row r="20" spans="1:11" x14ac:dyDescent="0.25">
      <c r="A20" s="128"/>
      <c r="B20" s="154"/>
      <c r="C20" s="154"/>
      <c r="D20" s="155" t="s">
        <v>88</v>
      </c>
      <c r="E20" s="105"/>
      <c r="F20" s="105"/>
      <c r="G20" s="140"/>
      <c r="H20" s="64">
        <v>23</v>
      </c>
      <c r="I20" s="64">
        <v>37</v>
      </c>
    </row>
    <row r="21" spans="1:11" x14ac:dyDescent="0.25">
      <c r="A21" s="128"/>
      <c r="B21" s="154"/>
      <c r="C21" s="154"/>
      <c r="D21" s="155" t="s">
        <v>91</v>
      </c>
      <c r="E21" s="105"/>
      <c r="F21" s="105"/>
      <c r="G21" s="140"/>
      <c r="H21" s="64">
        <v>8</v>
      </c>
      <c r="I21" s="64">
        <v>6</v>
      </c>
    </row>
    <row r="22" spans="1:11" x14ac:dyDescent="0.25">
      <c r="A22" s="13"/>
      <c r="B22" s="34" t="s">
        <v>8</v>
      </c>
      <c r="C22" s="29"/>
      <c r="D22" s="29"/>
      <c r="E22" s="35"/>
      <c r="F22" s="35"/>
      <c r="G22" s="35"/>
      <c r="H22" s="35"/>
      <c r="I22" s="35"/>
    </row>
    <row r="23" spans="1:11" x14ac:dyDescent="0.25">
      <c r="A23" s="128" t="s">
        <v>99</v>
      </c>
      <c r="B23" s="127" t="s">
        <v>139</v>
      </c>
      <c r="C23" s="127"/>
      <c r="G23" s="32"/>
      <c r="H23" s="75">
        <v>2011</v>
      </c>
      <c r="I23" s="75">
        <v>2012</v>
      </c>
    </row>
    <row r="24" spans="1:11" x14ac:dyDescent="0.25">
      <c r="A24" s="128"/>
      <c r="B24" s="127"/>
      <c r="C24" s="127"/>
      <c r="G24" s="44" t="s">
        <v>137</v>
      </c>
      <c r="H24" s="64">
        <v>115</v>
      </c>
      <c r="I24" s="64">
        <v>115</v>
      </c>
    </row>
    <row r="25" spans="1:11" x14ac:dyDescent="0.25">
      <c r="A25" s="128"/>
      <c r="B25" s="127"/>
      <c r="C25" s="127"/>
      <c r="G25" s="44" t="s">
        <v>71</v>
      </c>
      <c r="H25" s="64">
        <v>38</v>
      </c>
      <c r="I25" s="64">
        <v>37</v>
      </c>
      <c r="J25" s="1"/>
      <c r="K25" s="1"/>
    </row>
    <row r="26" spans="1:11" x14ac:dyDescent="0.25">
      <c r="A26" s="128"/>
      <c r="B26" s="127"/>
      <c r="C26" s="127"/>
      <c r="G26" s="44" t="s">
        <v>72</v>
      </c>
      <c r="H26" s="64">
        <v>38</v>
      </c>
      <c r="I26" s="64">
        <v>37</v>
      </c>
      <c r="J26" s="1"/>
      <c r="K26" s="1"/>
    </row>
    <row r="27" spans="1:11" x14ac:dyDescent="0.25">
      <c r="A27" s="128"/>
      <c r="B27" s="127"/>
      <c r="C27" s="127"/>
      <c r="G27" s="31" t="s">
        <v>70</v>
      </c>
      <c r="H27" s="64">
        <v>112</v>
      </c>
      <c r="I27" s="64">
        <v>197</v>
      </c>
      <c r="J27" s="1"/>
      <c r="K27" s="1"/>
    </row>
    <row r="28" spans="1:11" ht="3" customHeight="1" x14ac:dyDescent="0.25">
      <c r="A28" s="13"/>
      <c r="B28" s="29"/>
      <c r="C28" s="29"/>
      <c r="D28" s="29"/>
      <c r="E28" s="35"/>
      <c r="F28" s="35"/>
      <c r="G28" s="35"/>
      <c r="H28" s="35"/>
      <c r="I28" s="35"/>
    </row>
    <row r="29" spans="1:11" x14ac:dyDescent="0.25">
      <c r="A29" s="128">
        <v>8</v>
      </c>
      <c r="B29" s="127" t="s">
        <v>140</v>
      </c>
      <c r="C29" s="127"/>
      <c r="F29" s="133">
        <v>2011</v>
      </c>
      <c r="G29" s="133"/>
      <c r="H29" s="46" t="s">
        <v>170</v>
      </c>
      <c r="I29" s="46" t="s">
        <v>171</v>
      </c>
    </row>
    <row r="30" spans="1:11" x14ac:dyDescent="0.25">
      <c r="A30" s="128"/>
      <c r="B30" s="127"/>
      <c r="C30" s="127"/>
      <c r="E30" s="44" t="s">
        <v>73</v>
      </c>
      <c r="F30" s="134">
        <v>62</v>
      </c>
      <c r="G30" s="135"/>
      <c r="H30" s="64">
        <v>35</v>
      </c>
      <c r="I30" s="64">
        <v>67</v>
      </c>
    </row>
    <row r="31" spans="1:11" x14ac:dyDescent="0.25">
      <c r="A31" s="128"/>
      <c r="B31" s="127"/>
      <c r="C31" s="127"/>
      <c r="E31" s="44" t="s">
        <v>138</v>
      </c>
      <c r="F31" s="136">
        <v>2</v>
      </c>
      <c r="G31" s="136"/>
      <c r="H31" s="64">
        <v>2</v>
      </c>
      <c r="I31" s="64">
        <v>2</v>
      </c>
    </row>
    <row r="32" spans="1:11" x14ac:dyDescent="0.25">
      <c r="A32" s="128"/>
      <c r="B32" s="127"/>
      <c r="C32" s="127"/>
      <c r="E32" s="44" t="s">
        <v>134</v>
      </c>
      <c r="F32" s="136">
        <v>3</v>
      </c>
      <c r="G32" s="136"/>
      <c r="H32" s="64">
        <v>15</v>
      </c>
      <c r="I32" s="64">
        <v>29</v>
      </c>
    </row>
    <row r="33" spans="1:9" x14ac:dyDescent="0.25">
      <c r="A33" s="128"/>
      <c r="B33" s="127"/>
      <c r="C33" s="127"/>
      <c r="E33" s="44" t="s">
        <v>69</v>
      </c>
      <c r="F33" s="142">
        <f>SUM(F30:G32)</f>
        <v>67</v>
      </c>
      <c r="G33" s="143"/>
      <c r="H33" s="65">
        <f>SUM(H30:H32)</f>
        <v>52</v>
      </c>
      <c r="I33" s="65">
        <f>SUM(I30:I32)</f>
        <v>98</v>
      </c>
    </row>
    <row r="34" spans="1:9" ht="3" customHeight="1" x14ac:dyDescent="0.25">
      <c r="A34" s="13"/>
      <c r="B34" s="29"/>
      <c r="C34" s="29"/>
      <c r="D34" s="29"/>
      <c r="E34" s="45"/>
      <c r="F34" s="45"/>
      <c r="G34" s="45"/>
      <c r="H34" s="45"/>
      <c r="I34" s="45"/>
    </row>
    <row r="35" spans="1:9" x14ac:dyDescent="0.25">
      <c r="A35" s="128">
        <v>10</v>
      </c>
      <c r="B35" s="127" t="s">
        <v>162</v>
      </c>
      <c r="C35" s="127"/>
      <c r="E35" s="137" t="s">
        <v>76</v>
      </c>
      <c r="F35" s="138"/>
      <c r="G35" s="138"/>
      <c r="H35" s="75">
        <v>2011</v>
      </c>
      <c r="I35" s="75">
        <v>2012</v>
      </c>
    </row>
    <row r="36" spans="1:9" x14ac:dyDescent="0.25">
      <c r="A36" s="128"/>
      <c r="B36" s="127"/>
      <c r="C36" s="127"/>
      <c r="D36" s="47">
        <v>1</v>
      </c>
      <c r="E36" s="132" t="s">
        <v>175</v>
      </c>
      <c r="F36" s="132"/>
      <c r="G36" s="132"/>
      <c r="H36" s="64">
        <v>94</v>
      </c>
      <c r="I36" s="64">
        <v>68</v>
      </c>
    </row>
    <row r="37" spans="1:9" x14ac:dyDescent="0.25">
      <c r="A37" s="128"/>
      <c r="B37" s="127"/>
      <c r="C37" s="127"/>
      <c r="D37" s="47">
        <v>2</v>
      </c>
      <c r="E37" s="132" t="s">
        <v>176</v>
      </c>
      <c r="F37" s="132"/>
      <c r="G37" s="132"/>
      <c r="H37" s="64">
        <v>64</v>
      </c>
      <c r="I37" s="64">
        <v>82</v>
      </c>
    </row>
    <row r="38" spans="1:9" x14ac:dyDescent="0.25">
      <c r="A38" s="128"/>
      <c r="B38" s="127"/>
      <c r="C38" s="127"/>
      <c r="D38" s="47">
        <v>3</v>
      </c>
      <c r="E38" s="132" t="s">
        <v>177</v>
      </c>
      <c r="F38" s="132"/>
      <c r="G38" s="132"/>
      <c r="H38" s="64">
        <v>102</v>
      </c>
      <c r="I38" s="64">
        <v>114</v>
      </c>
    </row>
    <row r="39" spans="1:9" x14ac:dyDescent="0.25">
      <c r="A39" s="128"/>
      <c r="B39" s="127"/>
      <c r="C39" s="127"/>
      <c r="D39" s="47">
        <v>4</v>
      </c>
      <c r="E39" s="132" t="s">
        <v>178</v>
      </c>
      <c r="F39" s="132"/>
      <c r="G39" s="132"/>
      <c r="H39" s="64">
        <v>71</v>
      </c>
      <c r="I39" s="64">
        <v>90</v>
      </c>
    </row>
    <row r="40" spans="1:9" x14ac:dyDescent="0.25">
      <c r="A40" s="128"/>
      <c r="B40" s="127"/>
      <c r="C40" s="127"/>
      <c r="D40" s="47">
        <v>5</v>
      </c>
      <c r="E40" s="132" t="s">
        <v>179</v>
      </c>
      <c r="F40" s="132"/>
      <c r="G40" s="132"/>
      <c r="H40" s="64">
        <v>103</v>
      </c>
      <c r="I40" s="64">
        <v>157</v>
      </c>
    </row>
    <row r="41" spans="1:9" x14ac:dyDescent="0.25">
      <c r="A41" s="128"/>
      <c r="B41" s="127"/>
      <c r="C41" s="127"/>
      <c r="D41" s="47">
        <v>6</v>
      </c>
      <c r="E41" s="132" t="s">
        <v>185</v>
      </c>
      <c r="F41" s="132"/>
      <c r="G41" s="132"/>
      <c r="H41" s="64">
        <v>91</v>
      </c>
      <c r="I41" s="64">
        <v>115</v>
      </c>
    </row>
    <row r="42" spans="1:9" x14ac:dyDescent="0.25">
      <c r="A42" s="128"/>
      <c r="B42" s="127"/>
      <c r="C42" s="127"/>
      <c r="D42" s="47">
        <v>7</v>
      </c>
      <c r="E42" s="132"/>
      <c r="F42" s="132"/>
      <c r="G42" s="132"/>
      <c r="H42" s="64"/>
      <c r="I42" s="64"/>
    </row>
    <row r="43" spans="1:9" x14ac:dyDescent="0.25">
      <c r="A43" s="128"/>
      <c r="B43" s="127"/>
      <c r="C43" s="127"/>
      <c r="D43" s="47">
        <v>8</v>
      </c>
      <c r="E43" s="132"/>
      <c r="F43" s="132"/>
      <c r="G43" s="132"/>
      <c r="H43" s="64"/>
      <c r="I43" s="64"/>
    </row>
    <row r="44" spans="1:9" x14ac:dyDescent="0.25">
      <c r="A44" s="128"/>
      <c r="B44" s="127"/>
      <c r="C44" s="127"/>
      <c r="D44" s="47">
        <v>9</v>
      </c>
      <c r="E44" s="132"/>
      <c r="F44" s="132"/>
      <c r="G44" s="132"/>
      <c r="H44" s="64"/>
      <c r="I44" s="64"/>
    </row>
    <row r="45" spans="1:9" x14ac:dyDescent="0.25">
      <c r="A45" s="128"/>
      <c r="B45" s="127"/>
      <c r="C45" s="127"/>
      <c r="D45" s="47">
        <v>10</v>
      </c>
      <c r="E45" s="132"/>
      <c r="F45" s="132"/>
      <c r="G45" s="132"/>
      <c r="H45" s="64"/>
      <c r="I45" s="64"/>
    </row>
    <row r="46" spans="1:9" x14ac:dyDescent="0.25">
      <c r="A46" s="53"/>
      <c r="D46" s="47"/>
      <c r="E46" s="144" t="s">
        <v>85</v>
      </c>
      <c r="F46" s="145"/>
      <c r="G46" s="145"/>
      <c r="H46" s="65">
        <f>IF(SUM(H36:H45)=0,0,SUM(H36:H45)/(10-COUNTBLANK(E36:E45)))</f>
        <v>87.5</v>
      </c>
      <c r="I46" s="65">
        <f>IF(SUM(I36:I45)=0,0,SUM(I36:I45)/(10-COUNTBLANK(E36:E45)))</f>
        <v>104.33333333333333</v>
      </c>
    </row>
    <row r="47" spans="1:9" x14ac:dyDescent="0.25">
      <c r="A47" s="13"/>
      <c r="B47" s="34" t="s">
        <v>112</v>
      </c>
      <c r="C47" s="29"/>
      <c r="D47" s="29"/>
      <c r="E47" s="35"/>
      <c r="F47" s="35"/>
      <c r="G47" s="35"/>
      <c r="H47" s="35"/>
      <c r="I47" s="35"/>
    </row>
    <row r="48" spans="1:9" x14ac:dyDescent="0.25">
      <c r="A48" s="128">
        <v>13</v>
      </c>
      <c r="B48" s="127" t="s">
        <v>135</v>
      </c>
      <c r="C48" s="127"/>
      <c r="H48" s="75">
        <v>2011</v>
      </c>
      <c r="I48" s="75">
        <v>2012</v>
      </c>
    </row>
    <row r="49" spans="1:9" x14ac:dyDescent="0.25">
      <c r="A49" s="128"/>
      <c r="B49" s="127"/>
      <c r="C49" s="127"/>
      <c r="E49" s="139" t="s">
        <v>82</v>
      </c>
      <c r="F49" s="105"/>
      <c r="G49" s="140"/>
      <c r="H49" s="64">
        <v>115</v>
      </c>
      <c r="I49" s="64">
        <v>115</v>
      </c>
    </row>
    <row r="50" spans="1:9" ht="3" customHeight="1" x14ac:dyDescent="0.25">
      <c r="A50" s="13"/>
      <c r="B50" s="29"/>
      <c r="C50" s="29"/>
      <c r="D50" s="29"/>
      <c r="E50" s="29"/>
      <c r="F50" s="29"/>
      <c r="G50" s="29"/>
      <c r="H50" s="29"/>
      <c r="I50" s="29"/>
    </row>
    <row r="51" spans="1:9" x14ac:dyDescent="0.25">
      <c r="A51" s="128">
        <v>14</v>
      </c>
      <c r="B51" s="127" t="s">
        <v>163</v>
      </c>
      <c r="C51" s="127"/>
      <c r="G51" s="133" t="s">
        <v>83</v>
      </c>
      <c r="H51" s="133"/>
      <c r="I51" s="133"/>
    </row>
    <row r="52" spans="1:9" x14ac:dyDescent="0.25">
      <c r="A52" s="128"/>
      <c r="B52" s="127"/>
      <c r="C52" s="127"/>
      <c r="F52" s="48">
        <v>1</v>
      </c>
      <c r="G52" s="132" t="s">
        <v>180</v>
      </c>
      <c r="H52" s="132"/>
      <c r="I52" s="132"/>
    </row>
    <row r="53" spans="1:9" x14ac:dyDescent="0.25">
      <c r="A53" s="128"/>
      <c r="B53" s="127"/>
      <c r="C53" s="127"/>
      <c r="F53" s="48">
        <v>2</v>
      </c>
      <c r="G53" s="132" t="s">
        <v>181</v>
      </c>
      <c r="H53" s="132"/>
      <c r="I53" s="132"/>
    </row>
    <row r="54" spans="1:9" x14ac:dyDescent="0.25">
      <c r="A54" s="128"/>
      <c r="B54" s="127"/>
      <c r="C54" s="127"/>
      <c r="F54" s="48">
        <v>3</v>
      </c>
      <c r="G54" s="132" t="s">
        <v>183</v>
      </c>
      <c r="H54" s="132"/>
      <c r="I54" s="132"/>
    </row>
    <row r="55" spans="1:9" x14ac:dyDescent="0.25">
      <c r="A55" s="128"/>
      <c r="B55" s="127"/>
      <c r="C55" s="127"/>
      <c r="F55" s="48">
        <v>4</v>
      </c>
      <c r="G55" s="132" t="s">
        <v>182</v>
      </c>
      <c r="H55" s="132"/>
      <c r="I55" s="132"/>
    </row>
    <row r="56" spans="1:9" x14ac:dyDescent="0.25">
      <c r="A56" s="128"/>
      <c r="B56" s="127"/>
      <c r="C56" s="127"/>
      <c r="F56" s="48">
        <v>5</v>
      </c>
      <c r="G56" s="132" t="s">
        <v>184</v>
      </c>
      <c r="H56" s="132"/>
      <c r="I56" s="132"/>
    </row>
    <row r="57" spans="1:9" ht="3" customHeight="1" x14ac:dyDescent="0.25">
      <c r="A57" s="13"/>
      <c r="B57" s="29"/>
      <c r="C57" s="29"/>
      <c r="D57" s="29"/>
      <c r="E57" s="29"/>
      <c r="F57" s="29"/>
      <c r="G57" s="29"/>
      <c r="H57" s="29"/>
      <c r="I57" s="29"/>
    </row>
    <row r="58" spans="1:9" ht="14.1" customHeight="1" x14ac:dyDescent="0.25">
      <c r="A58" s="129">
        <v>15</v>
      </c>
      <c r="B58" s="127" t="s">
        <v>164</v>
      </c>
      <c r="C58" s="127"/>
      <c r="D58" s="42"/>
      <c r="E58" s="133" t="s">
        <v>84</v>
      </c>
      <c r="F58" s="141"/>
      <c r="G58" s="141"/>
      <c r="H58" s="141"/>
      <c r="I58" s="141"/>
    </row>
    <row r="59" spans="1:9" ht="27.75" customHeight="1" x14ac:dyDescent="0.25">
      <c r="A59" s="128"/>
      <c r="B59" s="127"/>
      <c r="C59" s="127"/>
      <c r="D59" s="48">
        <v>1</v>
      </c>
      <c r="E59" s="146" t="s">
        <v>186</v>
      </c>
      <c r="F59" s="147"/>
      <c r="G59" s="147"/>
      <c r="H59" s="147"/>
      <c r="I59" s="148"/>
    </row>
    <row r="60" spans="1:9" ht="27.75" customHeight="1" x14ac:dyDescent="0.25">
      <c r="A60" s="128"/>
      <c r="B60" s="127"/>
      <c r="C60" s="127"/>
      <c r="D60" s="48">
        <v>2</v>
      </c>
      <c r="E60" s="146" t="s">
        <v>187</v>
      </c>
      <c r="F60" s="147"/>
      <c r="G60" s="147"/>
      <c r="H60" s="147"/>
      <c r="I60" s="148"/>
    </row>
    <row r="61" spans="1:9" ht="27.75" customHeight="1" x14ac:dyDescent="0.25">
      <c r="A61" s="128"/>
      <c r="B61" s="127"/>
      <c r="C61" s="127"/>
      <c r="D61" s="48">
        <v>3</v>
      </c>
      <c r="E61" s="146" t="s">
        <v>188</v>
      </c>
      <c r="F61" s="147"/>
      <c r="G61" s="147"/>
      <c r="H61" s="147"/>
      <c r="I61" s="148"/>
    </row>
    <row r="62" spans="1:9" x14ac:dyDescent="0.25">
      <c r="A62" s="13"/>
      <c r="B62" s="34" t="s">
        <v>113</v>
      </c>
      <c r="C62" s="29"/>
      <c r="D62" s="29"/>
      <c r="E62" s="35"/>
      <c r="F62" s="35"/>
      <c r="G62" s="35"/>
      <c r="H62" s="35"/>
      <c r="I62" s="35"/>
    </row>
    <row r="63" spans="1:9" x14ac:dyDescent="0.25">
      <c r="A63" s="128">
        <v>16</v>
      </c>
      <c r="B63" s="127" t="s">
        <v>165</v>
      </c>
      <c r="C63" s="127"/>
      <c r="H63" s="75">
        <v>2011</v>
      </c>
      <c r="I63" s="75">
        <v>2012</v>
      </c>
    </row>
    <row r="64" spans="1:9" x14ac:dyDescent="0.25">
      <c r="A64" s="128"/>
      <c r="B64" s="127"/>
      <c r="C64" s="127"/>
      <c r="D64" s="139" t="s">
        <v>89</v>
      </c>
      <c r="E64" s="105"/>
      <c r="F64" s="105"/>
      <c r="G64" s="140"/>
      <c r="H64" s="64">
        <v>39</v>
      </c>
      <c r="I64" s="64">
        <v>42</v>
      </c>
    </row>
    <row r="65" spans="1:9" x14ac:dyDescent="0.25">
      <c r="A65" s="128"/>
      <c r="B65" s="127"/>
      <c r="C65" s="127"/>
      <c r="D65" s="139" t="s">
        <v>90</v>
      </c>
      <c r="E65" s="105"/>
      <c r="F65" s="105"/>
      <c r="G65" s="140"/>
      <c r="H65" s="64">
        <v>29</v>
      </c>
      <c r="I65" s="64">
        <v>30</v>
      </c>
    </row>
    <row r="66" spans="1:9" x14ac:dyDescent="0.25">
      <c r="A66" s="53"/>
    </row>
  </sheetData>
  <sheetProtection password="D3BF" sheet="1" objects="1" scenarios="1"/>
  <mergeCells count="67">
    <mergeCell ref="H5:I5"/>
    <mergeCell ref="H6:I6"/>
    <mergeCell ref="H7:I7"/>
    <mergeCell ref="D7:G7"/>
    <mergeCell ref="D6:G6"/>
    <mergeCell ref="B23:C27"/>
    <mergeCell ref="B5:C8"/>
    <mergeCell ref="D5:G5"/>
    <mergeCell ref="D12:G12"/>
    <mergeCell ref="D19:G19"/>
    <mergeCell ref="D16:G16"/>
    <mergeCell ref="B10:C16"/>
    <mergeCell ref="B19:C21"/>
    <mergeCell ref="D11:G11"/>
    <mergeCell ref="D17:G17"/>
    <mergeCell ref="D13:G13"/>
    <mergeCell ref="D20:G20"/>
    <mergeCell ref="D21:G21"/>
    <mergeCell ref="D14:G14"/>
    <mergeCell ref="D15:G15"/>
    <mergeCell ref="D65:G65"/>
    <mergeCell ref="B51:C56"/>
    <mergeCell ref="E61:I61"/>
    <mergeCell ref="E59:I59"/>
    <mergeCell ref="E60:I60"/>
    <mergeCell ref="B58:C61"/>
    <mergeCell ref="G53:I53"/>
    <mergeCell ref="G52:I52"/>
    <mergeCell ref="G51:I51"/>
    <mergeCell ref="D64:G64"/>
    <mergeCell ref="E49:G49"/>
    <mergeCell ref="E58:I58"/>
    <mergeCell ref="F33:G33"/>
    <mergeCell ref="E46:G46"/>
    <mergeCell ref="G54:I54"/>
    <mergeCell ref="G55:I55"/>
    <mergeCell ref="G56:I56"/>
    <mergeCell ref="E36:G36"/>
    <mergeCell ref="E37:G37"/>
    <mergeCell ref="E42:G42"/>
    <mergeCell ref="E38:G38"/>
    <mergeCell ref="A1:I1"/>
    <mergeCell ref="E43:G43"/>
    <mergeCell ref="E44:G44"/>
    <mergeCell ref="E45:G45"/>
    <mergeCell ref="F29:G29"/>
    <mergeCell ref="F30:G30"/>
    <mergeCell ref="F31:G31"/>
    <mergeCell ref="F32:G32"/>
    <mergeCell ref="A5:A8"/>
    <mergeCell ref="E39:G39"/>
    <mergeCell ref="E40:G40"/>
    <mergeCell ref="E41:G41"/>
    <mergeCell ref="A10:A16"/>
    <mergeCell ref="A19:A21"/>
    <mergeCell ref="A23:A27"/>
    <mergeCell ref="E35:G35"/>
    <mergeCell ref="B29:C33"/>
    <mergeCell ref="A63:A65"/>
    <mergeCell ref="A29:A33"/>
    <mergeCell ref="A35:A45"/>
    <mergeCell ref="A48:A49"/>
    <mergeCell ref="A51:A56"/>
    <mergeCell ref="A58:A61"/>
    <mergeCell ref="B63:C65"/>
    <mergeCell ref="B35:C45"/>
    <mergeCell ref="B48:C49"/>
  </mergeCells>
  <phoneticPr fontId="1" type="noConversion"/>
  <pageMargins left="0.5" right="0.5" top="0.5" bottom="0.5" header="0.3" footer="0.3"/>
  <pageSetup orientation="portrait" horizontalDpi="4294967292" verticalDpi="4294967292"/>
  <headerFooter alignWithMargins="0"/>
  <rowBreaks count="1" manualBreakCount="1">
    <brk id="4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Petition</vt:lpstr>
      <vt:lpstr>Worksheet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Randy</dc:creator>
  <cp:lastModifiedBy>Fox</cp:lastModifiedBy>
  <cp:lastPrinted>2012-09-12T17:07:31Z</cp:lastPrinted>
  <dcterms:created xsi:type="dcterms:W3CDTF">2011-09-01T19:15:05Z</dcterms:created>
  <dcterms:modified xsi:type="dcterms:W3CDTF">2012-12-12T13:56:18Z</dcterms:modified>
</cp:coreProperties>
</file>