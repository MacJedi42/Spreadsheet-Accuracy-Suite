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206"/>
  <workbookPr autoCompressPictures="0"/>
  <bookViews>
    <workbookView xWindow="0" yWindow="0" windowWidth="24760" windowHeight="15620"/>
  </bookViews>
  <sheets>
    <sheet name="Annual Budget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0" i="2" l="1"/>
  <c r="F54" i="2"/>
  <c r="F130" i="2"/>
  <c r="E30" i="2"/>
  <c r="E54" i="2"/>
  <c r="E130" i="2"/>
  <c r="C130" i="2"/>
  <c r="C120" i="2"/>
  <c r="F68" i="2"/>
  <c r="F67" i="2"/>
  <c r="F66" i="2"/>
  <c r="C71" i="2"/>
  <c r="F57" i="2"/>
  <c r="C63" i="2"/>
  <c r="F52" i="2"/>
  <c r="F50" i="2"/>
  <c r="F49" i="2"/>
  <c r="F42" i="2"/>
  <c r="E50" i="2"/>
  <c r="E42" i="2"/>
  <c r="C54" i="2"/>
  <c r="C39" i="2"/>
  <c r="C30" i="2"/>
  <c r="F128" i="2"/>
  <c r="E128" i="2"/>
  <c r="C128" i="2"/>
  <c r="F94" i="2"/>
  <c r="E94" i="2"/>
  <c r="C94" i="2"/>
  <c r="F102" i="2"/>
  <c r="E102" i="2"/>
  <c r="C102" i="2"/>
  <c r="E22" i="2"/>
  <c r="F22" i="2"/>
  <c r="C22" i="2"/>
  <c r="E39" i="2"/>
  <c r="E63" i="2"/>
  <c r="E71" i="2"/>
  <c r="E77" i="2"/>
  <c r="E86" i="2"/>
  <c r="E120" i="2"/>
  <c r="F39" i="2"/>
  <c r="F63" i="2"/>
  <c r="F71" i="2"/>
  <c r="F77" i="2"/>
  <c r="F86" i="2"/>
  <c r="F120" i="2"/>
  <c r="C77" i="2"/>
  <c r="C86" i="2"/>
</calcChain>
</file>

<file path=xl/sharedStrings.xml><?xml version="1.0" encoding="utf-8"?>
<sst xmlns="http://schemas.openxmlformats.org/spreadsheetml/2006/main" count="126" uniqueCount="107">
  <si>
    <t xml:space="preserve">   </t>
  </si>
  <si>
    <t>Budget</t>
  </si>
  <si>
    <t>Actual</t>
  </si>
  <si>
    <t>Monthly Cash Flow Budget and Budget to Actual</t>
  </si>
  <si>
    <t>EXPENSES</t>
  </si>
  <si>
    <t>OTHER EXPENSE</t>
  </si>
  <si>
    <t>TOTAL CASH FLOW</t>
  </si>
  <si>
    <t>Year</t>
  </si>
  <si>
    <t>ending</t>
  </si>
  <si>
    <t>12/31/12</t>
  </si>
  <si>
    <t>Amount</t>
  </si>
  <si>
    <t>Your Name</t>
  </si>
  <si>
    <t>Federal income tax deductions</t>
  </si>
  <si>
    <t>Social security/medicare deductions</t>
  </si>
  <si>
    <t>Insurance deductions</t>
  </si>
  <si>
    <t>Other deductions</t>
  </si>
  <si>
    <t>Net pay</t>
  </si>
  <si>
    <t>Other income</t>
  </si>
  <si>
    <t>Total income</t>
  </si>
  <si>
    <t>Work:  Gross pay</t>
  </si>
  <si>
    <t>INCOME</t>
  </si>
  <si>
    <t>LOAN PAYMENTS</t>
  </si>
  <si>
    <t>Student loans</t>
  </si>
  <si>
    <t>Car loan</t>
  </si>
  <si>
    <t>Credit card debt</t>
  </si>
  <si>
    <t>Total loan payments</t>
  </si>
  <si>
    <t>Rent/mortgage</t>
  </si>
  <si>
    <t>Repairs and maintenance</t>
  </si>
  <si>
    <t>Property taxes</t>
  </si>
  <si>
    <t>Home or renters insurance</t>
  </si>
  <si>
    <t>Gas/electricity</t>
  </si>
  <si>
    <t>Water/garbage/sewage</t>
  </si>
  <si>
    <t>Cable/satellite TV</t>
  </si>
  <si>
    <t>Telephone-landline</t>
  </si>
  <si>
    <t>Telephone-cell</t>
  </si>
  <si>
    <t>TRANSPORTATION</t>
  </si>
  <si>
    <t>Gasoline</t>
  </si>
  <si>
    <t>Car insurance</t>
  </si>
  <si>
    <t>Car repairs and maintenance</t>
  </si>
  <si>
    <t>Car license/registration</t>
  </si>
  <si>
    <t>Mass transit costs</t>
  </si>
  <si>
    <t>Total transportation</t>
  </si>
  <si>
    <t>Loan proceeds</t>
  </si>
  <si>
    <t>EDUCATION COSTS</t>
  </si>
  <si>
    <t>Tuition</t>
  </si>
  <si>
    <t>Fees</t>
  </si>
  <si>
    <t>School health insurance</t>
  </si>
  <si>
    <t>Other</t>
  </si>
  <si>
    <t>Total education</t>
  </si>
  <si>
    <t>HOUSING</t>
  </si>
  <si>
    <t>Total housing</t>
  </si>
  <si>
    <t>FOOD</t>
  </si>
  <si>
    <t>Grocerices</t>
  </si>
  <si>
    <t>Meals out</t>
  </si>
  <si>
    <t>Total food</t>
  </si>
  <si>
    <t>CHILDREN</t>
  </si>
  <si>
    <t>Daycare</t>
  </si>
  <si>
    <t>School related fees</t>
  </si>
  <si>
    <t>Clothing</t>
  </si>
  <si>
    <t>Activities</t>
  </si>
  <si>
    <t>Total children</t>
  </si>
  <si>
    <t>INSURANCE</t>
  </si>
  <si>
    <t>Health</t>
  </si>
  <si>
    <t>Life</t>
  </si>
  <si>
    <t>Disability</t>
  </si>
  <si>
    <t>Professional liability</t>
  </si>
  <si>
    <t>Total insurance</t>
  </si>
  <si>
    <t>UNINSURED MEDICAL EXPENSES</t>
  </si>
  <si>
    <t>Copays</t>
  </si>
  <si>
    <t>Dental</t>
  </si>
  <si>
    <t>Eye care/glasses/contact lenses</t>
  </si>
  <si>
    <t>Medications</t>
  </si>
  <si>
    <t>Total uninsured medical expenses</t>
  </si>
  <si>
    <t>Entertainment</t>
  </si>
  <si>
    <t>Job search expenses</t>
  </si>
  <si>
    <t>Pet food</t>
  </si>
  <si>
    <t>Pet care</t>
  </si>
  <si>
    <t>Personal hygiene/hair/cosmetics</t>
  </si>
  <si>
    <t>Books/newspapers/magazines</t>
  </si>
  <si>
    <t>Veterinary CE</t>
  </si>
  <si>
    <t>Gifts</t>
  </si>
  <si>
    <t>Charitable contributions</t>
  </si>
  <si>
    <t>Travel</t>
  </si>
  <si>
    <t>Vacation</t>
  </si>
  <si>
    <t>Dry cleaning and laundry</t>
  </si>
  <si>
    <t>SAVINGS</t>
  </si>
  <si>
    <t>Emergency fund</t>
  </si>
  <si>
    <t>General savings</t>
  </si>
  <si>
    <t>Retirement plan contributions</t>
  </si>
  <si>
    <t>Investments</t>
  </si>
  <si>
    <t>Total savings</t>
  </si>
  <si>
    <t>State tax deductions</t>
  </si>
  <si>
    <t>Additional taxes</t>
  </si>
  <si>
    <t>Total other expense</t>
  </si>
  <si>
    <t>Books and equipment</t>
  </si>
  <si>
    <t>Disability income</t>
  </si>
  <si>
    <t>Gifts and inheritances</t>
  </si>
  <si>
    <t>Home improvements</t>
  </si>
  <si>
    <t>Self employment income</t>
  </si>
  <si>
    <t>Interest &amp; dividends</t>
  </si>
  <si>
    <t>Other investment income</t>
  </si>
  <si>
    <t>HOA dues</t>
  </si>
  <si>
    <t>12/31/13</t>
  </si>
  <si>
    <t>2013 and 2012</t>
  </si>
  <si>
    <t>Felsted Veterinary Consultants, Inc.</t>
  </si>
  <si>
    <t>214-862-3802</t>
  </si>
  <si>
    <t>karen@felstedconsulting.com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</si>
</sst>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&quot;$&quot;#,##0"/>
  </numFmts>
  <fonts count="8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name val="Arial"/>
      <family val="2"/>
    </font>
    <font>
      <sz val="12"/>
      <name val="Arial"/>
    </font>
    <font>
      <sz val="12"/>
      <color indexed="8"/>
      <name val="Arial"/>
    </font>
    <font>
      <b/>
      <i/>
      <sz val="12"/>
      <color indexed="1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9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 applyFill="1"/>
    <xf numFmtId="5" fontId="5" fillId="0" borderId="0" xfId="0" applyNumberFormat="1" applyFont="1" applyFill="1" applyAlignment="1">
      <alignment horizontal="center"/>
    </xf>
    <xf numFmtId="5" fontId="5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5" fontId="6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 indent="2"/>
    </xf>
    <xf numFmtId="0" fontId="5" fillId="0" borderId="0" xfId="0" applyFont="1" applyFill="1" applyBorder="1" applyAlignment="1">
      <alignment horizontal="left" indent="4"/>
    </xf>
    <xf numFmtId="5" fontId="5" fillId="0" borderId="1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 indent="6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indent="2"/>
    </xf>
    <xf numFmtId="0" fontId="5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right" indent="1"/>
    </xf>
    <xf numFmtId="9" fontId="5" fillId="0" borderId="0" xfId="1" applyFont="1" applyFill="1" applyBorder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right"/>
    </xf>
    <xf numFmtId="164" fontId="5" fillId="0" borderId="0" xfId="0" applyNumberFormat="1" applyFont="1" applyFill="1"/>
    <xf numFmtId="164" fontId="4" fillId="0" borderId="0" xfId="0" applyNumberFormat="1" applyFont="1" applyFill="1"/>
  </cellXfs>
  <cellStyles count="49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tabSelected="1" workbookViewId="0">
      <selection activeCell="E4" sqref="E4"/>
    </sheetView>
  </sheetViews>
  <sheetFormatPr baseColWidth="10" defaultRowHeight="14" customHeight="1" x14ac:dyDescent="0"/>
  <cols>
    <col min="1" max="1" width="40" style="2" customWidth="1"/>
    <col min="2" max="2" width="3.83203125" style="2" customWidth="1"/>
    <col min="3" max="3" width="13.83203125" style="3" customWidth="1"/>
    <col min="4" max="4" width="3.1640625" style="4" customWidth="1"/>
    <col min="5" max="6" width="14.5" style="3" customWidth="1"/>
    <col min="7" max="16384" width="10.83203125" style="2"/>
  </cols>
  <sheetData>
    <row r="1" spans="1:6" ht="14" customHeight="1">
      <c r="A1" s="1" t="s">
        <v>104</v>
      </c>
    </row>
    <row r="2" spans="1:6" ht="14" customHeight="1">
      <c r="A2" s="1" t="s">
        <v>105</v>
      </c>
    </row>
    <row r="3" spans="1:6" ht="14" customHeight="1">
      <c r="A3" s="1" t="s">
        <v>106</v>
      </c>
    </row>
    <row r="5" spans="1:6" ht="14" customHeight="1">
      <c r="A5" s="5" t="s">
        <v>11</v>
      </c>
      <c r="C5" s="6"/>
      <c r="D5" s="6"/>
      <c r="E5" s="4"/>
      <c r="F5" s="4"/>
    </row>
    <row r="6" spans="1:6" ht="14" customHeight="1">
      <c r="A6" s="6" t="s">
        <v>3</v>
      </c>
      <c r="C6" s="6"/>
      <c r="D6" s="6"/>
      <c r="E6" s="4"/>
      <c r="F6" s="4"/>
    </row>
    <row r="7" spans="1:6" ht="14" customHeight="1">
      <c r="A7" s="7" t="s">
        <v>103</v>
      </c>
      <c r="C7" s="6"/>
      <c r="D7" s="6"/>
      <c r="E7" s="8"/>
      <c r="F7" s="8"/>
    </row>
    <row r="8" spans="1:6" ht="14" customHeight="1">
      <c r="A8" s="9"/>
      <c r="C8" s="6"/>
      <c r="D8" s="6"/>
      <c r="E8" s="8"/>
      <c r="F8" s="8"/>
    </row>
    <row r="9" spans="1:6" ht="14" customHeight="1">
      <c r="A9" s="9"/>
      <c r="C9" s="8" t="s">
        <v>7</v>
      </c>
      <c r="D9" s="8"/>
      <c r="E9" s="8" t="s">
        <v>7</v>
      </c>
      <c r="F9" s="8" t="s">
        <v>7</v>
      </c>
    </row>
    <row r="10" spans="1:6" ht="14" customHeight="1">
      <c r="A10" s="9"/>
      <c r="C10" s="8" t="s">
        <v>8</v>
      </c>
      <c r="D10" s="8"/>
      <c r="E10" s="8" t="s">
        <v>8</v>
      </c>
      <c r="F10" s="8" t="s">
        <v>8</v>
      </c>
    </row>
    <row r="11" spans="1:6" ht="14" customHeight="1">
      <c r="A11" s="10" t="s">
        <v>0</v>
      </c>
      <c r="C11" s="11" t="s">
        <v>102</v>
      </c>
      <c r="D11" s="11"/>
      <c r="E11" s="11" t="s">
        <v>9</v>
      </c>
      <c r="F11" s="11" t="s">
        <v>9</v>
      </c>
    </row>
    <row r="12" spans="1:6" ht="14" customHeight="1">
      <c r="A12" s="10"/>
      <c r="C12" s="11" t="s">
        <v>1</v>
      </c>
      <c r="D12" s="11"/>
      <c r="E12" s="11" t="s">
        <v>2</v>
      </c>
      <c r="F12" s="11" t="s">
        <v>1</v>
      </c>
    </row>
    <row r="13" spans="1:6" ht="14" customHeight="1">
      <c r="A13" s="12"/>
      <c r="C13" s="13" t="s">
        <v>10</v>
      </c>
      <c r="D13" s="14"/>
      <c r="E13" s="13" t="s">
        <v>10</v>
      </c>
      <c r="F13" s="13" t="s">
        <v>10</v>
      </c>
    </row>
    <row r="14" spans="1:6" ht="14" customHeight="1">
      <c r="A14" s="12"/>
    </row>
    <row r="15" spans="1:6" ht="14" customHeight="1">
      <c r="A15" s="9" t="s">
        <v>20</v>
      </c>
    </row>
    <row r="16" spans="1:6" ht="14" customHeight="1">
      <c r="A16" s="15" t="s">
        <v>19</v>
      </c>
      <c r="C16" s="4"/>
      <c r="E16" s="4">
        <v>12500</v>
      </c>
      <c r="F16" s="4">
        <v>12000</v>
      </c>
    </row>
    <row r="17" spans="1:6" ht="14" customHeight="1">
      <c r="A17" s="16" t="s">
        <v>12</v>
      </c>
      <c r="C17" s="4"/>
      <c r="E17" s="4">
        <v>-2080</v>
      </c>
      <c r="F17" s="4">
        <v>-2000</v>
      </c>
    </row>
    <row r="18" spans="1:6" ht="14" customHeight="1">
      <c r="A18" s="16" t="s">
        <v>13</v>
      </c>
      <c r="C18" s="4"/>
      <c r="E18" s="4">
        <v>-931</v>
      </c>
      <c r="F18" s="4">
        <v>-894</v>
      </c>
    </row>
    <row r="19" spans="1:6" ht="14" customHeight="1">
      <c r="A19" s="16" t="s">
        <v>91</v>
      </c>
      <c r="C19" s="4"/>
      <c r="E19" s="4">
        <v>0</v>
      </c>
      <c r="F19" s="4">
        <v>0</v>
      </c>
    </row>
    <row r="20" spans="1:6" ht="14" customHeight="1">
      <c r="A20" s="16" t="s">
        <v>14</v>
      </c>
      <c r="C20" s="4"/>
      <c r="E20" s="4">
        <v>0</v>
      </c>
      <c r="F20" s="4">
        <v>0</v>
      </c>
    </row>
    <row r="21" spans="1:6" ht="14" customHeight="1">
      <c r="A21" s="16" t="s">
        <v>15</v>
      </c>
      <c r="C21" s="17"/>
      <c r="E21" s="17">
        <v>0</v>
      </c>
      <c r="F21" s="17">
        <v>0</v>
      </c>
    </row>
    <row r="22" spans="1:6" ht="14" customHeight="1">
      <c r="A22" s="18" t="s">
        <v>16</v>
      </c>
      <c r="C22" s="4">
        <f>SUM(C16:C21)</f>
        <v>0</v>
      </c>
      <c r="E22" s="4">
        <f>SUM(E16:E21)</f>
        <v>9489</v>
      </c>
      <c r="F22" s="4">
        <f>SUM(F16:F21)</f>
        <v>9106</v>
      </c>
    </row>
    <row r="23" spans="1:6" ht="14" customHeight="1">
      <c r="A23" s="15" t="s">
        <v>98</v>
      </c>
      <c r="C23" s="4"/>
      <c r="E23" s="4">
        <v>0</v>
      </c>
      <c r="F23" s="4">
        <v>0</v>
      </c>
    </row>
    <row r="24" spans="1:6" ht="14" customHeight="1">
      <c r="A24" s="15" t="s">
        <v>99</v>
      </c>
      <c r="C24" s="4"/>
      <c r="E24" s="4">
        <v>0</v>
      </c>
      <c r="F24" s="4">
        <v>0</v>
      </c>
    </row>
    <row r="25" spans="1:6" ht="14" customHeight="1">
      <c r="A25" s="15" t="s">
        <v>100</v>
      </c>
      <c r="C25" s="4"/>
      <c r="E25" s="4">
        <v>522</v>
      </c>
      <c r="F25" s="4">
        <v>500</v>
      </c>
    </row>
    <row r="26" spans="1:6" ht="14" customHeight="1">
      <c r="A26" s="15" t="s">
        <v>95</v>
      </c>
      <c r="C26" s="4"/>
      <c r="E26" s="4">
        <v>0</v>
      </c>
      <c r="F26" s="4">
        <v>0</v>
      </c>
    </row>
    <row r="27" spans="1:6" ht="14" customHeight="1">
      <c r="A27" s="15" t="s">
        <v>96</v>
      </c>
      <c r="C27" s="4"/>
      <c r="E27" s="4">
        <v>0</v>
      </c>
      <c r="F27" s="4">
        <v>0</v>
      </c>
    </row>
    <row r="28" spans="1:6" ht="14" customHeight="1">
      <c r="A28" s="15" t="s">
        <v>42</v>
      </c>
      <c r="C28" s="4"/>
      <c r="E28" s="4">
        <v>80000</v>
      </c>
      <c r="F28" s="4">
        <v>80000</v>
      </c>
    </row>
    <row r="29" spans="1:6" ht="14" customHeight="1">
      <c r="A29" s="15" t="s">
        <v>17</v>
      </c>
      <c r="C29" s="17"/>
      <c r="E29" s="17">
        <v>0</v>
      </c>
      <c r="F29" s="17">
        <v>0</v>
      </c>
    </row>
    <row r="30" spans="1:6" ht="14" customHeight="1">
      <c r="A30" s="19" t="s">
        <v>18</v>
      </c>
      <c r="C30" s="4">
        <f>SUM(C22:C29)</f>
        <v>0</v>
      </c>
      <c r="E30" s="4">
        <f>SUM(E22:E29)</f>
        <v>90011</v>
      </c>
      <c r="F30" s="4">
        <f>SUM(F22:F29)</f>
        <v>89606</v>
      </c>
    </row>
    <row r="31" spans="1:6" ht="14" customHeight="1">
      <c r="A31" s="20"/>
      <c r="C31" s="4"/>
      <c r="E31" s="4"/>
      <c r="F31" s="4"/>
    </row>
    <row r="32" spans="1:6" ht="14" customHeight="1">
      <c r="A32" s="9" t="s">
        <v>4</v>
      </c>
      <c r="C32" s="4"/>
      <c r="E32" s="4"/>
      <c r="F32" s="4"/>
    </row>
    <row r="33" spans="1:6" ht="14" customHeight="1">
      <c r="A33" s="7"/>
      <c r="C33" s="4"/>
      <c r="E33" s="4"/>
      <c r="F33" s="4"/>
    </row>
    <row r="34" spans="1:6" ht="14" customHeight="1">
      <c r="A34" s="9" t="s">
        <v>21</v>
      </c>
      <c r="C34" s="4"/>
      <c r="E34" s="4"/>
      <c r="F34" s="4"/>
    </row>
    <row r="35" spans="1:6" ht="14" customHeight="1">
      <c r="A35" s="15" t="s">
        <v>22</v>
      </c>
      <c r="C35" s="4"/>
      <c r="E35" s="4">
        <v>0</v>
      </c>
      <c r="F35" s="4">
        <v>0</v>
      </c>
    </row>
    <row r="36" spans="1:6" ht="14" customHeight="1">
      <c r="A36" s="15" t="s">
        <v>23</v>
      </c>
      <c r="C36" s="4"/>
      <c r="E36" s="4">
        <v>3600</v>
      </c>
      <c r="F36" s="4">
        <v>3600</v>
      </c>
    </row>
    <row r="37" spans="1:6" ht="14" customHeight="1">
      <c r="A37" s="15" t="s">
        <v>24</v>
      </c>
      <c r="C37" s="4"/>
      <c r="E37" s="4">
        <v>0</v>
      </c>
      <c r="F37" s="4">
        <v>0</v>
      </c>
    </row>
    <row r="38" spans="1:6" ht="14" customHeight="1">
      <c r="A38" s="15" t="s">
        <v>47</v>
      </c>
      <c r="C38" s="17"/>
      <c r="E38" s="17">
        <v>0</v>
      </c>
      <c r="F38" s="17">
        <v>0</v>
      </c>
    </row>
    <row r="39" spans="1:6" ht="14" customHeight="1">
      <c r="A39" s="19" t="s">
        <v>25</v>
      </c>
      <c r="C39" s="4">
        <f>SUM(C35:C38)</f>
        <v>0</v>
      </c>
      <c r="E39" s="4">
        <f>SUM(E35:E38)</f>
        <v>3600</v>
      </c>
      <c r="F39" s="4">
        <f>SUM(F35:F38)</f>
        <v>3600</v>
      </c>
    </row>
    <row r="40" spans="1:6" ht="14" customHeight="1">
      <c r="A40" s="21"/>
      <c r="C40" s="4"/>
      <c r="E40" s="4"/>
      <c r="F40" s="4"/>
    </row>
    <row r="41" spans="1:6" ht="14" customHeight="1">
      <c r="A41" s="22" t="s">
        <v>49</v>
      </c>
      <c r="C41" s="4"/>
      <c r="E41" s="4"/>
      <c r="F41" s="4"/>
    </row>
    <row r="42" spans="1:6" ht="14" customHeight="1">
      <c r="A42" s="23" t="s">
        <v>26</v>
      </c>
      <c r="C42" s="4"/>
      <c r="E42" s="4">
        <f>750*12</f>
        <v>9000</v>
      </c>
      <c r="F42" s="4">
        <f>750*12</f>
        <v>9000</v>
      </c>
    </row>
    <row r="43" spans="1:6" ht="14" customHeight="1">
      <c r="A43" s="23" t="s">
        <v>28</v>
      </c>
      <c r="C43" s="4"/>
      <c r="E43" s="4">
        <v>0</v>
      </c>
      <c r="F43" s="4">
        <v>0</v>
      </c>
    </row>
    <row r="44" spans="1:6" ht="14" customHeight="1">
      <c r="A44" s="23" t="s">
        <v>101</v>
      </c>
      <c r="C44" s="4"/>
      <c r="E44" s="4">
        <v>0</v>
      </c>
      <c r="F44" s="4">
        <v>0</v>
      </c>
    </row>
    <row r="45" spans="1:6" ht="14" customHeight="1">
      <c r="A45" s="23" t="s">
        <v>27</v>
      </c>
      <c r="C45" s="4"/>
      <c r="E45" s="4">
        <v>122</v>
      </c>
      <c r="F45" s="4">
        <v>150</v>
      </c>
    </row>
    <row r="46" spans="1:6" ht="14" customHeight="1">
      <c r="A46" s="23" t="s">
        <v>97</v>
      </c>
      <c r="C46" s="4"/>
      <c r="E46" s="4">
        <v>0</v>
      </c>
      <c r="F46" s="4">
        <v>0</v>
      </c>
    </row>
    <row r="47" spans="1:6" ht="14" customHeight="1">
      <c r="A47" s="23" t="s">
        <v>29</v>
      </c>
      <c r="C47" s="4"/>
      <c r="E47" s="4">
        <v>306</v>
      </c>
      <c r="F47" s="4">
        <v>300</v>
      </c>
    </row>
    <row r="48" spans="1:6" ht="14" customHeight="1">
      <c r="A48" s="23" t="s">
        <v>30</v>
      </c>
      <c r="C48" s="4"/>
      <c r="E48" s="4">
        <v>1154</v>
      </c>
      <c r="F48" s="4">
        <v>1200</v>
      </c>
    </row>
    <row r="49" spans="1:6" ht="14" customHeight="1">
      <c r="A49" s="23" t="s">
        <v>31</v>
      </c>
      <c r="C49" s="4"/>
      <c r="E49" s="4">
        <v>355</v>
      </c>
      <c r="F49" s="4">
        <f>30*12</f>
        <v>360</v>
      </c>
    </row>
    <row r="50" spans="1:6" ht="14" customHeight="1">
      <c r="A50" s="23" t="s">
        <v>32</v>
      </c>
      <c r="C50" s="4"/>
      <c r="E50" s="4">
        <f>1200</f>
        <v>1200</v>
      </c>
      <c r="F50" s="4">
        <f>1200</f>
        <v>1200</v>
      </c>
    </row>
    <row r="51" spans="1:6" ht="14" customHeight="1">
      <c r="A51" s="23" t="s">
        <v>33</v>
      </c>
      <c r="C51" s="4"/>
      <c r="E51" s="4">
        <v>330</v>
      </c>
      <c r="F51" s="4">
        <v>350</v>
      </c>
    </row>
    <row r="52" spans="1:6" ht="14" customHeight="1">
      <c r="A52" s="23" t="s">
        <v>34</v>
      </c>
      <c r="C52" s="4"/>
      <c r="E52" s="4">
        <v>1798</v>
      </c>
      <c r="F52" s="4">
        <f>12*150</f>
        <v>1800</v>
      </c>
    </row>
    <row r="53" spans="1:6" ht="14" customHeight="1">
      <c r="A53" s="23" t="s">
        <v>47</v>
      </c>
      <c r="C53" s="17"/>
      <c r="E53" s="17">
        <v>0</v>
      </c>
      <c r="F53" s="17">
        <v>0</v>
      </c>
    </row>
    <row r="54" spans="1:6" ht="14" customHeight="1">
      <c r="A54" s="19" t="s">
        <v>50</v>
      </c>
      <c r="C54" s="4">
        <f>SUM(C42:C53)</f>
        <v>0</v>
      </c>
      <c r="E54" s="4">
        <f>SUM(E42:E53)</f>
        <v>14265</v>
      </c>
      <c r="F54" s="4">
        <f>SUM(F42:F53)</f>
        <v>14360</v>
      </c>
    </row>
    <row r="55" spans="1:6" ht="14" customHeight="1">
      <c r="A55" s="24"/>
      <c r="C55" s="4"/>
      <c r="E55" s="4"/>
      <c r="F55" s="4"/>
    </row>
    <row r="56" spans="1:6" ht="14" customHeight="1">
      <c r="A56" s="9" t="s">
        <v>35</v>
      </c>
      <c r="C56" s="4"/>
      <c r="E56" s="4"/>
      <c r="F56" s="4"/>
    </row>
    <row r="57" spans="1:6" ht="14" customHeight="1">
      <c r="A57" s="23" t="s">
        <v>36</v>
      </c>
      <c r="C57" s="4"/>
      <c r="E57" s="4">
        <v>2322</v>
      </c>
      <c r="F57" s="4">
        <f>12*200</f>
        <v>2400</v>
      </c>
    </row>
    <row r="58" spans="1:6" ht="14" customHeight="1">
      <c r="A58" s="23" t="s">
        <v>37</v>
      </c>
      <c r="C58" s="4"/>
      <c r="E58" s="4">
        <v>987</v>
      </c>
      <c r="F58" s="4">
        <v>1000</v>
      </c>
    </row>
    <row r="59" spans="1:6" ht="14" customHeight="1">
      <c r="A59" s="23" t="s">
        <v>38</v>
      </c>
      <c r="C59" s="4"/>
      <c r="E59" s="4">
        <v>650</v>
      </c>
      <c r="F59" s="4">
        <v>500</v>
      </c>
    </row>
    <row r="60" spans="1:6" ht="14" customHeight="1">
      <c r="A60" s="23" t="s">
        <v>39</v>
      </c>
      <c r="C60" s="4"/>
      <c r="E60" s="4">
        <v>55</v>
      </c>
      <c r="F60" s="4">
        <v>50</v>
      </c>
    </row>
    <row r="61" spans="1:6" ht="14" customHeight="1">
      <c r="A61" s="23" t="s">
        <v>40</v>
      </c>
      <c r="C61" s="4"/>
      <c r="E61" s="4">
        <v>0</v>
      </c>
      <c r="F61" s="4">
        <v>0</v>
      </c>
    </row>
    <row r="62" spans="1:6" ht="14" customHeight="1">
      <c r="A62" s="25" t="s">
        <v>47</v>
      </c>
      <c r="C62" s="17"/>
      <c r="E62" s="17">
        <v>0</v>
      </c>
      <c r="F62" s="17">
        <v>0</v>
      </c>
    </row>
    <row r="63" spans="1:6" ht="14" customHeight="1">
      <c r="A63" s="19" t="s">
        <v>41</v>
      </c>
      <c r="C63" s="4">
        <f>SUM(C57:C62)</f>
        <v>0</v>
      </c>
      <c r="E63" s="4">
        <f>SUM(E57:E62)</f>
        <v>4014</v>
      </c>
      <c r="F63" s="4">
        <f>SUM(F57:F62)</f>
        <v>3950</v>
      </c>
    </row>
    <row r="64" spans="1:6" ht="14" customHeight="1">
      <c r="C64" s="4"/>
      <c r="E64" s="4"/>
      <c r="F64" s="4"/>
    </row>
    <row r="65" spans="1:6" ht="14" customHeight="1">
      <c r="A65" s="9" t="s">
        <v>43</v>
      </c>
      <c r="C65" s="4"/>
      <c r="E65" s="4"/>
      <c r="F65" s="4"/>
    </row>
    <row r="66" spans="1:6" ht="14" customHeight="1">
      <c r="A66" s="23" t="s">
        <v>44</v>
      </c>
      <c r="C66" s="4"/>
      <c r="E66" s="4">
        <v>50400</v>
      </c>
      <c r="F66" s="4">
        <f>16800*3</f>
        <v>50400</v>
      </c>
    </row>
    <row r="67" spans="1:6" ht="14" customHeight="1">
      <c r="A67" s="23" t="s">
        <v>45</v>
      </c>
      <c r="C67" s="4"/>
      <c r="E67" s="4">
        <v>72</v>
      </c>
      <c r="F67" s="4">
        <f>24*3</f>
        <v>72</v>
      </c>
    </row>
    <row r="68" spans="1:6" ht="14" customHeight="1">
      <c r="A68" s="23" t="s">
        <v>46</v>
      </c>
      <c r="C68" s="4"/>
      <c r="E68" s="4">
        <v>1236</v>
      </c>
      <c r="F68" s="4">
        <f>412*3</f>
        <v>1236</v>
      </c>
    </row>
    <row r="69" spans="1:6" ht="14" customHeight="1">
      <c r="A69" s="23" t="s">
        <v>94</v>
      </c>
      <c r="C69" s="4"/>
      <c r="E69" s="4">
        <v>1287</v>
      </c>
      <c r="F69" s="4">
        <v>1000</v>
      </c>
    </row>
    <row r="70" spans="1:6" ht="14" customHeight="1">
      <c r="A70" s="23" t="s">
        <v>47</v>
      </c>
      <c r="C70" s="17"/>
      <c r="E70" s="17">
        <v>0</v>
      </c>
      <c r="F70" s="17">
        <v>0</v>
      </c>
    </row>
    <row r="71" spans="1:6" ht="14" customHeight="1">
      <c r="A71" s="24" t="s">
        <v>48</v>
      </c>
      <c r="C71" s="4">
        <f>SUM(C66:C70)</f>
        <v>0</v>
      </c>
      <c r="E71" s="4">
        <f>SUM(E66:E70)</f>
        <v>52995</v>
      </c>
      <c r="F71" s="4">
        <f>SUM(F66:F70)</f>
        <v>52708</v>
      </c>
    </row>
    <row r="72" spans="1:6" ht="14" customHeight="1">
      <c r="A72" s="6"/>
    </row>
    <row r="73" spans="1:6" ht="14" customHeight="1">
      <c r="A73" s="9" t="s">
        <v>51</v>
      </c>
    </row>
    <row r="74" spans="1:6" ht="14" customHeight="1">
      <c r="A74" s="23" t="s">
        <v>52</v>
      </c>
      <c r="C74" s="4"/>
      <c r="E74" s="4">
        <v>1355</v>
      </c>
      <c r="F74" s="4">
        <v>2400</v>
      </c>
    </row>
    <row r="75" spans="1:6" ht="14" customHeight="1">
      <c r="A75" s="23" t="s">
        <v>53</v>
      </c>
      <c r="C75" s="4"/>
      <c r="E75" s="4">
        <v>1252</v>
      </c>
      <c r="F75" s="4">
        <v>1200</v>
      </c>
    </row>
    <row r="76" spans="1:6" ht="14" customHeight="1">
      <c r="A76" s="23" t="s">
        <v>47</v>
      </c>
      <c r="C76" s="17"/>
      <c r="E76" s="17">
        <v>0</v>
      </c>
      <c r="F76" s="17">
        <v>0</v>
      </c>
    </row>
    <row r="77" spans="1:6" ht="14" customHeight="1">
      <c r="A77" s="24" t="s">
        <v>54</v>
      </c>
      <c r="C77" s="4">
        <f>SUM(C74:C76)</f>
        <v>0</v>
      </c>
      <c r="E77" s="4">
        <f>SUM(E74:E76)</f>
        <v>2607</v>
      </c>
      <c r="F77" s="4">
        <f>SUM(F74:F76)</f>
        <v>3600</v>
      </c>
    </row>
    <row r="78" spans="1:6" ht="14" customHeight="1">
      <c r="A78" s="6"/>
    </row>
    <row r="79" spans="1:6" ht="14" customHeight="1">
      <c r="A79" s="9" t="s">
        <v>55</v>
      </c>
    </row>
    <row r="80" spans="1:6" ht="14" customHeight="1">
      <c r="A80" s="23" t="s">
        <v>56</v>
      </c>
      <c r="C80" s="4"/>
      <c r="E80" s="4">
        <v>0</v>
      </c>
      <c r="F80" s="4">
        <v>0</v>
      </c>
    </row>
    <row r="81" spans="1:6" ht="14" customHeight="1">
      <c r="A81" s="23" t="s">
        <v>44</v>
      </c>
      <c r="C81" s="4"/>
      <c r="E81" s="4">
        <v>0</v>
      </c>
      <c r="F81" s="4">
        <v>0</v>
      </c>
    </row>
    <row r="82" spans="1:6" ht="14" customHeight="1">
      <c r="A82" s="23" t="s">
        <v>57</v>
      </c>
      <c r="C82" s="4"/>
      <c r="E82" s="4">
        <v>0</v>
      </c>
      <c r="F82" s="4">
        <v>0</v>
      </c>
    </row>
    <row r="83" spans="1:6" ht="14" customHeight="1">
      <c r="A83" s="23" t="s">
        <v>58</v>
      </c>
      <c r="C83" s="4"/>
      <c r="E83" s="4">
        <v>0</v>
      </c>
      <c r="F83" s="4">
        <v>0</v>
      </c>
    </row>
    <row r="84" spans="1:6" ht="14" customHeight="1">
      <c r="A84" s="23" t="s">
        <v>59</v>
      </c>
      <c r="C84" s="4"/>
      <c r="E84" s="4">
        <v>0</v>
      </c>
      <c r="F84" s="4">
        <v>0</v>
      </c>
    </row>
    <row r="85" spans="1:6" ht="14" customHeight="1">
      <c r="A85" s="23" t="s">
        <v>47</v>
      </c>
      <c r="C85" s="17"/>
      <c r="E85" s="17">
        <v>0</v>
      </c>
      <c r="F85" s="17">
        <v>0</v>
      </c>
    </row>
    <row r="86" spans="1:6" ht="14" customHeight="1">
      <c r="A86" s="19" t="s">
        <v>60</v>
      </c>
      <c r="C86" s="4">
        <f>SUM(C80:C85)</f>
        <v>0</v>
      </c>
      <c r="E86" s="4">
        <f>SUM(E80:E85)</f>
        <v>0</v>
      </c>
      <c r="F86" s="4">
        <f>SUM(F80:F85)</f>
        <v>0</v>
      </c>
    </row>
    <row r="87" spans="1:6" ht="14" customHeight="1">
      <c r="A87" s="19"/>
      <c r="C87" s="4"/>
      <c r="E87" s="4"/>
      <c r="F87" s="4"/>
    </row>
    <row r="88" spans="1:6" ht="14" customHeight="1">
      <c r="A88" s="22" t="s">
        <v>61</v>
      </c>
    </row>
    <row r="89" spans="1:6" ht="14" customHeight="1">
      <c r="A89" s="23" t="s">
        <v>62</v>
      </c>
      <c r="E89" s="3">
        <v>0</v>
      </c>
      <c r="F89" s="3">
        <v>0</v>
      </c>
    </row>
    <row r="90" spans="1:6" ht="14" customHeight="1">
      <c r="A90" s="23" t="s">
        <v>63</v>
      </c>
      <c r="E90" s="3">
        <v>0</v>
      </c>
      <c r="F90" s="3">
        <v>0</v>
      </c>
    </row>
    <row r="91" spans="1:6" ht="14" customHeight="1">
      <c r="A91" s="23" t="s">
        <v>64</v>
      </c>
      <c r="C91" s="4"/>
      <c r="E91" s="4">
        <v>0</v>
      </c>
      <c r="F91" s="4">
        <v>0</v>
      </c>
    </row>
    <row r="92" spans="1:6" ht="14" customHeight="1">
      <c r="A92" s="26" t="s">
        <v>65</v>
      </c>
      <c r="C92" s="4"/>
      <c r="E92" s="4">
        <v>0</v>
      </c>
      <c r="F92" s="4">
        <v>0</v>
      </c>
    </row>
    <row r="93" spans="1:6" ht="14" customHeight="1">
      <c r="A93" s="26" t="s">
        <v>47</v>
      </c>
      <c r="C93" s="17"/>
      <c r="E93" s="17">
        <v>0</v>
      </c>
      <c r="F93" s="17">
        <v>0</v>
      </c>
    </row>
    <row r="94" spans="1:6" ht="14" customHeight="1">
      <c r="A94" s="27" t="s">
        <v>66</v>
      </c>
      <c r="C94" s="4">
        <f>SUM(C89:C93)</f>
        <v>0</v>
      </c>
      <c r="E94" s="4">
        <f>SUM(E89:E93)</f>
        <v>0</v>
      </c>
      <c r="F94" s="4">
        <f>SUM(F89:F93)</f>
        <v>0</v>
      </c>
    </row>
    <row r="95" spans="1:6" ht="14" customHeight="1">
      <c r="A95" s="27"/>
      <c r="C95" s="4"/>
      <c r="E95" s="4"/>
      <c r="F95" s="4"/>
    </row>
    <row r="96" spans="1:6" ht="14" customHeight="1">
      <c r="A96" s="22" t="s">
        <v>67</v>
      </c>
      <c r="C96" s="4"/>
      <c r="E96" s="4"/>
      <c r="F96" s="4"/>
    </row>
    <row r="97" spans="1:6" ht="14" customHeight="1">
      <c r="A97" s="23" t="s">
        <v>68</v>
      </c>
      <c r="E97" s="3">
        <v>0</v>
      </c>
      <c r="F97" s="3">
        <v>0</v>
      </c>
    </row>
    <row r="98" spans="1:6" ht="14" customHeight="1">
      <c r="A98" s="23" t="s">
        <v>69</v>
      </c>
      <c r="E98" s="3">
        <v>0</v>
      </c>
      <c r="F98" s="3">
        <v>0</v>
      </c>
    </row>
    <row r="99" spans="1:6" ht="14" customHeight="1">
      <c r="A99" s="23" t="s">
        <v>70</v>
      </c>
      <c r="C99" s="4"/>
      <c r="E99" s="4">
        <v>256</v>
      </c>
      <c r="F99" s="4">
        <v>250</v>
      </c>
    </row>
    <row r="100" spans="1:6" ht="14" customHeight="1">
      <c r="A100" s="26" t="s">
        <v>71</v>
      </c>
      <c r="C100" s="4"/>
      <c r="E100" s="4">
        <v>108</v>
      </c>
      <c r="F100" s="4">
        <v>75</v>
      </c>
    </row>
    <row r="101" spans="1:6" ht="14" customHeight="1">
      <c r="A101" s="26" t="s">
        <v>47</v>
      </c>
      <c r="C101" s="17"/>
      <c r="E101" s="17">
        <v>0</v>
      </c>
      <c r="F101" s="17">
        <v>0</v>
      </c>
    </row>
    <row r="102" spans="1:6" ht="14" customHeight="1">
      <c r="A102" s="27" t="s">
        <v>72</v>
      </c>
      <c r="C102" s="4">
        <f>SUM(C97:C101)</f>
        <v>0</v>
      </c>
      <c r="E102" s="4">
        <f>SUM(E97:E101)</f>
        <v>364</v>
      </c>
      <c r="F102" s="4">
        <f>SUM(F97:F101)</f>
        <v>325</v>
      </c>
    </row>
    <row r="103" spans="1:6" ht="14" customHeight="1">
      <c r="A103" s="23"/>
    </row>
    <row r="104" spans="1:6" ht="14" customHeight="1">
      <c r="A104" s="22" t="s">
        <v>5</v>
      </c>
    </row>
    <row r="105" spans="1:6" ht="14" customHeight="1">
      <c r="A105" s="23" t="s">
        <v>73</v>
      </c>
      <c r="E105" s="3">
        <v>1150</v>
      </c>
      <c r="F105" s="3">
        <v>1200</v>
      </c>
    </row>
    <row r="106" spans="1:6" ht="14" customHeight="1">
      <c r="A106" s="23" t="s">
        <v>58</v>
      </c>
      <c r="E106" s="3">
        <v>942</v>
      </c>
      <c r="F106" s="3">
        <v>1000</v>
      </c>
    </row>
    <row r="107" spans="1:6" ht="14" customHeight="1">
      <c r="A107" s="23" t="s">
        <v>74</v>
      </c>
      <c r="E107" s="3">
        <v>0</v>
      </c>
      <c r="F107" s="3">
        <v>0</v>
      </c>
    </row>
    <row r="108" spans="1:6" ht="14" customHeight="1">
      <c r="A108" s="23" t="s">
        <v>75</v>
      </c>
      <c r="E108" s="3">
        <v>0</v>
      </c>
      <c r="F108" s="3">
        <v>0</v>
      </c>
    </row>
    <row r="109" spans="1:6" ht="14" customHeight="1">
      <c r="A109" s="23" t="s">
        <v>76</v>
      </c>
      <c r="E109" s="3">
        <v>175</v>
      </c>
      <c r="F109" s="3">
        <v>200</v>
      </c>
    </row>
    <row r="110" spans="1:6" ht="14" customHeight="1">
      <c r="A110" s="23" t="s">
        <v>77</v>
      </c>
      <c r="E110" s="3">
        <v>490</v>
      </c>
      <c r="F110" s="3">
        <v>500</v>
      </c>
    </row>
    <row r="111" spans="1:6" ht="14" customHeight="1">
      <c r="A111" s="23" t="s">
        <v>78</v>
      </c>
      <c r="E111" s="3">
        <v>322</v>
      </c>
      <c r="F111" s="3">
        <v>480</v>
      </c>
    </row>
    <row r="112" spans="1:6" ht="14" customHeight="1">
      <c r="A112" s="23" t="s">
        <v>79</v>
      </c>
      <c r="E112" s="3">
        <v>0</v>
      </c>
      <c r="F112" s="3">
        <v>0</v>
      </c>
    </row>
    <row r="113" spans="1:6" ht="14" customHeight="1">
      <c r="A113" s="23" t="s">
        <v>80</v>
      </c>
      <c r="C113" s="4"/>
      <c r="E113" s="4">
        <v>358</v>
      </c>
      <c r="F113" s="4">
        <v>300</v>
      </c>
    </row>
    <row r="114" spans="1:6" ht="14" customHeight="1">
      <c r="A114" s="26" t="s">
        <v>81</v>
      </c>
      <c r="C114" s="4"/>
      <c r="E114" s="4">
        <v>0</v>
      </c>
      <c r="F114" s="4">
        <v>0</v>
      </c>
    </row>
    <row r="115" spans="1:6" ht="14" customHeight="1">
      <c r="A115" s="26" t="s">
        <v>82</v>
      </c>
      <c r="C115" s="4"/>
      <c r="E115" s="4">
        <v>5050</v>
      </c>
      <c r="F115" s="4">
        <v>5000</v>
      </c>
    </row>
    <row r="116" spans="1:6" ht="14" customHeight="1">
      <c r="A116" s="26" t="s">
        <v>83</v>
      </c>
      <c r="C116" s="4"/>
      <c r="E116" s="4">
        <v>0</v>
      </c>
      <c r="F116" s="4">
        <v>0</v>
      </c>
    </row>
    <row r="117" spans="1:6" ht="14" customHeight="1">
      <c r="A117" s="26" t="s">
        <v>84</v>
      </c>
      <c r="C117" s="4"/>
      <c r="E117" s="4">
        <v>368</v>
      </c>
      <c r="F117" s="4">
        <v>360</v>
      </c>
    </row>
    <row r="118" spans="1:6" ht="14" customHeight="1">
      <c r="A118" s="26" t="s">
        <v>92</v>
      </c>
      <c r="C118" s="4"/>
      <c r="E118" s="4">
        <v>0</v>
      </c>
      <c r="F118" s="4">
        <v>0</v>
      </c>
    </row>
    <row r="119" spans="1:6" ht="14" customHeight="1">
      <c r="A119" s="26" t="s">
        <v>47</v>
      </c>
      <c r="C119" s="17"/>
      <c r="E119" s="17">
        <v>0</v>
      </c>
      <c r="F119" s="17">
        <v>0</v>
      </c>
    </row>
    <row r="120" spans="1:6" ht="14" customHeight="1">
      <c r="A120" s="27" t="s">
        <v>93</v>
      </c>
      <c r="C120" s="4">
        <f>SUM(C105:C119)</f>
        <v>0</v>
      </c>
      <c r="E120" s="4">
        <f>SUM(E105:E119)</f>
        <v>8855</v>
      </c>
      <c r="F120" s="4">
        <f>SUM(F105:F119)</f>
        <v>9040</v>
      </c>
    </row>
    <row r="121" spans="1:6" ht="14" customHeight="1">
      <c r="A121" s="27"/>
      <c r="C121" s="4"/>
      <c r="E121" s="4"/>
      <c r="F121" s="4"/>
    </row>
    <row r="122" spans="1:6" ht="14" customHeight="1">
      <c r="A122" s="22" t="s">
        <v>85</v>
      </c>
      <c r="C122" s="4"/>
      <c r="E122" s="4"/>
      <c r="F122" s="4"/>
    </row>
    <row r="123" spans="1:6" ht="14" customHeight="1">
      <c r="A123" s="23" t="s">
        <v>86</v>
      </c>
      <c r="E123" s="3">
        <v>600</v>
      </c>
      <c r="F123" s="3">
        <v>600</v>
      </c>
    </row>
    <row r="124" spans="1:6" ht="14" customHeight="1">
      <c r="A124" s="23" t="s">
        <v>87</v>
      </c>
      <c r="E124" s="3">
        <v>600</v>
      </c>
      <c r="F124" s="3">
        <v>600</v>
      </c>
    </row>
    <row r="125" spans="1:6" ht="14" customHeight="1">
      <c r="A125" s="23" t="s">
        <v>88</v>
      </c>
      <c r="C125" s="4"/>
      <c r="E125" s="4">
        <v>0</v>
      </c>
      <c r="F125" s="4">
        <v>0</v>
      </c>
    </row>
    <row r="126" spans="1:6" ht="14" customHeight="1">
      <c r="A126" s="26" t="s">
        <v>89</v>
      </c>
      <c r="C126" s="4"/>
      <c r="E126" s="4">
        <v>0</v>
      </c>
      <c r="F126" s="4">
        <v>0</v>
      </c>
    </row>
    <row r="127" spans="1:6" ht="14" customHeight="1">
      <c r="A127" s="26" t="s">
        <v>47</v>
      </c>
      <c r="C127" s="17"/>
      <c r="E127" s="17">
        <v>0</v>
      </c>
      <c r="F127" s="17">
        <v>0</v>
      </c>
    </row>
    <row r="128" spans="1:6" ht="14" customHeight="1">
      <c r="A128" s="27" t="s">
        <v>90</v>
      </c>
      <c r="C128" s="4">
        <f>SUM(C123:C127)</f>
        <v>0</v>
      </c>
      <c r="E128" s="4">
        <f>SUM(E123:E127)</f>
        <v>1200</v>
      </c>
      <c r="F128" s="4">
        <f>SUM(F123:F127)</f>
        <v>1200</v>
      </c>
    </row>
    <row r="129" spans="1:6" ht="14" customHeight="1">
      <c r="A129" s="28"/>
    </row>
    <row r="130" spans="1:6" ht="14" customHeight="1">
      <c r="A130" s="29" t="s">
        <v>6</v>
      </c>
      <c r="C130" s="3">
        <f>C30-C39-C54-C63-C71-C77-C86-C94-C102-C120-C128</f>
        <v>0</v>
      </c>
      <c r="E130" s="3">
        <f t="shared" ref="E130:F130" si="0">E30-E39-E54-E63-E71-E77-E86-E94-E102-E120-E128</f>
        <v>2111</v>
      </c>
      <c r="F130" s="3">
        <f t="shared" si="0"/>
        <v>823</v>
      </c>
    </row>
    <row r="131" spans="1:6" ht="14" customHeight="1">
      <c r="A131" s="28"/>
    </row>
    <row r="132" spans="1:6" ht="14" customHeight="1">
      <c r="E132" s="4"/>
      <c r="F132" s="4"/>
    </row>
    <row r="133" spans="1:6" ht="14" customHeight="1">
      <c r="E133" s="4"/>
      <c r="F133" s="4"/>
    </row>
    <row r="134" spans="1:6" ht="14" customHeight="1">
      <c r="E134" s="4"/>
      <c r="F134" s="4"/>
    </row>
    <row r="135" spans="1:6" ht="14" customHeight="1">
      <c r="E135" s="4"/>
      <c r="F135" s="4"/>
    </row>
    <row r="136" spans="1:6" ht="14" customHeight="1">
      <c r="E136" s="4"/>
      <c r="F136" s="4"/>
    </row>
    <row r="137" spans="1:6" ht="14" customHeight="1">
      <c r="E137" s="4"/>
      <c r="F137" s="4"/>
    </row>
    <row r="138" spans="1:6" ht="14" customHeight="1">
      <c r="E138" s="4"/>
      <c r="F138" s="4"/>
    </row>
    <row r="139" spans="1:6" ht="14" customHeight="1">
      <c r="E139" s="4"/>
      <c r="F139" s="4"/>
    </row>
    <row r="140" spans="1:6" ht="14" customHeight="1">
      <c r="E140" s="4"/>
      <c r="F140" s="4"/>
    </row>
    <row r="141" spans="1:6" ht="14" customHeight="1">
      <c r="E141" s="4"/>
      <c r="F141" s="4"/>
    </row>
    <row r="142" spans="1:6" ht="14" customHeight="1">
      <c r="E142" s="4"/>
      <c r="F142" s="4"/>
    </row>
    <row r="143" spans="1:6" ht="14" customHeight="1">
      <c r="E143" s="4"/>
      <c r="F143" s="4"/>
    </row>
    <row r="144" spans="1:6" ht="14" customHeight="1">
      <c r="E144" s="4"/>
      <c r="F144" s="4"/>
    </row>
    <row r="145" spans="3:6" ht="14" customHeight="1">
      <c r="E145" s="4"/>
      <c r="F145" s="4"/>
    </row>
    <row r="146" spans="3:6" ht="14" customHeight="1">
      <c r="E146" s="4"/>
      <c r="F146" s="4"/>
    </row>
    <row r="147" spans="3:6" ht="14" customHeight="1">
      <c r="E147" s="4"/>
      <c r="F147" s="4"/>
    </row>
    <row r="148" spans="3:6" ht="14" customHeight="1">
      <c r="E148" s="4"/>
      <c r="F148" s="4"/>
    </row>
    <row r="149" spans="3:6" ht="14" customHeight="1">
      <c r="E149" s="4"/>
      <c r="F149" s="4"/>
    </row>
    <row r="150" spans="3:6" ht="14" customHeight="1">
      <c r="E150" s="4"/>
      <c r="F150" s="4"/>
    </row>
    <row r="151" spans="3:6" ht="14" customHeight="1">
      <c r="E151" s="4"/>
      <c r="F151" s="4"/>
    </row>
    <row r="152" spans="3:6" ht="14" customHeight="1">
      <c r="C152" s="4"/>
      <c r="E152" s="4"/>
      <c r="F152" s="4"/>
    </row>
    <row r="153" spans="3:6" ht="14" customHeight="1">
      <c r="C153" s="4"/>
      <c r="E153" s="4"/>
      <c r="F153" s="4"/>
    </row>
    <row r="154" spans="3:6" ht="14" customHeight="1">
      <c r="C154" s="4"/>
      <c r="E154" s="6"/>
      <c r="F154" s="4"/>
    </row>
    <row r="155" spans="3:6" ht="14" customHeight="1">
      <c r="C155" s="4"/>
      <c r="E155" s="6"/>
      <c r="F155" s="4"/>
    </row>
    <row r="156" spans="3:6" ht="14" customHeight="1">
      <c r="C156" s="4"/>
      <c r="E156" s="6"/>
      <c r="F156" s="4"/>
    </row>
    <row r="157" spans="3:6" ht="14" customHeight="1">
      <c r="C157" s="4"/>
      <c r="E157" s="6"/>
      <c r="F157" s="4"/>
    </row>
    <row r="158" spans="3:6" ht="14" customHeight="1">
      <c r="C158" s="4"/>
      <c r="E158" s="6"/>
      <c r="F158" s="4"/>
    </row>
    <row r="159" spans="3:6" ht="14" customHeight="1">
      <c r="C159" s="4"/>
      <c r="E159" s="6"/>
      <c r="F159" s="4"/>
    </row>
    <row r="160" spans="3:6" ht="14" customHeight="1">
      <c r="C160" s="4"/>
      <c r="E160" s="4"/>
      <c r="F160" s="4"/>
    </row>
    <row r="161" spans="3:6" ht="14" customHeight="1">
      <c r="C161" s="4"/>
      <c r="E161" s="6"/>
      <c r="F161" s="4"/>
    </row>
    <row r="162" spans="3:6" ht="14" customHeight="1">
      <c r="C162" s="4"/>
      <c r="E162" s="4"/>
      <c r="F162" s="4"/>
    </row>
    <row r="163" spans="3:6" ht="14" customHeight="1">
      <c r="C163" s="4"/>
      <c r="E163" s="4"/>
      <c r="F163" s="4"/>
    </row>
    <row r="164" spans="3:6" ht="14" customHeight="1">
      <c r="C164" s="4"/>
      <c r="E164" s="4"/>
      <c r="F164" s="4"/>
    </row>
    <row r="165" spans="3:6" ht="14" customHeight="1">
      <c r="E165" s="4"/>
      <c r="F165" s="4"/>
    </row>
    <row r="166" spans="3:6" ht="14" customHeight="1">
      <c r="E166" s="4"/>
      <c r="F166" s="4"/>
    </row>
    <row r="167" spans="3:6" ht="14" customHeight="1">
      <c r="E167" s="4"/>
      <c r="F167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Budget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Felsted</cp:lastModifiedBy>
  <cp:lastPrinted>2011-04-05T00:53:50Z</cp:lastPrinted>
  <dcterms:created xsi:type="dcterms:W3CDTF">1998-12-07T14:25:39Z</dcterms:created>
  <dcterms:modified xsi:type="dcterms:W3CDTF">2013-04-03T00:55:27Z</dcterms:modified>
  <cp:category/>
</cp:coreProperties>
</file>