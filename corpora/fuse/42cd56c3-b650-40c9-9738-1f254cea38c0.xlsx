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600" yWindow="120" windowWidth="14115" windowHeight="8670"/>
  </bookViews>
  <sheets>
    <sheet name="Summary" sheetId="1" r:id="rId1"/>
    <sheet name="ClassificationWeb" sheetId="2" r:id="rId2"/>
    <sheet name="ARTstor" sheetId="3" r:id="rId3"/>
    <sheet name="CIAO" sheetId="4" r:id="rId4"/>
    <sheet name="Cochrane" sheetId="5" r:id="rId5"/>
    <sheet name="Compendex(EI)" sheetId="6" r:id="rId6"/>
    <sheet name="CQ Researcher" sheetId="7" r:id="rId7"/>
    <sheet name="Greenwood" sheetId="8" r:id="rId8"/>
    <sheet name="CSA" sheetId="9" r:id="rId9"/>
    <sheet name="EBSCOhost" sheetId="10" r:id="rId10"/>
    <sheet name="Elsevier" sheetId="11" r:id="rId11"/>
    <sheet name="FirstSearch" sheetId="12" r:id="rId12"/>
    <sheet name="FSTA" sheetId="13" r:id="rId13"/>
    <sheet name="InfoTrac" sheetId="14" r:id="rId14"/>
    <sheet name="KCDL" sheetId="15" r:id="rId15"/>
    <sheet name="Lexi-Comp" sheetId="16" r:id="rId16"/>
    <sheet name="LexisNexis" sheetId="17" r:id="rId17"/>
    <sheet name="MathSciNet" sheetId="18" r:id="rId18"/>
    <sheet name="Mergent" sheetId="19" r:id="rId19"/>
    <sheet name="MetaPress" sheetId="20" r:id="rId20"/>
    <sheet name="netLibrary" sheetId="21" r:id="rId21"/>
    <sheet name="Newsbank" sheetId="22" r:id="rId22"/>
    <sheet name="OVID" sheetId="23" r:id="rId23"/>
    <sheet name="WebofScience" sheetId="24" r:id="rId24"/>
    <sheet name="Oxford" sheetId="25" r:id="rId25"/>
    <sheet name="ProQuest" sheetId="26" r:id="rId26"/>
    <sheet name="ReferenceUSA" sheetId="27" r:id="rId27"/>
    <sheet name="RefWorks" sheetId="28" r:id="rId28"/>
    <sheet name="SciFinderScholar" sheetId="29" r:id="rId29"/>
    <sheet name="WebSpirs" sheetId="30" r:id="rId30"/>
    <sheet name="WilsonWeb" sheetId="31" r:id="rId31"/>
  </sheets>
  <calcPr calcId="125725"/>
</workbook>
</file>

<file path=xl/calcChain.xml><?xml version="1.0" encoding="utf-8"?>
<calcChain xmlns="http://schemas.openxmlformats.org/spreadsheetml/2006/main">
  <c r="H10" i="1"/>
  <c r="H14"/>
  <c r="H15"/>
  <c r="H16"/>
  <c r="H18"/>
  <c r="H26"/>
  <c r="H30"/>
  <c r="H33"/>
  <c r="H36"/>
  <c r="H37"/>
  <c r="H38"/>
  <c r="H39"/>
  <c r="H40"/>
  <c r="H44"/>
  <c r="H45"/>
  <c r="H46"/>
  <c r="H47"/>
  <c r="H48"/>
  <c r="H49"/>
  <c r="H55"/>
  <c r="H57"/>
  <c r="H61"/>
  <c r="H69"/>
  <c r="H70"/>
  <c r="H71"/>
  <c r="H72"/>
  <c r="H73"/>
  <c r="H76"/>
  <c r="H77"/>
  <c r="H79"/>
  <c r="H80"/>
  <c r="H84"/>
  <c r="H90"/>
  <c r="H95"/>
  <c r="H96"/>
  <c r="H103"/>
  <c r="H104"/>
  <c r="H105"/>
  <c r="H107"/>
  <c r="H109"/>
  <c r="H110"/>
  <c r="H118"/>
  <c r="H119"/>
  <c r="H121"/>
  <c r="G124"/>
  <c r="G125"/>
  <c r="G128"/>
  <c r="H133"/>
  <c r="H139"/>
  <c r="H140"/>
  <c r="N6" i="2"/>
  <c r="N8"/>
  <c r="N9"/>
  <c r="N6" i="3"/>
  <c r="N7"/>
  <c r="N8"/>
  <c r="N9"/>
  <c r="N10"/>
  <c r="N6" i="4"/>
  <c r="N7"/>
  <c r="N8"/>
  <c r="N9"/>
  <c r="N10"/>
  <c r="N15"/>
  <c r="N6" i="5"/>
  <c r="N7"/>
  <c r="N8"/>
  <c r="N6" i="6"/>
  <c r="N7"/>
  <c r="N8" i="7"/>
  <c r="N9"/>
  <c r="N10"/>
  <c r="N11"/>
  <c r="N12"/>
  <c r="N13"/>
  <c r="N6" i="8"/>
  <c r="N7"/>
  <c r="N11" i="9"/>
  <c r="N16"/>
  <c r="N21"/>
  <c r="N26"/>
  <c r="N31"/>
  <c r="N36"/>
  <c r="N41"/>
  <c r="N46"/>
  <c r="N51"/>
  <c r="N56"/>
  <c r="N61"/>
  <c r="N66"/>
  <c r="N71"/>
  <c r="N76"/>
  <c r="N81"/>
  <c r="N86"/>
  <c r="N91"/>
  <c r="N96"/>
  <c r="N101"/>
  <c r="N106"/>
  <c r="N111"/>
  <c r="N116"/>
  <c r="N121"/>
  <c r="N126"/>
  <c r="N131"/>
  <c r="O131"/>
  <c r="N6" i="10"/>
  <c r="N7"/>
  <c r="N12"/>
  <c r="N13"/>
  <c r="N18"/>
  <c r="N19"/>
  <c r="N26"/>
  <c r="N27"/>
  <c r="N32"/>
  <c r="N33"/>
  <c r="N38"/>
  <c r="N39"/>
  <c r="N44"/>
  <c r="N45"/>
  <c r="N50"/>
  <c r="N51"/>
  <c r="N56"/>
  <c r="N57"/>
  <c r="N62"/>
  <c r="N63"/>
  <c r="N68"/>
  <c r="N69"/>
  <c r="N74"/>
  <c r="N75"/>
  <c r="N81"/>
  <c r="N82"/>
  <c r="N87"/>
  <c r="N88"/>
  <c r="N93"/>
  <c r="N94"/>
  <c r="N99"/>
  <c r="N100"/>
  <c r="N105"/>
  <c r="N106"/>
  <c r="N111"/>
  <c r="N112"/>
  <c r="N117"/>
  <c r="N118"/>
  <c r="N123"/>
  <c r="N124"/>
  <c r="N131"/>
  <c r="N132"/>
  <c r="N137"/>
  <c r="N138"/>
  <c r="N143"/>
  <c r="N144"/>
  <c r="N149"/>
  <c r="N150"/>
  <c r="N155"/>
  <c r="N156"/>
  <c r="N161"/>
  <c r="N162"/>
  <c r="N167"/>
  <c r="N168"/>
  <c r="N173"/>
  <c r="N174"/>
  <c r="N179"/>
  <c r="N180"/>
  <c r="N185"/>
  <c r="N186"/>
  <c r="N191"/>
  <c r="N192"/>
  <c r="N197"/>
  <c r="N198"/>
  <c r="N199"/>
  <c r="O199"/>
  <c r="N6" i="11"/>
  <c r="N7"/>
  <c r="N10"/>
  <c r="N6" i="12"/>
  <c r="N11"/>
  <c r="N16"/>
  <c r="N17"/>
  <c r="N19"/>
  <c r="N24"/>
  <c r="N25"/>
  <c r="N27"/>
  <c r="N32"/>
  <c r="N33"/>
  <c r="N35"/>
  <c r="N40"/>
  <c r="N45"/>
  <c r="N46"/>
  <c r="N48"/>
  <c r="N53"/>
  <c r="N54"/>
  <c r="N56"/>
  <c r="N61"/>
  <c r="N62"/>
  <c r="N64"/>
  <c r="N69"/>
  <c r="N70"/>
  <c r="N72"/>
  <c r="N77"/>
  <c r="N78"/>
  <c r="N80"/>
  <c r="N85"/>
  <c r="N86"/>
  <c r="N88"/>
  <c r="N93"/>
  <c r="N94"/>
  <c r="N96"/>
  <c r="N101"/>
  <c r="N102"/>
  <c r="P102"/>
  <c r="N104"/>
  <c r="N109"/>
  <c r="N110"/>
  <c r="N112"/>
  <c r="N118"/>
  <c r="N119"/>
  <c r="N121"/>
  <c r="N126"/>
  <c r="N6" i="13"/>
  <c r="N6" i="14"/>
  <c r="N7"/>
  <c r="N8"/>
  <c r="N9"/>
  <c r="N6" i="15"/>
  <c r="O6"/>
  <c r="N7"/>
  <c r="N6" i="16"/>
  <c r="N7"/>
  <c r="N8"/>
  <c r="N6" i="17"/>
  <c r="N7"/>
  <c r="N10"/>
  <c r="N11"/>
  <c r="N6" i="18"/>
  <c r="N7"/>
  <c r="N6" i="19"/>
  <c r="N7"/>
  <c r="N8"/>
  <c r="N6" i="20"/>
  <c r="N6" i="21"/>
  <c r="N7"/>
  <c r="N6" i="22"/>
  <c r="N7"/>
  <c r="N11"/>
  <c r="N16"/>
  <c r="N17"/>
  <c r="N6" i="23"/>
  <c r="N7"/>
  <c r="N8"/>
  <c r="N13"/>
  <c r="N14"/>
  <c r="N15"/>
  <c r="N20"/>
  <c r="N21"/>
  <c r="N22"/>
  <c r="N27"/>
  <c r="N28"/>
  <c r="N29"/>
  <c r="N34"/>
  <c r="N35"/>
  <c r="N36"/>
  <c r="N41"/>
  <c r="N42"/>
  <c r="N43"/>
  <c r="N49"/>
  <c r="N50"/>
  <c r="O50"/>
  <c r="N51"/>
  <c r="N8" i="24"/>
  <c r="N9"/>
  <c r="O9"/>
  <c r="N16"/>
  <c r="N21"/>
  <c r="N22"/>
  <c r="P22"/>
  <c r="N27"/>
  <c r="N28"/>
  <c r="N29"/>
  <c r="N30"/>
  <c r="N31"/>
  <c r="N32"/>
  <c r="N33"/>
  <c r="N34"/>
  <c r="N35"/>
  <c r="N36"/>
  <c r="N6" i="25"/>
  <c r="N7"/>
  <c r="N8"/>
  <c r="N11"/>
  <c r="N12"/>
  <c r="N13"/>
  <c r="N16"/>
  <c r="N17"/>
  <c r="N18"/>
  <c r="N6" i="26"/>
  <c r="N11"/>
  <c r="N16"/>
  <c r="N21"/>
  <c r="N26"/>
  <c r="N31"/>
  <c r="N36"/>
  <c r="N41"/>
  <c r="N46"/>
  <c r="N52"/>
  <c r="N53"/>
  <c r="O53"/>
  <c r="N54"/>
  <c r="N8" i="27"/>
  <c r="D122" i="1" s="1"/>
  <c r="D9" i="27"/>
  <c r="M9"/>
  <c r="N9" s="1"/>
  <c r="E122" i="1" s="1"/>
  <c r="D10" i="27"/>
  <c r="N10" s="1"/>
  <c r="J10"/>
  <c r="M10"/>
  <c r="D11"/>
  <c r="N11" s="1"/>
  <c r="E11"/>
  <c r="H11"/>
  <c r="I11"/>
  <c r="M11"/>
  <c r="N12"/>
  <c r="N13"/>
  <c r="D14"/>
  <c r="H14"/>
  <c r="N14"/>
  <c r="D15"/>
  <c r="N15"/>
  <c r="N16"/>
  <c r="N17"/>
  <c r="N18"/>
  <c r="N19"/>
  <c r="N20"/>
  <c r="N21"/>
  <c r="N26"/>
  <c r="D123" i="1" s="1"/>
  <c r="N27" i="27"/>
  <c r="E123" i="1" s="1"/>
  <c r="N28" i="27"/>
  <c r="N29"/>
  <c r="N30"/>
  <c r="N31"/>
  <c r="N32"/>
  <c r="N33"/>
  <c r="N34"/>
  <c r="N35"/>
  <c r="N36"/>
  <c r="N37"/>
  <c r="N38"/>
  <c r="N39"/>
  <c r="B44"/>
  <c r="C44"/>
  <c r="D44"/>
  <c r="E44"/>
  <c r="F44"/>
  <c r="G44"/>
  <c r="N44" s="1"/>
  <c r="D124" i="1" s="1"/>
  <c r="H44" i="27"/>
  <c r="I44"/>
  <c r="J44"/>
  <c r="K44"/>
  <c r="L44"/>
  <c r="M44"/>
  <c r="B45"/>
  <c r="C45"/>
  <c r="D45"/>
  <c r="E45"/>
  <c r="F45"/>
  <c r="G45"/>
  <c r="H45"/>
  <c r="I45"/>
  <c r="J45"/>
  <c r="K45"/>
  <c r="L45"/>
  <c r="M45"/>
  <c r="N45"/>
  <c r="E124" i="1" s="1"/>
  <c r="B46" i="27"/>
  <c r="C46"/>
  <c r="D46"/>
  <c r="E46"/>
  <c r="F46"/>
  <c r="G46"/>
  <c r="N46" s="1"/>
  <c r="H46"/>
  <c r="I46"/>
  <c r="J46"/>
  <c r="K46"/>
  <c r="L46"/>
  <c r="M46"/>
  <c r="B47"/>
  <c r="C47"/>
  <c r="D47"/>
  <c r="E47"/>
  <c r="F47"/>
  <c r="G47"/>
  <c r="H47"/>
  <c r="I47"/>
  <c r="J47"/>
  <c r="K47"/>
  <c r="L47"/>
  <c r="M47"/>
  <c r="N47"/>
  <c r="B48"/>
  <c r="C48"/>
  <c r="D48"/>
  <c r="E48"/>
  <c r="F48"/>
  <c r="G48"/>
  <c r="N48" s="1"/>
  <c r="H48"/>
  <c r="I48"/>
  <c r="J48"/>
  <c r="K48"/>
  <c r="L48"/>
  <c r="M48"/>
  <c r="B49"/>
  <c r="C49"/>
  <c r="D49"/>
  <c r="E49"/>
  <c r="F49"/>
  <c r="G49"/>
  <c r="H49"/>
  <c r="I49"/>
  <c r="J49"/>
  <c r="K49"/>
  <c r="L49"/>
  <c r="M49"/>
  <c r="N49"/>
  <c r="B50"/>
  <c r="C50"/>
  <c r="D50"/>
  <c r="E50"/>
  <c r="F50"/>
  <c r="G50"/>
  <c r="H50"/>
  <c r="I50"/>
  <c r="N50" s="1"/>
  <c r="J50"/>
  <c r="K50"/>
  <c r="L50"/>
  <c r="M50"/>
  <c r="B51"/>
  <c r="C51"/>
  <c r="D51"/>
  <c r="E51"/>
  <c r="F51"/>
  <c r="G51"/>
  <c r="H51"/>
  <c r="I51"/>
  <c r="J51"/>
  <c r="K51"/>
  <c r="L51"/>
  <c r="M51"/>
  <c r="N51"/>
  <c r="B52"/>
  <c r="C52"/>
  <c r="D52"/>
  <c r="E52"/>
  <c r="F52"/>
  <c r="G52"/>
  <c r="H52"/>
  <c r="I52"/>
  <c r="N52" s="1"/>
  <c r="J52"/>
  <c r="K52"/>
  <c r="L52"/>
  <c r="M52"/>
  <c r="B53"/>
  <c r="C53"/>
  <c r="D53"/>
  <c r="E53"/>
  <c r="F53"/>
  <c r="G53"/>
  <c r="H53"/>
  <c r="I53"/>
  <c r="J53"/>
  <c r="K53"/>
  <c r="L53"/>
  <c r="M53"/>
  <c r="N53"/>
  <c r="B54"/>
  <c r="C54"/>
  <c r="D54"/>
  <c r="E54"/>
  <c r="F54"/>
  <c r="G54"/>
  <c r="N54" s="1"/>
  <c r="H54"/>
  <c r="I54"/>
  <c r="J54"/>
  <c r="K54"/>
  <c r="L54"/>
  <c r="M54"/>
  <c r="B55"/>
  <c r="C55"/>
  <c r="D55"/>
  <c r="E55"/>
  <c r="F55"/>
  <c r="G55"/>
  <c r="H55"/>
  <c r="I55"/>
  <c r="J55"/>
  <c r="K55"/>
  <c r="L55"/>
  <c r="M55"/>
  <c r="N55"/>
  <c r="B56"/>
  <c r="C56"/>
  <c r="D56"/>
  <c r="E56"/>
  <c r="F56"/>
  <c r="G56"/>
  <c r="N56" s="1"/>
  <c r="H56"/>
  <c r="I56"/>
  <c r="J56"/>
  <c r="K56"/>
  <c r="L56"/>
  <c r="M56"/>
  <c r="B57"/>
  <c r="C57"/>
  <c r="D57"/>
  <c r="E57"/>
  <c r="F57"/>
  <c r="G57"/>
  <c r="H57"/>
  <c r="I57"/>
  <c r="J57"/>
  <c r="K57"/>
  <c r="L57"/>
  <c r="M57"/>
  <c r="N57"/>
  <c r="N8" i="28"/>
  <c r="P8"/>
  <c r="N9"/>
  <c r="P9"/>
  <c r="N10"/>
  <c r="P10"/>
  <c r="N11"/>
  <c r="D125" i="1" s="1"/>
  <c r="P11" i="28"/>
  <c r="N12"/>
  <c r="P12"/>
  <c r="N13"/>
  <c r="P13"/>
  <c r="N14"/>
  <c r="P14" s="1"/>
  <c r="N8" i="29"/>
  <c r="N10"/>
  <c r="N16"/>
  <c r="N18"/>
  <c r="H24"/>
  <c r="I24"/>
  <c r="J24"/>
  <c r="K24"/>
  <c r="L24"/>
  <c r="M24"/>
  <c r="N24"/>
  <c r="D128" i="1" s="1"/>
  <c r="N25" i="29"/>
  <c r="E128" i="1" s="1"/>
  <c r="H26" i="29"/>
  <c r="I26"/>
  <c r="J26"/>
  <c r="K26"/>
  <c r="L26"/>
  <c r="M26"/>
  <c r="N26"/>
  <c r="F128" i="1" s="1"/>
  <c r="N8" i="30"/>
  <c r="N9"/>
  <c r="N10"/>
  <c r="N8" i="31"/>
  <c r="N9"/>
  <c r="N10"/>
  <c r="N16"/>
  <c r="N17"/>
  <c r="N18"/>
  <c r="N24"/>
  <c r="N25"/>
  <c r="N26"/>
  <c r="N32"/>
  <c r="N33"/>
  <c r="N34"/>
  <c r="N40"/>
  <c r="N41"/>
  <c r="N42"/>
  <c r="N48"/>
  <c r="N49"/>
  <c r="N50"/>
  <c r="N56"/>
  <c r="N57"/>
  <c r="N58"/>
  <c r="N64"/>
  <c r="N65"/>
  <c r="N66"/>
  <c r="H128" i="1" l="1"/>
  <c r="H124"/>
</calcChain>
</file>

<file path=xl/sharedStrings.xml><?xml version="1.0" encoding="utf-8"?>
<sst xmlns="http://schemas.openxmlformats.org/spreadsheetml/2006/main" count="2497" uniqueCount="402">
  <si>
    <t>World Almanacs*</t>
  </si>
  <si>
    <t>SciFinder Scholar</t>
  </si>
  <si>
    <t>InfoUSA</t>
  </si>
  <si>
    <t xml:space="preserve">
</t>
  </si>
  <si>
    <t>Full-Text Articles Downloaded</t>
  </si>
  <si>
    <t>MLA Directory of Periodicals</t>
  </si>
  <si>
    <t>Textile Technology Index</t>
  </si>
  <si>
    <t>FirstSearch (“per-search” block searches)</t>
  </si>
  <si>
    <t>* usage constrained by limitations on concurrent users</t>
  </si>
  <si>
    <t>Historical Abstracts</t>
  </si>
  <si>
    <t>ERIC*</t>
  </si>
  <si>
    <t>Total Monthly Users</t>
  </si>
  <si>
    <t>2 to 6</t>
  </si>
  <si>
    <t xml:space="preserve"> </t>
  </si>
  <si>
    <t>Total Records on Results</t>
  </si>
  <si>
    <t>COUNTER-Compliant?:</t>
  </si>
  <si>
    <t>Treaties and International Agreements Online</t>
  </si>
  <si>
    <t>2</t>
  </si>
  <si>
    <t xml:space="preserve">Total minutes used by all sessions.
</t>
  </si>
  <si>
    <t>1</t>
  </si>
  <si>
    <t>0</t>
  </si>
  <si>
    <t>7</t>
  </si>
  <si>
    <t>ProQuest Historical Newspapers The New York Times (1851-2002)</t>
  </si>
  <si>
    <t>ERIC</t>
  </si>
  <si>
    <t>6</t>
  </si>
  <si>
    <t>5</t>
  </si>
  <si>
    <t>Thus these numbers mean nothing. They do NOT mean that the resource was not used.</t>
  </si>
  <si>
    <t>4</t>
  </si>
  <si>
    <t>Note: The platform for this database switched from WebSPIRS to OvidSP in February 2009. There was a one-month overlap between the two platforms.</t>
  </si>
  <si>
    <t>9</t>
  </si>
  <si>
    <t>8</t>
  </si>
  <si>
    <t>ReferenceUSA (U.S. Residential)</t>
  </si>
  <si>
    <t>EI</t>
  </si>
  <si>
    <t>Funk &amp; Wagnall's New World Encyclopedia</t>
  </si>
  <si>
    <t>WorldCat Dissertations &amp; Theses*</t>
  </si>
  <si>
    <t>Vendor / Platform</t>
  </si>
  <si>
    <t>0:0:18</t>
  </si>
  <si>
    <t xml:space="preserve">Number of unique users who logged in during the time period. All users who did not log in are counted as one additional users. The numbers of monthly users are not additive, i.e. the sum of monthly users is not equal to the total number of unique users for all time.
</t>
  </si>
  <si>
    <t xml:space="preserve">  </t>
  </si>
  <si>
    <t>Teacher Reference Center (free)</t>
  </si>
  <si>
    <t>0:0:12</t>
  </si>
  <si>
    <t>Philosopher's Index</t>
  </si>
  <si>
    <t>ASFA 1 (Biosciences...)</t>
  </si>
  <si>
    <t>Bibliography &amp; Index of Micropaleontology</t>
  </si>
  <si>
    <t>Successful full-text downloads</t>
  </si>
  <si>
    <t>CSA (all databases)</t>
  </si>
  <si>
    <t>INSPEC Current</t>
  </si>
  <si>
    <t>ABI/INFORM Global</t>
  </si>
  <si>
    <t>Readers Guide Retrospective</t>
  </si>
  <si>
    <t>NA/</t>
  </si>
  <si>
    <t>OVID (all databases)</t>
  </si>
  <si>
    <t>MAS Ultra – School edition</t>
  </si>
  <si>
    <t>COUNTER-compliant?</t>
  </si>
  <si>
    <t>Ovid OLDMEDLINE (free)</t>
  </si>
  <si>
    <t>GPO Monthly Catalog</t>
  </si>
  <si>
    <t>InfoTRAC</t>
  </si>
  <si>
    <t>America History &amp; Life</t>
  </si>
  <si>
    <t>Middle Search Plus (statewide database trial)</t>
  </si>
  <si>
    <t>Ovid MEDLINE In-Process (free)</t>
  </si>
  <si>
    <t>GreenFILE (free)</t>
  </si>
  <si>
    <t>ProQuest</t>
  </si>
  <si>
    <t>Note: The platform for Biological Abstracts switched from WebSPIRS to OvidSP in February 2009. There was a one-month overlap between the two platforms.</t>
  </si>
  <si>
    <t>World Almanacs</t>
  </si>
  <si>
    <t>MetaPress</t>
  </si>
  <si>
    <t>Sessions (no. days used)</t>
  </si>
  <si>
    <t>ReferenceUSA</t>
  </si>
  <si>
    <t>Statistical Warehouse</t>
  </si>
  <si>
    <t>Mergent Online</t>
  </si>
  <si>
    <t>TOTAL</t>
  </si>
  <si>
    <t>GPO Monthly Catalog*</t>
  </si>
  <si>
    <t>Cost per Search</t>
  </si>
  <si>
    <t>Total Pages Served</t>
  </si>
  <si>
    <t>Not avail.</t>
  </si>
  <si>
    <t>Summary</t>
  </si>
  <si>
    <t>WebSPIRS (OVID)</t>
  </si>
  <si>
    <t>Note: We have 4,478 shared titles</t>
  </si>
  <si>
    <t>NetLibrary</t>
  </si>
  <si>
    <t>0:8:17</t>
  </si>
  <si>
    <t>Pre-CINAHL</t>
  </si>
  <si>
    <t>EMBASE.com</t>
  </si>
  <si>
    <t>Clase and Periodica*</t>
  </si>
  <si>
    <t>TOTAL FirstSearch Block Use</t>
  </si>
  <si>
    <t>InfoTrac</t>
  </si>
  <si>
    <t>Oceanic Abstracts</t>
  </si>
  <si>
    <t>ARBA Online</t>
  </si>
  <si>
    <t>Dissertations &amp; Theses</t>
  </si>
  <si>
    <t>Price per search</t>
  </si>
  <si>
    <t>PsycINFO</t>
  </si>
  <si>
    <t>MEDLINE</t>
  </si>
  <si>
    <t>Library, Info Sci &amp; Tech Abstracts (NO full text) (free)</t>
  </si>
  <si>
    <t>WorldCat</t>
  </si>
  <si>
    <t>Labor and Employment Law Library</t>
  </si>
  <si>
    <t>History Reference Center (statewide database trial)</t>
  </si>
  <si>
    <t>OCLC Electronic Collections Online*</t>
  </si>
  <si>
    <t xml:space="preserve">2008-2009 </t>
  </si>
  <si>
    <t>Total Records Downloaded</t>
  </si>
  <si>
    <t>SciFinder Scholar - TOTAL</t>
  </si>
  <si>
    <t>Art Index Retrospective*</t>
  </si>
  <si>
    <t>Average References added per user</t>
  </si>
  <si>
    <t>MEDLINE*</t>
  </si>
  <si>
    <t>CQ</t>
  </si>
  <si>
    <t>ProceedingsFirst</t>
  </si>
  <si>
    <t>EBSCO Animals (free)</t>
  </si>
  <si>
    <t>Women's Studies International</t>
  </si>
  <si>
    <t>ABI/INFORM Trade &amp; Industry</t>
  </si>
  <si>
    <t>Users</t>
  </si>
  <si>
    <t>OLDMEDLINE</t>
  </si>
  <si>
    <t xml:space="preserve">Sessions:
</t>
  </si>
  <si>
    <t>Humanities &amp; Social Sciences Index Retrospective*</t>
  </si>
  <si>
    <t>Treaties &amp; International Agreements Online (Oceana)</t>
  </si>
  <si>
    <t># of Prints</t>
  </si>
  <si>
    <t>ArticleFirst</t>
  </si>
  <si>
    <t>PILOTS</t>
  </si>
  <si>
    <t>U.S. Congressional Serial Set, 1817-1980, etc.</t>
  </si>
  <si>
    <t>Number of sessions.</t>
  </si>
  <si>
    <t>BIOSIS Previews</t>
  </si>
  <si>
    <t>GeoRef in Process</t>
  </si>
  <si>
    <t>CIAO</t>
  </si>
  <si>
    <t>Logins</t>
  </si>
  <si>
    <t>Art Abstracts</t>
  </si>
  <si>
    <t>Communication Abstracts</t>
  </si>
  <si>
    <t>Human Resources Report*</t>
  </si>
  <si>
    <t>See also: WebSpirs, OVID.</t>
  </si>
  <si>
    <t>No of Visits</t>
  </si>
  <si>
    <t xml:space="preserve">Events:
</t>
  </si>
  <si>
    <t>Teacher Reference Center</t>
  </si>
  <si>
    <t>Web of Science</t>
  </si>
  <si>
    <t>Unique Visitors (compilation)</t>
  </si>
  <si>
    <t>Journals@Ovid Full Text</t>
  </si>
  <si>
    <t>Meteorological &amp; Geoastrophysical Abstracts</t>
  </si>
  <si>
    <t>Music Index</t>
  </si>
  <si>
    <t>ClassificationWeb</t>
  </si>
  <si>
    <t>Companies Viewed</t>
  </si>
  <si>
    <t>Academic</t>
  </si>
  <si>
    <t>Art Index Retrospective</t>
  </si>
  <si>
    <t>Turnaways?</t>
  </si>
  <si>
    <t>0:1:55</t>
  </si>
  <si>
    <t>Choice</t>
  </si>
  <si>
    <t># of Downloads</t>
  </si>
  <si>
    <t>Note: We purchased ARTstor in April 2008.</t>
  </si>
  <si>
    <t>GeoRef</t>
  </si>
  <si>
    <t>Alternative Press Index Archive</t>
  </si>
  <si>
    <t>Number of new registrations.</t>
  </si>
  <si>
    <t>EBSCOhost (all databases)</t>
  </si>
  <si>
    <t>CSA Databases total</t>
  </si>
  <si>
    <t>No</t>
  </si>
  <si>
    <t>Micropress</t>
  </si>
  <si>
    <t>CSA Databases</t>
  </si>
  <si>
    <t>ChoiceReviews.online</t>
  </si>
  <si>
    <t>Total Sessions per month</t>
  </si>
  <si>
    <t>Providence Journal-Bulletin</t>
  </si>
  <si>
    <t>All databases</t>
  </si>
  <si>
    <t>Mergent</t>
  </si>
  <si>
    <t>MEDLINE In Process</t>
  </si>
  <si>
    <t>Military &amp; Government Collection</t>
  </si>
  <si>
    <t>ASFA 2 (Ocean Technology…)</t>
  </si>
  <si>
    <t xml:space="preserve">NOTE: Changed to Web interface in early 2009. </t>
  </si>
  <si>
    <t xml:space="preserve">N/A </t>
  </si>
  <si>
    <t>Education Index Retrospective</t>
  </si>
  <si>
    <t>Social Services Abstracts, CSA</t>
  </si>
  <si>
    <t>Literature Resource Center</t>
  </si>
  <si>
    <t>EBSCOhost Databases</t>
  </si>
  <si>
    <t>SIMULTANEOUS USERS:</t>
  </si>
  <si>
    <t>Note: We purchased these backfiles in April 2008. The annual access fee does not begin until the second year.</t>
  </si>
  <si>
    <t>TOTAL FirstSearch</t>
  </si>
  <si>
    <t>Price per unit</t>
  </si>
  <si>
    <t xml:space="preserve">N/A
</t>
  </si>
  <si>
    <t>Military &amp; Government Collection (free)</t>
  </si>
  <si>
    <t>Newsbank (Readex)</t>
  </si>
  <si>
    <t>COUNTER-Compliant?</t>
  </si>
  <si>
    <t>Note: EconLit has switched to EBSCOhost for 08/09</t>
  </si>
  <si>
    <t>Articles Viewed</t>
  </si>
  <si>
    <t>ABI/INFORM Dateline</t>
  </si>
  <si>
    <t>LexisNexis Congressional</t>
  </si>
  <si>
    <t>ASFA 3 (Aquatic Pollution…)</t>
  </si>
  <si>
    <t>Note: Data through April 2008 is not correct, because ARTstor was not tracking URI IP addresses separately.</t>
  </si>
  <si>
    <t>Total Subscriber References added</t>
  </si>
  <si>
    <t>MEDLINE (free)</t>
  </si>
  <si>
    <t>0:1:12</t>
  </si>
  <si>
    <t>Average session length</t>
  </si>
  <si>
    <t>Reference Database Statistics Summary</t>
  </si>
  <si>
    <t>Lexi-Comp</t>
  </si>
  <si>
    <t>Wiley InterScience</t>
  </si>
  <si>
    <t>Accesses</t>
  </si>
  <si>
    <t>PapersFirst*</t>
  </si>
  <si>
    <t>Yes</t>
  </si>
  <si>
    <t>Total hits (document views)</t>
  </si>
  <si>
    <t>U.S. Residential</t>
  </si>
  <si>
    <t>U.S. Business</t>
  </si>
  <si>
    <t>Doody's Core Titles in the Health Sciences</t>
  </si>
  <si>
    <t>Documents Retrieved</t>
  </si>
  <si>
    <t>2008-2009 Price</t>
  </si>
  <si>
    <t>2008-2009</t>
  </si>
  <si>
    <t>0:1:24</t>
  </si>
  <si>
    <t>EconLit</t>
  </si>
  <si>
    <t>MLA International Bibliography</t>
  </si>
  <si>
    <t>Readers Guide Retrospective*</t>
  </si>
  <si>
    <t>Oxford English Dictionary</t>
  </si>
  <si>
    <t>WebSPIRS</t>
  </si>
  <si>
    <t>American Mathematical Society</t>
  </si>
  <si>
    <t>0:0:45</t>
  </si>
  <si>
    <t>Total Records Emailed</t>
  </si>
  <si>
    <t>Searches</t>
  </si>
  <si>
    <t>Library of Congress</t>
  </si>
  <si>
    <t>Middle Search Plus</t>
  </si>
  <si>
    <t>CINAHL</t>
  </si>
  <si>
    <t>WorldCat*</t>
  </si>
  <si>
    <t>Congressional</t>
  </si>
  <si>
    <t>Health Source: Nursing/Academic Edition (statewide database trial)</t>
  </si>
  <si>
    <t>ASFA 2</t>
  </si>
  <si>
    <t>ASFA 1</t>
  </si>
  <si>
    <t>CWYW Format Bibliography</t>
  </si>
  <si>
    <t>PAIS Archive</t>
  </si>
  <si>
    <t>0:5:41</t>
  </si>
  <si>
    <t>Total records</t>
  </si>
  <si>
    <t>0:5:44</t>
  </si>
  <si>
    <t>Biological Abstracts</t>
  </si>
  <si>
    <t>OVID</t>
  </si>
  <si>
    <t>39</t>
  </si>
  <si>
    <t>MergentOnline</t>
  </si>
  <si>
    <t>EBSCO Animals</t>
  </si>
  <si>
    <t>MAS Ultra - School Edition (free)</t>
  </si>
  <si>
    <t>EMASE.COM (July 08 only)</t>
  </si>
  <si>
    <t>Queries</t>
  </si>
  <si>
    <t>ARTstor</t>
  </si>
  <si>
    <t>Serial Set Maps</t>
  </si>
  <si>
    <t>Turnaways</t>
  </si>
  <si>
    <t>Academic Search Premier</t>
  </si>
  <si>
    <t>Clase and Periodica</t>
  </si>
  <si>
    <t>N/A</t>
  </si>
  <si>
    <t>24</t>
  </si>
  <si>
    <t>WilsonWeb</t>
  </si>
  <si>
    <t>OCLC Electronic Books</t>
  </si>
  <si>
    <t>Requests for full text chapters</t>
  </si>
  <si>
    <t>ProceedingsFirst*</t>
  </si>
  <si>
    <t>See more extensive statistics at http://digitalcommons.uri.edu/ts_rpts/55/.</t>
  </si>
  <si>
    <t>Total sessions</t>
  </si>
  <si>
    <t xml:space="preserve">Users:
</t>
  </si>
  <si>
    <t>Oxford Music Online</t>
  </si>
  <si>
    <t>Repeat Users</t>
  </si>
  <si>
    <t>ASFA: Aquatic Science &amp; Fisheries Abstracts</t>
  </si>
  <si>
    <t>User Limit</t>
  </si>
  <si>
    <t>Total session length</t>
  </si>
  <si>
    <t>Yes (R3)</t>
  </si>
  <si>
    <t>19</t>
  </si>
  <si>
    <t>Database Name</t>
  </si>
  <si>
    <t>Next/prev records</t>
  </si>
  <si>
    <t>11</t>
  </si>
  <si>
    <t>Web Pages Delivered</t>
  </si>
  <si>
    <t>SciFinder Scholar - Desktop</t>
  </si>
  <si>
    <t>Library, Info Sci &amp; Tech Abstracts no full text</t>
  </si>
  <si>
    <t>Full-text downloads</t>
  </si>
  <si>
    <t>—</t>
  </si>
  <si>
    <t>Lexi-Comp Online</t>
  </si>
  <si>
    <t>EBSCOhost</t>
  </si>
  <si>
    <t>Library, Info Sci &amp; Tech Abstracts with Full-Text</t>
  </si>
  <si>
    <t>Yes (R2)</t>
  </si>
  <si>
    <t>National Newspapers (5)</t>
  </si>
  <si>
    <t xml:space="preserve">Number of events.
</t>
  </si>
  <si>
    <t>Total documents (unique titles)</t>
  </si>
  <si>
    <t>Sessions</t>
  </si>
  <si>
    <t>ERIC (free)</t>
  </si>
  <si>
    <t>ASFA 3</t>
  </si>
  <si>
    <t>WorldCat Dissertations &amp; Theses</t>
  </si>
  <si>
    <t>ProQuest Historical Newspapers — The New York Times (1851-2002)</t>
  </si>
  <si>
    <t>IFIS</t>
  </si>
  <si>
    <t>FirstSearch (all databases)</t>
  </si>
  <si>
    <t>All OVID Databases</t>
  </si>
  <si>
    <t>ASFA Marine Biotechnology Abstracts</t>
  </si>
  <si>
    <t>Exports</t>
  </si>
  <si>
    <t>OCLC Electronic Books*</t>
  </si>
  <si>
    <t>Simultaneous users</t>
  </si>
  <si>
    <t>Successful Full-Text Article Requests</t>
  </si>
  <si>
    <t>80</t>
  </si>
  <si>
    <t>No of Searches</t>
  </si>
  <si>
    <t>67</t>
  </si>
  <si>
    <t>OCLC Electronic Collections Online</t>
  </si>
  <si>
    <t>Compendex (Engineering Index)</t>
  </si>
  <si>
    <t>ASFA (all)</t>
  </si>
  <si>
    <t>ASFA Aquaculture Abstracts</t>
  </si>
  <si>
    <t>New Users</t>
  </si>
  <si>
    <t>Health Source</t>
  </si>
  <si>
    <t>TOPICsearch</t>
  </si>
  <si>
    <t>Funk &amp; Wagnall's New World Encyclopedia (free)</t>
  </si>
  <si>
    <t xml:space="preserve">Registrations:
</t>
  </si>
  <si>
    <t>ComDisDome</t>
  </si>
  <si>
    <t>Newsbank</t>
  </si>
  <si>
    <t>MasterFILE Premium</t>
  </si>
  <si>
    <t>FSTA Direct (IFIS)</t>
  </si>
  <si>
    <t>Humanities &amp; Social Sciences Retrospective</t>
  </si>
  <si>
    <t>Oxford</t>
  </si>
  <si>
    <t>Web of Knowledge</t>
  </si>
  <si>
    <t>Note: if the stats turn out to have data on full-text records retrieved, please add lines for it. 4/2008 ajr</t>
  </si>
  <si>
    <t>Note: We purchased Art Index Retrospective, Humanities &amp; Social Sciences Retrospective, and Education Index Retrospective in April 2008. Annual access fees will start the following year.</t>
  </si>
  <si>
    <t>PsycARTICLES</t>
  </si>
  <si>
    <t>Imports</t>
  </si>
  <si>
    <t>Encyclopedia of Ocean Science</t>
  </si>
  <si>
    <t>Total Detail Records Viewed</t>
  </si>
  <si>
    <t>NLM</t>
  </si>
  <si>
    <t>Primary Search</t>
  </si>
  <si>
    <t>Film &amp; Television Literature Index</t>
  </si>
  <si>
    <t>Maximum users</t>
  </si>
  <si>
    <t>Compendex</t>
  </si>
  <si>
    <t>Events</t>
  </si>
  <si>
    <t>Max Ports in Use</t>
  </si>
  <si>
    <t>Average Visit Duration</t>
  </si>
  <si>
    <t>Sociological Abstracts, CSA</t>
  </si>
  <si>
    <t>netLibrary</t>
  </si>
  <si>
    <t>Oceana (Oxford)</t>
  </si>
  <si>
    <t>MasterFILE Premier (statewide database trial)</t>
  </si>
  <si>
    <t>Wall Street Journal</t>
  </si>
  <si>
    <t>MathSciNet</t>
  </si>
  <si>
    <t>Library, Info Sci &amp; Tech Abstracts w/ full text</t>
  </si>
  <si>
    <t>Doody's</t>
  </si>
  <si>
    <t>Journals@OVID Full text</t>
  </si>
  <si>
    <t>Cochrane Library</t>
  </si>
  <si>
    <t>Classification Web*</t>
  </si>
  <si>
    <t>Updated 5/18/10 ajr</t>
  </si>
  <si>
    <t>EndNote Web</t>
  </si>
  <si>
    <t>ArticleFirst*</t>
  </si>
  <si>
    <t>Education Full Text</t>
  </si>
  <si>
    <t>Biological Abstracts (2/2009-)</t>
  </si>
  <si>
    <t>Mental Measurements Yearbook</t>
  </si>
  <si>
    <t>ReferenceUSA (U.S. Business)</t>
  </si>
  <si>
    <t>CQ Researcher</t>
  </si>
  <si>
    <t>Note: This subscription allows users to search a database, yet MetaPress usage statistics only measure "article requests," not searches.</t>
  </si>
  <si>
    <t>COUNTER-compliant: Yes (R2)</t>
  </si>
  <si>
    <t>2008/09 Price</t>
  </si>
  <si>
    <t>Social Services Abstracts</t>
  </si>
  <si>
    <t xml:space="preserve">Minutes:
</t>
  </si>
  <si>
    <t>CWYW Traveling Library</t>
  </si>
  <si>
    <t>OvidSP</t>
  </si>
  <si>
    <t>Pre-CINAHL (comes w/ CINAHL)</t>
  </si>
  <si>
    <t>Access fee only</t>
  </si>
  <si>
    <t>International Pharmaceutical Abstracts</t>
  </si>
  <si>
    <t>GEOBASE</t>
  </si>
  <si>
    <t>Biological &amp; Agricultural Index Plus</t>
  </si>
  <si>
    <t># of Detail Views</t>
  </si>
  <si>
    <t>Simultaneous Users</t>
  </si>
  <si>
    <t>Stats are e-mailed monthly from tiffany.cobb@lexi.com to andree@uri.edu</t>
  </si>
  <si>
    <t>Alternative Press Index</t>
  </si>
  <si>
    <t>Regional OneSource</t>
  </si>
  <si>
    <t>Average Sessions Per User</t>
  </si>
  <si>
    <t>ERIC (Free)</t>
  </si>
  <si>
    <t>GreenFILE</t>
  </si>
  <si>
    <t># of Emails</t>
  </si>
  <si>
    <t>Academic Search Complete (statewide database trial)</t>
  </si>
  <si>
    <t>LexisNexis</t>
  </si>
  <si>
    <t>Mental Measurements Yearbook *</t>
  </si>
  <si>
    <t>PapersFirst</t>
  </si>
  <si>
    <t>BNA</t>
  </si>
  <si>
    <t>RefWorks</t>
  </si>
  <si>
    <t># of Result Pages</t>
  </si>
  <si>
    <t>FirstSearch</t>
  </si>
  <si>
    <t>Total</t>
  </si>
  <si>
    <t>NOTE: CSA Databases totals do not equal the sum of the totals given for each database above because the CSA databases total includes searches of CSA's "Web Resources" databases and other "extras."</t>
  </si>
  <si>
    <t>2008-2009 price</t>
  </si>
  <si>
    <t>Regional Business News (statewide database trial)</t>
  </si>
  <si>
    <t>0:10:58</t>
  </si>
  <si>
    <t>EBSCOhost databases (all)</t>
  </si>
  <si>
    <t>Greenwood Press</t>
  </si>
  <si>
    <t>COUNTER com</t>
  </si>
  <si>
    <t>CQ Researcher*</t>
  </si>
  <si>
    <t>Registrations</t>
  </si>
  <si>
    <t>CSA</t>
  </si>
  <si>
    <t>Music Index Online, The</t>
  </si>
  <si>
    <t># of Purchases</t>
  </si>
  <si>
    <t>KCDL Online</t>
  </si>
  <si>
    <t>Abstracts in Anthropology</t>
  </si>
  <si>
    <t>Counter-Compliant?:</t>
  </si>
  <si>
    <t>Elsevier</t>
  </si>
  <si>
    <t>Abstracts viewed</t>
  </si>
  <si>
    <t>Ovid MEDLINE (free)</t>
  </si>
  <si>
    <t>Captures</t>
  </si>
  <si>
    <t>LexisNexis Academic</t>
  </si>
  <si>
    <t>FSTA Direct</t>
  </si>
  <si>
    <t>SciFinder Scholar - Web</t>
  </si>
  <si>
    <t>Primary Search (free)</t>
  </si>
  <si>
    <t>Los Angeles Times</t>
  </si>
  <si>
    <t>Total Records Printed</t>
  </si>
  <si>
    <t>ProQuest (all databases)</t>
  </si>
  <si>
    <t xml:space="preserve"> 0:6:55</t>
  </si>
  <si>
    <t>TOPICsearch (statewide database trial)</t>
  </si>
  <si>
    <t>Unique Visitors</t>
  </si>
  <si>
    <t>ProQuest databases</t>
  </si>
  <si>
    <t>Total Records Purchased</t>
  </si>
  <si>
    <t>Education Index Retrospective*</t>
  </si>
  <si>
    <t>Physical Education Index</t>
  </si>
  <si>
    <t>Sociological Abstracts</t>
  </si>
  <si>
    <t>Number of Successful Article Requests</t>
  </si>
  <si>
    <t>Historical Reference Center</t>
  </si>
  <si>
    <t>No of Views</t>
  </si>
  <si>
    <t>New References</t>
  </si>
  <si>
    <t>Serials Set Maps</t>
  </si>
  <si>
    <t>Price per access</t>
  </si>
  <si>
    <t>Regional Business News</t>
  </si>
  <si>
    <t># of Searches</t>
  </si>
  <si>
    <t>ReferenceUSA (all databases)</t>
  </si>
  <si>
    <t>PubMed</t>
  </si>
  <si>
    <t>PAIS International</t>
  </si>
  <si>
    <t>SciFinder Scholar* (half year of data only)</t>
  </si>
  <si>
    <t>Minutes</t>
  </si>
</sst>
</file>

<file path=xl/styles.xml><?xml version="1.0" encoding="utf-8"?>
<styleSheet xmlns="http://schemas.openxmlformats.org/spreadsheetml/2006/main">
  <numFmts count="4">
    <numFmt numFmtId="164" formatCode="&quot;$&quot;#,##0.00"/>
    <numFmt numFmtId="165" formatCode="mmm\-yy;@"/>
    <numFmt numFmtId="166" formatCode="#,##0.###############"/>
    <numFmt numFmtId="167" formatCode="&quot;$&quot;#,##0.00;[Red]&quot;$&quot;\(#,##0.00\);&quot;$&quot;@"/>
  </numFmts>
  <fonts count="12">
    <font>
      <sz val="10"/>
      <name val="Arial"/>
      <family val="2"/>
    </font>
    <font>
      <b/>
      <sz val="16"/>
      <color indexed="8"/>
      <name val="arial,sans-serif"/>
      <family val="2"/>
    </font>
    <font>
      <sz val="10"/>
      <color indexed="8"/>
      <name val="arial,sans-serif"/>
      <family val="2"/>
    </font>
    <font>
      <b/>
      <sz val="10"/>
      <color indexed="8"/>
      <name val="arial,sans-serif"/>
      <family val="2"/>
    </font>
    <font>
      <b/>
      <sz val="14"/>
      <color indexed="8"/>
      <name val="arial,sans-serif"/>
      <family val="2"/>
    </font>
    <font>
      <b/>
      <sz val="10"/>
      <color indexed="8"/>
      <name val="MS Sans Serif"/>
      <family val="2"/>
    </font>
    <font>
      <b/>
      <sz val="10"/>
      <name val="Arial"/>
      <family val="2"/>
    </font>
    <font>
      <b/>
      <sz val="10"/>
      <color indexed="53"/>
      <name val="Arial"/>
      <family val="2"/>
    </font>
    <font>
      <sz val="10"/>
      <color indexed="13"/>
      <name val="arial,sans-serif"/>
      <family val="2"/>
    </font>
    <font>
      <b/>
      <sz val="10"/>
      <color indexed="8"/>
      <name val="Arial"/>
      <family val="2"/>
    </font>
    <font>
      <sz val="10"/>
      <color indexed="8"/>
      <name val="Courier New"/>
      <family val="2"/>
    </font>
    <font>
      <sz val="10"/>
      <color indexed="8"/>
      <name val="Arial"/>
      <family val="2"/>
    </font>
  </fonts>
  <fills count="5">
    <fill>
      <patternFill patternType="none"/>
    </fill>
    <fill>
      <patternFill patternType="gray125"/>
    </fill>
    <fill>
      <patternFill patternType="solid">
        <fgColor indexed="22"/>
        <bgColor indexed="64"/>
      </patternFill>
    </fill>
    <fill>
      <patternFill patternType="solid">
        <fgColor indexed="34"/>
        <bgColor indexed="64"/>
      </patternFill>
    </fill>
    <fill>
      <patternFill patternType="solid">
        <fgColor indexed="11"/>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1">
    <xf numFmtId="0" fontId="0" fillId="0" borderId="0">
      <alignment vertical="center"/>
    </xf>
  </cellStyleXfs>
  <cellXfs count="189">
    <xf numFmtId="0" fontId="0" fillId="0" borderId="0" xfId="0">
      <alignment vertical="center"/>
    </xf>
    <xf numFmtId="0" fontId="1" fillId="0" borderId="0" xfId="0" applyNumberFormat="1" applyFont="1" applyFill="1" applyAlignment="1"/>
    <xf numFmtId="0" fontId="2" fillId="0" borderId="0" xfId="0" applyNumberFormat="1" applyFont="1" applyFill="1" applyAlignment="1"/>
    <xf numFmtId="0" fontId="2" fillId="0" borderId="0" xfId="0" applyNumberFormat="1" applyFont="1" applyFill="1" applyAlignment="1">
      <alignment horizontal="center"/>
    </xf>
    <xf numFmtId="0" fontId="0" fillId="0" borderId="0" xfId="0" applyNumberFormat="1" applyFont="1" applyFill="1" applyAlignment="1">
      <alignment horizontal="center" wrapText="1"/>
    </xf>
    <xf numFmtId="0" fontId="2" fillId="0" borderId="1" xfId="0" applyNumberFormat="1" applyFont="1" applyFill="1" applyBorder="1" applyAlignment="1"/>
    <xf numFmtId="0" fontId="0" fillId="0" borderId="1" xfId="0" applyNumberFormat="1" applyFont="1" applyFill="1" applyBorder="1" applyAlignment="1">
      <alignment wrapText="1"/>
    </xf>
    <xf numFmtId="0" fontId="0" fillId="0" borderId="1" xfId="0" applyNumberFormat="1" applyFont="1" applyFill="1" applyBorder="1" applyAlignment="1">
      <alignment horizontal="center" wrapText="1"/>
    </xf>
    <xf numFmtId="0" fontId="2" fillId="0" borderId="1" xfId="0" applyNumberFormat="1" applyFont="1" applyFill="1" applyBorder="1" applyAlignment="1">
      <alignment horizontal="center"/>
    </xf>
    <xf numFmtId="0" fontId="3" fillId="0" borderId="2" xfId="0" applyNumberFormat="1" applyFont="1" applyFill="1" applyBorder="1" applyAlignment="1">
      <alignment horizontal="center" wrapText="1"/>
    </xf>
    <xf numFmtId="0" fontId="2" fillId="0" borderId="3" xfId="0" applyNumberFormat="1" applyFont="1" applyFill="1" applyBorder="1" applyAlignment="1"/>
    <xf numFmtId="0" fontId="2" fillId="0" borderId="4" xfId="0" applyNumberFormat="1" applyFont="1" applyFill="1" applyBorder="1" applyAlignment="1">
      <alignment vertical="top" wrapText="1"/>
    </xf>
    <xf numFmtId="0" fontId="2" fillId="0" borderId="4" xfId="0" applyNumberFormat="1" applyFont="1" applyFill="1" applyBorder="1" applyAlignment="1">
      <alignment wrapText="1"/>
    </xf>
    <xf numFmtId="0" fontId="2" fillId="0" borderId="4" xfId="0" applyNumberFormat="1" applyFont="1" applyFill="1" applyBorder="1" applyAlignment="1">
      <alignment horizontal="center" wrapText="1"/>
    </xf>
    <xf numFmtId="3" fontId="2" fillId="0" borderId="2" xfId="0" applyNumberFormat="1" applyFont="1" applyFill="1" applyBorder="1" applyAlignment="1">
      <alignment horizontal="center" wrapText="1"/>
    </xf>
    <xf numFmtId="164" fontId="2" fillId="0" borderId="4" xfId="0" applyNumberFormat="1" applyFont="1" applyFill="1" applyBorder="1" applyAlignment="1">
      <alignment wrapText="1"/>
    </xf>
    <xf numFmtId="164" fontId="2" fillId="0" borderId="4" xfId="0" applyNumberFormat="1" applyFont="1" applyFill="1" applyBorder="1" applyAlignment="1">
      <alignment horizontal="center" wrapText="1"/>
    </xf>
    <xf numFmtId="0" fontId="0" fillId="0" borderId="3" xfId="0" applyNumberFormat="1" applyFont="1" applyFill="1" applyBorder="1" applyAlignment="1">
      <alignment wrapText="1"/>
    </xf>
    <xf numFmtId="0" fontId="2" fillId="0" borderId="5" xfId="0" applyNumberFormat="1" applyFont="1" applyFill="1" applyBorder="1" applyAlignment="1">
      <alignment vertical="top" wrapText="1"/>
    </xf>
    <xf numFmtId="0" fontId="2" fillId="0" borderId="5" xfId="0" applyNumberFormat="1" applyFont="1" applyFill="1" applyBorder="1" applyAlignment="1">
      <alignment wrapText="1"/>
    </xf>
    <xf numFmtId="0" fontId="2" fillId="0" borderId="5" xfId="0" applyNumberFormat="1" applyFont="1" applyFill="1" applyBorder="1" applyAlignment="1">
      <alignment horizontal="center"/>
    </xf>
    <xf numFmtId="164" fontId="2" fillId="0" borderId="5" xfId="0" applyNumberFormat="1" applyFont="1" applyFill="1" applyBorder="1" applyAlignment="1"/>
    <xf numFmtId="164" fontId="2" fillId="0" borderId="5" xfId="0" applyNumberFormat="1" applyFont="1" applyFill="1" applyBorder="1" applyAlignment="1">
      <alignment horizontal="center"/>
    </xf>
    <xf numFmtId="0" fontId="2" fillId="0" borderId="2" xfId="0" applyNumberFormat="1" applyFont="1" applyFill="1" applyBorder="1" applyAlignment="1">
      <alignment vertical="top" wrapText="1"/>
    </xf>
    <xf numFmtId="0" fontId="2" fillId="0" borderId="2" xfId="0" applyNumberFormat="1" applyFont="1" applyFill="1" applyBorder="1" applyAlignment="1">
      <alignment horizontal="center" vertical="top" wrapText="1"/>
    </xf>
    <xf numFmtId="0" fontId="2" fillId="0" borderId="2" xfId="0" applyNumberFormat="1" applyFont="1" applyFill="1" applyBorder="1" applyAlignment="1">
      <alignment horizontal="center" wrapText="1"/>
    </xf>
    <xf numFmtId="164" fontId="2" fillId="0" borderId="2" xfId="0" applyNumberFormat="1" applyFont="1" applyFill="1" applyBorder="1" applyAlignment="1">
      <alignment vertical="top" wrapText="1"/>
    </xf>
    <xf numFmtId="164" fontId="2" fillId="0" borderId="2" xfId="0" applyNumberFormat="1" applyFont="1" applyFill="1" applyBorder="1" applyAlignment="1">
      <alignment horizontal="center" vertical="top" wrapText="1"/>
    </xf>
    <xf numFmtId="3" fontId="2" fillId="0" borderId="2" xfId="0" applyNumberFormat="1" applyFont="1" applyFill="1" applyBorder="1" applyAlignment="1">
      <alignment horizontal="center" vertical="top" wrapText="1"/>
    </xf>
    <xf numFmtId="1" fontId="2" fillId="0" borderId="2" xfId="0" applyNumberFormat="1" applyFont="1" applyFill="1" applyBorder="1" applyAlignment="1">
      <alignment horizontal="center" vertical="top" wrapText="1"/>
    </xf>
    <xf numFmtId="0" fontId="2" fillId="0" borderId="2" xfId="0" applyNumberFormat="1" applyFont="1" applyFill="1" applyBorder="1" applyAlignment="1">
      <alignment wrapText="1"/>
    </xf>
    <xf numFmtId="0" fontId="2" fillId="0" borderId="2" xfId="0" applyNumberFormat="1" applyFont="1" applyFill="1" applyBorder="1" applyAlignment="1">
      <alignment horizontal="center"/>
    </xf>
    <xf numFmtId="164" fontId="2" fillId="0" borderId="2" xfId="0" applyNumberFormat="1" applyFont="1" applyFill="1" applyBorder="1" applyAlignment="1">
      <alignment horizontal="right" vertical="top" wrapText="1"/>
    </xf>
    <xf numFmtId="164" fontId="2" fillId="0" borderId="2" xfId="0" applyNumberFormat="1" applyFont="1" applyFill="1" applyBorder="1" applyAlignment="1">
      <alignment horizontal="left" vertical="top" wrapText="1"/>
    </xf>
    <xf numFmtId="164" fontId="0" fillId="0" borderId="2" xfId="0" applyNumberFormat="1" applyFont="1" applyFill="1" applyBorder="1" applyAlignment="1">
      <alignment horizontal="center" wrapText="1"/>
    </xf>
    <xf numFmtId="3" fontId="2" fillId="0" borderId="2" xfId="0" applyNumberFormat="1" applyFont="1" applyFill="1" applyBorder="1" applyAlignment="1">
      <alignment horizontal="center"/>
    </xf>
    <xf numFmtId="0" fontId="2" fillId="0" borderId="2" xfId="0" applyNumberFormat="1" applyFont="1" applyFill="1" applyBorder="1" applyAlignment="1"/>
    <xf numFmtId="0" fontId="0" fillId="0" borderId="2" xfId="0" applyNumberFormat="1" applyFont="1" applyFill="1" applyBorder="1" applyAlignment="1">
      <alignment wrapText="1"/>
    </xf>
    <xf numFmtId="0" fontId="0" fillId="0" borderId="2" xfId="0" applyNumberFormat="1" applyFont="1" applyFill="1" applyBorder="1" applyAlignment="1">
      <alignment horizontal="center" wrapText="1"/>
    </xf>
    <xf numFmtId="164" fontId="2" fillId="0" borderId="2" xfId="0" applyNumberFormat="1" applyFont="1" applyFill="1" applyBorder="1" applyAlignment="1"/>
    <xf numFmtId="0" fontId="2" fillId="0" borderId="6" xfId="0" applyNumberFormat="1" applyFont="1" applyFill="1" applyBorder="1" applyAlignment="1"/>
    <xf numFmtId="0" fontId="0" fillId="0" borderId="6" xfId="0" applyNumberFormat="1" applyFont="1" applyFill="1" applyBorder="1" applyAlignment="1">
      <alignment wrapText="1"/>
    </xf>
    <xf numFmtId="0" fontId="0" fillId="0" borderId="6" xfId="0" applyNumberFormat="1" applyFont="1" applyFill="1" applyBorder="1" applyAlignment="1">
      <alignment horizontal="center" wrapText="1"/>
    </xf>
    <xf numFmtId="0" fontId="2" fillId="0" borderId="6" xfId="0" applyNumberFormat="1" applyFont="1" applyFill="1" applyBorder="1" applyAlignment="1">
      <alignment horizontal="center"/>
    </xf>
    <xf numFmtId="0" fontId="4" fillId="0" borderId="0" xfId="0" applyNumberFormat="1" applyFont="1" applyFill="1" applyAlignment="1"/>
    <xf numFmtId="0" fontId="5" fillId="0" borderId="7" xfId="0" applyNumberFormat="1" applyFont="1" applyFill="1" applyBorder="1" applyAlignment="1">
      <alignment horizontal="center" vertical="top" wrapText="1"/>
    </xf>
    <xf numFmtId="165" fontId="3" fillId="0" borderId="7" xfId="0" applyNumberFormat="1" applyFont="1" applyFill="1" applyBorder="1" applyAlignment="1">
      <alignment horizontal="center" wrapText="1"/>
    </xf>
    <xf numFmtId="0" fontId="3" fillId="0" borderId="7" xfId="0" applyNumberFormat="1" applyFont="1" applyFill="1" applyBorder="1" applyAlignment="1">
      <alignment horizontal="center" wrapText="1"/>
    </xf>
    <xf numFmtId="0" fontId="3" fillId="0" borderId="6" xfId="0" applyNumberFormat="1" applyFont="1" applyFill="1" applyBorder="1" applyAlignment="1"/>
    <xf numFmtId="0" fontId="2" fillId="0" borderId="7" xfId="0" applyNumberFormat="1" applyFont="1" applyFill="1" applyBorder="1" applyAlignment="1">
      <alignment vertical="top"/>
    </xf>
    <xf numFmtId="0" fontId="2" fillId="0" borderId="8" xfId="0" applyNumberFormat="1" applyFont="1" applyFill="1" applyBorder="1" applyAlignment="1"/>
    <xf numFmtId="0" fontId="2" fillId="0" borderId="2" xfId="0" applyNumberFormat="1" applyFont="1" applyFill="1" applyBorder="1" applyAlignment="1">
      <alignment horizontal="right" vertical="top"/>
    </xf>
    <xf numFmtId="3" fontId="2" fillId="2" borderId="2" xfId="0" applyNumberFormat="1" applyFont="1" applyFill="1" applyBorder="1" applyAlignment="1"/>
    <xf numFmtId="164" fontId="2" fillId="0" borderId="3" xfId="0" applyNumberFormat="1" applyFont="1" applyFill="1" applyBorder="1" applyAlignment="1"/>
    <xf numFmtId="164" fontId="2" fillId="0" borderId="0" xfId="0" applyNumberFormat="1" applyFont="1" applyFill="1" applyAlignment="1"/>
    <xf numFmtId="0" fontId="3" fillId="0" borderId="7" xfId="0" applyNumberFormat="1" applyFont="1" applyFill="1" applyBorder="1" applyAlignment="1">
      <alignment wrapText="1"/>
    </xf>
    <xf numFmtId="0" fontId="6" fillId="0" borderId="6" xfId="0" applyNumberFormat="1" applyFont="1" applyFill="1" applyBorder="1" applyAlignment="1">
      <alignment wrapText="1"/>
    </xf>
    <xf numFmtId="0" fontId="0" fillId="0" borderId="7" xfId="0" applyNumberFormat="1" applyFont="1" applyFill="1" applyBorder="1" applyAlignment="1">
      <alignment wrapText="1"/>
    </xf>
    <xf numFmtId="0" fontId="0" fillId="0" borderId="8" xfId="0" applyNumberFormat="1" applyFont="1" applyFill="1" applyBorder="1" applyAlignment="1">
      <alignment wrapText="1"/>
    </xf>
    <xf numFmtId="0" fontId="0" fillId="2" borderId="2" xfId="0" applyNumberFormat="1" applyFont="1" applyFill="1" applyBorder="1" applyAlignment="1">
      <alignment wrapText="1"/>
    </xf>
    <xf numFmtId="164" fontId="0" fillId="0" borderId="2" xfId="0" applyNumberFormat="1" applyFont="1" applyFill="1" applyBorder="1" applyAlignment="1">
      <alignment wrapText="1"/>
    </xf>
    <xf numFmtId="0" fontId="0" fillId="0" borderId="0" xfId="0" applyNumberFormat="1" applyFont="1" applyFill="1" applyAlignment="1">
      <alignment wrapText="1"/>
    </xf>
    <xf numFmtId="0" fontId="6" fillId="0" borderId="0" xfId="0" applyNumberFormat="1" applyFont="1" applyFill="1" applyAlignment="1">
      <alignment wrapText="1"/>
    </xf>
    <xf numFmtId="0" fontId="6" fillId="0" borderId="0" xfId="0" applyNumberFormat="1" applyFont="1" applyFill="1" applyAlignment="1">
      <alignment vertical="top" wrapText="1"/>
    </xf>
    <xf numFmtId="0" fontId="2" fillId="0" borderId="2" xfId="0" applyNumberFormat="1" applyFont="1" applyFill="1" applyBorder="1" applyAlignment="1">
      <alignment horizontal="right" vertical="top"/>
    </xf>
    <xf numFmtId="0" fontId="2" fillId="0" borderId="2" xfId="0" applyNumberFormat="1" applyFont="1" applyFill="1" applyBorder="1" applyAlignment="1">
      <alignment vertical="top"/>
    </xf>
    <xf numFmtId="21" fontId="2" fillId="0" borderId="2" xfId="0" applyNumberFormat="1" applyFont="1" applyFill="1" applyBorder="1" applyAlignment="1"/>
    <xf numFmtId="3" fontId="2" fillId="2" borderId="2" xfId="0" applyNumberFormat="1" applyFont="1" applyFill="1" applyBorder="1" applyAlignment="1">
      <alignment horizontal="right"/>
    </xf>
    <xf numFmtId="3" fontId="2" fillId="0" borderId="6" xfId="0" applyNumberFormat="1" applyFont="1" applyFill="1" applyBorder="1" applyAlignment="1">
      <alignment wrapText="1"/>
    </xf>
    <xf numFmtId="3" fontId="2" fillId="0" borderId="6" xfId="0" applyNumberFormat="1" applyFont="1" applyFill="1" applyBorder="1" applyAlignment="1">
      <alignment horizontal="right" vertical="top" wrapText="1"/>
    </xf>
    <xf numFmtId="0" fontId="2" fillId="0" borderId="6" xfId="0" applyNumberFormat="1" applyFont="1" applyFill="1" applyBorder="1" applyAlignment="1">
      <alignment horizontal="right" vertical="top"/>
    </xf>
    <xf numFmtId="3" fontId="2" fillId="0" borderId="6" xfId="0" applyNumberFormat="1" applyFont="1" applyFill="1" applyBorder="1" applyAlignment="1">
      <alignment horizontal="right"/>
    </xf>
    <xf numFmtId="0" fontId="3" fillId="0" borderId="7" xfId="0" applyNumberFormat="1" applyFont="1" applyFill="1" applyBorder="1" applyAlignment="1"/>
    <xf numFmtId="0" fontId="2" fillId="0" borderId="7" xfId="0" applyNumberFormat="1" applyFont="1" applyFill="1" applyBorder="1" applyAlignment="1">
      <alignment vertical="top" wrapText="1"/>
    </xf>
    <xf numFmtId="164" fontId="2" fillId="0" borderId="6" xfId="0" applyNumberFormat="1" applyFont="1" applyFill="1" applyBorder="1" applyAlignment="1"/>
    <xf numFmtId="3" fontId="2" fillId="0" borderId="2" xfId="0" applyNumberFormat="1" applyFont="1" applyFill="1" applyBorder="1" applyAlignment="1">
      <alignment horizontal="right"/>
    </xf>
    <xf numFmtId="3" fontId="2" fillId="0" borderId="2" xfId="0" applyNumberFormat="1" applyFont="1" applyFill="1" applyBorder="1" applyAlignment="1"/>
    <xf numFmtId="4" fontId="2" fillId="0" borderId="0" xfId="0" applyNumberFormat="1" applyFont="1" applyFill="1" applyAlignment="1"/>
    <xf numFmtId="3" fontId="2" fillId="0" borderId="2" xfId="0" applyNumberFormat="1" applyFont="1" applyFill="1" applyBorder="1" applyAlignment="1">
      <alignment horizontal="right" vertical="top" wrapText="1"/>
    </xf>
    <xf numFmtId="21" fontId="2" fillId="0" borderId="2" xfId="0" applyNumberFormat="1" applyFont="1" applyFill="1" applyBorder="1" applyAlignment="1">
      <alignment horizontal="right" vertical="top" wrapText="1"/>
    </xf>
    <xf numFmtId="164" fontId="0" fillId="0" borderId="3" xfId="0" applyNumberFormat="1" applyFont="1" applyFill="1" applyBorder="1" applyAlignment="1">
      <alignment wrapText="1"/>
    </xf>
    <xf numFmtId="164" fontId="0" fillId="0" borderId="0" xfId="0" applyNumberFormat="1" applyFont="1" applyFill="1" applyAlignment="1">
      <alignment wrapText="1"/>
    </xf>
    <xf numFmtId="21" fontId="0" fillId="0" borderId="2" xfId="0" applyNumberFormat="1" applyFont="1" applyFill="1" applyBorder="1" applyAlignment="1">
      <alignment horizontal="right" wrapText="1"/>
    </xf>
    <xf numFmtId="0" fontId="0" fillId="0" borderId="2" xfId="0" applyNumberFormat="1" applyFont="1" applyFill="1" applyBorder="1" applyAlignment="1">
      <alignment horizontal="right" wrapText="1"/>
    </xf>
    <xf numFmtId="0" fontId="0" fillId="0" borderId="0" xfId="0" applyNumberFormat="1" applyFont="1" applyFill="1" applyAlignment="1">
      <alignment horizontal="left" wrapText="1"/>
    </xf>
    <xf numFmtId="166" fontId="2" fillId="0" borderId="2" xfId="0" applyNumberFormat="1" applyFont="1" applyFill="1" applyBorder="1" applyAlignment="1">
      <alignment horizontal="right" vertical="top" wrapText="1"/>
    </xf>
    <xf numFmtId="0" fontId="3" fillId="0" borderId="1" xfId="0" applyNumberFormat="1" applyFont="1" applyFill="1" applyBorder="1" applyAlignment="1"/>
    <xf numFmtId="0" fontId="2" fillId="0" borderId="1" xfId="0" applyNumberFormat="1" applyFont="1" applyFill="1" applyBorder="1" applyAlignment="1">
      <alignment vertical="top"/>
    </xf>
    <xf numFmtId="3" fontId="2" fillId="0" borderId="6" xfId="0" applyNumberFormat="1" applyFont="1" applyFill="1" applyBorder="1" applyAlignment="1"/>
    <xf numFmtId="3" fontId="2" fillId="0" borderId="1" xfId="0" applyNumberFormat="1" applyFont="1" applyFill="1" applyBorder="1" applyAlignment="1">
      <alignment horizontal="right" vertical="top" wrapText="1"/>
    </xf>
    <xf numFmtId="3" fontId="2" fillId="0" borderId="1" xfId="0" applyNumberFormat="1" applyFont="1" applyFill="1" applyBorder="1" applyAlignment="1"/>
    <xf numFmtId="164" fontId="2" fillId="0" borderId="1" xfId="0" applyNumberFormat="1" applyFont="1" applyFill="1" applyBorder="1" applyAlignment="1"/>
    <xf numFmtId="164" fontId="2" fillId="0" borderId="0" xfId="0" applyNumberFormat="1" applyFont="1" applyFill="1" applyAlignment="1">
      <alignment horizontal="right"/>
    </xf>
    <xf numFmtId="3" fontId="2" fillId="0" borderId="9" xfId="0" applyNumberFormat="1" applyFont="1" applyFill="1" applyBorder="1" applyAlignment="1">
      <alignment horizontal="right" vertical="top" wrapText="1"/>
    </xf>
    <xf numFmtId="3" fontId="2" fillId="0" borderId="4" xfId="0" applyNumberFormat="1" applyFont="1" applyFill="1" applyBorder="1" applyAlignment="1">
      <alignment horizontal="right" vertical="top" wrapText="1"/>
    </xf>
    <xf numFmtId="3" fontId="2" fillId="2" borderId="4" xfId="0" applyNumberFormat="1" applyFont="1" applyFill="1" applyBorder="1" applyAlignment="1"/>
    <xf numFmtId="3" fontId="2" fillId="0" borderId="0" xfId="0" applyNumberFormat="1" applyFont="1" applyFill="1" applyAlignment="1">
      <alignment horizontal="right" vertical="top" wrapText="1"/>
    </xf>
    <xf numFmtId="3" fontId="2" fillId="0" borderId="0" xfId="0" applyNumberFormat="1" applyFont="1" applyFill="1" applyAlignment="1"/>
    <xf numFmtId="164" fontId="2" fillId="0" borderId="1" xfId="0" applyNumberFormat="1" applyFont="1" applyFill="1" applyBorder="1" applyAlignment="1">
      <alignment horizontal="right"/>
    </xf>
    <xf numFmtId="164" fontId="2" fillId="0" borderId="6" xfId="0" applyNumberFormat="1" applyFont="1" applyFill="1" applyBorder="1" applyAlignment="1">
      <alignment horizontal="right"/>
    </xf>
    <xf numFmtId="3" fontId="2" fillId="0" borderId="5" xfId="0" applyNumberFormat="1" applyFont="1" applyFill="1" applyBorder="1" applyAlignment="1">
      <alignment horizontal="right" vertical="top" wrapText="1"/>
    </xf>
    <xf numFmtId="0" fontId="2" fillId="0" borderId="0" xfId="0" applyNumberFormat="1" applyFont="1" applyFill="1" applyAlignment="1">
      <alignment horizontal="left" vertical="top" wrapText="1"/>
    </xf>
    <xf numFmtId="0" fontId="3" fillId="0" borderId="6" xfId="0" applyNumberFormat="1" applyFont="1" applyFill="1" applyBorder="1" applyAlignment="1">
      <alignment wrapText="1"/>
    </xf>
    <xf numFmtId="164" fontId="2" fillId="0" borderId="3" xfId="0" applyNumberFormat="1" applyFont="1" applyFill="1" applyBorder="1" applyAlignment="1">
      <alignment horizontal="right"/>
    </xf>
    <xf numFmtId="0" fontId="2" fillId="0" borderId="2" xfId="0" applyNumberFormat="1" applyFont="1" applyFill="1" applyBorder="1" applyAlignment="1">
      <alignment horizontal="right" vertical="top" wrapText="1"/>
    </xf>
    <xf numFmtId="0" fontId="2" fillId="3" borderId="0" xfId="0" applyNumberFormat="1" applyFont="1" applyFill="1" applyAlignment="1"/>
    <xf numFmtId="1" fontId="2" fillId="0" borderId="7" xfId="0" applyNumberFormat="1" applyFont="1" applyFill="1" applyBorder="1" applyAlignment="1"/>
    <xf numFmtId="0" fontId="2" fillId="0" borderId="5" xfId="0" applyNumberFormat="1" applyFont="1" applyFill="1" applyBorder="1" applyAlignment="1">
      <alignment horizontal="right" vertical="top" wrapText="1"/>
    </xf>
    <xf numFmtId="3" fontId="2" fillId="0" borderId="5" xfId="0" applyNumberFormat="1" applyFont="1" applyFill="1" applyBorder="1" applyAlignment="1"/>
    <xf numFmtId="0" fontId="2" fillId="0" borderId="1" xfId="0" applyNumberFormat="1" applyFont="1" applyFill="1" applyBorder="1" applyAlignment="1">
      <alignment horizontal="right" vertical="top" wrapText="1"/>
    </xf>
    <xf numFmtId="3" fontId="2" fillId="0" borderId="1" xfId="0" applyNumberFormat="1" applyFont="1" applyFill="1" applyBorder="1" applyAlignment="1">
      <alignment horizontal="right" wrapText="1"/>
    </xf>
    <xf numFmtId="0" fontId="2" fillId="0" borderId="6" xfId="0" applyNumberFormat="1" applyFont="1" applyFill="1" applyBorder="1" applyAlignment="1">
      <alignment horizontal="right" vertical="top" wrapText="1"/>
    </xf>
    <xf numFmtId="3" fontId="2" fillId="0" borderId="6" xfId="0" applyNumberFormat="1" applyFont="1" applyFill="1" applyBorder="1" applyAlignment="1">
      <alignment horizontal="right" wrapText="1"/>
    </xf>
    <xf numFmtId="3" fontId="2" fillId="0" borderId="1" xfId="0" applyNumberFormat="1" applyFont="1" applyFill="1" applyBorder="1" applyAlignment="1">
      <alignment horizontal="right"/>
    </xf>
    <xf numFmtId="1" fontId="2" fillId="0" borderId="6" xfId="0" applyNumberFormat="1" applyFont="1" applyFill="1" applyBorder="1" applyAlignment="1"/>
    <xf numFmtId="0" fontId="3" fillId="0" borderId="0" xfId="0" applyNumberFormat="1" applyFont="1" applyFill="1" applyAlignment="1"/>
    <xf numFmtId="165" fontId="3" fillId="0" borderId="1" xfId="0" applyNumberFormat="1" applyFont="1" applyFill="1" applyBorder="1" applyAlignment="1">
      <alignment horizontal="center" wrapText="1"/>
    </xf>
    <xf numFmtId="0" fontId="2" fillId="2" borderId="2" xfId="0" applyNumberFormat="1" applyFont="1" applyFill="1" applyBorder="1" applyAlignment="1"/>
    <xf numFmtId="1" fontId="2" fillId="0" borderId="0" xfId="0" applyNumberFormat="1" applyFont="1" applyFill="1" applyAlignment="1"/>
    <xf numFmtId="1" fontId="2" fillId="0" borderId="1" xfId="0" applyNumberFormat="1" applyFont="1" applyFill="1" applyBorder="1" applyAlignment="1"/>
    <xf numFmtId="3" fontId="2" fillId="0" borderId="5" xfId="0" applyNumberFormat="1" applyFont="1" applyFill="1" applyBorder="1" applyAlignment="1">
      <alignment horizontal="right"/>
    </xf>
    <xf numFmtId="0" fontId="2" fillId="0" borderId="8" xfId="0" applyNumberFormat="1" applyFont="1" applyFill="1" applyBorder="1" applyAlignment="1">
      <alignment wrapText="1"/>
    </xf>
    <xf numFmtId="3" fontId="2" fillId="0" borderId="2" xfId="0" applyNumberFormat="1" applyFont="1" applyFill="1" applyBorder="1" applyAlignment="1">
      <alignment horizontal="right" vertical="center"/>
    </xf>
    <xf numFmtId="3" fontId="2" fillId="0" borderId="2" xfId="0" applyNumberFormat="1" applyFont="1" applyFill="1" applyBorder="1" applyAlignment="1">
      <alignment vertical="center"/>
    </xf>
    <xf numFmtId="3" fontId="2" fillId="2" borderId="2" xfId="0" applyNumberFormat="1" applyFont="1" applyFill="1" applyBorder="1" applyAlignment="1">
      <alignment vertical="center"/>
    </xf>
    <xf numFmtId="0" fontId="2" fillId="0" borderId="0" xfId="0" applyNumberFormat="1" applyFont="1" applyFill="1" applyAlignment="1">
      <alignment vertical="top"/>
    </xf>
    <xf numFmtId="0" fontId="2" fillId="0" borderId="0" xfId="0" applyNumberFormat="1" applyFont="1" applyFill="1" applyAlignment="1">
      <alignment horizontal="left"/>
    </xf>
    <xf numFmtId="3" fontId="2" fillId="0" borderId="7" xfId="0" applyNumberFormat="1" applyFont="1" applyFill="1" applyBorder="1" applyAlignment="1"/>
    <xf numFmtId="1" fontId="2" fillId="2" borderId="2" xfId="0" applyNumberFormat="1" applyFont="1" applyFill="1" applyBorder="1" applyAlignment="1"/>
    <xf numFmtId="0" fontId="6" fillId="0" borderId="8" xfId="0" applyNumberFormat="1" applyFont="1" applyFill="1" applyBorder="1" applyAlignment="1">
      <alignment wrapText="1"/>
    </xf>
    <xf numFmtId="0" fontId="0" fillId="0" borderId="8" xfId="0" applyNumberFormat="1" applyFont="1" applyFill="1" applyBorder="1" applyAlignment="1">
      <alignment horizontal="left" wrapText="1"/>
    </xf>
    <xf numFmtId="0" fontId="2" fillId="0" borderId="0" xfId="0" applyNumberFormat="1" applyFont="1" applyFill="1" applyAlignment="1">
      <alignment horizontal="right"/>
    </xf>
    <xf numFmtId="0" fontId="2" fillId="0" borderId="4" xfId="0" applyNumberFormat="1" applyFont="1" applyFill="1" applyBorder="1" applyAlignment="1"/>
    <xf numFmtId="0" fontId="2" fillId="2" borderId="4" xfId="0" applyNumberFormat="1" applyFont="1" applyFill="1" applyBorder="1" applyAlignment="1"/>
    <xf numFmtId="0" fontId="2" fillId="0" borderId="2" xfId="0" applyNumberFormat="1" applyFont="1" applyFill="1" applyBorder="1" applyAlignment="1">
      <alignment horizontal="right"/>
    </xf>
    <xf numFmtId="0" fontId="5" fillId="0" borderId="10" xfId="0" applyNumberFormat="1" applyFont="1" applyFill="1" applyBorder="1" applyAlignment="1">
      <alignment horizontal="center" vertical="top" wrapText="1"/>
    </xf>
    <xf numFmtId="3" fontId="2" fillId="0" borderId="7" xfId="0" applyNumberFormat="1" applyFont="1" applyFill="1" applyBorder="1" applyAlignment="1">
      <alignment horizontal="right" wrapText="1"/>
    </xf>
    <xf numFmtId="3" fontId="2" fillId="0" borderId="2" xfId="0" applyNumberFormat="1" applyFont="1" applyFill="1" applyBorder="1" applyAlignment="1">
      <alignment horizontal="right" wrapText="1"/>
    </xf>
    <xf numFmtId="0" fontId="2" fillId="0" borderId="7" xfId="0" applyNumberFormat="1" applyFont="1" applyFill="1" applyBorder="1" applyAlignment="1"/>
    <xf numFmtId="164" fontId="2" fillId="0" borderId="11" xfId="0" applyNumberFormat="1" applyFont="1" applyFill="1" applyBorder="1" applyAlignment="1"/>
    <xf numFmtId="0" fontId="2" fillId="0" borderId="11" xfId="0" applyNumberFormat="1" applyFont="1" applyFill="1" applyBorder="1" applyAlignment="1"/>
    <xf numFmtId="0" fontId="3" fillId="0" borderId="8" xfId="0" applyNumberFormat="1" applyFont="1" applyFill="1" applyBorder="1" applyAlignment="1"/>
    <xf numFmtId="0" fontId="6" fillId="0" borderId="2" xfId="0" applyNumberFormat="1" applyFont="1" applyFill="1" applyBorder="1" applyAlignment="1">
      <alignment wrapText="1"/>
    </xf>
    <xf numFmtId="0" fontId="6" fillId="2" borderId="2" xfId="0" applyNumberFormat="1" applyFont="1" applyFill="1" applyBorder="1" applyAlignment="1">
      <alignment wrapText="1"/>
    </xf>
    <xf numFmtId="0" fontId="2" fillId="0" borderId="8" xfId="0" applyNumberFormat="1" applyFont="1" applyFill="1" applyBorder="1" applyAlignment="1">
      <alignment horizontal="left" vertical="top"/>
    </xf>
    <xf numFmtId="0" fontId="3" fillId="0" borderId="0" xfId="0" applyNumberFormat="1" applyFont="1" applyFill="1" applyAlignment="1">
      <alignment wrapText="1"/>
    </xf>
    <xf numFmtId="0" fontId="0" fillId="4" borderId="2" xfId="0" applyNumberFormat="1" applyFont="1" applyFill="1" applyBorder="1" applyAlignment="1">
      <alignment wrapText="1"/>
    </xf>
    <xf numFmtId="0" fontId="6" fillId="4" borderId="2" xfId="0" applyNumberFormat="1" applyFont="1" applyFill="1" applyBorder="1" applyAlignment="1">
      <alignment wrapText="1"/>
    </xf>
    <xf numFmtId="0" fontId="9" fillId="0" borderId="6" xfId="0" applyNumberFormat="1" applyFont="1" applyFill="1" applyBorder="1" applyAlignment="1">
      <alignment wrapText="1"/>
    </xf>
    <xf numFmtId="0" fontId="2" fillId="0" borderId="7" xfId="0" applyNumberFormat="1" applyFont="1" applyFill="1" applyBorder="1" applyAlignment="1">
      <alignment wrapText="1"/>
    </xf>
    <xf numFmtId="3" fontId="2" fillId="0" borderId="2" xfId="0" applyNumberFormat="1" applyFont="1" applyFill="1" applyBorder="1" applyAlignment="1">
      <alignment horizontal="right" vertical="top"/>
    </xf>
    <xf numFmtId="3" fontId="2" fillId="0" borderId="2" xfId="0" applyNumberFormat="1" applyFont="1" applyFill="1" applyBorder="1" applyAlignment="1">
      <alignment vertical="top"/>
    </xf>
    <xf numFmtId="167" fontId="2" fillId="0" borderId="2" xfId="0" applyNumberFormat="1" applyFont="1" applyFill="1" applyBorder="1" applyAlignment="1">
      <alignment horizontal="right"/>
    </xf>
    <xf numFmtId="3" fontId="3" fillId="2" borderId="2" xfId="0" applyNumberFormat="1" applyFont="1" applyFill="1" applyBorder="1" applyAlignment="1"/>
    <xf numFmtId="164" fontId="3" fillId="0" borderId="2" xfId="0" applyNumberFormat="1" applyFont="1" applyFill="1" applyBorder="1" applyAlignment="1"/>
    <xf numFmtId="4" fontId="2" fillId="0" borderId="2" xfId="0" applyNumberFormat="1" applyFont="1" applyFill="1" applyBorder="1" applyAlignment="1">
      <alignment horizontal="right" vertical="top"/>
    </xf>
    <xf numFmtId="4" fontId="2" fillId="0" borderId="2" xfId="0" applyNumberFormat="1" applyFont="1" applyFill="1" applyBorder="1" applyAlignment="1"/>
    <xf numFmtId="4" fontId="2" fillId="2" borderId="2" xfId="0" applyNumberFormat="1" applyFont="1" applyFill="1" applyBorder="1" applyAlignment="1"/>
    <xf numFmtId="0" fontId="10" fillId="0" borderId="0" xfId="0" applyNumberFormat="1" applyFont="1" applyFill="1" applyAlignment="1"/>
    <xf numFmtId="3" fontId="2" fillId="2" borderId="2" xfId="0" applyNumberFormat="1" applyFont="1" applyFill="1" applyBorder="1" applyAlignment="1">
      <alignment horizontal="right" vertical="top" wrapText="1"/>
    </xf>
    <xf numFmtId="0" fontId="2" fillId="2" borderId="2" xfId="0" applyNumberFormat="1" applyFont="1" applyFill="1" applyBorder="1" applyAlignment="1">
      <alignment wrapText="1"/>
    </xf>
    <xf numFmtId="0" fontId="2" fillId="0" borderId="0" xfId="0" applyNumberFormat="1" applyFont="1" applyFill="1" applyAlignment="1">
      <alignment wrapText="1"/>
    </xf>
    <xf numFmtId="0" fontId="2" fillId="0" borderId="1" xfId="0" applyNumberFormat="1" applyFont="1" applyFill="1" applyBorder="1" applyAlignment="1">
      <alignment wrapText="1"/>
    </xf>
    <xf numFmtId="0" fontId="0" fillId="0" borderId="4" xfId="0" applyNumberFormat="1" applyFont="1" applyFill="1" applyBorder="1" applyAlignment="1">
      <alignment wrapText="1"/>
    </xf>
    <xf numFmtId="0" fontId="11" fillId="0" borderId="0" xfId="0" applyNumberFormat="1" applyFont="1" applyFill="1" applyAlignment="1">
      <alignment wrapText="1"/>
    </xf>
    <xf numFmtId="0" fontId="11" fillId="0" borderId="1" xfId="0" applyNumberFormat="1" applyFont="1" applyFill="1" applyBorder="1" applyAlignment="1">
      <alignment wrapText="1"/>
    </xf>
    <xf numFmtId="0" fontId="2" fillId="0" borderId="6" xfId="0" applyNumberFormat="1" applyFont="1" applyFill="1" applyBorder="1" applyAlignment="1">
      <alignment wrapText="1"/>
    </xf>
    <xf numFmtId="0" fontId="1" fillId="0" borderId="0" xfId="0" applyNumberFormat="1" applyFont="1" applyFill="1" applyAlignment="1"/>
    <xf numFmtId="0" fontId="2" fillId="0" borderId="0" xfId="0" applyNumberFormat="1" applyFont="1" applyFill="1" applyAlignment="1"/>
    <xf numFmtId="0" fontId="2" fillId="0" borderId="1" xfId="0" applyNumberFormat="1" applyFont="1" applyFill="1" applyBorder="1" applyAlignment="1"/>
    <xf numFmtId="0" fontId="0" fillId="0" borderId="0" xfId="0">
      <alignment vertical="center"/>
    </xf>
    <xf numFmtId="0" fontId="0" fillId="0" borderId="0" xfId="0" applyNumberFormat="1" applyFont="1" applyFill="1" applyAlignment="1">
      <alignment wrapText="1"/>
    </xf>
    <xf numFmtId="0" fontId="7" fillId="0" borderId="0" xfId="0" applyNumberFormat="1" applyFont="1" applyFill="1" applyAlignment="1">
      <alignment wrapText="1"/>
    </xf>
    <xf numFmtId="0" fontId="4" fillId="0" borderId="0" xfId="0" applyNumberFormat="1" applyFont="1" applyFill="1" applyAlignment="1"/>
    <xf numFmtId="0" fontId="3" fillId="0" borderId="6" xfId="0" applyNumberFormat="1" applyFont="1" applyFill="1" applyBorder="1" applyAlignment="1"/>
    <xf numFmtId="165" fontId="3" fillId="0" borderId="6" xfId="0" applyNumberFormat="1" applyFont="1" applyFill="1" applyBorder="1" applyAlignment="1">
      <alignment horizontal="center" wrapText="1"/>
    </xf>
    <xf numFmtId="0" fontId="8" fillId="0" borderId="0" xfId="0" applyNumberFormat="1" applyFont="1" applyFill="1" applyAlignment="1"/>
    <xf numFmtId="3" fontId="8" fillId="0" borderId="0" xfId="0" applyNumberFormat="1" applyFont="1" applyFill="1" applyAlignment="1">
      <alignment horizontal="right" vertical="top" wrapText="1"/>
    </xf>
    <xf numFmtId="0" fontId="2" fillId="0" borderId="6" xfId="0" applyNumberFormat="1" applyFont="1" applyFill="1" applyBorder="1" applyAlignment="1">
      <alignment horizontal="left" vertical="top" wrapText="1"/>
    </xf>
    <xf numFmtId="0" fontId="0" fillId="0" borderId="6" xfId="0" applyNumberFormat="1" applyFont="1" applyFill="1" applyBorder="1" applyAlignment="1">
      <alignment wrapText="1"/>
    </xf>
    <xf numFmtId="165" fontId="3" fillId="0" borderId="7" xfId="0" applyNumberFormat="1" applyFont="1" applyFill="1" applyBorder="1" applyAlignment="1">
      <alignment horizontal="center" wrapText="1"/>
    </xf>
    <xf numFmtId="0" fontId="6" fillId="0" borderId="6" xfId="0" applyNumberFormat="1" applyFont="1" applyFill="1" applyBorder="1" applyAlignment="1">
      <alignment wrapText="1"/>
    </xf>
    <xf numFmtId="0" fontId="2" fillId="0" borderId="6" xfId="0" applyNumberFormat="1" applyFont="1" applyFill="1" applyBorder="1" applyAlignment="1">
      <alignment vertical="top"/>
    </xf>
    <xf numFmtId="0" fontId="2" fillId="0" borderId="7" xfId="0" applyNumberFormat="1" applyFont="1" applyFill="1" applyBorder="1" applyAlignment="1">
      <alignment vertical="top"/>
    </xf>
    <xf numFmtId="0" fontId="3" fillId="0" borderId="0" xfId="0" applyNumberFormat="1" applyFont="1" applyFill="1" applyAlignment="1"/>
    <xf numFmtId="0" fontId="2" fillId="0" borderId="0" xfId="0" applyNumberFormat="1" applyFont="1" applyFill="1" applyAlignment="1">
      <alignment vertical="top"/>
    </xf>
    <xf numFmtId="0" fontId="2" fillId="0" borderId="1" xfId="0" applyNumberFormat="1" applyFont="1" applyFill="1" applyBorder="1" applyAlignment="1">
      <alignment vertical="top"/>
    </xf>
    <xf numFmtId="1" fontId="2" fillId="0" borderId="6" xfId="0" applyNumberFormat="1" applyFont="1" applyFill="1" applyBorder="1" applyAlignment="1"/>
    <xf numFmtId="164" fontId="2" fillId="0" borderId="6" xfId="0" applyNumberFormat="1" applyFont="1" applyFill="1" applyBorder="1" applyAlignme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C0C0C0"/>
      <rgbColor rgb="00FF6600"/>
      <rgbColor rgb="00DDDDDD"/>
      <rgbColor rgb="00FFFF00"/>
      <rgbColor rgb="00FF0000"/>
      <rgbColor rgb="00FFFF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4"/>
  <sheetViews>
    <sheetView tabSelected="1" zoomScaleNormal="100" workbookViewId="0">
      <pane ySplit="5" topLeftCell="A6" activePane="bottomLeft" state="frozen"/>
      <selection pane="bottomLeft" activeCell="A6" sqref="A6"/>
    </sheetView>
  </sheetViews>
  <sheetFormatPr defaultColWidth="9.140625" defaultRowHeight="12.75" customHeight="1"/>
  <cols>
    <col min="1" max="1" width="44.42578125" customWidth="1"/>
    <col min="2" max="2" width="22.7109375" customWidth="1"/>
    <col min="3" max="3" width="12.28515625" customWidth="1"/>
    <col min="4" max="4" width="9.42578125" customWidth="1"/>
    <col min="5" max="5" width="10.28515625" customWidth="1"/>
    <col min="6" max="6" width="11.5703125" customWidth="1"/>
    <col min="7" max="7" width="15" customWidth="1"/>
    <col min="8" max="8" width="16" customWidth="1"/>
    <col min="9" max="9" width="9.140625" customWidth="1"/>
  </cols>
  <sheetData>
    <row r="1" spans="1:9" ht="20.25">
      <c r="A1" s="167" t="s">
        <v>180</v>
      </c>
      <c r="B1" s="168"/>
      <c r="C1" s="2"/>
      <c r="D1" s="3"/>
      <c r="E1" s="3"/>
      <c r="F1" s="3"/>
      <c r="G1" s="2"/>
      <c r="H1" s="3"/>
      <c r="I1" s="2"/>
    </row>
    <row r="2" spans="1:9" ht="20.25">
      <c r="A2" s="1" t="s">
        <v>192</v>
      </c>
      <c r="B2" s="2"/>
      <c r="C2" s="2"/>
      <c r="D2" s="3"/>
      <c r="E2" s="3"/>
      <c r="F2" s="3"/>
      <c r="G2" s="2"/>
      <c r="H2" s="3"/>
      <c r="I2" s="2"/>
    </row>
    <row r="3" spans="1:9" ht="12.75" customHeight="1">
      <c r="A3" s="2"/>
      <c r="B3" s="2"/>
      <c r="D3" s="4"/>
      <c r="E3" s="3"/>
      <c r="F3" s="3"/>
      <c r="G3" s="2"/>
      <c r="H3" s="3"/>
    </row>
    <row r="4" spans="1:9" ht="12.75" customHeight="1">
      <c r="A4" s="169" t="s">
        <v>8</v>
      </c>
      <c r="B4" s="169"/>
      <c r="C4" s="6"/>
      <c r="D4" s="7"/>
      <c r="E4" s="8"/>
      <c r="F4" s="8"/>
      <c r="G4" s="5"/>
      <c r="H4" s="8"/>
    </row>
    <row r="5" spans="1:9" ht="25.5">
      <c r="A5" s="9" t="s">
        <v>245</v>
      </c>
      <c r="B5" s="9" t="s">
        <v>35</v>
      </c>
      <c r="C5" s="9" t="s">
        <v>52</v>
      </c>
      <c r="D5" s="9" t="s">
        <v>260</v>
      </c>
      <c r="E5" s="9" t="s">
        <v>202</v>
      </c>
      <c r="F5" s="9" t="s">
        <v>226</v>
      </c>
      <c r="G5" s="9" t="s">
        <v>327</v>
      </c>
      <c r="H5" s="9" t="s">
        <v>70</v>
      </c>
      <c r="I5" s="10"/>
    </row>
    <row r="6" spans="1:9" ht="12.75" customHeight="1">
      <c r="A6" s="11" t="s">
        <v>172</v>
      </c>
      <c r="B6" s="11" t="s">
        <v>60</v>
      </c>
      <c r="C6" s="12"/>
      <c r="D6" s="13" t="s">
        <v>229</v>
      </c>
      <c r="E6" s="14" t="s">
        <v>229</v>
      </c>
      <c r="F6" s="13">
        <v>0</v>
      </c>
      <c r="G6" s="15">
        <v>0</v>
      </c>
      <c r="H6" s="16" t="s">
        <v>229</v>
      </c>
      <c r="I6" s="17"/>
    </row>
    <row r="7" spans="1:9" ht="12.75" customHeight="1">
      <c r="A7" s="18" t="s">
        <v>47</v>
      </c>
      <c r="B7" s="18" t="s">
        <v>60</v>
      </c>
      <c r="C7" s="19"/>
      <c r="D7" s="20" t="s">
        <v>229</v>
      </c>
      <c r="E7" s="14" t="s">
        <v>229</v>
      </c>
      <c r="F7" s="20">
        <v>0</v>
      </c>
      <c r="G7" s="21">
        <v>18757</v>
      </c>
      <c r="H7" s="22" t="s">
        <v>229</v>
      </c>
      <c r="I7" s="17"/>
    </row>
    <row r="8" spans="1:9" ht="12.75" customHeight="1">
      <c r="A8" s="23" t="s">
        <v>104</v>
      </c>
      <c r="B8" s="23" t="s">
        <v>60</v>
      </c>
      <c r="C8" s="23"/>
      <c r="D8" s="24" t="s">
        <v>229</v>
      </c>
      <c r="E8" s="25" t="s">
        <v>229</v>
      </c>
      <c r="F8" s="24">
        <v>0</v>
      </c>
      <c r="G8" s="26">
        <v>0</v>
      </c>
      <c r="H8" s="27" t="s">
        <v>229</v>
      </c>
      <c r="I8" s="17"/>
    </row>
    <row r="9" spans="1:9" ht="12.75" customHeight="1">
      <c r="A9" s="23" t="s">
        <v>368</v>
      </c>
      <c r="B9" s="23" t="s">
        <v>63</v>
      </c>
      <c r="C9" s="23"/>
      <c r="D9" s="24" t="s">
        <v>229</v>
      </c>
      <c r="E9" s="24" t="s">
        <v>229</v>
      </c>
      <c r="F9" s="24" t="s">
        <v>229</v>
      </c>
      <c r="G9" s="26">
        <v>366.28</v>
      </c>
      <c r="H9" s="24" t="s">
        <v>229</v>
      </c>
      <c r="I9" s="17"/>
    </row>
    <row r="10" spans="1:9" ht="12.75" customHeight="1">
      <c r="A10" s="23" t="s">
        <v>227</v>
      </c>
      <c r="B10" s="23" t="s">
        <v>254</v>
      </c>
      <c r="C10" s="23"/>
      <c r="D10" s="28">
        <v>63572</v>
      </c>
      <c r="E10" s="28">
        <v>207218</v>
      </c>
      <c r="F10" s="24">
        <v>0</v>
      </c>
      <c r="G10" s="26">
        <v>20342.75</v>
      </c>
      <c r="H10" s="27">
        <f>G10/E10</f>
        <v>9.8170767018309221E-2</v>
      </c>
      <c r="I10" s="17"/>
    </row>
    <row r="11" spans="1:9" ht="12.75" customHeight="1">
      <c r="A11" s="23" t="s">
        <v>340</v>
      </c>
      <c r="B11" s="23" t="s">
        <v>353</v>
      </c>
      <c r="C11" s="23"/>
      <c r="D11" s="24" t="s">
        <v>229</v>
      </c>
      <c r="E11" s="28">
        <v>39</v>
      </c>
      <c r="F11" s="24">
        <v>0</v>
      </c>
      <c r="G11" s="26">
        <v>0</v>
      </c>
      <c r="H11" s="27">
        <v>1</v>
      </c>
      <c r="I11" s="10"/>
    </row>
    <row r="12" spans="1:9" ht="12.75" customHeight="1">
      <c r="A12" s="23" t="s">
        <v>141</v>
      </c>
      <c r="B12" s="23" t="s">
        <v>353</v>
      </c>
      <c r="C12" s="23"/>
      <c r="D12" s="24" t="s">
        <v>229</v>
      </c>
      <c r="E12" s="24">
        <v>15</v>
      </c>
      <c r="F12" s="24">
        <v>0</v>
      </c>
      <c r="G12" s="26">
        <v>0</v>
      </c>
      <c r="H12" s="27">
        <v>1</v>
      </c>
      <c r="I12" s="10"/>
    </row>
    <row r="13" spans="1:9" ht="12.75" customHeight="1">
      <c r="A13" s="23" t="s">
        <v>56</v>
      </c>
      <c r="B13" s="23" t="s">
        <v>254</v>
      </c>
      <c r="C13" s="23"/>
      <c r="D13" s="28">
        <v>1758</v>
      </c>
      <c r="E13" s="28">
        <v>7433</v>
      </c>
      <c r="F13" s="24">
        <v>0</v>
      </c>
      <c r="G13" s="26">
        <v>0</v>
      </c>
      <c r="H13" s="27">
        <v>1.03</v>
      </c>
      <c r="I13" s="17"/>
    </row>
    <row r="14" spans="1:9" ht="12.75" customHeight="1">
      <c r="A14" s="23" t="s">
        <v>84</v>
      </c>
      <c r="B14" s="23" t="s">
        <v>360</v>
      </c>
      <c r="C14" s="23"/>
      <c r="D14" s="28">
        <v>13</v>
      </c>
      <c r="E14" s="28">
        <v>2</v>
      </c>
      <c r="F14" s="24">
        <v>0</v>
      </c>
      <c r="G14" s="26">
        <v>338</v>
      </c>
      <c r="H14" s="27">
        <f>G14/E14</f>
        <v>169</v>
      </c>
      <c r="I14" s="17"/>
    </row>
    <row r="15" spans="1:9" ht="12.75" customHeight="1">
      <c r="A15" s="23" t="s">
        <v>119</v>
      </c>
      <c r="B15" s="23" t="s">
        <v>231</v>
      </c>
      <c r="C15" s="23" t="s">
        <v>256</v>
      </c>
      <c r="D15" s="28">
        <v>627</v>
      </c>
      <c r="E15" s="28">
        <v>2373</v>
      </c>
      <c r="F15" s="28">
        <v>0</v>
      </c>
      <c r="G15" s="26">
        <v>5989.5</v>
      </c>
      <c r="H15" s="27">
        <f>G15/E15</f>
        <v>2.5240202275600505</v>
      </c>
      <c r="I15" s="17"/>
    </row>
    <row r="16" spans="1:9" ht="12.75" customHeight="1">
      <c r="A16" s="23" t="s">
        <v>97</v>
      </c>
      <c r="B16" s="23" t="s">
        <v>231</v>
      </c>
      <c r="C16" s="23" t="s">
        <v>256</v>
      </c>
      <c r="D16" s="28">
        <v>140</v>
      </c>
      <c r="E16" s="28">
        <v>427</v>
      </c>
      <c r="F16" s="28">
        <v>7</v>
      </c>
      <c r="G16" s="26">
        <v>581</v>
      </c>
      <c r="H16" s="27">
        <f>G16/E16</f>
        <v>1.360655737704918</v>
      </c>
      <c r="I16" s="17"/>
    </row>
    <row r="17" spans="1:9" ht="12.75" customHeight="1">
      <c r="A17" s="23" t="s">
        <v>319</v>
      </c>
      <c r="B17" s="23" t="s">
        <v>353</v>
      </c>
      <c r="C17" s="23"/>
      <c r="D17" s="28">
        <v>1308</v>
      </c>
      <c r="E17" s="28">
        <v>5490</v>
      </c>
      <c r="F17" s="29">
        <v>0</v>
      </c>
      <c r="G17" s="26">
        <v>0</v>
      </c>
      <c r="H17" s="27" t="s">
        <v>229</v>
      </c>
      <c r="I17" s="17"/>
    </row>
    <row r="18" spans="1:9" ht="12.75" customHeight="1">
      <c r="A18" s="23" t="s">
        <v>224</v>
      </c>
      <c r="B18" s="23" t="s">
        <v>224</v>
      </c>
      <c r="C18" s="23"/>
      <c r="D18" s="28">
        <v>21</v>
      </c>
      <c r="E18" s="28">
        <v>152</v>
      </c>
      <c r="F18" s="24">
        <v>0</v>
      </c>
      <c r="G18" s="26">
        <v>12940</v>
      </c>
      <c r="H18" s="27">
        <f>G18/E18</f>
        <v>85.131578947368425</v>
      </c>
      <c r="I18" s="17"/>
    </row>
    <row r="19" spans="1:9" ht="12.75" customHeight="1">
      <c r="A19" s="23" t="s">
        <v>210</v>
      </c>
      <c r="B19" s="23" t="s">
        <v>364</v>
      </c>
      <c r="C19" s="30"/>
      <c r="D19" s="31" t="s">
        <v>229</v>
      </c>
      <c r="E19" s="28">
        <v>1917</v>
      </c>
      <c r="F19" s="28">
        <v>0</v>
      </c>
      <c r="G19" s="26">
        <v>0</v>
      </c>
      <c r="H19" s="27" t="s">
        <v>229</v>
      </c>
      <c r="I19" s="17"/>
    </row>
    <row r="20" spans="1:9" ht="12.75" customHeight="1">
      <c r="A20" s="23" t="s">
        <v>209</v>
      </c>
      <c r="B20" s="23" t="s">
        <v>364</v>
      </c>
      <c r="C20" s="30"/>
      <c r="D20" s="31" t="s">
        <v>229</v>
      </c>
      <c r="E20" s="28">
        <v>304</v>
      </c>
      <c r="F20" s="28">
        <v>0</v>
      </c>
      <c r="G20" s="26">
        <v>0</v>
      </c>
      <c r="H20" s="27" t="s">
        <v>229</v>
      </c>
      <c r="I20" s="17"/>
    </row>
    <row r="21" spans="1:9" ht="12.75" customHeight="1">
      <c r="A21" s="23" t="s">
        <v>262</v>
      </c>
      <c r="B21" s="23" t="s">
        <v>364</v>
      </c>
      <c r="C21" s="30"/>
      <c r="D21" s="31" t="s">
        <v>229</v>
      </c>
      <c r="E21" s="28">
        <v>1042</v>
      </c>
      <c r="F21" s="28">
        <v>0</v>
      </c>
      <c r="G21" s="26">
        <v>0</v>
      </c>
      <c r="H21" s="27" t="s">
        <v>229</v>
      </c>
      <c r="I21" s="17"/>
    </row>
    <row r="22" spans="1:9" ht="12.75" customHeight="1">
      <c r="A22" s="23" t="s">
        <v>279</v>
      </c>
      <c r="B22" s="23" t="s">
        <v>364</v>
      </c>
      <c r="C22" s="30"/>
      <c r="D22" s="31" t="s">
        <v>229</v>
      </c>
      <c r="E22" s="28">
        <v>1051</v>
      </c>
      <c r="F22" s="28">
        <v>0</v>
      </c>
      <c r="G22" s="26">
        <v>0</v>
      </c>
      <c r="H22" s="27" t="s">
        <v>229</v>
      </c>
      <c r="I22" s="17"/>
    </row>
    <row r="23" spans="1:9" ht="12.75" customHeight="1">
      <c r="A23" s="23" t="s">
        <v>268</v>
      </c>
      <c r="B23" s="23" t="s">
        <v>364</v>
      </c>
      <c r="C23" s="30"/>
      <c r="D23" s="31" t="s">
        <v>229</v>
      </c>
      <c r="E23" s="28">
        <v>828</v>
      </c>
      <c r="F23" s="28">
        <v>0</v>
      </c>
      <c r="G23" s="26">
        <v>0</v>
      </c>
      <c r="H23" s="27" t="s">
        <v>229</v>
      </c>
      <c r="I23" s="17"/>
    </row>
    <row r="24" spans="1:9" ht="12.75" customHeight="1">
      <c r="A24" s="23" t="s">
        <v>240</v>
      </c>
      <c r="B24" s="23" t="s">
        <v>364</v>
      </c>
      <c r="C24" s="30"/>
      <c r="D24" s="31" t="s">
        <v>229</v>
      </c>
      <c r="E24" s="28" t="s">
        <v>229</v>
      </c>
      <c r="F24" s="28">
        <v>0</v>
      </c>
      <c r="G24" s="26">
        <v>8025</v>
      </c>
      <c r="H24" s="27" t="s">
        <v>229</v>
      </c>
      <c r="I24" s="17"/>
    </row>
    <row r="25" spans="1:9" ht="12.75" customHeight="1">
      <c r="A25" s="23" t="s">
        <v>43</v>
      </c>
      <c r="B25" s="23" t="s">
        <v>146</v>
      </c>
      <c r="C25" s="23"/>
      <c r="D25" s="24" t="s">
        <v>229</v>
      </c>
      <c r="E25" s="24" t="s">
        <v>229</v>
      </c>
      <c r="F25" s="24" t="s">
        <v>229</v>
      </c>
      <c r="G25" s="26">
        <v>146.04</v>
      </c>
      <c r="H25" s="24" t="s">
        <v>229</v>
      </c>
      <c r="I25" s="10"/>
    </row>
    <row r="26" spans="1:9" ht="12.75" customHeight="1">
      <c r="A26" s="23" t="s">
        <v>336</v>
      </c>
      <c r="B26" s="23" t="s">
        <v>231</v>
      </c>
      <c r="C26" s="23" t="s">
        <v>256</v>
      </c>
      <c r="D26" s="28">
        <v>370</v>
      </c>
      <c r="E26" s="28">
        <v>1002</v>
      </c>
      <c r="F26" s="28">
        <v>0</v>
      </c>
      <c r="G26" s="26">
        <v>3411</v>
      </c>
      <c r="H26" s="27">
        <f>G26/E26</f>
        <v>3.4041916167664672</v>
      </c>
      <c r="I26" s="17"/>
    </row>
    <row r="27" spans="1:9" ht="12.75" customHeight="1">
      <c r="A27" s="23" t="s">
        <v>216</v>
      </c>
      <c r="B27" s="23" t="s">
        <v>198</v>
      </c>
      <c r="C27" s="23" t="s">
        <v>185</v>
      </c>
      <c r="D27" s="28">
        <v>627</v>
      </c>
      <c r="E27" s="28">
        <v>2485</v>
      </c>
      <c r="F27" s="28">
        <v>5</v>
      </c>
      <c r="G27" s="26">
        <v>0</v>
      </c>
      <c r="H27" s="27" t="s">
        <v>229</v>
      </c>
      <c r="I27" s="17"/>
    </row>
    <row r="28" spans="1:9" ht="12.75" customHeight="1">
      <c r="A28" s="23" t="s">
        <v>321</v>
      </c>
      <c r="B28" s="23" t="s">
        <v>217</v>
      </c>
      <c r="C28" s="30"/>
      <c r="D28" s="14">
        <v>277</v>
      </c>
      <c r="E28" s="28">
        <v>538</v>
      </c>
      <c r="F28" s="24">
        <v>0</v>
      </c>
      <c r="G28" s="26">
        <v>0</v>
      </c>
      <c r="H28" s="27" t="s">
        <v>229</v>
      </c>
      <c r="I28" s="17"/>
    </row>
    <row r="29" spans="1:9" ht="12.75" customHeight="1">
      <c r="A29" s="23" t="s">
        <v>115</v>
      </c>
      <c r="B29" s="23" t="s">
        <v>217</v>
      </c>
      <c r="C29" s="23"/>
      <c r="D29" s="28">
        <v>2</v>
      </c>
      <c r="E29" s="28">
        <v>2</v>
      </c>
      <c r="F29" s="28">
        <v>0</v>
      </c>
      <c r="G29" s="26">
        <v>0</v>
      </c>
      <c r="H29" s="27" t="s">
        <v>229</v>
      </c>
      <c r="I29" s="17"/>
    </row>
    <row r="30" spans="1:9" ht="12.75" customHeight="1">
      <c r="A30" s="23" t="s">
        <v>115</v>
      </c>
      <c r="B30" s="23" t="s">
        <v>126</v>
      </c>
      <c r="C30" s="23" t="s">
        <v>185</v>
      </c>
      <c r="D30" s="28">
        <v>6</v>
      </c>
      <c r="E30" s="28">
        <v>8</v>
      </c>
      <c r="F30" s="28">
        <v>0</v>
      </c>
      <c r="G30" s="26">
        <v>26110.5</v>
      </c>
      <c r="H30" s="27">
        <f>G30/E30</f>
        <v>3263.8125</v>
      </c>
      <c r="I30" s="17"/>
    </row>
    <row r="31" spans="1:9" ht="12.75" customHeight="1">
      <c r="A31" s="23" t="s">
        <v>148</v>
      </c>
      <c r="B31" s="23" t="s">
        <v>137</v>
      </c>
      <c r="C31" s="23"/>
      <c r="D31" s="24" t="s">
        <v>229</v>
      </c>
      <c r="E31" s="24" t="s">
        <v>229</v>
      </c>
      <c r="F31" s="24" t="s">
        <v>229</v>
      </c>
      <c r="G31" s="26">
        <v>0</v>
      </c>
      <c r="H31" s="24" t="s">
        <v>229</v>
      </c>
      <c r="I31" s="17"/>
    </row>
    <row r="32" spans="1:9" ht="12.75" customHeight="1">
      <c r="A32" s="23" t="s">
        <v>117</v>
      </c>
      <c r="B32" s="23" t="s">
        <v>117</v>
      </c>
      <c r="C32" s="23"/>
      <c r="D32" s="28">
        <v>63</v>
      </c>
      <c r="E32" s="28" t="s">
        <v>229</v>
      </c>
      <c r="F32" s="24">
        <v>0</v>
      </c>
      <c r="G32" s="26">
        <v>0</v>
      </c>
      <c r="H32" s="27" t="s">
        <v>229</v>
      </c>
      <c r="I32" s="17"/>
    </row>
    <row r="33" spans="1:9" ht="12.75" customHeight="1">
      <c r="A33" s="23" t="s">
        <v>205</v>
      </c>
      <c r="B33" s="23" t="s">
        <v>254</v>
      </c>
      <c r="C33" s="23"/>
      <c r="D33" s="28">
        <v>11985</v>
      </c>
      <c r="E33" s="28">
        <v>60685</v>
      </c>
      <c r="F33" s="24" t="s">
        <v>229</v>
      </c>
      <c r="G33" s="26">
        <v>5699</v>
      </c>
      <c r="H33" s="27">
        <f>G33/E33</f>
        <v>9.3911180687154983E-2</v>
      </c>
      <c r="I33" s="17"/>
    </row>
    <row r="34" spans="1:9" ht="12.75" customHeight="1">
      <c r="A34" s="23" t="s">
        <v>80</v>
      </c>
      <c r="B34" s="23" t="s">
        <v>353</v>
      </c>
      <c r="C34" s="23"/>
      <c r="D34" s="28">
        <v>111</v>
      </c>
      <c r="E34" s="28">
        <v>152</v>
      </c>
      <c r="F34" s="29">
        <v>0</v>
      </c>
      <c r="G34" s="26">
        <v>0</v>
      </c>
      <c r="H34" s="27" t="s">
        <v>229</v>
      </c>
      <c r="I34" s="17"/>
    </row>
    <row r="35" spans="1:9" ht="12.75" customHeight="1">
      <c r="A35" s="23" t="s">
        <v>316</v>
      </c>
      <c r="B35" s="23" t="s">
        <v>203</v>
      </c>
      <c r="C35" s="23"/>
      <c r="D35" s="28" t="s">
        <v>229</v>
      </c>
      <c r="E35" s="28" t="s">
        <v>229</v>
      </c>
      <c r="F35" s="24" t="s">
        <v>229</v>
      </c>
      <c r="G35" s="26">
        <v>594.69000000000005</v>
      </c>
      <c r="H35" s="27" t="s">
        <v>229</v>
      </c>
      <c r="I35" s="17"/>
    </row>
    <row r="36" spans="1:9" ht="12.75" customHeight="1">
      <c r="A36" s="23" t="s">
        <v>315</v>
      </c>
      <c r="B36" s="23" t="s">
        <v>182</v>
      </c>
      <c r="C36" s="23"/>
      <c r="D36" s="28">
        <v>1404</v>
      </c>
      <c r="E36" s="28">
        <v>416</v>
      </c>
      <c r="F36" s="24">
        <v>0</v>
      </c>
      <c r="G36" s="32">
        <v>3042.5</v>
      </c>
      <c r="H36" s="27">
        <f>G36/E36</f>
        <v>7.3137019230769234</v>
      </c>
      <c r="I36" s="17"/>
    </row>
    <row r="37" spans="1:9" ht="12.75" customHeight="1">
      <c r="A37" s="23" t="s">
        <v>120</v>
      </c>
      <c r="B37" s="23" t="s">
        <v>364</v>
      </c>
      <c r="C37" s="30"/>
      <c r="D37" s="31" t="s">
        <v>229</v>
      </c>
      <c r="E37" s="28">
        <v>6047</v>
      </c>
      <c r="F37" s="24">
        <v>0</v>
      </c>
      <c r="G37" s="26">
        <v>3025</v>
      </c>
      <c r="H37" s="27">
        <f>G37/E37</f>
        <v>0.5002480568877129</v>
      </c>
      <c r="I37" s="17"/>
    </row>
    <row r="38" spans="1:9" ht="12.75" customHeight="1">
      <c r="A38" s="23" t="s">
        <v>302</v>
      </c>
      <c r="B38" s="23" t="s">
        <v>32</v>
      </c>
      <c r="C38" s="23"/>
      <c r="D38" s="28">
        <v>1471</v>
      </c>
      <c r="E38" s="28">
        <v>7270</v>
      </c>
      <c r="F38" s="24">
        <v>0</v>
      </c>
      <c r="G38" s="26">
        <v>16073</v>
      </c>
      <c r="H38" s="27">
        <f>G38/E38</f>
        <v>2.2108665749656122</v>
      </c>
      <c r="I38" s="17"/>
    </row>
    <row r="39" spans="1:9" ht="12.75" customHeight="1">
      <c r="A39" s="23" t="s">
        <v>324</v>
      </c>
      <c r="B39" s="23" t="s">
        <v>100</v>
      </c>
      <c r="C39" s="23" t="s">
        <v>145</v>
      </c>
      <c r="D39" s="28">
        <v>579</v>
      </c>
      <c r="E39" s="28">
        <v>678</v>
      </c>
      <c r="F39" s="24">
        <v>0</v>
      </c>
      <c r="G39" s="26">
        <v>1613</v>
      </c>
      <c r="H39" s="27">
        <f>G39/E39</f>
        <v>2.3790560471976403</v>
      </c>
      <c r="I39" s="17"/>
    </row>
    <row r="40" spans="1:9" ht="12.75" customHeight="1">
      <c r="A40" s="23" t="s">
        <v>45</v>
      </c>
      <c r="B40" s="23" t="s">
        <v>364</v>
      </c>
      <c r="C40" s="23"/>
      <c r="D40" s="28" t="s">
        <v>229</v>
      </c>
      <c r="E40" s="28">
        <v>14903</v>
      </c>
      <c r="F40" s="24">
        <v>0</v>
      </c>
      <c r="G40" s="26">
        <v>65124</v>
      </c>
      <c r="H40" s="27">
        <f>G40/E40</f>
        <v>4.3698584177682349</v>
      </c>
      <c r="I40" s="17"/>
    </row>
    <row r="41" spans="1:9" ht="12.75" customHeight="1">
      <c r="A41" s="23" t="s">
        <v>85</v>
      </c>
      <c r="B41" s="23" t="s">
        <v>60</v>
      </c>
      <c r="C41" s="23"/>
      <c r="D41" s="24" t="s">
        <v>229</v>
      </c>
      <c r="E41" s="25" t="s">
        <v>229</v>
      </c>
      <c r="F41" s="24">
        <v>0</v>
      </c>
      <c r="G41" s="26">
        <v>0</v>
      </c>
      <c r="H41" s="27" t="s">
        <v>229</v>
      </c>
      <c r="I41" s="17"/>
    </row>
    <row r="42" spans="1:9" ht="12.75" customHeight="1">
      <c r="A42" s="23" t="s">
        <v>189</v>
      </c>
      <c r="B42" s="23" t="s">
        <v>313</v>
      </c>
      <c r="C42" s="23"/>
      <c r="D42" s="24" t="s">
        <v>229</v>
      </c>
      <c r="E42" s="24" t="s">
        <v>229</v>
      </c>
      <c r="F42" s="24" t="s">
        <v>229</v>
      </c>
      <c r="G42" s="26">
        <v>149.5</v>
      </c>
      <c r="H42" s="27" t="s">
        <v>229</v>
      </c>
      <c r="I42" s="17"/>
    </row>
    <row r="43" spans="1:9" ht="12.75" customHeight="1">
      <c r="A43" s="23" t="s">
        <v>220</v>
      </c>
      <c r="B43" s="23" t="s">
        <v>254</v>
      </c>
      <c r="C43" s="23"/>
      <c r="D43" s="28" t="s">
        <v>229</v>
      </c>
      <c r="E43" s="28" t="s">
        <v>229</v>
      </c>
      <c r="F43" s="24" t="s">
        <v>229</v>
      </c>
      <c r="G43" s="26">
        <v>0</v>
      </c>
      <c r="H43" s="27" t="s">
        <v>229</v>
      </c>
      <c r="I43" s="17"/>
    </row>
    <row r="44" spans="1:9" ht="12.75" customHeight="1">
      <c r="A44" s="23" t="s">
        <v>143</v>
      </c>
      <c r="B44" s="23" t="s">
        <v>254</v>
      </c>
      <c r="C44" s="23"/>
      <c r="D44" s="28">
        <v>121617</v>
      </c>
      <c r="E44" s="28">
        <v>497395</v>
      </c>
      <c r="F44" s="24">
        <v>0</v>
      </c>
      <c r="G44" s="26">
        <v>89318.75</v>
      </c>
      <c r="H44" s="27">
        <f t="shared" ref="H44:H49" si="0">G44/E44</f>
        <v>0.17957307572452477</v>
      </c>
      <c r="I44" s="17"/>
    </row>
    <row r="45" spans="1:9" ht="12.75" customHeight="1">
      <c r="A45" s="23" t="s">
        <v>194</v>
      </c>
      <c r="B45" s="23" t="s">
        <v>254</v>
      </c>
      <c r="C45" s="30"/>
      <c r="D45" s="31">
        <v>1849</v>
      </c>
      <c r="E45" s="28">
        <v>7584</v>
      </c>
      <c r="F45" s="24">
        <v>0</v>
      </c>
      <c r="G45" s="26">
        <v>3161</v>
      </c>
      <c r="H45" s="27">
        <f t="shared" si="0"/>
        <v>0.41679852320675104</v>
      </c>
      <c r="I45" s="17"/>
    </row>
    <row r="46" spans="1:9" ht="12.75" customHeight="1">
      <c r="A46" s="23" t="s">
        <v>320</v>
      </c>
      <c r="B46" s="23" t="s">
        <v>231</v>
      </c>
      <c r="C46" s="23" t="s">
        <v>256</v>
      </c>
      <c r="D46" s="28">
        <v>4186</v>
      </c>
      <c r="E46" s="28">
        <v>15878</v>
      </c>
      <c r="F46" s="28">
        <v>0</v>
      </c>
      <c r="G46" s="26">
        <v>6340.5</v>
      </c>
      <c r="H46" s="27">
        <f t="shared" si="0"/>
        <v>0.39932611160095732</v>
      </c>
      <c r="I46" s="17"/>
    </row>
    <row r="47" spans="1:9" ht="12.75" customHeight="1">
      <c r="A47" s="23" t="s">
        <v>386</v>
      </c>
      <c r="B47" s="23" t="s">
        <v>231</v>
      </c>
      <c r="C47" s="23" t="s">
        <v>256</v>
      </c>
      <c r="D47" s="28">
        <v>276</v>
      </c>
      <c r="E47" s="28">
        <v>920</v>
      </c>
      <c r="F47" s="28">
        <v>787</v>
      </c>
      <c r="G47" s="26">
        <v>798</v>
      </c>
      <c r="H47" s="27">
        <f t="shared" si="0"/>
        <v>0.86739130434782608</v>
      </c>
      <c r="I47" s="17"/>
    </row>
    <row r="48" spans="1:9" ht="12.75" customHeight="1">
      <c r="A48" s="23" t="s">
        <v>222</v>
      </c>
      <c r="B48" s="23" t="s">
        <v>370</v>
      </c>
      <c r="C48" s="23"/>
      <c r="D48" s="28">
        <v>45</v>
      </c>
      <c r="E48" s="28">
        <v>104</v>
      </c>
      <c r="F48" s="29">
        <v>0</v>
      </c>
      <c r="G48" s="26">
        <v>10260</v>
      </c>
      <c r="H48" s="27">
        <f t="shared" si="0"/>
        <v>98.65384615384616</v>
      </c>
      <c r="I48" s="17"/>
    </row>
    <row r="49" spans="1:9" ht="12.75" customHeight="1">
      <c r="A49" s="23" t="s">
        <v>296</v>
      </c>
      <c r="B49" s="23" t="s">
        <v>370</v>
      </c>
      <c r="C49" s="30"/>
      <c r="D49" s="31" t="s">
        <v>229</v>
      </c>
      <c r="E49" s="28">
        <v>5</v>
      </c>
      <c r="F49" s="29">
        <v>0</v>
      </c>
      <c r="G49" s="26">
        <v>727.65</v>
      </c>
      <c r="H49" s="27">
        <f t="shared" si="0"/>
        <v>145.53</v>
      </c>
      <c r="I49" s="17"/>
    </row>
    <row r="50" spans="1:9" ht="12.75" customHeight="1">
      <c r="A50" s="23" t="s">
        <v>318</v>
      </c>
      <c r="B50" s="23" t="s">
        <v>126</v>
      </c>
      <c r="C50" s="23" t="s">
        <v>145</v>
      </c>
      <c r="D50" s="28">
        <v>100</v>
      </c>
      <c r="E50" s="28">
        <v>33</v>
      </c>
      <c r="F50" s="28">
        <v>0</v>
      </c>
      <c r="G50" s="26">
        <v>0</v>
      </c>
      <c r="H50" s="27" t="s">
        <v>229</v>
      </c>
      <c r="I50" s="17"/>
    </row>
    <row r="51" spans="1:9" ht="12.75" customHeight="1">
      <c r="A51" s="23" t="s">
        <v>23</v>
      </c>
      <c r="B51" s="23" t="s">
        <v>364</v>
      </c>
      <c r="C51" s="30"/>
      <c r="D51" s="31" t="s">
        <v>229</v>
      </c>
      <c r="E51" s="28">
        <v>3420</v>
      </c>
      <c r="F51" s="24">
        <v>0</v>
      </c>
      <c r="G51" s="26">
        <v>0</v>
      </c>
      <c r="H51" s="27" t="s">
        <v>229</v>
      </c>
      <c r="I51" s="17"/>
    </row>
    <row r="52" spans="1:9" ht="12.75" customHeight="1">
      <c r="A52" s="23" t="s">
        <v>23</v>
      </c>
      <c r="B52" s="23" t="s">
        <v>254</v>
      </c>
      <c r="C52" s="30"/>
      <c r="D52" s="25">
        <v>979</v>
      </c>
      <c r="E52" s="28">
        <v>4956</v>
      </c>
      <c r="F52" s="24">
        <v>0</v>
      </c>
      <c r="G52" s="26">
        <v>0</v>
      </c>
      <c r="H52" s="27" t="s">
        <v>229</v>
      </c>
      <c r="I52" s="17"/>
    </row>
    <row r="53" spans="1:9" ht="12.75" customHeight="1">
      <c r="A53" s="23" t="s">
        <v>23</v>
      </c>
      <c r="B53" s="23" t="s">
        <v>231</v>
      </c>
      <c r="C53" s="23" t="s">
        <v>256</v>
      </c>
      <c r="D53" s="28">
        <v>2548</v>
      </c>
      <c r="E53" s="28">
        <v>10895</v>
      </c>
      <c r="F53" s="28">
        <v>0</v>
      </c>
      <c r="G53" s="26">
        <v>0</v>
      </c>
      <c r="H53" s="27" t="s">
        <v>229</v>
      </c>
      <c r="I53" s="17"/>
    </row>
    <row r="54" spans="1:9" ht="12.75" customHeight="1">
      <c r="A54" s="23" t="s">
        <v>10</v>
      </c>
      <c r="B54" s="23" t="s">
        <v>353</v>
      </c>
      <c r="C54" s="23"/>
      <c r="D54" s="28">
        <v>793</v>
      </c>
      <c r="E54" s="28">
        <v>1650</v>
      </c>
      <c r="F54" s="29">
        <v>0</v>
      </c>
      <c r="G54" s="26">
        <v>0</v>
      </c>
      <c r="H54" s="27" t="s">
        <v>229</v>
      </c>
      <c r="I54" s="17"/>
    </row>
    <row r="55" spans="1:9" ht="12.75" customHeight="1">
      <c r="A55" s="23" t="s">
        <v>300</v>
      </c>
      <c r="B55" s="23" t="s">
        <v>254</v>
      </c>
      <c r="C55" s="23"/>
      <c r="D55" s="28">
        <v>1133</v>
      </c>
      <c r="E55" s="28">
        <v>4949</v>
      </c>
      <c r="F55" s="29">
        <v>0</v>
      </c>
      <c r="G55" s="26">
        <v>1363</v>
      </c>
      <c r="H55" s="27">
        <f>G55/E55</f>
        <v>0.27540917357041828</v>
      </c>
      <c r="I55" s="17"/>
    </row>
    <row r="56" spans="1:9" ht="12.75" customHeight="1">
      <c r="A56" s="23" t="s">
        <v>7</v>
      </c>
      <c r="B56" s="23" t="s">
        <v>353</v>
      </c>
      <c r="C56" s="23"/>
      <c r="D56" s="24" t="s">
        <v>229</v>
      </c>
      <c r="E56" s="28">
        <v>32939</v>
      </c>
      <c r="F56" s="24">
        <v>0</v>
      </c>
      <c r="G56" s="26">
        <v>0</v>
      </c>
      <c r="H56" s="27" t="s">
        <v>229</v>
      </c>
      <c r="I56" s="17"/>
    </row>
    <row r="57" spans="1:9" ht="12.75" customHeight="1">
      <c r="A57" s="23" t="s">
        <v>266</v>
      </c>
      <c r="B57" s="23" t="s">
        <v>353</v>
      </c>
      <c r="C57" s="23"/>
      <c r="D57" s="28">
        <v>9525</v>
      </c>
      <c r="E57" s="28">
        <v>32851</v>
      </c>
      <c r="F57" s="28">
        <v>0</v>
      </c>
      <c r="G57" s="26">
        <v>9215</v>
      </c>
      <c r="H57" s="27">
        <f>G57/E57</f>
        <v>0.28050896471949105</v>
      </c>
      <c r="I57" s="17"/>
    </row>
    <row r="58" spans="1:9" ht="12.75" customHeight="1">
      <c r="A58" s="23" t="s">
        <v>375</v>
      </c>
      <c r="B58" s="23" t="s">
        <v>265</v>
      </c>
      <c r="C58" s="23"/>
      <c r="D58" s="28" t="s">
        <v>229</v>
      </c>
      <c r="E58" s="28" t="s">
        <v>229</v>
      </c>
      <c r="F58" s="29">
        <v>0</v>
      </c>
      <c r="G58" s="26">
        <v>0</v>
      </c>
      <c r="H58" s="27" t="s">
        <v>157</v>
      </c>
      <c r="I58" s="17"/>
    </row>
    <row r="59" spans="1:9" ht="12.75" customHeight="1">
      <c r="A59" s="23" t="s">
        <v>33</v>
      </c>
      <c r="B59" s="23" t="s">
        <v>254</v>
      </c>
      <c r="C59" s="23"/>
      <c r="D59" s="28">
        <v>1025</v>
      </c>
      <c r="E59" s="28">
        <v>4291</v>
      </c>
      <c r="F59" s="24">
        <v>0</v>
      </c>
      <c r="G59" s="26">
        <v>0</v>
      </c>
      <c r="H59" s="27" t="s">
        <v>229</v>
      </c>
      <c r="I59" s="17"/>
    </row>
    <row r="60" spans="1:9" ht="12.75" customHeight="1">
      <c r="A60" s="23" t="s">
        <v>335</v>
      </c>
      <c r="B60" s="23" t="s">
        <v>353</v>
      </c>
      <c r="C60" s="23"/>
      <c r="D60" s="24" t="s">
        <v>229</v>
      </c>
      <c r="E60" s="28">
        <v>34</v>
      </c>
      <c r="F60" s="24">
        <v>0</v>
      </c>
      <c r="G60" s="32">
        <v>0</v>
      </c>
      <c r="H60" s="27" t="s">
        <v>229</v>
      </c>
      <c r="I60" s="10"/>
    </row>
    <row r="61" spans="1:9" ht="12.75" customHeight="1">
      <c r="A61" s="23" t="s">
        <v>140</v>
      </c>
      <c r="B61" s="23" t="s">
        <v>364</v>
      </c>
      <c r="C61" s="23"/>
      <c r="D61" s="24" t="s">
        <v>229</v>
      </c>
      <c r="E61" s="28">
        <v>2156</v>
      </c>
      <c r="F61" s="24">
        <v>0</v>
      </c>
      <c r="G61" s="26">
        <v>6142</v>
      </c>
      <c r="H61" s="27">
        <f>G61/E61</f>
        <v>2.8487940630797772</v>
      </c>
      <c r="I61" s="10"/>
    </row>
    <row r="62" spans="1:9" ht="12.75" customHeight="1">
      <c r="A62" s="23" t="s">
        <v>116</v>
      </c>
      <c r="B62" s="23" t="s">
        <v>364</v>
      </c>
      <c r="C62" s="23"/>
      <c r="D62" s="24" t="s">
        <v>229</v>
      </c>
      <c r="E62" s="28">
        <v>819</v>
      </c>
      <c r="F62" s="24">
        <v>0</v>
      </c>
      <c r="G62" s="26">
        <v>0</v>
      </c>
      <c r="H62" s="27" t="s">
        <v>229</v>
      </c>
      <c r="I62" s="10"/>
    </row>
    <row r="63" spans="1:9" ht="12.75" customHeight="1">
      <c r="A63" s="23" t="s">
        <v>69</v>
      </c>
      <c r="B63" s="23" t="s">
        <v>353</v>
      </c>
      <c r="C63" s="23"/>
      <c r="D63" s="28">
        <v>98</v>
      </c>
      <c r="E63" s="28">
        <v>144</v>
      </c>
      <c r="F63" s="29">
        <v>0</v>
      </c>
      <c r="G63" s="26">
        <v>0</v>
      </c>
      <c r="H63" s="27" t="s">
        <v>229</v>
      </c>
      <c r="I63" s="17"/>
    </row>
    <row r="64" spans="1:9" ht="12.75" customHeight="1">
      <c r="A64" s="23" t="s">
        <v>344</v>
      </c>
      <c r="B64" s="23" t="s">
        <v>254</v>
      </c>
      <c r="C64" s="23"/>
      <c r="D64" s="28">
        <v>928</v>
      </c>
      <c r="E64" s="28">
        <v>4224</v>
      </c>
      <c r="F64" s="24">
        <v>0</v>
      </c>
      <c r="G64" s="26">
        <v>0</v>
      </c>
      <c r="H64" s="27" t="s">
        <v>229</v>
      </c>
      <c r="I64" s="17"/>
    </row>
    <row r="65" spans="1:9" ht="12.75" customHeight="1">
      <c r="A65" s="23" t="s">
        <v>281</v>
      </c>
      <c r="B65" s="23" t="s">
        <v>254</v>
      </c>
      <c r="C65" s="23"/>
      <c r="D65" s="28">
        <v>3386</v>
      </c>
      <c r="E65" s="28">
        <v>10017</v>
      </c>
      <c r="F65" s="24">
        <v>0</v>
      </c>
      <c r="G65" s="26">
        <v>0</v>
      </c>
      <c r="H65" s="27" t="s">
        <v>229</v>
      </c>
      <c r="I65" s="17"/>
    </row>
    <row r="66" spans="1:9" ht="12.75" customHeight="1">
      <c r="A66" s="23" t="s">
        <v>9</v>
      </c>
      <c r="B66" s="23" t="s">
        <v>254</v>
      </c>
      <c r="C66" s="23"/>
      <c r="D66" s="28">
        <v>1315</v>
      </c>
      <c r="E66" s="28">
        <v>5588</v>
      </c>
      <c r="F66" s="24">
        <v>0</v>
      </c>
      <c r="G66" s="26">
        <v>0</v>
      </c>
      <c r="H66" s="27" t="s">
        <v>229</v>
      </c>
      <c r="I66" s="17"/>
    </row>
    <row r="67" spans="1:9" ht="12.75" customHeight="1">
      <c r="A67" s="23" t="s">
        <v>390</v>
      </c>
      <c r="B67" s="23" t="s">
        <v>254</v>
      </c>
      <c r="C67" s="23"/>
      <c r="D67" s="28">
        <v>1280</v>
      </c>
      <c r="E67" s="28">
        <v>4721</v>
      </c>
      <c r="F67" s="24">
        <v>0</v>
      </c>
      <c r="G67" s="26">
        <v>0</v>
      </c>
      <c r="H67" s="27" t="s">
        <v>229</v>
      </c>
      <c r="I67" s="17"/>
    </row>
    <row r="68" spans="1:9" ht="12.75" customHeight="1">
      <c r="A68" s="23" t="s">
        <v>121</v>
      </c>
      <c r="B68" s="23" t="s">
        <v>350</v>
      </c>
      <c r="C68" s="23"/>
      <c r="D68" s="24" t="s">
        <v>229</v>
      </c>
      <c r="E68" s="24" t="s">
        <v>229</v>
      </c>
      <c r="F68" s="24" t="s">
        <v>229</v>
      </c>
      <c r="G68" s="26">
        <v>1630</v>
      </c>
      <c r="H68" s="27" t="s">
        <v>229</v>
      </c>
      <c r="I68" s="17"/>
    </row>
    <row r="69" spans="1:9" ht="25.5">
      <c r="A69" s="23" t="s">
        <v>108</v>
      </c>
      <c r="B69" s="23" t="s">
        <v>231</v>
      </c>
      <c r="C69" s="23" t="s">
        <v>256</v>
      </c>
      <c r="D69" s="28">
        <v>549</v>
      </c>
      <c r="E69" s="28">
        <v>1537</v>
      </c>
      <c r="F69" s="28">
        <v>13</v>
      </c>
      <c r="G69" s="26">
        <v>822</v>
      </c>
      <c r="H69" s="27">
        <f>G69/E69</f>
        <v>0.53480806766428102</v>
      </c>
      <c r="I69" s="17"/>
    </row>
    <row r="70" spans="1:9" ht="12.75" customHeight="1">
      <c r="A70" s="23" t="s">
        <v>46</v>
      </c>
      <c r="B70" s="23" t="s">
        <v>254</v>
      </c>
      <c r="C70" s="23"/>
      <c r="D70" s="28">
        <v>1092</v>
      </c>
      <c r="E70" s="28">
        <v>4975</v>
      </c>
      <c r="F70" s="24">
        <v>0</v>
      </c>
      <c r="G70" s="26">
        <v>29808</v>
      </c>
      <c r="H70" s="27">
        <f>G70/E70</f>
        <v>5.991557788944724</v>
      </c>
      <c r="I70" s="17"/>
    </row>
    <row r="71" spans="1:9" ht="12.75" customHeight="1">
      <c r="A71" s="23" t="s">
        <v>334</v>
      </c>
      <c r="B71" s="23" t="s">
        <v>364</v>
      </c>
      <c r="C71" s="23"/>
      <c r="D71" s="28" t="s">
        <v>229</v>
      </c>
      <c r="E71" s="28">
        <v>1897</v>
      </c>
      <c r="F71" s="24">
        <v>0</v>
      </c>
      <c r="G71" s="26">
        <v>3600</v>
      </c>
      <c r="H71" s="27">
        <f>G71/E71</f>
        <v>1.8977332630469161</v>
      </c>
      <c r="I71" s="17"/>
    </row>
    <row r="72" spans="1:9" ht="12.75" customHeight="1">
      <c r="A72" s="23" t="s">
        <v>314</v>
      </c>
      <c r="B72" s="23" t="s">
        <v>217</v>
      </c>
      <c r="C72" s="23"/>
      <c r="D72" s="24">
        <v>4276</v>
      </c>
      <c r="E72" s="24">
        <v>4589</v>
      </c>
      <c r="F72" s="24">
        <v>0</v>
      </c>
      <c r="G72" s="26">
        <v>13849</v>
      </c>
      <c r="H72" s="27">
        <f>G72/E72</f>
        <v>3.0178688167356724</v>
      </c>
      <c r="I72" s="17"/>
    </row>
    <row r="73" spans="1:9" ht="12.75" customHeight="1">
      <c r="A73" s="23" t="s">
        <v>367</v>
      </c>
      <c r="B73" s="23" t="s">
        <v>367</v>
      </c>
      <c r="C73" s="23"/>
      <c r="D73" s="24" t="s">
        <v>229</v>
      </c>
      <c r="E73" s="24">
        <v>506</v>
      </c>
      <c r="F73" s="24">
        <v>0</v>
      </c>
      <c r="G73" s="26">
        <v>1757.5</v>
      </c>
      <c r="H73" s="27">
        <f>G73/E73</f>
        <v>3.4733201581027666</v>
      </c>
      <c r="I73" s="17"/>
    </row>
    <row r="74" spans="1:9" ht="12.75" customHeight="1">
      <c r="A74" s="23" t="s">
        <v>91</v>
      </c>
      <c r="B74" s="23" t="s">
        <v>350</v>
      </c>
      <c r="C74" s="23"/>
      <c r="D74" s="24" t="s">
        <v>229</v>
      </c>
      <c r="E74" s="24" t="s">
        <v>229</v>
      </c>
      <c r="F74" s="24" t="s">
        <v>229</v>
      </c>
      <c r="G74" s="26">
        <v>8966</v>
      </c>
      <c r="H74" s="24" t="s">
        <v>229</v>
      </c>
      <c r="I74" s="17"/>
    </row>
    <row r="75" spans="1:9" ht="12.75" customHeight="1">
      <c r="A75" s="23" t="s">
        <v>181</v>
      </c>
      <c r="B75" s="23"/>
      <c r="C75" s="23"/>
      <c r="D75" s="24" t="s">
        <v>229</v>
      </c>
      <c r="E75" s="24">
        <v>7128</v>
      </c>
      <c r="F75" s="24">
        <v>0</v>
      </c>
      <c r="G75" s="26">
        <v>0</v>
      </c>
      <c r="H75" s="24" t="s">
        <v>229</v>
      </c>
      <c r="I75" s="17"/>
    </row>
    <row r="76" spans="1:9" ht="12.75" customHeight="1">
      <c r="A76" s="23" t="s">
        <v>374</v>
      </c>
      <c r="B76" s="23" t="s">
        <v>347</v>
      </c>
      <c r="C76" s="23"/>
      <c r="D76" s="28">
        <v>18576</v>
      </c>
      <c r="E76" s="28">
        <v>27792</v>
      </c>
      <c r="F76" s="24">
        <v>0</v>
      </c>
      <c r="G76" s="26">
        <v>26063.1</v>
      </c>
      <c r="H76" s="27">
        <f>G76/E76</f>
        <v>0.93779145077720205</v>
      </c>
      <c r="I76" s="17"/>
    </row>
    <row r="77" spans="1:9" ht="12.75" customHeight="1">
      <c r="A77" s="23" t="s">
        <v>173</v>
      </c>
      <c r="B77" s="23" t="s">
        <v>347</v>
      </c>
      <c r="C77" s="23"/>
      <c r="D77" s="28">
        <v>260</v>
      </c>
      <c r="E77" s="28">
        <v>687</v>
      </c>
      <c r="F77" s="24">
        <v>0</v>
      </c>
      <c r="G77" s="26">
        <v>7446.6</v>
      </c>
      <c r="H77" s="27">
        <f>G77/E77</f>
        <v>10.839301310043668</v>
      </c>
      <c r="I77" s="17"/>
    </row>
    <row r="78" spans="1:9" ht="12.75" customHeight="1">
      <c r="A78" s="33" t="s">
        <v>250</v>
      </c>
      <c r="B78" s="23" t="s">
        <v>254</v>
      </c>
      <c r="C78" s="23"/>
      <c r="D78" s="28">
        <v>1353</v>
      </c>
      <c r="E78" s="28">
        <v>6671</v>
      </c>
      <c r="F78" s="24">
        <v>0</v>
      </c>
      <c r="G78" s="26">
        <v>0</v>
      </c>
      <c r="H78" s="27" t="s">
        <v>229</v>
      </c>
      <c r="I78" s="17"/>
    </row>
    <row r="79" spans="1:9" ht="12.75" customHeight="1">
      <c r="A79" s="23" t="s">
        <v>312</v>
      </c>
      <c r="B79" s="23" t="s">
        <v>254</v>
      </c>
      <c r="C79" s="23"/>
      <c r="D79" s="28">
        <v>5556</v>
      </c>
      <c r="E79" s="28">
        <v>22468</v>
      </c>
      <c r="F79" s="24">
        <v>0</v>
      </c>
      <c r="G79" s="26">
        <v>2583</v>
      </c>
      <c r="H79" s="27">
        <f>G79/E79</f>
        <v>0.11496350364963503</v>
      </c>
      <c r="I79" s="17"/>
    </row>
    <row r="80" spans="1:9" ht="12.75" customHeight="1">
      <c r="A80" s="23" t="s">
        <v>160</v>
      </c>
      <c r="B80" s="23" t="s">
        <v>82</v>
      </c>
      <c r="C80" s="23"/>
      <c r="D80" s="28">
        <v>2050</v>
      </c>
      <c r="E80" s="28">
        <v>7298</v>
      </c>
      <c r="F80" s="29">
        <v>0</v>
      </c>
      <c r="G80" s="26">
        <v>1874</v>
      </c>
      <c r="H80" s="27">
        <f>G80/E80</f>
        <v>0.25678268018635242</v>
      </c>
      <c r="I80" s="17"/>
    </row>
    <row r="81" spans="1:9" ht="12.75" customHeight="1">
      <c r="A81" s="23" t="s">
        <v>378</v>
      </c>
      <c r="B81" s="23" t="s">
        <v>60</v>
      </c>
      <c r="C81" s="23"/>
      <c r="D81" s="24" t="s">
        <v>229</v>
      </c>
      <c r="E81" s="24" t="s">
        <v>229</v>
      </c>
      <c r="F81" s="24">
        <v>0</v>
      </c>
      <c r="G81" s="26">
        <v>0</v>
      </c>
      <c r="H81" s="27" t="s">
        <v>229</v>
      </c>
      <c r="I81" s="17"/>
    </row>
    <row r="82" spans="1:9" ht="12.75" customHeight="1">
      <c r="A82" s="23" t="s">
        <v>51</v>
      </c>
      <c r="B82" s="23" t="s">
        <v>254</v>
      </c>
      <c r="C82" s="23"/>
      <c r="D82" s="28">
        <v>1008</v>
      </c>
      <c r="E82" s="28">
        <v>4227</v>
      </c>
      <c r="F82" s="24">
        <v>0</v>
      </c>
      <c r="G82" s="26">
        <v>0</v>
      </c>
      <c r="H82" s="27" t="s">
        <v>229</v>
      </c>
      <c r="I82" s="17"/>
    </row>
    <row r="83" spans="1:9" ht="12.75" customHeight="1">
      <c r="A83" s="23" t="s">
        <v>287</v>
      </c>
      <c r="B83" s="23" t="s">
        <v>254</v>
      </c>
      <c r="C83" s="23"/>
      <c r="D83" s="28">
        <v>1624</v>
      </c>
      <c r="E83" s="28">
        <v>4660</v>
      </c>
      <c r="F83" s="24">
        <v>0</v>
      </c>
      <c r="G83" s="26">
        <v>0</v>
      </c>
      <c r="H83" s="27" t="s">
        <v>229</v>
      </c>
      <c r="I83" s="17"/>
    </row>
    <row r="84" spans="1:9" ht="25.5">
      <c r="A84" s="23" t="s">
        <v>311</v>
      </c>
      <c r="B84" s="23" t="s">
        <v>199</v>
      </c>
      <c r="C84" s="23"/>
      <c r="D84" s="28">
        <v>7140</v>
      </c>
      <c r="E84" s="28">
        <v>9316</v>
      </c>
      <c r="F84" s="24">
        <v>0</v>
      </c>
      <c r="G84" s="26">
        <v>7567.5</v>
      </c>
      <c r="H84" s="27">
        <f>G84/E84</f>
        <v>0.8123121511378274</v>
      </c>
      <c r="I84" s="10"/>
    </row>
    <row r="85" spans="1:9" ht="12.75" customHeight="1">
      <c r="A85" s="23" t="s">
        <v>88</v>
      </c>
      <c r="B85" s="23" t="s">
        <v>254</v>
      </c>
      <c r="C85" s="23"/>
      <c r="D85" s="28">
        <v>893</v>
      </c>
      <c r="E85" s="28">
        <v>4539</v>
      </c>
      <c r="F85" s="24">
        <v>0</v>
      </c>
      <c r="G85" s="26">
        <v>0</v>
      </c>
      <c r="H85" s="27" t="s">
        <v>229</v>
      </c>
      <c r="I85" s="17"/>
    </row>
    <row r="86" spans="1:9" ht="12.75" customHeight="1">
      <c r="A86" s="23" t="s">
        <v>88</v>
      </c>
      <c r="B86" s="23" t="s">
        <v>217</v>
      </c>
      <c r="C86" s="23"/>
      <c r="D86" s="28">
        <v>32</v>
      </c>
      <c r="E86" s="28">
        <v>77</v>
      </c>
      <c r="F86" s="29">
        <v>0</v>
      </c>
      <c r="G86" s="26">
        <v>0</v>
      </c>
      <c r="H86" s="27" t="s">
        <v>229</v>
      </c>
      <c r="I86" s="17"/>
    </row>
    <row r="87" spans="1:9" ht="12.75" customHeight="1">
      <c r="A87" s="23" t="s">
        <v>153</v>
      </c>
      <c r="B87" s="23" t="s">
        <v>217</v>
      </c>
      <c r="C87" s="23"/>
      <c r="D87" s="28">
        <v>0</v>
      </c>
      <c r="E87" s="28">
        <v>0</v>
      </c>
      <c r="F87" s="29">
        <v>0</v>
      </c>
      <c r="G87" s="26">
        <v>0</v>
      </c>
      <c r="H87" s="27" t="s">
        <v>229</v>
      </c>
      <c r="I87" s="17"/>
    </row>
    <row r="88" spans="1:9" ht="12.75" customHeight="1">
      <c r="A88" s="23" t="s">
        <v>99</v>
      </c>
      <c r="B88" s="23" t="s">
        <v>353</v>
      </c>
      <c r="C88" s="23"/>
      <c r="D88" s="28">
        <v>3231</v>
      </c>
      <c r="E88" s="28">
        <v>8155</v>
      </c>
      <c r="F88" s="29">
        <v>360</v>
      </c>
      <c r="G88" s="26">
        <v>0</v>
      </c>
      <c r="H88" s="27" t="s">
        <v>229</v>
      </c>
      <c r="I88" s="17"/>
    </row>
    <row r="89" spans="1:9" ht="12.75" customHeight="1">
      <c r="A89" s="23" t="s">
        <v>348</v>
      </c>
      <c r="B89" s="23" t="s">
        <v>254</v>
      </c>
      <c r="C89" s="23"/>
      <c r="D89" s="28">
        <v>1110</v>
      </c>
      <c r="E89" s="28">
        <v>4799</v>
      </c>
      <c r="F89" s="24">
        <v>6</v>
      </c>
      <c r="G89" s="26">
        <v>0</v>
      </c>
      <c r="H89" s="27" t="s">
        <v>229</v>
      </c>
      <c r="I89" s="17"/>
    </row>
    <row r="90" spans="1:9" ht="12.75" customHeight="1">
      <c r="A90" s="23" t="s">
        <v>67</v>
      </c>
      <c r="B90" s="23" t="s">
        <v>152</v>
      </c>
      <c r="C90" s="23"/>
      <c r="D90" s="28" t="s">
        <v>229</v>
      </c>
      <c r="E90" s="28">
        <v>4439</v>
      </c>
      <c r="F90" s="24">
        <v>0</v>
      </c>
      <c r="G90" s="26">
        <v>13750</v>
      </c>
      <c r="H90" s="27">
        <f>G90/E90</f>
        <v>3.0975444920027031</v>
      </c>
      <c r="I90" s="17"/>
    </row>
    <row r="91" spans="1:9" ht="12.75" customHeight="1">
      <c r="A91" s="23" t="s">
        <v>129</v>
      </c>
      <c r="B91" s="23" t="s">
        <v>364</v>
      </c>
      <c r="C91" s="30"/>
      <c r="D91" s="31" t="s">
        <v>229</v>
      </c>
      <c r="E91" s="28">
        <v>3982</v>
      </c>
      <c r="F91" s="24">
        <v>0</v>
      </c>
      <c r="G91" s="26">
        <v>4250</v>
      </c>
      <c r="H91" s="34">
        <v>1.07</v>
      </c>
      <c r="I91" s="17"/>
    </row>
    <row r="92" spans="1:9" ht="12.75" customHeight="1">
      <c r="A92" s="23" t="s">
        <v>204</v>
      </c>
      <c r="B92" s="23" t="s">
        <v>254</v>
      </c>
      <c r="C92" s="30"/>
      <c r="D92" s="25">
        <v>827</v>
      </c>
      <c r="E92" s="28">
        <v>3549</v>
      </c>
      <c r="F92" s="24">
        <v>0</v>
      </c>
      <c r="G92" s="26">
        <v>0</v>
      </c>
      <c r="H92" s="27" t="s">
        <v>229</v>
      </c>
      <c r="I92" s="17"/>
    </row>
    <row r="93" spans="1:9" ht="12.75" customHeight="1">
      <c r="A93" s="23" t="s">
        <v>154</v>
      </c>
      <c r="B93" s="23" t="s">
        <v>254</v>
      </c>
      <c r="C93" s="23"/>
      <c r="D93" s="28">
        <v>1231</v>
      </c>
      <c r="E93" s="28">
        <v>4179</v>
      </c>
      <c r="F93" s="24">
        <v>0</v>
      </c>
      <c r="G93" s="26">
        <v>0</v>
      </c>
      <c r="H93" s="27" t="s">
        <v>229</v>
      </c>
      <c r="I93" s="17"/>
    </row>
    <row r="94" spans="1:9" ht="12.75" customHeight="1">
      <c r="A94" s="23" t="s">
        <v>5</v>
      </c>
      <c r="B94" s="23" t="s">
        <v>364</v>
      </c>
      <c r="C94" s="30"/>
      <c r="D94" s="31" t="s">
        <v>229</v>
      </c>
      <c r="E94" s="28" t="s">
        <v>229</v>
      </c>
      <c r="F94" s="28">
        <v>0</v>
      </c>
      <c r="G94" s="26">
        <v>0</v>
      </c>
      <c r="H94" s="27" t="s">
        <v>229</v>
      </c>
      <c r="I94" s="17"/>
    </row>
    <row r="95" spans="1:9" ht="12.75" customHeight="1">
      <c r="A95" s="23" t="s">
        <v>195</v>
      </c>
      <c r="B95" s="23" t="s">
        <v>364</v>
      </c>
      <c r="C95" s="30"/>
      <c r="D95" s="31" t="s">
        <v>229</v>
      </c>
      <c r="E95" s="28">
        <v>4617</v>
      </c>
      <c r="F95" s="28">
        <v>0</v>
      </c>
      <c r="G95" s="26">
        <v>7600</v>
      </c>
      <c r="H95" s="27">
        <f>G95/E95</f>
        <v>1.6460905349794239</v>
      </c>
      <c r="I95" s="17"/>
    </row>
    <row r="96" spans="1:9" ht="12.75" customHeight="1">
      <c r="A96" s="23" t="s">
        <v>130</v>
      </c>
      <c r="B96" s="23" t="s">
        <v>254</v>
      </c>
      <c r="C96" s="23"/>
      <c r="D96" s="28">
        <v>877</v>
      </c>
      <c r="E96" s="28">
        <v>4050</v>
      </c>
      <c r="F96" s="24">
        <v>0</v>
      </c>
      <c r="G96" s="26">
        <v>2200</v>
      </c>
      <c r="H96" s="27">
        <f>G96/E96</f>
        <v>0.54320987654320985</v>
      </c>
      <c r="I96" s="17"/>
    </row>
    <row r="97" spans="1:9" ht="12.75" customHeight="1">
      <c r="A97" s="23" t="s">
        <v>257</v>
      </c>
      <c r="B97" s="23" t="s">
        <v>60</v>
      </c>
      <c r="C97" s="23"/>
      <c r="D97" s="24" t="s">
        <v>229</v>
      </c>
      <c r="E97" s="24" t="s">
        <v>229</v>
      </c>
      <c r="F97" s="24">
        <v>0</v>
      </c>
      <c r="G97" s="26">
        <v>0</v>
      </c>
      <c r="H97" s="24" t="s">
        <v>229</v>
      </c>
      <c r="I97" s="17"/>
    </row>
    <row r="98" spans="1:9" ht="12.75" customHeight="1">
      <c r="A98" s="23" t="s">
        <v>307</v>
      </c>
      <c r="B98" s="23" t="s">
        <v>307</v>
      </c>
      <c r="C98" s="23"/>
      <c r="D98" s="28">
        <v>657</v>
      </c>
      <c r="E98" s="28" t="s">
        <v>229</v>
      </c>
      <c r="F98" s="29">
        <v>225</v>
      </c>
      <c r="G98" s="26">
        <v>0</v>
      </c>
      <c r="H98" s="27" t="s">
        <v>229</v>
      </c>
      <c r="I98" s="17"/>
    </row>
    <row r="99" spans="1:9" ht="12.75" customHeight="1">
      <c r="A99" s="23" t="s">
        <v>83</v>
      </c>
      <c r="B99" s="23" t="s">
        <v>364</v>
      </c>
      <c r="C99" s="30"/>
      <c r="D99" s="31" t="s">
        <v>229</v>
      </c>
      <c r="E99" s="28">
        <v>4286</v>
      </c>
      <c r="F99" s="24">
        <v>0</v>
      </c>
      <c r="G99" s="26">
        <v>0</v>
      </c>
      <c r="H99" s="27" t="s">
        <v>229</v>
      </c>
      <c r="I99" s="17"/>
    </row>
    <row r="100" spans="1:9" ht="12.75" customHeight="1">
      <c r="A100" s="23" t="s">
        <v>270</v>
      </c>
      <c r="B100" s="23" t="s">
        <v>353</v>
      </c>
      <c r="C100" s="30"/>
      <c r="D100" s="35">
        <v>129</v>
      </c>
      <c r="E100" s="28">
        <v>121</v>
      </c>
      <c r="F100" s="29">
        <v>0</v>
      </c>
      <c r="G100" s="26">
        <v>0</v>
      </c>
      <c r="H100" s="27" t="s">
        <v>229</v>
      </c>
      <c r="I100" s="17"/>
    </row>
    <row r="101" spans="1:9" ht="12.75" customHeight="1">
      <c r="A101" s="23" t="s">
        <v>93</v>
      </c>
      <c r="B101" s="23" t="s">
        <v>353</v>
      </c>
      <c r="C101" s="23"/>
      <c r="D101" s="28">
        <v>347</v>
      </c>
      <c r="E101" s="28">
        <v>488</v>
      </c>
      <c r="F101" s="29">
        <v>2</v>
      </c>
      <c r="G101" s="26">
        <v>0</v>
      </c>
      <c r="H101" s="27" t="s">
        <v>229</v>
      </c>
      <c r="I101" s="10"/>
    </row>
    <row r="102" spans="1:9" ht="12.75" customHeight="1">
      <c r="A102" s="23" t="s">
        <v>106</v>
      </c>
      <c r="B102" s="23" t="s">
        <v>217</v>
      </c>
      <c r="C102" s="30"/>
      <c r="D102" s="35" t="s">
        <v>157</v>
      </c>
      <c r="E102" s="28" t="s">
        <v>229</v>
      </c>
      <c r="F102" s="24">
        <v>0</v>
      </c>
      <c r="G102" s="26">
        <v>0</v>
      </c>
      <c r="H102" s="27" t="s">
        <v>229</v>
      </c>
      <c r="I102" s="17"/>
    </row>
    <row r="103" spans="1:9" ht="12.75" customHeight="1">
      <c r="A103" s="23" t="s">
        <v>50</v>
      </c>
      <c r="B103" s="23" t="s">
        <v>217</v>
      </c>
      <c r="C103" s="30"/>
      <c r="D103" s="35">
        <v>4846</v>
      </c>
      <c r="E103" s="28">
        <v>5669</v>
      </c>
      <c r="F103" s="24">
        <v>0</v>
      </c>
      <c r="G103" s="26">
        <v>13849</v>
      </c>
      <c r="H103" s="27">
        <f>G103/E103</f>
        <v>2.4429352619509612</v>
      </c>
      <c r="I103" s="17"/>
    </row>
    <row r="104" spans="1:9" ht="12.75" customHeight="1">
      <c r="A104" s="23" t="s">
        <v>197</v>
      </c>
      <c r="B104" s="23" t="s">
        <v>290</v>
      </c>
      <c r="C104" s="30"/>
      <c r="D104" s="35">
        <v>5667</v>
      </c>
      <c r="E104" s="28">
        <v>21968</v>
      </c>
      <c r="F104" s="28">
        <v>0</v>
      </c>
      <c r="G104" s="26">
        <v>3033.8</v>
      </c>
      <c r="H104" s="27">
        <f>G104/E104</f>
        <v>0.13810087399854334</v>
      </c>
      <c r="I104" s="17"/>
    </row>
    <row r="105" spans="1:9" ht="12.75" customHeight="1">
      <c r="A105" s="23" t="s">
        <v>238</v>
      </c>
      <c r="B105" s="23" t="s">
        <v>290</v>
      </c>
      <c r="C105" s="30"/>
      <c r="D105" s="31">
        <v>518</v>
      </c>
      <c r="E105" s="28">
        <v>1149</v>
      </c>
      <c r="F105" s="24">
        <v>0</v>
      </c>
      <c r="G105" s="26">
        <v>1597.5</v>
      </c>
      <c r="H105" s="27">
        <f>G105/E105</f>
        <v>1.3903394255874673</v>
      </c>
      <c r="I105" s="17"/>
    </row>
    <row r="106" spans="1:9" ht="12.75" customHeight="1">
      <c r="A106" s="23" t="s">
        <v>212</v>
      </c>
      <c r="B106" s="23" t="s">
        <v>364</v>
      </c>
      <c r="C106" s="30"/>
      <c r="D106" s="31" t="s">
        <v>229</v>
      </c>
      <c r="E106" s="28">
        <v>1885</v>
      </c>
      <c r="F106" s="24">
        <v>0</v>
      </c>
      <c r="G106" s="26">
        <v>0</v>
      </c>
      <c r="H106" s="27" t="s">
        <v>229</v>
      </c>
      <c r="I106" s="17"/>
    </row>
    <row r="107" spans="1:9" ht="12.75" customHeight="1">
      <c r="A107" s="23" t="s">
        <v>399</v>
      </c>
      <c r="B107" s="23" t="s">
        <v>364</v>
      </c>
      <c r="C107" s="30"/>
      <c r="D107" s="31" t="s">
        <v>229</v>
      </c>
      <c r="E107" s="28">
        <v>2374</v>
      </c>
      <c r="F107" s="24">
        <v>0</v>
      </c>
      <c r="G107" s="26">
        <v>5875</v>
      </c>
      <c r="H107" s="27">
        <f>G107/E107</f>
        <v>2.4747262005054762</v>
      </c>
      <c r="I107" s="17"/>
    </row>
    <row r="108" spans="1:9" ht="12.75" customHeight="1">
      <c r="A108" s="23" t="s">
        <v>184</v>
      </c>
      <c r="B108" s="23" t="s">
        <v>353</v>
      </c>
      <c r="C108" s="23"/>
      <c r="D108" s="28">
        <v>102</v>
      </c>
      <c r="E108" s="28">
        <v>183</v>
      </c>
      <c r="F108" s="29">
        <v>0</v>
      </c>
      <c r="G108" s="26">
        <v>0</v>
      </c>
      <c r="H108" s="27" t="s">
        <v>229</v>
      </c>
      <c r="I108" s="17"/>
    </row>
    <row r="109" spans="1:9" ht="12.75" customHeight="1">
      <c r="A109" s="23" t="s">
        <v>41</v>
      </c>
      <c r="B109" s="23" t="s">
        <v>364</v>
      </c>
      <c r="C109" s="30"/>
      <c r="D109" s="31" t="s">
        <v>229</v>
      </c>
      <c r="E109" s="28">
        <v>1323</v>
      </c>
      <c r="F109" s="24">
        <v>0</v>
      </c>
      <c r="G109" s="26">
        <v>2720</v>
      </c>
      <c r="H109" s="27">
        <f>G109/E109</f>
        <v>2.0559334845049131</v>
      </c>
      <c r="I109" s="17"/>
    </row>
    <row r="110" spans="1:9" ht="12.75" customHeight="1">
      <c r="A110" s="23" t="s">
        <v>387</v>
      </c>
      <c r="B110" s="23" t="s">
        <v>364</v>
      </c>
      <c r="C110" s="30"/>
      <c r="D110" s="31" t="s">
        <v>229</v>
      </c>
      <c r="E110" s="28">
        <v>3651</v>
      </c>
      <c r="F110" s="24">
        <v>0</v>
      </c>
      <c r="G110" s="26">
        <v>1060</v>
      </c>
      <c r="H110" s="27">
        <f>G110/E110</f>
        <v>0.29033141605039714</v>
      </c>
      <c r="I110" s="17"/>
    </row>
    <row r="111" spans="1:9" ht="12.75" customHeight="1">
      <c r="A111" s="23" t="s">
        <v>112</v>
      </c>
      <c r="B111" s="23" t="s">
        <v>364</v>
      </c>
      <c r="C111" s="30"/>
      <c r="D111" s="25" t="s">
        <v>229</v>
      </c>
      <c r="E111" s="28">
        <v>1779</v>
      </c>
      <c r="F111" s="24">
        <v>0</v>
      </c>
      <c r="G111" s="26">
        <v>0</v>
      </c>
      <c r="H111" s="27" t="s">
        <v>229</v>
      </c>
      <c r="I111" s="17"/>
    </row>
    <row r="112" spans="1:9" ht="12.75" customHeight="1">
      <c r="A112" s="23" t="s">
        <v>78</v>
      </c>
      <c r="B112" s="23" t="s">
        <v>254</v>
      </c>
      <c r="C112" s="30"/>
      <c r="D112" s="35" t="s">
        <v>229</v>
      </c>
      <c r="E112" s="28" t="s">
        <v>229</v>
      </c>
      <c r="F112" s="24">
        <v>0</v>
      </c>
      <c r="G112" s="26">
        <v>0</v>
      </c>
      <c r="H112" s="27" t="s">
        <v>229</v>
      </c>
      <c r="I112" s="17"/>
    </row>
    <row r="113" spans="1:9" ht="12.75" customHeight="1">
      <c r="A113" s="23" t="s">
        <v>299</v>
      </c>
      <c r="B113" s="23" t="s">
        <v>254</v>
      </c>
      <c r="C113" s="23"/>
      <c r="D113" s="28">
        <v>1100</v>
      </c>
      <c r="E113" s="28">
        <v>5083</v>
      </c>
      <c r="F113" s="24">
        <v>0</v>
      </c>
      <c r="G113" s="26">
        <v>0</v>
      </c>
      <c r="H113" s="27" t="s">
        <v>229</v>
      </c>
      <c r="I113" s="17"/>
    </row>
    <row r="114" spans="1:9" ht="12.75" customHeight="1">
      <c r="A114" s="23" t="s">
        <v>234</v>
      </c>
      <c r="B114" s="23" t="s">
        <v>353</v>
      </c>
      <c r="C114" s="23"/>
      <c r="D114" s="28">
        <v>32</v>
      </c>
      <c r="E114" s="28">
        <v>32</v>
      </c>
      <c r="F114" s="29">
        <v>0</v>
      </c>
      <c r="G114" s="26">
        <v>0</v>
      </c>
      <c r="H114" s="27" t="s">
        <v>229</v>
      </c>
      <c r="I114" s="17"/>
    </row>
    <row r="115" spans="1:9" ht="12.75" customHeight="1">
      <c r="A115" s="23" t="s">
        <v>380</v>
      </c>
      <c r="B115" s="23" t="s">
        <v>60</v>
      </c>
      <c r="C115" s="23"/>
      <c r="D115" s="28" t="s">
        <v>229</v>
      </c>
      <c r="E115" s="28" t="s">
        <v>229</v>
      </c>
      <c r="F115" s="24">
        <v>0</v>
      </c>
      <c r="G115" s="26">
        <v>18757</v>
      </c>
      <c r="H115" s="27" t="s">
        <v>229</v>
      </c>
      <c r="I115" s="17"/>
    </row>
    <row r="116" spans="1:9" ht="25.5">
      <c r="A116" s="23" t="s">
        <v>264</v>
      </c>
      <c r="B116" s="23" t="s">
        <v>60</v>
      </c>
      <c r="C116" s="23"/>
      <c r="D116" s="24" t="s">
        <v>229</v>
      </c>
      <c r="E116" s="28" t="s">
        <v>229</v>
      </c>
      <c r="F116" s="24">
        <v>0</v>
      </c>
      <c r="G116" s="26">
        <v>0</v>
      </c>
      <c r="H116" s="27" t="s">
        <v>229</v>
      </c>
      <c r="I116" s="10"/>
    </row>
    <row r="117" spans="1:9" ht="12.75" customHeight="1">
      <c r="A117" s="23" t="s">
        <v>150</v>
      </c>
      <c r="B117" s="23" t="s">
        <v>60</v>
      </c>
      <c r="C117" s="23"/>
      <c r="D117" s="24" t="s">
        <v>229</v>
      </c>
      <c r="E117" s="24" t="s">
        <v>229</v>
      </c>
      <c r="F117" s="24">
        <v>0</v>
      </c>
      <c r="G117" s="26">
        <v>0</v>
      </c>
      <c r="H117" s="27" t="s">
        <v>229</v>
      </c>
      <c r="I117" s="17"/>
    </row>
    <row r="118" spans="1:9" ht="12.75" customHeight="1">
      <c r="A118" s="23" t="s">
        <v>294</v>
      </c>
      <c r="B118" s="23" t="s">
        <v>254</v>
      </c>
      <c r="C118" s="30"/>
      <c r="D118" s="25">
        <v>12890</v>
      </c>
      <c r="E118" s="28">
        <v>32974</v>
      </c>
      <c r="F118" s="24">
        <v>0</v>
      </c>
      <c r="G118" s="26">
        <v>17105</v>
      </c>
      <c r="H118" s="27">
        <f>G118/E118</f>
        <v>0.51874203918238615</v>
      </c>
      <c r="I118" s="17"/>
    </row>
    <row r="119" spans="1:9" ht="12.75" customHeight="1">
      <c r="A119" s="23" t="s">
        <v>87</v>
      </c>
      <c r="B119" s="23" t="s">
        <v>364</v>
      </c>
      <c r="C119" s="30"/>
      <c r="D119" s="31" t="s">
        <v>229</v>
      </c>
      <c r="E119" s="28">
        <v>33872</v>
      </c>
      <c r="F119" s="24">
        <v>0</v>
      </c>
      <c r="G119" s="26">
        <v>15220</v>
      </c>
      <c r="H119" s="27">
        <f>G119/E119</f>
        <v>0.44933868682097305</v>
      </c>
      <c r="I119" s="17"/>
    </row>
    <row r="120" spans="1:9" ht="12.75" customHeight="1">
      <c r="A120" s="23" t="s">
        <v>398</v>
      </c>
      <c r="B120" s="23" t="s">
        <v>298</v>
      </c>
      <c r="C120" s="23"/>
      <c r="D120" s="24" t="s">
        <v>229</v>
      </c>
      <c r="E120" s="24" t="s">
        <v>229</v>
      </c>
      <c r="F120" s="24">
        <v>0</v>
      </c>
      <c r="G120" s="26">
        <v>0</v>
      </c>
      <c r="H120" s="27" t="s">
        <v>229</v>
      </c>
      <c r="I120" s="17"/>
    </row>
    <row r="121" spans="1:9" ht="12.75" customHeight="1">
      <c r="A121" s="23" t="s">
        <v>196</v>
      </c>
      <c r="B121" s="23" t="s">
        <v>231</v>
      </c>
      <c r="C121" s="23" t="s">
        <v>256</v>
      </c>
      <c r="D121" s="28">
        <v>233</v>
      </c>
      <c r="E121" s="28">
        <v>992</v>
      </c>
      <c r="F121" s="29">
        <v>0</v>
      </c>
      <c r="G121" s="26">
        <v>326</v>
      </c>
      <c r="H121" s="27">
        <f>G121/E121</f>
        <v>0.3286290322580645</v>
      </c>
      <c r="I121" s="10"/>
    </row>
    <row r="122" spans="1:9" ht="12.75" customHeight="1">
      <c r="A122" s="23" t="s">
        <v>323</v>
      </c>
      <c r="B122" s="23" t="s">
        <v>2</v>
      </c>
      <c r="C122" s="23" t="s">
        <v>145</v>
      </c>
      <c r="D122" s="28">
        <f>ReferenceUSA!N8</f>
        <v>1050</v>
      </c>
      <c r="E122" s="28">
        <f>ReferenceUSA!N9</f>
        <v>1755</v>
      </c>
      <c r="F122" s="24">
        <v>0</v>
      </c>
      <c r="G122" s="26">
        <v>0</v>
      </c>
      <c r="H122" s="27" t="s">
        <v>229</v>
      </c>
      <c r="I122" s="17"/>
    </row>
    <row r="123" spans="1:9" ht="12.75" customHeight="1">
      <c r="A123" s="23" t="s">
        <v>31</v>
      </c>
      <c r="B123" s="23" t="s">
        <v>2</v>
      </c>
      <c r="C123" s="23" t="s">
        <v>145</v>
      </c>
      <c r="D123" s="28">
        <f>ReferenceUSA!N26</f>
        <v>1050</v>
      </c>
      <c r="E123" s="28">
        <f>ReferenceUSA!N27</f>
        <v>222</v>
      </c>
      <c r="F123" s="24">
        <v>0</v>
      </c>
      <c r="G123" s="26">
        <v>0</v>
      </c>
      <c r="H123" s="27" t="s">
        <v>229</v>
      </c>
      <c r="I123" s="17"/>
    </row>
    <row r="124" spans="1:9" ht="12.75" customHeight="1">
      <c r="A124" s="23" t="s">
        <v>397</v>
      </c>
      <c r="B124" s="23" t="s">
        <v>2</v>
      </c>
      <c r="C124" s="23" t="s">
        <v>145</v>
      </c>
      <c r="D124" s="28">
        <f>ReferenceUSA!N44</f>
        <v>1050</v>
      </c>
      <c r="E124" s="28">
        <f>ReferenceUSA!N45</f>
        <v>1977</v>
      </c>
      <c r="F124" s="24">
        <v>0</v>
      </c>
      <c r="G124" s="26">
        <f>ReferenceUSA!O45</f>
        <v>11907</v>
      </c>
      <c r="H124" s="27">
        <f>G124/E124</f>
        <v>6.0227617602427923</v>
      </c>
      <c r="I124" s="17"/>
    </row>
    <row r="125" spans="1:9" ht="12.75" customHeight="1">
      <c r="A125" s="23" t="s">
        <v>351</v>
      </c>
      <c r="B125" s="23" t="s">
        <v>60</v>
      </c>
      <c r="C125" s="30" t="s">
        <v>145</v>
      </c>
      <c r="D125" s="35">
        <f>RefWorks!N11</f>
        <v>3885</v>
      </c>
      <c r="E125" s="24" t="s">
        <v>229</v>
      </c>
      <c r="F125" s="24">
        <v>0</v>
      </c>
      <c r="G125" s="26">
        <f>RefWorks!O11</f>
        <v>13360</v>
      </c>
      <c r="H125" s="27" t="s">
        <v>229</v>
      </c>
      <c r="I125" s="17"/>
    </row>
    <row r="126" spans="1:9" ht="12.75" customHeight="1">
      <c r="A126" s="23" t="s">
        <v>395</v>
      </c>
      <c r="B126" s="23" t="s">
        <v>254</v>
      </c>
      <c r="C126" s="30"/>
      <c r="D126" s="14">
        <v>759</v>
      </c>
      <c r="E126" s="24">
        <v>3653</v>
      </c>
      <c r="F126" s="24">
        <v>0</v>
      </c>
      <c r="G126" s="26">
        <v>0</v>
      </c>
      <c r="H126" s="27" t="s">
        <v>229</v>
      </c>
      <c r="I126" s="17"/>
    </row>
    <row r="127" spans="1:9" ht="12.75" customHeight="1">
      <c r="A127" s="23" t="s">
        <v>393</v>
      </c>
      <c r="B127" s="23" t="s">
        <v>286</v>
      </c>
      <c r="C127" s="30"/>
      <c r="D127" s="14" t="s">
        <v>229</v>
      </c>
      <c r="E127" s="24" t="s">
        <v>229</v>
      </c>
      <c r="F127" s="24">
        <v>0</v>
      </c>
      <c r="G127" s="26" t="s">
        <v>229</v>
      </c>
      <c r="H127" s="27" t="s">
        <v>229</v>
      </c>
      <c r="I127" s="17"/>
    </row>
    <row r="128" spans="1:9" ht="12.75" customHeight="1">
      <c r="A128" s="23" t="s">
        <v>400</v>
      </c>
      <c r="B128" s="23" t="s">
        <v>1</v>
      </c>
      <c r="C128" s="23" t="s">
        <v>145</v>
      </c>
      <c r="D128" s="28">
        <f>SciFinderScholar!N24</f>
        <v>1430</v>
      </c>
      <c r="E128" s="28">
        <f>SciFinderScholar!N25</f>
        <v>4263</v>
      </c>
      <c r="F128" s="28">
        <f>SciFinderScholar!N26</f>
        <v>579</v>
      </c>
      <c r="G128" s="26">
        <f>SciFinderScholar!O25</f>
        <v>31525</v>
      </c>
      <c r="H128" s="27">
        <f>G128/E128</f>
        <v>7.3950269763077641</v>
      </c>
      <c r="I128" s="17"/>
    </row>
    <row r="129" spans="1:9" ht="12.75" customHeight="1">
      <c r="A129" s="23" t="s">
        <v>328</v>
      </c>
      <c r="B129" s="23" t="s">
        <v>364</v>
      </c>
      <c r="C129" s="30"/>
      <c r="D129" s="31" t="s">
        <v>229</v>
      </c>
      <c r="E129" s="28" t="s">
        <v>229</v>
      </c>
      <c r="F129" s="24">
        <v>0</v>
      </c>
      <c r="G129" s="26">
        <v>0</v>
      </c>
      <c r="H129" s="27" t="s">
        <v>229</v>
      </c>
      <c r="I129" s="17"/>
    </row>
    <row r="130" spans="1:9" ht="12.75" customHeight="1">
      <c r="A130" s="23" t="s">
        <v>388</v>
      </c>
      <c r="B130" s="23" t="s">
        <v>364</v>
      </c>
      <c r="C130" s="30"/>
      <c r="D130" s="31" t="s">
        <v>229</v>
      </c>
      <c r="E130" s="28" t="s">
        <v>229</v>
      </c>
      <c r="F130" s="24">
        <v>0</v>
      </c>
      <c r="G130" s="26">
        <v>4275</v>
      </c>
      <c r="H130" s="27" t="s">
        <v>229</v>
      </c>
      <c r="I130" s="17"/>
    </row>
    <row r="131" spans="1:9" ht="12.75" customHeight="1">
      <c r="A131" s="23" t="s">
        <v>66</v>
      </c>
      <c r="B131" s="23" t="s">
        <v>341</v>
      </c>
      <c r="C131" s="30"/>
      <c r="D131" s="25" t="s">
        <v>229</v>
      </c>
      <c r="E131" s="28" t="s">
        <v>229</v>
      </c>
      <c r="F131" s="24">
        <v>0</v>
      </c>
      <c r="G131" s="26">
        <v>3065</v>
      </c>
      <c r="H131" s="27" t="s">
        <v>229</v>
      </c>
      <c r="I131" s="17"/>
    </row>
    <row r="132" spans="1:9" ht="12.75" customHeight="1">
      <c r="A132" s="23" t="s">
        <v>125</v>
      </c>
      <c r="B132" s="23" t="s">
        <v>254</v>
      </c>
      <c r="C132" s="30"/>
      <c r="D132" s="25">
        <v>1008</v>
      </c>
      <c r="E132" s="28">
        <v>4867</v>
      </c>
      <c r="F132" s="24">
        <v>0</v>
      </c>
      <c r="G132" s="26">
        <v>0</v>
      </c>
      <c r="H132" s="27" t="s">
        <v>229</v>
      </c>
      <c r="I132" s="17"/>
    </row>
    <row r="133" spans="1:9" ht="12.75" customHeight="1">
      <c r="A133" s="23" t="s">
        <v>6</v>
      </c>
      <c r="B133" s="23" t="s">
        <v>254</v>
      </c>
      <c r="C133" s="23"/>
      <c r="D133" s="28">
        <v>1151</v>
      </c>
      <c r="E133" s="28">
        <v>5165</v>
      </c>
      <c r="F133" s="24">
        <v>0</v>
      </c>
      <c r="G133" s="26">
        <v>2728</v>
      </c>
      <c r="H133" s="27">
        <f>G133/E133</f>
        <v>0.52817037754114227</v>
      </c>
      <c r="I133" s="17"/>
    </row>
    <row r="134" spans="1:9" ht="12.75" customHeight="1">
      <c r="A134" s="23" t="s">
        <v>282</v>
      </c>
      <c r="B134" s="23" t="s">
        <v>254</v>
      </c>
      <c r="C134" s="23"/>
      <c r="D134" s="28">
        <v>944</v>
      </c>
      <c r="E134" s="28">
        <v>4230</v>
      </c>
      <c r="F134" s="24">
        <v>0</v>
      </c>
      <c r="G134" s="26">
        <v>0</v>
      </c>
      <c r="H134" s="27" t="s">
        <v>229</v>
      </c>
      <c r="I134" s="17"/>
    </row>
    <row r="135" spans="1:9" ht="12.75" customHeight="1">
      <c r="A135" s="23" t="s">
        <v>16</v>
      </c>
      <c r="B135" s="23" t="s">
        <v>308</v>
      </c>
      <c r="C135" s="23"/>
      <c r="D135" s="28" t="s">
        <v>229</v>
      </c>
      <c r="E135" s="28" t="s">
        <v>229</v>
      </c>
      <c r="F135" s="24">
        <v>0</v>
      </c>
      <c r="G135" s="26">
        <v>1314.25</v>
      </c>
      <c r="H135" s="27" t="s">
        <v>229</v>
      </c>
      <c r="I135" s="17"/>
    </row>
    <row r="136" spans="1:9" ht="12.75" customHeight="1">
      <c r="A136" s="36" t="s">
        <v>113</v>
      </c>
      <c r="B136" s="36" t="s">
        <v>286</v>
      </c>
      <c r="C136" s="37"/>
      <c r="D136" s="38" t="s">
        <v>229</v>
      </c>
      <c r="E136" s="31" t="s">
        <v>229</v>
      </c>
      <c r="F136" s="31">
        <v>0</v>
      </c>
      <c r="G136" s="39">
        <v>0</v>
      </c>
      <c r="H136" s="31" t="s">
        <v>229</v>
      </c>
      <c r="I136" s="17"/>
    </row>
    <row r="137" spans="1:9" ht="12.75" customHeight="1">
      <c r="A137" s="23" t="s">
        <v>310</v>
      </c>
      <c r="B137" s="23" t="s">
        <v>60</v>
      </c>
      <c r="C137" s="23"/>
      <c r="D137" s="24" t="s">
        <v>229</v>
      </c>
      <c r="E137" s="28" t="s">
        <v>229</v>
      </c>
      <c r="F137" s="24">
        <v>0</v>
      </c>
      <c r="G137" s="26">
        <v>0</v>
      </c>
      <c r="H137" s="27" t="s">
        <v>229</v>
      </c>
      <c r="I137" s="17"/>
    </row>
    <row r="138" spans="1:9" ht="12.75" customHeight="1">
      <c r="A138" s="23" t="s">
        <v>291</v>
      </c>
      <c r="B138" s="23" t="s">
        <v>126</v>
      </c>
      <c r="C138" s="23" t="s">
        <v>185</v>
      </c>
      <c r="D138" s="28">
        <v>10328</v>
      </c>
      <c r="E138" s="28" t="s">
        <v>229</v>
      </c>
      <c r="F138" s="28">
        <v>0</v>
      </c>
      <c r="G138" s="26">
        <v>0</v>
      </c>
      <c r="H138" s="27" t="s">
        <v>229</v>
      </c>
      <c r="I138" s="17"/>
    </row>
    <row r="139" spans="1:9" ht="12.75" customHeight="1">
      <c r="A139" s="23" t="s">
        <v>126</v>
      </c>
      <c r="B139" s="23" t="s">
        <v>126</v>
      </c>
      <c r="C139" s="23" t="s">
        <v>185</v>
      </c>
      <c r="D139" s="28">
        <v>6287</v>
      </c>
      <c r="E139" s="28">
        <v>30909</v>
      </c>
      <c r="F139" s="28">
        <v>0</v>
      </c>
      <c r="G139" s="26">
        <v>104394</v>
      </c>
      <c r="H139" s="27">
        <f>G139/E139</f>
        <v>3.3774628748908087</v>
      </c>
      <c r="I139" s="17"/>
    </row>
    <row r="140" spans="1:9" ht="12.75" customHeight="1">
      <c r="A140" s="23" t="s">
        <v>103</v>
      </c>
      <c r="B140" s="23" t="s">
        <v>254</v>
      </c>
      <c r="C140" s="23"/>
      <c r="D140" s="28">
        <v>1068</v>
      </c>
      <c r="E140" s="28">
        <v>4856</v>
      </c>
      <c r="F140" s="28">
        <v>0</v>
      </c>
      <c r="G140" s="26">
        <v>2846</v>
      </c>
      <c r="H140" s="27">
        <f>G140/E140</f>
        <v>0.58607907742998355</v>
      </c>
      <c r="I140" s="17"/>
    </row>
    <row r="141" spans="1:9" ht="12.75" customHeight="1">
      <c r="A141" s="23" t="s">
        <v>0</v>
      </c>
      <c r="B141" s="23" t="s">
        <v>353</v>
      </c>
      <c r="C141" s="23"/>
      <c r="D141" s="28">
        <v>158</v>
      </c>
      <c r="E141" s="28">
        <v>226</v>
      </c>
      <c r="F141" s="29">
        <v>7</v>
      </c>
      <c r="G141" s="26">
        <v>0</v>
      </c>
      <c r="H141" s="27" t="s">
        <v>229</v>
      </c>
      <c r="I141" s="17"/>
    </row>
    <row r="142" spans="1:9" ht="12.75" customHeight="1">
      <c r="A142" s="23" t="s">
        <v>34</v>
      </c>
      <c r="B142" s="23" t="s">
        <v>353</v>
      </c>
      <c r="C142" s="23"/>
      <c r="D142" s="28">
        <v>106</v>
      </c>
      <c r="E142" s="28">
        <v>98</v>
      </c>
      <c r="F142" s="29">
        <v>3</v>
      </c>
      <c r="G142" s="26">
        <v>0</v>
      </c>
      <c r="H142" s="27" t="s">
        <v>229</v>
      </c>
      <c r="I142" s="17"/>
    </row>
    <row r="143" spans="1:9" ht="12.75" customHeight="1">
      <c r="A143" s="23" t="s">
        <v>206</v>
      </c>
      <c r="B143" s="23" t="s">
        <v>353</v>
      </c>
      <c r="C143" s="23"/>
      <c r="D143" s="28">
        <v>3107</v>
      </c>
      <c r="E143" s="28">
        <v>16009</v>
      </c>
      <c r="F143" s="29">
        <v>344</v>
      </c>
      <c r="G143" s="26">
        <v>0</v>
      </c>
      <c r="H143" s="27" t="s">
        <v>229</v>
      </c>
      <c r="I143" s="17"/>
    </row>
    <row r="144" spans="1:9" ht="12.75" customHeight="1">
      <c r="A144" s="40"/>
      <c r="B144" s="40"/>
      <c r="C144" s="41"/>
      <c r="D144" s="42"/>
      <c r="E144" s="43"/>
      <c r="F144" s="43"/>
      <c r="G144" s="40"/>
      <c r="H144" s="43"/>
    </row>
  </sheetData>
  <mergeCells count="2">
    <mergeCell ref="A1:B1"/>
    <mergeCell ref="A4:B4"/>
  </mergeCells>
  <pageMargins left="0.75" right="0.75" top="1" bottom="1" header="0.5" footer="0.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dimension ref="A1:Q12"/>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3.85546875" customWidth="1"/>
    <col min="2" max="14" width="8.5703125" customWidth="1"/>
    <col min="15" max="15" width="10.85546875" customWidth="1"/>
    <col min="16" max="16" width="8.5703125" customWidth="1"/>
    <col min="17" max="17" width="9.140625" customWidth="1"/>
  </cols>
  <sheetData>
    <row r="1" spans="1:17" ht="20.25">
      <c r="A1" s="167" t="s">
        <v>131</v>
      </c>
      <c r="B1" s="168"/>
      <c r="C1" s="168"/>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5"/>
      <c r="P3" s="6"/>
    </row>
    <row r="4" spans="1:17" ht="25.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47" t="s">
        <v>191</v>
      </c>
      <c r="P4" s="47" t="s">
        <v>165</v>
      </c>
      <c r="Q4" s="2"/>
    </row>
    <row r="5" spans="1:17" ht="12.75" customHeight="1">
      <c r="A5" s="48" t="s">
        <v>131</v>
      </c>
      <c r="B5" s="49"/>
      <c r="C5" s="49"/>
      <c r="D5" s="49"/>
      <c r="E5" s="49"/>
      <c r="F5" s="49"/>
      <c r="G5" s="49"/>
      <c r="H5" s="49"/>
      <c r="I5" s="49"/>
      <c r="J5" s="49"/>
      <c r="K5" s="49"/>
      <c r="L5" s="49"/>
      <c r="M5" s="49"/>
      <c r="N5" s="49"/>
      <c r="O5" s="40"/>
      <c r="P5" s="41"/>
    </row>
    <row r="6" spans="1:17" ht="12.75" customHeight="1">
      <c r="A6" s="50" t="s">
        <v>64</v>
      </c>
      <c r="B6" s="51" t="s">
        <v>229</v>
      </c>
      <c r="C6" s="23" t="s">
        <v>229</v>
      </c>
      <c r="D6" s="23" t="s">
        <v>229</v>
      </c>
      <c r="E6" s="23" t="s">
        <v>229</v>
      </c>
      <c r="F6" s="23" t="s">
        <v>229</v>
      </c>
      <c r="G6" s="23" t="s">
        <v>229</v>
      </c>
      <c r="H6" s="23" t="s">
        <v>229</v>
      </c>
      <c r="I6" s="23" t="s">
        <v>229</v>
      </c>
      <c r="J6" s="23" t="s">
        <v>229</v>
      </c>
      <c r="K6" s="23" t="s">
        <v>229</v>
      </c>
      <c r="L6" s="23" t="s">
        <v>229</v>
      </c>
      <c r="M6" s="23" t="s">
        <v>229</v>
      </c>
      <c r="N6" s="52">
        <f>SUM(B6:M6)</f>
        <v>0</v>
      </c>
      <c r="O6" s="53" t="s">
        <v>13</v>
      </c>
      <c r="P6" s="54" t="s">
        <v>13</v>
      </c>
    </row>
    <row r="7" spans="1:17" ht="12.75" customHeight="1">
      <c r="A7" s="50" t="s">
        <v>301</v>
      </c>
      <c r="B7" s="23" t="s">
        <v>229</v>
      </c>
      <c r="C7" s="23" t="s">
        <v>229</v>
      </c>
      <c r="D7" s="23" t="s">
        <v>229</v>
      </c>
      <c r="E7" s="23" t="s">
        <v>229</v>
      </c>
      <c r="F7" s="23" t="s">
        <v>229</v>
      </c>
      <c r="G7" s="23" t="s">
        <v>229</v>
      </c>
      <c r="H7" s="23" t="s">
        <v>229</v>
      </c>
      <c r="I7" s="23" t="s">
        <v>229</v>
      </c>
      <c r="J7" s="23" t="s">
        <v>229</v>
      </c>
      <c r="K7" s="23" t="s">
        <v>229</v>
      </c>
      <c r="L7" s="23" t="s">
        <v>229</v>
      </c>
      <c r="M7" s="23" t="s">
        <v>229</v>
      </c>
      <c r="N7" s="52"/>
      <c r="O7" s="10"/>
      <c r="P7" s="54"/>
    </row>
    <row r="8" spans="1:17" ht="12.75" customHeight="1">
      <c r="A8" s="50" t="s">
        <v>214</v>
      </c>
      <c r="B8" s="23" t="s">
        <v>229</v>
      </c>
      <c r="C8" s="23" t="s">
        <v>229</v>
      </c>
      <c r="D8" s="23" t="s">
        <v>229</v>
      </c>
      <c r="E8" s="23" t="s">
        <v>229</v>
      </c>
      <c r="F8" s="23" t="s">
        <v>229</v>
      </c>
      <c r="G8" s="23" t="s">
        <v>229</v>
      </c>
      <c r="H8" s="23" t="s">
        <v>229</v>
      </c>
      <c r="I8" s="23" t="s">
        <v>229</v>
      </c>
      <c r="J8" s="23" t="s">
        <v>229</v>
      </c>
      <c r="K8" s="23" t="s">
        <v>229</v>
      </c>
      <c r="L8" s="23" t="s">
        <v>229</v>
      </c>
      <c r="M8" s="23" t="s">
        <v>229</v>
      </c>
      <c r="N8" s="52">
        <f>SUM(B8:M8)</f>
        <v>0</v>
      </c>
      <c r="O8" s="53">
        <v>594.69000000000005</v>
      </c>
      <c r="P8" s="54" t="s">
        <v>13</v>
      </c>
    </row>
    <row r="9" spans="1:17" ht="12.75" customHeight="1">
      <c r="A9" s="50" t="s">
        <v>246</v>
      </c>
      <c r="B9" s="23" t="s">
        <v>229</v>
      </c>
      <c r="C9" s="23" t="s">
        <v>229</v>
      </c>
      <c r="D9" s="23" t="s">
        <v>229</v>
      </c>
      <c r="E9" s="23" t="s">
        <v>229</v>
      </c>
      <c r="F9" s="23" t="s">
        <v>229</v>
      </c>
      <c r="G9" s="23" t="s">
        <v>229</v>
      </c>
      <c r="H9" s="23" t="s">
        <v>229</v>
      </c>
      <c r="I9" s="23" t="s">
        <v>229</v>
      </c>
      <c r="J9" s="23" t="s">
        <v>229</v>
      </c>
      <c r="K9" s="23" t="s">
        <v>229</v>
      </c>
      <c r="L9" s="23" t="s">
        <v>229</v>
      </c>
      <c r="M9" s="23" t="s">
        <v>229</v>
      </c>
      <c r="N9" s="52">
        <f>SUM(B9:M9)</f>
        <v>0</v>
      </c>
      <c r="O9" s="10"/>
    </row>
    <row r="10" spans="1:17" ht="12.75" customHeight="1">
      <c r="A10" s="2"/>
      <c r="B10" s="41"/>
      <c r="C10" s="41"/>
      <c r="D10" s="41"/>
      <c r="E10" s="41"/>
      <c r="F10" s="41"/>
      <c r="G10" s="41"/>
      <c r="H10" s="41"/>
      <c r="I10" s="41"/>
      <c r="J10" s="41"/>
      <c r="K10" s="41"/>
      <c r="L10" s="41"/>
      <c r="M10" s="41"/>
      <c r="N10" s="41"/>
      <c r="O10" s="2"/>
    </row>
    <row r="11" spans="1:17" ht="12.75" customHeight="1">
      <c r="A11" s="2" t="s">
        <v>15</v>
      </c>
      <c r="B11" s="2" t="s">
        <v>145</v>
      </c>
      <c r="O11" s="2"/>
    </row>
    <row r="12" spans="1:17" ht="12.75" customHeight="1">
      <c r="A12" s="2"/>
      <c r="O12" s="2"/>
    </row>
  </sheetData>
  <mergeCells count="1">
    <mergeCell ref="A1:C1"/>
  </mergeCells>
  <pageMargins left="0.75" right="0.75" top="1" bottom="1" header="0.5" footer="0.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dimension ref="A1:Q28"/>
  <sheetViews>
    <sheetView zoomScaleNormal="100" workbookViewId="0">
      <pane ySplit="2" topLeftCell="A3" activePane="bottomLeft" state="frozen"/>
      <selection pane="bottomLeft" activeCell="A3" sqref="A3"/>
    </sheetView>
  </sheetViews>
  <sheetFormatPr defaultColWidth="17.140625" defaultRowHeight="12.75" customHeight="1"/>
  <cols>
    <col min="1" max="1" width="21.7109375" customWidth="1"/>
    <col min="2" max="3" width="9.85546875" customWidth="1"/>
    <col min="4" max="4" width="8.85546875" customWidth="1"/>
    <col min="5" max="5" width="9.7109375" customWidth="1"/>
    <col min="6" max="7" width="9.85546875" customWidth="1"/>
    <col min="8" max="8" width="8.7109375" customWidth="1"/>
    <col min="9" max="10" width="9.28515625" customWidth="1"/>
    <col min="11" max="11" width="9.140625" customWidth="1"/>
    <col min="12" max="12" width="10.28515625" customWidth="1"/>
    <col min="13" max="14" width="9" customWidth="1"/>
    <col min="15" max="15" width="12.28515625" customWidth="1"/>
    <col min="16" max="16" width="10.140625" customWidth="1"/>
    <col min="17" max="20" width="17.140625" customWidth="1"/>
  </cols>
  <sheetData>
    <row r="1" spans="1:17" ht="20.25">
      <c r="A1" s="167" t="s">
        <v>224</v>
      </c>
      <c r="B1" s="170"/>
      <c r="C1" s="170"/>
    </row>
    <row r="2" spans="1:17" ht="18">
      <c r="A2" s="44" t="s">
        <v>192</v>
      </c>
    </row>
    <row r="3" spans="1:17" ht="12.75" customHeight="1">
      <c r="A3" s="6"/>
      <c r="B3" s="6"/>
      <c r="C3" s="6"/>
      <c r="D3" s="6"/>
      <c r="E3" s="6"/>
      <c r="F3" s="6"/>
      <c r="G3" s="6"/>
      <c r="H3" s="6"/>
      <c r="I3" s="6"/>
      <c r="J3" s="6"/>
      <c r="K3" s="6"/>
      <c r="L3" s="6"/>
      <c r="M3" s="6"/>
      <c r="N3" s="6"/>
      <c r="O3" s="6"/>
      <c r="P3" s="6"/>
    </row>
    <row r="4" spans="1:17" ht="25.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47" t="s">
        <v>394</v>
      </c>
    </row>
    <row r="5" spans="1:17" ht="12.75" customHeight="1">
      <c r="A5" s="56" t="s">
        <v>224</v>
      </c>
      <c r="B5" s="57"/>
      <c r="C5" s="57"/>
      <c r="D5" s="57"/>
      <c r="E5" s="57"/>
      <c r="F5" s="57"/>
      <c r="G5" s="57"/>
      <c r="H5" s="57"/>
      <c r="I5" s="57"/>
      <c r="J5" s="57"/>
      <c r="K5" s="57"/>
      <c r="L5" s="57"/>
      <c r="M5" s="57"/>
      <c r="N5" s="57"/>
      <c r="O5" s="57"/>
      <c r="P5" s="57"/>
    </row>
    <row r="6" spans="1:17" ht="12.75" customHeight="1">
      <c r="A6" s="58" t="s">
        <v>303</v>
      </c>
      <c r="B6" s="37" t="s">
        <v>229</v>
      </c>
      <c r="C6" s="37" t="s">
        <v>229</v>
      </c>
      <c r="D6" s="37" t="s">
        <v>229</v>
      </c>
      <c r="E6" s="37" t="s">
        <v>229</v>
      </c>
      <c r="F6" s="37" t="s">
        <v>229</v>
      </c>
      <c r="G6" s="37" t="s">
        <v>229</v>
      </c>
      <c r="H6" s="37" t="s">
        <v>229</v>
      </c>
      <c r="I6" s="37" t="s">
        <v>229</v>
      </c>
      <c r="J6" s="37" t="s">
        <v>229</v>
      </c>
      <c r="K6" s="37">
        <v>92</v>
      </c>
      <c r="L6" s="37">
        <v>35</v>
      </c>
      <c r="M6" s="37">
        <v>25</v>
      </c>
      <c r="N6" s="59">
        <f>SUM(B6:M6)</f>
        <v>152</v>
      </c>
      <c r="O6" s="60"/>
      <c r="P6" s="60"/>
      <c r="Q6" s="17"/>
    </row>
    <row r="7" spans="1:17" ht="12.75" customHeight="1">
      <c r="A7" s="58" t="s">
        <v>260</v>
      </c>
      <c r="B7" s="37" t="s">
        <v>229</v>
      </c>
      <c r="C7" s="37" t="s">
        <v>229</v>
      </c>
      <c r="D7" s="37" t="s">
        <v>229</v>
      </c>
      <c r="E7" s="37" t="s">
        <v>229</v>
      </c>
      <c r="F7" s="37" t="s">
        <v>229</v>
      </c>
      <c r="G7" s="37" t="s">
        <v>229</v>
      </c>
      <c r="H7" s="37" t="s">
        <v>229</v>
      </c>
      <c r="I7" s="37" t="s">
        <v>229</v>
      </c>
      <c r="J7" s="37" t="s">
        <v>229</v>
      </c>
      <c r="K7" s="37">
        <v>10</v>
      </c>
      <c r="L7" s="37">
        <v>5</v>
      </c>
      <c r="M7" s="37">
        <v>6</v>
      </c>
      <c r="N7" s="59">
        <f>SUM(B7:M7)</f>
        <v>21</v>
      </c>
      <c r="O7" s="60">
        <v>12940</v>
      </c>
      <c r="P7" s="60"/>
      <c r="Q7" s="17"/>
    </row>
    <row r="8" spans="1:17" ht="12.75" customHeight="1">
      <c r="A8" s="58" t="s">
        <v>105</v>
      </c>
      <c r="B8" s="37" t="s">
        <v>229</v>
      </c>
      <c r="C8" s="37" t="s">
        <v>229</v>
      </c>
      <c r="D8" s="37" t="s">
        <v>229</v>
      </c>
      <c r="E8" s="37" t="s">
        <v>229</v>
      </c>
      <c r="F8" s="37" t="s">
        <v>229</v>
      </c>
      <c r="G8" s="37" t="s">
        <v>229</v>
      </c>
      <c r="H8" s="37" t="s">
        <v>229</v>
      </c>
      <c r="I8" s="37" t="s">
        <v>229</v>
      </c>
      <c r="J8" s="37" t="s">
        <v>229</v>
      </c>
      <c r="K8" s="37">
        <v>6</v>
      </c>
      <c r="L8" s="37">
        <v>1</v>
      </c>
      <c r="M8" s="37" t="s">
        <v>229</v>
      </c>
      <c r="N8" s="59">
        <f>SUM(B8:M8)</f>
        <v>7</v>
      </c>
      <c r="O8" s="60"/>
      <c r="P8" s="60"/>
      <c r="Q8" s="17"/>
    </row>
    <row r="9" spans="1:17" ht="12.75" customHeight="1">
      <c r="A9" s="58" t="s">
        <v>401</v>
      </c>
      <c r="B9" s="37" t="s">
        <v>229</v>
      </c>
      <c r="C9" s="37" t="s">
        <v>229</v>
      </c>
      <c r="D9" s="37" t="s">
        <v>229</v>
      </c>
      <c r="E9" s="37" t="s">
        <v>229</v>
      </c>
      <c r="F9" s="37" t="s">
        <v>229</v>
      </c>
      <c r="G9" s="37" t="s">
        <v>229</v>
      </c>
      <c r="H9" s="37" t="s">
        <v>229</v>
      </c>
      <c r="I9" s="37" t="s">
        <v>229</v>
      </c>
      <c r="J9" s="37" t="s">
        <v>229</v>
      </c>
      <c r="K9" s="37">
        <v>4681</v>
      </c>
      <c r="L9" s="37">
        <v>2078</v>
      </c>
      <c r="M9" s="37" t="s">
        <v>229</v>
      </c>
      <c r="N9" s="59">
        <f>SUM(B9:M9)</f>
        <v>6759</v>
      </c>
      <c r="O9" s="60"/>
      <c r="P9" s="60"/>
      <c r="Q9" s="17"/>
    </row>
    <row r="10" spans="1:17" ht="12.75" customHeight="1">
      <c r="A10" s="58" t="s">
        <v>363</v>
      </c>
      <c r="B10" s="37" t="s">
        <v>229</v>
      </c>
      <c r="C10" s="37" t="s">
        <v>229</v>
      </c>
      <c r="D10" s="37" t="s">
        <v>229</v>
      </c>
      <c r="E10" s="37" t="s">
        <v>229</v>
      </c>
      <c r="F10" s="37" t="s">
        <v>229</v>
      </c>
      <c r="G10" s="37" t="s">
        <v>229</v>
      </c>
      <c r="H10" s="37" t="s">
        <v>229</v>
      </c>
      <c r="I10" s="37" t="s">
        <v>229</v>
      </c>
      <c r="J10" s="37" t="s">
        <v>229</v>
      </c>
      <c r="K10" s="37">
        <v>5</v>
      </c>
      <c r="L10" s="37">
        <v>0</v>
      </c>
      <c r="M10" s="37">
        <v>1</v>
      </c>
      <c r="N10" s="59">
        <f>SUM(B10:M10)</f>
        <v>6</v>
      </c>
      <c r="O10" s="60"/>
      <c r="P10" s="60"/>
      <c r="Q10" s="17"/>
    </row>
    <row r="11" spans="1:17" ht="12.75" customHeight="1">
      <c r="B11" s="41"/>
      <c r="C11" s="41"/>
      <c r="D11" s="41"/>
      <c r="E11" s="41"/>
      <c r="F11" s="41"/>
      <c r="G11" s="41"/>
      <c r="H11" s="41"/>
      <c r="I11" s="41"/>
      <c r="J11" s="41"/>
      <c r="K11" s="41"/>
      <c r="L11" s="41"/>
      <c r="M11" s="41"/>
      <c r="N11" s="41"/>
      <c r="O11" s="41"/>
      <c r="P11" s="41"/>
    </row>
    <row r="14" spans="1:17" ht="12.75" customHeight="1">
      <c r="A14" s="171" t="s">
        <v>139</v>
      </c>
      <c r="B14" s="170"/>
      <c r="C14" s="170"/>
      <c r="D14" s="170"/>
      <c r="E14" s="170"/>
      <c r="F14" s="170"/>
      <c r="G14" s="170"/>
      <c r="H14" s="170"/>
      <c r="I14" s="170"/>
      <c r="J14" s="170"/>
      <c r="K14" s="170"/>
    </row>
    <row r="15" spans="1:17" ht="12.75" customHeight="1">
      <c r="A15" s="2" t="s">
        <v>15</v>
      </c>
      <c r="B15" s="61" t="s">
        <v>145</v>
      </c>
    </row>
    <row r="16" spans="1:17" ht="12.75" customHeight="1">
      <c r="A16" s="171" t="s">
        <v>175</v>
      </c>
      <c r="B16" s="170"/>
      <c r="C16" s="170"/>
      <c r="D16" s="170"/>
      <c r="E16" s="170"/>
      <c r="F16" s="170"/>
      <c r="G16" s="170"/>
      <c r="H16" s="170"/>
      <c r="I16" s="170"/>
    </row>
    <row r="17" spans="1:13" ht="12.75" customHeight="1">
      <c r="A17" s="172"/>
      <c r="B17" s="172"/>
      <c r="C17" s="172"/>
      <c r="D17" s="172"/>
      <c r="E17" s="172"/>
      <c r="F17" s="172"/>
      <c r="G17" s="172"/>
      <c r="H17" s="172"/>
      <c r="I17" s="172"/>
      <c r="J17" s="172"/>
      <c r="K17" s="172"/>
    </row>
    <row r="18" spans="1:13" ht="25.5">
      <c r="A18" s="61" t="s">
        <v>3</v>
      </c>
    </row>
    <row r="19" spans="1:13" ht="25.5">
      <c r="A19" s="62" t="s">
        <v>124</v>
      </c>
      <c r="B19" s="171" t="s">
        <v>258</v>
      </c>
      <c r="C19" s="170"/>
      <c r="D19" s="170"/>
      <c r="E19" s="170"/>
      <c r="F19" s="170"/>
      <c r="G19" s="170"/>
      <c r="H19" s="170"/>
      <c r="I19" s="170"/>
      <c r="J19" s="170"/>
      <c r="K19" s="170"/>
    </row>
    <row r="20" spans="1:13" ht="25.5">
      <c r="A20" s="62"/>
      <c r="B20" s="61" t="s">
        <v>3</v>
      </c>
    </row>
    <row r="21" spans="1:13" ht="25.5">
      <c r="A21" s="62" t="s">
        <v>107</v>
      </c>
      <c r="B21" s="171" t="s">
        <v>114</v>
      </c>
      <c r="C21" s="170"/>
      <c r="D21" s="170"/>
      <c r="E21" s="170"/>
      <c r="F21" s="170"/>
      <c r="G21" s="170"/>
      <c r="H21" s="170"/>
      <c r="I21" s="170"/>
    </row>
    <row r="22" spans="1:13" ht="25.5">
      <c r="A22" s="62"/>
      <c r="B22" s="61" t="s">
        <v>3</v>
      </c>
    </row>
    <row r="23" spans="1:13" ht="25.5">
      <c r="A23" s="63" t="s">
        <v>237</v>
      </c>
      <c r="B23" s="171" t="s">
        <v>37</v>
      </c>
      <c r="C23" s="170"/>
      <c r="D23" s="170"/>
      <c r="E23" s="170"/>
      <c r="F23" s="170"/>
      <c r="G23" s="170"/>
      <c r="H23" s="170"/>
      <c r="I23" s="170"/>
      <c r="J23" s="170"/>
      <c r="K23" s="170"/>
      <c r="L23" s="170"/>
      <c r="M23" s="170"/>
    </row>
    <row r="24" spans="1:13" ht="25.5">
      <c r="A24" s="62"/>
      <c r="B24" s="61" t="s">
        <v>3</v>
      </c>
    </row>
    <row r="25" spans="1:13" ht="25.5">
      <c r="A25" s="62" t="s">
        <v>329</v>
      </c>
      <c r="B25" s="171" t="s">
        <v>18</v>
      </c>
      <c r="C25" s="170"/>
      <c r="D25" s="170"/>
      <c r="E25" s="170"/>
      <c r="F25" s="170"/>
      <c r="G25" s="170"/>
      <c r="H25" s="170"/>
      <c r="I25" s="170"/>
      <c r="J25" s="170"/>
      <c r="K25" s="170"/>
      <c r="L25" s="170"/>
    </row>
    <row r="26" spans="1:13" ht="25.5">
      <c r="A26" s="62"/>
      <c r="B26" s="61" t="s">
        <v>3</v>
      </c>
    </row>
    <row r="27" spans="1:13" ht="25.5">
      <c r="A27" s="62" t="s">
        <v>284</v>
      </c>
      <c r="B27" s="171" t="s">
        <v>142</v>
      </c>
      <c r="C27" s="170"/>
      <c r="D27" s="170"/>
      <c r="E27" s="170"/>
      <c r="F27" s="170"/>
      <c r="G27" s="170"/>
      <c r="H27" s="170"/>
    </row>
    <row r="28" spans="1:13" ht="25.5">
      <c r="B28" s="61" t="s">
        <v>3</v>
      </c>
    </row>
  </sheetData>
  <mergeCells count="9">
    <mergeCell ref="B23:M23"/>
    <mergeCell ref="B25:L25"/>
    <mergeCell ref="B27:H27"/>
    <mergeCell ref="A1:C1"/>
    <mergeCell ref="A14:K14"/>
    <mergeCell ref="A16:I16"/>
    <mergeCell ref="A17:K17"/>
    <mergeCell ref="B19:K19"/>
    <mergeCell ref="B21:I21"/>
  </mergeCells>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dimension ref="A1:Q21"/>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6" customWidth="1"/>
    <col min="2" max="2" width="6.42578125" customWidth="1"/>
    <col min="3" max="4" width="7.5703125" customWidth="1"/>
    <col min="5" max="5" width="8.28515625" customWidth="1"/>
    <col min="6" max="6" width="7.5703125" customWidth="1"/>
    <col min="7" max="14" width="8.5703125" customWidth="1"/>
    <col min="15" max="15" width="10.85546875" customWidth="1"/>
    <col min="16" max="16" width="8.5703125" customWidth="1"/>
    <col min="17" max="17" width="9.140625" customWidth="1"/>
  </cols>
  <sheetData>
    <row r="1" spans="1:17" ht="20.25">
      <c r="A1" s="1" t="s">
        <v>117</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5"/>
      <c r="B3" s="5"/>
      <c r="C3" s="5"/>
      <c r="D3" s="5"/>
      <c r="E3" s="5"/>
      <c r="F3" s="5"/>
      <c r="G3" s="5"/>
      <c r="H3" s="5"/>
      <c r="I3" s="5"/>
      <c r="J3" s="5"/>
      <c r="K3" s="5"/>
      <c r="L3" s="5"/>
      <c r="M3" s="5"/>
      <c r="N3" s="5"/>
      <c r="O3" s="5"/>
      <c r="P3" s="6"/>
    </row>
    <row r="4" spans="1:17" ht="25.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47" t="s">
        <v>356</v>
      </c>
      <c r="P4" s="47" t="s">
        <v>165</v>
      </c>
      <c r="Q4" s="2"/>
    </row>
    <row r="5" spans="1:17" ht="12.75" customHeight="1">
      <c r="A5" s="48" t="s">
        <v>68</v>
      </c>
      <c r="B5" s="49"/>
      <c r="C5" s="49"/>
      <c r="D5" s="49"/>
      <c r="E5" s="49"/>
      <c r="F5" s="49"/>
      <c r="G5" s="49"/>
      <c r="H5" s="49"/>
      <c r="I5" s="49"/>
      <c r="J5" s="49"/>
      <c r="K5" s="49"/>
      <c r="L5" s="49"/>
      <c r="M5" s="49"/>
      <c r="N5" s="49"/>
      <c r="O5" s="40"/>
      <c r="P5" s="41"/>
    </row>
    <row r="6" spans="1:17" ht="12.75" customHeight="1">
      <c r="A6" s="50" t="s">
        <v>383</v>
      </c>
      <c r="B6" s="64" t="s">
        <v>27</v>
      </c>
      <c r="C6" s="64" t="s">
        <v>19</v>
      </c>
      <c r="D6" s="64" t="s">
        <v>24</v>
      </c>
      <c r="E6" s="64" t="s">
        <v>25</v>
      </c>
      <c r="F6" s="64" t="s">
        <v>21</v>
      </c>
      <c r="G6" s="65">
        <v>7</v>
      </c>
      <c r="H6" s="65">
        <v>12</v>
      </c>
      <c r="I6" s="65">
        <v>15</v>
      </c>
      <c r="J6" s="65">
        <v>11</v>
      </c>
      <c r="K6" s="65">
        <v>8</v>
      </c>
      <c r="L6" s="65">
        <v>7</v>
      </c>
      <c r="M6" s="65">
        <v>3</v>
      </c>
      <c r="N6" s="52">
        <f>SUM(B6:M6)</f>
        <v>63</v>
      </c>
      <c r="O6" s="10"/>
    </row>
    <row r="7" spans="1:17" ht="12.75" customHeight="1">
      <c r="A7" s="50" t="s">
        <v>123</v>
      </c>
      <c r="B7" s="64" t="s">
        <v>27</v>
      </c>
      <c r="C7" s="64" t="s">
        <v>19</v>
      </c>
      <c r="D7" s="64" t="s">
        <v>247</v>
      </c>
      <c r="E7" s="64" t="s">
        <v>21</v>
      </c>
      <c r="F7" s="64" t="s">
        <v>30</v>
      </c>
      <c r="G7" s="65">
        <v>7</v>
      </c>
      <c r="H7" s="65">
        <v>16</v>
      </c>
      <c r="I7" s="65">
        <v>22</v>
      </c>
      <c r="J7" s="65">
        <v>17</v>
      </c>
      <c r="K7" s="65">
        <v>8</v>
      </c>
      <c r="L7" s="65">
        <v>16</v>
      </c>
      <c r="M7" s="65">
        <v>5</v>
      </c>
      <c r="N7" s="52">
        <f>SUM(B7:M7)</f>
        <v>91</v>
      </c>
      <c r="O7" s="10"/>
    </row>
    <row r="8" spans="1:17" ht="12.75" customHeight="1">
      <c r="A8" s="50" t="s">
        <v>391</v>
      </c>
      <c r="B8" s="64" t="s">
        <v>29</v>
      </c>
      <c r="C8" s="64" t="s">
        <v>17</v>
      </c>
      <c r="D8" s="64" t="s">
        <v>275</v>
      </c>
      <c r="E8" s="64" t="s">
        <v>273</v>
      </c>
      <c r="F8" s="64" t="s">
        <v>244</v>
      </c>
      <c r="G8" s="65">
        <v>18</v>
      </c>
      <c r="H8" s="65">
        <v>74</v>
      </c>
      <c r="I8" s="65">
        <v>63</v>
      </c>
      <c r="J8" s="65">
        <v>55</v>
      </c>
      <c r="K8" s="65">
        <v>15</v>
      </c>
      <c r="L8" s="65">
        <v>20</v>
      </c>
      <c r="M8" s="65">
        <v>6</v>
      </c>
      <c r="N8" s="52">
        <f>SUM(B8:M8)</f>
        <v>251</v>
      </c>
      <c r="O8" s="10"/>
    </row>
    <row r="9" spans="1:17" ht="12.75" customHeight="1">
      <c r="A9" s="50" t="s">
        <v>274</v>
      </c>
      <c r="B9" s="64" t="s">
        <v>229</v>
      </c>
      <c r="C9" s="64" t="s">
        <v>229</v>
      </c>
      <c r="D9" s="64" t="s">
        <v>229</v>
      </c>
      <c r="E9" s="64" t="s">
        <v>229</v>
      </c>
      <c r="F9" s="64" t="s">
        <v>229</v>
      </c>
      <c r="G9" s="64" t="s">
        <v>229</v>
      </c>
      <c r="H9" s="64" t="s">
        <v>229</v>
      </c>
      <c r="I9" s="64" t="s">
        <v>229</v>
      </c>
      <c r="J9" s="64" t="s">
        <v>229</v>
      </c>
      <c r="K9" s="64" t="s">
        <v>229</v>
      </c>
      <c r="L9" s="64" t="s">
        <v>229</v>
      </c>
      <c r="M9" s="64" t="s">
        <v>229</v>
      </c>
      <c r="N9" s="52">
        <f>SUM(B9:M9)</f>
        <v>0</v>
      </c>
      <c r="O9" s="10"/>
    </row>
    <row r="10" spans="1:17" ht="12.75" customHeight="1">
      <c r="A10" s="50" t="s">
        <v>171</v>
      </c>
      <c r="B10" s="64" t="s">
        <v>21</v>
      </c>
      <c r="C10" s="64" t="s">
        <v>20</v>
      </c>
      <c r="D10" s="64" t="s">
        <v>230</v>
      </c>
      <c r="E10" s="64" t="s">
        <v>218</v>
      </c>
      <c r="F10" s="64" t="s">
        <v>21</v>
      </c>
      <c r="G10" s="65">
        <v>12</v>
      </c>
      <c r="H10" s="65">
        <v>34</v>
      </c>
      <c r="I10" s="65">
        <v>24</v>
      </c>
      <c r="J10" s="65">
        <v>51</v>
      </c>
      <c r="K10" s="65">
        <v>12</v>
      </c>
      <c r="L10" s="65">
        <v>16</v>
      </c>
      <c r="M10" s="65">
        <v>3</v>
      </c>
      <c r="N10" s="52">
        <f>SUM(B10:M10)</f>
        <v>152</v>
      </c>
      <c r="O10" s="10" t="s">
        <v>13</v>
      </c>
    </row>
    <row r="11" spans="1:17" ht="12.75" customHeight="1">
      <c r="A11" s="50" t="s">
        <v>305</v>
      </c>
      <c r="B11" s="64" t="s">
        <v>77</v>
      </c>
      <c r="C11" s="64" t="s">
        <v>36</v>
      </c>
      <c r="D11" s="64" t="s">
        <v>213</v>
      </c>
      <c r="E11" s="64" t="s">
        <v>358</v>
      </c>
      <c r="F11" s="64" t="s">
        <v>40</v>
      </c>
      <c r="G11" s="66">
        <v>3.8888888888889998E-3</v>
      </c>
      <c r="H11" s="64" t="s">
        <v>381</v>
      </c>
      <c r="I11" s="64" t="s">
        <v>193</v>
      </c>
      <c r="J11" s="64" t="s">
        <v>215</v>
      </c>
      <c r="K11" s="64" t="s">
        <v>136</v>
      </c>
      <c r="L11" s="64" t="s">
        <v>178</v>
      </c>
      <c r="M11" s="64" t="s">
        <v>200</v>
      </c>
      <c r="N11" s="67" t="s">
        <v>252</v>
      </c>
      <c r="O11" s="10"/>
    </row>
    <row r="12" spans="1:17" ht="12.75" customHeight="1">
      <c r="A12" s="2"/>
      <c r="B12" s="68"/>
      <c r="C12" s="68"/>
      <c r="D12" s="68"/>
      <c r="E12" s="68"/>
      <c r="F12" s="68"/>
      <c r="G12" s="68"/>
      <c r="H12" s="69"/>
      <c r="I12" s="69"/>
      <c r="J12" s="69"/>
      <c r="K12" s="69"/>
      <c r="L12" s="69"/>
      <c r="M12" s="70"/>
      <c r="N12" s="71"/>
      <c r="O12" s="2"/>
    </row>
    <row r="13" spans="1:17" ht="12.75" customHeight="1">
      <c r="A13" s="2" t="s">
        <v>369</v>
      </c>
      <c r="B13" s="2" t="s">
        <v>145</v>
      </c>
      <c r="C13" s="2"/>
      <c r="D13" s="2"/>
      <c r="E13" s="2"/>
      <c r="F13" s="2"/>
      <c r="G13" s="2"/>
      <c r="H13" s="2"/>
      <c r="I13" s="2"/>
      <c r="J13" s="2"/>
      <c r="K13" s="2"/>
      <c r="L13" s="2"/>
      <c r="M13" s="2"/>
      <c r="N13" s="2"/>
      <c r="O13" s="2"/>
    </row>
    <row r="14" spans="1:17" ht="12.75" customHeight="1">
      <c r="A14" s="2"/>
      <c r="B14" s="5"/>
      <c r="C14" s="5"/>
      <c r="D14" s="5"/>
      <c r="E14" s="5"/>
      <c r="F14" s="5"/>
      <c r="G14" s="5"/>
      <c r="H14" s="5"/>
      <c r="I14" s="5"/>
      <c r="J14" s="5"/>
      <c r="K14" s="5"/>
      <c r="L14" s="5"/>
      <c r="M14" s="5"/>
      <c r="N14" s="5"/>
      <c r="O14" s="2"/>
    </row>
    <row r="15" spans="1:17" ht="12.75" customHeight="1">
      <c r="A15" s="50" t="s">
        <v>127</v>
      </c>
      <c r="B15" s="36"/>
      <c r="C15" s="36"/>
      <c r="D15" s="36"/>
      <c r="E15" s="36"/>
      <c r="F15" s="36"/>
      <c r="G15" s="36"/>
      <c r="H15" s="36"/>
      <c r="I15" s="36"/>
      <c r="J15" s="36"/>
      <c r="K15" s="36"/>
      <c r="L15" s="36"/>
      <c r="M15" s="36"/>
      <c r="N15" s="67">
        <f>SUM(B15:M15)</f>
        <v>0</v>
      </c>
      <c r="O15" s="53" t="s">
        <v>13</v>
      </c>
      <c r="P15" s="54" t="s">
        <v>13</v>
      </c>
    </row>
    <row r="16" spans="1:17" ht="12.75" customHeight="1">
      <c r="A16" s="2"/>
      <c r="B16" s="40"/>
      <c r="C16" s="40"/>
      <c r="D16" s="40"/>
      <c r="E16" s="40"/>
      <c r="F16" s="40"/>
      <c r="G16" s="40"/>
      <c r="H16" s="40"/>
      <c r="I16" s="40"/>
      <c r="J16" s="40"/>
      <c r="K16" s="40"/>
      <c r="L16" s="40"/>
      <c r="M16" s="40"/>
      <c r="N16" s="40"/>
      <c r="O16" s="2"/>
    </row>
    <row r="17" spans="1:15" ht="12.75" customHeight="1">
      <c r="B17" s="2"/>
      <c r="C17" s="2"/>
      <c r="D17" s="2"/>
      <c r="E17" s="2"/>
      <c r="F17" s="2"/>
      <c r="H17" s="2"/>
      <c r="I17" s="2"/>
      <c r="J17" s="2"/>
      <c r="K17" s="2"/>
      <c r="L17" s="2"/>
      <c r="M17" s="2"/>
      <c r="N17" s="2"/>
      <c r="O17" s="2"/>
    </row>
    <row r="18" spans="1:15" ht="12.75" customHeight="1">
      <c r="B18" s="2"/>
      <c r="C18" s="2"/>
      <c r="D18" s="2"/>
      <c r="E18" s="2"/>
      <c r="F18" s="2"/>
      <c r="G18" s="2"/>
      <c r="H18" s="2"/>
      <c r="I18" s="2"/>
      <c r="J18" s="2"/>
      <c r="K18" s="2"/>
      <c r="L18" s="2"/>
      <c r="M18" s="2"/>
      <c r="N18" s="2"/>
      <c r="O18" s="2"/>
    </row>
    <row r="19" spans="1:15" ht="12.75" customHeight="1">
      <c r="A19" s="2"/>
      <c r="B19" s="2"/>
      <c r="C19" s="2"/>
      <c r="D19" s="2"/>
      <c r="E19" s="2"/>
      <c r="F19" s="2"/>
      <c r="G19" s="2"/>
      <c r="H19" s="2"/>
      <c r="I19" s="2"/>
      <c r="J19" s="2"/>
      <c r="K19" s="2"/>
      <c r="L19" s="2"/>
      <c r="M19" s="2"/>
      <c r="N19" s="2"/>
      <c r="O19" s="2"/>
    </row>
    <row r="20" spans="1:15" ht="12.75" customHeight="1">
      <c r="A20" s="2"/>
      <c r="B20" s="2"/>
      <c r="C20" s="2"/>
      <c r="D20" s="2"/>
      <c r="E20" s="2"/>
      <c r="F20" s="2"/>
      <c r="G20" s="2"/>
      <c r="H20" s="2"/>
      <c r="I20" s="2"/>
      <c r="J20" s="2"/>
      <c r="K20" s="2"/>
      <c r="L20" s="2"/>
      <c r="M20" s="2"/>
      <c r="N20" s="2"/>
      <c r="O20" s="2"/>
    </row>
    <row r="21" spans="1:15" ht="12.75" customHeight="1">
      <c r="B21" s="2"/>
      <c r="C21" s="2"/>
      <c r="D21" s="2"/>
      <c r="E21" s="2"/>
      <c r="F21" s="2"/>
      <c r="H21" s="2"/>
      <c r="I21" s="2"/>
      <c r="J21" s="2"/>
      <c r="K21" s="2"/>
      <c r="L21" s="2"/>
      <c r="M21" s="2"/>
      <c r="N21" s="2"/>
      <c r="O21" s="2"/>
    </row>
  </sheetData>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dimension ref="A1:Q13"/>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8.140625" customWidth="1"/>
    <col min="2" max="14" width="8.5703125" customWidth="1"/>
    <col min="15" max="15" width="10.85546875" customWidth="1"/>
    <col min="16" max="16" width="8.5703125" customWidth="1"/>
    <col min="17" max="17" width="9.140625" customWidth="1"/>
  </cols>
  <sheetData>
    <row r="1" spans="1:17" ht="20.25">
      <c r="A1" s="1" t="s">
        <v>315</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5"/>
      <c r="P3" s="6"/>
    </row>
    <row r="4" spans="1:17" ht="25.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47" t="s">
        <v>356</v>
      </c>
      <c r="P4" s="47" t="s">
        <v>165</v>
      </c>
      <c r="Q4" s="2"/>
    </row>
    <row r="5" spans="1:17" ht="12.75" customHeight="1">
      <c r="A5" s="72" t="s">
        <v>315</v>
      </c>
      <c r="B5" s="49"/>
      <c r="C5" s="49"/>
      <c r="D5" s="49"/>
      <c r="E5" s="49"/>
      <c r="F5" s="49"/>
      <c r="G5" s="73"/>
      <c r="H5" s="49"/>
      <c r="I5" s="49"/>
      <c r="J5" s="49"/>
      <c r="K5" s="49"/>
      <c r="L5" s="49"/>
      <c r="M5" s="49"/>
      <c r="N5" s="49"/>
      <c r="O5" s="74"/>
      <c r="P5" s="74"/>
    </row>
    <row r="6" spans="1:17" ht="12.75" customHeight="1">
      <c r="A6" s="36" t="s">
        <v>260</v>
      </c>
      <c r="B6" s="75">
        <v>51</v>
      </c>
      <c r="C6" s="76">
        <v>39</v>
      </c>
      <c r="D6" s="76">
        <v>101</v>
      </c>
      <c r="E6" s="76">
        <v>179</v>
      </c>
      <c r="F6" s="76">
        <v>179</v>
      </c>
      <c r="G6" s="76">
        <v>50</v>
      </c>
      <c r="H6" s="76">
        <v>53</v>
      </c>
      <c r="I6" s="76">
        <v>233</v>
      </c>
      <c r="J6" s="76">
        <v>263</v>
      </c>
      <c r="K6" s="76">
        <v>157</v>
      </c>
      <c r="L6" s="76">
        <v>61</v>
      </c>
      <c r="M6" s="76">
        <v>38</v>
      </c>
      <c r="N6" s="52">
        <f>SUM(B6:M6)</f>
        <v>1404</v>
      </c>
      <c r="O6" s="53"/>
      <c r="P6" s="54"/>
    </row>
    <row r="7" spans="1:17" ht="12.75" customHeight="1">
      <c r="A7" s="36" t="s">
        <v>202</v>
      </c>
      <c r="B7" s="75">
        <v>8</v>
      </c>
      <c r="C7" s="76">
        <v>12</v>
      </c>
      <c r="D7" s="76">
        <v>22</v>
      </c>
      <c r="E7" s="76">
        <v>31</v>
      </c>
      <c r="F7" s="76">
        <v>59</v>
      </c>
      <c r="G7" s="76">
        <v>9</v>
      </c>
      <c r="H7" s="76">
        <v>8</v>
      </c>
      <c r="I7" s="76">
        <v>105</v>
      </c>
      <c r="J7" s="76">
        <v>97</v>
      </c>
      <c r="K7" s="76">
        <v>31</v>
      </c>
      <c r="L7" s="76">
        <v>29</v>
      </c>
      <c r="M7" s="76">
        <v>5</v>
      </c>
      <c r="N7" s="52">
        <f>SUM(B7:M7)</f>
        <v>416</v>
      </c>
      <c r="O7" s="53">
        <v>3042.5</v>
      </c>
      <c r="P7" s="54" t="s">
        <v>13</v>
      </c>
    </row>
    <row r="8" spans="1:17" ht="12.75" customHeight="1">
      <c r="A8" s="36" t="s">
        <v>4</v>
      </c>
      <c r="B8" s="75">
        <v>46</v>
      </c>
      <c r="C8" s="76">
        <v>22</v>
      </c>
      <c r="D8" s="76">
        <v>77</v>
      </c>
      <c r="E8" s="76">
        <v>153</v>
      </c>
      <c r="F8" s="76">
        <v>198</v>
      </c>
      <c r="G8" s="76">
        <v>48</v>
      </c>
      <c r="H8" s="76">
        <v>38</v>
      </c>
      <c r="I8" s="76">
        <v>193</v>
      </c>
      <c r="J8" s="76">
        <v>182</v>
      </c>
      <c r="K8" s="76">
        <v>94</v>
      </c>
      <c r="L8" s="76">
        <v>35</v>
      </c>
      <c r="M8" s="76">
        <v>24</v>
      </c>
      <c r="N8" s="52">
        <f>SUM(B8:M8)</f>
        <v>1110</v>
      </c>
      <c r="O8" s="53">
        <v>3042.5</v>
      </c>
      <c r="P8" s="54" t="s">
        <v>13</v>
      </c>
    </row>
    <row r="9" spans="1:17" ht="12.75" customHeight="1">
      <c r="A9" s="36" t="s">
        <v>226</v>
      </c>
      <c r="B9" s="75">
        <v>0</v>
      </c>
      <c r="C9" s="76">
        <v>0</v>
      </c>
      <c r="D9" s="76">
        <v>0</v>
      </c>
      <c r="E9" s="76">
        <v>0</v>
      </c>
      <c r="F9" s="76">
        <v>0</v>
      </c>
      <c r="G9" s="76">
        <v>0</v>
      </c>
      <c r="H9" s="76">
        <v>0</v>
      </c>
      <c r="I9" s="76">
        <v>0</v>
      </c>
      <c r="J9" s="76">
        <v>0</v>
      </c>
      <c r="K9" s="76">
        <v>0</v>
      </c>
      <c r="L9" s="76">
        <v>0</v>
      </c>
      <c r="M9" s="76">
        <v>0</v>
      </c>
      <c r="N9" s="52"/>
      <c r="O9" s="53"/>
      <c r="P9" s="54"/>
    </row>
    <row r="10" spans="1:17" ht="12.75" customHeight="1">
      <c r="A10" s="40"/>
      <c r="B10" s="41" t="s">
        <v>13</v>
      </c>
      <c r="C10" s="41"/>
      <c r="D10" s="41"/>
      <c r="E10" s="41"/>
      <c r="F10" s="41"/>
      <c r="G10" s="41"/>
      <c r="H10" s="41"/>
      <c r="I10" s="41"/>
      <c r="J10" s="41"/>
      <c r="K10" s="41"/>
      <c r="L10" s="41"/>
      <c r="M10" s="41"/>
      <c r="N10" s="41"/>
      <c r="O10" s="2"/>
      <c r="P10" s="77"/>
    </row>
    <row r="11" spans="1:17" ht="12.75" customHeight="1">
      <c r="A11" s="2"/>
      <c r="O11" s="2"/>
    </row>
    <row r="12" spans="1:17" ht="12.75" customHeight="1">
      <c r="A12" s="2" t="s">
        <v>15</v>
      </c>
      <c r="B12" s="2" t="s">
        <v>185</v>
      </c>
      <c r="O12" s="2"/>
    </row>
    <row r="13" spans="1:17" ht="12.75" customHeight="1">
      <c r="A13" s="2"/>
      <c r="O13" s="2"/>
    </row>
  </sheetData>
  <pageMargins left="0.75" right="0.75" top="1" bottom="1" header="0.5" footer="0.5"/>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dimension ref="A1:Q11"/>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2.7109375" customWidth="1"/>
    <col min="2" max="14" width="8.5703125" customWidth="1"/>
    <col min="15" max="15" width="10.85546875" customWidth="1"/>
    <col min="16" max="16" width="8.5703125" customWidth="1"/>
    <col min="17" max="17" width="9.140625" customWidth="1"/>
  </cols>
  <sheetData>
    <row r="1" spans="1:17" ht="20.25">
      <c r="A1" s="167" t="s">
        <v>277</v>
      </c>
      <c r="B1" s="168"/>
      <c r="C1" s="168"/>
      <c r="D1" s="168"/>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5"/>
      <c r="P3" s="6"/>
    </row>
    <row r="4" spans="1:17" ht="38.2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47" t="s">
        <v>191</v>
      </c>
      <c r="P4" s="47" t="s">
        <v>86</v>
      </c>
      <c r="Q4" s="2"/>
    </row>
    <row r="5" spans="1:17" ht="12.75" customHeight="1">
      <c r="A5" s="48" t="s">
        <v>302</v>
      </c>
      <c r="B5" s="49"/>
      <c r="C5" s="49"/>
      <c r="D5" s="49"/>
      <c r="E5" s="49"/>
      <c r="F5" s="49"/>
      <c r="G5" s="49"/>
      <c r="H5" s="49"/>
      <c r="I5" s="49"/>
      <c r="J5" s="49"/>
      <c r="K5" s="49"/>
      <c r="L5" s="49"/>
      <c r="M5" s="49"/>
      <c r="N5" s="49"/>
      <c r="O5" s="40"/>
      <c r="P5" s="41"/>
    </row>
    <row r="6" spans="1:17" ht="12.75" customHeight="1">
      <c r="A6" s="50" t="s">
        <v>260</v>
      </c>
      <c r="B6" s="78">
        <v>111</v>
      </c>
      <c r="C6" s="78">
        <v>76</v>
      </c>
      <c r="D6" s="78">
        <v>88</v>
      </c>
      <c r="E6" s="78">
        <v>497</v>
      </c>
      <c r="F6" s="78">
        <v>97</v>
      </c>
      <c r="G6" s="78">
        <v>113</v>
      </c>
      <c r="H6" s="78">
        <v>72</v>
      </c>
      <c r="I6" s="78">
        <v>49</v>
      </c>
      <c r="J6" s="78">
        <v>107</v>
      </c>
      <c r="K6" s="78">
        <v>143</v>
      </c>
      <c r="L6" s="78">
        <v>49</v>
      </c>
      <c r="M6" s="78">
        <v>69</v>
      </c>
      <c r="N6" s="52">
        <f>SUM(B6:M6)</f>
        <v>1471</v>
      </c>
      <c r="O6" s="10"/>
      <c r="P6" s="54"/>
    </row>
    <row r="7" spans="1:17" ht="12.75" customHeight="1">
      <c r="A7" s="50" t="s">
        <v>202</v>
      </c>
      <c r="B7" s="78">
        <v>363</v>
      </c>
      <c r="C7" s="78">
        <v>386</v>
      </c>
      <c r="D7" s="78">
        <v>243</v>
      </c>
      <c r="E7" s="78">
        <v>3830</v>
      </c>
      <c r="F7" s="37">
        <v>349</v>
      </c>
      <c r="G7" s="78">
        <v>302</v>
      </c>
      <c r="H7" s="78">
        <v>300</v>
      </c>
      <c r="I7" s="78">
        <v>193</v>
      </c>
      <c r="J7" s="78">
        <v>365</v>
      </c>
      <c r="K7" s="78">
        <v>424</v>
      </c>
      <c r="L7" s="78">
        <v>233</v>
      </c>
      <c r="M7" s="78">
        <v>282</v>
      </c>
      <c r="N7" s="52">
        <f>SUM(B7:M7)</f>
        <v>7270</v>
      </c>
      <c r="O7" s="53">
        <v>16073</v>
      </c>
      <c r="P7" s="54" t="s">
        <v>13</v>
      </c>
    </row>
    <row r="8" spans="1:17" ht="12.75" customHeight="1">
      <c r="A8" s="2"/>
      <c r="B8" s="41"/>
      <c r="C8" s="41"/>
      <c r="D8" s="41"/>
      <c r="E8" s="41"/>
      <c r="F8" s="41"/>
      <c r="G8" s="41"/>
      <c r="H8" s="41"/>
      <c r="I8" s="41"/>
      <c r="J8" s="41"/>
      <c r="K8" s="41"/>
      <c r="L8" s="41"/>
      <c r="M8" s="41"/>
      <c r="N8" s="41"/>
      <c r="O8" s="2"/>
    </row>
    <row r="9" spans="1:17" ht="12.75" customHeight="1">
      <c r="A9" s="2"/>
      <c r="O9" s="2"/>
    </row>
    <row r="10" spans="1:17" ht="12.75" customHeight="1">
      <c r="A10" s="2" t="s">
        <v>15</v>
      </c>
      <c r="B10" s="2" t="s">
        <v>145</v>
      </c>
      <c r="O10" s="2"/>
    </row>
    <row r="11" spans="1:17" ht="12.75" customHeight="1">
      <c r="A11" s="2"/>
      <c r="O11" s="2"/>
    </row>
  </sheetData>
  <mergeCells count="1">
    <mergeCell ref="A1:D1"/>
  </mergeCells>
  <pageMargins left="0.75" right="0.75" top="1" bottom="1" header="0.5" footer="0.5"/>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dimension ref="A1:P18"/>
  <sheetViews>
    <sheetView zoomScaleNormal="100" workbookViewId="0">
      <pane ySplit="2" topLeftCell="A3" activePane="bottomLeft" state="frozen"/>
      <selection pane="bottomLeft" activeCell="A3" sqref="A3"/>
    </sheetView>
  </sheetViews>
  <sheetFormatPr defaultColWidth="17.140625" defaultRowHeight="12.75" customHeight="1"/>
  <cols>
    <col min="1" max="1" width="27.7109375" customWidth="1"/>
    <col min="2" max="2" width="10.42578125" customWidth="1"/>
    <col min="3" max="3" width="10.140625" customWidth="1"/>
    <col min="4" max="4" width="11.28515625" customWidth="1"/>
    <col min="5" max="5" width="9.5703125" customWidth="1"/>
    <col min="6" max="6" width="10" customWidth="1"/>
    <col min="7" max="7" width="9.7109375" customWidth="1"/>
    <col min="8" max="8" width="10.140625" customWidth="1"/>
    <col min="9" max="9" width="8.5703125" customWidth="1"/>
    <col min="10" max="10" width="10.85546875" customWidth="1"/>
    <col min="11" max="11" width="10" customWidth="1"/>
    <col min="12" max="12" width="9.85546875" customWidth="1"/>
    <col min="13" max="13" width="10.42578125" customWidth="1"/>
    <col min="14" max="14" width="10.5703125" customWidth="1"/>
    <col min="15" max="15" width="10.85546875" customWidth="1"/>
    <col min="16" max="20" width="17.140625" customWidth="1"/>
  </cols>
  <sheetData>
    <row r="1" spans="1:16" ht="20.25">
      <c r="A1" s="167" t="s">
        <v>324</v>
      </c>
      <c r="B1" s="170"/>
      <c r="C1" s="170"/>
      <c r="D1" s="170"/>
    </row>
    <row r="2" spans="1:16" ht="18">
      <c r="A2" s="173" t="s">
        <v>192</v>
      </c>
      <c r="B2" s="170"/>
      <c r="C2" s="170"/>
      <c r="D2" s="170"/>
      <c r="E2" s="170"/>
      <c r="F2" s="170"/>
    </row>
    <row r="5" spans="1:16" ht="12.75" customHeight="1">
      <c r="A5" s="6"/>
      <c r="B5" s="6"/>
      <c r="C5" s="6"/>
      <c r="D5" s="6"/>
      <c r="E5" s="6"/>
      <c r="F5" s="6"/>
      <c r="G5" s="6"/>
      <c r="H5" s="6"/>
      <c r="I5" s="6"/>
      <c r="J5" s="6"/>
      <c r="K5" s="6"/>
      <c r="L5" s="6"/>
      <c r="M5" s="6"/>
      <c r="N5" s="6"/>
      <c r="O5" s="6"/>
      <c r="P5" s="6"/>
    </row>
    <row r="6" spans="1:16" ht="25.5">
      <c r="A6" s="45"/>
      <c r="B6" s="46">
        <v>39630</v>
      </c>
      <c r="C6" s="46">
        <v>39661</v>
      </c>
      <c r="D6" s="46">
        <v>39692</v>
      </c>
      <c r="E6" s="46">
        <v>39722</v>
      </c>
      <c r="F6" s="46">
        <v>39753</v>
      </c>
      <c r="G6" s="46">
        <v>39783</v>
      </c>
      <c r="H6" s="46">
        <v>39814</v>
      </c>
      <c r="I6" s="46">
        <v>39845</v>
      </c>
      <c r="J6" s="46">
        <v>39873</v>
      </c>
      <c r="K6" s="46">
        <v>39904</v>
      </c>
      <c r="L6" s="46">
        <v>39934</v>
      </c>
      <c r="M6" s="46">
        <v>39965</v>
      </c>
      <c r="N6" s="47" t="s">
        <v>354</v>
      </c>
      <c r="O6" s="47" t="s">
        <v>191</v>
      </c>
      <c r="P6" s="47" t="s">
        <v>86</v>
      </c>
    </row>
    <row r="7" spans="1:16" ht="12.75" customHeight="1">
      <c r="A7" s="56" t="s">
        <v>362</v>
      </c>
      <c r="B7" s="57"/>
      <c r="C7" s="57"/>
      <c r="D7" s="57"/>
      <c r="E7" s="57"/>
      <c r="F7" s="57"/>
      <c r="G7" s="57"/>
      <c r="H7" s="57"/>
      <c r="I7" s="57"/>
      <c r="J7" s="57"/>
      <c r="K7" s="57"/>
      <c r="L7" s="57"/>
      <c r="M7" s="57"/>
      <c r="N7" s="57"/>
      <c r="O7" s="41"/>
      <c r="P7" s="41"/>
    </row>
    <row r="8" spans="1:16" ht="12.75" customHeight="1">
      <c r="A8" s="50" t="s">
        <v>236</v>
      </c>
      <c r="B8" s="78" t="s">
        <v>229</v>
      </c>
      <c r="C8" s="78" t="s">
        <v>229</v>
      </c>
      <c r="D8" s="78" t="s">
        <v>229</v>
      </c>
      <c r="E8" s="78" t="s">
        <v>229</v>
      </c>
      <c r="F8" s="78" t="s">
        <v>229</v>
      </c>
      <c r="G8" s="78" t="s">
        <v>229</v>
      </c>
      <c r="H8" s="78">
        <v>38</v>
      </c>
      <c r="I8" s="78">
        <v>91</v>
      </c>
      <c r="J8" s="78">
        <v>216</v>
      </c>
      <c r="K8" s="78">
        <v>199</v>
      </c>
      <c r="L8" s="78">
        <v>4</v>
      </c>
      <c r="M8" s="78">
        <v>31</v>
      </c>
      <c r="N8" s="52">
        <f t="shared" ref="N8:N13" si="0">SUM(B8:M8)</f>
        <v>579</v>
      </c>
      <c r="O8" s="17"/>
    </row>
    <row r="9" spans="1:16" ht="12.75" customHeight="1">
      <c r="A9" s="50" t="s">
        <v>179</v>
      </c>
      <c r="B9" s="79" t="s">
        <v>229</v>
      </c>
      <c r="C9" s="79" t="s">
        <v>229</v>
      </c>
      <c r="D9" s="79" t="s">
        <v>229</v>
      </c>
      <c r="E9" s="79" t="s">
        <v>229</v>
      </c>
      <c r="F9" s="79" t="s">
        <v>229</v>
      </c>
      <c r="G9" s="79" t="s">
        <v>229</v>
      </c>
      <c r="H9" s="79" t="s">
        <v>229</v>
      </c>
      <c r="I9" s="79" t="s">
        <v>229</v>
      </c>
      <c r="J9" s="79" t="s">
        <v>229</v>
      </c>
      <c r="K9" s="79" t="s">
        <v>229</v>
      </c>
      <c r="L9" s="79" t="s">
        <v>229</v>
      </c>
      <c r="M9" s="79" t="s">
        <v>229</v>
      </c>
      <c r="N9" s="52">
        <f t="shared" si="0"/>
        <v>0</v>
      </c>
      <c r="O9" s="80">
        <v>1613</v>
      </c>
      <c r="P9" s="81" t="s">
        <v>13</v>
      </c>
    </row>
    <row r="10" spans="1:16" ht="12.75" customHeight="1">
      <c r="A10" s="58" t="s">
        <v>242</v>
      </c>
      <c r="B10" s="82" t="s">
        <v>229</v>
      </c>
      <c r="C10" s="82" t="s">
        <v>229</v>
      </c>
      <c r="D10" s="82" t="s">
        <v>229</v>
      </c>
      <c r="E10" s="82" t="s">
        <v>229</v>
      </c>
      <c r="F10" s="82" t="s">
        <v>229</v>
      </c>
      <c r="G10" s="82" t="s">
        <v>229</v>
      </c>
      <c r="H10" s="82" t="s">
        <v>229</v>
      </c>
      <c r="I10" s="82" t="s">
        <v>229</v>
      </c>
      <c r="J10" s="82" t="s">
        <v>229</v>
      </c>
      <c r="K10" s="82" t="s">
        <v>229</v>
      </c>
      <c r="L10" s="82" t="s">
        <v>229</v>
      </c>
      <c r="M10" s="82" t="s">
        <v>229</v>
      </c>
      <c r="N10" s="52">
        <f t="shared" si="0"/>
        <v>0</v>
      </c>
      <c r="O10" s="17"/>
    </row>
    <row r="11" spans="1:16" ht="12.75" customHeight="1">
      <c r="A11" s="58" t="s">
        <v>202</v>
      </c>
      <c r="B11" s="83" t="s">
        <v>229</v>
      </c>
      <c r="C11" s="83" t="s">
        <v>229</v>
      </c>
      <c r="D11" s="83" t="s">
        <v>229</v>
      </c>
      <c r="E11" s="83" t="s">
        <v>229</v>
      </c>
      <c r="F11" s="83" t="s">
        <v>229</v>
      </c>
      <c r="G11" s="83" t="s">
        <v>229</v>
      </c>
      <c r="H11" s="83">
        <v>48</v>
      </c>
      <c r="I11" s="83">
        <v>149</v>
      </c>
      <c r="J11" s="83">
        <v>219</v>
      </c>
      <c r="K11" s="83">
        <v>217</v>
      </c>
      <c r="L11" s="83">
        <v>6</v>
      </c>
      <c r="M11" s="83">
        <v>39</v>
      </c>
      <c r="N11" s="52">
        <f t="shared" si="0"/>
        <v>678</v>
      </c>
      <c r="O11" s="17"/>
    </row>
    <row r="12" spans="1:16">
      <c r="A12" s="58" t="s">
        <v>259</v>
      </c>
      <c r="B12" s="83" t="s">
        <v>229</v>
      </c>
      <c r="C12" s="83" t="s">
        <v>229</v>
      </c>
      <c r="D12" s="83" t="s">
        <v>229</v>
      </c>
      <c r="E12" s="83" t="s">
        <v>229</v>
      </c>
      <c r="F12" s="83" t="s">
        <v>229</v>
      </c>
      <c r="G12" s="83" t="s">
        <v>229</v>
      </c>
      <c r="H12" s="83" t="s">
        <v>229</v>
      </c>
      <c r="I12" s="83" t="s">
        <v>229</v>
      </c>
      <c r="J12" s="83" t="s">
        <v>229</v>
      </c>
      <c r="K12" s="83" t="s">
        <v>229</v>
      </c>
      <c r="L12" s="83" t="s">
        <v>229</v>
      </c>
      <c r="M12" s="83" t="s">
        <v>229</v>
      </c>
      <c r="N12" s="52">
        <f t="shared" si="0"/>
        <v>0</v>
      </c>
      <c r="O12" s="17"/>
    </row>
    <row r="13" spans="1:16" ht="12.75" customHeight="1">
      <c r="A13" s="58" t="s">
        <v>186</v>
      </c>
      <c r="B13" s="83" t="s">
        <v>229</v>
      </c>
      <c r="C13" s="83" t="s">
        <v>229</v>
      </c>
      <c r="D13" s="83" t="s">
        <v>229</v>
      </c>
      <c r="E13" s="83" t="s">
        <v>229</v>
      </c>
      <c r="F13" s="83" t="s">
        <v>229</v>
      </c>
      <c r="G13" s="83" t="s">
        <v>229</v>
      </c>
      <c r="H13" s="83" t="s">
        <v>229</v>
      </c>
      <c r="I13" s="83" t="s">
        <v>229</v>
      </c>
      <c r="J13" s="83" t="s">
        <v>229</v>
      </c>
      <c r="K13" s="83" t="s">
        <v>229</v>
      </c>
      <c r="L13" s="83" t="s">
        <v>229</v>
      </c>
      <c r="M13" s="83" t="s">
        <v>229</v>
      </c>
      <c r="N13" s="52">
        <f t="shared" si="0"/>
        <v>0</v>
      </c>
      <c r="O13" s="17"/>
    </row>
    <row r="14" spans="1:16" ht="12.75" customHeight="1">
      <c r="B14" s="41"/>
      <c r="C14" s="41"/>
      <c r="D14" s="41"/>
      <c r="E14" s="41"/>
      <c r="F14" s="41"/>
      <c r="G14" s="41"/>
      <c r="H14" s="41"/>
      <c r="I14" s="41"/>
      <c r="J14" s="41"/>
      <c r="K14" s="41"/>
      <c r="L14" s="41"/>
      <c r="M14" s="41"/>
      <c r="N14" s="41"/>
    </row>
    <row r="16" spans="1:16" ht="12.75" customHeight="1">
      <c r="A16" s="61" t="s">
        <v>162</v>
      </c>
      <c r="B16" s="84">
        <v>10</v>
      </c>
    </row>
    <row r="18" spans="1:2" ht="12.75" customHeight="1">
      <c r="A18" s="61" t="s">
        <v>52</v>
      </c>
      <c r="B18" s="61" t="s">
        <v>145</v>
      </c>
    </row>
  </sheetData>
  <mergeCells count="2">
    <mergeCell ref="A1:D1"/>
    <mergeCell ref="A2:F2"/>
  </mergeCells>
  <pageMargins left="0.75" right="0.75" top="1" bottom="1" header="0.5" footer="0.5"/>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dimension ref="A1:P11"/>
  <sheetViews>
    <sheetView zoomScaleNormal="100" workbookViewId="0">
      <pane ySplit="2" topLeftCell="A3" activePane="bottomLeft" state="frozen"/>
      <selection pane="bottomLeft" activeCell="A3" sqref="A3"/>
    </sheetView>
  </sheetViews>
  <sheetFormatPr defaultColWidth="17.140625" defaultRowHeight="12.75" customHeight="1"/>
  <cols>
    <col min="1" max="1" width="25.140625" customWidth="1"/>
    <col min="2" max="16" width="10.85546875" customWidth="1"/>
    <col min="17" max="20" width="17.140625" customWidth="1"/>
  </cols>
  <sheetData>
    <row r="1" spans="1:16" ht="20.25">
      <c r="A1" s="167" t="s">
        <v>360</v>
      </c>
      <c r="B1" s="170"/>
      <c r="C1" s="170"/>
      <c r="D1" s="170"/>
    </row>
    <row r="2" spans="1:16" ht="18">
      <c r="A2" s="173" t="s">
        <v>192</v>
      </c>
      <c r="B2" s="170"/>
      <c r="C2" s="170"/>
      <c r="D2" s="170"/>
      <c r="E2" s="170"/>
      <c r="F2" s="170"/>
    </row>
    <row r="3" spans="1:16" ht="12.75" customHeight="1">
      <c r="A3" s="6"/>
      <c r="B3" s="6"/>
      <c r="C3" s="6"/>
      <c r="D3" s="6"/>
      <c r="E3" s="6"/>
      <c r="F3" s="6"/>
      <c r="G3" s="6"/>
      <c r="H3" s="6"/>
      <c r="I3" s="6"/>
      <c r="J3" s="6"/>
      <c r="K3" s="6"/>
      <c r="L3" s="6"/>
      <c r="M3" s="6"/>
      <c r="N3" s="6"/>
      <c r="O3" s="6"/>
      <c r="P3" s="6"/>
    </row>
    <row r="4" spans="1:16" ht="25.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47" t="s">
        <v>191</v>
      </c>
      <c r="P4" s="47" t="s">
        <v>86</v>
      </c>
    </row>
    <row r="5" spans="1:16" ht="12.75" customHeight="1">
      <c r="A5" s="56" t="s">
        <v>84</v>
      </c>
      <c r="B5" s="57"/>
      <c r="C5" s="57"/>
      <c r="D5" s="57"/>
      <c r="E5" s="57"/>
      <c r="F5" s="57"/>
      <c r="G5" s="57"/>
      <c r="H5" s="57"/>
      <c r="I5" s="57"/>
      <c r="J5" s="57"/>
      <c r="K5" s="57"/>
      <c r="L5" s="57"/>
      <c r="M5" s="57"/>
      <c r="N5" s="57"/>
      <c r="O5" s="41"/>
      <c r="P5" s="41"/>
    </row>
    <row r="6" spans="1:16" ht="12.75" customHeight="1">
      <c r="A6" s="50" t="s">
        <v>202</v>
      </c>
      <c r="B6" s="78">
        <v>0</v>
      </c>
      <c r="C6" s="78">
        <v>1</v>
      </c>
      <c r="D6" s="78">
        <v>0</v>
      </c>
      <c r="E6" s="78">
        <v>0</v>
      </c>
      <c r="F6" s="78">
        <v>1</v>
      </c>
      <c r="G6" s="78">
        <v>0</v>
      </c>
      <c r="H6" s="78">
        <v>0</v>
      </c>
      <c r="I6" s="78">
        <v>0</v>
      </c>
      <c r="J6" s="78">
        <v>0</v>
      </c>
      <c r="K6" s="78">
        <v>0</v>
      </c>
      <c r="L6" s="78">
        <v>0</v>
      </c>
      <c r="M6" s="78">
        <v>0</v>
      </c>
      <c r="N6" s="52">
        <f>SUM(B6:M6)</f>
        <v>2</v>
      </c>
      <c r="O6" s="17"/>
    </row>
    <row r="7" spans="1:16" ht="12.75" customHeight="1">
      <c r="A7" s="50" t="s">
        <v>260</v>
      </c>
      <c r="B7" s="85">
        <v>2</v>
      </c>
      <c r="C7" s="85">
        <v>1</v>
      </c>
      <c r="D7" s="85">
        <v>0</v>
      </c>
      <c r="E7" s="85">
        <v>4</v>
      </c>
      <c r="F7" s="85">
        <v>3</v>
      </c>
      <c r="G7" s="85">
        <v>0</v>
      </c>
      <c r="H7" s="85">
        <v>1</v>
      </c>
      <c r="I7" s="85">
        <v>0</v>
      </c>
      <c r="J7" s="85">
        <v>0</v>
      </c>
      <c r="K7" s="85">
        <v>2</v>
      </c>
      <c r="L7" s="85">
        <v>0</v>
      </c>
      <c r="M7" s="85">
        <v>0</v>
      </c>
      <c r="N7" s="52">
        <f>SUM(B7:M7)</f>
        <v>13</v>
      </c>
      <c r="O7" s="80">
        <v>338</v>
      </c>
      <c r="P7" s="81" t="s">
        <v>13</v>
      </c>
    </row>
    <row r="8" spans="1:16" ht="12.75" customHeight="1">
      <c r="B8" s="41"/>
      <c r="C8" s="41"/>
      <c r="D8" s="41"/>
      <c r="E8" s="41"/>
      <c r="F8" s="41"/>
      <c r="G8" s="41"/>
      <c r="H8" s="41"/>
      <c r="I8" s="41"/>
      <c r="J8" s="41"/>
      <c r="K8" s="41"/>
      <c r="L8" s="41"/>
      <c r="M8" s="41"/>
      <c r="N8" s="41"/>
    </row>
    <row r="11" spans="1:16" ht="12.75" customHeight="1">
      <c r="A11" s="61" t="s">
        <v>52</v>
      </c>
      <c r="B11" s="61" t="s">
        <v>185</v>
      </c>
    </row>
  </sheetData>
  <mergeCells count="2">
    <mergeCell ref="A1:D1"/>
    <mergeCell ref="A2:F2"/>
  </mergeCells>
  <pageMargins left="0.75" right="0.75" top="1" bottom="1" header="0.5" footer="0.5"/>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dimension ref="A1:Q138"/>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2.5703125" customWidth="1"/>
    <col min="2" max="14" width="8.5703125" customWidth="1"/>
    <col min="15" max="15" width="10.85546875" customWidth="1"/>
    <col min="16" max="16" width="9.7109375" customWidth="1"/>
    <col min="17" max="17" width="9.140625" customWidth="1"/>
  </cols>
  <sheetData>
    <row r="1" spans="1:17" ht="20.25">
      <c r="A1" s="1" t="s">
        <v>147</v>
      </c>
      <c r="B1" s="2"/>
      <c r="C1" s="2"/>
      <c r="D1" s="2"/>
      <c r="E1" s="2"/>
      <c r="F1" s="2"/>
      <c r="G1" s="2"/>
      <c r="H1" s="2"/>
      <c r="I1" s="2"/>
      <c r="J1" s="2"/>
      <c r="K1" s="2"/>
      <c r="L1" s="2"/>
      <c r="M1" s="2"/>
      <c r="N1" s="2"/>
      <c r="O1" s="2"/>
      <c r="P1" s="2"/>
      <c r="Q1" s="2"/>
    </row>
    <row r="2" spans="1:17" ht="18">
      <c r="A2" s="44" t="s">
        <v>94</v>
      </c>
      <c r="B2" s="2"/>
      <c r="C2" s="2"/>
      <c r="D2" s="2"/>
      <c r="E2" s="2"/>
      <c r="F2" s="2"/>
      <c r="G2" s="2"/>
      <c r="H2" s="2"/>
      <c r="I2" s="2"/>
      <c r="J2" s="2"/>
      <c r="K2" s="2"/>
      <c r="L2" s="2"/>
      <c r="M2" s="2"/>
      <c r="N2" s="2"/>
      <c r="O2" s="2"/>
      <c r="P2" s="2"/>
      <c r="Q2" s="2"/>
    </row>
    <row r="3" spans="1:17" ht="12.75" customHeight="1">
      <c r="A3" s="86"/>
      <c r="B3" s="87"/>
      <c r="C3" s="87"/>
      <c r="D3" s="87"/>
      <c r="E3" s="87"/>
      <c r="F3" s="87"/>
      <c r="G3" s="87"/>
      <c r="H3" s="87"/>
      <c r="I3" s="87"/>
      <c r="J3" s="87"/>
      <c r="K3" s="87"/>
      <c r="L3" s="87"/>
      <c r="M3" s="87"/>
      <c r="N3" s="87"/>
      <c r="O3" s="5"/>
      <c r="P3" s="5"/>
    </row>
    <row r="4" spans="1:17" ht="25.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55" t="s">
        <v>86</v>
      </c>
      <c r="Q4" s="2"/>
    </row>
    <row r="5" spans="1:17" ht="12.75" customHeight="1">
      <c r="A5" s="48" t="s">
        <v>278</v>
      </c>
      <c r="B5" s="57"/>
      <c r="C5" s="57"/>
      <c r="D5" s="57"/>
      <c r="E5" s="57"/>
      <c r="F5" s="57"/>
      <c r="G5" s="57"/>
      <c r="H5" s="57"/>
      <c r="I5" s="57"/>
      <c r="J5" s="57"/>
      <c r="K5" s="57"/>
      <c r="L5" s="57"/>
      <c r="M5" s="57"/>
      <c r="N5" s="57"/>
      <c r="O5" s="74"/>
      <c r="P5" s="74"/>
    </row>
    <row r="6" spans="1:17" ht="12.75" customHeight="1">
      <c r="A6" s="50" t="s">
        <v>202</v>
      </c>
      <c r="B6" s="78" t="s">
        <v>229</v>
      </c>
      <c r="C6" s="78" t="s">
        <v>229</v>
      </c>
      <c r="D6" s="78" t="s">
        <v>229</v>
      </c>
      <c r="E6" s="78" t="s">
        <v>229</v>
      </c>
      <c r="F6" s="78" t="s">
        <v>229</v>
      </c>
      <c r="G6" s="78" t="s">
        <v>229</v>
      </c>
      <c r="H6" s="78" t="s">
        <v>229</v>
      </c>
      <c r="I6" s="78" t="s">
        <v>229</v>
      </c>
      <c r="J6" s="78" t="s">
        <v>229</v>
      </c>
      <c r="K6" s="78" t="s">
        <v>229</v>
      </c>
      <c r="L6" s="78" t="s">
        <v>229</v>
      </c>
      <c r="M6" s="78" t="s">
        <v>229</v>
      </c>
      <c r="N6" s="52" t="s">
        <v>229</v>
      </c>
      <c r="O6" s="53">
        <v>8025</v>
      </c>
      <c r="P6" s="54" t="s">
        <v>13</v>
      </c>
    </row>
    <row r="7" spans="1:17" ht="12.75" customHeight="1">
      <c r="A7" s="2"/>
      <c r="B7" s="69"/>
      <c r="C7" s="69"/>
      <c r="D7" s="69"/>
      <c r="E7" s="69"/>
      <c r="F7" s="69"/>
      <c r="G7" s="69"/>
      <c r="H7" s="69"/>
      <c r="I7" s="69"/>
      <c r="J7" s="69"/>
      <c r="K7" s="69"/>
      <c r="L7" s="69"/>
      <c r="M7" s="69"/>
      <c r="N7" s="88"/>
      <c r="O7" s="54"/>
      <c r="P7" s="54"/>
    </row>
    <row r="8" spans="1:17" ht="12.75" customHeight="1">
      <c r="A8" s="5"/>
      <c r="B8" s="89"/>
      <c r="C8" s="89"/>
      <c r="D8" s="89"/>
      <c r="E8" s="89"/>
      <c r="F8" s="89"/>
      <c r="G8" s="89"/>
      <c r="H8" s="89"/>
      <c r="I8" s="89"/>
      <c r="J8" s="89"/>
      <c r="K8" s="89"/>
      <c r="L8" s="89"/>
      <c r="M8" s="89"/>
      <c r="N8" s="90"/>
      <c r="O8" s="91"/>
      <c r="P8" s="91"/>
    </row>
    <row r="9" spans="1:17" ht="25.5">
      <c r="A9" s="45"/>
      <c r="B9" s="46">
        <v>39630</v>
      </c>
      <c r="C9" s="46">
        <v>39661</v>
      </c>
      <c r="D9" s="46">
        <v>39692</v>
      </c>
      <c r="E9" s="46">
        <v>39722</v>
      </c>
      <c r="F9" s="46">
        <v>39753</v>
      </c>
      <c r="G9" s="46">
        <v>39783</v>
      </c>
      <c r="H9" s="46">
        <v>39814</v>
      </c>
      <c r="I9" s="46">
        <v>39845</v>
      </c>
      <c r="J9" s="46">
        <v>39873</v>
      </c>
      <c r="K9" s="46">
        <v>39904</v>
      </c>
      <c r="L9" s="46">
        <v>39934</v>
      </c>
      <c r="M9" s="46">
        <v>39965</v>
      </c>
      <c r="N9" s="47" t="s">
        <v>354</v>
      </c>
      <c r="O9" s="55" t="s">
        <v>191</v>
      </c>
      <c r="P9" s="55" t="s">
        <v>86</v>
      </c>
      <c r="Q9" s="2"/>
    </row>
    <row r="10" spans="1:17" ht="12.75" customHeight="1">
      <c r="A10" s="48" t="s">
        <v>42</v>
      </c>
      <c r="B10" s="46"/>
      <c r="C10" s="46"/>
      <c r="D10" s="46"/>
      <c r="E10" s="46"/>
      <c r="F10" s="46"/>
      <c r="G10" s="46"/>
      <c r="H10" s="46"/>
      <c r="I10" s="46"/>
      <c r="J10" s="46"/>
      <c r="K10" s="46"/>
      <c r="L10" s="46"/>
      <c r="M10" s="46"/>
      <c r="N10" s="57"/>
      <c r="O10" s="74"/>
      <c r="P10" s="74"/>
    </row>
    <row r="11" spans="1:17" ht="12.75" customHeight="1">
      <c r="A11" s="50" t="s">
        <v>202</v>
      </c>
      <c r="B11" s="78">
        <v>90</v>
      </c>
      <c r="C11" s="78">
        <v>49</v>
      </c>
      <c r="D11" s="78">
        <v>259</v>
      </c>
      <c r="E11" s="78">
        <v>341</v>
      </c>
      <c r="F11" s="78">
        <v>237</v>
      </c>
      <c r="G11" s="78">
        <v>185</v>
      </c>
      <c r="H11" s="78">
        <v>46</v>
      </c>
      <c r="I11" s="78">
        <v>190</v>
      </c>
      <c r="J11" s="78">
        <v>164</v>
      </c>
      <c r="K11" s="78">
        <v>210</v>
      </c>
      <c r="L11" s="78">
        <v>73</v>
      </c>
      <c r="M11" s="78">
        <v>73</v>
      </c>
      <c r="N11" s="52">
        <f>SUM(B11:M11)</f>
        <v>1917</v>
      </c>
      <c r="O11" s="53">
        <v>0</v>
      </c>
      <c r="P11" s="92" t="s">
        <v>13</v>
      </c>
    </row>
    <row r="12" spans="1:17" ht="12.75" customHeight="1">
      <c r="A12" s="2"/>
      <c r="B12" s="69"/>
      <c r="C12" s="69"/>
      <c r="D12" s="69"/>
      <c r="E12" s="69"/>
      <c r="F12" s="69"/>
      <c r="G12" s="69"/>
      <c r="H12" s="69"/>
      <c r="I12" s="69"/>
      <c r="J12" s="69"/>
      <c r="K12" s="69"/>
      <c r="L12" s="69"/>
      <c r="M12" s="69"/>
      <c r="N12" s="88"/>
      <c r="O12" s="54"/>
      <c r="P12" s="54"/>
    </row>
    <row r="13" spans="1:17" ht="12.75" customHeight="1">
      <c r="A13" s="5"/>
      <c r="B13" s="89"/>
      <c r="C13" s="89"/>
      <c r="D13" s="89"/>
      <c r="E13" s="89"/>
      <c r="F13" s="89"/>
      <c r="G13" s="89"/>
      <c r="H13" s="89"/>
      <c r="I13" s="89"/>
      <c r="J13" s="89"/>
      <c r="K13" s="89"/>
      <c r="L13" s="89"/>
      <c r="M13" s="89"/>
      <c r="N13" s="90"/>
      <c r="O13" s="91"/>
      <c r="P13" s="91"/>
    </row>
    <row r="14" spans="1:17" ht="25.5">
      <c r="A14" s="45"/>
      <c r="B14" s="46">
        <v>39630</v>
      </c>
      <c r="C14" s="46">
        <v>39661</v>
      </c>
      <c r="D14" s="46">
        <v>39692</v>
      </c>
      <c r="E14" s="46">
        <v>39722</v>
      </c>
      <c r="F14" s="46">
        <v>39753</v>
      </c>
      <c r="G14" s="46">
        <v>39783</v>
      </c>
      <c r="H14" s="46">
        <v>39814</v>
      </c>
      <c r="I14" s="46">
        <v>39845</v>
      </c>
      <c r="J14" s="46">
        <v>39873</v>
      </c>
      <c r="K14" s="46">
        <v>39904</v>
      </c>
      <c r="L14" s="46">
        <v>39934</v>
      </c>
      <c r="M14" s="46">
        <v>39965</v>
      </c>
      <c r="N14" s="47" t="s">
        <v>354</v>
      </c>
      <c r="O14" s="55" t="s">
        <v>191</v>
      </c>
      <c r="P14" s="55" t="s">
        <v>86</v>
      </c>
      <c r="Q14" s="2"/>
    </row>
    <row r="15" spans="1:17" ht="12.75" customHeight="1">
      <c r="A15" s="48" t="s">
        <v>155</v>
      </c>
      <c r="B15" s="46"/>
      <c r="C15" s="46"/>
      <c r="D15" s="46"/>
      <c r="E15" s="46"/>
      <c r="F15" s="46"/>
      <c r="G15" s="46"/>
      <c r="H15" s="46"/>
      <c r="I15" s="46"/>
      <c r="J15" s="46"/>
      <c r="K15" s="46"/>
      <c r="L15" s="46"/>
      <c r="M15" s="46"/>
      <c r="N15" s="57"/>
      <c r="O15" s="74"/>
      <c r="P15" s="74"/>
    </row>
    <row r="16" spans="1:17" ht="12.75" customHeight="1">
      <c r="A16" s="50" t="s">
        <v>202</v>
      </c>
      <c r="B16" s="78">
        <v>12</v>
      </c>
      <c r="C16" s="78">
        <v>64</v>
      </c>
      <c r="D16" s="78">
        <v>16</v>
      </c>
      <c r="E16" s="78">
        <v>13</v>
      </c>
      <c r="F16" s="78">
        <v>12</v>
      </c>
      <c r="G16" s="78">
        <v>5</v>
      </c>
      <c r="H16" s="78">
        <v>3</v>
      </c>
      <c r="I16" s="78">
        <v>69</v>
      </c>
      <c r="J16" s="78">
        <v>47</v>
      </c>
      <c r="K16" s="78">
        <v>45</v>
      </c>
      <c r="L16" s="78">
        <v>4</v>
      </c>
      <c r="M16" s="78">
        <v>14</v>
      </c>
      <c r="N16" s="52">
        <f>SUM(B16:M16)</f>
        <v>304</v>
      </c>
      <c r="O16" s="53">
        <v>0</v>
      </c>
      <c r="P16" s="92" t="s">
        <v>13</v>
      </c>
    </row>
    <row r="17" spans="1:17" ht="12.75" customHeight="1">
      <c r="A17" s="2"/>
      <c r="B17" s="69"/>
      <c r="C17" s="69"/>
      <c r="D17" s="69"/>
      <c r="E17" s="69"/>
      <c r="F17" s="69"/>
      <c r="G17" s="69"/>
      <c r="H17" s="69"/>
      <c r="I17" s="69"/>
      <c r="J17" s="69"/>
      <c r="K17" s="69"/>
      <c r="L17" s="69"/>
      <c r="M17" s="69"/>
      <c r="N17" s="88"/>
      <c r="O17" s="54"/>
      <c r="P17" s="54"/>
    </row>
    <row r="18" spans="1:17" ht="12.75" customHeight="1">
      <c r="A18" s="5"/>
      <c r="B18" s="89"/>
      <c r="C18" s="89"/>
      <c r="D18" s="89"/>
      <c r="E18" s="89"/>
      <c r="F18" s="89"/>
      <c r="G18" s="89"/>
      <c r="H18" s="89"/>
      <c r="I18" s="89"/>
      <c r="J18" s="89"/>
      <c r="K18" s="89"/>
      <c r="L18" s="89"/>
      <c r="M18" s="89"/>
      <c r="N18" s="90"/>
      <c r="O18" s="91"/>
      <c r="P18" s="91"/>
    </row>
    <row r="19" spans="1:17" ht="25.5">
      <c r="A19" s="45"/>
      <c r="B19" s="46">
        <v>39630</v>
      </c>
      <c r="C19" s="46">
        <v>39661</v>
      </c>
      <c r="D19" s="46">
        <v>39692</v>
      </c>
      <c r="E19" s="46">
        <v>39722</v>
      </c>
      <c r="F19" s="46">
        <v>39753</v>
      </c>
      <c r="G19" s="46">
        <v>39783</v>
      </c>
      <c r="H19" s="46">
        <v>39814</v>
      </c>
      <c r="I19" s="46">
        <v>39845</v>
      </c>
      <c r="J19" s="46">
        <v>39873</v>
      </c>
      <c r="K19" s="46">
        <v>39904</v>
      </c>
      <c r="L19" s="46">
        <v>39934</v>
      </c>
      <c r="M19" s="46">
        <v>39965</v>
      </c>
      <c r="N19" s="47" t="s">
        <v>354</v>
      </c>
      <c r="O19" s="55" t="s">
        <v>191</v>
      </c>
      <c r="P19" s="55" t="s">
        <v>86</v>
      </c>
      <c r="Q19" s="2"/>
    </row>
    <row r="20" spans="1:17" ht="12.75" customHeight="1">
      <c r="A20" s="48" t="s">
        <v>174</v>
      </c>
      <c r="B20" s="46"/>
      <c r="C20" s="46"/>
      <c r="D20" s="46"/>
      <c r="E20" s="46"/>
      <c r="F20" s="46"/>
      <c r="G20" s="46"/>
      <c r="H20" s="46"/>
      <c r="I20" s="46"/>
      <c r="J20" s="46"/>
      <c r="K20" s="46"/>
      <c r="L20" s="46"/>
      <c r="M20" s="46"/>
      <c r="N20" s="57"/>
      <c r="O20" s="74"/>
      <c r="P20" s="74"/>
    </row>
    <row r="21" spans="1:17" ht="12.75" customHeight="1">
      <c r="A21" s="50" t="s">
        <v>202</v>
      </c>
      <c r="B21" s="78">
        <v>57</v>
      </c>
      <c r="C21" s="78">
        <v>42</v>
      </c>
      <c r="D21" s="78">
        <v>122</v>
      </c>
      <c r="E21" s="78">
        <v>144</v>
      </c>
      <c r="F21" s="78">
        <v>143</v>
      </c>
      <c r="G21" s="78">
        <v>85</v>
      </c>
      <c r="H21" s="78">
        <v>15</v>
      </c>
      <c r="I21" s="78">
        <v>144</v>
      </c>
      <c r="J21" s="78">
        <v>63</v>
      </c>
      <c r="K21" s="78">
        <v>135</v>
      </c>
      <c r="L21" s="78">
        <v>36</v>
      </c>
      <c r="M21" s="78">
        <v>56</v>
      </c>
      <c r="N21" s="52">
        <f>SUM(B21:M21)</f>
        <v>1042</v>
      </c>
      <c r="O21" s="53">
        <v>0</v>
      </c>
      <c r="P21" s="92" t="s">
        <v>13</v>
      </c>
    </row>
    <row r="22" spans="1:17" ht="12.75" customHeight="1">
      <c r="A22" s="2"/>
      <c r="B22" s="69"/>
      <c r="C22" s="69"/>
      <c r="D22" s="69"/>
      <c r="E22" s="69"/>
      <c r="F22" s="69"/>
      <c r="G22" s="69"/>
      <c r="H22" s="69"/>
      <c r="I22" s="69"/>
      <c r="J22" s="69"/>
      <c r="K22" s="69"/>
      <c r="L22" s="69"/>
      <c r="M22" s="69"/>
      <c r="N22" s="88"/>
      <c r="O22" s="54"/>
      <c r="P22" s="54"/>
    </row>
    <row r="23" spans="1:17" ht="12.75" customHeight="1">
      <c r="A23" s="5"/>
      <c r="B23" s="89"/>
      <c r="C23" s="89"/>
      <c r="D23" s="89"/>
      <c r="E23" s="89"/>
      <c r="F23" s="89"/>
      <c r="G23" s="89"/>
      <c r="H23" s="89"/>
      <c r="I23" s="89"/>
      <c r="J23" s="89"/>
      <c r="K23" s="89"/>
      <c r="L23" s="89"/>
      <c r="M23" s="89"/>
      <c r="N23" s="90"/>
      <c r="O23" s="91"/>
      <c r="P23" s="91"/>
    </row>
    <row r="24" spans="1:17" ht="25.5">
      <c r="A24" s="45"/>
      <c r="B24" s="46">
        <v>39630</v>
      </c>
      <c r="C24" s="46">
        <v>39661</v>
      </c>
      <c r="D24" s="46">
        <v>39692</v>
      </c>
      <c r="E24" s="46">
        <v>39722</v>
      </c>
      <c r="F24" s="46">
        <v>39753</v>
      </c>
      <c r="G24" s="46">
        <v>39783</v>
      </c>
      <c r="H24" s="46">
        <v>39814</v>
      </c>
      <c r="I24" s="46">
        <v>39845</v>
      </c>
      <c r="J24" s="46">
        <v>39873</v>
      </c>
      <c r="K24" s="46">
        <v>39904</v>
      </c>
      <c r="L24" s="46">
        <v>39934</v>
      </c>
      <c r="M24" s="46">
        <v>39965</v>
      </c>
      <c r="N24" s="47" t="s">
        <v>354</v>
      </c>
      <c r="O24" s="55" t="s">
        <v>191</v>
      </c>
      <c r="P24" s="55" t="s">
        <v>86</v>
      </c>
      <c r="Q24" s="2"/>
    </row>
    <row r="25" spans="1:17" ht="12.75" customHeight="1">
      <c r="A25" s="48" t="s">
        <v>279</v>
      </c>
      <c r="B25" s="46"/>
      <c r="C25" s="46"/>
      <c r="D25" s="46"/>
      <c r="E25" s="46"/>
      <c r="F25" s="46"/>
      <c r="G25" s="46"/>
      <c r="H25" s="46"/>
      <c r="I25" s="46"/>
      <c r="J25" s="46"/>
      <c r="K25" s="46"/>
      <c r="L25" s="46"/>
      <c r="M25" s="46"/>
      <c r="N25" s="57"/>
      <c r="O25" s="74"/>
      <c r="P25" s="74"/>
    </row>
    <row r="26" spans="1:17" ht="12.75" customHeight="1">
      <c r="A26" s="50" t="s">
        <v>202</v>
      </c>
      <c r="B26" s="78">
        <v>56</v>
      </c>
      <c r="C26" s="78">
        <v>45</v>
      </c>
      <c r="D26" s="78">
        <v>106</v>
      </c>
      <c r="E26" s="78">
        <v>147</v>
      </c>
      <c r="F26" s="78">
        <v>170</v>
      </c>
      <c r="G26" s="78">
        <v>49</v>
      </c>
      <c r="H26" s="78">
        <v>13</v>
      </c>
      <c r="I26" s="78">
        <v>173</v>
      </c>
      <c r="J26" s="78">
        <v>71</v>
      </c>
      <c r="K26" s="78">
        <v>113</v>
      </c>
      <c r="L26" s="78">
        <v>38</v>
      </c>
      <c r="M26" s="78">
        <v>70</v>
      </c>
      <c r="N26" s="52">
        <f>SUM(B26:M26)</f>
        <v>1051</v>
      </c>
      <c r="O26" s="53">
        <v>0</v>
      </c>
      <c r="P26" s="92" t="s">
        <v>13</v>
      </c>
    </row>
    <row r="27" spans="1:17" ht="12.75" customHeight="1">
      <c r="A27" s="2"/>
      <c r="B27" s="69"/>
      <c r="C27" s="69"/>
      <c r="D27" s="69"/>
      <c r="E27" s="69"/>
      <c r="F27" s="69"/>
      <c r="G27" s="69"/>
      <c r="H27" s="69"/>
      <c r="I27" s="69"/>
      <c r="J27" s="69"/>
      <c r="K27" s="69"/>
      <c r="L27" s="69"/>
      <c r="M27" s="69"/>
      <c r="N27" s="88"/>
      <c r="O27" s="54"/>
      <c r="P27" s="54"/>
    </row>
    <row r="28" spans="1:17" ht="12.75" customHeight="1">
      <c r="A28" s="5"/>
      <c r="B28" s="89"/>
      <c r="C28" s="89"/>
      <c r="D28" s="89"/>
      <c r="E28" s="89"/>
      <c r="F28" s="89"/>
      <c r="G28" s="89"/>
      <c r="H28" s="89"/>
      <c r="I28" s="89"/>
      <c r="J28" s="89"/>
      <c r="K28" s="89"/>
      <c r="L28" s="89"/>
      <c r="M28" s="89"/>
      <c r="N28" s="90"/>
      <c r="O28" s="91"/>
      <c r="P28" s="91"/>
    </row>
    <row r="29" spans="1:17" ht="25.5">
      <c r="A29" s="45"/>
      <c r="B29" s="46">
        <v>39630</v>
      </c>
      <c r="C29" s="46">
        <v>39661</v>
      </c>
      <c r="D29" s="46">
        <v>39692</v>
      </c>
      <c r="E29" s="46">
        <v>39722</v>
      </c>
      <c r="F29" s="46">
        <v>39753</v>
      </c>
      <c r="G29" s="46">
        <v>39783</v>
      </c>
      <c r="H29" s="46">
        <v>39814</v>
      </c>
      <c r="I29" s="46">
        <v>39845</v>
      </c>
      <c r="J29" s="46">
        <v>39873</v>
      </c>
      <c r="K29" s="46">
        <v>39904</v>
      </c>
      <c r="L29" s="46">
        <v>39934</v>
      </c>
      <c r="M29" s="46">
        <v>39965</v>
      </c>
      <c r="N29" s="47" t="s">
        <v>354</v>
      </c>
      <c r="O29" s="55" t="s">
        <v>191</v>
      </c>
      <c r="P29" s="55" t="s">
        <v>86</v>
      </c>
      <c r="Q29" s="2"/>
    </row>
    <row r="30" spans="1:17" ht="12.75" customHeight="1">
      <c r="A30" s="174" t="s">
        <v>268</v>
      </c>
      <c r="B30" s="175"/>
      <c r="C30" s="175"/>
      <c r="D30" s="46"/>
      <c r="E30" s="46"/>
      <c r="F30" s="46"/>
      <c r="G30" s="46"/>
      <c r="H30" s="46"/>
      <c r="I30" s="46"/>
      <c r="J30" s="46"/>
      <c r="K30" s="46"/>
      <c r="L30" s="46"/>
      <c r="M30" s="46"/>
      <c r="N30" s="57"/>
      <c r="O30" s="74"/>
      <c r="P30" s="74"/>
    </row>
    <row r="31" spans="1:17" ht="12.75" customHeight="1">
      <c r="A31" s="50" t="s">
        <v>202</v>
      </c>
      <c r="B31" s="93">
        <v>57</v>
      </c>
      <c r="C31" s="93">
        <v>39</v>
      </c>
      <c r="D31" s="94">
        <v>91</v>
      </c>
      <c r="E31" s="94">
        <v>92</v>
      </c>
      <c r="F31" s="94">
        <v>121</v>
      </c>
      <c r="G31" s="94">
        <v>45</v>
      </c>
      <c r="H31" s="94">
        <v>14</v>
      </c>
      <c r="I31" s="94">
        <v>119</v>
      </c>
      <c r="J31" s="94">
        <v>52</v>
      </c>
      <c r="K31" s="94">
        <v>101</v>
      </c>
      <c r="L31" s="94">
        <v>36</v>
      </c>
      <c r="M31" s="94">
        <v>61</v>
      </c>
      <c r="N31" s="95">
        <f>SUM(B31:M31)</f>
        <v>828</v>
      </c>
      <c r="O31" s="53">
        <v>0</v>
      </c>
      <c r="P31" s="92" t="s">
        <v>13</v>
      </c>
    </row>
    <row r="32" spans="1:17" ht="12.75" customHeight="1">
      <c r="A32" s="2"/>
      <c r="B32" s="96"/>
      <c r="C32" s="96"/>
      <c r="D32" s="96"/>
      <c r="E32" s="96"/>
      <c r="F32" s="96"/>
      <c r="G32" s="96"/>
      <c r="H32" s="96"/>
      <c r="I32" s="96"/>
      <c r="J32" s="96"/>
      <c r="K32" s="96"/>
      <c r="L32" s="96"/>
      <c r="M32" s="96"/>
      <c r="N32" s="97"/>
      <c r="O32" s="54"/>
      <c r="P32" s="54"/>
    </row>
    <row r="33" spans="1:17" ht="12.75" customHeight="1">
      <c r="A33" s="5"/>
      <c r="B33" s="89"/>
      <c r="C33" s="89"/>
      <c r="D33" s="89"/>
      <c r="E33" s="89"/>
      <c r="F33" s="89"/>
      <c r="G33" s="89"/>
      <c r="H33" s="89"/>
      <c r="I33" s="89"/>
      <c r="J33" s="89"/>
      <c r="K33" s="89"/>
      <c r="L33" s="89"/>
      <c r="M33" s="89"/>
      <c r="N33" s="90"/>
      <c r="O33" s="91"/>
      <c r="P33" s="91"/>
    </row>
    <row r="34" spans="1:17" ht="25.5">
      <c r="A34" s="45"/>
      <c r="B34" s="46">
        <v>39630</v>
      </c>
      <c r="C34" s="46">
        <v>39661</v>
      </c>
      <c r="D34" s="46">
        <v>39692</v>
      </c>
      <c r="E34" s="46">
        <v>39722</v>
      </c>
      <c r="F34" s="46">
        <v>39753</v>
      </c>
      <c r="G34" s="46">
        <v>39783</v>
      </c>
      <c r="H34" s="46">
        <v>39814</v>
      </c>
      <c r="I34" s="46">
        <v>39845</v>
      </c>
      <c r="J34" s="46">
        <v>39873</v>
      </c>
      <c r="K34" s="46">
        <v>39904</v>
      </c>
      <c r="L34" s="46">
        <v>39934</v>
      </c>
      <c r="M34" s="46">
        <v>39965</v>
      </c>
      <c r="N34" s="47" t="s">
        <v>354</v>
      </c>
      <c r="O34" s="55" t="s">
        <v>191</v>
      </c>
      <c r="P34" s="55" t="s">
        <v>86</v>
      </c>
    </row>
    <row r="35" spans="1:17" ht="12.75" customHeight="1">
      <c r="A35" s="48" t="s">
        <v>285</v>
      </c>
      <c r="B35" s="46"/>
      <c r="C35" s="46"/>
      <c r="D35" s="46"/>
      <c r="E35" s="46"/>
      <c r="F35" s="46"/>
      <c r="G35" s="46"/>
      <c r="H35" s="46"/>
      <c r="I35" s="46"/>
      <c r="J35" s="46"/>
      <c r="K35" s="46"/>
      <c r="L35" s="46"/>
      <c r="M35" s="46"/>
      <c r="N35" s="57"/>
      <c r="O35" s="74"/>
      <c r="P35" s="74"/>
    </row>
    <row r="36" spans="1:17" ht="12.75" customHeight="1">
      <c r="A36" s="50" t="s">
        <v>202</v>
      </c>
      <c r="B36" s="78">
        <v>165</v>
      </c>
      <c r="C36" s="78">
        <v>107</v>
      </c>
      <c r="D36" s="78">
        <v>279</v>
      </c>
      <c r="E36" s="78">
        <v>416</v>
      </c>
      <c r="F36" s="78">
        <v>535</v>
      </c>
      <c r="G36" s="78">
        <v>145</v>
      </c>
      <c r="H36" s="78">
        <v>104</v>
      </c>
      <c r="I36" s="78">
        <v>338</v>
      </c>
      <c r="J36" s="78">
        <v>384</v>
      </c>
      <c r="K36" s="78">
        <v>324</v>
      </c>
      <c r="L36" s="78">
        <v>153</v>
      </c>
      <c r="M36" s="78">
        <v>165</v>
      </c>
      <c r="N36" s="52">
        <f>SUM(B36:M36)</f>
        <v>3115</v>
      </c>
      <c r="O36" s="53"/>
      <c r="P36" s="54" t="s">
        <v>13</v>
      </c>
    </row>
    <row r="37" spans="1:17" ht="12.75" customHeight="1">
      <c r="A37" s="2"/>
      <c r="B37" s="69"/>
      <c r="C37" s="69"/>
      <c r="D37" s="69"/>
      <c r="E37" s="69"/>
      <c r="F37" s="69"/>
      <c r="G37" s="69"/>
      <c r="H37" s="69"/>
      <c r="I37" s="69"/>
      <c r="J37" s="69"/>
      <c r="K37" s="69"/>
      <c r="L37" s="69"/>
      <c r="M37" s="69"/>
      <c r="N37" s="88"/>
      <c r="O37" s="54"/>
      <c r="P37" s="54"/>
    </row>
    <row r="38" spans="1:17" ht="12.75" customHeight="1">
      <c r="A38" s="5"/>
      <c r="B38" s="89"/>
      <c r="C38" s="89"/>
      <c r="D38" s="89"/>
      <c r="E38" s="89"/>
      <c r="F38" s="89"/>
      <c r="G38" s="89"/>
      <c r="H38" s="89"/>
      <c r="I38" s="89"/>
      <c r="J38" s="89"/>
      <c r="K38" s="89"/>
      <c r="L38" s="89"/>
      <c r="M38" s="89"/>
      <c r="N38" s="90"/>
      <c r="O38" s="91"/>
      <c r="P38" s="91"/>
    </row>
    <row r="39" spans="1:17" ht="25.5">
      <c r="A39" s="45"/>
      <c r="B39" s="46">
        <v>39630</v>
      </c>
      <c r="C39" s="46">
        <v>39661</v>
      </c>
      <c r="D39" s="46">
        <v>39692</v>
      </c>
      <c r="E39" s="46">
        <v>39722</v>
      </c>
      <c r="F39" s="46">
        <v>39753</v>
      </c>
      <c r="G39" s="46">
        <v>39783</v>
      </c>
      <c r="H39" s="46">
        <v>39814</v>
      </c>
      <c r="I39" s="46">
        <v>39845</v>
      </c>
      <c r="J39" s="46">
        <v>39873</v>
      </c>
      <c r="K39" s="46">
        <v>39904</v>
      </c>
      <c r="L39" s="46">
        <v>39934</v>
      </c>
      <c r="M39" s="46">
        <v>39965</v>
      </c>
      <c r="N39" s="47" t="s">
        <v>354</v>
      </c>
      <c r="O39" s="55" t="s">
        <v>191</v>
      </c>
      <c r="P39" s="55" t="s">
        <v>86</v>
      </c>
      <c r="Q39" s="2"/>
    </row>
    <row r="40" spans="1:17" ht="12.75" customHeight="1">
      <c r="A40" s="48" t="s">
        <v>120</v>
      </c>
      <c r="B40" s="46"/>
      <c r="C40" s="46"/>
      <c r="D40" s="46"/>
      <c r="E40" s="46"/>
      <c r="F40" s="46"/>
      <c r="G40" s="46"/>
      <c r="H40" s="46"/>
      <c r="I40" s="46"/>
      <c r="J40" s="46"/>
      <c r="K40" s="46"/>
      <c r="L40" s="46"/>
      <c r="M40" s="46"/>
      <c r="N40" s="57"/>
      <c r="O40" s="74"/>
      <c r="P40" s="74"/>
    </row>
    <row r="41" spans="1:17" ht="12.75" customHeight="1">
      <c r="A41" s="50" t="s">
        <v>202</v>
      </c>
      <c r="B41" s="78">
        <v>363</v>
      </c>
      <c r="C41" s="78">
        <v>65</v>
      </c>
      <c r="D41" s="78">
        <v>433</v>
      </c>
      <c r="E41" s="78">
        <v>532</v>
      </c>
      <c r="F41" s="78">
        <v>1229</v>
      </c>
      <c r="G41" s="78">
        <v>676</v>
      </c>
      <c r="H41" s="78">
        <v>201</v>
      </c>
      <c r="I41" s="78">
        <v>608</v>
      </c>
      <c r="J41" s="78">
        <v>602</v>
      </c>
      <c r="K41" s="78">
        <v>809</v>
      </c>
      <c r="L41" s="78">
        <v>370</v>
      </c>
      <c r="M41" s="78">
        <v>159</v>
      </c>
      <c r="N41" s="52">
        <f>SUM(B41:M41)</f>
        <v>6047</v>
      </c>
      <c r="O41" s="53">
        <v>3025</v>
      </c>
      <c r="P41" s="54" t="s">
        <v>13</v>
      </c>
    </row>
    <row r="42" spans="1:17" ht="12.75" customHeight="1">
      <c r="A42" s="2"/>
      <c r="B42" s="69"/>
      <c r="C42" s="69"/>
      <c r="D42" s="69"/>
      <c r="E42" s="69"/>
      <c r="F42" s="69"/>
      <c r="G42" s="69"/>
      <c r="H42" s="69"/>
      <c r="I42" s="69"/>
      <c r="J42" s="69"/>
      <c r="K42" s="69"/>
      <c r="L42" s="69"/>
      <c r="M42" s="69"/>
      <c r="N42" s="88"/>
      <c r="O42" s="54"/>
      <c r="P42" s="54"/>
    </row>
    <row r="43" spans="1:17" ht="12.75" customHeight="1">
      <c r="A43" s="5"/>
      <c r="B43" s="89"/>
      <c r="C43" s="89"/>
      <c r="D43" s="89"/>
      <c r="E43" s="89"/>
      <c r="F43" s="89"/>
      <c r="G43" s="89"/>
      <c r="H43" s="89"/>
      <c r="I43" s="89"/>
      <c r="J43" s="89"/>
      <c r="K43" s="89"/>
      <c r="L43" s="89"/>
      <c r="M43" s="89"/>
      <c r="N43" s="90"/>
      <c r="O43" s="91"/>
      <c r="P43" s="91"/>
    </row>
    <row r="44" spans="1:17" ht="25.5">
      <c r="A44" s="45"/>
      <c r="B44" s="46">
        <v>39630</v>
      </c>
      <c r="C44" s="46">
        <v>39661</v>
      </c>
      <c r="D44" s="46">
        <v>39692</v>
      </c>
      <c r="E44" s="46">
        <v>39722</v>
      </c>
      <c r="F44" s="46">
        <v>39753</v>
      </c>
      <c r="G44" s="46">
        <v>39783</v>
      </c>
      <c r="H44" s="46">
        <v>39814</v>
      </c>
      <c r="I44" s="46">
        <v>39845</v>
      </c>
      <c r="J44" s="46">
        <v>39873</v>
      </c>
      <c r="K44" s="46">
        <v>39904</v>
      </c>
      <c r="L44" s="46">
        <v>39934</v>
      </c>
      <c r="M44" s="46">
        <v>39965</v>
      </c>
      <c r="N44" s="47" t="s">
        <v>354</v>
      </c>
      <c r="O44" s="55" t="s">
        <v>191</v>
      </c>
      <c r="P44" s="55" t="s">
        <v>86</v>
      </c>
      <c r="Q44" s="2"/>
    </row>
    <row r="45" spans="1:17" ht="12.75" customHeight="1">
      <c r="A45" s="48" t="s">
        <v>194</v>
      </c>
      <c r="B45" s="46"/>
      <c r="C45" s="46"/>
      <c r="D45" s="46"/>
      <c r="E45" s="46"/>
      <c r="F45" s="46"/>
      <c r="G45" s="46"/>
      <c r="H45" s="46"/>
      <c r="I45" s="46"/>
      <c r="J45" s="46"/>
      <c r="K45" s="46"/>
      <c r="L45" s="46"/>
      <c r="M45" s="46"/>
      <c r="N45" s="57"/>
      <c r="O45" s="74"/>
      <c r="P45" s="74"/>
    </row>
    <row r="46" spans="1:17" ht="12.75" customHeight="1">
      <c r="A46" s="50" t="s">
        <v>202</v>
      </c>
      <c r="B46" s="94">
        <v>12</v>
      </c>
      <c r="C46" s="94">
        <v>0</v>
      </c>
      <c r="D46" s="94">
        <v>0</v>
      </c>
      <c r="E46" s="78">
        <v>0</v>
      </c>
      <c r="F46" s="78">
        <v>0</v>
      </c>
      <c r="G46" s="78">
        <v>0</v>
      </c>
      <c r="H46" s="78" t="s">
        <v>229</v>
      </c>
      <c r="I46" s="78" t="s">
        <v>229</v>
      </c>
      <c r="J46" s="78" t="s">
        <v>229</v>
      </c>
      <c r="K46" s="78" t="s">
        <v>229</v>
      </c>
      <c r="L46" s="78" t="s">
        <v>229</v>
      </c>
      <c r="M46" s="78" t="s">
        <v>229</v>
      </c>
      <c r="N46" s="52">
        <f>SUM(B46:M46)</f>
        <v>12</v>
      </c>
      <c r="O46" s="53">
        <v>3161</v>
      </c>
      <c r="P46" s="54" t="s">
        <v>13</v>
      </c>
    </row>
    <row r="47" spans="1:17" ht="12.75" customHeight="1">
      <c r="A47" s="176" t="s">
        <v>170</v>
      </c>
      <c r="B47" s="177"/>
      <c r="C47" s="177"/>
      <c r="D47" s="177"/>
      <c r="E47" s="69"/>
      <c r="F47" s="69"/>
      <c r="G47" s="69"/>
      <c r="H47" s="69"/>
      <c r="I47" s="69"/>
      <c r="J47" s="69"/>
      <c r="K47" s="69"/>
      <c r="L47" s="69"/>
      <c r="M47" s="69"/>
      <c r="N47" s="88"/>
      <c r="O47" s="54"/>
      <c r="P47" s="54"/>
    </row>
    <row r="48" spans="1:17" ht="12.75" customHeight="1">
      <c r="A48" s="5"/>
      <c r="B48" s="89"/>
      <c r="C48" s="89"/>
      <c r="D48" s="89"/>
      <c r="E48" s="89"/>
      <c r="F48" s="89"/>
      <c r="G48" s="89"/>
      <c r="H48" s="89"/>
      <c r="I48" s="89"/>
      <c r="J48" s="89"/>
      <c r="K48" s="89"/>
      <c r="L48" s="89"/>
      <c r="M48" s="89"/>
      <c r="N48" s="90"/>
      <c r="O48" s="91"/>
      <c r="P48" s="91"/>
    </row>
    <row r="49" spans="1:17" ht="25.5">
      <c r="A49" s="45"/>
      <c r="B49" s="46">
        <v>39630</v>
      </c>
      <c r="C49" s="46">
        <v>39661</v>
      </c>
      <c r="D49" s="46">
        <v>39692</v>
      </c>
      <c r="E49" s="46">
        <v>39722</v>
      </c>
      <c r="F49" s="46">
        <v>39753</v>
      </c>
      <c r="G49" s="46">
        <v>39783</v>
      </c>
      <c r="H49" s="46">
        <v>39814</v>
      </c>
      <c r="I49" s="46">
        <v>39845</v>
      </c>
      <c r="J49" s="46">
        <v>39873</v>
      </c>
      <c r="K49" s="46">
        <v>39904</v>
      </c>
      <c r="L49" s="46">
        <v>39934</v>
      </c>
      <c r="M49" s="46">
        <v>39965</v>
      </c>
      <c r="N49" s="47" t="s">
        <v>354</v>
      </c>
      <c r="O49" s="55" t="s">
        <v>191</v>
      </c>
      <c r="P49" s="55" t="s">
        <v>86</v>
      </c>
      <c r="Q49" s="2"/>
    </row>
    <row r="50" spans="1:17" ht="12.75" customHeight="1">
      <c r="A50" s="48" t="s">
        <v>261</v>
      </c>
      <c r="B50" s="46"/>
      <c r="C50" s="46"/>
      <c r="D50" s="46"/>
      <c r="E50" s="46"/>
      <c r="F50" s="46"/>
      <c r="G50" s="46"/>
      <c r="H50" s="46"/>
      <c r="I50" s="46"/>
      <c r="J50" s="46"/>
      <c r="K50" s="46"/>
      <c r="L50" s="46"/>
      <c r="M50" s="46"/>
      <c r="N50" s="57"/>
      <c r="O50" s="74"/>
      <c r="P50" s="74"/>
    </row>
    <row r="51" spans="1:17" ht="12.75" customHeight="1">
      <c r="A51" s="50" t="s">
        <v>202</v>
      </c>
      <c r="B51" s="78">
        <v>194</v>
      </c>
      <c r="C51" s="78">
        <v>102</v>
      </c>
      <c r="D51" s="78">
        <v>357</v>
      </c>
      <c r="E51" s="78">
        <v>590</v>
      </c>
      <c r="F51" s="78">
        <v>441</v>
      </c>
      <c r="G51" s="78">
        <v>146</v>
      </c>
      <c r="H51" s="78">
        <v>92</v>
      </c>
      <c r="I51" s="78">
        <v>415</v>
      </c>
      <c r="J51" s="78">
        <v>430</v>
      </c>
      <c r="K51" s="78">
        <v>357</v>
      </c>
      <c r="L51" s="78">
        <v>121</v>
      </c>
      <c r="M51" s="78">
        <v>175</v>
      </c>
      <c r="N51" s="52">
        <f>SUM(B51:M51)</f>
        <v>3420</v>
      </c>
      <c r="O51" s="53">
        <v>0</v>
      </c>
      <c r="P51" s="92" t="s">
        <v>13</v>
      </c>
    </row>
    <row r="52" spans="1:17" ht="12.75" customHeight="1">
      <c r="A52" s="2"/>
      <c r="B52" s="69"/>
      <c r="C52" s="69"/>
      <c r="D52" s="69"/>
      <c r="E52" s="69"/>
      <c r="F52" s="69"/>
      <c r="G52" s="69"/>
      <c r="H52" s="69"/>
      <c r="I52" s="69"/>
      <c r="J52" s="69"/>
      <c r="K52" s="69"/>
      <c r="L52" s="69"/>
      <c r="M52" s="69"/>
      <c r="N52" s="88"/>
      <c r="O52" s="54"/>
      <c r="P52" s="92"/>
    </row>
    <row r="53" spans="1:17" ht="12.75" customHeight="1">
      <c r="A53" s="5"/>
      <c r="B53" s="89"/>
      <c r="C53" s="89"/>
      <c r="D53" s="89"/>
      <c r="E53" s="89"/>
      <c r="F53" s="89"/>
      <c r="G53" s="89"/>
      <c r="H53" s="89"/>
      <c r="I53" s="89"/>
      <c r="J53" s="89"/>
      <c r="K53" s="89"/>
      <c r="L53" s="89"/>
      <c r="M53" s="89"/>
      <c r="N53" s="90"/>
      <c r="O53" s="91"/>
      <c r="P53" s="98"/>
    </row>
    <row r="54" spans="1:17" ht="25.5">
      <c r="A54" s="45"/>
      <c r="B54" s="46">
        <v>39630</v>
      </c>
      <c r="C54" s="46">
        <v>39661</v>
      </c>
      <c r="D54" s="46">
        <v>39692</v>
      </c>
      <c r="E54" s="46">
        <v>39722</v>
      </c>
      <c r="F54" s="46">
        <v>39753</v>
      </c>
      <c r="G54" s="46">
        <v>39783</v>
      </c>
      <c r="H54" s="46">
        <v>39814</v>
      </c>
      <c r="I54" s="46">
        <v>39845</v>
      </c>
      <c r="J54" s="46">
        <v>39873</v>
      </c>
      <c r="K54" s="46">
        <v>39904</v>
      </c>
      <c r="L54" s="46">
        <v>39934</v>
      </c>
      <c r="M54" s="46">
        <v>39965</v>
      </c>
      <c r="N54" s="47" t="s">
        <v>354</v>
      </c>
      <c r="O54" s="55" t="s">
        <v>191</v>
      </c>
      <c r="P54" s="55" t="s">
        <v>86</v>
      </c>
      <c r="Q54" s="2"/>
    </row>
    <row r="55" spans="1:17" ht="12.75" customHeight="1">
      <c r="A55" s="48" t="s">
        <v>140</v>
      </c>
      <c r="B55" s="46"/>
      <c r="C55" s="46"/>
      <c r="D55" s="46"/>
      <c r="E55" s="46"/>
      <c r="F55" s="46"/>
      <c r="G55" s="46"/>
      <c r="H55" s="46"/>
      <c r="I55" s="46"/>
      <c r="J55" s="46"/>
      <c r="K55" s="46"/>
      <c r="L55" s="46"/>
      <c r="M55" s="46"/>
      <c r="N55" s="57"/>
      <c r="O55" s="74"/>
      <c r="P55" s="99"/>
    </row>
    <row r="56" spans="1:17" ht="12.75" customHeight="1">
      <c r="A56" s="50" t="s">
        <v>202</v>
      </c>
      <c r="B56" s="78">
        <v>103</v>
      </c>
      <c r="C56" s="78">
        <v>140</v>
      </c>
      <c r="D56" s="78">
        <v>267</v>
      </c>
      <c r="E56" s="78">
        <v>242</v>
      </c>
      <c r="F56" s="78">
        <v>310</v>
      </c>
      <c r="G56" s="78">
        <v>78</v>
      </c>
      <c r="H56" s="78">
        <v>98</v>
      </c>
      <c r="I56" s="78">
        <v>258</v>
      </c>
      <c r="J56" s="78">
        <v>151</v>
      </c>
      <c r="K56" s="78">
        <v>259</v>
      </c>
      <c r="L56" s="78">
        <v>107</v>
      </c>
      <c r="M56" s="78">
        <v>143</v>
      </c>
      <c r="N56" s="52">
        <f>SUM(B56:M56)</f>
        <v>2156</v>
      </c>
      <c r="O56" s="53">
        <v>6142</v>
      </c>
      <c r="P56" s="92" t="s">
        <v>13</v>
      </c>
    </row>
    <row r="57" spans="1:17" ht="12.75" customHeight="1">
      <c r="A57" s="2"/>
      <c r="B57" s="69"/>
      <c r="C57" s="69"/>
      <c r="D57" s="69"/>
      <c r="E57" s="69"/>
      <c r="F57" s="69"/>
      <c r="G57" s="69"/>
      <c r="H57" s="69"/>
      <c r="I57" s="69"/>
      <c r="J57" s="69"/>
      <c r="K57" s="69"/>
      <c r="L57" s="69"/>
      <c r="M57" s="69"/>
      <c r="N57" s="88"/>
      <c r="O57" s="54"/>
      <c r="P57" s="92"/>
    </row>
    <row r="58" spans="1:17" ht="12.75" customHeight="1">
      <c r="A58" s="5"/>
      <c r="B58" s="89"/>
      <c r="C58" s="89"/>
      <c r="D58" s="89"/>
      <c r="E58" s="89"/>
      <c r="F58" s="89"/>
      <c r="G58" s="89"/>
      <c r="H58" s="89"/>
      <c r="I58" s="89"/>
      <c r="J58" s="89"/>
      <c r="K58" s="89"/>
      <c r="L58" s="89"/>
      <c r="M58" s="89"/>
      <c r="N58" s="90"/>
      <c r="O58" s="91"/>
      <c r="P58" s="98"/>
    </row>
    <row r="59" spans="1:17" ht="25.5">
      <c r="A59" s="45"/>
      <c r="B59" s="46">
        <v>39630</v>
      </c>
      <c r="C59" s="46">
        <v>39661</v>
      </c>
      <c r="D59" s="46">
        <v>39692</v>
      </c>
      <c r="E59" s="46">
        <v>39722</v>
      </c>
      <c r="F59" s="46">
        <v>39753</v>
      </c>
      <c r="G59" s="46">
        <v>39783</v>
      </c>
      <c r="H59" s="46">
        <v>39814</v>
      </c>
      <c r="I59" s="46">
        <v>39845</v>
      </c>
      <c r="J59" s="46">
        <v>39873</v>
      </c>
      <c r="K59" s="46">
        <v>39904</v>
      </c>
      <c r="L59" s="46">
        <v>39934</v>
      </c>
      <c r="M59" s="46">
        <v>39965</v>
      </c>
      <c r="N59" s="47" t="s">
        <v>354</v>
      </c>
      <c r="O59" s="55" t="s">
        <v>191</v>
      </c>
      <c r="P59" s="55" t="s">
        <v>86</v>
      </c>
      <c r="Q59" s="2"/>
    </row>
    <row r="60" spans="1:17" ht="12.75" customHeight="1">
      <c r="A60" s="48" t="s">
        <v>116</v>
      </c>
      <c r="B60" s="46"/>
      <c r="C60" s="46"/>
      <c r="D60" s="46"/>
      <c r="E60" s="46"/>
      <c r="F60" s="46"/>
      <c r="G60" s="46"/>
      <c r="H60" s="46"/>
      <c r="I60" s="46"/>
      <c r="J60" s="46"/>
      <c r="K60" s="46"/>
      <c r="L60" s="46"/>
      <c r="M60" s="46"/>
      <c r="N60" s="57"/>
      <c r="O60" s="74"/>
      <c r="P60" s="99"/>
    </row>
    <row r="61" spans="1:17" ht="12.75" customHeight="1">
      <c r="A61" s="50" t="s">
        <v>202</v>
      </c>
      <c r="B61" s="78">
        <v>57</v>
      </c>
      <c r="C61" s="78">
        <v>101</v>
      </c>
      <c r="D61" s="78">
        <v>83</v>
      </c>
      <c r="E61" s="78">
        <v>68</v>
      </c>
      <c r="F61" s="78">
        <v>110</v>
      </c>
      <c r="G61" s="78">
        <v>41</v>
      </c>
      <c r="H61" s="78">
        <v>14</v>
      </c>
      <c r="I61" s="78">
        <v>116</v>
      </c>
      <c r="J61" s="78">
        <v>39</v>
      </c>
      <c r="K61" s="78">
        <v>92</v>
      </c>
      <c r="L61" s="78">
        <v>37</v>
      </c>
      <c r="M61" s="78">
        <v>61</v>
      </c>
      <c r="N61" s="52">
        <f>SUM(B61:M61)</f>
        <v>819</v>
      </c>
      <c r="O61" s="53">
        <v>0</v>
      </c>
      <c r="P61" s="92" t="s">
        <v>13</v>
      </c>
    </row>
    <row r="62" spans="1:17" ht="12.75" customHeight="1">
      <c r="A62" s="2"/>
      <c r="B62" s="69"/>
      <c r="C62" s="69"/>
      <c r="D62" s="69"/>
      <c r="E62" s="69"/>
      <c r="F62" s="69"/>
      <c r="G62" s="69"/>
      <c r="H62" s="69"/>
      <c r="I62" s="69"/>
      <c r="J62" s="69"/>
      <c r="K62" s="69"/>
      <c r="L62" s="69"/>
      <c r="M62" s="69"/>
      <c r="N62" s="88"/>
      <c r="O62" s="54"/>
      <c r="P62" s="92"/>
    </row>
    <row r="63" spans="1:17" ht="12.75" customHeight="1">
      <c r="A63" s="5"/>
      <c r="B63" s="89"/>
      <c r="C63" s="89"/>
      <c r="D63" s="89"/>
      <c r="E63" s="89"/>
      <c r="F63" s="89"/>
      <c r="G63" s="89"/>
      <c r="H63" s="89"/>
      <c r="I63" s="89"/>
      <c r="J63" s="89"/>
      <c r="K63" s="89"/>
      <c r="L63" s="89"/>
      <c r="M63" s="89"/>
      <c r="N63" s="90"/>
      <c r="O63" s="91"/>
      <c r="P63" s="98"/>
    </row>
    <row r="64" spans="1:17" ht="25.5">
      <c r="A64" s="45"/>
      <c r="B64" s="46">
        <v>39630</v>
      </c>
      <c r="C64" s="46">
        <v>39661</v>
      </c>
      <c r="D64" s="46">
        <v>39692</v>
      </c>
      <c r="E64" s="46">
        <v>39722</v>
      </c>
      <c r="F64" s="46">
        <v>39753</v>
      </c>
      <c r="G64" s="46">
        <v>39783</v>
      </c>
      <c r="H64" s="46">
        <v>39814</v>
      </c>
      <c r="I64" s="46">
        <v>39845</v>
      </c>
      <c r="J64" s="46">
        <v>39873</v>
      </c>
      <c r="K64" s="46">
        <v>39904</v>
      </c>
      <c r="L64" s="46">
        <v>39934</v>
      </c>
      <c r="M64" s="46">
        <v>39965</v>
      </c>
      <c r="N64" s="47" t="s">
        <v>354</v>
      </c>
      <c r="O64" s="55" t="s">
        <v>191</v>
      </c>
      <c r="P64" s="55" t="s">
        <v>86</v>
      </c>
      <c r="Q64" s="2"/>
    </row>
    <row r="65" spans="1:17" ht="12.75" customHeight="1">
      <c r="A65" s="174" t="s">
        <v>334</v>
      </c>
      <c r="B65" s="175"/>
      <c r="C65" s="175"/>
      <c r="D65" s="46"/>
      <c r="E65" s="46"/>
      <c r="F65" s="46"/>
      <c r="G65" s="46"/>
      <c r="H65" s="46"/>
      <c r="I65" s="46"/>
      <c r="J65" s="46"/>
      <c r="K65" s="46"/>
      <c r="L65" s="46"/>
      <c r="M65" s="46"/>
      <c r="N65" s="57"/>
      <c r="O65" s="74"/>
      <c r="P65" s="74"/>
    </row>
    <row r="66" spans="1:17" ht="12.75" customHeight="1">
      <c r="A66" s="50" t="s">
        <v>202</v>
      </c>
      <c r="B66" s="100">
        <v>152</v>
      </c>
      <c r="C66" s="100">
        <v>45</v>
      </c>
      <c r="D66" s="78">
        <v>179</v>
      </c>
      <c r="E66" s="78">
        <v>176</v>
      </c>
      <c r="F66" s="78">
        <v>183</v>
      </c>
      <c r="G66" s="78">
        <v>69</v>
      </c>
      <c r="H66" s="78">
        <v>102</v>
      </c>
      <c r="I66" s="78">
        <v>378</v>
      </c>
      <c r="J66" s="78">
        <v>220</v>
      </c>
      <c r="K66" s="78">
        <v>203</v>
      </c>
      <c r="L66" s="78">
        <v>100</v>
      </c>
      <c r="M66" s="78">
        <v>90</v>
      </c>
      <c r="N66" s="52">
        <f>SUM(B66:M66)</f>
        <v>1897</v>
      </c>
      <c r="O66" s="53">
        <v>3600</v>
      </c>
      <c r="P66" s="54" t="s">
        <v>13</v>
      </c>
    </row>
    <row r="67" spans="1:17" ht="12.75" customHeight="1">
      <c r="A67" s="2"/>
      <c r="B67" s="69"/>
      <c r="C67" s="69"/>
      <c r="D67" s="69"/>
      <c r="E67" s="69"/>
      <c r="F67" s="69"/>
      <c r="G67" s="69"/>
      <c r="H67" s="69"/>
      <c r="I67" s="69"/>
      <c r="J67" s="69"/>
      <c r="K67" s="69"/>
      <c r="L67" s="69"/>
      <c r="M67" s="69"/>
      <c r="N67" s="88"/>
      <c r="O67" s="54"/>
      <c r="P67" s="54"/>
    </row>
    <row r="68" spans="1:17" ht="12.75" customHeight="1">
      <c r="A68" s="5"/>
      <c r="B68" s="89"/>
      <c r="C68" s="89"/>
      <c r="D68" s="89"/>
      <c r="E68" s="89"/>
      <c r="F68" s="89"/>
      <c r="G68" s="89"/>
      <c r="H68" s="89"/>
      <c r="I68" s="89"/>
      <c r="J68" s="89"/>
      <c r="K68" s="89"/>
      <c r="L68" s="89"/>
      <c r="M68" s="89"/>
      <c r="N68" s="90"/>
      <c r="O68" s="91"/>
      <c r="P68" s="91"/>
    </row>
    <row r="69" spans="1:17" ht="25.5">
      <c r="A69" s="45"/>
      <c r="B69" s="46">
        <v>39630</v>
      </c>
      <c r="C69" s="46">
        <v>39661</v>
      </c>
      <c r="D69" s="46">
        <v>39692</v>
      </c>
      <c r="E69" s="46">
        <v>39722</v>
      </c>
      <c r="F69" s="46">
        <v>39753</v>
      </c>
      <c r="G69" s="46">
        <v>39783</v>
      </c>
      <c r="H69" s="46">
        <v>39814</v>
      </c>
      <c r="I69" s="46">
        <v>39845</v>
      </c>
      <c r="J69" s="46">
        <v>39873</v>
      </c>
      <c r="K69" s="46">
        <v>39904</v>
      </c>
      <c r="L69" s="46">
        <v>39934</v>
      </c>
      <c r="M69" s="46">
        <v>39965</v>
      </c>
      <c r="N69" s="47" t="s">
        <v>354</v>
      </c>
      <c r="O69" s="55" t="s">
        <v>191</v>
      </c>
      <c r="P69" s="55" t="s">
        <v>86</v>
      </c>
      <c r="Q69" s="2"/>
    </row>
    <row r="70" spans="1:17" ht="12.75" customHeight="1">
      <c r="A70" s="48" t="s">
        <v>195</v>
      </c>
      <c r="B70" s="46"/>
      <c r="C70" s="46"/>
      <c r="D70" s="46"/>
      <c r="E70" s="46"/>
      <c r="F70" s="46"/>
      <c r="G70" s="46"/>
      <c r="H70" s="46"/>
      <c r="I70" s="46"/>
      <c r="J70" s="46"/>
      <c r="K70" s="46"/>
      <c r="L70" s="46"/>
      <c r="M70" s="46"/>
      <c r="N70" s="57"/>
      <c r="O70" s="74"/>
      <c r="P70" s="74" t="s">
        <v>13</v>
      </c>
    </row>
    <row r="71" spans="1:17" ht="12.75" customHeight="1">
      <c r="A71" s="50" t="s">
        <v>202</v>
      </c>
      <c r="B71" s="78">
        <v>166</v>
      </c>
      <c r="C71" s="78">
        <v>88</v>
      </c>
      <c r="D71" s="78">
        <v>407</v>
      </c>
      <c r="E71" s="78">
        <v>787</v>
      </c>
      <c r="F71" s="78">
        <v>990</v>
      </c>
      <c r="G71" s="78">
        <v>452</v>
      </c>
      <c r="H71" s="78">
        <v>145</v>
      </c>
      <c r="I71" s="78">
        <v>262</v>
      </c>
      <c r="J71" s="78">
        <v>510</v>
      </c>
      <c r="K71" s="78">
        <v>476</v>
      </c>
      <c r="L71" s="78">
        <v>200</v>
      </c>
      <c r="M71" s="78">
        <v>134</v>
      </c>
      <c r="N71" s="52">
        <f>SUM(B71:M71)</f>
        <v>4617</v>
      </c>
      <c r="O71" s="53">
        <v>7600</v>
      </c>
      <c r="P71" s="54" t="s">
        <v>13</v>
      </c>
    </row>
    <row r="72" spans="1:17" ht="12.75" customHeight="1">
      <c r="A72" s="2"/>
      <c r="B72" s="69"/>
      <c r="C72" s="69"/>
      <c r="D72" s="69"/>
      <c r="E72" s="69"/>
      <c r="F72" s="69"/>
      <c r="G72" s="69"/>
      <c r="H72" s="69"/>
      <c r="I72" s="69"/>
      <c r="J72" s="69"/>
      <c r="K72" s="69"/>
      <c r="L72" s="69"/>
      <c r="M72" s="69"/>
      <c r="N72" s="88"/>
      <c r="O72" s="54"/>
      <c r="P72" s="54"/>
    </row>
    <row r="73" spans="1:17" ht="12.75" customHeight="1">
      <c r="A73" s="5"/>
      <c r="B73" s="89"/>
      <c r="C73" s="89"/>
      <c r="D73" s="89"/>
      <c r="E73" s="89"/>
      <c r="F73" s="89"/>
      <c r="G73" s="89"/>
      <c r="H73" s="89"/>
      <c r="I73" s="89"/>
      <c r="J73" s="89"/>
      <c r="K73" s="89"/>
      <c r="L73" s="89"/>
      <c r="M73" s="89"/>
      <c r="N73" s="90"/>
      <c r="O73" s="91"/>
      <c r="P73" s="91"/>
    </row>
    <row r="74" spans="1:17" ht="25.5">
      <c r="A74" s="45"/>
      <c r="B74" s="46">
        <v>39630</v>
      </c>
      <c r="C74" s="46">
        <v>39661</v>
      </c>
      <c r="D74" s="46">
        <v>39692</v>
      </c>
      <c r="E74" s="46">
        <v>39722</v>
      </c>
      <c r="F74" s="46">
        <v>39753</v>
      </c>
      <c r="G74" s="46">
        <v>39783</v>
      </c>
      <c r="H74" s="46">
        <v>39814</v>
      </c>
      <c r="I74" s="46">
        <v>39845</v>
      </c>
      <c r="J74" s="46">
        <v>39873</v>
      </c>
      <c r="K74" s="46">
        <v>39904</v>
      </c>
      <c r="L74" s="46">
        <v>39934</v>
      </c>
      <c r="M74" s="46">
        <v>39965</v>
      </c>
      <c r="N74" s="47" t="s">
        <v>354</v>
      </c>
      <c r="O74" s="55" t="s">
        <v>191</v>
      </c>
      <c r="P74" s="55" t="s">
        <v>86</v>
      </c>
      <c r="Q74" s="2"/>
    </row>
    <row r="75" spans="1:17" ht="12.75" customHeight="1">
      <c r="A75" s="48" t="s">
        <v>5</v>
      </c>
      <c r="B75" s="46">
        <v>40</v>
      </c>
      <c r="C75" s="46">
        <v>53</v>
      </c>
      <c r="D75" s="46">
        <v>31</v>
      </c>
      <c r="E75" s="46">
        <v>220</v>
      </c>
      <c r="F75" s="46">
        <v>273</v>
      </c>
      <c r="G75" s="46">
        <v>107</v>
      </c>
      <c r="H75" s="46">
        <v>27</v>
      </c>
      <c r="I75" s="46">
        <v>88</v>
      </c>
      <c r="J75" s="46">
        <v>103</v>
      </c>
      <c r="K75" s="46">
        <v>82</v>
      </c>
      <c r="L75" s="46">
        <v>69</v>
      </c>
      <c r="M75" s="46">
        <v>32</v>
      </c>
      <c r="N75" s="57"/>
      <c r="O75" s="74"/>
      <c r="P75" s="74"/>
    </row>
    <row r="76" spans="1:17" ht="12.75" customHeight="1">
      <c r="A76" s="50" t="s">
        <v>202</v>
      </c>
      <c r="B76" s="78"/>
      <c r="C76" s="78"/>
      <c r="D76" s="78"/>
      <c r="E76" s="78"/>
      <c r="F76" s="78"/>
      <c r="G76" s="78"/>
      <c r="H76" s="78"/>
      <c r="I76" s="78"/>
      <c r="J76" s="78"/>
      <c r="K76" s="78"/>
      <c r="L76" s="78"/>
      <c r="M76" s="78"/>
      <c r="N76" s="52">
        <f>SUM(B76:M76)</f>
        <v>0</v>
      </c>
      <c r="O76" s="53">
        <v>0</v>
      </c>
      <c r="P76" s="92" t="s">
        <v>13</v>
      </c>
    </row>
    <row r="77" spans="1:17" ht="12.75" customHeight="1">
      <c r="A77" s="2"/>
      <c r="B77" s="69"/>
      <c r="C77" s="69"/>
      <c r="D77" s="69"/>
      <c r="E77" s="69"/>
      <c r="F77" s="69"/>
      <c r="G77" s="69"/>
      <c r="H77" s="69"/>
      <c r="I77" s="69"/>
      <c r="J77" s="69"/>
      <c r="K77" s="69"/>
      <c r="L77" s="69"/>
      <c r="M77" s="69"/>
      <c r="N77" s="88"/>
      <c r="O77" s="54"/>
      <c r="P77" s="54"/>
    </row>
    <row r="78" spans="1:17" ht="12.75" customHeight="1">
      <c r="A78" s="5"/>
      <c r="B78" s="89"/>
      <c r="C78" s="89"/>
      <c r="D78" s="89"/>
      <c r="E78" s="89"/>
      <c r="F78" s="89"/>
      <c r="G78" s="89"/>
      <c r="H78" s="89"/>
      <c r="I78" s="89"/>
      <c r="J78" s="89"/>
      <c r="K78" s="89"/>
      <c r="L78" s="89"/>
      <c r="M78" s="89"/>
      <c r="N78" s="90"/>
      <c r="O78" s="91"/>
      <c r="P78" s="91"/>
    </row>
    <row r="79" spans="1:17" ht="25.5">
      <c r="A79" s="45"/>
      <c r="B79" s="46">
        <v>39630</v>
      </c>
      <c r="C79" s="46">
        <v>39661</v>
      </c>
      <c r="D79" s="46">
        <v>39692</v>
      </c>
      <c r="E79" s="46">
        <v>39722</v>
      </c>
      <c r="F79" s="46">
        <v>39753</v>
      </c>
      <c r="G79" s="46">
        <v>39783</v>
      </c>
      <c r="H79" s="46">
        <v>39814</v>
      </c>
      <c r="I79" s="46">
        <v>39845</v>
      </c>
      <c r="J79" s="46">
        <v>39873</v>
      </c>
      <c r="K79" s="46">
        <v>39904</v>
      </c>
      <c r="L79" s="46">
        <v>39934</v>
      </c>
      <c r="M79" s="46">
        <v>39965</v>
      </c>
      <c r="N79" s="47" t="s">
        <v>354</v>
      </c>
      <c r="O79" s="55" t="s">
        <v>191</v>
      </c>
      <c r="P79" s="55" t="s">
        <v>86</v>
      </c>
      <c r="Q79" s="2"/>
    </row>
    <row r="80" spans="1:17" ht="12.75" customHeight="1">
      <c r="A80" s="174" t="s">
        <v>129</v>
      </c>
      <c r="B80" s="175"/>
      <c r="C80" s="46"/>
      <c r="D80" s="46"/>
      <c r="E80" s="46"/>
      <c r="F80" s="46"/>
      <c r="G80" s="46"/>
      <c r="H80" s="46"/>
      <c r="I80" s="46"/>
      <c r="J80" s="46"/>
      <c r="K80" s="46"/>
      <c r="L80" s="46"/>
      <c r="M80" s="46"/>
      <c r="N80" s="57"/>
      <c r="O80" s="74"/>
      <c r="P80" s="74"/>
    </row>
    <row r="81" spans="1:17" ht="12.75" customHeight="1">
      <c r="A81" s="50" t="s">
        <v>202</v>
      </c>
      <c r="B81" s="78">
        <v>358</v>
      </c>
      <c r="C81" s="78">
        <v>360</v>
      </c>
      <c r="D81" s="78">
        <v>390</v>
      </c>
      <c r="E81" s="78">
        <v>404</v>
      </c>
      <c r="F81" s="78">
        <v>466</v>
      </c>
      <c r="G81" s="78">
        <v>236</v>
      </c>
      <c r="H81" s="78">
        <v>218</v>
      </c>
      <c r="I81" s="78">
        <v>467</v>
      </c>
      <c r="J81" s="78">
        <v>324</v>
      </c>
      <c r="K81" s="78">
        <v>273</v>
      </c>
      <c r="L81" s="78">
        <v>208</v>
      </c>
      <c r="M81" s="78">
        <v>278</v>
      </c>
      <c r="N81" s="52">
        <f>SUM(B81:M81)</f>
        <v>3982</v>
      </c>
      <c r="O81" s="53">
        <v>4250</v>
      </c>
      <c r="P81" s="54" t="s">
        <v>13</v>
      </c>
    </row>
    <row r="82" spans="1:17" ht="12.75" customHeight="1">
      <c r="A82" s="2"/>
      <c r="B82" s="69"/>
      <c r="C82" s="69"/>
      <c r="D82" s="69"/>
      <c r="E82" s="69"/>
      <c r="F82" s="69"/>
      <c r="G82" s="69"/>
      <c r="H82" s="69"/>
      <c r="I82" s="69"/>
      <c r="J82" s="69"/>
      <c r="K82" s="69"/>
      <c r="L82" s="69"/>
      <c r="M82" s="69"/>
      <c r="N82" s="88"/>
      <c r="O82" s="54"/>
      <c r="P82" s="54"/>
    </row>
    <row r="83" spans="1:17" ht="12.75" customHeight="1">
      <c r="A83" s="5"/>
      <c r="B83" s="89"/>
      <c r="C83" s="89"/>
      <c r="D83" s="89"/>
      <c r="E83" s="89"/>
      <c r="F83" s="89"/>
      <c r="G83" s="89"/>
      <c r="H83" s="89"/>
      <c r="I83" s="89"/>
      <c r="J83" s="89"/>
      <c r="K83" s="89"/>
      <c r="L83" s="89"/>
      <c r="M83" s="89"/>
      <c r="N83" s="90"/>
      <c r="O83" s="91"/>
      <c r="P83" s="91"/>
    </row>
    <row r="84" spans="1:17" ht="25.5">
      <c r="A84" s="45"/>
      <c r="B84" s="46">
        <v>39630</v>
      </c>
      <c r="C84" s="46">
        <v>39661</v>
      </c>
      <c r="D84" s="46">
        <v>39692</v>
      </c>
      <c r="E84" s="46">
        <v>39722</v>
      </c>
      <c r="F84" s="46">
        <v>39753</v>
      </c>
      <c r="G84" s="46">
        <v>39783</v>
      </c>
      <c r="H84" s="46">
        <v>39814</v>
      </c>
      <c r="I84" s="46">
        <v>39845</v>
      </c>
      <c r="J84" s="46">
        <v>39873</v>
      </c>
      <c r="K84" s="46">
        <v>39904</v>
      </c>
      <c r="L84" s="46">
        <v>39934</v>
      </c>
      <c r="M84" s="46">
        <v>39965</v>
      </c>
      <c r="N84" s="47" t="s">
        <v>354</v>
      </c>
      <c r="O84" s="55" t="s">
        <v>191</v>
      </c>
      <c r="P84" s="55" t="s">
        <v>86</v>
      </c>
      <c r="Q84" s="2"/>
    </row>
    <row r="85" spans="1:17" ht="12.75" customHeight="1">
      <c r="A85" s="48" t="s">
        <v>83</v>
      </c>
      <c r="B85" s="46"/>
      <c r="C85" s="46"/>
      <c r="D85" s="46"/>
      <c r="E85" s="46"/>
      <c r="F85" s="46"/>
      <c r="G85" s="46"/>
      <c r="H85" s="46"/>
      <c r="I85" s="46"/>
      <c r="J85" s="46"/>
      <c r="K85" s="46"/>
      <c r="L85" s="46"/>
      <c r="M85" s="46"/>
      <c r="N85" s="57"/>
      <c r="O85" s="74"/>
      <c r="P85" s="74"/>
    </row>
    <row r="86" spans="1:17" ht="12.75" customHeight="1">
      <c r="A86" s="50" t="s">
        <v>202</v>
      </c>
      <c r="B86" s="78">
        <v>367</v>
      </c>
      <c r="C86" s="78">
        <v>360</v>
      </c>
      <c r="D86" s="78">
        <v>457</v>
      </c>
      <c r="E86" s="78">
        <v>437</v>
      </c>
      <c r="F86" s="78">
        <v>482</v>
      </c>
      <c r="G86" s="78">
        <v>256</v>
      </c>
      <c r="H86" s="78">
        <v>222</v>
      </c>
      <c r="I86" s="78">
        <v>533</v>
      </c>
      <c r="J86" s="78">
        <v>359</v>
      </c>
      <c r="K86" s="78">
        <v>315</v>
      </c>
      <c r="L86" s="78">
        <v>215</v>
      </c>
      <c r="M86" s="78">
        <v>283</v>
      </c>
      <c r="N86" s="52">
        <f>SUM(B86:M86)</f>
        <v>4286</v>
      </c>
      <c r="O86" s="53">
        <v>0</v>
      </c>
      <c r="P86" s="92" t="s">
        <v>13</v>
      </c>
    </row>
    <row r="87" spans="1:17" ht="12.75" customHeight="1">
      <c r="A87" s="2"/>
      <c r="B87" s="69"/>
      <c r="C87" s="69"/>
      <c r="D87" s="69"/>
      <c r="E87" s="69"/>
      <c r="F87" s="69"/>
      <c r="G87" s="69"/>
      <c r="H87" s="69"/>
      <c r="I87" s="69"/>
      <c r="J87" s="69"/>
      <c r="K87" s="69"/>
      <c r="L87" s="69"/>
      <c r="M87" s="69"/>
      <c r="N87" s="88"/>
      <c r="O87" s="54"/>
      <c r="P87" s="92"/>
    </row>
    <row r="88" spans="1:17" ht="12.75" customHeight="1">
      <c r="A88" s="5"/>
      <c r="B88" s="89"/>
      <c r="C88" s="89"/>
      <c r="D88" s="89"/>
      <c r="E88" s="89"/>
      <c r="F88" s="89"/>
      <c r="G88" s="89"/>
      <c r="H88" s="89"/>
      <c r="I88" s="89"/>
      <c r="J88" s="89"/>
      <c r="K88" s="89"/>
      <c r="L88" s="89"/>
      <c r="M88" s="89"/>
      <c r="N88" s="90"/>
      <c r="O88" s="91"/>
      <c r="P88" s="98"/>
    </row>
    <row r="89" spans="1:17" ht="25.5">
      <c r="A89" s="45"/>
      <c r="B89" s="46">
        <v>39630</v>
      </c>
      <c r="C89" s="46">
        <v>39661</v>
      </c>
      <c r="D89" s="46">
        <v>39692</v>
      </c>
      <c r="E89" s="46">
        <v>39722</v>
      </c>
      <c r="F89" s="46">
        <v>39753</v>
      </c>
      <c r="G89" s="46">
        <v>39783</v>
      </c>
      <c r="H89" s="46">
        <v>39814</v>
      </c>
      <c r="I89" s="46">
        <v>39845</v>
      </c>
      <c r="J89" s="46">
        <v>39873</v>
      </c>
      <c r="K89" s="46">
        <v>39904</v>
      </c>
      <c r="L89" s="46">
        <v>39934</v>
      </c>
      <c r="M89" s="46">
        <v>39965</v>
      </c>
      <c r="N89" s="47" t="s">
        <v>354</v>
      </c>
      <c r="O89" s="55" t="s">
        <v>191</v>
      </c>
      <c r="P89" s="55" t="s">
        <v>86</v>
      </c>
      <c r="Q89" s="2"/>
    </row>
    <row r="90" spans="1:17" ht="12.75" customHeight="1">
      <c r="A90" s="48" t="s">
        <v>399</v>
      </c>
      <c r="B90" s="46"/>
      <c r="C90" s="46"/>
      <c r="D90" s="46"/>
      <c r="E90" s="46"/>
      <c r="F90" s="46"/>
      <c r="G90" s="46"/>
      <c r="H90" s="46"/>
      <c r="I90" s="46"/>
      <c r="J90" s="46"/>
      <c r="K90" s="46"/>
      <c r="L90" s="46"/>
      <c r="M90" s="46"/>
      <c r="N90" s="57"/>
      <c r="O90" s="74"/>
      <c r="P90" s="74"/>
    </row>
    <row r="91" spans="1:17" ht="12.75" customHeight="1">
      <c r="A91" s="50" t="s">
        <v>202</v>
      </c>
      <c r="B91" s="78">
        <v>96</v>
      </c>
      <c r="C91" s="78">
        <v>63</v>
      </c>
      <c r="D91" s="78">
        <v>252</v>
      </c>
      <c r="E91" s="78">
        <v>347</v>
      </c>
      <c r="F91" s="78">
        <v>435</v>
      </c>
      <c r="G91" s="78">
        <v>88</v>
      </c>
      <c r="H91" s="78">
        <v>71</v>
      </c>
      <c r="I91" s="78">
        <v>237</v>
      </c>
      <c r="J91" s="78">
        <v>302</v>
      </c>
      <c r="K91" s="78">
        <v>262</v>
      </c>
      <c r="L91" s="78">
        <v>103</v>
      </c>
      <c r="M91" s="78">
        <v>118</v>
      </c>
      <c r="N91" s="52">
        <f>SUM(B91:M91)</f>
        <v>2374</v>
      </c>
      <c r="O91" s="53">
        <v>5875</v>
      </c>
      <c r="P91" s="54" t="s">
        <v>13</v>
      </c>
    </row>
    <row r="92" spans="1:17" ht="12.75" customHeight="1">
      <c r="A92" s="2"/>
      <c r="B92" s="69"/>
      <c r="C92" s="69"/>
      <c r="D92" s="69"/>
      <c r="E92" s="69"/>
      <c r="F92" s="69"/>
      <c r="G92" s="69"/>
      <c r="H92" s="69"/>
      <c r="I92" s="69"/>
      <c r="J92" s="69"/>
      <c r="K92" s="69"/>
      <c r="L92" s="69"/>
      <c r="M92" s="69"/>
      <c r="N92" s="88"/>
      <c r="O92" s="54"/>
      <c r="P92" s="54"/>
    </row>
    <row r="93" spans="1:17" ht="12.75" customHeight="1">
      <c r="A93" s="5"/>
      <c r="B93" s="89"/>
      <c r="C93" s="89"/>
      <c r="D93" s="89"/>
      <c r="E93" s="89"/>
      <c r="F93" s="89"/>
      <c r="G93" s="89"/>
      <c r="H93" s="89"/>
      <c r="I93" s="89"/>
      <c r="J93" s="89"/>
      <c r="K93" s="89"/>
      <c r="L93" s="89"/>
      <c r="M93" s="89"/>
      <c r="N93" s="90"/>
      <c r="O93" s="91"/>
      <c r="P93" s="91"/>
    </row>
    <row r="94" spans="1:17" ht="25.5">
      <c r="A94" s="45"/>
      <c r="B94" s="46">
        <v>39630</v>
      </c>
      <c r="C94" s="46">
        <v>39661</v>
      </c>
      <c r="D94" s="46">
        <v>39692</v>
      </c>
      <c r="E94" s="46">
        <v>39722</v>
      </c>
      <c r="F94" s="46">
        <v>39753</v>
      </c>
      <c r="G94" s="46">
        <v>39783</v>
      </c>
      <c r="H94" s="46">
        <v>39814</v>
      </c>
      <c r="I94" s="46">
        <v>39845</v>
      </c>
      <c r="J94" s="46">
        <v>39873</v>
      </c>
      <c r="K94" s="46">
        <v>39904</v>
      </c>
      <c r="L94" s="46">
        <v>39934</v>
      </c>
      <c r="M94" s="46">
        <v>39965</v>
      </c>
      <c r="N94" s="47" t="s">
        <v>354</v>
      </c>
      <c r="O94" s="55" t="s">
        <v>191</v>
      </c>
      <c r="P94" s="55" t="s">
        <v>86</v>
      </c>
      <c r="Q94" s="2"/>
    </row>
    <row r="95" spans="1:17" ht="12.75" customHeight="1">
      <c r="A95" s="48" t="s">
        <v>212</v>
      </c>
      <c r="B95" s="46"/>
      <c r="C95" s="46"/>
      <c r="D95" s="46"/>
      <c r="E95" s="46"/>
      <c r="F95" s="46"/>
      <c r="G95" s="46"/>
      <c r="H95" s="46"/>
      <c r="I95" s="46"/>
      <c r="J95" s="46"/>
      <c r="K95" s="46"/>
      <c r="L95" s="46"/>
      <c r="M95" s="46"/>
      <c r="N95" s="57"/>
      <c r="O95" s="74"/>
      <c r="P95" s="74"/>
    </row>
    <row r="96" spans="1:17" ht="12.75" customHeight="1">
      <c r="A96" s="50" t="s">
        <v>202</v>
      </c>
      <c r="B96" s="78">
        <v>94</v>
      </c>
      <c r="C96" s="78">
        <v>55</v>
      </c>
      <c r="D96" s="78">
        <v>157</v>
      </c>
      <c r="E96" s="78">
        <v>306</v>
      </c>
      <c r="F96" s="78">
        <v>196</v>
      </c>
      <c r="G96" s="78">
        <v>67</v>
      </c>
      <c r="H96" s="78">
        <v>69</v>
      </c>
      <c r="I96" s="78">
        <v>219</v>
      </c>
      <c r="J96" s="78">
        <v>243</v>
      </c>
      <c r="K96" s="78">
        <v>266</v>
      </c>
      <c r="L96" s="78">
        <v>100</v>
      </c>
      <c r="M96" s="78">
        <v>113</v>
      </c>
      <c r="N96" s="52">
        <f>SUM(B96:M96)</f>
        <v>1885</v>
      </c>
      <c r="O96" s="53">
        <v>0</v>
      </c>
      <c r="P96" s="92" t="s">
        <v>13</v>
      </c>
    </row>
    <row r="97" spans="1:17" ht="12.75" customHeight="1">
      <c r="A97" s="2"/>
      <c r="B97" s="69"/>
      <c r="C97" s="69"/>
      <c r="D97" s="69"/>
      <c r="E97" s="69"/>
      <c r="F97" s="69"/>
      <c r="G97" s="69"/>
      <c r="H97" s="69"/>
      <c r="I97" s="69"/>
      <c r="J97" s="69"/>
      <c r="K97" s="69"/>
      <c r="L97" s="69"/>
      <c r="M97" s="69"/>
      <c r="N97" s="88"/>
      <c r="O97" s="54"/>
      <c r="P97" s="54"/>
    </row>
    <row r="98" spans="1:17" ht="12.75" customHeight="1">
      <c r="A98" s="5"/>
      <c r="B98" s="89"/>
      <c r="C98" s="89"/>
      <c r="D98" s="89"/>
      <c r="E98" s="89"/>
      <c r="F98" s="89"/>
      <c r="G98" s="89"/>
      <c r="H98" s="89"/>
      <c r="I98" s="89"/>
      <c r="J98" s="89"/>
      <c r="K98" s="89"/>
      <c r="L98" s="89"/>
      <c r="M98" s="89"/>
      <c r="N98" s="90"/>
      <c r="O98" s="91"/>
      <c r="P98" s="91"/>
    </row>
    <row r="99" spans="1:17" ht="25.5">
      <c r="A99" s="45"/>
      <c r="B99" s="46">
        <v>39630</v>
      </c>
      <c r="C99" s="46">
        <v>39661</v>
      </c>
      <c r="D99" s="46">
        <v>39692</v>
      </c>
      <c r="E99" s="46">
        <v>39722</v>
      </c>
      <c r="F99" s="46">
        <v>39753</v>
      </c>
      <c r="G99" s="46">
        <v>39783</v>
      </c>
      <c r="H99" s="46">
        <v>39814</v>
      </c>
      <c r="I99" s="46">
        <v>39845</v>
      </c>
      <c r="J99" s="46">
        <v>39873</v>
      </c>
      <c r="K99" s="46">
        <v>39904</v>
      </c>
      <c r="L99" s="46">
        <v>39934</v>
      </c>
      <c r="M99" s="46">
        <v>39965</v>
      </c>
      <c r="N99" s="47" t="s">
        <v>354</v>
      </c>
      <c r="O99" s="55" t="s">
        <v>191</v>
      </c>
      <c r="P99" s="55" t="s">
        <v>86</v>
      </c>
      <c r="Q99" s="2"/>
    </row>
    <row r="100" spans="1:17" ht="12.75" customHeight="1">
      <c r="A100" s="48" t="s">
        <v>41</v>
      </c>
      <c r="B100" s="46"/>
      <c r="C100" s="46"/>
      <c r="D100" s="46"/>
      <c r="E100" s="46"/>
      <c r="F100" s="46"/>
      <c r="G100" s="46"/>
      <c r="H100" s="46"/>
      <c r="I100" s="46"/>
      <c r="J100" s="46"/>
      <c r="K100" s="46"/>
      <c r="L100" s="46"/>
      <c r="M100" s="46"/>
      <c r="N100" s="57"/>
      <c r="O100" s="74"/>
      <c r="P100" s="74"/>
    </row>
    <row r="101" spans="1:17" ht="12.75" customHeight="1">
      <c r="A101" s="50" t="s">
        <v>202</v>
      </c>
      <c r="B101" s="78">
        <v>119</v>
      </c>
      <c r="C101" s="78">
        <v>82</v>
      </c>
      <c r="D101" s="78">
        <v>64</v>
      </c>
      <c r="E101" s="78">
        <v>185</v>
      </c>
      <c r="F101" s="78">
        <v>203</v>
      </c>
      <c r="G101" s="78">
        <v>135</v>
      </c>
      <c r="H101" s="78">
        <v>21</v>
      </c>
      <c r="I101" s="78">
        <v>111</v>
      </c>
      <c r="J101" s="78">
        <v>121</v>
      </c>
      <c r="K101" s="78">
        <v>163</v>
      </c>
      <c r="L101" s="78">
        <v>61</v>
      </c>
      <c r="M101" s="78">
        <v>58</v>
      </c>
      <c r="N101" s="52">
        <f>SUM(B101:M101)</f>
        <v>1323</v>
      </c>
      <c r="O101" s="53">
        <v>2720</v>
      </c>
      <c r="P101" s="54" t="s">
        <v>13</v>
      </c>
    </row>
    <row r="102" spans="1:17" ht="12.75" customHeight="1">
      <c r="A102" s="2"/>
      <c r="B102" s="69"/>
      <c r="C102" s="69"/>
      <c r="D102" s="69"/>
      <c r="E102" s="69"/>
      <c r="F102" s="69"/>
      <c r="G102" s="69"/>
      <c r="H102" s="69"/>
      <c r="I102" s="69"/>
      <c r="J102" s="69"/>
      <c r="K102" s="69"/>
      <c r="L102" s="69"/>
      <c r="M102" s="69"/>
      <c r="N102" s="88"/>
      <c r="O102" s="54"/>
      <c r="P102" s="54"/>
    </row>
    <row r="103" spans="1:17" ht="12.75" customHeight="1">
      <c r="A103" s="5"/>
      <c r="B103" s="89"/>
      <c r="C103" s="89"/>
      <c r="D103" s="89"/>
      <c r="E103" s="89"/>
      <c r="F103" s="89"/>
      <c r="G103" s="89"/>
      <c r="H103" s="89"/>
      <c r="I103" s="89"/>
      <c r="J103" s="89"/>
      <c r="K103" s="89"/>
      <c r="L103" s="89"/>
      <c r="M103" s="89"/>
      <c r="N103" s="90"/>
      <c r="O103" s="91"/>
      <c r="P103" s="91"/>
    </row>
    <row r="104" spans="1:17" ht="25.5">
      <c r="A104" s="45"/>
      <c r="B104" s="46">
        <v>39630</v>
      </c>
      <c r="C104" s="46">
        <v>39661</v>
      </c>
      <c r="D104" s="46">
        <v>39692</v>
      </c>
      <c r="E104" s="46">
        <v>39722</v>
      </c>
      <c r="F104" s="46">
        <v>39753</v>
      </c>
      <c r="G104" s="46">
        <v>39783</v>
      </c>
      <c r="H104" s="46">
        <v>39814</v>
      </c>
      <c r="I104" s="46">
        <v>39845</v>
      </c>
      <c r="J104" s="46">
        <v>39873</v>
      </c>
      <c r="K104" s="46">
        <v>39904</v>
      </c>
      <c r="L104" s="46">
        <v>39934</v>
      </c>
      <c r="M104" s="46">
        <v>39965</v>
      </c>
      <c r="N104" s="47" t="s">
        <v>354</v>
      </c>
      <c r="O104" s="55" t="s">
        <v>191</v>
      </c>
      <c r="P104" s="55" t="s">
        <v>86</v>
      </c>
      <c r="Q104" s="2"/>
    </row>
    <row r="105" spans="1:17" ht="12.75" customHeight="1">
      <c r="A105" s="48" t="s">
        <v>387</v>
      </c>
      <c r="B105" s="46"/>
      <c r="C105" s="46"/>
      <c r="D105" s="46"/>
      <c r="E105" s="46"/>
      <c r="F105" s="46"/>
      <c r="G105" s="46"/>
      <c r="H105" s="46"/>
      <c r="I105" s="46"/>
      <c r="J105" s="46"/>
      <c r="K105" s="46"/>
      <c r="L105" s="46"/>
      <c r="M105" s="46"/>
      <c r="N105" s="57"/>
      <c r="O105" s="74"/>
      <c r="P105" s="74"/>
    </row>
    <row r="106" spans="1:17" ht="12.75" customHeight="1">
      <c r="A106" s="50" t="s">
        <v>202</v>
      </c>
      <c r="B106" s="78">
        <v>170</v>
      </c>
      <c r="C106" s="78">
        <v>115</v>
      </c>
      <c r="D106" s="78">
        <v>297</v>
      </c>
      <c r="E106" s="78">
        <v>490</v>
      </c>
      <c r="F106" s="78">
        <v>442</v>
      </c>
      <c r="G106" s="78">
        <v>141</v>
      </c>
      <c r="H106" s="78">
        <v>93</v>
      </c>
      <c r="I106" s="78">
        <v>376</v>
      </c>
      <c r="J106" s="78">
        <v>520</v>
      </c>
      <c r="K106" s="78">
        <v>429</v>
      </c>
      <c r="L106" s="78">
        <v>383</v>
      </c>
      <c r="M106" s="78">
        <v>195</v>
      </c>
      <c r="N106" s="52">
        <f>SUM(B106:M106)</f>
        <v>3651</v>
      </c>
      <c r="O106" s="53">
        <v>1060</v>
      </c>
      <c r="P106" s="54" t="s">
        <v>13</v>
      </c>
    </row>
    <row r="107" spans="1:17" ht="12.75" customHeight="1">
      <c r="A107" s="2"/>
      <c r="B107" s="69"/>
      <c r="C107" s="69"/>
      <c r="D107" s="69"/>
      <c r="E107" s="69"/>
      <c r="F107" s="69"/>
      <c r="G107" s="69"/>
      <c r="H107" s="69"/>
      <c r="I107" s="69"/>
      <c r="J107" s="69"/>
      <c r="K107" s="69"/>
      <c r="L107" s="69"/>
      <c r="M107" s="69"/>
      <c r="N107" s="88"/>
      <c r="O107" s="54"/>
      <c r="P107" s="54"/>
    </row>
    <row r="108" spans="1:17" ht="12.75" customHeight="1">
      <c r="A108" s="5"/>
      <c r="B108" s="89"/>
      <c r="C108" s="89"/>
      <c r="D108" s="89"/>
      <c r="E108" s="89"/>
      <c r="F108" s="89"/>
      <c r="G108" s="89"/>
      <c r="H108" s="89"/>
      <c r="I108" s="89"/>
      <c r="J108" s="89"/>
      <c r="K108" s="89"/>
      <c r="L108" s="89"/>
      <c r="M108" s="89"/>
      <c r="N108" s="90"/>
      <c r="O108" s="91"/>
      <c r="P108" s="91"/>
    </row>
    <row r="109" spans="1:17" ht="25.5">
      <c r="A109" s="45"/>
      <c r="B109" s="46">
        <v>39630</v>
      </c>
      <c r="C109" s="46">
        <v>39661</v>
      </c>
      <c r="D109" s="46">
        <v>39692</v>
      </c>
      <c r="E109" s="46">
        <v>39722</v>
      </c>
      <c r="F109" s="46">
        <v>39753</v>
      </c>
      <c r="G109" s="46">
        <v>39783</v>
      </c>
      <c r="H109" s="46">
        <v>39814</v>
      </c>
      <c r="I109" s="46">
        <v>39845</v>
      </c>
      <c r="J109" s="46">
        <v>39873</v>
      </c>
      <c r="K109" s="46">
        <v>39904</v>
      </c>
      <c r="L109" s="46">
        <v>39934</v>
      </c>
      <c r="M109" s="46">
        <v>39965</v>
      </c>
      <c r="N109" s="47" t="s">
        <v>354</v>
      </c>
      <c r="O109" s="55" t="s">
        <v>191</v>
      </c>
      <c r="P109" s="55" t="s">
        <v>86</v>
      </c>
    </row>
    <row r="110" spans="1:17" ht="12.75" customHeight="1">
      <c r="A110" s="48" t="s">
        <v>112</v>
      </c>
      <c r="B110" s="46"/>
      <c r="C110" s="46"/>
      <c r="D110" s="46"/>
      <c r="E110" s="46"/>
      <c r="F110" s="46"/>
      <c r="G110" s="46"/>
      <c r="H110" s="46"/>
      <c r="I110" s="46"/>
      <c r="J110" s="46"/>
      <c r="K110" s="46"/>
      <c r="L110" s="46"/>
      <c r="M110" s="46"/>
      <c r="N110" s="57"/>
      <c r="O110" s="74"/>
      <c r="P110" s="74"/>
    </row>
    <row r="111" spans="1:17" ht="12.75" customHeight="1">
      <c r="A111" s="50" t="s">
        <v>202</v>
      </c>
      <c r="B111" s="78">
        <v>89</v>
      </c>
      <c r="C111" s="78">
        <v>62</v>
      </c>
      <c r="D111" s="78">
        <v>168</v>
      </c>
      <c r="E111" s="78">
        <v>294</v>
      </c>
      <c r="F111" s="78">
        <v>224</v>
      </c>
      <c r="G111" s="78">
        <v>83</v>
      </c>
      <c r="H111" s="78">
        <v>64</v>
      </c>
      <c r="I111" s="78">
        <v>160</v>
      </c>
      <c r="J111" s="78">
        <v>216</v>
      </c>
      <c r="K111" s="78">
        <v>211</v>
      </c>
      <c r="L111" s="78">
        <v>95</v>
      </c>
      <c r="M111" s="78">
        <v>113</v>
      </c>
      <c r="N111" s="95">
        <f>SUM(B111:M111)</f>
        <v>1779</v>
      </c>
      <c r="O111" s="53">
        <v>0</v>
      </c>
      <c r="P111" s="92" t="s">
        <v>13</v>
      </c>
    </row>
    <row r="112" spans="1:17" ht="12.75" customHeight="1">
      <c r="A112" s="2"/>
      <c r="B112" s="69"/>
      <c r="C112" s="69"/>
      <c r="D112" s="69"/>
      <c r="E112" s="69"/>
      <c r="F112" s="69"/>
      <c r="G112" s="69"/>
      <c r="H112" s="69"/>
      <c r="I112" s="69"/>
      <c r="J112" s="69"/>
      <c r="K112" s="69"/>
      <c r="L112" s="69"/>
      <c r="M112" s="69"/>
      <c r="N112" s="97"/>
      <c r="O112" s="54"/>
      <c r="P112" s="54"/>
    </row>
    <row r="113" spans="1:17" ht="12.75" customHeight="1">
      <c r="A113" s="5"/>
      <c r="B113" s="89"/>
      <c r="C113" s="89"/>
      <c r="D113" s="89"/>
      <c r="E113" s="89"/>
      <c r="F113" s="89"/>
      <c r="G113" s="89"/>
      <c r="H113" s="89"/>
      <c r="I113" s="89"/>
      <c r="J113" s="89"/>
      <c r="K113" s="89"/>
      <c r="L113" s="89"/>
      <c r="M113" s="89"/>
      <c r="N113" s="90"/>
      <c r="O113" s="91"/>
      <c r="P113" s="91"/>
    </row>
    <row r="114" spans="1:17" ht="25.5">
      <c r="A114" s="45"/>
      <c r="B114" s="46">
        <v>39630</v>
      </c>
      <c r="C114" s="46">
        <v>39661</v>
      </c>
      <c r="D114" s="46">
        <v>39692</v>
      </c>
      <c r="E114" s="46">
        <v>39722</v>
      </c>
      <c r="F114" s="46">
        <v>39753</v>
      </c>
      <c r="G114" s="46">
        <v>39783</v>
      </c>
      <c r="H114" s="46">
        <v>39814</v>
      </c>
      <c r="I114" s="46">
        <v>39845</v>
      </c>
      <c r="J114" s="46">
        <v>39873</v>
      </c>
      <c r="K114" s="46">
        <v>39904</v>
      </c>
      <c r="L114" s="46">
        <v>39934</v>
      </c>
      <c r="M114" s="46">
        <v>39965</v>
      </c>
      <c r="N114" s="47" t="s">
        <v>354</v>
      </c>
      <c r="O114" s="55" t="s">
        <v>191</v>
      </c>
      <c r="P114" s="55" t="s">
        <v>86</v>
      </c>
      <c r="Q114" s="2"/>
    </row>
    <row r="115" spans="1:17" ht="12.75" customHeight="1">
      <c r="A115" s="48" t="s">
        <v>87</v>
      </c>
      <c r="B115" s="46"/>
      <c r="C115" s="46"/>
      <c r="D115" s="46"/>
      <c r="E115" s="46"/>
      <c r="F115" s="46"/>
      <c r="G115" s="46"/>
      <c r="H115" s="46"/>
      <c r="I115" s="46"/>
      <c r="J115" s="46"/>
      <c r="K115" s="46"/>
      <c r="L115" s="46"/>
      <c r="M115" s="46"/>
      <c r="N115" s="57"/>
      <c r="O115" s="74"/>
      <c r="P115" s="74"/>
    </row>
    <row r="116" spans="1:17" ht="12.75" customHeight="1">
      <c r="A116" s="50" t="s">
        <v>202</v>
      </c>
      <c r="B116" s="78">
        <v>1607</v>
      </c>
      <c r="C116" s="78">
        <v>877</v>
      </c>
      <c r="D116" s="78">
        <v>3450</v>
      </c>
      <c r="E116" s="78">
        <v>3602</v>
      </c>
      <c r="F116" s="78">
        <v>3955</v>
      </c>
      <c r="G116" s="78">
        <v>2626</v>
      </c>
      <c r="H116" s="78">
        <v>1659</v>
      </c>
      <c r="I116" s="78">
        <v>3724</v>
      </c>
      <c r="J116" s="78">
        <v>5183</v>
      </c>
      <c r="K116" s="78">
        <v>4447</v>
      </c>
      <c r="L116" s="78">
        <v>1577</v>
      </c>
      <c r="M116" s="78">
        <v>1165</v>
      </c>
      <c r="N116" s="52">
        <f>SUM(B116:M116)</f>
        <v>33872</v>
      </c>
      <c r="O116" s="53">
        <v>15220</v>
      </c>
      <c r="P116" s="54" t="s">
        <v>13</v>
      </c>
    </row>
    <row r="117" spans="1:17" ht="12.75" customHeight="1">
      <c r="A117" s="2"/>
      <c r="B117" s="69"/>
      <c r="C117" s="69"/>
      <c r="D117" s="69"/>
      <c r="E117" s="69"/>
      <c r="F117" s="69"/>
      <c r="G117" s="69"/>
      <c r="H117" s="69"/>
      <c r="I117" s="69"/>
      <c r="J117" s="69"/>
      <c r="K117" s="69"/>
      <c r="L117" s="69"/>
      <c r="M117" s="69"/>
      <c r="N117" s="88"/>
      <c r="O117" s="54"/>
      <c r="P117" s="54"/>
    </row>
    <row r="118" spans="1:17" ht="12.75" customHeight="1">
      <c r="A118" s="5"/>
      <c r="B118" s="89"/>
      <c r="C118" s="89"/>
      <c r="D118" s="89"/>
      <c r="E118" s="89"/>
      <c r="F118" s="89"/>
      <c r="G118" s="89"/>
      <c r="H118" s="89"/>
      <c r="I118" s="89"/>
      <c r="J118" s="89"/>
      <c r="K118" s="89"/>
      <c r="L118" s="89"/>
      <c r="M118" s="89"/>
      <c r="N118" s="90"/>
      <c r="O118" s="91"/>
      <c r="P118" s="91"/>
    </row>
    <row r="119" spans="1:17" ht="25.5">
      <c r="A119" s="45"/>
      <c r="B119" s="46">
        <v>39630</v>
      </c>
      <c r="C119" s="46">
        <v>39661</v>
      </c>
      <c r="D119" s="46">
        <v>39692</v>
      </c>
      <c r="E119" s="46">
        <v>39722</v>
      </c>
      <c r="F119" s="46">
        <v>39753</v>
      </c>
      <c r="G119" s="46">
        <v>39783</v>
      </c>
      <c r="H119" s="46">
        <v>39814</v>
      </c>
      <c r="I119" s="46">
        <v>39845</v>
      </c>
      <c r="J119" s="46">
        <v>39873</v>
      </c>
      <c r="K119" s="46">
        <v>39904</v>
      </c>
      <c r="L119" s="46">
        <v>39934</v>
      </c>
      <c r="M119" s="46">
        <v>39965</v>
      </c>
      <c r="N119" s="47" t="s">
        <v>354</v>
      </c>
      <c r="O119" s="55" t="s">
        <v>191</v>
      </c>
      <c r="P119" s="55" t="s">
        <v>86</v>
      </c>
      <c r="Q119" s="2"/>
    </row>
    <row r="120" spans="1:17" ht="12.75" customHeight="1">
      <c r="A120" s="48" t="s">
        <v>159</v>
      </c>
      <c r="B120" s="46"/>
      <c r="C120" s="46"/>
      <c r="D120" s="46"/>
      <c r="E120" s="46"/>
      <c r="F120" s="46"/>
      <c r="G120" s="46"/>
      <c r="H120" s="46"/>
      <c r="I120" s="46"/>
      <c r="J120" s="46"/>
      <c r="K120" s="46"/>
      <c r="L120" s="46"/>
      <c r="M120" s="46"/>
      <c r="N120" s="57"/>
      <c r="O120" s="74"/>
      <c r="P120" s="74"/>
    </row>
    <row r="121" spans="1:17" ht="12.75" customHeight="1">
      <c r="A121" s="50" t="s">
        <v>202</v>
      </c>
      <c r="B121" s="78" t="s">
        <v>229</v>
      </c>
      <c r="C121" s="78" t="s">
        <v>229</v>
      </c>
      <c r="D121" s="78" t="s">
        <v>229</v>
      </c>
      <c r="E121" s="78" t="s">
        <v>229</v>
      </c>
      <c r="F121" s="78" t="s">
        <v>229</v>
      </c>
      <c r="G121" s="78" t="s">
        <v>229</v>
      </c>
      <c r="H121" s="78" t="s">
        <v>229</v>
      </c>
      <c r="I121" s="78" t="s">
        <v>229</v>
      </c>
      <c r="J121" s="78" t="s">
        <v>229</v>
      </c>
      <c r="K121" s="78" t="s">
        <v>229</v>
      </c>
      <c r="L121" s="78" t="s">
        <v>229</v>
      </c>
      <c r="M121" s="78" t="s">
        <v>229</v>
      </c>
      <c r="N121" s="52">
        <f>SUM(B121:M121)</f>
        <v>0</v>
      </c>
      <c r="O121" s="53">
        <v>0</v>
      </c>
      <c r="P121" s="92" t="s">
        <v>13</v>
      </c>
    </row>
    <row r="122" spans="1:17" ht="12.75" customHeight="1">
      <c r="A122" s="2"/>
      <c r="B122" s="69"/>
      <c r="C122" s="69"/>
      <c r="D122" s="69"/>
      <c r="E122" s="69"/>
      <c r="F122" s="69"/>
      <c r="G122" s="69"/>
      <c r="H122" s="69"/>
      <c r="I122" s="69"/>
      <c r="J122" s="69"/>
      <c r="K122" s="69"/>
      <c r="L122" s="69"/>
      <c r="M122" s="69"/>
      <c r="N122" s="88"/>
      <c r="O122" s="54"/>
      <c r="P122" s="92"/>
    </row>
    <row r="123" spans="1:17" ht="12.75" customHeight="1">
      <c r="A123" s="5"/>
      <c r="B123" s="89"/>
      <c r="C123" s="89"/>
      <c r="D123" s="89"/>
      <c r="E123" s="89"/>
      <c r="F123" s="89"/>
      <c r="G123" s="89"/>
      <c r="H123" s="89"/>
      <c r="I123" s="89"/>
      <c r="J123" s="89"/>
      <c r="K123" s="89"/>
      <c r="L123" s="89"/>
      <c r="M123" s="89"/>
      <c r="N123" s="90"/>
      <c r="O123" s="91"/>
      <c r="P123" s="98"/>
    </row>
    <row r="124" spans="1:17" ht="25.5">
      <c r="A124" s="45"/>
      <c r="B124" s="46">
        <v>39630</v>
      </c>
      <c r="C124" s="46">
        <v>39661</v>
      </c>
      <c r="D124" s="46">
        <v>39692</v>
      </c>
      <c r="E124" s="46">
        <v>39722</v>
      </c>
      <c r="F124" s="46">
        <v>39753</v>
      </c>
      <c r="G124" s="46">
        <v>39783</v>
      </c>
      <c r="H124" s="46">
        <v>39814</v>
      </c>
      <c r="I124" s="46">
        <v>39845</v>
      </c>
      <c r="J124" s="46">
        <v>39873</v>
      </c>
      <c r="K124" s="46">
        <v>39904</v>
      </c>
      <c r="L124" s="46">
        <v>39934</v>
      </c>
      <c r="M124" s="46">
        <v>39965</v>
      </c>
      <c r="N124" s="47" t="s">
        <v>354</v>
      </c>
      <c r="O124" s="55" t="s">
        <v>191</v>
      </c>
      <c r="P124" s="55" t="s">
        <v>86</v>
      </c>
      <c r="Q124" s="2"/>
    </row>
    <row r="125" spans="1:17" ht="12.75" customHeight="1">
      <c r="A125" s="48" t="s">
        <v>306</v>
      </c>
      <c r="B125" s="46"/>
      <c r="C125" s="46"/>
      <c r="D125" s="46"/>
      <c r="E125" s="46"/>
      <c r="F125" s="46"/>
      <c r="G125" s="46"/>
      <c r="H125" s="46"/>
      <c r="I125" s="46"/>
      <c r="J125" s="46"/>
      <c r="K125" s="46"/>
      <c r="L125" s="46"/>
      <c r="M125" s="46"/>
      <c r="N125" s="57"/>
      <c r="O125" s="74"/>
      <c r="P125" s="74"/>
    </row>
    <row r="126" spans="1:17" ht="12.75" customHeight="1">
      <c r="A126" s="50" t="s">
        <v>202</v>
      </c>
      <c r="B126" s="78" t="s">
        <v>229</v>
      </c>
      <c r="C126" s="78" t="s">
        <v>229</v>
      </c>
      <c r="D126" s="78" t="s">
        <v>229</v>
      </c>
      <c r="E126" s="78" t="s">
        <v>229</v>
      </c>
      <c r="F126" s="78" t="s">
        <v>229</v>
      </c>
      <c r="G126" s="78" t="s">
        <v>229</v>
      </c>
      <c r="H126" s="78" t="s">
        <v>229</v>
      </c>
      <c r="I126" s="78" t="s">
        <v>229</v>
      </c>
      <c r="J126" s="78" t="s">
        <v>229</v>
      </c>
      <c r="K126" s="78" t="s">
        <v>229</v>
      </c>
      <c r="L126" s="78" t="s">
        <v>229</v>
      </c>
      <c r="M126" s="78" t="s">
        <v>229</v>
      </c>
      <c r="N126" s="52">
        <f>SUM(B126:M126)</f>
        <v>0</v>
      </c>
      <c r="O126" s="53">
        <v>4446</v>
      </c>
      <c r="P126" s="54" t="s">
        <v>13</v>
      </c>
    </row>
    <row r="127" spans="1:17" ht="12.75" customHeight="1">
      <c r="A127" s="2"/>
      <c r="B127" s="69"/>
      <c r="C127" s="69"/>
      <c r="D127" s="69"/>
      <c r="E127" s="69"/>
      <c r="F127" s="69"/>
      <c r="G127" s="69"/>
      <c r="H127" s="69"/>
      <c r="I127" s="69"/>
      <c r="J127" s="69"/>
      <c r="K127" s="69"/>
      <c r="L127" s="69"/>
      <c r="M127" s="69"/>
      <c r="N127" s="88"/>
      <c r="O127" s="54"/>
      <c r="P127" s="54"/>
    </row>
    <row r="128" spans="1:17" ht="12.75" customHeight="1">
      <c r="A128" s="5"/>
      <c r="B128" s="89"/>
      <c r="C128" s="89"/>
      <c r="D128" s="89"/>
      <c r="E128" s="89"/>
      <c r="F128" s="89"/>
      <c r="G128" s="89"/>
      <c r="H128" s="89"/>
      <c r="I128" s="89"/>
      <c r="J128" s="89"/>
      <c r="K128" s="89"/>
      <c r="L128" s="89"/>
      <c r="M128" s="89"/>
      <c r="N128" s="90"/>
      <c r="O128" s="91"/>
      <c r="P128" s="91"/>
    </row>
    <row r="129" spans="1:17" ht="25.5">
      <c r="A129" s="45"/>
      <c r="B129" s="46">
        <v>39630</v>
      </c>
      <c r="C129" s="46">
        <v>39661</v>
      </c>
      <c r="D129" s="46">
        <v>39692</v>
      </c>
      <c r="E129" s="46">
        <v>39722</v>
      </c>
      <c r="F129" s="46">
        <v>39753</v>
      </c>
      <c r="G129" s="46">
        <v>39783</v>
      </c>
      <c r="H129" s="46">
        <v>39814</v>
      </c>
      <c r="I129" s="46">
        <v>39845</v>
      </c>
      <c r="J129" s="46">
        <v>39873</v>
      </c>
      <c r="K129" s="46">
        <v>39904</v>
      </c>
      <c r="L129" s="46">
        <v>39934</v>
      </c>
      <c r="M129" s="46">
        <v>39965</v>
      </c>
      <c r="N129" s="47" t="s">
        <v>354</v>
      </c>
      <c r="O129" s="55" t="s">
        <v>191</v>
      </c>
      <c r="P129" s="55" t="s">
        <v>86</v>
      </c>
      <c r="Q129" s="2"/>
    </row>
    <row r="130" spans="1:17" ht="12.75" customHeight="1">
      <c r="A130" s="48" t="s">
        <v>144</v>
      </c>
      <c r="B130" s="46"/>
      <c r="C130" s="46"/>
      <c r="D130" s="46"/>
      <c r="E130" s="46"/>
      <c r="F130" s="46"/>
      <c r="G130" s="46"/>
      <c r="H130" s="46"/>
      <c r="I130" s="46"/>
      <c r="J130" s="46"/>
      <c r="K130" s="46"/>
      <c r="L130" s="46"/>
      <c r="M130" s="46"/>
      <c r="N130" s="57"/>
      <c r="O130" s="74"/>
      <c r="P130" s="74"/>
    </row>
    <row r="131" spans="1:17" ht="12.75" customHeight="1">
      <c r="A131" s="50" t="s">
        <v>202</v>
      </c>
      <c r="B131" s="78">
        <v>6687</v>
      </c>
      <c r="C131" s="78">
        <v>4065</v>
      </c>
      <c r="D131" s="78">
        <v>11095</v>
      </c>
      <c r="E131" s="78">
        <v>14250</v>
      </c>
      <c r="F131" s="78">
        <v>15655</v>
      </c>
      <c r="G131" s="78">
        <v>7637</v>
      </c>
      <c r="H131" s="78">
        <v>4516</v>
      </c>
      <c r="I131" s="78">
        <v>12770</v>
      </c>
      <c r="J131" s="78">
        <v>14172</v>
      </c>
      <c r="K131" s="78">
        <v>13353</v>
      </c>
      <c r="L131" s="78">
        <v>5650</v>
      </c>
      <c r="M131" s="78">
        <v>5053</v>
      </c>
      <c r="N131" s="52">
        <f>SUM(B131:M131)</f>
        <v>114903</v>
      </c>
      <c r="O131" s="53">
        <f>SUM(O5:O130)</f>
        <v>65124</v>
      </c>
      <c r="P131" s="54" t="s">
        <v>13</v>
      </c>
    </row>
    <row r="132" spans="1:17" ht="12.75" customHeight="1">
      <c r="A132" s="2"/>
      <c r="B132" s="178" t="s">
        <v>355</v>
      </c>
      <c r="C132" s="179"/>
      <c r="D132" s="179"/>
      <c r="E132" s="179"/>
      <c r="F132" s="179"/>
      <c r="G132" s="179"/>
      <c r="H132" s="179"/>
      <c r="I132" s="179"/>
      <c r="J132" s="179"/>
      <c r="K132" s="179"/>
      <c r="L132" s="179"/>
      <c r="M132" s="179"/>
      <c r="N132" s="179"/>
      <c r="O132" s="54"/>
      <c r="P132" s="54"/>
    </row>
    <row r="133" spans="1:17" ht="12.75" customHeight="1">
      <c r="A133" s="2"/>
      <c r="B133" s="101"/>
      <c r="C133" s="101"/>
      <c r="D133" s="101"/>
      <c r="E133" s="101"/>
      <c r="F133" s="101"/>
      <c r="G133" s="101"/>
      <c r="H133" s="101"/>
      <c r="I133" s="101"/>
      <c r="J133" s="101"/>
      <c r="K133" s="101"/>
      <c r="L133" s="101"/>
      <c r="M133" s="101"/>
      <c r="N133" s="101"/>
      <c r="O133" s="2"/>
      <c r="P133" s="2"/>
    </row>
    <row r="134" spans="1:17" ht="12.75" customHeight="1">
      <c r="A134" s="2"/>
      <c r="O134" s="2"/>
      <c r="P134" s="2"/>
    </row>
    <row r="135" spans="1:17" ht="12.75" customHeight="1">
      <c r="A135" s="2"/>
      <c r="O135" s="2"/>
      <c r="P135" s="2"/>
    </row>
    <row r="136" spans="1:17" ht="12.75" customHeight="1">
      <c r="A136" s="2"/>
      <c r="O136" s="2"/>
      <c r="P136" s="2"/>
    </row>
    <row r="137" spans="1:17" ht="12.75" customHeight="1">
      <c r="A137" s="2" t="s">
        <v>15</v>
      </c>
      <c r="B137" s="2" t="s">
        <v>185</v>
      </c>
      <c r="O137" s="2"/>
      <c r="P137" s="2"/>
    </row>
    <row r="138" spans="1:17" ht="12.75" customHeight="1">
      <c r="A138" s="2"/>
      <c r="O138" s="2"/>
      <c r="P138" s="2"/>
    </row>
  </sheetData>
  <mergeCells count="5">
    <mergeCell ref="A30:C30"/>
    <mergeCell ref="A47:D47"/>
    <mergeCell ref="A65:C65"/>
    <mergeCell ref="A80:B80"/>
    <mergeCell ref="B132:N132"/>
  </mergeCells>
  <pageMargins left="0.75" right="0.75" top="1" bottom="1" header="0.5" footer="0.5"/>
  <pageSetup paperSize="9"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dimension ref="A1:Q204"/>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1.42578125" customWidth="1"/>
    <col min="2" max="14" width="8.5703125" customWidth="1"/>
    <col min="15" max="16" width="10.85546875" customWidth="1"/>
    <col min="17" max="17" width="9.140625" customWidth="1"/>
  </cols>
  <sheetData>
    <row r="1" spans="1:17" ht="20.25">
      <c r="A1" s="167" t="s">
        <v>161</v>
      </c>
      <c r="B1" s="168"/>
      <c r="C1" s="168"/>
      <c r="D1" s="2"/>
      <c r="E1" s="2"/>
      <c r="F1" s="2"/>
      <c r="G1" s="2"/>
      <c r="H1" s="2"/>
      <c r="I1" s="2"/>
      <c r="J1" s="2"/>
      <c r="K1" s="2"/>
      <c r="L1" s="2"/>
      <c r="M1" s="2"/>
      <c r="N1" s="2"/>
      <c r="O1" s="2"/>
      <c r="P1" s="2"/>
      <c r="Q1" s="2"/>
    </row>
    <row r="2" spans="1:17" ht="18">
      <c r="A2" s="44" t="s">
        <v>94</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5"/>
      <c r="P3" s="5"/>
    </row>
    <row r="4" spans="1:17" ht="25.5">
      <c r="A4" s="45"/>
      <c r="B4" s="46">
        <v>39630</v>
      </c>
      <c r="C4" s="46">
        <v>39661</v>
      </c>
      <c r="D4" s="46">
        <v>39692</v>
      </c>
      <c r="E4" s="46">
        <v>39722</v>
      </c>
      <c r="F4" s="46">
        <v>39753</v>
      </c>
      <c r="G4" s="46">
        <v>39783</v>
      </c>
      <c r="H4" s="46">
        <v>39814</v>
      </c>
      <c r="I4" s="46">
        <v>39845</v>
      </c>
      <c r="J4" s="46">
        <v>39873</v>
      </c>
      <c r="K4" s="46">
        <v>39904</v>
      </c>
      <c r="L4" s="46">
        <v>39934</v>
      </c>
      <c r="M4" s="46">
        <v>39965</v>
      </c>
      <c r="N4" s="55" t="s">
        <v>354</v>
      </c>
      <c r="O4" s="55" t="s">
        <v>191</v>
      </c>
      <c r="P4" s="55" t="s">
        <v>86</v>
      </c>
    </row>
    <row r="5" spans="1:17" ht="12.75" customHeight="1">
      <c r="A5" s="174" t="s">
        <v>346</v>
      </c>
      <c r="B5" s="175"/>
      <c r="C5" s="175"/>
      <c r="D5" s="175"/>
      <c r="E5" s="175"/>
      <c r="F5" s="175"/>
      <c r="G5" s="46"/>
      <c r="H5" s="46"/>
      <c r="I5" s="46"/>
      <c r="J5" s="46"/>
      <c r="K5" s="46"/>
      <c r="L5" s="46"/>
      <c r="M5" s="46"/>
      <c r="N5" s="57"/>
      <c r="O5" s="48"/>
      <c r="P5" s="102"/>
    </row>
    <row r="6" spans="1:17" ht="12.75" customHeight="1">
      <c r="A6" s="50" t="s">
        <v>260</v>
      </c>
      <c r="B6" s="100">
        <v>0</v>
      </c>
      <c r="C6" s="100">
        <v>0</v>
      </c>
      <c r="D6" s="100">
        <v>0</v>
      </c>
      <c r="E6" s="100">
        <v>1315</v>
      </c>
      <c r="F6" s="100">
        <v>1868</v>
      </c>
      <c r="G6" s="78">
        <v>980</v>
      </c>
      <c r="H6" s="78">
        <v>593</v>
      </c>
      <c r="I6" s="78">
        <v>1491</v>
      </c>
      <c r="J6" s="78">
        <v>2019</v>
      </c>
      <c r="K6" s="78">
        <v>5203</v>
      </c>
      <c r="L6" s="78">
        <v>1406</v>
      </c>
      <c r="M6" s="78">
        <v>1369</v>
      </c>
      <c r="N6" s="52">
        <f>SUM(B6:M6)</f>
        <v>16244</v>
      </c>
      <c r="O6" s="10"/>
      <c r="P6" s="92"/>
    </row>
    <row r="7" spans="1:17" ht="12.75" customHeight="1">
      <c r="A7" s="50" t="s">
        <v>202</v>
      </c>
      <c r="B7" s="78">
        <v>0</v>
      </c>
      <c r="C7" s="78">
        <v>0</v>
      </c>
      <c r="D7" s="78">
        <v>0</v>
      </c>
      <c r="E7" s="78">
        <v>1727</v>
      </c>
      <c r="F7" s="78">
        <v>2533</v>
      </c>
      <c r="G7" s="78">
        <v>1912</v>
      </c>
      <c r="H7" s="78">
        <v>1017</v>
      </c>
      <c r="I7" s="78">
        <v>1686</v>
      </c>
      <c r="J7" s="78">
        <v>2919</v>
      </c>
      <c r="K7" s="78">
        <v>16227</v>
      </c>
      <c r="L7" s="78">
        <v>5528</v>
      </c>
      <c r="M7" s="78">
        <v>4548</v>
      </c>
      <c r="N7" s="52">
        <f>SUM(B7:M7)</f>
        <v>38097</v>
      </c>
      <c r="O7" s="103">
        <v>0</v>
      </c>
      <c r="P7" s="92" t="s">
        <v>13</v>
      </c>
    </row>
    <row r="8" spans="1:17" ht="12.75" customHeight="1">
      <c r="A8" s="2"/>
      <c r="B8" s="41"/>
      <c r="C8" s="41"/>
      <c r="D8" s="41"/>
      <c r="E8" s="41"/>
      <c r="F8" s="41"/>
      <c r="G8" s="41"/>
      <c r="H8" s="41"/>
      <c r="I8" s="41"/>
      <c r="J8" s="41"/>
      <c r="K8" s="41"/>
      <c r="L8" s="41"/>
      <c r="M8" s="41"/>
      <c r="N8" s="41"/>
      <c r="O8" s="2"/>
      <c r="P8" s="2"/>
    </row>
    <row r="9" spans="1:17" ht="12.75" customHeight="1">
      <c r="A9" s="5"/>
      <c r="B9" s="6"/>
      <c r="C9" s="6"/>
      <c r="D9" s="6"/>
      <c r="E9" s="6"/>
      <c r="F9" s="6"/>
      <c r="G9" s="6"/>
      <c r="H9" s="6"/>
      <c r="I9" s="6"/>
      <c r="J9" s="6"/>
      <c r="K9" s="6"/>
      <c r="L9" s="6"/>
      <c r="M9" s="6"/>
      <c r="N9" s="6"/>
      <c r="O9" s="5"/>
      <c r="P9" s="5"/>
    </row>
    <row r="10" spans="1:17" ht="25.5">
      <c r="A10" s="45"/>
      <c r="B10" s="46">
        <v>39630</v>
      </c>
      <c r="C10" s="46">
        <v>39661</v>
      </c>
      <c r="D10" s="46">
        <v>39692</v>
      </c>
      <c r="E10" s="46">
        <v>39722</v>
      </c>
      <c r="F10" s="46">
        <v>39753</v>
      </c>
      <c r="G10" s="46">
        <v>39783</v>
      </c>
      <c r="H10" s="46">
        <v>39814</v>
      </c>
      <c r="I10" s="46">
        <v>39845</v>
      </c>
      <c r="J10" s="46">
        <v>39873</v>
      </c>
      <c r="K10" s="46">
        <v>39904</v>
      </c>
      <c r="L10" s="46">
        <v>39934</v>
      </c>
      <c r="M10" s="46">
        <v>39965</v>
      </c>
      <c r="N10" s="55" t="s">
        <v>354</v>
      </c>
      <c r="O10" s="55" t="s">
        <v>191</v>
      </c>
      <c r="P10" s="55" t="s">
        <v>86</v>
      </c>
      <c r="Q10" s="2"/>
    </row>
    <row r="11" spans="1:17" ht="12.75" customHeight="1">
      <c r="A11" s="48" t="s">
        <v>227</v>
      </c>
      <c r="B11" s="46"/>
      <c r="C11" s="46"/>
      <c r="D11" s="46"/>
      <c r="E11" s="46"/>
      <c r="F11" s="46"/>
      <c r="G11" s="46"/>
      <c r="H11" s="46"/>
      <c r="I11" s="46"/>
      <c r="J11" s="46"/>
      <c r="K11" s="46"/>
      <c r="L11" s="46"/>
      <c r="M11" s="46"/>
      <c r="N11" s="57"/>
      <c r="O11" s="48"/>
      <c r="P11" s="102"/>
    </row>
    <row r="12" spans="1:17" ht="12.75" customHeight="1">
      <c r="A12" s="50" t="s">
        <v>260</v>
      </c>
      <c r="B12" s="78">
        <v>4100</v>
      </c>
      <c r="C12" s="78">
        <v>1387</v>
      </c>
      <c r="D12" s="78">
        <v>5073</v>
      </c>
      <c r="E12" s="78">
        <v>10620</v>
      </c>
      <c r="F12" s="78">
        <v>9378</v>
      </c>
      <c r="G12" s="78">
        <v>4833</v>
      </c>
      <c r="H12" s="78">
        <v>1382</v>
      </c>
      <c r="I12" s="78">
        <v>6534</v>
      </c>
      <c r="J12" s="78">
        <v>9826</v>
      </c>
      <c r="K12" s="78">
        <v>7458</v>
      </c>
      <c r="L12" s="78">
        <v>1478</v>
      </c>
      <c r="M12" s="78">
        <v>1503</v>
      </c>
      <c r="N12" s="52">
        <f>SUM(B12:M12)</f>
        <v>63572</v>
      </c>
      <c r="O12" s="10"/>
      <c r="P12" s="92"/>
    </row>
    <row r="13" spans="1:17" ht="12.75" customHeight="1">
      <c r="A13" s="50" t="s">
        <v>202</v>
      </c>
      <c r="B13" s="78">
        <v>11521</v>
      </c>
      <c r="C13" s="78">
        <v>2352</v>
      </c>
      <c r="D13" s="78">
        <v>15524</v>
      </c>
      <c r="E13" s="78">
        <v>42240</v>
      </c>
      <c r="F13" s="78">
        <v>31101</v>
      </c>
      <c r="G13" s="78">
        <v>16152</v>
      </c>
      <c r="H13" s="78">
        <v>2503</v>
      </c>
      <c r="I13" s="78">
        <v>21860</v>
      </c>
      <c r="J13" s="78">
        <v>36352</v>
      </c>
      <c r="K13" s="78">
        <v>20261</v>
      </c>
      <c r="L13" s="78">
        <v>3221</v>
      </c>
      <c r="M13" s="78">
        <v>4131</v>
      </c>
      <c r="N13" s="52">
        <f>SUM(B13:M13)</f>
        <v>207218</v>
      </c>
      <c r="O13" s="103">
        <v>20342.75</v>
      </c>
      <c r="P13" s="92" t="s">
        <v>13</v>
      </c>
    </row>
    <row r="14" spans="1:17" ht="12.75" customHeight="1">
      <c r="A14" s="2"/>
      <c r="B14" s="69"/>
      <c r="C14" s="69"/>
      <c r="D14" s="69"/>
      <c r="E14" s="69"/>
      <c r="F14" s="69"/>
      <c r="G14" s="69"/>
      <c r="H14" s="69"/>
      <c r="I14" s="69"/>
      <c r="J14" s="69"/>
      <c r="K14" s="69"/>
      <c r="L14" s="69"/>
      <c r="M14" s="69"/>
      <c r="N14" s="88"/>
      <c r="O14" s="92"/>
      <c r="P14" s="92"/>
    </row>
    <row r="15" spans="1:17" ht="12.75" customHeight="1">
      <c r="A15" s="5"/>
      <c r="B15" s="89"/>
      <c r="C15" s="89"/>
      <c r="D15" s="89"/>
      <c r="E15" s="89"/>
      <c r="F15" s="89"/>
      <c r="G15" s="89"/>
      <c r="H15" s="89"/>
      <c r="I15" s="89"/>
      <c r="J15" s="89"/>
      <c r="K15" s="89"/>
      <c r="L15" s="89"/>
      <c r="M15" s="89"/>
      <c r="N15" s="90"/>
      <c r="O15" s="98"/>
      <c r="P15" s="98"/>
    </row>
    <row r="16" spans="1:17" ht="25.5">
      <c r="A16" s="45"/>
      <c r="B16" s="46">
        <v>39630</v>
      </c>
      <c r="C16" s="46">
        <v>39661</v>
      </c>
      <c r="D16" s="46">
        <v>39692</v>
      </c>
      <c r="E16" s="46">
        <v>39722</v>
      </c>
      <c r="F16" s="46">
        <v>39753</v>
      </c>
      <c r="G16" s="46">
        <v>39783</v>
      </c>
      <c r="H16" s="46">
        <v>39814</v>
      </c>
      <c r="I16" s="46">
        <v>39845</v>
      </c>
      <c r="J16" s="46">
        <v>39873</v>
      </c>
      <c r="K16" s="46">
        <v>39904</v>
      </c>
      <c r="L16" s="46">
        <v>39934</v>
      </c>
      <c r="M16" s="46">
        <v>39965</v>
      </c>
      <c r="N16" s="55" t="s">
        <v>354</v>
      </c>
      <c r="O16" s="55" t="s">
        <v>191</v>
      </c>
      <c r="P16" s="55" t="s">
        <v>86</v>
      </c>
      <c r="Q16" s="2"/>
    </row>
    <row r="17" spans="1:16" ht="12.75" customHeight="1">
      <c r="A17" s="48" t="s">
        <v>56</v>
      </c>
      <c r="B17" s="46"/>
      <c r="C17" s="46"/>
      <c r="D17" s="46"/>
      <c r="E17" s="46"/>
      <c r="F17" s="46"/>
      <c r="G17" s="46"/>
      <c r="H17" s="46"/>
      <c r="I17" s="46"/>
      <c r="J17" s="46"/>
      <c r="K17" s="46"/>
      <c r="L17" s="46"/>
      <c r="M17" s="46"/>
      <c r="N17" s="57"/>
      <c r="O17" s="99"/>
      <c r="P17" s="99"/>
    </row>
    <row r="18" spans="1:16" ht="12.75" customHeight="1">
      <c r="A18" s="50" t="s">
        <v>260</v>
      </c>
      <c r="B18" s="78">
        <v>60</v>
      </c>
      <c r="C18" s="78">
        <v>18</v>
      </c>
      <c r="D18" s="78">
        <v>137</v>
      </c>
      <c r="E18" s="78">
        <v>265</v>
      </c>
      <c r="F18" s="78">
        <v>261</v>
      </c>
      <c r="G18" s="78">
        <v>120</v>
      </c>
      <c r="H18" s="78">
        <v>71</v>
      </c>
      <c r="I18" s="78">
        <v>223</v>
      </c>
      <c r="J18" s="78">
        <v>208</v>
      </c>
      <c r="K18" s="78">
        <v>263</v>
      </c>
      <c r="L18" s="78">
        <v>69</v>
      </c>
      <c r="M18" s="78">
        <v>63</v>
      </c>
      <c r="N18" s="52">
        <f>SUM(B18:M18)</f>
        <v>1758</v>
      </c>
      <c r="O18" s="103"/>
      <c r="P18" s="92"/>
    </row>
    <row r="19" spans="1:16" ht="12.75" customHeight="1">
      <c r="A19" s="50" t="s">
        <v>202</v>
      </c>
      <c r="B19" s="78">
        <v>219</v>
      </c>
      <c r="C19" s="78">
        <v>67</v>
      </c>
      <c r="D19" s="78">
        <v>510</v>
      </c>
      <c r="E19" s="78">
        <v>1095</v>
      </c>
      <c r="F19" s="78">
        <v>1000</v>
      </c>
      <c r="G19" s="78">
        <v>413</v>
      </c>
      <c r="H19" s="78">
        <v>256</v>
      </c>
      <c r="I19" s="78">
        <v>877</v>
      </c>
      <c r="J19" s="78">
        <v>863</v>
      </c>
      <c r="K19" s="78">
        <v>1316</v>
      </c>
      <c r="L19" s="78">
        <v>431</v>
      </c>
      <c r="M19" s="78">
        <v>386</v>
      </c>
      <c r="N19" s="52">
        <f>SUM(B19:M19)</f>
        <v>7433</v>
      </c>
      <c r="O19" s="103" t="s">
        <v>13</v>
      </c>
      <c r="P19" s="92" t="s">
        <v>13</v>
      </c>
    </row>
    <row r="20" spans="1:16" ht="12.75" customHeight="1">
      <c r="A20" s="50" t="s">
        <v>271</v>
      </c>
      <c r="B20" s="104" t="s">
        <v>12</v>
      </c>
      <c r="C20" s="104" t="s">
        <v>12</v>
      </c>
      <c r="D20" s="104" t="s">
        <v>12</v>
      </c>
      <c r="E20" s="104" t="s">
        <v>12</v>
      </c>
      <c r="F20" s="104" t="s">
        <v>12</v>
      </c>
      <c r="G20" s="104" t="s">
        <v>12</v>
      </c>
      <c r="H20" s="104" t="s">
        <v>12</v>
      </c>
      <c r="I20" s="104" t="s">
        <v>12</v>
      </c>
      <c r="J20" s="104" t="s">
        <v>12</v>
      </c>
      <c r="K20" s="104" t="s">
        <v>12</v>
      </c>
      <c r="L20" s="104" t="s">
        <v>12</v>
      </c>
      <c r="M20" s="104" t="s">
        <v>12</v>
      </c>
      <c r="N20" s="76"/>
      <c r="O20" s="103"/>
      <c r="P20" s="92"/>
    </row>
    <row r="21" spans="1:16" ht="12.75" customHeight="1">
      <c r="A21" s="105" t="s">
        <v>135</v>
      </c>
      <c r="B21" s="69">
        <v>0</v>
      </c>
      <c r="C21" s="69">
        <v>0</v>
      </c>
      <c r="D21" s="69">
        <v>0</v>
      </c>
      <c r="E21" s="69">
        <v>0</v>
      </c>
      <c r="F21" s="69">
        <v>0</v>
      </c>
      <c r="G21" s="69">
        <v>0</v>
      </c>
      <c r="H21" s="69">
        <v>0</v>
      </c>
      <c r="I21" s="69">
        <v>0</v>
      </c>
      <c r="J21" s="69">
        <v>0</v>
      </c>
      <c r="K21" s="69">
        <v>0</v>
      </c>
      <c r="L21" s="69">
        <v>0</v>
      </c>
      <c r="M21" s="69">
        <v>0</v>
      </c>
      <c r="N21" s="88"/>
      <c r="O21" s="92"/>
      <c r="P21" s="92"/>
    </row>
    <row r="22" spans="1:16" ht="12.75" customHeight="1">
      <c r="A22" s="2"/>
      <c r="B22" s="96"/>
      <c r="C22" s="96"/>
      <c r="D22" s="96"/>
      <c r="E22" s="96"/>
      <c r="F22" s="96"/>
      <c r="G22" s="96"/>
      <c r="H22" s="96"/>
      <c r="I22" s="96"/>
      <c r="J22" s="96"/>
      <c r="K22" s="96"/>
      <c r="L22" s="96"/>
      <c r="M22" s="96"/>
      <c r="N22" s="97"/>
      <c r="O22" s="92"/>
      <c r="P22" s="92"/>
    </row>
    <row r="23" spans="1:16" ht="12.75" customHeight="1">
      <c r="A23" s="5"/>
      <c r="B23" s="89"/>
      <c r="C23" s="89"/>
      <c r="D23" s="89"/>
      <c r="E23" s="89"/>
      <c r="F23" s="89"/>
      <c r="G23" s="89"/>
      <c r="H23" s="89"/>
      <c r="I23" s="89"/>
      <c r="J23" s="89"/>
      <c r="K23" s="89"/>
      <c r="L23" s="89"/>
      <c r="M23" s="89"/>
      <c r="N23" s="90"/>
      <c r="O23" s="98"/>
      <c r="P23" s="98"/>
    </row>
    <row r="24" spans="1:16" ht="25.5">
      <c r="A24" s="45"/>
      <c r="B24" s="46">
        <v>39630</v>
      </c>
      <c r="C24" s="46">
        <v>39661</v>
      </c>
      <c r="D24" s="46">
        <v>39692</v>
      </c>
      <c r="E24" s="46">
        <v>39722</v>
      </c>
      <c r="F24" s="46">
        <v>39753</v>
      </c>
      <c r="G24" s="46">
        <v>39783</v>
      </c>
      <c r="H24" s="46">
        <v>39814</v>
      </c>
      <c r="I24" s="46">
        <v>39845</v>
      </c>
      <c r="J24" s="46">
        <v>39873</v>
      </c>
      <c r="K24" s="46">
        <v>39904</v>
      </c>
      <c r="L24" s="46">
        <v>39934</v>
      </c>
      <c r="M24" s="46">
        <v>39965</v>
      </c>
      <c r="N24" s="55" t="s">
        <v>354</v>
      </c>
      <c r="O24" s="55" t="s">
        <v>191</v>
      </c>
      <c r="P24" s="55" t="s">
        <v>86</v>
      </c>
    </row>
    <row r="25" spans="1:16" ht="12.75" customHeight="1">
      <c r="A25" s="48" t="s">
        <v>205</v>
      </c>
      <c r="B25" s="46"/>
      <c r="C25" s="46"/>
      <c r="D25" s="46"/>
      <c r="E25" s="46"/>
      <c r="F25" s="46"/>
      <c r="G25" s="46"/>
      <c r="H25" s="46"/>
      <c r="I25" s="46"/>
      <c r="J25" s="46"/>
      <c r="K25" s="46"/>
      <c r="L25" s="46"/>
      <c r="M25" s="46"/>
      <c r="N25" s="57"/>
      <c r="O25" s="99"/>
      <c r="P25" s="99"/>
    </row>
    <row r="26" spans="1:16" ht="12.75" customHeight="1">
      <c r="A26" s="50" t="s">
        <v>260</v>
      </c>
      <c r="B26" s="78">
        <v>596</v>
      </c>
      <c r="C26" s="78">
        <v>94</v>
      </c>
      <c r="D26" s="78">
        <v>879</v>
      </c>
      <c r="E26" s="78">
        <v>1513</v>
      </c>
      <c r="F26" s="78">
        <v>1672</v>
      </c>
      <c r="G26" s="78">
        <v>547</v>
      </c>
      <c r="H26" s="78">
        <v>277</v>
      </c>
      <c r="I26" s="78">
        <v>1569</v>
      </c>
      <c r="J26" s="78">
        <v>1897</v>
      </c>
      <c r="K26" s="78">
        <v>2316</v>
      </c>
      <c r="L26" s="78">
        <v>325</v>
      </c>
      <c r="M26" s="78">
        <v>300</v>
      </c>
      <c r="N26" s="52">
        <f>SUM(B26:M26)</f>
        <v>11985</v>
      </c>
      <c r="O26" s="103"/>
      <c r="P26" s="92"/>
    </row>
    <row r="27" spans="1:16" ht="12.75" customHeight="1">
      <c r="A27" s="50" t="s">
        <v>202</v>
      </c>
      <c r="B27" s="78">
        <v>2482</v>
      </c>
      <c r="C27" s="78">
        <v>303</v>
      </c>
      <c r="D27" s="78">
        <v>4014</v>
      </c>
      <c r="E27" s="78">
        <v>7263</v>
      </c>
      <c r="F27" s="78">
        <v>9166</v>
      </c>
      <c r="G27" s="78">
        <v>2786</v>
      </c>
      <c r="H27" s="78">
        <v>1009</v>
      </c>
      <c r="I27" s="78">
        <v>8028</v>
      </c>
      <c r="J27" s="78">
        <v>9342</v>
      </c>
      <c r="K27" s="78">
        <v>12946</v>
      </c>
      <c r="L27" s="78">
        <v>1530</v>
      </c>
      <c r="M27" s="78">
        <v>1816</v>
      </c>
      <c r="N27" s="52">
        <f>SUM(B27:M27)</f>
        <v>60685</v>
      </c>
      <c r="O27" s="103">
        <v>5533</v>
      </c>
      <c r="P27" s="92" t="s">
        <v>13</v>
      </c>
    </row>
    <row r="28" spans="1:16" ht="12.75" customHeight="1">
      <c r="A28" s="2"/>
      <c r="B28" s="69"/>
      <c r="C28" s="69"/>
      <c r="D28" s="69"/>
      <c r="E28" s="69"/>
      <c r="F28" s="69"/>
      <c r="G28" s="69"/>
      <c r="H28" s="69"/>
      <c r="I28" s="69"/>
      <c r="J28" s="69"/>
      <c r="K28" s="69"/>
      <c r="L28" s="69"/>
      <c r="M28" s="69"/>
      <c r="N28" s="88"/>
      <c r="O28" s="92"/>
      <c r="P28" s="92"/>
    </row>
    <row r="29" spans="1:16" ht="12.75" customHeight="1">
      <c r="A29" s="5"/>
      <c r="B29" s="89"/>
      <c r="C29" s="89"/>
      <c r="D29" s="89"/>
      <c r="E29" s="89"/>
      <c r="F29" s="89"/>
      <c r="G29" s="89"/>
      <c r="H29" s="89"/>
      <c r="I29" s="89"/>
      <c r="J29" s="89"/>
      <c r="K29" s="89"/>
      <c r="L29" s="89"/>
      <c r="M29" s="89"/>
      <c r="N29" s="90"/>
      <c r="O29" s="98"/>
      <c r="P29" s="98"/>
    </row>
    <row r="30" spans="1:16" ht="25.5">
      <c r="A30" s="45"/>
      <c r="B30" s="46">
        <v>39630</v>
      </c>
      <c r="C30" s="46">
        <v>39661</v>
      </c>
      <c r="D30" s="46">
        <v>39692</v>
      </c>
      <c r="E30" s="46">
        <v>39722</v>
      </c>
      <c r="F30" s="46">
        <v>39753</v>
      </c>
      <c r="G30" s="46">
        <v>39783</v>
      </c>
      <c r="H30" s="46">
        <v>39814</v>
      </c>
      <c r="I30" s="46">
        <v>39845</v>
      </c>
      <c r="J30" s="46">
        <v>39873</v>
      </c>
      <c r="K30" s="46">
        <v>39904</v>
      </c>
      <c r="L30" s="46">
        <v>39934</v>
      </c>
      <c r="M30" s="46">
        <v>39965</v>
      </c>
      <c r="N30" s="55" t="s">
        <v>354</v>
      </c>
      <c r="O30" s="55" t="s">
        <v>191</v>
      </c>
      <c r="P30" s="55" t="s">
        <v>86</v>
      </c>
    </row>
    <row r="31" spans="1:16" ht="12.75" customHeight="1">
      <c r="A31" s="48" t="s">
        <v>102</v>
      </c>
      <c r="B31" s="46"/>
      <c r="C31" s="46"/>
      <c r="D31" s="46"/>
      <c r="E31" s="46"/>
      <c r="F31" s="46"/>
      <c r="G31" s="46"/>
      <c r="H31" s="46"/>
      <c r="I31" s="46"/>
      <c r="J31" s="46"/>
      <c r="K31" s="46"/>
      <c r="L31" s="46"/>
      <c r="M31" s="46"/>
      <c r="N31" s="57"/>
      <c r="O31" s="99"/>
      <c r="P31" s="99"/>
    </row>
    <row r="32" spans="1:16" ht="12.75" customHeight="1">
      <c r="A32" s="50" t="s">
        <v>260</v>
      </c>
      <c r="B32" s="78" t="s">
        <v>229</v>
      </c>
      <c r="C32" s="78" t="s">
        <v>229</v>
      </c>
      <c r="D32" s="78" t="s">
        <v>229</v>
      </c>
      <c r="E32" s="78" t="s">
        <v>229</v>
      </c>
      <c r="F32" s="78" t="s">
        <v>229</v>
      </c>
      <c r="G32" s="78" t="s">
        <v>229</v>
      </c>
      <c r="H32" s="78" t="s">
        <v>229</v>
      </c>
      <c r="I32" s="78" t="s">
        <v>229</v>
      </c>
      <c r="J32" s="78" t="s">
        <v>229</v>
      </c>
      <c r="K32" s="78" t="s">
        <v>229</v>
      </c>
      <c r="L32" s="78" t="s">
        <v>229</v>
      </c>
      <c r="M32" s="78" t="s">
        <v>229</v>
      </c>
      <c r="N32" s="52">
        <f>SUM(B32:M32)</f>
        <v>0</v>
      </c>
      <c r="O32" s="103"/>
      <c r="P32" s="92"/>
    </row>
    <row r="33" spans="1:17" ht="12.75" customHeight="1">
      <c r="A33" s="50" t="s">
        <v>202</v>
      </c>
      <c r="B33" s="94" t="s">
        <v>229</v>
      </c>
      <c r="C33" s="94" t="s">
        <v>229</v>
      </c>
      <c r="D33" s="94" t="s">
        <v>229</v>
      </c>
      <c r="E33" s="94" t="s">
        <v>229</v>
      </c>
      <c r="F33" s="94" t="s">
        <v>229</v>
      </c>
      <c r="G33" s="94" t="s">
        <v>229</v>
      </c>
      <c r="H33" s="94" t="s">
        <v>229</v>
      </c>
      <c r="I33" s="94" t="s">
        <v>229</v>
      </c>
      <c r="J33" s="94" t="s">
        <v>229</v>
      </c>
      <c r="K33" s="94" t="s">
        <v>229</v>
      </c>
      <c r="L33" s="94" t="s">
        <v>229</v>
      </c>
      <c r="M33" s="94" t="s">
        <v>229</v>
      </c>
      <c r="N33" s="95">
        <f>SUM(B33:M33)</f>
        <v>0</v>
      </c>
      <c r="O33" s="103">
        <v>0</v>
      </c>
      <c r="P33" s="92" t="s">
        <v>13</v>
      </c>
    </row>
    <row r="34" spans="1:17" ht="12.75" customHeight="1">
      <c r="A34" s="2"/>
      <c r="B34" s="96"/>
      <c r="C34" s="96"/>
      <c r="D34" s="96"/>
      <c r="E34" s="96"/>
      <c r="F34" s="96"/>
      <c r="G34" s="96"/>
      <c r="H34" s="96"/>
      <c r="I34" s="96"/>
      <c r="J34" s="96"/>
      <c r="K34" s="96"/>
      <c r="L34" s="96"/>
      <c r="M34" s="96"/>
      <c r="N34" s="97"/>
      <c r="O34" s="92"/>
      <c r="P34" s="92"/>
    </row>
    <row r="35" spans="1:17" ht="12.75" customHeight="1">
      <c r="A35" s="5"/>
      <c r="B35" s="89"/>
      <c r="C35" s="89"/>
      <c r="D35" s="89"/>
      <c r="E35" s="89"/>
      <c r="F35" s="89"/>
      <c r="G35" s="89"/>
      <c r="H35" s="89"/>
      <c r="I35" s="89"/>
      <c r="J35" s="89"/>
      <c r="K35" s="89"/>
      <c r="L35" s="89"/>
      <c r="M35" s="89"/>
      <c r="N35" s="90"/>
      <c r="O35" s="98"/>
      <c r="P35" s="98"/>
    </row>
    <row r="36" spans="1:17" ht="25.5">
      <c r="A36" s="45"/>
      <c r="B36" s="46">
        <v>39630</v>
      </c>
      <c r="C36" s="46">
        <v>39661</v>
      </c>
      <c r="D36" s="46">
        <v>39692</v>
      </c>
      <c r="E36" s="46">
        <v>39722</v>
      </c>
      <c r="F36" s="46">
        <v>39753</v>
      </c>
      <c r="G36" s="46">
        <v>39783</v>
      </c>
      <c r="H36" s="46">
        <v>39814</v>
      </c>
      <c r="I36" s="46">
        <v>39845</v>
      </c>
      <c r="J36" s="46">
        <v>39873</v>
      </c>
      <c r="K36" s="46">
        <v>39904</v>
      </c>
      <c r="L36" s="46">
        <v>39934</v>
      </c>
      <c r="M36" s="46">
        <v>39965</v>
      </c>
      <c r="N36" s="55" t="s">
        <v>354</v>
      </c>
      <c r="O36" s="55" t="s">
        <v>191</v>
      </c>
      <c r="P36" s="55" t="s">
        <v>86</v>
      </c>
    </row>
    <row r="37" spans="1:17" ht="12.75" customHeight="1">
      <c r="A37" s="48" t="s">
        <v>194</v>
      </c>
      <c r="B37" s="46"/>
      <c r="C37" s="46"/>
      <c r="D37" s="46"/>
      <c r="E37" s="46"/>
      <c r="F37" s="46"/>
      <c r="G37" s="46"/>
      <c r="H37" s="46"/>
      <c r="I37" s="46"/>
      <c r="J37" s="46"/>
      <c r="K37" s="46"/>
      <c r="L37" s="46"/>
      <c r="M37" s="46"/>
      <c r="N37" s="57"/>
      <c r="O37" s="99"/>
      <c r="P37" s="99"/>
    </row>
    <row r="38" spans="1:17" ht="12.75" customHeight="1">
      <c r="A38" s="50" t="s">
        <v>260</v>
      </c>
      <c r="B38" s="78">
        <v>50</v>
      </c>
      <c r="C38" s="78">
        <v>45</v>
      </c>
      <c r="D38" s="78">
        <v>168</v>
      </c>
      <c r="E38" s="78">
        <v>261</v>
      </c>
      <c r="F38" s="78">
        <v>248</v>
      </c>
      <c r="G38" s="78">
        <v>152</v>
      </c>
      <c r="H38" s="78">
        <v>51</v>
      </c>
      <c r="I38" s="78">
        <v>174</v>
      </c>
      <c r="J38" s="78">
        <v>246</v>
      </c>
      <c r="K38" s="78">
        <v>259</v>
      </c>
      <c r="L38" s="78">
        <v>79</v>
      </c>
      <c r="M38" s="78">
        <v>116</v>
      </c>
      <c r="N38" s="52">
        <f>SUM(B38:M38)</f>
        <v>1849</v>
      </c>
      <c r="O38" s="103"/>
      <c r="P38" s="92"/>
    </row>
    <row r="39" spans="1:17" ht="12.75" customHeight="1">
      <c r="A39" s="50" t="s">
        <v>202</v>
      </c>
      <c r="B39" s="78">
        <v>192</v>
      </c>
      <c r="C39" s="78">
        <v>173</v>
      </c>
      <c r="D39" s="78">
        <v>672</v>
      </c>
      <c r="E39" s="78">
        <v>987</v>
      </c>
      <c r="F39" s="78">
        <v>966</v>
      </c>
      <c r="G39" s="78">
        <v>568</v>
      </c>
      <c r="H39" s="78">
        <v>244</v>
      </c>
      <c r="I39" s="78">
        <v>621</v>
      </c>
      <c r="J39" s="78">
        <v>1115</v>
      </c>
      <c r="K39" s="78">
        <v>1170</v>
      </c>
      <c r="L39" s="78">
        <v>413</v>
      </c>
      <c r="M39" s="78">
        <v>463</v>
      </c>
      <c r="N39" s="52">
        <f>SUM(B39:M39)</f>
        <v>7584</v>
      </c>
      <c r="O39" s="103">
        <v>3161</v>
      </c>
      <c r="P39" s="92" t="s">
        <v>13</v>
      </c>
    </row>
    <row r="40" spans="1:17" ht="12.75" customHeight="1">
      <c r="A40" s="2"/>
      <c r="B40" s="69"/>
      <c r="C40" s="69"/>
      <c r="D40" s="69"/>
      <c r="E40" s="69"/>
      <c r="F40" s="69"/>
      <c r="G40" s="69"/>
      <c r="H40" s="69"/>
      <c r="I40" s="69"/>
      <c r="J40" s="69"/>
      <c r="K40" s="69"/>
      <c r="L40" s="69"/>
      <c r="M40" s="69"/>
      <c r="N40" s="88"/>
      <c r="O40" s="92"/>
      <c r="P40" s="92"/>
    </row>
    <row r="41" spans="1:17" ht="12.75" customHeight="1">
      <c r="A41" s="5"/>
      <c r="B41" s="89"/>
      <c r="C41" s="89"/>
      <c r="D41" s="89"/>
      <c r="E41" s="89"/>
      <c r="F41" s="89"/>
      <c r="G41" s="89"/>
      <c r="H41" s="89"/>
      <c r="I41" s="89"/>
      <c r="J41" s="89"/>
      <c r="K41" s="89"/>
      <c r="L41" s="89"/>
      <c r="M41" s="89"/>
      <c r="N41" s="90"/>
      <c r="O41" s="98"/>
      <c r="P41" s="98"/>
    </row>
    <row r="42" spans="1:17" ht="25.5">
      <c r="A42" s="45"/>
      <c r="B42" s="46">
        <v>39630</v>
      </c>
      <c r="C42" s="46">
        <v>39661</v>
      </c>
      <c r="D42" s="46">
        <v>39692</v>
      </c>
      <c r="E42" s="46">
        <v>39722</v>
      </c>
      <c r="F42" s="46">
        <v>39753</v>
      </c>
      <c r="G42" s="46">
        <v>39783</v>
      </c>
      <c r="H42" s="46">
        <v>39814</v>
      </c>
      <c r="I42" s="46">
        <v>39845</v>
      </c>
      <c r="J42" s="46">
        <v>39873</v>
      </c>
      <c r="K42" s="46">
        <v>39904</v>
      </c>
      <c r="L42" s="46">
        <v>39934</v>
      </c>
      <c r="M42" s="46">
        <v>39965</v>
      </c>
      <c r="N42" s="55" t="s">
        <v>354</v>
      </c>
      <c r="O42" s="55" t="s">
        <v>191</v>
      </c>
      <c r="P42" s="55" t="s">
        <v>86</v>
      </c>
    </row>
    <row r="43" spans="1:17" ht="12.75" customHeight="1">
      <c r="A43" s="48" t="s">
        <v>261</v>
      </c>
      <c r="B43" s="46"/>
      <c r="C43" s="46"/>
      <c r="D43" s="46"/>
      <c r="E43" s="46"/>
      <c r="F43" s="46"/>
      <c r="G43" s="46"/>
      <c r="H43" s="46"/>
      <c r="I43" s="46"/>
      <c r="J43" s="46"/>
      <c r="K43" s="46"/>
      <c r="L43" s="46"/>
      <c r="M43" s="46"/>
      <c r="N43" s="57"/>
      <c r="O43" s="99"/>
      <c r="P43" s="99"/>
    </row>
    <row r="44" spans="1:17" ht="12.75" customHeight="1">
      <c r="A44" s="50" t="s">
        <v>260</v>
      </c>
      <c r="B44" s="78">
        <v>16</v>
      </c>
      <c r="C44" s="78">
        <v>3</v>
      </c>
      <c r="D44" s="78">
        <v>13</v>
      </c>
      <c r="E44" s="78">
        <v>123</v>
      </c>
      <c r="F44" s="78">
        <v>169</v>
      </c>
      <c r="G44" s="78">
        <v>86</v>
      </c>
      <c r="H44" s="78">
        <v>26</v>
      </c>
      <c r="I44" s="78">
        <v>82</v>
      </c>
      <c r="J44" s="78">
        <v>160</v>
      </c>
      <c r="K44" s="78">
        <v>186</v>
      </c>
      <c r="L44" s="78">
        <v>56</v>
      </c>
      <c r="M44" s="78">
        <v>59</v>
      </c>
      <c r="N44" s="52">
        <f>SUM(B44:M44)</f>
        <v>979</v>
      </c>
      <c r="O44" s="103"/>
      <c r="P44" s="92"/>
    </row>
    <row r="45" spans="1:17" ht="12.75" customHeight="1">
      <c r="A45" s="50" t="s">
        <v>202</v>
      </c>
      <c r="B45" s="94">
        <v>91</v>
      </c>
      <c r="C45" s="94">
        <v>10</v>
      </c>
      <c r="D45" s="94">
        <v>73</v>
      </c>
      <c r="E45" s="94">
        <v>574</v>
      </c>
      <c r="F45" s="94">
        <v>710</v>
      </c>
      <c r="G45" s="94">
        <v>337</v>
      </c>
      <c r="H45" s="94">
        <v>127</v>
      </c>
      <c r="I45" s="94">
        <v>342</v>
      </c>
      <c r="J45" s="94">
        <v>855</v>
      </c>
      <c r="K45" s="94">
        <v>1055</v>
      </c>
      <c r="L45" s="94">
        <v>404</v>
      </c>
      <c r="M45" s="94">
        <v>378</v>
      </c>
      <c r="N45" s="95">
        <f>SUM(B45:M45)</f>
        <v>4956</v>
      </c>
      <c r="O45" s="103">
        <v>0</v>
      </c>
      <c r="P45" s="92" t="s">
        <v>13</v>
      </c>
    </row>
    <row r="46" spans="1:17" ht="12.75" customHeight="1">
      <c r="A46" s="2"/>
      <c r="B46" s="96"/>
      <c r="C46" s="96"/>
      <c r="D46" s="96"/>
      <c r="E46" s="96"/>
      <c r="F46" s="96"/>
      <c r="G46" s="96"/>
      <c r="H46" s="96"/>
      <c r="I46" s="96"/>
      <c r="J46" s="96"/>
      <c r="K46" s="96"/>
      <c r="L46" s="96"/>
      <c r="M46" s="96"/>
      <c r="N46" s="97"/>
      <c r="O46" s="92"/>
      <c r="P46" s="92"/>
    </row>
    <row r="47" spans="1:17" ht="12.75" customHeight="1">
      <c r="A47" s="5"/>
      <c r="B47" s="89"/>
      <c r="C47" s="89"/>
      <c r="D47" s="89"/>
      <c r="E47" s="89"/>
      <c r="F47" s="89"/>
      <c r="G47" s="89"/>
      <c r="H47" s="89"/>
      <c r="I47" s="89"/>
      <c r="J47" s="89"/>
      <c r="K47" s="89"/>
      <c r="L47" s="89"/>
      <c r="M47" s="89"/>
      <c r="N47" s="90"/>
      <c r="O47" s="98"/>
      <c r="P47" s="98"/>
    </row>
    <row r="48" spans="1:17" ht="25.5">
      <c r="A48" s="45"/>
      <c r="B48" s="46">
        <v>39630</v>
      </c>
      <c r="C48" s="46">
        <v>39661</v>
      </c>
      <c r="D48" s="46">
        <v>39692</v>
      </c>
      <c r="E48" s="46">
        <v>39722</v>
      </c>
      <c r="F48" s="46">
        <v>39753</v>
      </c>
      <c r="G48" s="46">
        <v>39783</v>
      </c>
      <c r="H48" s="46">
        <v>39814</v>
      </c>
      <c r="I48" s="46">
        <v>39845</v>
      </c>
      <c r="J48" s="46">
        <v>39873</v>
      </c>
      <c r="K48" s="46">
        <v>39904</v>
      </c>
      <c r="L48" s="46">
        <v>39934</v>
      </c>
      <c r="M48" s="46">
        <v>39965</v>
      </c>
      <c r="N48" s="55" t="s">
        <v>354</v>
      </c>
      <c r="O48" s="55" t="s">
        <v>191</v>
      </c>
      <c r="P48" s="55" t="s">
        <v>86</v>
      </c>
      <c r="Q48" s="2"/>
    </row>
    <row r="49" spans="1:17" ht="12.75" customHeight="1">
      <c r="A49" s="174" t="s">
        <v>300</v>
      </c>
      <c r="B49" s="180"/>
      <c r="C49" s="46"/>
      <c r="D49" s="46"/>
      <c r="E49" s="46"/>
      <c r="F49" s="46"/>
      <c r="G49" s="46"/>
      <c r="H49" s="46"/>
      <c r="I49" s="46"/>
      <c r="J49" s="46"/>
      <c r="K49" s="46"/>
      <c r="L49" s="46"/>
      <c r="M49" s="46"/>
      <c r="N49" s="57"/>
      <c r="O49" s="99"/>
      <c r="P49" s="99"/>
    </row>
    <row r="50" spans="1:17" ht="12.75" customHeight="1">
      <c r="A50" s="50" t="s">
        <v>260</v>
      </c>
      <c r="B50" s="78">
        <v>19</v>
      </c>
      <c r="C50" s="78">
        <v>9</v>
      </c>
      <c r="D50" s="78">
        <v>57</v>
      </c>
      <c r="E50" s="78">
        <v>170</v>
      </c>
      <c r="F50" s="78">
        <v>156</v>
      </c>
      <c r="G50" s="78">
        <v>137</v>
      </c>
      <c r="H50" s="78">
        <v>24</v>
      </c>
      <c r="I50" s="78">
        <v>67</v>
      </c>
      <c r="J50" s="78">
        <v>148</v>
      </c>
      <c r="K50" s="78">
        <v>209</v>
      </c>
      <c r="L50" s="78">
        <v>85</v>
      </c>
      <c r="M50" s="78">
        <v>52</v>
      </c>
      <c r="N50" s="52">
        <f>SUM(B50:M50)</f>
        <v>1133</v>
      </c>
      <c r="O50" s="10"/>
      <c r="P50" s="2"/>
    </row>
    <row r="51" spans="1:17" ht="12.75" customHeight="1">
      <c r="A51" s="50" t="s">
        <v>202</v>
      </c>
      <c r="B51" s="78">
        <v>69</v>
      </c>
      <c r="C51" s="78">
        <v>24</v>
      </c>
      <c r="D51" s="78">
        <v>269</v>
      </c>
      <c r="E51" s="78">
        <v>720</v>
      </c>
      <c r="F51" s="78">
        <v>652</v>
      </c>
      <c r="G51" s="78">
        <v>442</v>
      </c>
      <c r="H51" s="78">
        <v>114</v>
      </c>
      <c r="I51" s="78">
        <v>275</v>
      </c>
      <c r="J51" s="78">
        <v>662</v>
      </c>
      <c r="K51" s="78">
        <v>969</v>
      </c>
      <c r="L51" s="78">
        <v>459</v>
      </c>
      <c r="M51" s="78">
        <v>294</v>
      </c>
      <c r="N51" s="52">
        <f>SUM(B51:M51)</f>
        <v>4949</v>
      </c>
      <c r="O51" s="103">
        <v>1363</v>
      </c>
      <c r="P51" s="92" t="s">
        <v>13</v>
      </c>
    </row>
    <row r="52" spans="1:17" ht="12.75" customHeight="1">
      <c r="A52" s="2"/>
      <c r="B52" s="69"/>
      <c r="C52" s="69"/>
      <c r="D52" s="69"/>
      <c r="E52" s="69"/>
      <c r="F52" s="69"/>
      <c r="G52" s="69"/>
      <c r="H52" s="69"/>
      <c r="I52" s="69"/>
      <c r="J52" s="69"/>
      <c r="K52" s="69"/>
      <c r="L52" s="69"/>
      <c r="M52" s="69"/>
      <c r="N52" s="88"/>
      <c r="O52" s="92"/>
      <c r="P52" s="92"/>
    </row>
    <row r="53" spans="1:17" ht="12.75" customHeight="1">
      <c r="A53" s="5"/>
      <c r="B53" s="89"/>
      <c r="C53" s="89"/>
      <c r="D53" s="89"/>
      <c r="E53" s="89"/>
      <c r="F53" s="89"/>
      <c r="G53" s="89"/>
      <c r="H53" s="89"/>
      <c r="I53" s="89"/>
      <c r="J53" s="89"/>
      <c r="K53" s="89"/>
      <c r="L53" s="89"/>
      <c r="M53" s="89"/>
      <c r="N53" s="90"/>
      <c r="O53" s="98"/>
      <c r="P53" s="98"/>
    </row>
    <row r="54" spans="1:17" ht="25.5">
      <c r="A54" s="45"/>
      <c r="B54" s="46">
        <v>39630</v>
      </c>
      <c r="C54" s="46">
        <v>39661</v>
      </c>
      <c r="D54" s="46">
        <v>39692</v>
      </c>
      <c r="E54" s="46">
        <v>39722</v>
      </c>
      <c r="F54" s="46">
        <v>39753</v>
      </c>
      <c r="G54" s="46">
        <v>39783</v>
      </c>
      <c r="H54" s="46">
        <v>39814</v>
      </c>
      <c r="I54" s="46">
        <v>39845</v>
      </c>
      <c r="J54" s="46">
        <v>39873</v>
      </c>
      <c r="K54" s="46">
        <v>39904</v>
      </c>
      <c r="L54" s="46">
        <v>39934</v>
      </c>
      <c r="M54" s="46">
        <v>39965</v>
      </c>
      <c r="N54" s="55" t="s">
        <v>354</v>
      </c>
      <c r="O54" s="55" t="s">
        <v>191</v>
      </c>
      <c r="P54" s="55" t="s">
        <v>86</v>
      </c>
      <c r="Q54" s="2"/>
    </row>
    <row r="55" spans="1:17" ht="12.75" customHeight="1">
      <c r="A55" s="174" t="s">
        <v>283</v>
      </c>
      <c r="B55" s="175"/>
      <c r="C55" s="175"/>
      <c r="D55" s="175"/>
      <c r="E55" s="175"/>
      <c r="F55" s="46"/>
      <c r="G55" s="46"/>
      <c r="H55" s="46"/>
      <c r="I55" s="46"/>
      <c r="J55" s="46"/>
      <c r="K55" s="46"/>
      <c r="L55" s="46"/>
      <c r="M55" s="46"/>
      <c r="N55" s="57"/>
      <c r="O55" s="99"/>
      <c r="P55" s="99"/>
    </row>
    <row r="56" spans="1:17" ht="12.75" customHeight="1">
      <c r="A56" s="50" t="s">
        <v>260</v>
      </c>
      <c r="B56" s="100">
        <v>18</v>
      </c>
      <c r="C56" s="100">
        <v>7</v>
      </c>
      <c r="D56" s="100">
        <v>58</v>
      </c>
      <c r="E56" s="100">
        <v>128</v>
      </c>
      <c r="F56" s="78">
        <v>158</v>
      </c>
      <c r="G56" s="78">
        <v>89</v>
      </c>
      <c r="H56" s="78">
        <v>23</v>
      </c>
      <c r="I56" s="78">
        <v>113</v>
      </c>
      <c r="J56" s="78">
        <v>142</v>
      </c>
      <c r="K56" s="78">
        <v>167</v>
      </c>
      <c r="L56" s="78">
        <v>68</v>
      </c>
      <c r="M56" s="78">
        <v>54</v>
      </c>
      <c r="N56" s="52">
        <f>SUM(B56:M56)</f>
        <v>1025</v>
      </c>
      <c r="O56" s="103"/>
      <c r="P56" s="92"/>
    </row>
    <row r="57" spans="1:17" ht="12.75" customHeight="1">
      <c r="A57" s="50" t="s">
        <v>202</v>
      </c>
      <c r="B57" s="78">
        <v>71</v>
      </c>
      <c r="C57" s="78">
        <v>22</v>
      </c>
      <c r="D57" s="78">
        <v>260</v>
      </c>
      <c r="E57" s="78">
        <v>478</v>
      </c>
      <c r="F57" s="78">
        <v>597</v>
      </c>
      <c r="G57" s="78">
        <v>301</v>
      </c>
      <c r="H57" s="78">
        <v>114</v>
      </c>
      <c r="I57" s="78">
        <v>380</v>
      </c>
      <c r="J57" s="78">
        <v>618</v>
      </c>
      <c r="K57" s="78">
        <v>772</v>
      </c>
      <c r="L57" s="78">
        <v>388</v>
      </c>
      <c r="M57" s="78">
        <v>290</v>
      </c>
      <c r="N57" s="52">
        <f>SUM(B57:M57)</f>
        <v>4291</v>
      </c>
      <c r="O57" s="103">
        <v>0</v>
      </c>
      <c r="P57" s="92" t="s">
        <v>13</v>
      </c>
    </row>
    <row r="58" spans="1:17" ht="12.75" customHeight="1">
      <c r="A58" s="2"/>
      <c r="B58" s="69"/>
      <c r="C58" s="69"/>
      <c r="D58" s="69"/>
      <c r="E58" s="69"/>
      <c r="F58" s="69"/>
      <c r="G58" s="69"/>
      <c r="H58" s="69"/>
      <c r="I58" s="69"/>
      <c r="J58" s="69"/>
      <c r="K58" s="69"/>
      <c r="L58" s="69"/>
      <c r="M58" s="69"/>
      <c r="N58" s="88"/>
      <c r="O58" s="92"/>
      <c r="P58" s="92"/>
    </row>
    <row r="59" spans="1:17" ht="12.75" customHeight="1">
      <c r="A59" s="5"/>
      <c r="B59" s="89"/>
      <c r="C59" s="89"/>
      <c r="D59" s="89"/>
      <c r="E59" s="89"/>
      <c r="F59" s="89"/>
      <c r="G59" s="89"/>
      <c r="H59" s="89"/>
      <c r="I59" s="89"/>
      <c r="J59" s="89"/>
      <c r="K59" s="89"/>
      <c r="L59" s="89"/>
      <c r="M59" s="89"/>
      <c r="N59" s="90"/>
      <c r="O59" s="98"/>
      <c r="P59" s="98"/>
    </row>
    <row r="60" spans="1:17" ht="25.5">
      <c r="A60" s="45"/>
      <c r="B60" s="46">
        <v>39630</v>
      </c>
      <c r="C60" s="46">
        <v>39661</v>
      </c>
      <c r="D60" s="46">
        <v>39692</v>
      </c>
      <c r="E60" s="46">
        <v>39722</v>
      </c>
      <c r="F60" s="46">
        <v>39753</v>
      </c>
      <c r="G60" s="46">
        <v>39783</v>
      </c>
      <c r="H60" s="46">
        <v>39814</v>
      </c>
      <c r="I60" s="46">
        <v>39845</v>
      </c>
      <c r="J60" s="46">
        <v>39873</v>
      </c>
      <c r="K60" s="46">
        <v>39904</v>
      </c>
      <c r="L60" s="46">
        <v>39934</v>
      </c>
      <c r="M60" s="46">
        <v>39965</v>
      </c>
      <c r="N60" s="55" t="s">
        <v>354</v>
      </c>
      <c r="O60" s="55" t="s">
        <v>191</v>
      </c>
      <c r="P60" s="55" t="s">
        <v>86</v>
      </c>
    </row>
    <row r="61" spans="1:17" ht="12.75" customHeight="1">
      <c r="A61" s="48" t="s">
        <v>59</v>
      </c>
      <c r="B61" s="46"/>
      <c r="C61" s="46"/>
      <c r="D61" s="46"/>
      <c r="E61" s="46"/>
      <c r="F61" s="46"/>
      <c r="G61" s="46"/>
      <c r="H61" s="46"/>
      <c r="I61" s="46"/>
      <c r="J61" s="46"/>
      <c r="K61" s="46"/>
      <c r="L61" s="46"/>
      <c r="M61" s="46"/>
      <c r="N61" s="57"/>
      <c r="O61" s="99"/>
      <c r="P61" s="99"/>
    </row>
    <row r="62" spans="1:17" ht="12.75" customHeight="1">
      <c r="A62" s="50" t="s">
        <v>260</v>
      </c>
      <c r="B62" s="78">
        <v>21</v>
      </c>
      <c r="C62" s="78">
        <v>7</v>
      </c>
      <c r="D62" s="78">
        <v>52</v>
      </c>
      <c r="E62" s="78">
        <v>118</v>
      </c>
      <c r="F62" s="78">
        <v>140</v>
      </c>
      <c r="G62" s="78">
        <v>73</v>
      </c>
      <c r="H62" s="78">
        <v>25</v>
      </c>
      <c r="I62" s="78">
        <v>68</v>
      </c>
      <c r="J62" s="78">
        <v>150</v>
      </c>
      <c r="K62" s="78">
        <v>194</v>
      </c>
      <c r="L62" s="78">
        <v>38</v>
      </c>
      <c r="M62" s="78">
        <v>42</v>
      </c>
      <c r="N62" s="52">
        <f>SUM(B62:M62)</f>
        <v>928</v>
      </c>
      <c r="O62" s="103"/>
      <c r="P62" s="92"/>
    </row>
    <row r="63" spans="1:17" ht="12.75" customHeight="1">
      <c r="A63" s="50" t="s">
        <v>202</v>
      </c>
      <c r="B63" s="78">
        <v>87</v>
      </c>
      <c r="C63" s="78">
        <v>15</v>
      </c>
      <c r="D63" s="78">
        <v>246</v>
      </c>
      <c r="E63" s="78">
        <v>488</v>
      </c>
      <c r="F63" s="78">
        <v>574</v>
      </c>
      <c r="G63" s="78">
        <v>266</v>
      </c>
      <c r="H63" s="78">
        <v>126</v>
      </c>
      <c r="I63" s="78">
        <v>253</v>
      </c>
      <c r="J63" s="78">
        <v>643</v>
      </c>
      <c r="K63" s="78">
        <v>956</v>
      </c>
      <c r="L63" s="78">
        <v>314</v>
      </c>
      <c r="M63" s="78">
        <v>256</v>
      </c>
      <c r="N63" s="52">
        <f>SUM(B63:M63)</f>
        <v>4224</v>
      </c>
      <c r="O63" s="103">
        <v>0</v>
      </c>
      <c r="P63" s="92" t="s">
        <v>13</v>
      </c>
    </row>
    <row r="64" spans="1:17" ht="12.75" customHeight="1">
      <c r="A64" s="2"/>
      <c r="B64" s="69"/>
      <c r="C64" s="69"/>
      <c r="D64" s="69"/>
      <c r="E64" s="69"/>
      <c r="F64" s="69"/>
      <c r="G64" s="69"/>
      <c r="H64" s="69"/>
      <c r="I64" s="69"/>
      <c r="J64" s="69"/>
      <c r="K64" s="69"/>
      <c r="L64" s="69"/>
      <c r="M64" s="69"/>
      <c r="N64" s="88"/>
      <c r="O64" s="92"/>
      <c r="P64" s="92"/>
    </row>
    <row r="65" spans="1:17" ht="12.75" customHeight="1">
      <c r="A65" s="5"/>
      <c r="B65" s="89"/>
      <c r="C65" s="89"/>
      <c r="D65" s="89"/>
      <c r="E65" s="89"/>
      <c r="F65" s="89"/>
      <c r="G65" s="89"/>
      <c r="H65" s="89"/>
      <c r="I65" s="89"/>
      <c r="J65" s="89"/>
      <c r="K65" s="89"/>
      <c r="L65" s="89"/>
      <c r="M65" s="89"/>
      <c r="N65" s="90"/>
      <c r="O65" s="98"/>
      <c r="P65" s="98"/>
    </row>
    <row r="66" spans="1:17" ht="25.5">
      <c r="A66" s="45"/>
      <c r="B66" s="46">
        <v>39630</v>
      </c>
      <c r="C66" s="46">
        <v>39661</v>
      </c>
      <c r="D66" s="46">
        <v>39692</v>
      </c>
      <c r="E66" s="46">
        <v>39722</v>
      </c>
      <c r="F66" s="46">
        <v>39753</v>
      </c>
      <c r="G66" s="46">
        <v>39783</v>
      </c>
      <c r="H66" s="46">
        <v>39814</v>
      </c>
      <c r="I66" s="46">
        <v>39845</v>
      </c>
      <c r="J66" s="46">
        <v>39873</v>
      </c>
      <c r="K66" s="46">
        <v>39904</v>
      </c>
      <c r="L66" s="46">
        <v>39934</v>
      </c>
      <c r="M66" s="46">
        <v>39965</v>
      </c>
      <c r="N66" s="55" t="s">
        <v>354</v>
      </c>
      <c r="O66" s="55" t="s">
        <v>191</v>
      </c>
      <c r="P66" s="55" t="s">
        <v>86</v>
      </c>
    </row>
    <row r="67" spans="1:17" ht="12.75" customHeight="1">
      <c r="A67" s="181" t="s">
        <v>208</v>
      </c>
      <c r="B67" s="179"/>
      <c r="C67" s="175"/>
      <c r="D67" s="175"/>
      <c r="E67" s="175"/>
      <c r="F67" s="175"/>
      <c r="G67" s="175"/>
      <c r="H67" s="175"/>
      <c r="I67" s="46"/>
      <c r="J67" s="46"/>
      <c r="K67" s="46"/>
      <c r="L67" s="46"/>
      <c r="M67" s="46"/>
      <c r="N67" s="57"/>
      <c r="O67" s="99"/>
      <c r="P67" s="99"/>
    </row>
    <row r="68" spans="1:17" ht="12.75" customHeight="1">
      <c r="A68" s="50" t="s">
        <v>260</v>
      </c>
      <c r="B68" s="100">
        <v>80</v>
      </c>
      <c r="C68" s="100">
        <v>10</v>
      </c>
      <c r="D68" s="100">
        <v>178</v>
      </c>
      <c r="E68" s="100">
        <v>499</v>
      </c>
      <c r="F68" s="100">
        <v>701</v>
      </c>
      <c r="G68" s="100">
        <v>252</v>
      </c>
      <c r="H68" s="100">
        <v>75</v>
      </c>
      <c r="I68" s="78">
        <v>345</v>
      </c>
      <c r="J68" s="78">
        <v>478</v>
      </c>
      <c r="K68" s="78">
        <v>599</v>
      </c>
      <c r="L68" s="78">
        <v>90</v>
      </c>
      <c r="M68" s="78">
        <v>79</v>
      </c>
      <c r="N68" s="52">
        <f>SUM(B68:M68)</f>
        <v>3386</v>
      </c>
      <c r="O68" s="103"/>
      <c r="P68" s="92"/>
    </row>
    <row r="69" spans="1:17" ht="12.75" customHeight="1">
      <c r="A69" s="50" t="s">
        <v>202</v>
      </c>
      <c r="B69" s="78">
        <v>248</v>
      </c>
      <c r="C69" s="78">
        <v>21</v>
      </c>
      <c r="D69" s="78">
        <v>380</v>
      </c>
      <c r="E69" s="78">
        <v>1176</v>
      </c>
      <c r="F69" s="78">
        <v>1254</v>
      </c>
      <c r="G69" s="78">
        <v>620</v>
      </c>
      <c r="H69" s="78">
        <v>228</v>
      </c>
      <c r="I69" s="78">
        <v>1186</v>
      </c>
      <c r="J69" s="78">
        <v>1881</v>
      </c>
      <c r="K69" s="78">
        <v>2249</v>
      </c>
      <c r="L69" s="78">
        <v>472</v>
      </c>
      <c r="M69" s="78">
        <v>302</v>
      </c>
      <c r="N69" s="52">
        <f>SUM(B69:M69)</f>
        <v>10017</v>
      </c>
      <c r="O69" s="103">
        <v>0</v>
      </c>
      <c r="P69" s="92" t="s">
        <v>13</v>
      </c>
    </row>
    <row r="70" spans="1:17" ht="12.75" customHeight="1">
      <c r="A70" s="2"/>
      <c r="B70" s="69"/>
      <c r="C70" s="69"/>
      <c r="D70" s="69"/>
      <c r="E70" s="69"/>
      <c r="F70" s="69"/>
      <c r="G70" s="69"/>
      <c r="H70" s="69"/>
      <c r="I70" s="69"/>
      <c r="J70" s="69"/>
      <c r="K70" s="69"/>
      <c r="L70" s="69"/>
      <c r="M70" s="69"/>
      <c r="N70" s="88"/>
      <c r="O70" s="92"/>
      <c r="P70" s="92"/>
    </row>
    <row r="71" spans="1:17" ht="12.75" customHeight="1">
      <c r="A71" s="5"/>
      <c r="B71" s="89"/>
      <c r="C71" s="89"/>
      <c r="D71" s="89"/>
      <c r="E71" s="89"/>
      <c r="F71" s="89"/>
      <c r="G71" s="89"/>
      <c r="H71" s="89"/>
      <c r="I71" s="89"/>
      <c r="J71" s="89"/>
      <c r="K71" s="89"/>
      <c r="L71" s="89"/>
      <c r="M71" s="89"/>
      <c r="N71" s="90"/>
      <c r="O71" s="98"/>
      <c r="P71" s="98"/>
    </row>
    <row r="72" spans="1:17" ht="25.5">
      <c r="A72" s="45"/>
      <c r="B72" s="46">
        <v>39630</v>
      </c>
      <c r="C72" s="46">
        <v>39661</v>
      </c>
      <c r="D72" s="46">
        <v>39692</v>
      </c>
      <c r="E72" s="46">
        <v>39722</v>
      </c>
      <c r="F72" s="46">
        <v>39753</v>
      </c>
      <c r="G72" s="46">
        <v>39783</v>
      </c>
      <c r="H72" s="46">
        <v>39814</v>
      </c>
      <c r="I72" s="46">
        <v>39845</v>
      </c>
      <c r="J72" s="46">
        <v>39873</v>
      </c>
      <c r="K72" s="46">
        <v>39904</v>
      </c>
      <c r="L72" s="46">
        <v>39934</v>
      </c>
      <c r="M72" s="46">
        <v>39965</v>
      </c>
      <c r="N72" s="55" t="s">
        <v>354</v>
      </c>
      <c r="O72" s="55" t="s">
        <v>191</v>
      </c>
      <c r="P72" s="55" t="s">
        <v>86</v>
      </c>
      <c r="Q72" s="2"/>
    </row>
    <row r="73" spans="1:17" ht="12.75" customHeight="1">
      <c r="A73" s="56" t="s">
        <v>9</v>
      </c>
      <c r="B73" s="57"/>
      <c r="C73" s="46"/>
      <c r="D73" s="46"/>
      <c r="E73" s="46"/>
      <c r="F73" s="46"/>
      <c r="G73" s="46"/>
      <c r="H73" s="46"/>
      <c r="I73" s="46"/>
      <c r="J73" s="46"/>
      <c r="K73" s="46"/>
      <c r="L73" s="46"/>
      <c r="M73" s="46"/>
      <c r="N73" s="57"/>
      <c r="O73" s="99"/>
      <c r="P73" s="99"/>
    </row>
    <row r="74" spans="1:17" ht="12.75" customHeight="1">
      <c r="A74" s="50" t="s">
        <v>260</v>
      </c>
      <c r="B74" s="78">
        <v>17</v>
      </c>
      <c r="C74" s="78">
        <v>12</v>
      </c>
      <c r="D74" s="78">
        <v>88</v>
      </c>
      <c r="E74" s="78">
        <v>165</v>
      </c>
      <c r="F74" s="78">
        <v>172</v>
      </c>
      <c r="G74" s="78">
        <v>88</v>
      </c>
      <c r="H74" s="78">
        <v>34</v>
      </c>
      <c r="I74" s="78">
        <v>154</v>
      </c>
      <c r="J74" s="78">
        <v>235</v>
      </c>
      <c r="K74" s="78">
        <v>249</v>
      </c>
      <c r="L74" s="78">
        <v>57</v>
      </c>
      <c r="M74" s="78">
        <v>44</v>
      </c>
      <c r="N74" s="52">
        <f>SUM(B74:M74)</f>
        <v>1315</v>
      </c>
      <c r="O74" s="103"/>
      <c r="P74" s="92"/>
    </row>
    <row r="75" spans="1:17" ht="12.75" customHeight="1">
      <c r="A75" s="50" t="s">
        <v>202</v>
      </c>
      <c r="B75" s="78">
        <v>77</v>
      </c>
      <c r="C75" s="78">
        <v>32</v>
      </c>
      <c r="D75" s="78">
        <v>445</v>
      </c>
      <c r="E75" s="78">
        <v>662</v>
      </c>
      <c r="F75" s="78">
        <v>681</v>
      </c>
      <c r="G75" s="78">
        <v>307</v>
      </c>
      <c r="H75" s="78">
        <v>157</v>
      </c>
      <c r="I75" s="78">
        <v>642</v>
      </c>
      <c r="J75" s="78">
        <v>880</v>
      </c>
      <c r="K75" s="78">
        <v>1061</v>
      </c>
      <c r="L75" s="78">
        <v>345</v>
      </c>
      <c r="M75" s="78">
        <v>299</v>
      </c>
      <c r="N75" s="52">
        <f>SUM(B75:M75)</f>
        <v>5588</v>
      </c>
      <c r="O75" s="103">
        <v>0</v>
      </c>
      <c r="P75" s="92" t="s">
        <v>13</v>
      </c>
    </row>
    <row r="76" spans="1:17" ht="12.75" customHeight="1">
      <c r="A76" s="105" t="s">
        <v>135</v>
      </c>
      <c r="B76" s="69">
        <v>0</v>
      </c>
      <c r="C76" s="69">
        <v>0</v>
      </c>
      <c r="D76" s="69">
        <v>0</v>
      </c>
      <c r="E76" s="69">
        <v>0</v>
      </c>
      <c r="F76" s="69">
        <v>0</v>
      </c>
      <c r="G76" s="69">
        <v>0</v>
      </c>
      <c r="H76" s="69">
        <v>0</v>
      </c>
      <c r="I76" s="69">
        <v>0</v>
      </c>
      <c r="J76" s="69">
        <v>0</v>
      </c>
      <c r="K76" s="69">
        <v>0</v>
      </c>
      <c r="L76" s="69">
        <v>0</v>
      </c>
      <c r="M76" s="69">
        <v>0</v>
      </c>
      <c r="N76" s="88"/>
      <c r="O76" s="92"/>
      <c r="P76" s="92"/>
    </row>
    <row r="77" spans="1:17" ht="12.75" customHeight="1">
      <c r="A77" s="2"/>
      <c r="B77" s="96"/>
      <c r="C77" s="96"/>
      <c r="D77" s="96"/>
      <c r="E77" s="96"/>
      <c r="F77" s="96"/>
      <c r="G77" s="96"/>
      <c r="H77" s="96"/>
      <c r="I77" s="96"/>
      <c r="J77" s="96"/>
      <c r="K77" s="96"/>
      <c r="L77" s="96"/>
      <c r="M77" s="96"/>
      <c r="N77" s="97"/>
      <c r="O77" s="92"/>
      <c r="P77" s="92"/>
    </row>
    <row r="78" spans="1:17" ht="12.75" customHeight="1">
      <c r="A78" s="5"/>
      <c r="B78" s="89"/>
      <c r="C78" s="89"/>
      <c r="D78" s="89"/>
      <c r="E78" s="89"/>
      <c r="F78" s="89"/>
      <c r="G78" s="89"/>
      <c r="H78" s="89"/>
      <c r="I78" s="89"/>
      <c r="J78" s="89"/>
      <c r="K78" s="89"/>
      <c r="L78" s="89"/>
      <c r="M78" s="89"/>
      <c r="N78" s="90"/>
      <c r="O78" s="98"/>
      <c r="P78" s="98"/>
    </row>
    <row r="79" spans="1:17" ht="25.5">
      <c r="A79" s="45"/>
      <c r="B79" s="46">
        <v>39630</v>
      </c>
      <c r="C79" s="46">
        <v>39661</v>
      </c>
      <c r="D79" s="46">
        <v>39692</v>
      </c>
      <c r="E79" s="46">
        <v>39722</v>
      </c>
      <c r="F79" s="46">
        <v>39753</v>
      </c>
      <c r="G79" s="46">
        <v>39783</v>
      </c>
      <c r="H79" s="46">
        <v>39814</v>
      </c>
      <c r="I79" s="46">
        <v>39845</v>
      </c>
      <c r="J79" s="46">
        <v>39873</v>
      </c>
      <c r="K79" s="46">
        <v>39904</v>
      </c>
      <c r="L79" s="46">
        <v>39934</v>
      </c>
      <c r="M79" s="46">
        <v>39965</v>
      </c>
      <c r="N79" s="55" t="s">
        <v>354</v>
      </c>
      <c r="O79" s="55" t="s">
        <v>191</v>
      </c>
      <c r="P79" s="55" t="s">
        <v>86</v>
      </c>
    </row>
    <row r="80" spans="1:17" ht="12.75" customHeight="1">
      <c r="A80" s="181" t="s">
        <v>92</v>
      </c>
      <c r="B80" s="179"/>
      <c r="C80" s="175"/>
      <c r="D80" s="46"/>
      <c r="E80" s="46"/>
      <c r="F80" s="46"/>
      <c r="G80" s="46"/>
      <c r="H80" s="46"/>
      <c r="I80" s="46"/>
      <c r="J80" s="46"/>
      <c r="K80" s="46"/>
      <c r="L80" s="46"/>
      <c r="M80" s="46"/>
      <c r="N80" s="57"/>
      <c r="O80" s="99"/>
      <c r="P80" s="99"/>
    </row>
    <row r="81" spans="1:17" ht="12.75" customHeight="1">
      <c r="A81" s="50" t="s">
        <v>260</v>
      </c>
      <c r="B81" s="100">
        <v>0</v>
      </c>
      <c r="C81" s="100">
        <v>0</v>
      </c>
      <c r="D81" s="78">
        <v>0</v>
      </c>
      <c r="E81" s="78">
        <v>144</v>
      </c>
      <c r="F81" s="78">
        <v>208</v>
      </c>
      <c r="G81" s="78">
        <v>115</v>
      </c>
      <c r="H81" s="78">
        <v>56</v>
      </c>
      <c r="I81" s="78">
        <v>167</v>
      </c>
      <c r="J81" s="78">
        <v>218</v>
      </c>
      <c r="K81" s="78">
        <v>239</v>
      </c>
      <c r="L81" s="78">
        <v>74</v>
      </c>
      <c r="M81" s="78">
        <v>59</v>
      </c>
      <c r="N81" s="52">
        <f>SUM(B81:M81)</f>
        <v>1280</v>
      </c>
      <c r="O81" s="103"/>
      <c r="P81" s="92"/>
    </row>
    <row r="82" spans="1:17" ht="12.75" customHeight="1">
      <c r="A82" s="50" t="s">
        <v>202</v>
      </c>
      <c r="B82" s="78">
        <v>0</v>
      </c>
      <c r="C82" s="78">
        <v>0</v>
      </c>
      <c r="D82" s="78">
        <v>0</v>
      </c>
      <c r="E82" s="78">
        <v>506</v>
      </c>
      <c r="F82" s="78">
        <v>667</v>
      </c>
      <c r="G82" s="78">
        <v>389</v>
      </c>
      <c r="H82" s="78">
        <v>181</v>
      </c>
      <c r="I82" s="78">
        <v>573</v>
      </c>
      <c r="J82" s="78">
        <v>803</v>
      </c>
      <c r="K82" s="78">
        <v>945</v>
      </c>
      <c r="L82" s="78">
        <v>310</v>
      </c>
      <c r="M82" s="78">
        <v>347</v>
      </c>
      <c r="N82" s="52">
        <f>SUM(B82:M82)</f>
        <v>4721</v>
      </c>
      <c r="O82" s="103">
        <v>0</v>
      </c>
      <c r="P82" s="92" t="s">
        <v>13</v>
      </c>
    </row>
    <row r="83" spans="1:17" ht="12.75" customHeight="1">
      <c r="A83" s="2"/>
      <c r="B83" s="69"/>
      <c r="C83" s="69"/>
      <c r="D83" s="69"/>
      <c r="E83" s="69"/>
      <c r="F83" s="69"/>
      <c r="G83" s="69"/>
      <c r="H83" s="69"/>
      <c r="I83" s="69"/>
      <c r="J83" s="69"/>
      <c r="K83" s="69"/>
      <c r="L83" s="69"/>
      <c r="M83" s="69"/>
      <c r="N83" s="88"/>
      <c r="O83" s="92"/>
      <c r="P83" s="92"/>
    </row>
    <row r="84" spans="1:17" ht="12.75" customHeight="1">
      <c r="A84" s="5"/>
      <c r="B84" s="89"/>
      <c r="C84" s="89"/>
      <c r="D84" s="89"/>
      <c r="E84" s="89"/>
      <c r="F84" s="89"/>
      <c r="G84" s="89"/>
      <c r="H84" s="89"/>
      <c r="I84" s="89"/>
      <c r="J84" s="89"/>
      <c r="K84" s="89"/>
      <c r="L84" s="89"/>
      <c r="M84" s="89"/>
      <c r="N84" s="90"/>
      <c r="O84" s="98"/>
      <c r="P84" s="98"/>
    </row>
    <row r="85" spans="1:17" ht="25.5">
      <c r="A85" s="45"/>
      <c r="B85" s="46">
        <v>39630</v>
      </c>
      <c r="C85" s="46">
        <v>39661</v>
      </c>
      <c r="D85" s="46">
        <v>39692</v>
      </c>
      <c r="E85" s="46">
        <v>39722</v>
      </c>
      <c r="F85" s="46">
        <v>39753</v>
      </c>
      <c r="G85" s="46">
        <v>39783</v>
      </c>
      <c r="H85" s="46">
        <v>39814</v>
      </c>
      <c r="I85" s="46">
        <v>39845</v>
      </c>
      <c r="J85" s="46">
        <v>39873</v>
      </c>
      <c r="K85" s="46">
        <v>39904</v>
      </c>
      <c r="L85" s="46">
        <v>39934</v>
      </c>
      <c r="M85" s="46">
        <v>39965</v>
      </c>
      <c r="N85" s="55" t="s">
        <v>354</v>
      </c>
      <c r="O85" s="55" t="s">
        <v>191</v>
      </c>
      <c r="P85" s="55" t="s">
        <v>86</v>
      </c>
      <c r="Q85" s="2"/>
    </row>
    <row r="86" spans="1:17" ht="12.75" customHeight="1">
      <c r="A86" s="48" t="s">
        <v>46</v>
      </c>
      <c r="B86" s="46"/>
      <c r="C86" s="46"/>
      <c r="D86" s="46"/>
      <c r="E86" s="46"/>
      <c r="F86" s="46"/>
      <c r="G86" s="46"/>
      <c r="H86" s="46"/>
      <c r="I86" s="46"/>
      <c r="J86" s="46"/>
      <c r="K86" s="46"/>
      <c r="L86" s="46"/>
      <c r="M86" s="46"/>
      <c r="N86" s="57"/>
      <c r="O86" s="99"/>
      <c r="P86" s="99"/>
    </row>
    <row r="87" spans="1:17" ht="12.75" customHeight="1">
      <c r="A87" s="50" t="s">
        <v>260</v>
      </c>
      <c r="B87" s="78">
        <v>44</v>
      </c>
      <c r="C87" s="78">
        <v>15</v>
      </c>
      <c r="D87" s="78">
        <v>103</v>
      </c>
      <c r="E87" s="78">
        <v>130</v>
      </c>
      <c r="F87" s="78">
        <v>153</v>
      </c>
      <c r="G87" s="78">
        <v>90</v>
      </c>
      <c r="H87" s="78">
        <v>32</v>
      </c>
      <c r="I87" s="78">
        <v>65</v>
      </c>
      <c r="J87" s="78">
        <v>137</v>
      </c>
      <c r="K87" s="78">
        <v>192</v>
      </c>
      <c r="L87" s="78">
        <v>69</v>
      </c>
      <c r="M87" s="78">
        <v>62</v>
      </c>
      <c r="N87" s="52">
        <f>SUM(B87:M87)</f>
        <v>1092</v>
      </c>
      <c r="O87" s="103"/>
      <c r="P87" s="92"/>
    </row>
    <row r="88" spans="1:17" ht="12.75" customHeight="1">
      <c r="A88" s="50" t="s">
        <v>202</v>
      </c>
      <c r="B88" s="78">
        <v>176</v>
      </c>
      <c r="C88" s="78">
        <v>49</v>
      </c>
      <c r="D88" s="78">
        <v>403</v>
      </c>
      <c r="E88" s="78">
        <v>535</v>
      </c>
      <c r="F88" s="78">
        <v>643</v>
      </c>
      <c r="G88" s="78">
        <v>348</v>
      </c>
      <c r="H88" s="78">
        <v>132</v>
      </c>
      <c r="I88" s="78">
        <v>269</v>
      </c>
      <c r="J88" s="78">
        <v>568</v>
      </c>
      <c r="K88" s="78">
        <v>1018</v>
      </c>
      <c r="L88" s="78">
        <v>481</v>
      </c>
      <c r="M88" s="78">
        <v>353</v>
      </c>
      <c r="N88" s="52">
        <f>SUM(B88:M88)</f>
        <v>4975</v>
      </c>
      <c r="O88" s="103">
        <v>29808</v>
      </c>
      <c r="P88" s="92" t="s">
        <v>13</v>
      </c>
    </row>
    <row r="89" spans="1:17" ht="12.75" customHeight="1">
      <c r="A89" s="2"/>
      <c r="B89" s="69"/>
      <c r="C89" s="69"/>
      <c r="D89" s="69"/>
      <c r="E89" s="69"/>
      <c r="F89" s="69"/>
      <c r="G89" s="69"/>
      <c r="H89" s="69"/>
      <c r="I89" s="69"/>
      <c r="J89" s="69"/>
      <c r="K89" s="69"/>
      <c r="L89" s="69"/>
      <c r="M89" s="69"/>
      <c r="N89" s="88"/>
      <c r="O89" s="92"/>
      <c r="P89" s="92"/>
    </row>
    <row r="90" spans="1:17" ht="12.75" customHeight="1">
      <c r="A90" s="5"/>
      <c r="B90" s="89"/>
      <c r="C90" s="89"/>
      <c r="D90" s="89"/>
      <c r="E90" s="89"/>
      <c r="F90" s="89"/>
      <c r="G90" s="89"/>
      <c r="H90" s="89"/>
      <c r="I90" s="89"/>
      <c r="J90" s="89"/>
      <c r="K90" s="89"/>
      <c r="L90" s="89"/>
      <c r="M90" s="89"/>
      <c r="N90" s="90"/>
      <c r="O90" s="98"/>
      <c r="P90" s="98"/>
    </row>
    <row r="91" spans="1:17" ht="25.5">
      <c r="A91" s="45"/>
      <c r="B91" s="46">
        <v>39630</v>
      </c>
      <c r="C91" s="46">
        <v>39661</v>
      </c>
      <c r="D91" s="46">
        <v>39692</v>
      </c>
      <c r="E91" s="46">
        <v>39722</v>
      </c>
      <c r="F91" s="46">
        <v>39753</v>
      </c>
      <c r="G91" s="46">
        <v>39783</v>
      </c>
      <c r="H91" s="46">
        <v>39814</v>
      </c>
      <c r="I91" s="46">
        <v>39845</v>
      </c>
      <c r="J91" s="46">
        <v>39873</v>
      </c>
      <c r="K91" s="46">
        <v>39904</v>
      </c>
      <c r="L91" s="46">
        <v>39934</v>
      </c>
      <c r="M91" s="46">
        <v>39965</v>
      </c>
      <c r="N91" s="55" t="s">
        <v>354</v>
      </c>
      <c r="O91" s="55" t="s">
        <v>191</v>
      </c>
      <c r="P91" s="55" t="s">
        <v>86</v>
      </c>
    </row>
    <row r="92" spans="1:17" ht="12.75" customHeight="1">
      <c r="A92" s="174" t="s">
        <v>89</v>
      </c>
      <c r="B92" s="175"/>
      <c r="C92" s="175"/>
      <c r="D92" s="175"/>
      <c r="E92" s="46"/>
      <c r="F92" s="46"/>
      <c r="G92" s="46"/>
      <c r="H92" s="46"/>
      <c r="I92" s="46"/>
      <c r="J92" s="46"/>
      <c r="K92" s="46"/>
      <c r="L92" s="46"/>
      <c r="M92" s="46"/>
      <c r="N92" s="106"/>
      <c r="O92" s="99"/>
      <c r="P92" s="99"/>
    </row>
    <row r="93" spans="1:17" ht="12.75" customHeight="1">
      <c r="A93" s="50" t="s">
        <v>260</v>
      </c>
      <c r="B93" s="107">
        <v>70</v>
      </c>
      <c r="C93" s="107">
        <v>10</v>
      </c>
      <c r="D93" s="107">
        <v>109</v>
      </c>
      <c r="E93" s="104">
        <v>248</v>
      </c>
      <c r="F93" s="104">
        <v>186</v>
      </c>
      <c r="G93" s="104">
        <v>105</v>
      </c>
      <c r="H93" s="75">
        <v>38</v>
      </c>
      <c r="I93" s="75">
        <v>103</v>
      </c>
      <c r="J93" s="78">
        <v>174</v>
      </c>
      <c r="K93" s="78">
        <v>174</v>
      </c>
      <c r="L93" s="78">
        <v>57</v>
      </c>
      <c r="M93" s="78">
        <v>79</v>
      </c>
      <c r="N93" s="52">
        <f>SUM(B93:M93)</f>
        <v>1353</v>
      </c>
      <c r="O93" s="103"/>
      <c r="P93" s="92"/>
    </row>
    <row r="94" spans="1:17" ht="12.75" customHeight="1">
      <c r="A94" s="50" t="s">
        <v>202</v>
      </c>
      <c r="B94" s="104">
        <v>321</v>
      </c>
      <c r="C94" s="104">
        <v>28</v>
      </c>
      <c r="D94" s="104">
        <v>532</v>
      </c>
      <c r="E94" s="104">
        <v>1252</v>
      </c>
      <c r="F94" s="104">
        <v>810</v>
      </c>
      <c r="G94" s="104">
        <v>388</v>
      </c>
      <c r="H94" s="75">
        <v>209</v>
      </c>
      <c r="I94" s="75">
        <v>463</v>
      </c>
      <c r="J94" s="78">
        <v>884</v>
      </c>
      <c r="K94" s="78">
        <v>924</v>
      </c>
      <c r="L94" s="78">
        <v>374</v>
      </c>
      <c r="M94" s="78">
        <v>486</v>
      </c>
      <c r="N94" s="52">
        <f>SUM(B94:M94)</f>
        <v>6671</v>
      </c>
      <c r="O94" s="103">
        <v>0</v>
      </c>
      <c r="P94" s="92" t="s">
        <v>13</v>
      </c>
    </row>
    <row r="95" spans="1:17" ht="12.75" customHeight="1">
      <c r="A95" s="2"/>
      <c r="B95" s="69"/>
      <c r="C95" s="69"/>
      <c r="D95" s="69"/>
      <c r="E95" s="69"/>
      <c r="F95" s="69"/>
      <c r="G95" s="69"/>
      <c r="H95" s="69"/>
      <c r="I95" s="69"/>
      <c r="J95" s="69"/>
      <c r="K95" s="69"/>
      <c r="L95" s="69"/>
      <c r="M95" s="69"/>
      <c r="N95" s="88"/>
      <c r="O95" s="92"/>
      <c r="P95" s="92"/>
    </row>
    <row r="96" spans="1:17" ht="12.75" customHeight="1">
      <c r="A96" s="5"/>
      <c r="B96" s="89"/>
      <c r="C96" s="89"/>
      <c r="D96" s="89"/>
      <c r="E96" s="89"/>
      <c r="F96" s="89"/>
      <c r="G96" s="89"/>
      <c r="H96" s="89"/>
      <c r="I96" s="89"/>
      <c r="J96" s="89"/>
      <c r="K96" s="89"/>
      <c r="L96" s="89"/>
      <c r="M96" s="89"/>
      <c r="N96" s="90"/>
      <c r="O96" s="98"/>
      <c r="P96" s="98"/>
    </row>
    <row r="97" spans="1:17" ht="25.5">
      <c r="A97" s="45"/>
      <c r="B97" s="46">
        <v>39630</v>
      </c>
      <c r="C97" s="46">
        <v>39661</v>
      </c>
      <c r="D97" s="46">
        <v>39692</v>
      </c>
      <c r="E97" s="46">
        <v>39722</v>
      </c>
      <c r="F97" s="46">
        <v>39753</v>
      </c>
      <c r="G97" s="46">
        <v>39783</v>
      </c>
      <c r="H97" s="46">
        <v>39814</v>
      </c>
      <c r="I97" s="46">
        <v>39845</v>
      </c>
      <c r="J97" s="46">
        <v>39873</v>
      </c>
      <c r="K97" s="46">
        <v>39904</v>
      </c>
      <c r="L97" s="46">
        <v>39934</v>
      </c>
      <c r="M97" s="46">
        <v>39965</v>
      </c>
      <c r="N97" s="55" t="s">
        <v>354</v>
      </c>
      <c r="O97" s="55" t="s">
        <v>191</v>
      </c>
      <c r="P97" s="55" t="s">
        <v>86</v>
      </c>
    </row>
    <row r="98" spans="1:17" ht="12.75" customHeight="1">
      <c r="A98" s="174" t="s">
        <v>255</v>
      </c>
      <c r="B98" s="175"/>
      <c r="C98" s="175"/>
      <c r="D98" s="175"/>
      <c r="E98" s="46"/>
      <c r="F98" s="46"/>
      <c r="G98" s="46"/>
      <c r="H98" s="46"/>
      <c r="I98" s="46"/>
      <c r="J98" s="46"/>
      <c r="K98" s="46"/>
      <c r="L98" s="46"/>
      <c r="M98" s="46"/>
      <c r="N98" s="106"/>
      <c r="O98" s="99"/>
      <c r="P98" s="99"/>
    </row>
    <row r="99" spans="1:17" ht="12.75" customHeight="1">
      <c r="A99" s="50" t="s">
        <v>260</v>
      </c>
      <c r="B99" s="107">
        <v>359</v>
      </c>
      <c r="C99" s="107">
        <v>59</v>
      </c>
      <c r="D99" s="107">
        <v>454</v>
      </c>
      <c r="E99" s="104">
        <v>929</v>
      </c>
      <c r="F99" s="104">
        <v>632</v>
      </c>
      <c r="G99" s="104">
        <v>330</v>
      </c>
      <c r="H99" s="75">
        <v>166</v>
      </c>
      <c r="I99" s="75">
        <v>538</v>
      </c>
      <c r="J99" s="78">
        <v>713</v>
      </c>
      <c r="K99" s="78">
        <v>660</v>
      </c>
      <c r="L99" s="78">
        <v>202</v>
      </c>
      <c r="M99" s="78">
        <v>514</v>
      </c>
      <c r="N99" s="52">
        <f>SUM(B99:M99)</f>
        <v>5556</v>
      </c>
      <c r="O99" s="103"/>
      <c r="P99" s="92"/>
    </row>
    <row r="100" spans="1:17" ht="12.75" customHeight="1">
      <c r="A100" s="50" t="s">
        <v>202</v>
      </c>
      <c r="B100" s="104">
        <v>1324</v>
      </c>
      <c r="C100" s="104">
        <v>201</v>
      </c>
      <c r="D100" s="104">
        <v>1892</v>
      </c>
      <c r="E100" s="104">
        <v>3758</v>
      </c>
      <c r="F100" s="104">
        <v>2402</v>
      </c>
      <c r="G100" s="104">
        <v>1237</v>
      </c>
      <c r="H100" s="75">
        <v>625</v>
      </c>
      <c r="I100" s="75">
        <v>1955</v>
      </c>
      <c r="J100" s="78">
        <v>2763</v>
      </c>
      <c r="K100" s="78">
        <v>2868</v>
      </c>
      <c r="L100" s="78">
        <v>1075</v>
      </c>
      <c r="M100" s="78">
        <v>2368</v>
      </c>
      <c r="N100" s="52">
        <f>SUM(B100:M100)</f>
        <v>22468</v>
      </c>
      <c r="O100" s="103">
        <v>2583</v>
      </c>
      <c r="P100" s="92" t="s">
        <v>13</v>
      </c>
    </row>
    <row r="101" spans="1:17" ht="12.75" customHeight="1">
      <c r="A101" s="2"/>
      <c r="B101" s="69"/>
      <c r="C101" s="69"/>
      <c r="D101" s="69"/>
      <c r="E101" s="69"/>
      <c r="F101" s="69"/>
      <c r="G101" s="69"/>
      <c r="H101" s="69"/>
      <c r="I101" s="69"/>
      <c r="J101" s="69"/>
      <c r="K101" s="69"/>
      <c r="L101" s="69"/>
      <c r="M101" s="69"/>
      <c r="N101" s="88"/>
      <c r="O101" s="92"/>
      <c r="P101" s="92"/>
    </row>
    <row r="102" spans="1:17" ht="12.75" customHeight="1">
      <c r="A102" s="5"/>
      <c r="B102" s="89"/>
      <c r="C102" s="89"/>
      <c r="D102" s="89"/>
      <c r="E102" s="89"/>
      <c r="F102" s="89"/>
      <c r="G102" s="89"/>
      <c r="H102" s="89"/>
      <c r="I102" s="89"/>
      <c r="J102" s="89"/>
      <c r="K102" s="89"/>
      <c r="L102" s="89"/>
      <c r="M102" s="89"/>
      <c r="N102" s="90"/>
      <c r="O102" s="98"/>
      <c r="P102" s="98"/>
    </row>
    <row r="103" spans="1:17" ht="25.5">
      <c r="A103" s="45"/>
      <c r="B103" s="46">
        <v>39630</v>
      </c>
      <c r="C103" s="46">
        <v>39661</v>
      </c>
      <c r="D103" s="46">
        <v>39692</v>
      </c>
      <c r="E103" s="46">
        <v>39722</v>
      </c>
      <c r="F103" s="46">
        <v>39753</v>
      </c>
      <c r="G103" s="46">
        <v>39783</v>
      </c>
      <c r="H103" s="46">
        <v>39814</v>
      </c>
      <c r="I103" s="46">
        <v>39845</v>
      </c>
      <c r="J103" s="46">
        <v>39873</v>
      </c>
      <c r="K103" s="46">
        <v>39904</v>
      </c>
      <c r="L103" s="46">
        <v>39934</v>
      </c>
      <c r="M103" s="46">
        <v>39965</v>
      </c>
      <c r="N103" s="55" t="s">
        <v>354</v>
      </c>
      <c r="O103" s="55" t="s">
        <v>191</v>
      </c>
      <c r="P103" s="55" t="s">
        <v>86</v>
      </c>
      <c r="Q103" s="2"/>
    </row>
    <row r="104" spans="1:17" ht="12.75" customHeight="1">
      <c r="A104" s="48" t="s">
        <v>221</v>
      </c>
      <c r="B104" s="46"/>
      <c r="C104" s="46"/>
      <c r="D104" s="46"/>
      <c r="E104" s="46"/>
      <c r="F104" s="46"/>
      <c r="G104" s="46"/>
      <c r="H104" s="46"/>
      <c r="I104" s="46"/>
      <c r="J104" s="46"/>
      <c r="K104" s="46"/>
      <c r="L104" s="46"/>
      <c r="M104" s="46"/>
      <c r="N104" s="57"/>
      <c r="O104" s="99"/>
      <c r="P104" s="99"/>
    </row>
    <row r="105" spans="1:17" ht="12.75" customHeight="1">
      <c r="A105" s="50" t="s">
        <v>260</v>
      </c>
      <c r="B105" s="78">
        <v>36</v>
      </c>
      <c r="C105" s="78">
        <v>7</v>
      </c>
      <c r="D105" s="78">
        <v>66</v>
      </c>
      <c r="E105" s="78">
        <v>137</v>
      </c>
      <c r="F105" s="78">
        <v>165</v>
      </c>
      <c r="G105" s="78">
        <v>83</v>
      </c>
      <c r="H105" s="78">
        <v>29</v>
      </c>
      <c r="I105" s="78">
        <v>83</v>
      </c>
      <c r="J105" s="78">
        <v>136</v>
      </c>
      <c r="K105" s="78">
        <v>166</v>
      </c>
      <c r="L105" s="78">
        <v>57</v>
      </c>
      <c r="M105" s="78">
        <v>43</v>
      </c>
      <c r="N105" s="52">
        <f>SUM(B105:M105)</f>
        <v>1008</v>
      </c>
      <c r="O105" s="103"/>
      <c r="P105" s="92"/>
    </row>
    <row r="106" spans="1:17" ht="12.75" customHeight="1">
      <c r="A106" s="50" t="s">
        <v>202</v>
      </c>
      <c r="B106" s="94">
        <v>109</v>
      </c>
      <c r="C106" s="94">
        <v>19</v>
      </c>
      <c r="D106" s="94">
        <v>265</v>
      </c>
      <c r="E106" s="94">
        <v>513</v>
      </c>
      <c r="F106" s="94">
        <v>609</v>
      </c>
      <c r="G106" s="94">
        <v>281</v>
      </c>
      <c r="H106" s="94">
        <v>167</v>
      </c>
      <c r="I106" s="94">
        <v>262</v>
      </c>
      <c r="J106" s="94">
        <v>548</v>
      </c>
      <c r="K106" s="94">
        <v>848</v>
      </c>
      <c r="L106" s="94">
        <v>340</v>
      </c>
      <c r="M106" s="94">
        <v>266</v>
      </c>
      <c r="N106" s="95">
        <f>SUM(B106:M106)</f>
        <v>4227</v>
      </c>
      <c r="O106" s="103">
        <v>0</v>
      </c>
      <c r="P106" s="92" t="s">
        <v>13</v>
      </c>
    </row>
    <row r="107" spans="1:17" ht="12.75" customHeight="1">
      <c r="A107" s="2"/>
      <c r="B107" s="96"/>
      <c r="C107" s="96"/>
      <c r="D107" s="96"/>
      <c r="E107" s="96"/>
      <c r="F107" s="96"/>
      <c r="G107" s="96"/>
      <c r="H107" s="96"/>
      <c r="I107" s="96"/>
      <c r="J107" s="96"/>
      <c r="K107" s="96"/>
      <c r="L107" s="96"/>
      <c r="M107" s="96"/>
      <c r="N107" s="97"/>
      <c r="O107" s="92"/>
      <c r="P107" s="92"/>
    </row>
    <row r="108" spans="1:17" ht="12.75" customHeight="1">
      <c r="A108" s="5"/>
      <c r="B108" s="89"/>
      <c r="C108" s="89"/>
      <c r="D108" s="89"/>
      <c r="E108" s="89"/>
      <c r="F108" s="89"/>
      <c r="G108" s="89"/>
      <c r="H108" s="89"/>
      <c r="I108" s="89"/>
      <c r="J108" s="89"/>
      <c r="K108" s="89"/>
      <c r="L108" s="89"/>
      <c r="M108" s="89"/>
      <c r="N108" s="90"/>
      <c r="O108" s="98"/>
      <c r="P108" s="98"/>
    </row>
    <row r="109" spans="1:17" ht="25.5">
      <c r="A109" s="45"/>
      <c r="B109" s="46">
        <v>39630</v>
      </c>
      <c r="C109" s="46">
        <v>39661</v>
      </c>
      <c r="D109" s="46">
        <v>39692</v>
      </c>
      <c r="E109" s="46">
        <v>39722</v>
      </c>
      <c r="F109" s="46">
        <v>39753</v>
      </c>
      <c r="G109" s="46">
        <v>39783</v>
      </c>
      <c r="H109" s="46">
        <v>39814</v>
      </c>
      <c r="I109" s="46">
        <v>39845</v>
      </c>
      <c r="J109" s="46">
        <v>39873</v>
      </c>
      <c r="K109" s="46">
        <v>39904</v>
      </c>
      <c r="L109" s="46">
        <v>39934</v>
      </c>
      <c r="M109" s="46">
        <v>39965</v>
      </c>
      <c r="N109" s="55" t="s">
        <v>354</v>
      </c>
      <c r="O109" s="55" t="s">
        <v>191</v>
      </c>
      <c r="P109" s="55" t="s">
        <v>86</v>
      </c>
    </row>
    <row r="110" spans="1:17" ht="12.75" customHeight="1">
      <c r="A110" s="181" t="s">
        <v>309</v>
      </c>
      <c r="B110" s="179"/>
      <c r="C110" s="175"/>
      <c r="D110" s="46"/>
      <c r="E110" s="46"/>
      <c r="F110" s="46"/>
      <c r="G110" s="46"/>
      <c r="H110" s="46"/>
      <c r="I110" s="46"/>
      <c r="J110" s="46"/>
      <c r="K110" s="46"/>
      <c r="L110" s="46"/>
      <c r="M110" s="46"/>
      <c r="N110" s="57"/>
      <c r="O110" s="99"/>
      <c r="P110" s="99"/>
    </row>
    <row r="111" spans="1:17" ht="12.75" customHeight="1">
      <c r="A111" s="50" t="s">
        <v>260</v>
      </c>
      <c r="B111" s="100">
        <v>43</v>
      </c>
      <c r="C111" s="100">
        <v>8</v>
      </c>
      <c r="D111" s="78">
        <v>56</v>
      </c>
      <c r="E111" s="78">
        <v>195</v>
      </c>
      <c r="F111" s="78">
        <v>242</v>
      </c>
      <c r="G111" s="78">
        <v>164</v>
      </c>
      <c r="H111" s="78">
        <v>44</v>
      </c>
      <c r="I111" s="78">
        <v>147</v>
      </c>
      <c r="J111" s="78">
        <v>220</v>
      </c>
      <c r="K111" s="78">
        <v>320</v>
      </c>
      <c r="L111" s="78">
        <v>88</v>
      </c>
      <c r="M111" s="78">
        <v>97</v>
      </c>
      <c r="N111" s="52">
        <f>SUM(B111:M111)</f>
        <v>1624</v>
      </c>
      <c r="O111" s="103"/>
      <c r="P111" s="92"/>
    </row>
    <row r="112" spans="1:17" ht="12.75" customHeight="1">
      <c r="A112" s="50" t="s">
        <v>202</v>
      </c>
      <c r="B112" s="78">
        <v>43</v>
      </c>
      <c r="C112" s="78">
        <v>10</v>
      </c>
      <c r="D112" s="78">
        <v>24</v>
      </c>
      <c r="E112" s="78">
        <v>537</v>
      </c>
      <c r="F112" s="78">
        <v>676</v>
      </c>
      <c r="G112" s="78">
        <v>424</v>
      </c>
      <c r="H112" s="78">
        <v>189</v>
      </c>
      <c r="I112" s="78">
        <v>356</v>
      </c>
      <c r="J112" s="78">
        <v>664</v>
      </c>
      <c r="K112" s="78">
        <v>1018</v>
      </c>
      <c r="L112" s="78">
        <v>429</v>
      </c>
      <c r="M112" s="78">
        <v>290</v>
      </c>
      <c r="N112" s="52">
        <f>SUM(B112:M112)</f>
        <v>4660</v>
      </c>
      <c r="O112" s="103">
        <v>0</v>
      </c>
      <c r="P112" s="92" t="s">
        <v>13</v>
      </c>
    </row>
    <row r="113" spans="1:16" ht="12.75" customHeight="1">
      <c r="A113" s="2"/>
      <c r="B113" s="69"/>
      <c r="C113" s="69"/>
      <c r="D113" s="69"/>
      <c r="E113" s="69"/>
      <c r="F113" s="69"/>
      <c r="G113" s="69"/>
      <c r="H113" s="69"/>
      <c r="I113" s="69"/>
      <c r="J113" s="69"/>
      <c r="K113" s="69"/>
      <c r="L113" s="69"/>
      <c r="M113" s="69"/>
      <c r="N113" s="88"/>
      <c r="O113" s="92"/>
      <c r="P113" s="92"/>
    </row>
    <row r="114" spans="1:16" ht="12.75" customHeight="1">
      <c r="A114" s="5"/>
      <c r="B114" s="89"/>
      <c r="C114" s="89"/>
      <c r="D114" s="89"/>
      <c r="E114" s="89"/>
      <c r="F114" s="89"/>
      <c r="G114" s="89"/>
      <c r="H114" s="89"/>
      <c r="I114" s="89"/>
      <c r="J114" s="89"/>
      <c r="K114" s="89"/>
      <c r="L114" s="89"/>
      <c r="M114" s="89"/>
      <c r="N114" s="90"/>
      <c r="O114" s="98"/>
      <c r="P114" s="98"/>
    </row>
    <row r="115" spans="1:16" ht="25.5">
      <c r="A115" s="45"/>
      <c r="B115" s="46">
        <v>39630</v>
      </c>
      <c r="C115" s="46">
        <v>39661</v>
      </c>
      <c r="D115" s="46">
        <v>39692</v>
      </c>
      <c r="E115" s="46">
        <v>39722</v>
      </c>
      <c r="F115" s="46">
        <v>39753</v>
      </c>
      <c r="G115" s="46">
        <v>39783</v>
      </c>
      <c r="H115" s="46">
        <v>39814</v>
      </c>
      <c r="I115" s="46">
        <v>39845</v>
      </c>
      <c r="J115" s="46">
        <v>39873</v>
      </c>
      <c r="K115" s="46">
        <v>39904</v>
      </c>
      <c r="L115" s="46">
        <v>39934</v>
      </c>
      <c r="M115" s="46">
        <v>39965</v>
      </c>
      <c r="N115" s="55" t="s">
        <v>354</v>
      </c>
      <c r="O115" s="55" t="s">
        <v>191</v>
      </c>
      <c r="P115" s="55" t="s">
        <v>86</v>
      </c>
    </row>
    <row r="116" spans="1:16" ht="12.75" customHeight="1">
      <c r="A116" s="48" t="s">
        <v>177</v>
      </c>
      <c r="B116" s="46"/>
      <c r="C116" s="46"/>
      <c r="D116" s="46"/>
      <c r="E116" s="46"/>
      <c r="F116" s="46"/>
      <c r="G116" s="46"/>
      <c r="H116" s="46"/>
      <c r="I116" s="46"/>
      <c r="J116" s="46"/>
      <c r="K116" s="46"/>
      <c r="L116" s="46"/>
      <c r="M116" s="46"/>
      <c r="N116" s="57"/>
      <c r="O116" s="99"/>
      <c r="P116" s="99"/>
    </row>
    <row r="117" spans="1:16" ht="12.75" customHeight="1">
      <c r="A117" s="50" t="s">
        <v>260</v>
      </c>
      <c r="B117" s="78">
        <v>0</v>
      </c>
      <c r="C117" s="78">
        <v>0</v>
      </c>
      <c r="D117" s="78">
        <v>0</v>
      </c>
      <c r="E117" s="78">
        <v>101</v>
      </c>
      <c r="F117" s="78">
        <v>160</v>
      </c>
      <c r="G117" s="78">
        <v>90</v>
      </c>
      <c r="H117" s="78">
        <v>28</v>
      </c>
      <c r="I117" s="78">
        <v>77</v>
      </c>
      <c r="J117" s="78">
        <v>164</v>
      </c>
      <c r="K117" s="78">
        <v>193</v>
      </c>
      <c r="L117" s="78">
        <v>35</v>
      </c>
      <c r="M117" s="78">
        <v>45</v>
      </c>
      <c r="N117" s="52">
        <f>SUM(B117:M117)</f>
        <v>893</v>
      </c>
      <c r="O117" s="103"/>
      <c r="P117" s="92"/>
    </row>
    <row r="118" spans="1:16" ht="12.75" customHeight="1">
      <c r="A118" s="50" t="s">
        <v>202</v>
      </c>
      <c r="B118" s="94">
        <v>0</v>
      </c>
      <c r="C118" s="94">
        <v>0</v>
      </c>
      <c r="D118" s="94">
        <v>0</v>
      </c>
      <c r="E118" s="94">
        <v>495</v>
      </c>
      <c r="F118" s="94">
        <v>763</v>
      </c>
      <c r="G118" s="94">
        <v>350</v>
      </c>
      <c r="H118" s="94">
        <v>123</v>
      </c>
      <c r="I118" s="94">
        <v>369</v>
      </c>
      <c r="J118" s="94">
        <v>834</v>
      </c>
      <c r="K118" s="94">
        <v>1037</v>
      </c>
      <c r="L118" s="94">
        <v>324</v>
      </c>
      <c r="M118" s="94">
        <v>244</v>
      </c>
      <c r="N118" s="95">
        <f>SUM(B118:M118)</f>
        <v>4539</v>
      </c>
      <c r="O118" s="103">
        <v>0</v>
      </c>
      <c r="P118" s="92" t="s">
        <v>13</v>
      </c>
    </row>
    <row r="119" spans="1:16" ht="12.75" customHeight="1">
      <c r="A119" s="2"/>
      <c r="B119" s="96"/>
      <c r="C119" s="96"/>
      <c r="D119" s="96"/>
      <c r="E119" s="96"/>
      <c r="F119" s="96"/>
      <c r="G119" s="96"/>
      <c r="H119" s="96"/>
      <c r="I119" s="96"/>
      <c r="J119" s="96"/>
      <c r="K119" s="96"/>
      <c r="L119" s="96"/>
      <c r="M119" s="96"/>
      <c r="N119" s="97"/>
      <c r="O119" s="92"/>
      <c r="P119" s="92" t="s">
        <v>13</v>
      </c>
    </row>
    <row r="120" spans="1:16" ht="12.75" customHeight="1">
      <c r="A120" s="5"/>
      <c r="B120" s="89"/>
      <c r="C120" s="89"/>
      <c r="D120" s="89"/>
      <c r="E120" s="89"/>
      <c r="F120" s="89"/>
      <c r="G120" s="89"/>
      <c r="H120" s="89"/>
      <c r="I120" s="89"/>
      <c r="J120" s="89"/>
      <c r="K120" s="89"/>
      <c r="L120" s="89"/>
      <c r="M120" s="89"/>
      <c r="N120" s="90"/>
      <c r="O120" s="98"/>
      <c r="P120" s="98"/>
    </row>
    <row r="121" spans="1:16" ht="25.5">
      <c r="A121" s="45"/>
      <c r="B121" s="46">
        <v>39630</v>
      </c>
      <c r="C121" s="46">
        <v>39661</v>
      </c>
      <c r="D121" s="46">
        <v>39692</v>
      </c>
      <c r="E121" s="46">
        <v>39722</v>
      </c>
      <c r="F121" s="46">
        <v>39753</v>
      </c>
      <c r="G121" s="46">
        <v>39783</v>
      </c>
      <c r="H121" s="46">
        <v>39814</v>
      </c>
      <c r="I121" s="46">
        <v>39845</v>
      </c>
      <c r="J121" s="46">
        <v>39873</v>
      </c>
      <c r="K121" s="46">
        <v>39904</v>
      </c>
      <c r="L121" s="46">
        <v>39934</v>
      </c>
      <c r="M121" s="46">
        <v>39965</v>
      </c>
      <c r="N121" s="55" t="s">
        <v>354</v>
      </c>
      <c r="O121" s="55" t="s">
        <v>191</v>
      </c>
      <c r="P121" s="55" t="s">
        <v>86</v>
      </c>
    </row>
    <row r="122" spans="1:16" ht="12.75" customHeight="1">
      <c r="A122" s="48" t="s">
        <v>322</v>
      </c>
      <c r="B122" s="46"/>
      <c r="C122" s="46"/>
      <c r="D122" s="46"/>
      <c r="E122" s="46"/>
      <c r="F122" s="46"/>
      <c r="G122" s="46"/>
      <c r="H122" s="46"/>
      <c r="I122" s="46"/>
      <c r="J122" s="46"/>
      <c r="K122" s="46"/>
      <c r="L122" s="46"/>
      <c r="M122" s="46"/>
      <c r="N122" s="57"/>
      <c r="O122" s="99"/>
      <c r="P122" s="99"/>
    </row>
    <row r="123" spans="1:16" ht="12.75" customHeight="1">
      <c r="A123" s="50" t="s">
        <v>260</v>
      </c>
      <c r="B123" s="78">
        <v>13</v>
      </c>
      <c r="C123" s="78">
        <v>5</v>
      </c>
      <c r="D123" s="78">
        <v>50</v>
      </c>
      <c r="E123" s="78">
        <v>142</v>
      </c>
      <c r="F123" s="78">
        <v>264</v>
      </c>
      <c r="G123" s="78">
        <v>121</v>
      </c>
      <c r="H123" s="78">
        <v>30</v>
      </c>
      <c r="I123" s="78">
        <v>59</v>
      </c>
      <c r="J123" s="78">
        <v>132</v>
      </c>
      <c r="K123" s="78">
        <v>203</v>
      </c>
      <c r="L123" s="78">
        <v>37</v>
      </c>
      <c r="M123" s="78">
        <v>54</v>
      </c>
      <c r="N123" s="52">
        <f>SUM(B123:M123)</f>
        <v>1110</v>
      </c>
      <c r="O123" s="103"/>
      <c r="P123" s="92"/>
    </row>
    <row r="124" spans="1:16" ht="12.75" customHeight="1">
      <c r="A124" s="50" t="s">
        <v>202</v>
      </c>
      <c r="B124" s="94">
        <v>73</v>
      </c>
      <c r="C124" s="94">
        <v>14</v>
      </c>
      <c r="D124" s="94">
        <v>215</v>
      </c>
      <c r="E124" s="94">
        <v>617</v>
      </c>
      <c r="F124" s="94">
        <v>993</v>
      </c>
      <c r="G124" s="94">
        <v>388</v>
      </c>
      <c r="H124" s="94">
        <v>171</v>
      </c>
      <c r="I124" s="94">
        <v>245</v>
      </c>
      <c r="J124" s="94">
        <v>575</v>
      </c>
      <c r="K124" s="94">
        <v>897</v>
      </c>
      <c r="L124" s="94">
        <v>317</v>
      </c>
      <c r="M124" s="94">
        <v>294</v>
      </c>
      <c r="N124" s="95">
        <f>SUM(B124:M124)</f>
        <v>4799</v>
      </c>
      <c r="O124" s="103">
        <v>1649</v>
      </c>
      <c r="P124" s="92" t="s">
        <v>13</v>
      </c>
    </row>
    <row r="125" spans="1:16" ht="12.75" customHeight="1">
      <c r="A125" s="50" t="s">
        <v>271</v>
      </c>
      <c r="B125" s="100">
        <v>4</v>
      </c>
      <c r="C125" s="100">
        <v>4</v>
      </c>
      <c r="D125" s="100">
        <v>4</v>
      </c>
      <c r="E125" s="100">
        <v>4</v>
      </c>
      <c r="F125" s="100">
        <v>4</v>
      </c>
      <c r="G125" s="100">
        <v>4</v>
      </c>
      <c r="H125" s="100">
        <v>4</v>
      </c>
      <c r="I125" s="100">
        <v>4</v>
      </c>
      <c r="J125" s="100">
        <v>4</v>
      </c>
      <c r="K125" s="100">
        <v>4</v>
      </c>
      <c r="L125" s="100">
        <v>4</v>
      </c>
      <c r="M125" s="100">
        <v>4</v>
      </c>
      <c r="N125" s="108"/>
      <c r="O125" s="103"/>
      <c r="P125" s="92"/>
    </row>
    <row r="126" spans="1:16" ht="12.75" customHeight="1">
      <c r="A126" s="105" t="s">
        <v>135</v>
      </c>
      <c r="B126" s="69">
        <v>0</v>
      </c>
      <c r="C126" s="69">
        <v>0</v>
      </c>
      <c r="D126" s="69">
        <v>0</v>
      </c>
      <c r="E126" s="69">
        <v>1</v>
      </c>
      <c r="F126" s="69">
        <v>2</v>
      </c>
      <c r="G126" s="69">
        <v>0</v>
      </c>
      <c r="H126" s="69">
        <v>0</v>
      </c>
      <c r="I126" s="69">
        <v>0</v>
      </c>
      <c r="J126" s="69">
        <v>0</v>
      </c>
      <c r="K126" s="69">
        <v>3</v>
      </c>
      <c r="L126" s="69">
        <v>0</v>
      </c>
      <c r="M126" s="69">
        <v>0</v>
      </c>
      <c r="N126" s="88"/>
      <c r="O126" s="92"/>
      <c r="P126" s="92"/>
    </row>
    <row r="127" spans="1:16" ht="12.75" customHeight="1">
      <c r="A127" s="2"/>
      <c r="B127" s="96"/>
      <c r="C127" s="96"/>
      <c r="D127" s="96"/>
      <c r="E127" s="96"/>
      <c r="F127" s="96"/>
      <c r="G127" s="96"/>
      <c r="H127" s="96"/>
      <c r="I127" s="96"/>
      <c r="J127" s="96"/>
      <c r="K127" s="96"/>
      <c r="L127" s="96"/>
      <c r="M127" s="96"/>
      <c r="N127" s="97"/>
      <c r="O127" s="92"/>
      <c r="P127" s="92"/>
    </row>
    <row r="128" spans="1:16" ht="12.75" customHeight="1">
      <c r="A128" s="5"/>
      <c r="B128" s="89"/>
      <c r="C128" s="89"/>
      <c r="D128" s="89"/>
      <c r="E128" s="89"/>
      <c r="F128" s="89"/>
      <c r="G128" s="89"/>
      <c r="H128" s="89"/>
      <c r="I128" s="89"/>
      <c r="J128" s="89"/>
      <c r="K128" s="89"/>
      <c r="L128" s="89"/>
      <c r="M128" s="89"/>
      <c r="N128" s="90"/>
      <c r="O128" s="98"/>
      <c r="P128" s="98"/>
    </row>
    <row r="129" spans="1:17" ht="25.5">
      <c r="A129" s="45"/>
      <c r="B129" s="46">
        <v>39630</v>
      </c>
      <c r="C129" s="46">
        <v>39661</v>
      </c>
      <c r="D129" s="46">
        <v>39692</v>
      </c>
      <c r="E129" s="46">
        <v>39722</v>
      </c>
      <c r="F129" s="46">
        <v>39753</v>
      </c>
      <c r="G129" s="46">
        <v>39783</v>
      </c>
      <c r="H129" s="46">
        <v>39814</v>
      </c>
      <c r="I129" s="46">
        <v>39845</v>
      </c>
      <c r="J129" s="46">
        <v>39873</v>
      </c>
      <c r="K129" s="46">
        <v>39904</v>
      </c>
      <c r="L129" s="46">
        <v>39934</v>
      </c>
      <c r="M129" s="46">
        <v>39965</v>
      </c>
      <c r="N129" s="55" t="s">
        <v>354</v>
      </c>
      <c r="O129" s="55" t="s">
        <v>191</v>
      </c>
      <c r="P129" s="55" t="s">
        <v>86</v>
      </c>
    </row>
    <row r="130" spans="1:17" ht="12.75" customHeight="1">
      <c r="A130" s="181" t="s">
        <v>57</v>
      </c>
      <c r="B130" s="179"/>
      <c r="C130" s="175"/>
      <c r="D130" s="46"/>
      <c r="E130" s="46"/>
      <c r="F130" s="46"/>
      <c r="G130" s="46"/>
      <c r="H130" s="46"/>
      <c r="I130" s="46"/>
      <c r="J130" s="46"/>
      <c r="K130" s="46"/>
      <c r="L130" s="46"/>
      <c r="M130" s="46"/>
      <c r="N130" s="57"/>
      <c r="O130" s="99"/>
      <c r="P130" s="99"/>
    </row>
    <row r="131" spans="1:17" ht="12.75" customHeight="1">
      <c r="A131" s="50" t="s">
        <v>260</v>
      </c>
      <c r="B131" s="100">
        <v>6</v>
      </c>
      <c r="C131" s="100">
        <v>2</v>
      </c>
      <c r="D131" s="78">
        <v>6</v>
      </c>
      <c r="E131" s="78">
        <v>104</v>
      </c>
      <c r="F131" s="78">
        <v>136</v>
      </c>
      <c r="G131" s="78">
        <v>78</v>
      </c>
      <c r="H131" s="78">
        <v>22</v>
      </c>
      <c r="I131" s="78">
        <v>72</v>
      </c>
      <c r="J131" s="78">
        <v>133</v>
      </c>
      <c r="K131" s="78">
        <v>163</v>
      </c>
      <c r="L131" s="78">
        <v>64</v>
      </c>
      <c r="M131" s="78">
        <v>41</v>
      </c>
      <c r="N131" s="52">
        <f>SUM(B131:M131)</f>
        <v>827</v>
      </c>
      <c r="O131" s="103"/>
      <c r="P131" s="92"/>
    </row>
    <row r="132" spans="1:17" ht="12.75" customHeight="1">
      <c r="A132" s="50" t="s">
        <v>202</v>
      </c>
      <c r="B132" s="78">
        <v>12</v>
      </c>
      <c r="C132" s="78">
        <v>6</v>
      </c>
      <c r="D132" s="78">
        <v>8</v>
      </c>
      <c r="E132" s="78">
        <v>411</v>
      </c>
      <c r="F132" s="78">
        <v>547</v>
      </c>
      <c r="G132" s="78">
        <v>286</v>
      </c>
      <c r="H132" s="78">
        <v>114</v>
      </c>
      <c r="I132" s="78">
        <v>236</v>
      </c>
      <c r="J132" s="78">
        <v>545</v>
      </c>
      <c r="K132" s="78">
        <v>802</v>
      </c>
      <c r="L132" s="78">
        <v>334</v>
      </c>
      <c r="M132" s="78">
        <v>248</v>
      </c>
      <c r="N132" s="52">
        <f>SUM(B132:M132)</f>
        <v>3549</v>
      </c>
      <c r="O132" s="103">
        <v>0</v>
      </c>
      <c r="P132" s="92" t="s">
        <v>13</v>
      </c>
    </row>
    <row r="133" spans="1:17" ht="12.75" customHeight="1">
      <c r="A133" s="2"/>
      <c r="B133" s="69"/>
      <c r="C133" s="69"/>
      <c r="D133" s="69"/>
      <c r="E133" s="69"/>
      <c r="F133" s="69"/>
      <c r="G133" s="69"/>
      <c r="H133" s="69"/>
      <c r="I133" s="69"/>
      <c r="J133" s="69"/>
      <c r="K133" s="69"/>
      <c r="L133" s="69"/>
      <c r="M133" s="69"/>
      <c r="N133" s="88"/>
      <c r="O133" s="92"/>
      <c r="P133" s="92"/>
    </row>
    <row r="134" spans="1:17" ht="12.75" customHeight="1">
      <c r="A134" s="5"/>
      <c r="B134" s="89"/>
      <c r="C134" s="89"/>
      <c r="D134" s="89"/>
      <c r="E134" s="89"/>
      <c r="F134" s="89"/>
      <c r="G134" s="89"/>
      <c r="H134" s="89"/>
      <c r="I134" s="89"/>
      <c r="J134" s="89"/>
      <c r="K134" s="89"/>
      <c r="L134" s="89"/>
      <c r="M134" s="89"/>
      <c r="N134" s="90"/>
      <c r="O134" s="98"/>
      <c r="P134" s="98"/>
    </row>
    <row r="135" spans="1:17" ht="25.5">
      <c r="A135" s="45"/>
      <c r="B135" s="46">
        <v>39630</v>
      </c>
      <c r="C135" s="46">
        <v>39661</v>
      </c>
      <c r="D135" s="46">
        <v>39692</v>
      </c>
      <c r="E135" s="46">
        <v>39722</v>
      </c>
      <c r="F135" s="46">
        <v>39753</v>
      </c>
      <c r="G135" s="46">
        <v>39783</v>
      </c>
      <c r="H135" s="46">
        <v>39814</v>
      </c>
      <c r="I135" s="46">
        <v>39845</v>
      </c>
      <c r="J135" s="46">
        <v>39873</v>
      </c>
      <c r="K135" s="46">
        <v>39904</v>
      </c>
      <c r="L135" s="46">
        <v>39934</v>
      </c>
      <c r="M135" s="46">
        <v>39965</v>
      </c>
      <c r="N135" s="55" t="s">
        <v>354</v>
      </c>
      <c r="O135" s="55" t="s">
        <v>191</v>
      </c>
      <c r="P135" s="55" t="s">
        <v>86</v>
      </c>
      <c r="Q135" s="2"/>
    </row>
    <row r="136" spans="1:17" ht="12.75" customHeight="1">
      <c r="A136" s="174" t="s">
        <v>167</v>
      </c>
      <c r="B136" s="175"/>
      <c r="C136" s="46"/>
      <c r="D136" s="46"/>
      <c r="E136" s="46"/>
      <c r="F136" s="46"/>
      <c r="G136" s="46"/>
      <c r="H136" s="46"/>
      <c r="I136" s="46"/>
      <c r="J136" s="46"/>
      <c r="K136" s="46"/>
      <c r="L136" s="46"/>
      <c r="M136" s="46"/>
      <c r="N136" s="57"/>
      <c r="O136" s="99"/>
      <c r="P136" s="99"/>
    </row>
    <row r="137" spans="1:17" ht="12.75" customHeight="1">
      <c r="A137" s="50" t="s">
        <v>260</v>
      </c>
      <c r="B137" s="100">
        <v>26</v>
      </c>
      <c r="C137" s="78">
        <v>14</v>
      </c>
      <c r="D137" s="78">
        <v>84</v>
      </c>
      <c r="E137" s="78">
        <v>174</v>
      </c>
      <c r="F137" s="78">
        <v>173</v>
      </c>
      <c r="G137" s="78">
        <v>97</v>
      </c>
      <c r="H137" s="78">
        <v>42</v>
      </c>
      <c r="I137" s="78">
        <v>104</v>
      </c>
      <c r="J137" s="78">
        <v>182</v>
      </c>
      <c r="K137" s="78">
        <v>211</v>
      </c>
      <c r="L137" s="78">
        <v>59</v>
      </c>
      <c r="M137" s="78">
        <v>65</v>
      </c>
      <c r="N137" s="52">
        <f>SUM(B137:M137)</f>
        <v>1231</v>
      </c>
      <c r="O137" s="103"/>
      <c r="P137" s="92"/>
    </row>
    <row r="138" spans="1:17" ht="12.75" customHeight="1">
      <c r="A138" s="50" t="s">
        <v>202</v>
      </c>
      <c r="B138" s="78">
        <v>50</v>
      </c>
      <c r="C138" s="78">
        <v>26</v>
      </c>
      <c r="D138" s="78">
        <v>256</v>
      </c>
      <c r="E138" s="78">
        <v>544</v>
      </c>
      <c r="F138" s="78">
        <v>541</v>
      </c>
      <c r="G138" s="78">
        <v>261</v>
      </c>
      <c r="H138" s="78">
        <v>166</v>
      </c>
      <c r="I138" s="78">
        <v>310</v>
      </c>
      <c r="J138" s="78">
        <v>634</v>
      </c>
      <c r="K138" s="78">
        <v>821</v>
      </c>
      <c r="L138" s="78">
        <v>327</v>
      </c>
      <c r="M138" s="78">
        <v>243</v>
      </c>
      <c r="N138" s="52">
        <f>SUM(B138:M138)</f>
        <v>4179</v>
      </c>
      <c r="O138" s="103">
        <v>0</v>
      </c>
      <c r="P138" s="92" t="s">
        <v>13</v>
      </c>
    </row>
    <row r="139" spans="1:17" ht="12.75" customHeight="1">
      <c r="A139" s="2"/>
      <c r="B139" s="69"/>
      <c r="C139" s="69"/>
      <c r="D139" s="69"/>
      <c r="E139" s="69"/>
      <c r="F139" s="69"/>
      <c r="G139" s="69"/>
      <c r="H139" s="69"/>
      <c r="I139" s="69"/>
      <c r="J139" s="69"/>
      <c r="K139" s="69"/>
      <c r="L139" s="69"/>
      <c r="M139" s="69"/>
      <c r="N139" s="88"/>
      <c r="O139" s="92"/>
      <c r="P139" s="92"/>
    </row>
    <row r="140" spans="1:17" ht="12.75" customHeight="1">
      <c r="A140" s="5"/>
      <c r="B140" s="89"/>
      <c r="C140" s="89"/>
      <c r="D140" s="89"/>
      <c r="E140" s="89"/>
      <c r="F140" s="89"/>
      <c r="G140" s="89"/>
      <c r="H140" s="89"/>
      <c r="I140" s="89"/>
      <c r="J140" s="89"/>
      <c r="K140" s="89"/>
      <c r="L140" s="89"/>
      <c r="M140" s="89"/>
      <c r="N140" s="90"/>
      <c r="O140" s="98"/>
      <c r="P140" s="98"/>
    </row>
    <row r="141" spans="1:17" ht="25.5">
      <c r="A141" s="45"/>
      <c r="B141" s="46">
        <v>39630</v>
      </c>
      <c r="C141" s="46">
        <v>39661</v>
      </c>
      <c r="D141" s="46">
        <v>39692</v>
      </c>
      <c r="E141" s="46">
        <v>39722</v>
      </c>
      <c r="F141" s="46">
        <v>39753</v>
      </c>
      <c r="G141" s="46">
        <v>39783</v>
      </c>
      <c r="H141" s="46">
        <v>39814</v>
      </c>
      <c r="I141" s="46">
        <v>39845</v>
      </c>
      <c r="J141" s="46">
        <v>39873</v>
      </c>
      <c r="K141" s="46">
        <v>39904</v>
      </c>
      <c r="L141" s="46">
        <v>39934</v>
      </c>
      <c r="M141" s="46">
        <v>39965</v>
      </c>
      <c r="N141" s="55" t="s">
        <v>354</v>
      </c>
      <c r="O141" s="55" t="s">
        <v>191</v>
      </c>
      <c r="P141" s="55" t="s">
        <v>86</v>
      </c>
    </row>
    <row r="142" spans="1:17" ht="12.75" customHeight="1">
      <c r="A142" s="48" t="s">
        <v>365</v>
      </c>
      <c r="B142" s="46"/>
      <c r="C142" s="46"/>
      <c r="D142" s="46"/>
      <c r="E142" s="46"/>
      <c r="F142" s="46"/>
      <c r="G142" s="46"/>
      <c r="H142" s="46"/>
      <c r="I142" s="46"/>
      <c r="J142" s="46"/>
      <c r="K142" s="46"/>
      <c r="L142" s="46"/>
      <c r="M142" s="46"/>
      <c r="N142" s="57"/>
      <c r="O142" s="99"/>
      <c r="P142" s="99"/>
    </row>
    <row r="143" spans="1:17" ht="12.75" customHeight="1">
      <c r="A143" s="50" t="s">
        <v>260</v>
      </c>
      <c r="B143" s="78">
        <v>18</v>
      </c>
      <c r="C143" s="78">
        <v>4</v>
      </c>
      <c r="D143" s="78">
        <v>69</v>
      </c>
      <c r="E143" s="78">
        <v>130</v>
      </c>
      <c r="F143" s="78">
        <v>143</v>
      </c>
      <c r="G143" s="78">
        <v>68</v>
      </c>
      <c r="H143" s="78">
        <v>24</v>
      </c>
      <c r="I143" s="78">
        <v>75</v>
      </c>
      <c r="J143" s="78">
        <v>130</v>
      </c>
      <c r="K143" s="78">
        <v>145</v>
      </c>
      <c r="L143" s="78">
        <v>34</v>
      </c>
      <c r="M143" s="78">
        <v>37</v>
      </c>
      <c r="N143" s="52">
        <f>SUM(B143:M143)</f>
        <v>877</v>
      </c>
      <c r="O143" s="103"/>
      <c r="P143" s="92"/>
    </row>
    <row r="144" spans="1:17" ht="12.75" customHeight="1">
      <c r="A144" s="50" t="s">
        <v>202</v>
      </c>
      <c r="B144" s="78">
        <v>78</v>
      </c>
      <c r="C144" s="78">
        <v>11</v>
      </c>
      <c r="D144" s="78">
        <v>274</v>
      </c>
      <c r="E144" s="78">
        <v>512</v>
      </c>
      <c r="F144" s="78">
        <v>579</v>
      </c>
      <c r="G144" s="78">
        <v>242</v>
      </c>
      <c r="H144" s="78">
        <v>128</v>
      </c>
      <c r="I144" s="78">
        <v>293</v>
      </c>
      <c r="J144" s="78">
        <v>615</v>
      </c>
      <c r="K144" s="78">
        <v>809</v>
      </c>
      <c r="L144" s="78">
        <v>285</v>
      </c>
      <c r="M144" s="78">
        <v>224</v>
      </c>
      <c r="N144" s="52">
        <f>SUM(B144:M144)</f>
        <v>4050</v>
      </c>
      <c r="O144" s="103">
        <v>2200</v>
      </c>
      <c r="P144" s="92" t="s">
        <v>13</v>
      </c>
    </row>
    <row r="145" spans="1:17" ht="12.75" customHeight="1">
      <c r="A145" s="2"/>
      <c r="B145" s="69"/>
      <c r="C145" s="69"/>
      <c r="D145" s="69"/>
      <c r="E145" s="69"/>
      <c r="F145" s="69"/>
      <c r="G145" s="69"/>
      <c r="H145" s="69"/>
      <c r="I145" s="69"/>
      <c r="J145" s="69"/>
      <c r="K145" s="69"/>
      <c r="L145" s="69"/>
      <c r="M145" s="69"/>
      <c r="N145" s="88"/>
      <c r="O145" s="92"/>
      <c r="P145" s="92"/>
    </row>
    <row r="146" spans="1:17" ht="12.75" customHeight="1">
      <c r="A146" s="5"/>
      <c r="B146" s="89"/>
      <c r="C146" s="89"/>
      <c r="D146" s="89"/>
      <c r="E146" s="89"/>
      <c r="F146" s="89"/>
      <c r="G146" s="89"/>
      <c r="H146" s="89"/>
      <c r="I146" s="89"/>
      <c r="J146" s="89"/>
      <c r="K146" s="89"/>
      <c r="L146" s="89"/>
      <c r="M146" s="89"/>
      <c r="N146" s="90"/>
      <c r="O146" s="98"/>
      <c r="P146" s="98"/>
    </row>
    <row r="147" spans="1:17" ht="25.5">
      <c r="A147" s="45"/>
      <c r="B147" s="46">
        <v>39630</v>
      </c>
      <c r="C147" s="46">
        <v>39661</v>
      </c>
      <c r="D147" s="46">
        <v>39692</v>
      </c>
      <c r="E147" s="46">
        <v>39722</v>
      </c>
      <c r="F147" s="46">
        <v>39753</v>
      </c>
      <c r="G147" s="46">
        <v>39783</v>
      </c>
      <c r="H147" s="46">
        <v>39814</v>
      </c>
      <c r="I147" s="46">
        <v>39845</v>
      </c>
      <c r="J147" s="46">
        <v>39873</v>
      </c>
      <c r="K147" s="46">
        <v>39904</v>
      </c>
      <c r="L147" s="46">
        <v>39934</v>
      </c>
      <c r="M147" s="46">
        <v>39965</v>
      </c>
      <c r="N147" s="55" t="s">
        <v>354</v>
      </c>
      <c r="O147" s="55" t="s">
        <v>191</v>
      </c>
      <c r="P147" s="55" t="s">
        <v>86</v>
      </c>
      <c r="Q147" s="2"/>
    </row>
    <row r="148" spans="1:17" ht="12.75" customHeight="1">
      <c r="A148" s="48" t="s">
        <v>332</v>
      </c>
      <c r="B148" s="46"/>
      <c r="C148" s="46"/>
      <c r="D148" s="46"/>
      <c r="E148" s="46"/>
      <c r="F148" s="46"/>
      <c r="G148" s="46"/>
      <c r="H148" s="46"/>
      <c r="I148" s="46"/>
      <c r="J148" s="46"/>
      <c r="K148" s="46"/>
      <c r="L148" s="46"/>
      <c r="M148" s="46"/>
      <c r="N148" s="57"/>
      <c r="O148" s="99"/>
      <c r="P148" s="99"/>
    </row>
    <row r="149" spans="1:17" ht="12.75" customHeight="1">
      <c r="A149" s="50" t="s">
        <v>260</v>
      </c>
      <c r="B149" s="78" t="s">
        <v>229</v>
      </c>
      <c r="C149" s="78" t="s">
        <v>229</v>
      </c>
      <c r="D149" s="78" t="s">
        <v>229</v>
      </c>
      <c r="E149" s="78" t="s">
        <v>229</v>
      </c>
      <c r="F149" s="78" t="s">
        <v>229</v>
      </c>
      <c r="G149" s="78" t="s">
        <v>229</v>
      </c>
      <c r="H149" s="78" t="s">
        <v>229</v>
      </c>
      <c r="I149" s="78" t="s">
        <v>229</v>
      </c>
      <c r="J149" s="78" t="s">
        <v>229</v>
      </c>
      <c r="K149" s="78" t="s">
        <v>229</v>
      </c>
      <c r="L149" s="78" t="s">
        <v>229</v>
      </c>
      <c r="M149" s="78" t="s">
        <v>229</v>
      </c>
      <c r="N149" s="52">
        <f>SUM(B149:M149)</f>
        <v>0</v>
      </c>
      <c r="O149" s="103"/>
      <c r="P149" s="92"/>
    </row>
    <row r="150" spans="1:17" ht="12.75" customHeight="1">
      <c r="A150" s="50" t="s">
        <v>202</v>
      </c>
      <c r="B150" s="78" t="s">
        <v>229</v>
      </c>
      <c r="C150" s="78" t="s">
        <v>229</v>
      </c>
      <c r="D150" s="78" t="s">
        <v>229</v>
      </c>
      <c r="E150" s="78" t="s">
        <v>229</v>
      </c>
      <c r="F150" s="78" t="s">
        <v>229</v>
      </c>
      <c r="G150" s="78" t="s">
        <v>229</v>
      </c>
      <c r="H150" s="78" t="s">
        <v>229</v>
      </c>
      <c r="I150" s="78" t="s">
        <v>229</v>
      </c>
      <c r="J150" s="78" t="s">
        <v>229</v>
      </c>
      <c r="K150" s="78" t="s">
        <v>229</v>
      </c>
      <c r="L150" s="78" t="s">
        <v>229</v>
      </c>
      <c r="M150" s="78" t="s">
        <v>229</v>
      </c>
      <c r="N150" s="52">
        <f>SUM(B150:M150)</f>
        <v>0</v>
      </c>
      <c r="O150" s="103">
        <v>0</v>
      </c>
      <c r="P150" s="92" t="s">
        <v>13</v>
      </c>
    </row>
    <row r="151" spans="1:17" ht="12.75" customHeight="1">
      <c r="A151" s="2"/>
      <c r="B151" s="69"/>
      <c r="C151" s="69"/>
      <c r="D151" s="69"/>
      <c r="E151" s="69"/>
      <c r="F151" s="69"/>
      <c r="G151" s="69"/>
      <c r="H151" s="69"/>
      <c r="I151" s="69"/>
      <c r="J151" s="69"/>
      <c r="K151" s="69"/>
      <c r="L151" s="69"/>
      <c r="M151" s="69"/>
      <c r="N151" s="88"/>
      <c r="O151" s="92"/>
      <c r="P151" s="92"/>
    </row>
    <row r="152" spans="1:17" ht="12.75" customHeight="1">
      <c r="A152" s="5"/>
      <c r="B152" s="89"/>
      <c r="C152" s="89"/>
      <c r="D152" s="89"/>
      <c r="E152" s="89"/>
      <c r="F152" s="89"/>
      <c r="G152" s="89"/>
      <c r="H152" s="89"/>
      <c r="I152" s="89"/>
      <c r="J152" s="89"/>
      <c r="K152" s="89"/>
      <c r="L152" s="89"/>
      <c r="M152" s="89"/>
      <c r="N152" s="90"/>
      <c r="O152" s="98"/>
      <c r="P152" s="98"/>
    </row>
    <row r="153" spans="1:17" ht="25.5">
      <c r="A153" s="45"/>
      <c r="B153" s="46">
        <v>39630</v>
      </c>
      <c r="C153" s="46">
        <v>39661</v>
      </c>
      <c r="D153" s="46">
        <v>39692</v>
      </c>
      <c r="E153" s="46">
        <v>39722</v>
      </c>
      <c r="F153" s="46">
        <v>39753</v>
      </c>
      <c r="G153" s="46">
        <v>39783</v>
      </c>
      <c r="H153" s="46">
        <v>39814</v>
      </c>
      <c r="I153" s="46">
        <v>39845</v>
      </c>
      <c r="J153" s="46">
        <v>39873</v>
      </c>
      <c r="K153" s="46">
        <v>39904</v>
      </c>
      <c r="L153" s="46">
        <v>39934</v>
      </c>
      <c r="M153" s="46">
        <v>39965</v>
      </c>
      <c r="N153" s="55" t="s">
        <v>354</v>
      </c>
      <c r="O153" s="55" t="s">
        <v>191</v>
      </c>
      <c r="P153" s="55" t="s">
        <v>86</v>
      </c>
      <c r="Q153" s="2"/>
    </row>
    <row r="154" spans="1:17" ht="12.75" customHeight="1">
      <c r="A154" s="48" t="s">
        <v>377</v>
      </c>
      <c r="B154" s="46"/>
      <c r="C154" s="46"/>
      <c r="D154" s="46"/>
      <c r="E154" s="46"/>
      <c r="F154" s="46"/>
      <c r="G154" s="46"/>
      <c r="H154" s="46"/>
      <c r="I154" s="46"/>
      <c r="J154" s="46"/>
      <c r="K154" s="46"/>
      <c r="L154" s="46"/>
      <c r="M154" s="46"/>
      <c r="N154" s="57"/>
      <c r="O154" s="99"/>
      <c r="P154" s="99"/>
    </row>
    <row r="155" spans="1:17" ht="12.75" customHeight="1">
      <c r="A155" s="50" t="s">
        <v>260</v>
      </c>
      <c r="B155" s="78">
        <v>31</v>
      </c>
      <c r="C155" s="78">
        <v>7</v>
      </c>
      <c r="D155" s="78">
        <v>71</v>
      </c>
      <c r="E155" s="78">
        <v>143</v>
      </c>
      <c r="F155" s="78">
        <v>164</v>
      </c>
      <c r="G155" s="78">
        <v>100</v>
      </c>
      <c r="H155" s="78">
        <v>33</v>
      </c>
      <c r="I155" s="78">
        <v>107</v>
      </c>
      <c r="J155" s="78">
        <v>165</v>
      </c>
      <c r="K155" s="78">
        <v>181</v>
      </c>
      <c r="L155" s="78">
        <v>55</v>
      </c>
      <c r="M155" s="78">
        <v>43</v>
      </c>
      <c r="N155" s="52">
        <f>SUM(B155:M155)</f>
        <v>1100</v>
      </c>
      <c r="O155" s="10"/>
      <c r="P155" s="92"/>
    </row>
    <row r="156" spans="1:17" ht="12.75" customHeight="1">
      <c r="A156" s="50" t="s">
        <v>202</v>
      </c>
      <c r="B156" s="78">
        <v>140</v>
      </c>
      <c r="C156" s="78">
        <v>30</v>
      </c>
      <c r="D156" s="78">
        <v>391</v>
      </c>
      <c r="E156" s="78">
        <v>578</v>
      </c>
      <c r="F156" s="78">
        <v>671</v>
      </c>
      <c r="G156" s="78">
        <v>379</v>
      </c>
      <c r="H156" s="78">
        <v>166</v>
      </c>
      <c r="I156" s="78">
        <v>373</v>
      </c>
      <c r="J156" s="78">
        <v>753</v>
      </c>
      <c r="K156" s="78">
        <v>966</v>
      </c>
      <c r="L156" s="78">
        <v>373</v>
      </c>
      <c r="M156" s="78">
        <v>263</v>
      </c>
      <c r="N156" s="52">
        <f>SUM(B156:M156)</f>
        <v>5083</v>
      </c>
      <c r="O156" s="103">
        <v>0</v>
      </c>
      <c r="P156" s="92" t="s">
        <v>13</v>
      </c>
    </row>
    <row r="157" spans="1:17" ht="12.75" customHeight="1">
      <c r="A157" s="2"/>
      <c r="B157" s="69"/>
      <c r="C157" s="69"/>
      <c r="D157" s="69"/>
      <c r="E157" s="69"/>
      <c r="F157" s="69"/>
      <c r="G157" s="69"/>
      <c r="H157" s="69"/>
      <c r="I157" s="69"/>
      <c r="J157" s="69"/>
      <c r="K157" s="69"/>
      <c r="L157" s="69"/>
      <c r="M157" s="69"/>
      <c r="N157" s="88"/>
      <c r="O157" s="92"/>
      <c r="P157" s="92"/>
    </row>
    <row r="158" spans="1:17" ht="12.75" customHeight="1">
      <c r="A158" s="5"/>
      <c r="B158" s="89"/>
      <c r="C158" s="89"/>
      <c r="D158" s="89"/>
      <c r="E158" s="89"/>
      <c r="F158" s="89"/>
      <c r="G158" s="89"/>
      <c r="H158" s="89"/>
      <c r="I158" s="89"/>
      <c r="J158" s="89"/>
      <c r="K158" s="89"/>
      <c r="L158" s="89"/>
      <c r="M158" s="89"/>
      <c r="N158" s="90"/>
      <c r="O158" s="98"/>
      <c r="P158" s="98"/>
    </row>
    <row r="159" spans="1:17" ht="25.5">
      <c r="A159" s="45"/>
      <c r="B159" s="46">
        <v>39630</v>
      </c>
      <c r="C159" s="46">
        <v>39661</v>
      </c>
      <c r="D159" s="46">
        <v>39692</v>
      </c>
      <c r="E159" s="46">
        <v>39722</v>
      </c>
      <c r="F159" s="46">
        <v>39753</v>
      </c>
      <c r="G159" s="46">
        <v>39783</v>
      </c>
      <c r="H159" s="46">
        <v>39814</v>
      </c>
      <c r="I159" s="46">
        <v>39845</v>
      </c>
      <c r="J159" s="46">
        <v>39873</v>
      </c>
      <c r="K159" s="46">
        <v>39904</v>
      </c>
      <c r="L159" s="46">
        <v>39934</v>
      </c>
      <c r="M159" s="46">
        <v>39965</v>
      </c>
      <c r="N159" s="55" t="s">
        <v>354</v>
      </c>
      <c r="O159" s="55" t="s">
        <v>191</v>
      </c>
      <c r="P159" s="55" t="s">
        <v>86</v>
      </c>
    </row>
    <row r="160" spans="1:17" ht="12.75" customHeight="1">
      <c r="A160" s="48" t="s">
        <v>294</v>
      </c>
      <c r="B160" s="46"/>
      <c r="C160" s="46"/>
      <c r="D160" s="46"/>
      <c r="E160" s="46"/>
      <c r="F160" s="46"/>
      <c r="G160" s="46"/>
      <c r="H160" s="46"/>
      <c r="I160" s="46"/>
      <c r="J160" s="46"/>
      <c r="K160" s="46"/>
      <c r="L160" s="46"/>
      <c r="M160" s="46"/>
      <c r="N160" s="57"/>
      <c r="O160" s="99"/>
      <c r="P160" s="99"/>
    </row>
    <row r="161" spans="1:16" ht="12.75" customHeight="1">
      <c r="A161" s="50" t="s">
        <v>260</v>
      </c>
      <c r="B161" s="78">
        <v>386</v>
      </c>
      <c r="C161" s="78">
        <v>184</v>
      </c>
      <c r="D161" s="78">
        <v>879</v>
      </c>
      <c r="E161" s="78">
        <v>1599</v>
      </c>
      <c r="F161" s="78">
        <v>1969</v>
      </c>
      <c r="G161" s="78">
        <v>1485</v>
      </c>
      <c r="H161" s="78">
        <v>384</v>
      </c>
      <c r="I161" s="78">
        <v>1131</v>
      </c>
      <c r="J161" s="78">
        <v>1637</v>
      </c>
      <c r="K161" s="78">
        <v>2268</v>
      </c>
      <c r="L161" s="78">
        <v>569</v>
      </c>
      <c r="M161" s="78">
        <v>399</v>
      </c>
      <c r="N161" s="52">
        <f>SUM(B161:M161)</f>
        <v>12890</v>
      </c>
      <c r="O161" s="103"/>
      <c r="P161" s="92"/>
    </row>
    <row r="162" spans="1:16" ht="12.75" customHeight="1">
      <c r="A162" s="50" t="s">
        <v>202</v>
      </c>
      <c r="B162" s="78">
        <v>720</v>
      </c>
      <c r="C162" s="78">
        <v>219</v>
      </c>
      <c r="D162" s="78">
        <v>2220</v>
      </c>
      <c r="E162" s="78">
        <v>3689</v>
      </c>
      <c r="F162" s="78">
        <v>5503</v>
      </c>
      <c r="G162" s="78">
        <v>3267</v>
      </c>
      <c r="H162" s="78">
        <v>729</v>
      </c>
      <c r="I162" s="78">
        <v>2663</v>
      </c>
      <c r="J162" s="78">
        <v>4698</v>
      </c>
      <c r="K162" s="78">
        <v>6455</v>
      </c>
      <c r="L162" s="78">
        <v>1828</v>
      </c>
      <c r="M162" s="78">
        <v>983</v>
      </c>
      <c r="N162" s="52">
        <f>SUM(B162:M162)</f>
        <v>32974</v>
      </c>
      <c r="O162" s="103">
        <v>17105</v>
      </c>
      <c r="P162" s="92" t="s">
        <v>13</v>
      </c>
    </row>
    <row r="163" spans="1:16" ht="12.75" customHeight="1">
      <c r="A163" s="2"/>
      <c r="B163" s="69"/>
      <c r="C163" s="69"/>
      <c r="D163" s="69"/>
      <c r="E163" s="69"/>
      <c r="F163" s="69"/>
      <c r="G163" s="69"/>
      <c r="H163" s="69"/>
      <c r="I163" s="69"/>
      <c r="J163" s="69"/>
      <c r="K163" s="69"/>
      <c r="L163" s="69"/>
      <c r="M163" s="69"/>
      <c r="N163" s="88"/>
      <c r="O163" s="92"/>
      <c r="P163" s="92"/>
    </row>
    <row r="164" spans="1:16" ht="12.75" customHeight="1">
      <c r="A164" s="5"/>
      <c r="B164" s="89"/>
      <c r="C164" s="89"/>
      <c r="D164" s="89"/>
      <c r="E164" s="89"/>
      <c r="F164" s="89"/>
      <c r="G164" s="89"/>
      <c r="H164" s="89"/>
      <c r="I164" s="89"/>
      <c r="J164" s="89"/>
      <c r="K164" s="89"/>
      <c r="L164" s="89"/>
      <c r="M164" s="89"/>
      <c r="N164" s="90"/>
      <c r="O164" s="98"/>
      <c r="P164" s="98"/>
    </row>
    <row r="165" spans="1:16" ht="25.5">
      <c r="A165" s="45"/>
      <c r="B165" s="46">
        <v>39630</v>
      </c>
      <c r="C165" s="46">
        <v>39661</v>
      </c>
      <c r="D165" s="46">
        <v>39692</v>
      </c>
      <c r="E165" s="46">
        <v>39722</v>
      </c>
      <c r="F165" s="46">
        <v>39753</v>
      </c>
      <c r="G165" s="46">
        <v>39783</v>
      </c>
      <c r="H165" s="46">
        <v>39814</v>
      </c>
      <c r="I165" s="46">
        <v>39845</v>
      </c>
      <c r="J165" s="46">
        <v>39873</v>
      </c>
      <c r="K165" s="46">
        <v>39904</v>
      </c>
      <c r="L165" s="46">
        <v>39934</v>
      </c>
      <c r="M165" s="46">
        <v>39965</v>
      </c>
      <c r="N165" s="55" t="s">
        <v>354</v>
      </c>
      <c r="O165" s="55" t="s">
        <v>191</v>
      </c>
      <c r="P165" s="55" t="s">
        <v>86</v>
      </c>
    </row>
    <row r="166" spans="1:16" ht="12.75" customHeight="1">
      <c r="A166" s="181" t="s">
        <v>357</v>
      </c>
      <c r="B166" s="179"/>
      <c r="C166" s="175"/>
      <c r="D166" s="46"/>
      <c r="E166" s="46"/>
      <c r="F166" s="46"/>
      <c r="G166" s="46"/>
      <c r="H166" s="46"/>
      <c r="I166" s="46"/>
      <c r="J166" s="46"/>
      <c r="K166" s="46"/>
      <c r="L166" s="46"/>
      <c r="M166" s="46"/>
      <c r="N166" s="57"/>
      <c r="O166" s="99"/>
      <c r="P166" s="99"/>
    </row>
    <row r="167" spans="1:16" ht="12.75" customHeight="1">
      <c r="A167" s="50" t="s">
        <v>260</v>
      </c>
      <c r="B167" s="100">
        <v>6</v>
      </c>
      <c r="C167" s="100">
        <v>5</v>
      </c>
      <c r="D167" s="78">
        <v>41</v>
      </c>
      <c r="E167" s="78">
        <v>90</v>
      </c>
      <c r="F167" s="78">
        <v>121</v>
      </c>
      <c r="G167" s="78">
        <v>63</v>
      </c>
      <c r="H167" s="78">
        <v>21</v>
      </c>
      <c r="I167" s="78">
        <v>59</v>
      </c>
      <c r="J167" s="78">
        <v>113</v>
      </c>
      <c r="K167" s="78">
        <v>152</v>
      </c>
      <c r="L167" s="78">
        <v>46</v>
      </c>
      <c r="M167" s="78">
        <v>42</v>
      </c>
      <c r="N167" s="52">
        <f>SUM(B167:M167)</f>
        <v>759</v>
      </c>
      <c r="O167" s="103"/>
      <c r="P167" s="92"/>
    </row>
    <row r="168" spans="1:16" ht="12.75" customHeight="1">
      <c r="A168" s="50" t="s">
        <v>202</v>
      </c>
      <c r="B168" s="78">
        <v>39</v>
      </c>
      <c r="C168" s="78">
        <v>17</v>
      </c>
      <c r="D168" s="78">
        <v>212</v>
      </c>
      <c r="E168" s="78">
        <v>405</v>
      </c>
      <c r="F168" s="78">
        <v>515</v>
      </c>
      <c r="G168" s="78">
        <v>245</v>
      </c>
      <c r="H168" s="78">
        <v>111</v>
      </c>
      <c r="I168" s="78">
        <v>270</v>
      </c>
      <c r="J168" s="78">
        <v>518</v>
      </c>
      <c r="K168" s="78">
        <v>779</v>
      </c>
      <c r="L168" s="78">
        <v>317</v>
      </c>
      <c r="M168" s="78">
        <v>265</v>
      </c>
      <c r="N168" s="52">
        <f>SUM(B168:M168)</f>
        <v>3693</v>
      </c>
      <c r="O168" s="103">
        <v>0</v>
      </c>
      <c r="P168" s="92" t="s">
        <v>13</v>
      </c>
    </row>
    <row r="169" spans="1:16" ht="12.75" customHeight="1">
      <c r="A169" s="2"/>
      <c r="B169" s="69"/>
      <c r="C169" s="69"/>
      <c r="D169" s="69"/>
      <c r="E169" s="69"/>
      <c r="F169" s="69"/>
      <c r="G169" s="69"/>
      <c r="H169" s="69"/>
      <c r="I169" s="69"/>
      <c r="J169" s="69"/>
      <c r="K169" s="69"/>
      <c r="L169" s="69"/>
      <c r="M169" s="69"/>
      <c r="N169" s="88"/>
      <c r="O169" s="92"/>
      <c r="P169" s="92"/>
    </row>
    <row r="170" spans="1:16" ht="12.75" customHeight="1">
      <c r="A170" s="5"/>
      <c r="B170" s="89"/>
      <c r="C170" s="89"/>
      <c r="D170" s="89"/>
      <c r="E170" s="89"/>
      <c r="F170" s="89"/>
      <c r="G170" s="89"/>
      <c r="H170" s="89"/>
      <c r="I170" s="89"/>
      <c r="J170" s="89"/>
      <c r="K170" s="89"/>
      <c r="L170" s="89"/>
      <c r="M170" s="89"/>
      <c r="N170" s="90"/>
      <c r="O170" s="98"/>
      <c r="P170" s="98"/>
    </row>
    <row r="171" spans="1:16" ht="25.5">
      <c r="A171" s="45"/>
      <c r="B171" s="46">
        <v>39630</v>
      </c>
      <c r="C171" s="46">
        <v>39661</v>
      </c>
      <c r="D171" s="46">
        <v>39692</v>
      </c>
      <c r="E171" s="46">
        <v>39722</v>
      </c>
      <c r="F171" s="46">
        <v>39753</v>
      </c>
      <c r="G171" s="46">
        <v>39783</v>
      </c>
      <c r="H171" s="46">
        <v>39814</v>
      </c>
      <c r="I171" s="46">
        <v>39845</v>
      </c>
      <c r="J171" s="46">
        <v>39873</v>
      </c>
      <c r="K171" s="46">
        <v>39904</v>
      </c>
      <c r="L171" s="46">
        <v>39934</v>
      </c>
      <c r="M171" s="46">
        <v>39965</v>
      </c>
      <c r="N171" s="55" t="s">
        <v>354</v>
      </c>
      <c r="O171" s="55" t="s">
        <v>191</v>
      </c>
      <c r="P171" s="55" t="s">
        <v>86</v>
      </c>
    </row>
    <row r="172" spans="1:16" ht="12.75" customHeight="1">
      <c r="A172" s="48" t="s">
        <v>39</v>
      </c>
      <c r="B172" s="46"/>
      <c r="C172" s="46"/>
      <c r="D172" s="46"/>
      <c r="E172" s="46"/>
      <c r="F172" s="46"/>
      <c r="G172" s="46"/>
      <c r="H172" s="46"/>
      <c r="I172" s="46"/>
      <c r="J172" s="46"/>
      <c r="K172" s="46"/>
      <c r="L172" s="46"/>
      <c r="M172" s="46"/>
      <c r="N172" s="57"/>
      <c r="O172" s="99"/>
      <c r="P172" s="99"/>
    </row>
    <row r="173" spans="1:16" ht="12.75" customHeight="1">
      <c r="A173" s="50" t="s">
        <v>260</v>
      </c>
      <c r="B173" s="78">
        <v>41</v>
      </c>
      <c r="C173" s="78">
        <v>8</v>
      </c>
      <c r="D173" s="78">
        <v>81</v>
      </c>
      <c r="E173" s="78">
        <v>124</v>
      </c>
      <c r="F173" s="78">
        <v>162</v>
      </c>
      <c r="G173" s="78">
        <v>92</v>
      </c>
      <c r="H173" s="78">
        <v>27</v>
      </c>
      <c r="I173" s="78">
        <v>64</v>
      </c>
      <c r="J173" s="78">
        <v>133</v>
      </c>
      <c r="K173" s="78">
        <v>166</v>
      </c>
      <c r="L173" s="78">
        <v>54</v>
      </c>
      <c r="M173" s="78">
        <v>56</v>
      </c>
      <c r="N173" s="52">
        <f>SUM(B173:M173)</f>
        <v>1008</v>
      </c>
      <c r="O173" s="10"/>
      <c r="P173" s="92"/>
    </row>
    <row r="174" spans="1:16" ht="12.75" customHeight="1">
      <c r="A174" s="50" t="s">
        <v>202</v>
      </c>
      <c r="B174" s="78">
        <v>205</v>
      </c>
      <c r="C174" s="78">
        <v>27</v>
      </c>
      <c r="D174" s="78">
        <v>495</v>
      </c>
      <c r="E174" s="78">
        <v>521</v>
      </c>
      <c r="F174" s="78">
        <v>656</v>
      </c>
      <c r="G174" s="78">
        <v>405</v>
      </c>
      <c r="H174" s="78">
        <v>132</v>
      </c>
      <c r="I174" s="78">
        <v>254</v>
      </c>
      <c r="J174" s="78">
        <v>597</v>
      </c>
      <c r="K174" s="78">
        <v>842</v>
      </c>
      <c r="L174" s="78">
        <v>371</v>
      </c>
      <c r="M174" s="78">
        <v>362</v>
      </c>
      <c r="N174" s="52">
        <f>SUM(B174:M174)</f>
        <v>4867</v>
      </c>
      <c r="O174" s="103">
        <v>0</v>
      </c>
      <c r="P174" s="92" t="s">
        <v>13</v>
      </c>
    </row>
    <row r="175" spans="1:16" ht="12.75" customHeight="1">
      <c r="A175" s="2"/>
      <c r="B175" s="69"/>
      <c r="C175" s="69"/>
      <c r="D175" s="69"/>
      <c r="E175" s="69"/>
      <c r="F175" s="69"/>
      <c r="G175" s="69"/>
      <c r="H175" s="69"/>
      <c r="I175" s="69"/>
      <c r="J175" s="69"/>
      <c r="K175" s="69"/>
      <c r="L175" s="69"/>
      <c r="M175" s="69"/>
      <c r="N175" s="88"/>
      <c r="O175" s="92"/>
      <c r="P175" s="92" t="s">
        <v>13</v>
      </c>
    </row>
    <row r="176" spans="1:16" ht="12.75" customHeight="1">
      <c r="A176" s="5"/>
      <c r="B176" s="89"/>
      <c r="C176" s="89"/>
      <c r="D176" s="89"/>
      <c r="E176" s="89"/>
      <c r="F176" s="89"/>
      <c r="G176" s="89"/>
      <c r="H176" s="89"/>
      <c r="I176" s="89"/>
      <c r="J176" s="89"/>
      <c r="K176" s="89"/>
      <c r="L176" s="89"/>
      <c r="M176" s="89"/>
      <c r="N176" s="90"/>
      <c r="O176" s="98"/>
      <c r="P176" s="98"/>
    </row>
    <row r="177" spans="1:17" ht="25.5">
      <c r="A177" s="45"/>
      <c r="B177" s="46">
        <v>39630</v>
      </c>
      <c r="C177" s="46">
        <v>39661</v>
      </c>
      <c r="D177" s="46">
        <v>39692</v>
      </c>
      <c r="E177" s="46">
        <v>39722</v>
      </c>
      <c r="F177" s="46">
        <v>39753</v>
      </c>
      <c r="G177" s="46">
        <v>39783</v>
      </c>
      <c r="H177" s="46">
        <v>39814</v>
      </c>
      <c r="I177" s="46">
        <v>39845</v>
      </c>
      <c r="J177" s="46">
        <v>39873</v>
      </c>
      <c r="K177" s="46">
        <v>39904</v>
      </c>
      <c r="L177" s="46">
        <v>39934</v>
      </c>
      <c r="M177" s="46">
        <v>39965</v>
      </c>
      <c r="N177" s="55" t="s">
        <v>354</v>
      </c>
      <c r="O177" s="55" t="s">
        <v>191</v>
      </c>
      <c r="P177" s="55" t="s">
        <v>86</v>
      </c>
      <c r="Q177" s="2"/>
    </row>
    <row r="178" spans="1:17" ht="12.75" customHeight="1">
      <c r="A178" s="48" t="s">
        <v>6</v>
      </c>
      <c r="B178" s="46"/>
      <c r="C178" s="46"/>
      <c r="D178" s="46"/>
      <c r="E178" s="46"/>
      <c r="F178" s="46"/>
      <c r="G178" s="46"/>
      <c r="H178" s="46"/>
      <c r="I178" s="46"/>
      <c r="J178" s="46"/>
      <c r="K178" s="46"/>
      <c r="L178" s="46"/>
      <c r="M178" s="46"/>
      <c r="N178" s="57"/>
      <c r="O178" s="99"/>
      <c r="P178" s="99"/>
    </row>
    <row r="179" spans="1:17" ht="12.75" customHeight="1">
      <c r="A179" s="50" t="s">
        <v>260</v>
      </c>
      <c r="B179" s="78">
        <v>11</v>
      </c>
      <c r="C179" s="78">
        <v>7</v>
      </c>
      <c r="D179" s="78">
        <v>131</v>
      </c>
      <c r="E179" s="78">
        <v>151</v>
      </c>
      <c r="F179" s="78">
        <v>168</v>
      </c>
      <c r="G179" s="78">
        <v>82</v>
      </c>
      <c r="H179" s="78">
        <v>28</v>
      </c>
      <c r="I179" s="78">
        <v>112</v>
      </c>
      <c r="J179" s="78">
        <v>177</v>
      </c>
      <c r="K179" s="78">
        <v>197</v>
      </c>
      <c r="L179" s="78">
        <v>45</v>
      </c>
      <c r="M179" s="78">
        <v>42</v>
      </c>
      <c r="N179" s="52">
        <f>SUM(B179:M179)</f>
        <v>1151</v>
      </c>
      <c r="O179" s="103"/>
      <c r="P179" s="92"/>
    </row>
    <row r="180" spans="1:17" ht="12.75" customHeight="1">
      <c r="A180" s="50" t="s">
        <v>202</v>
      </c>
      <c r="B180" s="78">
        <v>62</v>
      </c>
      <c r="C180" s="78">
        <v>31</v>
      </c>
      <c r="D180" s="78">
        <v>631</v>
      </c>
      <c r="E180" s="78">
        <v>594</v>
      </c>
      <c r="F180" s="78">
        <v>635</v>
      </c>
      <c r="G180" s="78">
        <v>328</v>
      </c>
      <c r="H180" s="78">
        <v>143</v>
      </c>
      <c r="I180" s="78">
        <v>549</v>
      </c>
      <c r="J180" s="78">
        <v>738</v>
      </c>
      <c r="K180" s="78">
        <v>885</v>
      </c>
      <c r="L180" s="78">
        <v>315</v>
      </c>
      <c r="M180" s="78">
        <v>254</v>
      </c>
      <c r="N180" s="52">
        <f>SUM(B180:M180)</f>
        <v>5165</v>
      </c>
      <c r="O180" s="103">
        <v>2728</v>
      </c>
      <c r="P180" s="92" t="s">
        <v>13</v>
      </c>
    </row>
    <row r="181" spans="1:17" ht="12.75" customHeight="1">
      <c r="A181" s="2"/>
      <c r="B181" s="69"/>
      <c r="C181" s="69"/>
      <c r="D181" s="69"/>
      <c r="E181" s="69"/>
      <c r="F181" s="69"/>
      <c r="G181" s="69"/>
      <c r="H181" s="69"/>
      <c r="I181" s="69"/>
      <c r="J181" s="69"/>
      <c r="K181" s="69"/>
      <c r="L181" s="69"/>
      <c r="M181" s="69"/>
      <c r="N181" s="88"/>
      <c r="O181" s="92"/>
      <c r="P181" s="92"/>
    </row>
    <row r="182" spans="1:17" ht="12.75" customHeight="1">
      <c r="A182" s="5"/>
      <c r="B182" s="109"/>
      <c r="C182" s="109"/>
      <c r="D182" s="109"/>
      <c r="E182" s="109"/>
      <c r="F182" s="109"/>
      <c r="G182" s="109"/>
      <c r="H182" s="110"/>
      <c r="I182" s="110"/>
      <c r="J182" s="89"/>
      <c r="K182" s="89"/>
      <c r="L182" s="89"/>
      <c r="M182" s="89"/>
      <c r="N182" s="90"/>
      <c r="O182" s="98"/>
      <c r="P182" s="98"/>
    </row>
    <row r="183" spans="1:17" ht="25.5">
      <c r="A183" s="45"/>
      <c r="B183" s="46">
        <v>39630</v>
      </c>
      <c r="C183" s="46">
        <v>39661</v>
      </c>
      <c r="D183" s="46">
        <v>39692</v>
      </c>
      <c r="E183" s="46">
        <v>39722</v>
      </c>
      <c r="F183" s="46">
        <v>39753</v>
      </c>
      <c r="G183" s="46">
        <v>39783</v>
      </c>
      <c r="H183" s="46">
        <v>39814</v>
      </c>
      <c r="I183" s="46">
        <v>39845</v>
      </c>
      <c r="J183" s="46">
        <v>39873</v>
      </c>
      <c r="K183" s="46">
        <v>39904</v>
      </c>
      <c r="L183" s="46">
        <v>39934</v>
      </c>
      <c r="M183" s="46">
        <v>39965</v>
      </c>
      <c r="N183" s="55" t="s">
        <v>354</v>
      </c>
      <c r="O183" s="55" t="s">
        <v>191</v>
      </c>
      <c r="P183" s="55" t="s">
        <v>86</v>
      </c>
    </row>
    <row r="184" spans="1:17" ht="12.75" customHeight="1">
      <c r="A184" s="181" t="s">
        <v>382</v>
      </c>
      <c r="B184" s="179"/>
      <c r="C184" s="46"/>
      <c r="D184" s="46"/>
      <c r="E184" s="46"/>
      <c r="F184" s="46"/>
      <c r="G184" s="46"/>
      <c r="H184" s="46"/>
      <c r="I184" s="46"/>
      <c r="J184" s="46"/>
      <c r="K184" s="46"/>
      <c r="L184" s="46"/>
      <c r="M184" s="46"/>
      <c r="N184" s="57"/>
      <c r="O184" s="99"/>
      <c r="P184" s="99"/>
    </row>
    <row r="185" spans="1:17" ht="12.75" customHeight="1">
      <c r="A185" s="50" t="s">
        <v>260</v>
      </c>
      <c r="B185" s="100">
        <v>11</v>
      </c>
      <c r="C185" s="78">
        <v>1</v>
      </c>
      <c r="D185" s="78">
        <v>4</v>
      </c>
      <c r="E185" s="78">
        <v>99</v>
      </c>
      <c r="F185" s="78">
        <v>145</v>
      </c>
      <c r="G185" s="78">
        <v>99</v>
      </c>
      <c r="H185" s="78">
        <v>39</v>
      </c>
      <c r="I185" s="78">
        <v>90</v>
      </c>
      <c r="J185" s="78">
        <v>164</v>
      </c>
      <c r="K185" s="78">
        <v>187</v>
      </c>
      <c r="L185" s="78">
        <v>59</v>
      </c>
      <c r="M185" s="78">
        <v>46</v>
      </c>
      <c r="N185" s="52">
        <f>SUM(B185:M185)</f>
        <v>944</v>
      </c>
      <c r="O185" s="103"/>
      <c r="P185" s="92" t="s">
        <v>13</v>
      </c>
    </row>
    <row r="186" spans="1:17" ht="12.75" customHeight="1">
      <c r="A186" s="50" t="s">
        <v>202</v>
      </c>
      <c r="B186" s="78">
        <v>45</v>
      </c>
      <c r="C186" s="78">
        <v>6</v>
      </c>
      <c r="D186" s="78">
        <v>21</v>
      </c>
      <c r="E186" s="78">
        <v>472</v>
      </c>
      <c r="F186" s="78">
        <v>603</v>
      </c>
      <c r="G186" s="78">
        <v>348</v>
      </c>
      <c r="H186" s="78">
        <v>151</v>
      </c>
      <c r="I186" s="78">
        <v>324</v>
      </c>
      <c r="J186" s="78">
        <v>706</v>
      </c>
      <c r="K186" s="78">
        <v>931</v>
      </c>
      <c r="L186" s="78">
        <v>347</v>
      </c>
      <c r="M186" s="78">
        <v>276</v>
      </c>
      <c r="N186" s="52">
        <f>SUM(B186:M186)</f>
        <v>4230</v>
      </c>
      <c r="O186" s="103">
        <v>0</v>
      </c>
      <c r="P186" s="92" t="s">
        <v>13</v>
      </c>
    </row>
    <row r="187" spans="1:17" ht="12.75" customHeight="1">
      <c r="A187" s="2"/>
      <c r="B187" s="111"/>
      <c r="C187" s="111"/>
      <c r="D187" s="111"/>
      <c r="E187" s="111"/>
      <c r="F187" s="111"/>
      <c r="G187" s="111"/>
      <c r="H187" s="112"/>
      <c r="I187" s="112"/>
      <c r="J187" s="69"/>
      <c r="K187" s="69"/>
      <c r="L187" s="69"/>
      <c r="M187" s="69"/>
      <c r="N187" s="88"/>
      <c r="O187" s="92"/>
      <c r="P187" s="92" t="s">
        <v>13</v>
      </c>
    </row>
    <row r="188" spans="1:17" ht="12.75" customHeight="1">
      <c r="A188" s="5"/>
      <c r="B188" s="109"/>
      <c r="C188" s="109"/>
      <c r="D188" s="109"/>
      <c r="E188" s="109"/>
      <c r="F188" s="109"/>
      <c r="G188" s="109"/>
      <c r="H188" s="113"/>
      <c r="I188" s="113"/>
      <c r="J188" s="89"/>
      <c r="K188" s="89"/>
      <c r="L188" s="89"/>
      <c r="M188" s="89"/>
      <c r="N188" s="90"/>
      <c r="O188" s="98"/>
      <c r="P188" s="98"/>
    </row>
    <row r="189" spans="1:17" ht="25.5">
      <c r="A189" s="45"/>
      <c r="B189" s="46">
        <v>39630</v>
      </c>
      <c r="C189" s="46">
        <v>39661</v>
      </c>
      <c r="D189" s="46">
        <v>39692</v>
      </c>
      <c r="E189" s="46">
        <v>39722</v>
      </c>
      <c r="F189" s="46">
        <v>39753</v>
      </c>
      <c r="G189" s="46">
        <v>39783</v>
      </c>
      <c r="H189" s="46">
        <v>39814</v>
      </c>
      <c r="I189" s="46">
        <v>39845</v>
      </c>
      <c r="J189" s="46">
        <v>39873</v>
      </c>
      <c r="K189" s="46">
        <v>39904</v>
      </c>
      <c r="L189" s="46">
        <v>39934</v>
      </c>
      <c r="M189" s="46">
        <v>39965</v>
      </c>
      <c r="N189" s="55" t="s">
        <v>354</v>
      </c>
      <c r="O189" s="55" t="s">
        <v>191</v>
      </c>
      <c r="P189" s="55" t="s">
        <v>86</v>
      </c>
      <c r="Q189" s="2"/>
    </row>
    <row r="190" spans="1:17" ht="12.75" customHeight="1">
      <c r="A190" s="48" t="s">
        <v>103</v>
      </c>
      <c r="B190" s="46"/>
      <c r="C190" s="46"/>
      <c r="D190" s="46"/>
      <c r="E190" s="46"/>
      <c r="F190" s="46"/>
      <c r="G190" s="46"/>
      <c r="H190" s="46"/>
      <c r="I190" s="46"/>
      <c r="J190" s="46"/>
      <c r="K190" s="46"/>
      <c r="L190" s="46"/>
      <c r="M190" s="46"/>
      <c r="N190" s="57"/>
      <c r="O190" s="99"/>
      <c r="P190" s="99"/>
    </row>
    <row r="191" spans="1:17" ht="12.75" customHeight="1">
      <c r="A191" s="50" t="s">
        <v>260</v>
      </c>
      <c r="B191" s="78">
        <v>36</v>
      </c>
      <c r="C191" s="78">
        <v>5</v>
      </c>
      <c r="D191" s="78">
        <v>70</v>
      </c>
      <c r="E191" s="78">
        <v>125</v>
      </c>
      <c r="F191" s="78">
        <v>177</v>
      </c>
      <c r="G191" s="78">
        <v>92</v>
      </c>
      <c r="H191" s="78">
        <v>37</v>
      </c>
      <c r="I191" s="78">
        <v>74</v>
      </c>
      <c r="J191" s="78">
        <v>165</v>
      </c>
      <c r="K191" s="78">
        <v>282</v>
      </c>
      <c r="L191" s="78">
        <v>54</v>
      </c>
      <c r="M191" s="78">
        <v>51</v>
      </c>
      <c r="N191" s="52">
        <f>SUM(B191:M191)</f>
        <v>1168</v>
      </c>
      <c r="O191" s="103"/>
      <c r="P191" s="92" t="s">
        <v>13</v>
      </c>
    </row>
    <row r="192" spans="1:17" ht="12.75" customHeight="1">
      <c r="A192" s="50" t="s">
        <v>202</v>
      </c>
      <c r="B192" s="78">
        <v>149</v>
      </c>
      <c r="C192" s="78">
        <v>17</v>
      </c>
      <c r="D192" s="78">
        <v>296</v>
      </c>
      <c r="E192" s="78">
        <v>523</v>
      </c>
      <c r="F192" s="78">
        <v>699</v>
      </c>
      <c r="G192" s="78">
        <v>320</v>
      </c>
      <c r="H192" s="78">
        <v>189</v>
      </c>
      <c r="I192" s="78">
        <v>325</v>
      </c>
      <c r="J192" s="78">
        <v>762</v>
      </c>
      <c r="K192" s="78">
        <v>956</v>
      </c>
      <c r="L192" s="78">
        <v>350</v>
      </c>
      <c r="M192" s="78">
        <v>270</v>
      </c>
      <c r="N192" s="52">
        <f>SUM(B192:M192)</f>
        <v>4856</v>
      </c>
      <c r="O192" s="103">
        <v>2846</v>
      </c>
      <c r="P192" s="92" t="s">
        <v>13</v>
      </c>
    </row>
    <row r="193" spans="1:17" ht="12.75" customHeight="1">
      <c r="A193" s="2"/>
      <c r="B193" s="69"/>
      <c r="C193" s="69"/>
      <c r="D193" s="69"/>
      <c r="E193" s="69"/>
      <c r="F193" s="69"/>
      <c r="G193" s="69"/>
      <c r="H193" s="69"/>
      <c r="I193" s="69"/>
      <c r="J193" s="69"/>
      <c r="K193" s="69"/>
      <c r="L193" s="69"/>
      <c r="M193" s="69"/>
      <c r="N193" s="88"/>
      <c r="O193" s="92"/>
      <c r="P193" s="92" t="s">
        <v>13</v>
      </c>
    </row>
    <row r="194" spans="1:17" ht="12.75" customHeight="1">
      <c r="A194" s="5"/>
      <c r="B194" s="89"/>
      <c r="C194" s="89"/>
      <c r="D194" s="89"/>
      <c r="E194" s="89"/>
      <c r="F194" s="89"/>
      <c r="G194" s="89"/>
      <c r="H194" s="89"/>
      <c r="I194" s="89"/>
      <c r="J194" s="89"/>
      <c r="K194" s="89"/>
      <c r="L194" s="89"/>
      <c r="M194" s="89"/>
      <c r="N194" s="90"/>
      <c r="O194" s="98"/>
      <c r="P194" s="98"/>
    </row>
    <row r="195" spans="1:17" ht="25.5">
      <c r="A195" s="45"/>
      <c r="B195" s="46">
        <v>39630</v>
      </c>
      <c r="C195" s="46">
        <v>39661</v>
      </c>
      <c r="D195" s="46">
        <v>39692</v>
      </c>
      <c r="E195" s="46">
        <v>39722</v>
      </c>
      <c r="F195" s="46">
        <v>39753</v>
      </c>
      <c r="G195" s="46">
        <v>39783</v>
      </c>
      <c r="H195" s="46">
        <v>39814</v>
      </c>
      <c r="I195" s="46">
        <v>39845</v>
      </c>
      <c r="J195" s="46">
        <v>39873</v>
      </c>
      <c r="K195" s="46">
        <v>39904</v>
      </c>
      <c r="L195" s="46">
        <v>39934</v>
      </c>
      <c r="M195" s="46">
        <v>39965</v>
      </c>
      <c r="N195" s="55" t="s">
        <v>354</v>
      </c>
      <c r="O195" s="55" t="s">
        <v>191</v>
      </c>
      <c r="P195" s="55" t="s">
        <v>165</v>
      </c>
      <c r="Q195" s="2"/>
    </row>
    <row r="196" spans="1:17" ht="12.75" customHeight="1">
      <c r="A196" s="48" t="s">
        <v>359</v>
      </c>
      <c r="B196" s="46"/>
      <c r="C196" s="46"/>
      <c r="D196" s="46"/>
      <c r="E196" s="46"/>
      <c r="F196" s="46"/>
      <c r="G196" s="46"/>
      <c r="H196" s="46"/>
      <c r="I196" s="46"/>
      <c r="J196" s="46"/>
      <c r="K196" s="46"/>
      <c r="L196" s="46"/>
      <c r="M196" s="46"/>
      <c r="N196" s="57"/>
      <c r="O196" s="99"/>
      <c r="P196" s="99"/>
    </row>
    <row r="197" spans="1:17" ht="12.75" customHeight="1">
      <c r="A197" s="50" t="s">
        <v>260</v>
      </c>
      <c r="B197" s="78">
        <v>6094</v>
      </c>
      <c r="C197" s="78">
        <v>1945</v>
      </c>
      <c r="D197" s="78">
        <v>8651</v>
      </c>
      <c r="E197" s="78">
        <v>18275</v>
      </c>
      <c r="F197" s="78">
        <v>17059</v>
      </c>
      <c r="G197" s="78">
        <v>9061</v>
      </c>
      <c r="H197" s="78">
        <v>3236</v>
      </c>
      <c r="I197" s="78">
        <v>12571</v>
      </c>
      <c r="J197" s="78">
        <v>17183</v>
      </c>
      <c r="K197" s="78">
        <v>18674</v>
      </c>
      <c r="L197" s="78">
        <v>4351</v>
      </c>
      <c r="M197" s="78">
        <v>4517</v>
      </c>
      <c r="N197" s="52">
        <f>SUM(B197:M197)</f>
        <v>121617</v>
      </c>
      <c r="O197" s="103"/>
      <c r="P197" s="92"/>
    </row>
    <row r="198" spans="1:17" ht="12.75" customHeight="1">
      <c r="A198" s="50" t="s">
        <v>202</v>
      </c>
      <c r="B198" s="78">
        <v>19082</v>
      </c>
      <c r="C198" s="78">
        <v>3872</v>
      </c>
      <c r="D198" s="78">
        <v>31526</v>
      </c>
      <c r="E198" s="78">
        <v>75725</v>
      </c>
      <c r="F198" s="78">
        <v>69602</v>
      </c>
      <c r="G198" s="78">
        <v>34847</v>
      </c>
      <c r="H198" s="78">
        <v>10204</v>
      </c>
      <c r="I198" s="78">
        <v>47393</v>
      </c>
      <c r="J198" s="78">
        <v>76150</v>
      </c>
      <c r="K198" s="78">
        <v>84529</v>
      </c>
      <c r="L198" s="78">
        <v>22695</v>
      </c>
      <c r="M198" s="78">
        <v>21770</v>
      </c>
      <c r="N198" s="52">
        <f>SUM(B198:M198)</f>
        <v>497395</v>
      </c>
      <c r="O198" s="103" t="s">
        <v>13</v>
      </c>
      <c r="P198" s="92" t="s">
        <v>13</v>
      </c>
    </row>
    <row r="199" spans="1:17" ht="12.75" customHeight="1">
      <c r="A199" s="50" t="s">
        <v>44</v>
      </c>
      <c r="B199" s="78">
        <v>9615</v>
      </c>
      <c r="C199" s="78">
        <v>2124</v>
      </c>
      <c r="D199" s="78">
        <v>12949</v>
      </c>
      <c r="E199" s="78">
        <v>31002</v>
      </c>
      <c r="F199" s="78">
        <v>30549</v>
      </c>
      <c r="G199" s="78">
        <v>15203</v>
      </c>
      <c r="H199" s="78">
        <v>3911</v>
      </c>
      <c r="I199" s="78">
        <v>19456</v>
      </c>
      <c r="J199" s="78">
        <v>31644</v>
      </c>
      <c r="K199" s="78">
        <v>32267</v>
      </c>
      <c r="L199" s="78">
        <v>6921</v>
      </c>
      <c r="M199" s="78">
        <v>7724</v>
      </c>
      <c r="N199" s="52">
        <f>SUM(B199:M199)</f>
        <v>203365</v>
      </c>
      <c r="O199" s="103">
        <f>((((((((((O192+O180)+O162)+O144)+O124)+O100)+O88)+O51)+O39)+O27)+O13)+O1</f>
        <v>89318.75</v>
      </c>
      <c r="P199" s="92" t="s">
        <v>13</v>
      </c>
    </row>
    <row r="200" spans="1:17" ht="12.75" customHeight="1">
      <c r="A200" s="2"/>
      <c r="B200" s="41"/>
      <c r="C200" s="41"/>
      <c r="D200" s="41"/>
      <c r="E200" s="41"/>
      <c r="F200" s="41"/>
      <c r="G200" s="41"/>
      <c r="H200" s="41"/>
      <c r="I200" s="41"/>
      <c r="J200" s="41"/>
      <c r="K200" s="41"/>
      <c r="L200" s="41"/>
      <c r="M200" s="41"/>
      <c r="N200" s="41"/>
      <c r="O200" s="2"/>
      <c r="P200" s="2" t="s">
        <v>13</v>
      </c>
    </row>
    <row r="201" spans="1:17" ht="12.75" customHeight="1">
      <c r="A201" s="2"/>
      <c r="O201" s="2"/>
      <c r="P201" s="2"/>
    </row>
    <row r="202" spans="1:17" ht="12.75" customHeight="1">
      <c r="A202" s="2"/>
      <c r="O202" s="2"/>
      <c r="P202" s="2"/>
    </row>
    <row r="203" spans="1:17" ht="12.75" customHeight="1">
      <c r="A203" s="2" t="s">
        <v>15</v>
      </c>
      <c r="B203" s="2" t="s">
        <v>185</v>
      </c>
      <c r="O203" s="2"/>
      <c r="P203" s="2"/>
    </row>
    <row r="204" spans="1:17" ht="12.75" customHeight="1">
      <c r="A204" s="2"/>
      <c r="O204" s="2"/>
      <c r="P204" s="2"/>
    </row>
  </sheetData>
  <mergeCells count="13">
    <mergeCell ref="A184:B184"/>
    <mergeCell ref="A92:D92"/>
    <mergeCell ref="A98:D98"/>
    <mergeCell ref="A110:C110"/>
    <mergeCell ref="A130:C130"/>
    <mergeCell ref="A136:B136"/>
    <mergeCell ref="A166:C166"/>
    <mergeCell ref="A1:C1"/>
    <mergeCell ref="A5:F5"/>
    <mergeCell ref="A49:B49"/>
    <mergeCell ref="A55:E55"/>
    <mergeCell ref="A67:H67"/>
    <mergeCell ref="A80:C80"/>
  </mergeCells>
  <pageMargins left="0.75" right="0.75" top="1" bottom="1" header="0.5" footer="0.5"/>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dimension ref="A1:Q14"/>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3.5703125" customWidth="1"/>
    <col min="2" max="14" width="8.5703125" customWidth="1"/>
    <col min="15" max="16" width="10.85546875" customWidth="1"/>
    <col min="17" max="17" width="9.140625" customWidth="1"/>
  </cols>
  <sheetData>
    <row r="1" spans="1:17" ht="20.25">
      <c r="A1" s="1" t="s">
        <v>370</v>
      </c>
      <c r="B1" s="2"/>
      <c r="C1" s="2"/>
      <c r="D1" s="2"/>
      <c r="E1" s="2"/>
      <c r="F1" s="2"/>
      <c r="G1" s="2"/>
      <c r="H1" s="2"/>
      <c r="I1" s="2"/>
      <c r="J1" s="2"/>
      <c r="K1" s="2"/>
      <c r="L1" s="2"/>
      <c r="M1" s="2"/>
      <c r="N1" s="2"/>
      <c r="O1" s="2"/>
      <c r="P1" s="2"/>
      <c r="Q1" s="2"/>
    </row>
    <row r="2" spans="1:17" ht="18">
      <c r="A2" s="44" t="s">
        <v>94</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5"/>
      <c r="P3" s="5"/>
    </row>
    <row r="4" spans="1:17" ht="25.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55" t="s">
        <v>165</v>
      </c>
      <c r="Q4" s="2"/>
    </row>
    <row r="5" spans="1:17" ht="12.75" customHeight="1">
      <c r="A5" s="48" t="s">
        <v>79</v>
      </c>
      <c r="B5" s="57"/>
      <c r="C5" s="57"/>
      <c r="D5" s="57"/>
      <c r="E5" s="57"/>
      <c r="F5" s="57"/>
      <c r="G5" s="57"/>
      <c r="H5" s="57"/>
      <c r="I5" s="57"/>
      <c r="J5" s="57"/>
      <c r="K5" s="57"/>
      <c r="L5" s="57"/>
      <c r="M5" s="57"/>
      <c r="N5" s="57"/>
      <c r="O5" s="99"/>
      <c r="P5" s="99"/>
    </row>
    <row r="6" spans="1:17" ht="12.75" customHeight="1">
      <c r="A6" s="50" t="s">
        <v>260</v>
      </c>
      <c r="B6" s="78">
        <v>45</v>
      </c>
      <c r="C6" s="78" t="s">
        <v>229</v>
      </c>
      <c r="D6" s="78" t="s">
        <v>49</v>
      </c>
      <c r="E6" s="78" t="s">
        <v>229</v>
      </c>
      <c r="F6" s="78" t="s">
        <v>229</v>
      </c>
      <c r="G6" s="78" t="s">
        <v>229</v>
      </c>
      <c r="H6" s="78" t="s">
        <v>229</v>
      </c>
      <c r="I6" s="78" t="s">
        <v>229</v>
      </c>
      <c r="J6" s="78" t="s">
        <v>229</v>
      </c>
      <c r="K6" s="78" t="s">
        <v>229</v>
      </c>
      <c r="L6" s="78" t="s">
        <v>229</v>
      </c>
      <c r="M6" s="78" t="s">
        <v>229</v>
      </c>
      <c r="N6" s="52">
        <f>SUM(B6:M6)</f>
        <v>45</v>
      </c>
      <c r="O6" s="103"/>
      <c r="P6" s="92"/>
    </row>
    <row r="7" spans="1:17" ht="12.75" customHeight="1">
      <c r="A7" s="50" t="s">
        <v>202</v>
      </c>
      <c r="B7" s="78">
        <v>104</v>
      </c>
      <c r="C7" s="78" t="s">
        <v>229</v>
      </c>
      <c r="D7" s="78" t="s">
        <v>229</v>
      </c>
      <c r="E7" s="78" t="s">
        <v>229</v>
      </c>
      <c r="F7" s="78" t="s">
        <v>229</v>
      </c>
      <c r="G7" s="78" t="s">
        <v>229</v>
      </c>
      <c r="H7" s="78" t="s">
        <v>229</v>
      </c>
      <c r="I7" s="78" t="s">
        <v>229</v>
      </c>
      <c r="J7" s="78" t="s">
        <v>229</v>
      </c>
      <c r="K7" s="78" t="s">
        <v>229</v>
      </c>
      <c r="L7" s="78" t="s">
        <v>229</v>
      </c>
      <c r="M7" s="78" t="s">
        <v>229</v>
      </c>
      <c r="N7" s="52">
        <f>SUM(B7:M7)</f>
        <v>104</v>
      </c>
      <c r="O7" s="103">
        <v>10260</v>
      </c>
      <c r="P7" s="92" t="s">
        <v>13</v>
      </c>
    </row>
    <row r="8" spans="1:17" ht="12.75" customHeight="1">
      <c r="A8" s="2"/>
      <c r="B8" s="40"/>
      <c r="C8" s="40"/>
      <c r="D8" s="40"/>
      <c r="E8" s="40"/>
      <c r="F8" s="40"/>
      <c r="G8" s="40"/>
      <c r="H8" s="40"/>
      <c r="I8" s="40"/>
      <c r="J8" s="40"/>
      <c r="K8" s="40"/>
      <c r="L8" s="40"/>
      <c r="M8" s="40"/>
      <c r="N8" s="114"/>
      <c r="O8" s="92"/>
      <c r="P8" s="92"/>
    </row>
    <row r="9" spans="1:17" ht="12.75" customHeight="1">
      <c r="A9" s="115" t="s">
        <v>296</v>
      </c>
      <c r="B9" s="116"/>
      <c r="C9" s="116"/>
      <c r="D9" s="116"/>
      <c r="E9" s="116"/>
      <c r="F9" s="116"/>
      <c r="G9" s="116"/>
      <c r="H9" s="116"/>
      <c r="I9" s="116"/>
      <c r="J9" s="116"/>
      <c r="K9" s="116"/>
      <c r="L9" s="116"/>
      <c r="M9" s="116"/>
      <c r="N9" s="6"/>
      <c r="O9" s="92"/>
      <c r="P9" s="92"/>
    </row>
    <row r="10" spans="1:17" ht="12.75" customHeight="1">
      <c r="A10" s="50" t="s">
        <v>233</v>
      </c>
      <c r="B10" s="78" t="s">
        <v>229</v>
      </c>
      <c r="C10" s="78" t="s">
        <v>229</v>
      </c>
      <c r="D10" s="78" t="s">
        <v>229</v>
      </c>
      <c r="E10" s="78" t="s">
        <v>229</v>
      </c>
      <c r="F10" s="78" t="s">
        <v>229</v>
      </c>
      <c r="G10" s="78" t="s">
        <v>229</v>
      </c>
      <c r="H10" s="78" t="s">
        <v>229</v>
      </c>
      <c r="I10" s="78" t="s">
        <v>229</v>
      </c>
      <c r="J10" s="78" t="s">
        <v>229</v>
      </c>
      <c r="K10" s="78" t="s">
        <v>229</v>
      </c>
      <c r="L10" s="78">
        <v>5</v>
      </c>
      <c r="M10" s="78" t="s">
        <v>229</v>
      </c>
      <c r="N10" s="52">
        <f>SUM(B10:M10)</f>
        <v>5</v>
      </c>
      <c r="O10" s="103">
        <v>727.65</v>
      </c>
      <c r="P10" s="92" t="s">
        <v>13</v>
      </c>
    </row>
    <row r="11" spans="1:17" ht="12.75" customHeight="1">
      <c r="A11" s="2"/>
      <c r="B11" s="114"/>
      <c r="C11" s="114"/>
      <c r="D11" s="114"/>
      <c r="E11" s="114"/>
      <c r="F11" s="114"/>
      <c r="G11" s="114"/>
      <c r="H11" s="114"/>
      <c r="I11" s="114"/>
      <c r="J11" s="114"/>
      <c r="K11" s="114"/>
      <c r="L11" s="114"/>
      <c r="M11" s="114"/>
      <c r="N11" s="114"/>
      <c r="O11" s="92"/>
      <c r="P11" s="92"/>
    </row>
    <row r="12" spans="1:17" ht="12.75" customHeight="1">
      <c r="A12" s="2"/>
      <c r="O12" s="2"/>
      <c r="P12" s="2"/>
    </row>
    <row r="13" spans="1:17" ht="12.75" customHeight="1">
      <c r="A13" s="2" t="s">
        <v>15</v>
      </c>
      <c r="B13" s="2" t="s">
        <v>145</v>
      </c>
      <c r="O13" s="2"/>
      <c r="P13" s="2"/>
    </row>
    <row r="14" spans="1:17" ht="12.75" customHeight="1">
      <c r="A14" s="2"/>
      <c r="O14" s="2"/>
      <c r="P14" s="2"/>
    </row>
  </sheetData>
  <pageMargins left="0.75" right="0.75" top="1" bottom="1" header="0.5" footer="0.5"/>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dimension ref="A1:Q131"/>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3.5703125" customWidth="1"/>
    <col min="2" max="14" width="8.5703125" customWidth="1"/>
    <col min="15" max="16" width="10.85546875" customWidth="1"/>
    <col min="17" max="17" width="9.140625" customWidth="1"/>
  </cols>
  <sheetData>
    <row r="1" spans="1:17" ht="20.25">
      <c r="A1" s="1" t="s">
        <v>353</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5"/>
      <c r="P3" s="5"/>
    </row>
    <row r="4" spans="1:17" ht="25.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55" t="s">
        <v>86</v>
      </c>
      <c r="Q4" s="2"/>
    </row>
    <row r="5" spans="1:17" ht="12.75" customHeight="1">
      <c r="A5" s="48" t="s">
        <v>340</v>
      </c>
      <c r="B5" s="106"/>
      <c r="C5" s="106"/>
      <c r="D5" s="106"/>
      <c r="E5" s="106"/>
      <c r="F5" s="106"/>
      <c r="G5" s="106"/>
      <c r="H5" s="106"/>
      <c r="I5" s="106"/>
      <c r="J5" s="106"/>
      <c r="K5" s="106"/>
      <c r="L5" s="106"/>
      <c r="M5" s="106"/>
      <c r="N5" s="106"/>
      <c r="O5" s="99"/>
      <c r="P5" s="99"/>
    </row>
    <row r="6" spans="1:17" ht="12.75" customHeight="1">
      <c r="A6" s="50" t="s">
        <v>202</v>
      </c>
      <c r="B6" s="78">
        <v>0</v>
      </c>
      <c r="C6" s="78">
        <v>0</v>
      </c>
      <c r="D6" s="78">
        <v>0</v>
      </c>
      <c r="E6" s="78">
        <v>4</v>
      </c>
      <c r="F6" s="78">
        <v>1</v>
      </c>
      <c r="G6" s="78">
        <v>6</v>
      </c>
      <c r="H6" s="78">
        <v>7</v>
      </c>
      <c r="I6" s="78">
        <v>12</v>
      </c>
      <c r="J6" s="78">
        <v>3</v>
      </c>
      <c r="K6" s="78">
        <v>1</v>
      </c>
      <c r="L6" s="78">
        <v>0</v>
      </c>
      <c r="M6" s="78">
        <v>5</v>
      </c>
      <c r="N6" s="52">
        <f>SUM(B6:M6)</f>
        <v>39</v>
      </c>
      <c r="O6" s="103" t="s">
        <v>13</v>
      </c>
      <c r="P6" s="92" t="s">
        <v>13</v>
      </c>
    </row>
    <row r="7" spans="1:17" ht="12.75" customHeight="1">
      <c r="A7" s="2"/>
      <c r="B7" s="69"/>
      <c r="C7" s="69"/>
      <c r="D7" s="69"/>
      <c r="E7" s="69"/>
      <c r="F7" s="69"/>
      <c r="G7" s="69"/>
      <c r="H7" s="69"/>
      <c r="I7" s="69"/>
      <c r="J7" s="69"/>
      <c r="K7" s="69"/>
      <c r="L7" s="69"/>
      <c r="M7" s="69"/>
      <c r="N7" s="88"/>
      <c r="O7" s="92"/>
      <c r="P7" s="92"/>
    </row>
    <row r="8" spans="1:17" ht="12.75" customHeight="1">
      <c r="A8" s="5"/>
      <c r="B8" s="89"/>
      <c r="C8" s="89"/>
      <c r="D8" s="89"/>
      <c r="E8" s="89"/>
      <c r="F8" s="89"/>
      <c r="G8" s="89"/>
      <c r="H8" s="89"/>
      <c r="I8" s="89"/>
      <c r="J8" s="89"/>
      <c r="K8" s="89"/>
      <c r="L8" s="89"/>
      <c r="M8" s="89"/>
      <c r="N8" s="90"/>
      <c r="O8" s="98"/>
      <c r="P8" s="98"/>
    </row>
    <row r="9" spans="1:17" ht="25.5">
      <c r="A9" s="45"/>
      <c r="B9" s="46">
        <v>39630</v>
      </c>
      <c r="C9" s="46">
        <v>39661</v>
      </c>
      <c r="D9" s="46">
        <v>39692</v>
      </c>
      <c r="E9" s="46">
        <v>39722</v>
      </c>
      <c r="F9" s="46">
        <v>39753</v>
      </c>
      <c r="G9" s="46">
        <v>39783</v>
      </c>
      <c r="H9" s="46">
        <v>39814</v>
      </c>
      <c r="I9" s="46">
        <v>39845</v>
      </c>
      <c r="J9" s="46">
        <v>39873</v>
      </c>
      <c r="K9" s="46">
        <v>39904</v>
      </c>
      <c r="L9" s="46">
        <v>39934</v>
      </c>
      <c r="M9" s="46">
        <v>39965</v>
      </c>
      <c r="N9" s="47" t="s">
        <v>354</v>
      </c>
      <c r="O9" s="55" t="s">
        <v>191</v>
      </c>
      <c r="P9" s="55" t="s">
        <v>86</v>
      </c>
      <c r="Q9" s="2"/>
    </row>
    <row r="10" spans="1:17" ht="12.75" customHeight="1">
      <c r="A10" s="48" t="s">
        <v>141</v>
      </c>
      <c r="B10" s="46"/>
      <c r="C10" s="46"/>
      <c r="D10" s="46"/>
      <c r="E10" s="46"/>
      <c r="F10" s="46"/>
      <c r="G10" s="46"/>
      <c r="H10" s="46"/>
      <c r="I10" s="46"/>
      <c r="J10" s="46"/>
      <c r="K10" s="46"/>
      <c r="L10" s="46"/>
      <c r="M10" s="46"/>
      <c r="N10" s="57"/>
      <c r="O10" s="99"/>
      <c r="P10" s="99"/>
    </row>
    <row r="11" spans="1:17" ht="12.75" customHeight="1">
      <c r="A11" s="50" t="s">
        <v>202</v>
      </c>
      <c r="B11" s="104">
        <v>0</v>
      </c>
      <c r="C11" s="104">
        <v>0</v>
      </c>
      <c r="D11" s="104">
        <v>0</v>
      </c>
      <c r="E11" s="104">
        <v>0</v>
      </c>
      <c r="F11" s="104">
        <v>0</v>
      </c>
      <c r="G11" s="104">
        <v>2</v>
      </c>
      <c r="H11" s="104">
        <v>10</v>
      </c>
      <c r="I11" s="104">
        <v>0</v>
      </c>
      <c r="J11" s="104">
        <v>0</v>
      </c>
      <c r="K11" s="104">
        <v>1</v>
      </c>
      <c r="L11" s="104">
        <v>0</v>
      </c>
      <c r="M11" s="104">
        <v>2</v>
      </c>
      <c r="N11" s="117">
        <f>SUM(B11:M11)</f>
        <v>15</v>
      </c>
      <c r="O11" s="103" t="s">
        <v>13</v>
      </c>
      <c r="P11" s="92" t="s">
        <v>13</v>
      </c>
    </row>
    <row r="12" spans="1:17" ht="12.75" customHeight="1">
      <c r="A12" s="2"/>
      <c r="B12" s="111"/>
      <c r="C12" s="111"/>
      <c r="D12" s="111"/>
      <c r="E12" s="111"/>
      <c r="F12" s="111"/>
      <c r="G12" s="111"/>
      <c r="H12" s="111"/>
      <c r="I12" s="111"/>
      <c r="J12" s="111"/>
      <c r="K12" s="111"/>
      <c r="L12" s="111"/>
      <c r="M12" s="111"/>
      <c r="N12" s="40"/>
      <c r="O12" s="92"/>
      <c r="P12" s="92"/>
    </row>
    <row r="13" spans="1:17" ht="12.75" customHeight="1">
      <c r="A13" s="5"/>
      <c r="B13" s="109"/>
      <c r="C13" s="109"/>
      <c r="D13" s="109"/>
      <c r="E13" s="109"/>
      <c r="F13" s="109"/>
      <c r="G13" s="109"/>
      <c r="H13" s="109"/>
      <c r="I13" s="109"/>
      <c r="J13" s="109"/>
      <c r="K13" s="109"/>
      <c r="L13" s="109"/>
      <c r="M13" s="109"/>
      <c r="N13" s="5"/>
      <c r="O13" s="98"/>
      <c r="P13" s="98"/>
    </row>
    <row r="14" spans="1:17" ht="25.5">
      <c r="A14" s="45"/>
      <c r="B14" s="46">
        <v>39630</v>
      </c>
      <c r="C14" s="46">
        <v>39661</v>
      </c>
      <c r="D14" s="46">
        <v>39692</v>
      </c>
      <c r="E14" s="46">
        <v>39722</v>
      </c>
      <c r="F14" s="46">
        <v>39753</v>
      </c>
      <c r="G14" s="46">
        <v>39783</v>
      </c>
      <c r="H14" s="46">
        <v>39814</v>
      </c>
      <c r="I14" s="46">
        <v>39845</v>
      </c>
      <c r="J14" s="46">
        <v>39873</v>
      </c>
      <c r="K14" s="46">
        <v>39904</v>
      </c>
      <c r="L14" s="46">
        <v>39934</v>
      </c>
      <c r="M14" s="46">
        <v>39965</v>
      </c>
      <c r="N14" s="47" t="s">
        <v>354</v>
      </c>
      <c r="O14" s="55" t="s">
        <v>191</v>
      </c>
      <c r="P14" s="55" t="s">
        <v>86</v>
      </c>
      <c r="Q14" s="2"/>
    </row>
    <row r="15" spans="1:17" ht="12.75" customHeight="1">
      <c r="A15" s="48" t="s">
        <v>111</v>
      </c>
      <c r="B15" s="46"/>
      <c r="C15" s="46"/>
      <c r="D15" s="46"/>
      <c r="E15" s="46"/>
      <c r="F15" s="46"/>
      <c r="G15" s="46"/>
      <c r="H15" s="46"/>
      <c r="I15" s="46"/>
      <c r="J15" s="46"/>
      <c r="K15" s="46"/>
      <c r="L15" s="46"/>
      <c r="M15" s="46"/>
      <c r="N15" s="57"/>
      <c r="O15" s="99"/>
      <c r="P15" s="99"/>
    </row>
    <row r="16" spans="1:17" ht="12.75" customHeight="1">
      <c r="A16" s="50" t="s">
        <v>260</v>
      </c>
      <c r="B16" s="78">
        <v>101</v>
      </c>
      <c r="C16" s="78">
        <v>33</v>
      </c>
      <c r="D16" s="78">
        <v>115</v>
      </c>
      <c r="E16" s="78">
        <v>218</v>
      </c>
      <c r="F16" s="78">
        <v>180</v>
      </c>
      <c r="G16" s="78">
        <v>113</v>
      </c>
      <c r="H16" s="78">
        <v>33</v>
      </c>
      <c r="I16" s="78">
        <v>146</v>
      </c>
      <c r="J16" s="78">
        <v>159</v>
      </c>
      <c r="K16" s="78">
        <v>114</v>
      </c>
      <c r="L16" s="78">
        <v>51</v>
      </c>
      <c r="M16" s="78">
        <v>45</v>
      </c>
      <c r="N16" s="52">
        <f>SUM(B16:M16)</f>
        <v>1308</v>
      </c>
      <c r="O16" s="103"/>
      <c r="P16" s="92"/>
    </row>
    <row r="17" spans="1:17" ht="12.75" customHeight="1">
      <c r="A17" s="50" t="s">
        <v>202</v>
      </c>
      <c r="B17" s="78">
        <v>497</v>
      </c>
      <c r="C17" s="78">
        <v>493</v>
      </c>
      <c r="D17" s="78">
        <v>644</v>
      </c>
      <c r="E17" s="78">
        <v>696</v>
      </c>
      <c r="F17" s="78">
        <v>422</v>
      </c>
      <c r="G17" s="78">
        <v>155</v>
      </c>
      <c r="H17" s="78">
        <v>295</v>
      </c>
      <c r="I17" s="78">
        <v>519</v>
      </c>
      <c r="J17" s="78">
        <v>578</v>
      </c>
      <c r="K17" s="78">
        <v>501</v>
      </c>
      <c r="L17" s="78">
        <v>163</v>
      </c>
      <c r="M17" s="78">
        <v>527</v>
      </c>
      <c r="N17" s="52">
        <f>SUM(B17:M17)</f>
        <v>5490</v>
      </c>
      <c r="O17" s="103">
        <v>0</v>
      </c>
      <c r="P17" s="92" t="s">
        <v>229</v>
      </c>
    </row>
    <row r="18" spans="1:17" ht="12.75" customHeight="1">
      <c r="A18" s="50" t="s">
        <v>241</v>
      </c>
      <c r="B18" s="76">
        <v>2</v>
      </c>
      <c r="C18" s="76">
        <v>2</v>
      </c>
      <c r="D18" s="76">
        <v>2</v>
      </c>
      <c r="E18" s="76">
        <v>2</v>
      </c>
      <c r="F18" s="76">
        <v>2</v>
      </c>
      <c r="G18" s="76">
        <v>2</v>
      </c>
      <c r="H18" s="76">
        <v>2</v>
      </c>
      <c r="I18" s="76">
        <v>2</v>
      </c>
      <c r="J18" s="76">
        <v>2</v>
      </c>
      <c r="K18" s="76">
        <v>2</v>
      </c>
      <c r="L18" s="76">
        <v>2</v>
      </c>
      <c r="M18" s="76">
        <v>2</v>
      </c>
      <c r="N18" s="52"/>
      <c r="O18" s="103"/>
      <c r="P18" s="92"/>
    </row>
    <row r="19" spans="1:17" ht="12.75" customHeight="1">
      <c r="A19" s="50" t="s">
        <v>226</v>
      </c>
      <c r="B19" s="76">
        <v>2</v>
      </c>
      <c r="C19" s="76">
        <v>2</v>
      </c>
      <c r="D19" s="76">
        <v>0</v>
      </c>
      <c r="E19" s="76">
        <v>8</v>
      </c>
      <c r="F19" s="76">
        <v>0</v>
      </c>
      <c r="G19" s="76">
        <v>8</v>
      </c>
      <c r="H19" s="76">
        <v>0</v>
      </c>
      <c r="I19" s="76">
        <v>5</v>
      </c>
      <c r="J19" s="76">
        <v>6</v>
      </c>
      <c r="K19" s="76">
        <v>2</v>
      </c>
      <c r="L19" s="76">
        <v>0</v>
      </c>
      <c r="M19" s="76">
        <v>1</v>
      </c>
      <c r="N19" s="52">
        <f>SUM(B19:M19)</f>
        <v>34</v>
      </c>
      <c r="O19" s="103"/>
      <c r="P19" s="92"/>
    </row>
    <row r="20" spans="1:17" ht="12.75" customHeight="1">
      <c r="A20" s="2"/>
      <c r="B20" s="88"/>
      <c r="C20" s="88"/>
      <c r="D20" s="88"/>
      <c r="E20" s="88"/>
      <c r="F20" s="88"/>
      <c r="G20" s="88" t="s">
        <v>13</v>
      </c>
      <c r="H20" s="88"/>
      <c r="I20" s="88"/>
      <c r="J20" s="88"/>
      <c r="K20" s="88"/>
      <c r="L20" s="88"/>
      <c r="M20" s="88"/>
      <c r="N20" s="88"/>
      <c r="O20" s="92"/>
      <c r="P20" s="92"/>
    </row>
    <row r="21" spans="1:17" ht="12.75" customHeight="1">
      <c r="A21" s="5"/>
      <c r="B21" s="90"/>
      <c r="C21" s="90"/>
      <c r="D21" s="90"/>
      <c r="E21" s="90"/>
      <c r="F21" s="90"/>
      <c r="G21" s="90"/>
      <c r="H21" s="90"/>
      <c r="I21" s="90"/>
      <c r="J21" s="90"/>
      <c r="K21" s="90"/>
      <c r="L21" s="90"/>
      <c r="M21" s="90"/>
      <c r="N21" s="90"/>
      <c r="O21" s="98"/>
      <c r="P21" s="98"/>
    </row>
    <row r="22" spans="1:17" ht="25.5">
      <c r="A22" s="45"/>
      <c r="B22" s="46">
        <v>39630</v>
      </c>
      <c r="C22" s="46">
        <v>39661</v>
      </c>
      <c r="D22" s="46">
        <v>39692</v>
      </c>
      <c r="E22" s="46">
        <v>39722</v>
      </c>
      <c r="F22" s="46">
        <v>39753</v>
      </c>
      <c r="G22" s="46">
        <v>39783</v>
      </c>
      <c r="H22" s="46">
        <v>39814</v>
      </c>
      <c r="I22" s="46">
        <v>39845</v>
      </c>
      <c r="J22" s="46">
        <v>39873</v>
      </c>
      <c r="K22" s="46">
        <v>39904</v>
      </c>
      <c r="L22" s="46">
        <v>39934</v>
      </c>
      <c r="M22" s="46">
        <v>39965</v>
      </c>
      <c r="N22" s="47" t="s">
        <v>354</v>
      </c>
      <c r="O22" s="55" t="s">
        <v>191</v>
      </c>
      <c r="P22" s="55" t="s">
        <v>86</v>
      </c>
      <c r="Q22" s="2"/>
    </row>
    <row r="23" spans="1:17" ht="12.75" customHeight="1">
      <c r="A23" s="48" t="s">
        <v>228</v>
      </c>
      <c r="B23" s="46"/>
      <c r="C23" s="46"/>
      <c r="D23" s="46"/>
      <c r="E23" s="46"/>
      <c r="F23" s="46"/>
      <c r="G23" s="46"/>
      <c r="H23" s="46"/>
      <c r="I23" s="46"/>
      <c r="J23" s="46"/>
      <c r="K23" s="46"/>
      <c r="L23" s="46"/>
      <c r="M23" s="46"/>
      <c r="N23" s="57"/>
      <c r="O23" s="99"/>
      <c r="P23" s="99"/>
    </row>
    <row r="24" spans="1:17" ht="12.75" customHeight="1">
      <c r="A24" s="50" t="s">
        <v>260</v>
      </c>
      <c r="B24" s="78">
        <v>0</v>
      </c>
      <c r="C24" s="78">
        <v>0</v>
      </c>
      <c r="D24" s="78">
        <v>0</v>
      </c>
      <c r="E24" s="78">
        <v>18</v>
      </c>
      <c r="F24" s="78">
        <v>11</v>
      </c>
      <c r="G24" s="78">
        <v>21</v>
      </c>
      <c r="H24" s="78">
        <v>4</v>
      </c>
      <c r="I24" s="78">
        <v>20</v>
      </c>
      <c r="J24" s="78">
        <v>12</v>
      </c>
      <c r="K24" s="78">
        <v>18</v>
      </c>
      <c r="L24" s="78">
        <v>5</v>
      </c>
      <c r="M24" s="78">
        <v>2</v>
      </c>
      <c r="N24" s="52">
        <f>SUM(B24:M24)</f>
        <v>111</v>
      </c>
      <c r="O24" s="103"/>
      <c r="P24" s="92"/>
    </row>
    <row r="25" spans="1:17" ht="12.75" customHeight="1">
      <c r="A25" s="50" t="s">
        <v>202</v>
      </c>
      <c r="B25" s="78">
        <v>0</v>
      </c>
      <c r="C25" s="78">
        <v>0</v>
      </c>
      <c r="D25" s="78">
        <v>0</v>
      </c>
      <c r="E25" s="78">
        <v>28</v>
      </c>
      <c r="F25" s="78">
        <v>7</v>
      </c>
      <c r="G25" s="78">
        <v>34</v>
      </c>
      <c r="H25" s="78">
        <v>6</v>
      </c>
      <c r="I25" s="78">
        <v>34</v>
      </c>
      <c r="J25" s="78">
        <v>15</v>
      </c>
      <c r="K25" s="78">
        <v>20</v>
      </c>
      <c r="L25" s="78">
        <v>6</v>
      </c>
      <c r="M25" s="78">
        <v>2</v>
      </c>
      <c r="N25" s="52">
        <f>SUM(B25:M25)</f>
        <v>152</v>
      </c>
      <c r="O25" s="103">
        <v>0</v>
      </c>
      <c r="P25" s="92" t="s">
        <v>229</v>
      </c>
    </row>
    <row r="26" spans="1:17" ht="12.75" customHeight="1">
      <c r="A26" s="50" t="s">
        <v>241</v>
      </c>
      <c r="B26" s="76">
        <v>2</v>
      </c>
      <c r="C26" s="76">
        <v>2</v>
      </c>
      <c r="D26" s="76">
        <v>2</v>
      </c>
      <c r="E26" s="76">
        <v>2</v>
      </c>
      <c r="F26" s="76">
        <v>2</v>
      </c>
      <c r="G26" s="76">
        <v>2</v>
      </c>
      <c r="H26" s="76">
        <v>0</v>
      </c>
      <c r="I26" s="76">
        <v>2</v>
      </c>
      <c r="J26" s="76">
        <v>2</v>
      </c>
      <c r="K26" s="76">
        <v>2</v>
      </c>
      <c r="L26" s="76">
        <v>2</v>
      </c>
      <c r="M26" s="76">
        <v>2</v>
      </c>
      <c r="N26" s="52"/>
      <c r="O26" s="103"/>
      <c r="P26" s="92"/>
    </row>
    <row r="27" spans="1:17" ht="12.75" customHeight="1">
      <c r="A27" s="50" t="s">
        <v>226</v>
      </c>
      <c r="B27" s="76">
        <v>0</v>
      </c>
      <c r="C27" s="76">
        <v>0</v>
      </c>
      <c r="D27" s="76">
        <v>0</v>
      </c>
      <c r="E27" s="76">
        <v>0</v>
      </c>
      <c r="F27" s="76">
        <v>2</v>
      </c>
      <c r="G27" s="76">
        <v>0</v>
      </c>
      <c r="H27" s="76">
        <v>1</v>
      </c>
      <c r="I27" s="76">
        <v>0</v>
      </c>
      <c r="J27" s="76">
        <v>1</v>
      </c>
      <c r="K27" s="76">
        <v>0</v>
      </c>
      <c r="L27" s="76">
        <v>0</v>
      </c>
      <c r="M27" s="76">
        <v>0</v>
      </c>
      <c r="N27" s="52">
        <f>SUM(B27:M27)</f>
        <v>4</v>
      </c>
      <c r="O27" s="103"/>
      <c r="P27" s="92"/>
    </row>
    <row r="28" spans="1:17" ht="12.75" customHeight="1">
      <c r="A28" s="2"/>
      <c r="B28" s="88"/>
      <c r="C28" s="88"/>
      <c r="D28" s="88"/>
      <c r="E28" s="88"/>
      <c r="F28" s="88"/>
      <c r="G28" s="88"/>
      <c r="H28" s="88"/>
      <c r="I28" s="88"/>
      <c r="J28" s="88"/>
      <c r="K28" s="88"/>
      <c r="L28" s="88"/>
      <c r="M28" s="88"/>
      <c r="N28" s="88"/>
      <c r="O28" s="92"/>
      <c r="P28" s="92"/>
    </row>
    <row r="29" spans="1:17" ht="12.75" customHeight="1">
      <c r="A29" s="5"/>
      <c r="B29" s="90"/>
      <c r="C29" s="90"/>
      <c r="D29" s="90"/>
      <c r="E29" s="90"/>
      <c r="F29" s="90"/>
      <c r="G29" s="90"/>
      <c r="H29" s="90"/>
      <c r="I29" s="90"/>
      <c r="J29" s="90"/>
      <c r="K29" s="90"/>
      <c r="L29" s="90"/>
      <c r="M29" s="90"/>
      <c r="N29" s="90"/>
      <c r="O29" s="98"/>
      <c r="P29" s="98"/>
    </row>
    <row r="30" spans="1:17" ht="25.5">
      <c r="A30" s="45"/>
      <c r="B30" s="46">
        <v>39630</v>
      </c>
      <c r="C30" s="46">
        <v>39661</v>
      </c>
      <c r="D30" s="46">
        <v>39692</v>
      </c>
      <c r="E30" s="46">
        <v>39722</v>
      </c>
      <c r="F30" s="46">
        <v>39753</v>
      </c>
      <c r="G30" s="46">
        <v>39783</v>
      </c>
      <c r="H30" s="46">
        <v>39814</v>
      </c>
      <c r="I30" s="46">
        <v>39845</v>
      </c>
      <c r="J30" s="46">
        <v>39873</v>
      </c>
      <c r="K30" s="46">
        <v>39904</v>
      </c>
      <c r="L30" s="46">
        <v>39934</v>
      </c>
      <c r="M30" s="46">
        <v>39965</v>
      </c>
      <c r="N30" s="47" t="s">
        <v>354</v>
      </c>
      <c r="O30" s="55" t="s">
        <v>191</v>
      </c>
      <c r="P30" s="55" t="s">
        <v>86</v>
      </c>
      <c r="Q30" s="2"/>
    </row>
    <row r="31" spans="1:17" ht="12.75" customHeight="1">
      <c r="A31" s="48" t="s">
        <v>261</v>
      </c>
      <c r="B31" s="46"/>
      <c r="C31" s="46"/>
      <c r="D31" s="46"/>
      <c r="E31" s="46"/>
      <c r="F31" s="46"/>
      <c r="G31" s="46"/>
      <c r="H31" s="46"/>
      <c r="I31" s="46"/>
      <c r="J31" s="46"/>
      <c r="K31" s="46"/>
      <c r="L31" s="46"/>
      <c r="M31" s="46"/>
      <c r="N31" s="57"/>
      <c r="O31" s="99"/>
      <c r="P31" s="99"/>
    </row>
    <row r="32" spans="1:17" ht="12.75" customHeight="1">
      <c r="A32" s="50" t="s">
        <v>260</v>
      </c>
      <c r="B32" s="78">
        <v>75</v>
      </c>
      <c r="C32" s="78">
        <v>15</v>
      </c>
      <c r="D32" s="78">
        <v>87</v>
      </c>
      <c r="E32" s="78">
        <v>180</v>
      </c>
      <c r="F32" s="78">
        <v>55</v>
      </c>
      <c r="G32" s="78">
        <v>45</v>
      </c>
      <c r="H32" s="78">
        <v>36</v>
      </c>
      <c r="I32" s="78">
        <v>75</v>
      </c>
      <c r="J32" s="78">
        <v>67</v>
      </c>
      <c r="K32" s="78">
        <v>69</v>
      </c>
      <c r="L32" s="78">
        <v>21</v>
      </c>
      <c r="M32" s="78">
        <v>68</v>
      </c>
      <c r="N32" s="52">
        <f>SUM(B32:M32)</f>
        <v>793</v>
      </c>
      <c r="O32" s="103"/>
      <c r="P32" s="92"/>
    </row>
    <row r="33" spans="1:17" ht="12.75" customHeight="1">
      <c r="A33" s="50" t="s">
        <v>202</v>
      </c>
      <c r="B33" s="78">
        <v>172</v>
      </c>
      <c r="C33" s="78">
        <v>39</v>
      </c>
      <c r="D33" s="78">
        <v>194</v>
      </c>
      <c r="E33" s="78">
        <v>458</v>
      </c>
      <c r="F33" s="78">
        <v>92</v>
      </c>
      <c r="G33" s="78">
        <v>91</v>
      </c>
      <c r="H33" s="78">
        <v>68</v>
      </c>
      <c r="I33" s="78">
        <v>132</v>
      </c>
      <c r="J33" s="78">
        <v>114</v>
      </c>
      <c r="K33" s="78">
        <v>115</v>
      </c>
      <c r="L33" s="78">
        <v>36</v>
      </c>
      <c r="M33" s="78">
        <v>139</v>
      </c>
      <c r="N33" s="52">
        <f>SUM(B33:M33)</f>
        <v>1650</v>
      </c>
      <c r="O33" s="103">
        <v>0</v>
      </c>
      <c r="P33" s="92" t="s">
        <v>229</v>
      </c>
    </row>
    <row r="34" spans="1:17" ht="12.75" customHeight="1">
      <c r="A34" s="50" t="s">
        <v>241</v>
      </c>
      <c r="B34" s="76">
        <v>2</v>
      </c>
      <c r="C34" s="76">
        <v>2</v>
      </c>
      <c r="D34" s="76">
        <v>2</v>
      </c>
      <c r="E34" s="76">
        <v>2</v>
      </c>
      <c r="F34" s="76">
        <v>2</v>
      </c>
      <c r="G34" s="76">
        <v>2</v>
      </c>
      <c r="H34" s="76">
        <v>2</v>
      </c>
      <c r="I34" s="76">
        <v>2</v>
      </c>
      <c r="J34" s="76">
        <v>2</v>
      </c>
      <c r="K34" s="76">
        <v>2</v>
      </c>
      <c r="L34" s="76">
        <v>2</v>
      </c>
      <c r="M34" s="76">
        <v>2</v>
      </c>
      <c r="N34" s="52"/>
      <c r="O34" s="103"/>
      <c r="P34" s="92"/>
    </row>
    <row r="35" spans="1:17" ht="12.75" customHeight="1">
      <c r="A35" s="50" t="s">
        <v>226</v>
      </c>
      <c r="B35" s="76">
        <v>0</v>
      </c>
      <c r="C35" s="76">
        <v>0</v>
      </c>
      <c r="D35" s="76">
        <v>3</v>
      </c>
      <c r="E35" s="76">
        <v>21</v>
      </c>
      <c r="F35" s="76">
        <v>0</v>
      </c>
      <c r="G35" s="76">
        <v>0</v>
      </c>
      <c r="H35" s="76">
        <v>0</v>
      </c>
      <c r="I35" s="76">
        <v>7</v>
      </c>
      <c r="J35" s="76">
        <v>6</v>
      </c>
      <c r="K35" s="76">
        <v>0</v>
      </c>
      <c r="L35" s="76">
        <v>2</v>
      </c>
      <c r="M35" s="76">
        <v>0</v>
      </c>
      <c r="N35" s="52">
        <f>SUM(B35:M35)</f>
        <v>39</v>
      </c>
      <c r="O35" s="103"/>
      <c r="P35" s="92"/>
    </row>
    <row r="36" spans="1:17" ht="12.75" customHeight="1">
      <c r="A36" s="2"/>
      <c r="B36" s="88"/>
      <c r="C36" s="88"/>
      <c r="D36" s="88"/>
      <c r="E36" s="88"/>
      <c r="F36" s="88"/>
      <c r="G36" s="88"/>
      <c r="H36" s="88"/>
      <c r="I36" s="88"/>
      <c r="J36" s="88"/>
      <c r="K36" s="88"/>
      <c r="L36" s="88"/>
      <c r="M36" s="88"/>
      <c r="N36" s="88"/>
      <c r="O36" s="92"/>
      <c r="P36" s="92"/>
    </row>
    <row r="37" spans="1:17" ht="12.75" customHeight="1">
      <c r="A37" s="5"/>
      <c r="B37" s="90"/>
      <c r="C37" s="90"/>
      <c r="D37" s="90"/>
      <c r="E37" s="90"/>
      <c r="F37" s="90"/>
      <c r="G37" s="90"/>
      <c r="H37" s="90"/>
      <c r="I37" s="90"/>
      <c r="J37" s="90"/>
      <c r="K37" s="90"/>
      <c r="L37" s="90"/>
      <c r="M37" s="90"/>
      <c r="N37" s="90"/>
      <c r="O37" s="98"/>
      <c r="P37" s="98"/>
    </row>
    <row r="38" spans="1:17" ht="25.5">
      <c r="A38" s="45"/>
      <c r="B38" s="46">
        <v>39630</v>
      </c>
      <c r="C38" s="46">
        <v>39661</v>
      </c>
      <c r="D38" s="46">
        <v>39692</v>
      </c>
      <c r="E38" s="46">
        <v>39722</v>
      </c>
      <c r="F38" s="46">
        <v>39753</v>
      </c>
      <c r="G38" s="46">
        <v>39783</v>
      </c>
      <c r="H38" s="46">
        <v>39814</v>
      </c>
      <c r="I38" s="46">
        <v>39845</v>
      </c>
      <c r="J38" s="46">
        <v>39873</v>
      </c>
      <c r="K38" s="46">
        <v>39904</v>
      </c>
      <c r="L38" s="46">
        <v>39934</v>
      </c>
      <c r="M38" s="46">
        <v>39965</v>
      </c>
      <c r="N38" s="47" t="s">
        <v>354</v>
      </c>
      <c r="O38" s="55" t="s">
        <v>191</v>
      </c>
      <c r="P38" s="55" t="s">
        <v>86</v>
      </c>
    </row>
    <row r="39" spans="1:17" ht="12.75" customHeight="1">
      <c r="A39" s="48" t="s">
        <v>335</v>
      </c>
      <c r="B39" s="46"/>
      <c r="C39" s="46"/>
      <c r="D39" s="46"/>
      <c r="E39" s="46"/>
      <c r="F39" s="46"/>
      <c r="G39" s="46"/>
      <c r="H39" s="46"/>
      <c r="I39" s="46"/>
      <c r="J39" s="46"/>
      <c r="K39" s="46"/>
      <c r="L39" s="46"/>
      <c r="M39" s="46"/>
      <c r="N39" s="57"/>
      <c r="O39" s="99"/>
      <c r="P39" s="99"/>
    </row>
    <row r="40" spans="1:17" ht="12.75" customHeight="1">
      <c r="A40" s="50" t="s">
        <v>202</v>
      </c>
      <c r="B40" s="78">
        <v>0</v>
      </c>
      <c r="C40" s="78">
        <v>3</v>
      </c>
      <c r="D40" s="78">
        <v>0</v>
      </c>
      <c r="E40" s="78">
        <v>0</v>
      </c>
      <c r="F40" s="78">
        <v>15</v>
      </c>
      <c r="G40" s="78">
        <v>7</v>
      </c>
      <c r="H40" s="78">
        <v>0</v>
      </c>
      <c r="I40" s="78">
        <v>2</v>
      </c>
      <c r="J40" s="78">
        <v>0</v>
      </c>
      <c r="K40" s="78">
        <v>7</v>
      </c>
      <c r="L40" s="78">
        <v>0</v>
      </c>
      <c r="M40" s="78">
        <v>0</v>
      </c>
      <c r="N40" s="52">
        <f>SUM(B40:M40)</f>
        <v>34</v>
      </c>
      <c r="O40" s="103">
        <v>0</v>
      </c>
      <c r="P40" s="92" t="s">
        <v>13</v>
      </c>
      <c r="Q40" s="61" t="s">
        <v>13</v>
      </c>
    </row>
    <row r="41" spans="1:17" ht="12.75" customHeight="1">
      <c r="A41" s="2"/>
      <c r="B41" s="68"/>
      <c r="C41" s="68"/>
      <c r="D41" s="68"/>
      <c r="E41" s="68"/>
      <c r="F41" s="68"/>
      <c r="G41" s="68"/>
      <c r="H41" s="68"/>
      <c r="I41" s="68"/>
      <c r="J41" s="68"/>
      <c r="K41" s="68"/>
      <c r="L41" s="68"/>
      <c r="M41" s="68"/>
      <c r="N41" s="88"/>
      <c r="O41" s="92"/>
      <c r="P41" s="92"/>
    </row>
    <row r="42" spans="1:17" ht="12.75" customHeight="1">
      <c r="A42" s="5"/>
      <c r="B42" s="90"/>
      <c r="C42" s="90"/>
      <c r="D42" s="90"/>
      <c r="E42" s="90"/>
      <c r="F42" s="90"/>
      <c r="G42" s="90"/>
      <c r="H42" s="90"/>
      <c r="I42" s="90"/>
      <c r="J42" s="90"/>
      <c r="K42" s="90"/>
      <c r="L42" s="90"/>
      <c r="M42" s="90"/>
      <c r="N42" s="90"/>
      <c r="O42" s="98"/>
      <c r="P42" s="98"/>
    </row>
    <row r="43" spans="1:17" ht="25.5">
      <c r="A43" s="45"/>
      <c r="B43" s="46">
        <v>39630</v>
      </c>
      <c r="C43" s="46">
        <v>39661</v>
      </c>
      <c r="D43" s="46">
        <v>39692</v>
      </c>
      <c r="E43" s="46">
        <v>39722</v>
      </c>
      <c r="F43" s="46">
        <v>39753</v>
      </c>
      <c r="G43" s="46">
        <v>39783</v>
      </c>
      <c r="H43" s="46">
        <v>39814</v>
      </c>
      <c r="I43" s="46">
        <v>39845</v>
      </c>
      <c r="J43" s="46">
        <v>39873</v>
      </c>
      <c r="K43" s="46">
        <v>39904</v>
      </c>
      <c r="L43" s="46">
        <v>39934</v>
      </c>
      <c r="M43" s="46">
        <v>39965</v>
      </c>
      <c r="N43" s="47" t="s">
        <v>354</v>
      </c>
      <c r="O43" s="55" t="s">
        <v>191</v>
      </c>
      <c r="P43" s="55" t="s">
        <v>86</v>
      </c>
      <c r="Q43" s="2"/>
    </row>
    <row r="44" spans="1:17" ht="12.75" customHeight="1">
      <c r="A44" s="48" t="s">
        <v>54</v>
      </c>
      <c r="B44" s="46"/>
      <c r="C44" s="46"/>
      <c r="D44" s="46"/>
      <c r="E44" s="46"/>
      <c r="F44" s="46"/>
      <c r="G44" s="46"/>
      <c r="H44" s="46"/>
      <c r="I44" s="46"/>
      <c r="J44" s="46"/>
      <c r="K44" s="46"/>
      <c r="L44" s="46"/>
      <c r="M44" s="46"/>
      <c r="N44" s="57"/>
      <c r="O44" s="99"/>
      <c r="P44" s="99"/>
    </row>
    <row r="45" spans="1:17" ht="12.75" customHeight="1">
      <c r="A45" s="50" t="s">
        <v>260</v>
      </c>
      <c r="B45" s="78">
        <v>9</v>
      </c>
      <c r="C45" s="78">
        <v>2</v>
      </c>
      <c r="D45" s="78">
        <v>10</v>
      </c>
      <c r="E45" s="78">
        <v>23</v>
      </c>
      <c r="F45" s="78">
        <v>9</v>
      </c>
      <c r="G45" s="78">
        <v>6</v>
      </c>
      <c r="H45" s="78">
        <v>0</v>
      </c>
      <c r="I45" s="78">
        <v>8</v>
      </c>
      <c r="J45" s="78">
        <v>12</v>
      </c>
      <c r="K45" s="78">
        <v>14</v>
      </c>
      <c r="L45" s="78">
        <v>3</v>
      </c>
      <c r="M45" s="78">
        <v>2</v>
      </c>
      <c r="N45" s="52">
        <f>SUM(B45:M45)</f>
        <v>98</v>
      </c>
      <c r="O45" s="103"/>
      <c r="P45" s="92"/>
    </row>
    <row r="46" spans="1:17" ht="12.75" customHeight="1">
      <c r="A46" s="50" t="s">
        <v>202</v>
      </c>
      <c r="B46" s="78">
        <v>12</v>
      </c>
      <c r="C46" s="78">
        <v>3</v>
      </c>
      <c r="D46" s="78">
        <v>19</v>
      </c>
      <c r="E46" s="78">
        <v>34</v>
      </c>
      <c r="F46" s="78">
        <v>12</v>
      </c>
      <c r="G46" s="78">
        <v>9</v>
      </c>
      <c r="H46" s="78">
        <v>0</v>
      </c>
      <c r="I46" s="78">
        <v>12</v>
      </c>
      <c r="J46" s="78">
        <v>14</v>
      </c>
      <c r="K46" s="78">
        <v>21</v>
      </c>
      <c r="L46" s="78">
        <v>5</v>
      </c>
      <c r="M46" s="78">
        <v>3</v>
      </c>
      <c r="N46" s="52">
        <f>SUM(B46:M46)</f>
        <v>144</v>
      </c>
      <c r="O46" s="103">
        <v>0</v>
      </c>
      <c r="P46" s="92" t="s">
        <v>229</v>
      </c>
    </row>
    <row r="47" spans="1:17" ht="12.75" customHeight="1">
      <c r="A47" s="50" t="s">
        <v>241</v>
      </c>
      <c r="B47" s="76">
        <v>2</v>
      </c>
      <c r="C47" s="76">
        <v>2</v>
      </c>
      <c r="D47" s="76">
        <v>2</v>
      </c>
      <c r="E47" s="76">
        <v>2</v>
      </c>
      <c r="F47" s="76">
        <v>2</v>
      </c>
      <c r="G47" s="76">
        <v>2</v>
      </c>
      <c r="H47" s="76">
        <v>2</v>
      </c>
      <c r="I47" s="76">
        <v>2</v>
      </c>
      <c r="J47" s="76">
        <v>2</v>
      </c>
      <c r="K47" s="76">
        <v>2</v>
      </c>
      <c r="L47" s="76">
        <v>2</v>
      </c>
      <c r="M47" s="76">
        <v>2</v>
      </c>
      <c r="N47" s="52"/>
      <c r="O47" s="103"/>
      <c r="P47" s="92"/>
    </row>
    <row r="48" spans="1:17" ht="12.75" customHeight="1">
      <c r="A48" s="50" t="s">
        <v>226</v>
      </c>
      <c r="B48" s="76">
        <v>0</v>
      </c>
      <c r="C48" s="76">
        <v>0</v>
      </c>
      <c r="D48" s="76">
        <v>0</v>
      </c>
      <c r="E48" s="76">
        <v>0</v>
      </c>
      <c r="F48" s="76">
        <v>0</v>
      </c>
      <c r="G48" s="76">
        <v>0</v>
      </c>
      <c r="H48" s="76">
        <v>0</v>
      </c>
      <c r="I48" s="76">
        <v>0</v>
      </c>
      <c r="J48" s="76">
        <v>0</v>
      </c>
      <c r="K48" s="75">
        <v>0</v>
      </c>
      <c r="L48" s="76">
        <v>0</v>
      </c>
      <c r="M48" s="76">
        <v>0</v>
      </c>
      <c r="N48" s="52">
        <f>SUM(B48:M48)</f>
        <v>0</v>
      </c>
      <c r="O48" s="103"/>
      <c r="P48" s="92"/>
    </row>
    <row r="49" spans="1:17" ht="12.75" customHeight="1">
      <c r="A49" s="2"/>
      <c r="B49" s="88"/>
      <c r="C49" s="88"/>
      <c r="D49" s="88"/>
      <c r="E49" s="88"/>
      <c r="F49" s="88"/>
      <c r="G49" s="88"/>
      <c r="H49" s="88"/>
      <c r="I49" s="88"/>
      <c r="J49" s="88"/>
      <c r="K49" s="71"/>
      <c r="L49" s="88"/>
      <c r="M49" s="88"/>
      <c r="N49" s="88"/>
      <c r="O49" s="92"/>
      <c r="P49" s="92"/>
    </row>
    <row r="50" spans="1:17" ht="12.75" customHeight="1">
      <c r="A50" s="5"/>
      <c r="B50" s="90"/>
      <c r="C50" s="90"/>
      <c r="D50" s="90"/>
      <c r="E50" s="90"/>
      <c r="F50" s="90"/>
      <c r="G50" s="90"/>
      <c r="H50" s="90"/>
      <c r="I50" s="90"/>
      <c r="J50" s="90"/>
      <c r="K50" s="113"/>
      <c r="L50" s="90"/>
      <c r="M50" s="90"/>
      <c r="N50" s="90"/>
      <c r="O50" s="98"/>
      <c r="P50" s="98"/>
    </row>
    <row r="51" spans="1:17" ht="25.5">
      <c r="A51" s="45"/>
      <c r="B51" s="46">
        <v>39630</v>
      </c>
      <c r="C51" s="46">
        <v>39661</v>
      </c>
      <c r="D51" s="46">
        <v>39692</v>
      </c>
      <c r="E51" s="46">
        <v>39722</v>
      </c>
      <c r="F51" s="46">
        <v>39753</v>
      </c>
      <c r="G51" s="46">
        <v>39783</v>
      </c>
      <c r="H51" s="46">
        <v>39814</v>
      </c>
      <c r="I51" s="46">
        <v>39845</v>
      </c>
      <c r="J51" s="46">
        <v>39873</v>
      </c>
      <c r="K51" s="46">
        <v>39904</v>
      </c>
      <c r="L51" s="46">
        <v>39934</v>
      </c>
      <c r="M51" s="46">
        <v>39965</v>
      </c>
      <c r="N51" s="47" t="s">
        <v>354</v>
      </c>
      <c r="O51" s="55" t="s">
        <v>191</v>
      </c>
      <c r="P51" s="55" t="s">
        <v>86</v>
      </c>
      <c r="Q51" s="2"/>
    </row>
    <row r="52" spans="1:17" ht="12.75" customHeight="1">
      <c r="A52" s="48" t="s">
        <v>177</v>
      </c>
      <c r="B52" s="46"/>
      <c r="C52" s="46"/>
      <c r="D52" s="46"/>
      <c r="E52" s="46"/>
      <c r="F52" s="46"/>
      <c r="G52" s="46"/>
      <c r="H52" s="46"/>
      <c r="I52" s="46"/>
      <c r="J52" s="46"/>
      <c r="K52" s="46"/>
      <c r="L52" s="46"/>
      <c r="M52" s="46"/>
      <c r="N52" s="57"/>
      <c r="O52" s="99"/>
      <c r="P52" s="99"/>
    </row>
    <row r="53" spans="1:17" ht="12.75" customHeight="1">
      <c r="A53" s="50" t="s">
        <v>260</v>
      </c>
      <c r="B53" s="78">
        <v>271</v>
      </c>
      <c r="C53" s="78">
        <v>124</v>
      </c>
      <c r="D53" s="78">
        <v>305</v>
      </c>
      <c r="E53" s="78">
        <v>447</v>
      </c>
      <c r="F53" s="78">
        <v>402</v>
      </c>
      <c r="G53" s="78">
        <v>164</v>
      </c>
      <c r="H53" s="78">
        <v>132</v>
      </c>
      <c r="I53" s="78">
        <v>366</v>
      </c>
      <c r="J53" s="78">
        <v>398</v>
      </c>
      <c r="K53" s="78">
        <v>410</v>
      </c>
      <c r="L53" s="78">
        <v>101</v>
      </c>
      <c r="M53" s="78">
        <v>111</v>
      </c>
      <c r="N53" s="52">
        <f>SUM(B53:M53)</f>
        <v>3231</v>
      </c>
      <c r="O53" s="103"/>
      <c r="P53" s="92"/>
    </row>
    <row r="54" spans="1:17" ht="12.75" customHeight="1">
      <c r="A54" s="50" t="s">
        <v>202</v>
      </c>
      <c r="B54" s="78">
        <v>703</v>
      </c>
      <c r="C54" s="78">
        <v>566</v>
      </c>
      <c r="D54" s="78">
        <v>817</v>
      </c>
      <c r="E54" s="78">
        <v>1072</v>
      </c>
      <c r="F54" s="78">
        <v>917</v>
      </c>
      <c r="G54" s="78">
        <v>462</v>
      </c>
      <c r="H54" s="78">
        <v>394</v>
      </c>
      <c r="I54" s="78">
        <v>803</v>
      </c>
      <c r="J54" s="78">
        <v>1120</v>
      </c>
      <c r="K54" s="78">
        <v>831</v>
      </c>
      <c r="L54" s="78">
        <v>163</v>
      </c>
      <c r="M54" s="78">
        <v>307</v>
      </c>
      <c r="N54" s="52">
        <f>SUM(B54:M54)</f>
        <v>8155</v>
      </c>
      <c r="O54" s="103">
        <v>0</v>
      </c>
      <c r="P54" s="92" t="s">
        <v>229</v>
      </c>
    </row>
    <row r="55" spans="1:17" ht="12.75" customHeight="1">
      <c r="A55" s="50" t="s">
        <v>241</v>
      </c>
      <c r="B55" s="76">
        <v>2</v>
      </c>
      <c r="C55" s="76">
        <v>2</v>
      </c>
      <c r="D55" s="76">
        <v>2</v>
      </c>
      <c r="E55" s="76">
        <v>2</v>
      </c>
      <c r="F55" s="76">
        <v>2</v>
      </c>
      <c r="G55" s="76">
        <v>2</v>
      </c>
      <c r="H55" s="76">
        <v>2</v>
      </c>
      <c r="I55" s="76">
        <v>2</v>
      </c>
      <c r="J55" s="76">
        <v>2</v>
      </c>
      <c r="K55" s="76">
        <v>2</v>
      </c>
      <c r="L55" s="76">
        <v>2</v>
      </c>
      <c r="M55" s="76">
        <v>2</v>
      </c>
      <c r="N55" s="52"/>
      <c r="O55" s="103"/>
      <c r="P55" s="92"/>
    </row>
    <row r="56" spans="1:17" ht="12.75" customHeight="1">
      <c r="A56" s="50" t="s">
        <v>226</v>
      </c>
      <c r="B56" s="76">
        <v>49</v>
      </c>
      <c r="C56" s="76">
        <v>13</v>
      </c>
      <c r="D56" s="76">
        <v>12</v>
      </c>
      <c r="E56" s="76">
        <v>58</v>
      </c>
      <c r="F56" s="76">
        <v>78</v>
      </c>
      <c r="G56" s="76">
        <v>6</v>
      </c>
      <c r="H56" s="76">
        <v>1</v>
      </c>
      <c r="I56" s="76">
        <v>25</v>
      </c>
      <c r="J56" s="76">
        <v>72</v>
      </c>
      <c r="K56" s="76">
        <v>33</v>
      </c>
      <c r="L56" s="76">
        <v>0</v>
      </c>
      <c r="M56" s="76">
        <v>13</v>
      </c>
      <c r="N56" s="52">
        <f>SUM(B56:M56)</f>
        <v>360</v>
      </c>
      <c r="O56" s="103"/>
      <c r="P56" s="92"/>
    </row>
    <row r="57" spans="1:17" ht="12.75" customHeight="1">
      <c r="A57" s="2"/>
      <c r="B57" s="88"/>
      <c r="C57" s="88"/>
      <c r="D57" s="88"/>
      <c r="E57" s="88"/>
      <c r="F57" s="88"/>
      <c r="G57" s="88"/>
      <c r="H57" s="88"/>
      <c r="I57" s="88"/>
      <c r="J57" s="88"/>
      <c r="K57" s="88"/>
      <c r="L57" s="88"/>
      <c r="M57" s="88"/>
      <c r="N57" s="88"/>
      <c r="O57" s="92"/>
      <c r="P57" s="92"/>
    </row>
    <row r="58" spans="1:17" ht="12.75" customHeight="1">
      <c r="A58" s="5"/>
      <c r="B58" s="89"/>
      <c r="C58" s="89"/>
      <c r="D58" s="89"/>
      <c r="E58" s="89"/>
      <c r="F58" s="89"/>
      <c r="G58" s="89"/>
      <c r="H58" s="89"/>
      <c r="I58" s="89"/>
      <c r="J58" s="89"/>
      <c r="K58" s="89"/>
      <c r="L58" s="89"/>
      <c r="M58" s="89"/>
      <c r="N58" s="90"/>
      <c r="O58" s="98"/>
      <c r="P58" s="98"/>
    </row>
    <row r="59" spans="1:17" ht="25.5">
      <c r="A59" s="45"/>
      <c r="B59" s="46">
        <v>39630</v>
      </c>
      <c r="C59" s="46">
        <v>39661</v>
      </c>
      <c r="D59" s="46">
        <v>39692</v>
      </c>
      <c r="E59" s="46">
        <v>39722</v>
      </c>
      <c r="F59" s="46">
        <v>39753</v>
      </c>
      <c r="G59" s="46">
        <v>39783</v>
      </c>
      <c r="H59" s="46">
        <v>39814</v>
      </c>
      <c r="I59" s="46">
        <v>39845</v>
      </c>
      <c r="J59" s="46">
        <v>39873</v>
      </c>
      <c r="K59" s="46">
        <v>39904</v>
      </c>
      <c r="L59" s="46">
        <v>39934</v>
      </c>
      <c r="M59" s="46">
        <v>39965</v>
      </c>
      <c r="N59" s="47" t="s">
        <v>354</v>
      </c>
      <c r="O59" s="55" t="s">
        <v>191</v>
      </c>
      <c r="P59" s="55" t="s">
        <v>86</v>
      </c>
      <c r="Q59" s="2"/>
    </row>
    <row r="60" spans="1:17" ht="12.75" customHeight="1">
      <c r="A60" s="48" t="s">
        <v>232</v>
      </c>
      <c r="B60" s="46"/>
      <c r="C60" s="46"/>
      <c r="D60" s="46"/>
      <c r="E60" s="46"/>
      <c r="F60" s="46"/>
      <c r="G60" s="46"/>
      <c r="H60" s="46"/>
      <c r="I60" s="46"/>
      <c r="J60" s="46"/>
      <c r="K60" s="46"/>
      <c r="L60" s="46"/>
      <c r="M60" s="46"/>
      <c r="N60" s="57"/>
      <c r="O60" s="99"/>
      <c r="P60" s="99"/>
    </row>
    <row r="61" spans="1:17" ht="12.75" customHeight="1">
      <c r="A61" s="50" t="s">
        <v>260</v>
      </c>
      <c r="B61" s="78">
        <v>8</v>
      </c>
      <c r="C61" s="78">
        <v>0</v>
      </c>
      <c r="D61" s="78">
        <v>9</v>
      </c>
      <c r="E61" s="78">
        <v>15</v>
      </c>
      <c r="F61" s="78">
        <v>20</v>
      </c>
      <c r="G61" s="78">
        <v>14</v>
      </c>
      <c r="H61" s="78">
        <v>0</v>
      </c>
      <c r="I61" s="78">
        <v>16</v>
      </c>
      <c r="J61" s="78">
        <v>24</v>
      </c>
      <c r="K61" s="78">
        <v>8</v>
      </c>
      <c r="L61" s="78">
        <v>4</v>
      </c>
      <c r="M61" s="78">
        <v>11</v>
      </c>
      <c r="N61" s="52">
        <f>SUM(B61:M61)</f>
        <v>129</v>
      </c>
      <c r="O61" s="103"/>
      <c r="P61" s="92"/>
    </row>
    <row r="62" spans="1:17" ht="12.75" customHeight="1">
      <c r="A62" s="50" t="s">
        <v>202</v>
      </c>
      <c r="B62" s="78">
        <v>6</v>
      </c>
      <c r="C62" s="78">
        <v>0</v>
      </c>
      <c r="D62" s="78">
        <v>8</v>
      </c>
      <c r="E62" s="78">
        <v>22</v>
      </c>
      <c r="F62" s="78">
        <v>24</v>
      </c>
      <c r="G62" s="78">
        <v>16</v>
      </c>
      <c r="H62" s="78">
        <v>0</v>
      </c>
      <c r="I62" s="78">
        <v>8</v>
      </c>
      <c r="J62" s="78">
        <v>21</v>
      </c>
      <c r="K62" s="78">
        <v>8</v>
      </c>
      <c r="L62" s="78">
        <v>4</v>
      </c>
      <c r="M62" s="78">
        <v>4</v>
      </c>
      <c r="N62" s="52">
        <f>SUM(B62:M62)</f>
        <v>121</v>
      </c>
      <c r="O62" s="103">
        <v>0</v>
      </c>
      <c r="P62" s="92" t="s">
        <v>229</v>
      </c>
    </row>
    <row r="63" spans="1:17" ht="12.75" customHeight="1">
      <c r="A63" s="50" t="s">
        <v>241</v>
      </c>
      <c r="B63" s="76">
        <v>2</v>
      </c>
      <c r="C63" s="76">
        <v>0</v>
      </c>
      <c r="D63" s="76">
        <v>2</v>
      </c>
      <c r="E63" s="76">
        <v>2</v>
      </c>
      <c r="F63" s="76">
        <v>2</v>
      </c>
      <c r="G63" s="76">
        <v>2</v>
      </c>
      <c r="H63" s="76">
        <v>0</v>
      </c>
      <c r="I63" s="76">
        <v>2</v>
      </c>
      <c r="J63" s="76">
        <v>2</v>
      </c>
      <c r="K63" s="76">
        <v>2</v>
      </c>
      <c r="L63" s="76">
        <v>2</v>
      </c>
      <c r="M63" s="76">
        <v>2</v>
      </c>
      <c r="N63" s="52"/>
      <c r="O63" s="103"/>
      <c r="P63" s="92"/>
    </row>
    <row r="64" spans="1:17" ht="12.75" customHeight="1">
      <c r="A64" s="50" t="s">
        <v>226</v>
      </c>
      <c r="B64" s="76">
        <v>0</v>
      </c>
      <c r="C64" s="76">
        <v>0</v>
      </c>
      <c r="D64" s="76">
        <v>0</v>
      </c>
      <c r="E64" s="76">
        <v>0</v>
      </c>
      <c r="F64" s="76">
        <v>0</v>
      </c>
      <c r="G64" s="76">
        <v>0</v>
      </c>
      <c r="H64" s="76">
        <v>0</v>
      </c>
      <c r="I64" s="76">
        <v>0</v>
      </c>
      <c r="J64" s="76">
        <v>0</v>
      </c>
      <c r="K64" s="76">
        <v>0</v>
      </c>
      <c r="L64" s="76">
        <v>0</v>
      </c>
      <c r="M64" s="76">
        <v>0</v>
      </c>
      <c r="N64" s="52">
        <f>SUM(B64:M64)</f>
        <v>0</v>
      </c>
      <c r="O64" s="103"/>
      <c r="P64" s="92"/>
    </row>
    <row r="65" spans="1:17" ht="12.75" customHeight="1">
      <c r="A65" s="2"/>
      <c r="B65" s="88"/>
      <c r="C65" s="88"/>
      <c r="D65" s="88"/>
      <c r="E65" s="88"/>
      <c r="F65" s="88"/>
      <c r="G65" s="88"/>
      <c r="H65" s="88"/>
      <c r="I65" s="88"/>
      <c r="J65" s="88"/>
      <c r="K65" s="88"/>
      <c r="L65" s="88"/>
      <c r="M65" s="88"/>
      <c r="N65" s="88"/>
      <c r="O65" s="92"/>
      <c r="P65" s="92"/>
    </row>
    <row r="66" spans="1:17" ht="12.75" customHeight="1">
      <c r="A66" s="5"/>
      <c r="B66" s="90"/>
      <c r="C66" s="90"/>
      <c r="D66" s="90"/>
      <c r="E66" s="90"/>
      <c r="F66" s="90"/>
      <c r="G66" s="90"/>
      <c r="H66" s="90"/>
      <c r="I66" s="90"/>
      <c r="J66" s="90"/>
      <c r="K66" s="90"/>
      <c r="L66" s="90"/>
      <c r="M66" s="90"/>
      <c r="N66" s="90"/>
      <c r="O66" s="98"/>
      <c r="P66" s="98"/>
    </row>
    <row r="67" spans="1:17" ht="25.5">
      <c r="A67" s="45"/>
      <c r="B67" s="46">
        <v>39630</v>
      </c>
      <c r="C67" s="46">
        <v>39661</v>
      </c>
      <c r="D67" s="46">
        <v>39692</v>
      </c>
      <c r="E67" s="46">
        <v>39722</v>
      </c>
      <c r="F67" s="46">
        <v>39753</v>
      </c>
      <c r="G67" s="46">
        <v>39783</v>
      </c>
      <c r="H67" s="46">
        <v>39814</v>
      </c>
      <c r="I67" s="46">
        <v>39845</v>
      </c>
      <c r="J67" s="46">
        <v>39873</v>
      </c>
      <c r="K67" s="46">
        <v>39904</v>
      </c>
      <c r="L67" s="46">
        <v>39934</v>
      </c>
      <c r="M67" s="46">
        <v>39965</v>
      </c>
      <c r="N67" s="47" t="s">
        <v>354</v>
      </c>
      <c r="O67" s="55" t="s">
        <v>191</v>
      </c>
      <c r="P67" s="55" t="s">
        <v>86</v>
      </c>
      <c r="Q67" s="2"/>
    </row>
    <row r="68" spans="1:17" ht="12.75" customHeight="1">
      <c r="A68" s="48" t="s">
        <v>276</v>
      </c>
      <c r="B68" s="46"/>
      <c r="C68" s="46"/>
      <c r="D68" s="46"/>
      <c r="E68" s="46"/>
      <c r="F68" s="46"/>
      <c r="G68" s="46"/>
      <c r="H68" s="46"/>
      <c r="I68" s="46"/>
      <c r="J68" s="46"/>
      <c r="K68" s="46"/>
      <c r="L68" s="46"/>
      <c r="M68" s="46"/>
      <c r="N68" s="57"/>
      <c r="O68" s="99"/>
      <c r="P68" s="99"/>
    </row>
    <row r="69" spans="1:17" ht="12.75" customHeight="1">
      <c r="A69" s="50" t="s">
        <v>260</v>
      </c>
      <c r="B69" s="78">
        <v>25</v>
      </c>
      <c r="C69" s="78">
        <v>7</v>
      </c>
      <c r="D69" s="78">
        <v>42</v>
      </c>
      <c r="E69" s="78">
        <v>52</v>
      </c>
      <c r="F69" s="78">
        <v>47</v>
      </c>
      <c r="G69" s="78">
        <v>20</v>
      </c>
      <c r="H69" s="78">
        <v>12</v>
      </c>
      <c r="I69" s="78">
        <v>44</v>
      </c>
      <c r="J69" s="78">
        <v>41</v>
      </c>
      <c r="K69" s="78">
        <v>23</v>
      </c>
      <c r="L69" s="78">
        <v>7</v>
      </c>
      <c r="M69" s="78">
        <v>27</v>
      </c>
      <c r="N69" s="52">
        <f>SUM(B69:M69)</f>
        <v>347</v>
      </c>
      <c r="O69" s="103"/>
      <c r="P69" s="92"/>
    </row>
    <row r="70" spans="1:17" ht="12.75" customHeight="1">
      <c r="A70" s="50" t="s">
        <v>202</v>
      </c>
      <c r="B70" s="78">
        <v>37</v>
      </c>
      <c r="C70" s="78">
        <v>12</v>
      </c>
      <c r="D70" s="78">
        <v>63</v>
      </c>
      <c r="E70" s="78">
        <v>56</v>
      </c>
      <c r="F70" s="78">
        <v>78</v>
      </c>
      <c r="G70" s="78">
        <v>27</v>
      </c>
      <c r="H70" s="78">
        <v>12</v>
      </c>
      <c r="I70" s="78">
        <v>60</v>
      </c>
      <c r="J70" s="78">
        <v>62</v>
      </c>
      <c r="K70" s="78">
        <v>20</v>
      </c>
      <c r="L70" s="78">
        <v>21</v>
      </c>
      <c r="M70" s="78">
        <v>40</v>
      </c>
      <c r="N70" s="52">
        <f>SUM(B70:M70)</f>
        <v>488</v>
      </c>
      <c r="O70" s="103">
        <v>0</v>
      </c>
      <c r="P70" s="92" t="s">
        <v>229</v>
      </c>
    </row>
    <row r="71" spans="1:17" ht="12.75" customHeight="1">
      <c r="A71" s="50" t="s">
        <v>241</v>
      </c>
      <c r="B71" s="76">
        <v>2</v>
      </c>
      <c r="C71" s="76">
        <v>2</v>
      </c>
      <c r="D71" s="76">
        <v>2</v>
      </c>
      <c r="E71" s="76">
        <v>2</v>
      </c>
      <c r="F71" s="76">
        <v>2</v>
      </c>
      <c r="G71" s="76">
        <v>2</v>
      </c>
      <c r="H71" s="76">
        <v>2</v>
      </c>
      <c r="I71" s="76">
        <v>2</v>
      </c>
      <c r="J71" s="76">
        <v>2</v>
      </c>
      <c r="K71" s="76">
        <v>2</v>
      </c>
      <c r="L71" s="76">
        <v>2</v>
      </c>
      <c r="M71" s="76">
        <v>2</v>
      </c>
      <c r="N71" s="52"/>
      <c r="O71" s="103"/>
      <c r="P71" s="92"/>
    </row>
    <row r="72" spans="1:17" ht="12.75" customHeight="1">
      <c r="A72" s="50" t="s">
        <v>226</v>
      </c>
      <c r="B72" s="76">
        <v>0</v>
      </c>
      <c r="C72" s="76">
        <v>0</v>
      </c>
      <c r="D72" s="76">
        <v>2</v>
      </c>
      <c r="E72" s="76">
        <v>0</v>
      </c>
      <c r="F72" s="76">
        <v>0</v>
      </c>
      <c r="G72" s="76">
        <v>0</v>
      </c>
      <c r="H72" s="76">
        <v>0</v>
      </c>
      <c r="I72" s="76">
        <v>0</v>
      </c>
      <c r="J72" s="76">
        <v>0</v>
      </c>
      <c r="K72" s="76">
        <v>0</v>
      </c>
      <c r="L72" s="76">
        <v>0</v>
      </c>
      <c r="M72" s="76">
        <v>0</v>
      </c>
      <c r="N72" s="52">
        <f>SUM(B72:M72)</f>
        <v>2</v>
      </c>
      <c r="O72" s="103"/>
      <c r="P72" s="92"/>
    </row>
    <row r="73" spans="1:17" ht="12.75" customHeight="1">
      <c r="A73" s="2"/>
      <c r="B73" s="88"/>
      <c r="C73" s="88"/>
      <c r="D73" s="88"/>
      <c r="E73" s="88"/>
      <c r="F73" s="88"/>
      <c r="G73" s="88"/>
      <c r="H73" s="88"/>
      <c r="I73" s="88"/>
      <c r="J73" s="88"/>
      <c r="K73" s="88"/>
      <c r="L73" s="88"/>
      <c r="M73" s="88"/>
      <c r="N73" s="88"/>
      <c r="O73" s="92"/>
      <c r="P73" s="92"/>
    </row>
    <row r="74" spans="1:17" ht="12.75" customHeight="1">
      <c r="A74" s="5"/>
      <c r="B74" s="90"/>
      <c r="C74" s="90"/>
      <c r="D74" s="90"/>
      <c r="E74" s="90"/>
      <c r="F74" s="90"/>
      <c r="G74" s="90"/>
      <c r="H74" s="90"/>
      <c r="I74" s="90"/>
      <c r="J74" s="90"/>
      <c r="K74" s="90"/>
      <c r="L74" s="90"/>
      <c r="M74" s="90"/>
      <c r="N74" s="90"/>
      <c r="O74" s="98"/>
      <c r="P74" s="98"/>
    </row>
    <row r="75" spans="1:17" ht="25.5">
      <c r="A75" s="45"/>
      <c r="B75" s="46">
        <v>39630</v>
      </c>
      <c r="C75" s="46">
        <v>39661</v>
      </c>
      <c r="D75" s="46">
        <v>39692</v>
      </c>
      <c r="E75" s="46">
        <v>39722</v>
      </c>
      <c r="F75" s="46">
        <v>39753</v>
      </c>
      <c r="G75" s="46">
        <v>39783</v>
      </c>
      <c r="H75" s="46">
        <v>39814</v>
      </c>
      <c r="I75" s="46">
        <v>39845</v>
      </c>
      <c r="J75" s="46">
        <v>39873</v>
      </c>
      <c r="K75" s="46">
        <v>39904</v>
      </c>
      <c r="L75" s="46">
        <v>39934</v>
      </c>
      <c r="M75" s="46">
        <v>39965</v>
      </c>
      <c r="N75" s="47" t="s">
        <v>354</v>
      </c>
      <c r="O75" s="55" t="s">
        <v>191</v>
      </c>
      <c r="P75" s="55" t="s">
        <v>86</v>
      </c>
      <c r="Q75" s="2"/>
    </row>
    <row r="76" spans="1:17" ht="12.75" customHeight="1">
      <c r="A76" s="48" t="s">
        <v>349</v>
      </c>
      <c r="B76" s="46"/>
      <c r="C76" s="46"/>
      <c r="D76" s="46"/>
      <c r="E76" s="46"/>
      <c r="F76" s="46"/>
      <c r="G76" s="46"/>
      <c r="H76" s="46"/>
      <c r="I76" s="46"/>
      <c r="J76" s="46"/>
      <c r="K76" s="46"/>
      <c r="L76" s="46"/>
      <c r="M76" s="46"/>
      <c r="N76" s="57"/>
      <c r="O76" s="99"/>
      <c r="P76" s="99"/>
    </row>
    <row r="77" spans="1:17" ht="12.75" customHeight="1">
      <c r="A77" s="50" t="s">
        <v>260</v>
      </c>
      <c r="B77" s="78">
        <v>9</v>
      </c>
      <c r="C77" s="78">
        <v>5</v>
      </c>
      <c r="D77" s="78">
        <v>35</v>
      </c>
      <c r="E77" s="78">
        <v>12</v>
      </c>
      <c r="F77" s="78">
        <v>7</v>
      </c>
      <c r="G77" s="78">
        <v>8</v>
      </c>
      <c r="H77" s="78">
        <v>4</v>
      </c>
      <c r="I77" s="78">
        <v>1</v>
      </c>
      <c r="J77" s="78">
        <v>6</v>
      </c>
      <c r="K77" s="78">
        <v>5</v>
      </c>
      <c r="L77" s="78">
        <v>3</v>
      </c>
      <c r="M77" s="78">
        <v>7</v>
      </c>
      <c r="N77" s="52">
        <f>SUM(B77:M77)</f>
        <v>102</v>
      </c>
      <c r="O77" s="103"/>
      <c r="P77" s="92"/>
    </row>
    <row r="78" spans="1:17" ht="12.75" customHeight="1">
      <c r="A78" s="50" t="s">
        <v>202</v>
      </c>
      <c r="B78" s="78">
        <v>10</v>
      </c>
      <c r="C78" s="78">
        <v>7</v>
      </c>
      <c r="D78" s="78">
        <v>107</v>
      </c>
      <c r="E78" s="78">
        <v>20</v>
      </c>
      <c r="F78" s="78">
        <v>1</v>
      </c>
      <c r="G78" s="78">
        <v>9</v>
      </c>
      <c r="H78" s="78">
        <v>5</v>
      </c>
      <c r="I78" s="78">
        <v>2</v>
      </c>
      <c r="J78" s="78">
        <v>3</v>
      </c>
      <c r="K78" s="78">
        <v>6</v>
      </c>
      <c r="L78" s="78">
        <v>3</v>
      </c>
      <c r="M78" s="78">
        <v>10</v>
      </c>
      <c r="N78" s="52">
        <f>SUM(B78:M78)</f>
        <v>183</v>
      </c>
      <c r="O78" s="103">
        <v>0</v>
      </c>
      <c r="P78" s="92" t="s">
        <v>229</v>
      </c>
    </row>
    <row r="79" spans="1:17" ht="12.75" customHeight="1">
      <c r="A79" s="50" t="s">
        <v>241</v>
      </c>
      <c r="B79" s="76">
        <v>2</v>
      </c>
      <c r="C79" s="76">
        <v>2</v>
      </c>
      <c r="D79" s="76">
        <v>2</v>
      </c>
      <c r="E79" s="76">
        <v>2</v>
      </c>
      <c r="F79" s="76">
        <v>2</v>
      </c>
      <c r="G79" s="76">
        <v>2</v>
      </c>
      <c r="H79" s="76">
        <v>2</v>
      </c>
      <c r="I79" s="76">
        <v>2</v>
      </c>
      <c r="J79" s="76">
        <v>2</v>
      </c>
      <c r="K79" s="76">
        <v>2</v>
      </c>
      <c r="L79" s="76">
        <v>2</v>
      </c>
      <c r="M79" s="76">
        <v>2</v>
      </c>
      <c r="N79" s="52"/>
      <c r="O79" s="103"/>
      <c r="P79" s="92"/>
    </row>
    <row r="80" spans="1:17" ht="12.75" customHeight="1">
      <c r="A80" s="50" t="s">
        <v>226</v>
      </c>
      <c r="B80" s="76">
        <v>0</v>
      </c>
      <c r="C80" s="76">
        <v>0</v>
      </c>
      <c r="D80" s="76">
        <v>0</v>
      </c>
      <c r="E80" s="76">
        <v>0</v>
      </c>
      <c r="F80" s="76">
        <v>0</v>
      </c>
      <c r="G80" s="76">
        <v>0</v>
      </c>
      <c r="H80" s="76">
        <v>0</v>
      </c>
      <c r="I80" s="76">
        <v>0</v>
      </c>
      <c r="J80" s="76">
        <v>0</v>
      </c>
      <c r="K80" s="76">
        <v>0</v>
      </c>
      <c r="L80" s="76">
        <v>0</v>
      </c>
      <c r="M80" s="76">
        <v>0</v>
      </c>
      <c r="N80" s="52">
        <f>SUM(B80:M80)</f>
        <v>0</v>
      </c>
      <c r="O80" s="103"/>
      <c r="P80" s="92"/>
    </row>
    <row r="81" spans="1:17" ht="12.75" customHeight="1">
      <c r="A81" s="2"/>
      <c r="B81" s="88"/>
      <c r="C81" s="88"/>
      <c r="D81" s="88"/>
      <c r="E81" s="88"/>
      <c r="F81" s="88"/>
      <c r="G81" s="88"/>
      <c r="H81" s="88"/>
      <c r="I81" s="88"/>
      <c r="J81" s="88"/>
      <c r="K81" s="88"/>
      <c r="L81" s="88"/>
      <c r="M81" s="88"/>
      <c r="N81" s="88"/>
      <c r="O81" s="92"/>
      <c r="P81" s="92"/>
    </row>
    <row r="82" spans="1:17" ht="12.75" customHeight="1">
      <c r="A82" s="5"/>
      <c r="B82" s="90"/>
      <c r="C82" s="90"/>
      <c r="D82" s="90"/>
      <c r="E82" s="90"/>
      <c r="F82" s="90"/>
      <c r="G82" s="90"/>
      <c r="H82" s="90"/>
      <c r="I82" s="90"/>
      <c r="J82" s="90"/>
      <c r="K82" s="90"/>
      <c r="L82" s="90"/>
      <c r="M82" s="90"/>
      <c r="N82" s="90"/>
      <c r="O82" s="98"/>
      <c r="P82" s="98"/>
    </row>
    <row r="83" spans="1:17" ht="25.5">
      <c r="A83" s="45"/>
      <c r="B83" s="46">
        <v>39630</v>
      </c>
      <c r="C83" s="46">
        <v>39661</v>
      </c>
      <c r="D83" s="46">
        <v>39692</v>
      </c>
      <c r="E83" s="46">
        <v>39722</v>
      </c>
      <c r="F83" s="46">
        <v>39753</v>
      </c>
      <c r="G83" s="46">
        <v>39783</v>
      </c>
      <c r="H83" s="46">
        <v>39814</v>
      </c>
      <c r="I83" s="46">
        <v>39845</v>
      </c>
      <c r="J83" s="46">
        <v>39873</v>
      </c>
      <c r="K83" s="46">
        <v>39904</v>
      </c>
      <c r="L83" s="46">
        <v>39934</v>
      </c>
      <c r="M83" s="46">
        <v>39965</v>
      </c>
      <c r="N83" s="47" t="s">
        <v>354</v>
      </c>
      <c r="O83" s="55" t="s">
        <v>191</v>
      </c>
      <c r="P83" s="55" t="s">
        <v>86</v>
      </c>
      <c r="Q83" s="2"/>
    </row>
    <row r="84" spans="1:17" ht="12.75" customHeight="1">
      <c r="A84" s="48" t="s">
        <v>101</v>
      </c>
      <c r="B84" s="46"/>
      <c r="C84" s="46"/>
      <c r="D84" s="46"/>
      <c r="E84" s="46"/>
      <c r="F84" s="46" t="s">
        <v>13</v>
      </c>
      <c r="G84" s="46" t="s">
        <v>13</v>
      </c>
      <c r="H84" s="46"/>
      <c r="I84" s="46"/>
      <c r="J84" s="46"/>
      <c r="K84" s="46"/>
      <c r="L84" s="46"/>
      <c r="M84" s="46"/>
      <c r="N84" s="57"/>
      <c r="O84" s="99"/>
      <c r="P84" s="99"/>
    </row>
    <row r="85" spans="1:17" ht="12.75" customHeight="1">
      <c r="A85" s="50" t="s">
        <v>260</v>
      </c>
      <c r="B85" s="78">
        <v>8</v>
      </c>
      <c r="C85" s="78">
        <v>2</v>
      </c>
      <c r="D85" s="78">
        <v>3</v>
      </c>
      <c r="E85" s="78">
        <v>0</v>
      </c>
      <c r="F85" s="78">
        <v>0</v>
      </c>
      <c r="G85" s="78">
        <v>9</v>
      </c>
      <c r="H85" s="78">
        <v>3</v>
      </c>
      <c r="I85" s="78">
        <v>0</v>
      </c>
      <c r="J85" s="78">
        <v>0</v>
      </c>
      <c r="K85" s="78">
        <v>3</v>
      </c>
      <c r="L85" s="78">
        <v>0</v>
      </c>
      <c r="M85" s="78">
        <v>4</v>
      </c>
      <c r="N85" s="52">
        <f>SUM(B85:M85)</f>
        <v>32</v>
      </c>
      <c r="O85" s="103"/>
      <c r="P85" s="92"/>
    </row>
    <row r="86" spans="1:17" ht="12.75" customHeight="1">
      <c r="A86" s="50" t="s">
        <v>202</v>
      </c>
      <c r="B86" s="78">
        <v>3</v>
      </c>
      <c r="C86" s="78">
        <v>1</v>
      </c>
      <c r="D86" s="78">
        <v>2</v>
      </c>
      <c r="E86" s="78">
        <v>0</v>
      </c>
      <c r="F86" s="78">
        <v>0</v>
      </c>
      <c r="G86" s="78">
        <v>15</v>
      </c>
      <c r="H86" s="78">
        <v>3</v>
      </c>
      <c r="I86" s="78">
        <v>0</v>
      </c>
      <c r="J86" s="78">
        <v>0</v>
      </c>
      <c r="K86" s="78">
        <v>5</v>
      </c>
      <c r="L86" s="78">
        <v>0</v>
      </c>
      <c r="M86" s="78">
        <v>3</v>
      </c>
      <c r="N86" s="52">
        <f>SUM(B86:M86)</f>
        <v>32</v>
      </c>
      <c r="O86" s="103">
        <v>0</v>
      </c>
      <c r="P86" s="92" t="s">
        <v>229</v>
      </c>
    </row>
    <row r="87" spans="1:17" ht="12.75" customHeight="1">
      <c r="A87" s="50" t="s">
        <v>241</v>
      </c>
      <c r="B87" s="76">
        <v>2</v>
      </c>
      <c r="C87" s="76">
        <v>2</v>
      </c>
      <c r="D87" s="76">
        <v>2</v>
      </c>
      <c r="E87" s="76">
        <v>2</v>
      </c>
      <c r="F87" s="76">
        <v>2</v>
      </c>
      <c r="G87" s="76">
        <v>0</v>
      </c>
      <c r="H87" s="76">
        <v>2</v>
      </c>
      <c r="I87" s="76">
        <v>2</v>
      </c>
      <c r="J87" s="76">
        <v>2</v>
      </c>
      <c r="K87" s="76">
        <v>2</v>
      </c>
      <c r="L87" s="76">
        <v>2</v>
      </c>
      <c r="M87" s="76">
        <v>2</v>
      </c>
      <c r="N87" s="52"/>
      <c r="O87" s="103"/>
      <c r="P87" s="92"/>
    </row>
    <row r="88" spans="1:17" ht="12.75" customHeight="1">
      <c r="A88" s="50" t="s">
        <v>226</v>
      </c>
      <c r="B88" s="76">
        <v>0</v>
      </c>
      <c r="C88" s="76">
        <v>0</v>
      </c>
      <c r="D88" s="76">
        <v>0</v>
      </c>
      <c r="E88" s="76">
        <v>0</v>
      </c>
      <c r="F88" s="76">
        <v>0</v>
      </c>
      <c r="G88" s="76">
        <v>0</v>
      </c>
      <c r="H88" s="76">
        <v>0</v>
      </c>
      <c r="I88" s="76">
        <v>0</v>
      </c>
      <c r="J88" s="76">
        <v>0</v>
      </c>
      <c r="K88" s="76">
        <v>0</v>
      </c>
      <c r="L88" s="76">
        <v>0</v>
      </c>
      <c r="M88" s="76">
        <v>0</v>
      </c>
      <c r="N88" s="52">
        <f>SUM(B88:M88)</f>
        <v>0</v>
      </c>
      <c r="O88" s="103"/>
      <c r="P88" s="92"/>
    </row>
    <row r="89" spans="1:17" ht="12.75" customHeight="1">
      <c r="A89" s="2"/>
      <c r="B89" s="88"/>
      <c r="C89" s="88"/>
      <c r="D89" s="88"/>
      <c r="E89" s="88"/>
      <c r="F89" s="88"/>
      <c r="G89" s="88"/>
      <c r="H89" s="88"/>
      <c r="I89" s="88"/>
      <c r="J89" s="88"/>
      <c r="K89" s="88"/>
      <c r="L89" s="88"/>
      <c r="M89" s="88"/>
      <c r="N89" s="88"/>
      <c r="O89" s="92"/>
      <c r="P89" s="92"/>
    </row>
    <row r="90" spans="1:17" ht="12.75" customHeight="1">
      <c r="A90" s="5"/>
      <c r="B90" s="90"/>
      <c r="C90" s="90"/>
      <c r="D90" s="90"/>
      <c r="E90" s="90"/>
      <c r="F90" s="90"/>
      <c r="G90" s="90"/>
      <c r="H90" s="90"/>
      <c r="I90" s="90"/>
      <c r="J90" s="90"/>
      <c r="K90" s="90"/>
      <c r="L90" s="90"/>
      <c r="M90" s="90"/>
      <c r="N90" s="90"/>
      <c r="O90" s="98"/>
      <c r="P90" s="98"/>
    </row>
    <row r="91" spans="1:17" ht="25.5">
      <c r="A91" s="45"/>
      <c r="B91" s="46">
        <v>39630</v>
      </c>
      <c r="C91" s="46">
        <v>39661</v>
      </c>
      <c r="D91" s="46">
        <v>39692</v>
      </c>
      <c r="E91" s="46">
        <v>39722</v>
      </c>
      <c r="F91" s="46">
        <v>39753</v>
      </c>
      <c r="G91" s="46">
        <v>39783</v>
      </c>
      <c r="H91" s="46">
        <v>39814</v>
      </c>
      <c r="I91" s="46">
        <v>39845</v>
      </c>
      <c r="J91" s="46">
        <v>39873</v>
      </c>
      <c r="K91" s="46">
        <v>39904</v>
      </c>
      <c r="L91" s="46">
        <v>39934</v>
      </c>
      <c r="M91" s="46">
        <v>39965</v>
      </c>
      <c r="N91" s="47" t="s">
        <v>354</v>
      </c>
      <c r="O91" s="55" t="s">
        <v>191</v>
      </c>
      <c r="P91" s="55" t="s">
        <v>86</v>
      </c>
      <c r="Q91" s="2"/>
    </row>
    <row r="92" spans="1:17" ht="12.75" customHeight="1">
      <c r="A92" s="48" t="s">
        <v>62</v>
      </c>
      <c r="B92" s="46"/>
      <c r="C92" s="46"/>
      <c r="D92" s="46"/>
      <c r="E92" s="46"/>
      <c r="F92" s="46"/>
      <c r="G92" s="46"/>
      <c r="H92" s="46"/>
      <c r="I92" s="46"/>
      <c r="J92" s="46"/>
      <c r="K92" s="46"/>
      <c r="L92" s="46"/>
      <c r="M92" s="46"/>
      <c r="N92" s="57"/>
      <c r="O92" s="99"/>
      <c r="P92" s="99"/>
    </row>
    <row r="93" spans="1:17" ht="12.75" customHeight="1">
      <c r="A93" s="50" t="s">
        <v>260</v>
      </c>
      <c r="B93" s="78">
        <v>12</v>
      </c>
      <c r="C93" s="78">
        <v>25</v>
      </c>
      <c r="D93" s="78">
        <v>15</v>
      </c>
      <c r="E93" s="78">
        <v>13</v>
      </c>
      <c r="F93" s="78">
        <v>26</v>
      </c>
      <c r="G93" s="78">
        <v>3</v>
      </c>
      <c r="H93" s="78">
        <v>1</v>
      </c>
      <c r="I93" s="78">
        <v>16</v>
      </c>
      <c r="J93" s="78">
        <v>13</v>
      </c>
      <c r="K93" s="78">
        <v>10</v>
      </c>
      <c r="L93" s="78">
        <v>10</v>
      </c>
      <c r="M93" s="78">
        <v>14</v>
      </c>
      <c r="N93" s="52">
        <f>SUM(B93:M93)</f>
        <v>158</v>
      </c>
      <c r="O93" s="103"/>
      <c r="P93" s="92"/>
    </row>
    <row r="94" spans="1:17" ht="12.75" customHeight="1">
      <c r="A94" s="50" t="s">
        <v>202</v>
      </c>
      <c r="B94" s="78">
        <v>15</v>
      </c>
      <c r="C94" s="78">
        <v>32</v>
      </c>
      <c r="D94" s="78">
        <v>9</v>
      </c>
      <c r="E94" s="78">
        <v>17</v>
      </c>
      <c r="F94" s="78">
        <v>66</v>
      </c>
      <c r="G94" s="78">
        <v>1</v>
      </c>
      <c r="H94" s="78">
        <v>1</v>
      </c>
      <c r="I94" s="78">
        <v>33</v>
      </c>
      <c r="J94" s="78">
        <v>19</v>
      </c>
      <c r="K94" s="78">
        <v>5</v>
      </c>
      <c r="L94" s="78">
        <v>7</v>
      </c>
      <c r="M94" s="78">
        <v>21</v>
      </c>
      <c r="N94" s="52">
        <f>SUM(B94:M94)</f>
        <v>226</v>
      </c>
      <c r="O94" s="103">
        <v>0</v>
      </c>
      <c r="P94" s="92" t="s">
        <v>229</v>
      </c>
    </row>
    <row r="95" spans="1:17" ht="12.75" customHeight="1">
      <c r="A95" s="50" t="s">
        <v>241</v>
      </c>
      <c r="B95" s="76">
        <v>2</v>
      </c>
      <c r="C95" s="76">
        <v>0</v>
      </c>
      <c r="D95" s="76">
        <v>2</v>
      </c>
      <c r="E95" s="76">
        <v>2</v>
      </c>
      <c r="F95" s="76">
        <v>2</v>
      </c>
      <c r="G95" s="76">
        <v>2</v>
      </c>
      <c r="H95" s="76">
        <v>2</v>
      </c>
      <c r="I95" s="76">
        <v>2</v>
      </c>
      <c r="J95" s="76">
        <v>2</v>
      </c>
      <c r="K95" s="76">
        <v>2</v>
      </c>
      <c r="L95" s="76">
        <v>2</v>
      </c>
      <c r="M95" s="76">
        <v>2</v>
      </c>
      <c r="N95" s="52"/>
      <c r="O95" s="103"/>
      <c r="P95" s="92"/>
    </row>
    <row r="96" spans="1:17" ht="12.75" customHeight="1">
      <c r="A96" s="50" t="s">
        <v>226</v>
      </c>
      <c r="B96" s="76">
        <v>0</v>
      </c>
      <c r="C96" s="76">
        <v>0</v>
      </c>
      <c r="D96" s="76">
        <v>0</v>
      </c>
      <c r="E96" s="76">
        <v>0</v>
      </c>
      <c r="F96" s="76">
        <v>0</v>
      </c>
      <c r="G96" s="76">
        <v>0</v>
      </c>
      <c r="H96" s="76">
        <v>0</v>
      </c>
      <c r="I96" s="76">
        <v>0</v>
      </c>
      <c r="J96" s="76">
        <v>0</v>
      </c>
      <c r="K96" s="76">
        <v>0</v>
      </c>
      <c r="L96" s="76">
        <v>7</v>
      </c>
      <c r="M96" s="76">
        <v>0</v>
      </c>
      <c r="N96" s="52">
        <f>SUM(B96:M96)</f>
        <v>7</v>
      </c>
      <c r="O96" s="103"/>
      <c r="P96" s="92"/>
    </row>
    <row r="97" spans="1:17" ht="12.75" customHeight="1">
      <c r="A97" s="2"/>
      <c r="B97" s="88"/>
      <c r="C97" s="88"/>
      <c r="D97" s="88"/>
      <c r="E97" s="88"/>
      <c r="F97" s="88"/>
      <c r="G97" s="88"/>
      <c r="H97" s="88"/>
      <c r="I97" s="88"/>
      <c r="J97" s="88"/>
      <c r="K97" s="88"/>
      <c r="L97" s="88"/>
      <c r="M97" s="88"/>
      <c r="N97" s="88"/>
      <c r="O97" s="92"/>
      <c r="P97" s="92"/>
    </row>
    <row r="98" spans="1:17" ht="12.75" customHeight="1">
      <c r="A98" s="5"/>
      <c r="B98" s="90"/>
      <c r="C98" s="90"/>
      <c r="D98" s="90"/>
      <c r="E98" s="90"/>
      <c r="F98" s="90"/>
      <c r="G98" s="90"/>
      <c r="H98" s="90"/>
      <c r="I98" s="90"/>
      <c r="J98" s="90"/>
      <c r="K98" s="90"/>
      <c r="L98" s="90"/>
      <c r="M98" s="90"/>
      <c r="N98" s="90"/>
      <c r="O98" s="98"/>
      <c r="P98" s="98"/>
    </row>
    <row r="99" spans="1:17" ht="25.5">
      <c r="A99" s="45"/>
      <c r="B99" s="46">
        <v>39630</v>
      </c>
      <c r="C99" s="46">
        <v>39661</v>
      </c>
      <c r="D99" s="46">
        <v>39692</v>
      </c>
      <c r="E99" s="46">
        <v>39722</v>
      </c>
      <c r="F99" s="46">
        <v>39753</v>
      </c>
      <c r="G99" s="46">
        <v>39783</v>
      </c>
      <c r="H99" s="46">
        <v>39814</v>
      </c>
      <c r="I99" s="46">
        <v>39845</v>
      </c>
      <c r="J99" s="46">
        <v>39873</v>
      </c>
      <c r="K99" s="46">
        <v>39904</v>
      </c>
      <c r="L99" s="46">
        <v>39934</v>
      </c>
      <c r="M99" s="46">
        <v>39965</v>
      </c>
      <c r="N99" s="47" t="s">
        <v>354</v>
      </c>
      <c r="O99" s="55" t="s">
        <v>191</v>
      </c>
      <c r="P99" s="55" t="s">
        <v>86</v>
      </c>
      <c r="Q99" s="2"/>
    </row>
    <row r="100" spans="1:17" ht="12.75" customHeight="1">
      <c r="A100" s="48" t="s">
        <v>90</v>
      </c>
      <c r="B100" s="46"/>
      <c r="C100" s="46"/>
      <c r="D100" s="46"/>
      <c r="E100" s="46"/>
      <c r="F100" s="46"/>
      <c r="G100" s="46"/>
      <c r="H100" s="46"/>
      <c r="I100" s="46"/>
      <c r="J100" s="46"/>
      <c r="K100" s="46"/>
      <c r="L100" s="46"/>
      <c r="M100" s="46"/>
      <c r="N100" s="57"/>
      <c r="O100" s="99"/>
      <c r="P100" s="99"/>
    </row>
    <row r="101" spans="1:17" ht="12.75" customHeight="1">
      <c r="A101" s="50" t="s">
        <v>260</v>
      </c>
      <c r="B101" s="78">
        <v>216</v>
      </c>
      <c r="C101" s="78">
        <v>124</v>
      </c>
      <c r="D101" s="78">
        <v>313</v>
      </c>
      <c r="E101" s="78">
        <v>398</v>
      </c>
      <c r="F101" s="78">
        <v>325</v>
      </c>
      <c r="G101" s="78">
        <v>223</v>
      </c>
      <c r="H101" s="78">
        <v>220</v>
      </c>
      <c r="I101" s="78">
        <v>315</v>
      </c>
      <c r="J101" s="78">
        <v>291</v>
      </c>
      <c r="K101" s="78">
        <v>269</v>
      </c>
      <c r="L101" s="78">
        <v>200</v>
      </c>
      <c r="M101" s="78">
        <v>213</v>
      </c>
      <c r="N101" s="52">
        <f>SUM(B101:M101)</f>
        <v>3107</v>
      </c>
      <c r="O101" s="103"/>
      <c r="P101" s="92"/>
    </row>
    <row r="102" spans="1:17" ht="12.75" customHeight="1">
      <c r="A102" s="50" t="s">
        <v>202</v>
      </c>
      <c r="B102" s="78">
        <v>1572</v>
      </c>
      <c r="C102" s="78">
        <v>346</v>
      </c>
      <c r="D102" s="78">
        <v>2460</v>
      </c>
      <c r="E102" s="78">
        <v>2286</v>
      </c>
      <c r="F102" s="78">
        <v>1126</v>
      </c>
      <c r="G102" s="78">
        <v>1509</v>
      </c>
      <c r="H102" s="78">
        <v>489</v>
      </c>
      <c r="I102" s="78">
        <v>870</v>
      </c>
      <c r="J102" s="78">
        <v>1336</v>
      </c>
      <c r="K102" s="78">
        <v>1510</v>
      </c>
      <c r="L102" s="78">
        <v>1203</v>
      </c>
      <c r="M102" s="78">
        <v>1302</v>
      </c>
      <c r="N102" s="52">
        <f>SUM(B102:M102)</f>
        <v>16009</v>
      </c>
      <c r="O102" s="103">
        <v>0</v>
      </c>
      <c r="P102" s="92">
        <f>O102/N102</f>
        <v>0</v>
      </c>
    </row>
    <row r="103" spans="1:17" ht="12.75" customHeight="1">
      <c r="A103" s="50" t="s">
        <v>241</v>
      </c>
      <c r="B103" s="76">
        <v>2</v>
      </c>
      <c r="C103" s="76">
        <v>2</v>
      </c>
      <c r="D103" s="76">
        <v>2</v>
      </c>
      <c r="E103" s="76">
        <v>2</v>
      </c>
      <c r="F103" s="76">
        <v>2</v>
      </c>
      <c r="G103" s="76">
        <v>2</v>
      </c>
      <c r="H103" s="76">
        <v>2</v>
      </c>
      <c r="I103" s="76">
        <v>2</v>
      </c>
      <c r="J103" s="76">
        <v>2</v>
      </c>
      <c r="K103" s="76">
        <v>2</v>
      </c>
      <c r="L103" s="76">
        <v>2</v>
      </c>
      <c r="M103" s="76">
        <v>2</v>
      </c>
      <c r="N103" s="52"/>
      <c r="O103" s="103"/>
      <c r="P103" s="92"/>
    </row>
    <row r="104" spans="1:17" ht="12.75" customHeight="1">
      <c r="A104" s="50" t="s">
        <v>226</v>
      </c>
      <c r="B104" s="76">
        <v>11</v>
      </c>
      <c r="C104" s="76">
        <v>2</v>
      </c>
      <c r="D104" s="76">
        <v>122</v>
      </c>
      <c r="E104" s="76">
        <v>33</v>
      </c>
      <c r="F104" s="76">
        <v>14</v>
      </c>
      <c r="G104" s="76">
        <v>12</v>
      </c>
      <c r="H104" s="76">
        <v>3</v>
      </c>
      <c r="I104" s="76">
        <v>66</v>
      </c>
      <c r="J104" s="76">
        <v>59</v>
      </c>
      <c r="K104" s="76">
        <v>7</v>
      </c>
      <c r="L104" s="76">
        <v>10</v>
      </c>
      <c r="M104" s="76">
        <v>5</v>
      </c>
      <c r="N104" s="52">
        <f>SUM(B104:M104)</f>
        <v>344</v>
      </c>
      <c r="O104" s="103"/>
      <c r="P104" s="92"/>
    </row>
    <row r="105" spans="1:17" ht="12.75" customHeight="1">
      <c r="A105" s="2"/>
      <c r="B105" s="88"/>
      <c r="C105" s="88"/>
      <c r="D105" s="88"/>
      <c r="E105" s="88"/>
      <c r="F105" s="88"/>
      <c r="G105" s="88"/>
      <c r="H105" s="88"/>
      <c r="I105" s="88"/>
      <c r="J105" s="88"/>
      <c r="K105" s="88"/>
      <c r="L105" s="88"/>
      <c r="M105" s="88"/>
      <c r="N105" s="88"/>
      <c r="O105" s="92"/>
      <c r="P105" s="92"/>
    </row>
    <row r="106" spans="1:17" ht="12.75" customHeight="1">
      <c r="A106" s="5"/>
      <c r="B106" s="90"/>
      <c r="C106" s="90"/>
      <c r="D106" s="90"/>
      <c r="E106" s="90"/>
      <c r="F106" s="90"/>
      <c r="G106" s="90"/>
      <c r="H106" s="90"/>
      <c r="I106" s="90"/>
      <c r="J106" s="90"/>
      <c r="K106" s="90"/>
      <c r="L106" s="90"/>
      <c r="M106" s="90"/>
      <c r="N106" s="90"/>
      <c r="O106" s="98"/>
      <c r="P106" s="98"/>
    </row>
    <row r="107" spans="1:17" ht="25.5">
      <c r="A107" s="45"/>
      <c r="B107" s="46">
        <v>39630</v>
      </c>
      <c r="C107" s="46">
        <v>39661</v>
      </c>
      <c r="D107" s="46">
        <v>39692</v>
      </c>
      <c r="E107" s="46">
        <v>39722</v>
      </c>
      <c r="F107" s="46">
        <v>39753</v>
      </c>
      <c r="G107" s="46">
        <v>39783</v>
      </c>
      <c r="H107" s="46">
        <v>39814</v>
      </c>
      <c r="I107" s="46">
        <v>39845</v>
      </c>
      <c r="J107" s="46">
        <v>39873</v>
      </c>
      <c r="K107" s="46">
        <v>39904</v>
      </c>
      <c r="L107" s="46">
        <v>39934</v>
      </c>
      <c r="M107" s="46">
        <v>39965</v>
      </c>
      <c r="N107" s="47" t="s">
        <v>354</v>
      </c>
      <c r="O107" s="55" t="s">
        <v>191</v>
      </c>
      <c r="P107" s="55" t="s">
        <v>86</v>
      </c>
      <c r="Q107" s="2"/>
    </row>
    <row r="108" spans="1:17" ht="12.75" customHeight="1">
      <c r="A108" s="48" t="s">
        <v>263</v>
      </c>
      <c r="B108" s="46"/>
      <c r="C108" s="46"/>
      <c r="D108" s="46"/>
      <c r="E108" s="46"/>
      <c r="F108" s="46"/>
      <c r="G108" s="46"/>
      <c r="H108" s="46"/>
      <c r="I108" s="46"/>
      <c r="J108" s="46"/>
      <c r="K108" s="46"/>
      <c r="L108" s="46"/>
      <c r="M108" s="46"/>
      <c r="N108" s="57"/>
      <c r="O108" s="99"/>
      <c r="P108" s="99"/>
    </row>
    <row r="109" spans="1:17" ht="12.75" customHeight="1">
      <c r="A109" s="50" t="s">
        <v>260</v>
      </c>
      <c r="B109" s="78">
        <v>6</v>
      </c>
      <c r="C109" s="78">
        <v>0</v>
      </c>
      <c r="D109" s="78">
        <v>15</v>
      </c>
      <c r="E109" s="78">
        <v>32</v>
      </c>
      <c r="F109" s="78">
        <v>16</v>
      </c>
      <c r="G109" s="78">
        <v>4</v>
      </c>
      <c r="H109" s="78">
        <v>2</v>
      </c>
      <c r="I109" s="78">
        <v>7</v>
      </c>
      <c r="J109" s="78">
        <v>10</v>
      </c>
      <c r="K109" s="78">
        <v>3</v>
      </c>
      <c r="L109" s="78">
        <v>6</v>
      </c>
      <c r="M109" s="78">
        <v>5</v>
      </c>
      <c r="N109" s="52">
        <f>SUM(B109:M109)</f>
        <v>106</v>
      </c>
      <c r="O109" s="103"/>
      <c r="P109" s="92"/>
    </row>
    <row r="110" spans="1:17" ht="12.75" customHeight="1">
      <c r="A110" s="50" t="s">
        <v>202</v>
      </c>
      <c r="B110" s="78">
        <v>14</v>
      </c>
      <c r="C110" s="78">
        <v>0</v>
      </c>
      <c r="D110" s="78">
        <v>33</v>
      </c>
      <c r="E110" s="78">
        <v>50</v>
      </c>
      <c r="F110" s="78">
        <v>34</v>
      </c>
      <c r="G110" s="78">
        <v>10</v>
      </c>
      <c r="H110" s="78">
        <v>1</v>
      </c>
      <c r="I110" s="78">
        <v>17</v>
      </c>
      <c r="J110" s="78">
        <v>16</v>
      </c>
      <c r="K110" s="78">
        <v>6</v>
      </c>
      <c r="L110" s="78">
        <v>9</v>
      </c>
      <c r="M110" s="78">
        <v>8</v>
      </c>
      <c r="N110" s="52">
        <f>SUM(B110:M110)</f>
        <v>198</v>
      </c>
      <c r="O110" s="103">
        <v>0</v>
      </c>
      <c r="P110" s="92" t="s">
        <v>229</v>
      </c>
    </row>
    <row r="111" spans="1:17" ht="12.75" customHeight="1">
      <c r="A111" s="50" t="s">
        <v>241</v>
      </c>
      <c r="B111" s="76">
        <v>2</v>
      </c>
      <c r="C111" s="76">
        <v>2</v>
      </c>
      <c r="D111" s="76">
        <v>2</v>
      </c>
      <c r="E111" s="76">
        <v>2</v>
      </c>
      <c r="F111" s="76">
        <v>2</v>
      </c>
      <c r="G111" s="76">
        <v>2</v>
      </c>
      <c r="H111" s="76">
        <v>2</v>
      </c>
      <c r="I111" s="76">
        <v>2</v>
      </c>
      <c r="J111" s="76">
        <v>2</v>
      </c>
      <c r="K111" s="76">
        <v>2</v>
      </c>
      <c r="L111" s="76">
        <v>2</v>
      </c>
      <c r="M111" s="76">
        <v>2</v>
      </c>
      <c r="N111" s="52"/>
      <c r="O111" s="103"/>
      <c r="P111" s="92"/>
    </row>
    <row r="112" spans="1:17" ht="12.75" customHeight="1">
      <c r="A112" s="50" t="s">
        <v>226</v>
      </c>
      <c r="B112" s="76">
        <v>0</v>
      </c>
      <c r="C112" s="76">
        <v>0</v>
      </c>
      <c r="D112" s="76">
        <v>2</v>
      </c>
      <c r="E112" s="76">
        <v>1</v>
      </c>
      <c r="F112" s="76">
        <v>0</v>
      </c>
      <c r="G112" s="76">
        <v>0</v>
      </c>
      <c r="H112" s="76">
        <v>0</v>
      </c>
      <c r="I112" s="76">
        <v>0</v>
      </c>
      <c r="J112" s="76">
        <v>0</v>
      </c>
      <c r="K112" s="76">
        <v>0</v>
      </c>
      <c r="L112" s="76">
        <v>0</v>
      </c>
      <c r="M112" s="76">
        <v>0</v>
      </c>
      <c r="N112" s="52">
        <f>SUM(B112:M112)</f>
        <v>3</v>
      </c>
      <c r="O112" s="103"/>
      <c r="P112" s="92"/>
    </row>
    <row r="113" spans="1:17" ht="12.75" customHeight="1">
      <c r="A113" s="2"/>
      <c r="B113" s="40"/>
      <c r="C113" s="40"/>
      <c r="D113" s="40"/>
      <c r="E113" s="40"/>
      <c r="F113" s="40"/>
      <c r="G113" s="40"/>
      <c r="H113" s="40"/>
      <c r="I113" s="40"/>
      <c r="J113" s="40"/>
      <c r="K113" s="40"/>
      <c r="L113" s="40"/>
      <c r="M113" s="40"/>
      <c r="N113" s="114"/>
      <c r="O113" s="92"/>
      <c r="P113" s="92"/>
    </row>
    <row r="114" spans="1:17" ht="12.75" customHeight="1">
      <c r="A114" s="2"/>
      <c r="B114" s="2"/>
      <c r="C114" s="2"/>
      <c r="D114" s="2"/>
      <c r="E114" s="2"/>
      <c r="F114" s="2"/>
      <c r="G114" s="2"/>
      <c r="H114" s="2"/>
      <c r="I114" s="2"/>
      <c r="J114" s="2"/>
      <c r="K114" s="2"/>
      <c r="L114" s="2"/>
      <c r="M114" s="2"/>
      <c r="N114" s="118"/>
      <c r="O114" s="92"/>
      <c r="P114" s="92"/>
    </row>
    <row r="115" spans="1:17" ht="12.75" customHeight="1">
      <c r="A115" s="5"/>
      <c r="B115" s="5"/>
      <c r="C115" s="5"/>
      <c r="D115" s="5"/>
      <c r="E115" s="5"/>
      <c r="F115" s="5"/>
      <c r="G115" s="5"/>
      <c r="H115" s="5"/>
      <c r="I115" s="5"/>
      <c r="J115" s="5"/>
      <c r="K115" s="5"/>
      <c r="L115" s="5"/>
      <c r="M115" s="5"/>
      <c r="N115" s="119"/>
      <c r="O115" s="98"/>
      <c r="P115" s="98"/>
    </row>
    <row r="116" spans="1:17" ht="25.5">
      <c r="A116" s="45"/>
      <c r="B116" s="46">
        <v>39630</v>
      </c>
      <c r="C116" s="46">
        <v>39661</v>
      </c>
      <c r="D116" s="46">
        <v>39692</v>
      </c>
      <c r="E116" s="46">
        <v>39722</v>
      </c>
      <c r="F116" s="46">
        <v>39753</v>
      </c>
      <c r="G116" s="46">
        <v>39783</v>
      </c>
      <c r="H116" s="46">
        <v>39814</v>
      </c>
      <c r="I116" s="46">
        <v>39845</v>
      </c>
      <c r="J116" s="46">
        <v>39873</v>
      </c>
      <c r="K116" s="46">
        <v>39904</v>
      </c>
      <c r="L116" s="46">
        <v>39934</v>
      </c>
      <c r="M116" s="46">
        <v>39965</v>
      </c>
      <c r="N116" s="47" t="s">
        <v>354</v>
      </c>
      <c r="O116" s="55" t="s">
        <v>191</v>
      </c>
      <c r="P116" s="55" t="s">
        <v>86</v>
      </c>
      <c r="Q116" s="2"/>
    </row>
    <row r="117" spans="1:17" ht="12.75" customHeight="1">
      <c r="A117" s="48" t="s">
        <v>164</v>
      </c>
      <c r="B117" s="46"/>
      <c r="C117" s="46"/>
      <c r="D117" s="46"/>
      <c r="E117" s="46"/>
      <c r="F117" s="46"/>
      <c r="G117" s="46"/>
      <c r="H117" s="46"/>
      <c r="I117" s="46"/>
      <c r="J117" s="46"/>
      <c r="K117" s="46"/>
      <c r="L117" s="46"/>
      <c r="M117" s="46"/>
      <c r="N117" s="57"/>
      <c r="O117" s="99"/>
      <c r="P117" s="99"/>
    </row>
    <row r="118" spans="1:17" ht="12.75" customHeight="1">
      <c r="A118" s="50" t="s">
        <v>260</v>
      </c>
      <c r="B118" s="78">
        <v>740</v>
      </c>
      <c r="C118" s="78">
        <v>337</v>
      </c>
      <c r="D118" s="78">
        <v>949</v>
      </c>
      <c r="E118" s="78">
        <v>1408</v>
      </c>
      <c r="F118" s="78">
        <v>1098</v>
      </c>
      <c r="G118" s="78">
        <v>630</v>
      </c>
      <c r="H118" s="78">
        <v>447</v>
      </c>
      <c r="I118" s="78">
        <v>1014</v>
      </c>
      <c r="J118" s="78">
        <v>1036</v>
      </c>
      <c r="K118" s="78">
        <v>946</v>
      </c>
      <c r="L118" s="78">
        <v>411</v>
      </c>
      <c r="M118" s="78">
        <v>509</v>
      </c>
      <c r="N118" s="52">
        <f>SUM(B118:M118)</f>
        <v>9525</v>
      </c>
      <c r="O118" s="103"/>
      <c r="P118" s="92"/>
    </row>
    <row r="119" spans="1:17" ht="12.75" customHeight="1">
      <c r="A119" s="50" t="s">
        <v>202</v>
      </c>
      <c r="B119" s="78">
        <v>3041</v>
      </c>
      <c r="C119" s="78">
        <v>1499</v>
      </c>
      <c r="D119" s="78">
        <v>4356</v>
      </c>
      <c r="E119" s="78">
        <v>4739</v>
      </c>
      <c r="F119" s="78">
        <v>2779</v>
      </c>
      <c r="G119" s="78">
        <v>2338</v>
      </c>
      <c r="H119" s="78">
        <v>1274</v>
      </c>
      <c r="I119" s="78">
        <v>2490</v>
      </c>
      <c r="J119" s="78">
        <v>3301</v>
      </c>
      <c r="K119" s="78">
        <v>3048</v>
      </c>
      <c r="L119" s="78">
        <v>1620</v>
      </c>
      <c r="M119" s="78">
        <v>2366</v>
      </c>
      <c r="N119" s="52">
        <f>SUM(B119:M119)</f>
        <v>32851</v>
      </c>
      <c r="O119" s="103">
        <v>9215</v>
      </c>
      <c r="P119" s="92" t="s">
        <v>13</v>
      </c>
    </row>
    <row r="120" spans="1:17" ht="12.75" customHeight="1">
      <c r="A120" s="50" t="s">
        <v>304</v>
      </c>
      <c r="B120" s="76">
        <v>2</v>
      </c>
      <c r="C120" s="76">
        <v>2</v>
      </c>
      <c r="D120" s="76">
        <v>2</v>
      </c>
      <c r="E120" s="76">
        <v>2</v>
      </c>
      <c r="F120" s="76">
        <v>2</v>
      </c>
      <c r="G120" s="76">
        <v>2</v>
      </c>
      <c r="H120" s="76">
        <v>2</v>
      </c>
      <c r="I120" s="76">
        <v>2</v>
      </c>
      <c r="J120" s="76">
        <v>2</v>
      </c>
      <c r="K120" s="76">
        <v>2</v>
      </c>
      <c r="L120" s="76">
        <v>2</v>
      </c>
      <c r="M120" s="76">
        <v>2</v>
      </c>
      <c r="N120" s="52"/>
      <c r="O120" s="103"/>
      <c r="P120" s="92"/>
    </row>
    <row r="121" spans="1:17" ht="12.75" customHeight="1">
      <c r="A121" s="50" t="s">
        <v>226</v>
      </c>
      <c r="B121" s="76">
        <v>62</v>
      </c>
      <c r="C121" s="76">
        <v>17</v>
      </c>
      <c r="D121" s="76">
        <v>139</v>
      </c>
      <c r="E121" s="76">
        <v>121</v>
      </c>
      <c r="F121" s="76">
        <v>92</v>
      </c>
      <c r="G121" s="76">
        <v>28</v>
      </c>
      <c r="H121" s="76">
        <v>4</v>
      </c>
      <c r="I121" s="76">
        <v>104</v>
      </c>
      <c r="J121" s="76">
        <v>143</v>
      </c>
      <c r="K121" s="76">
        <v>43</v>
      </c>
      <c r="L121" s="76">
        <v>19</v>
      </c>
      <c r="M121" s="76">
        <v>19</v>
      </c>
      <c r="N121" s="52">
        <f>SUM(B121:M121)</f>
        <v>791</v>
      </c>
      <c r="O121" s="103"/>
      <c r="P121" s="92"/>
    </row>
    <row r="122" spans="1:17" ht="12.75" customHeight="1">
      <c r="A122" s="2"/>
      <c r="B122" s="88"/>
      <c r="C122" s="88"/>
      <c r="D122" s="88"/>
      <c r="E122" s="88"/>
      <c r="F122" s="88"/>
      <c r="G122" s="88"/>
      <c r="H122" s="88"/>
      <c r="I122" s="88"/>
      <c r="J122" s="88"/>
      <c r="K122" s="88"/>
      <c r="L122" s="88"/>
      <c r="M122" s="88"/>
      <c r="N122" s="88"/>
      <c r="O122" s="92"/>
      <c r="P122" s="92"/>
    </row>
    <row r="123" spans="1:17" ht="12.75" customHeight="1">
      <c r="A123" s="5"/>
      <c r="B123" s="90"/>
      <c r="C123" s="90"/>
      <c r="D123" s="90"/>
      <c r="E123" s="90"/>
      <c r="F123" s="90"/>
      <c r="G123" s="90"/>
      <c r="H123" s="90"/>
      <c r="I123" s="90"/>
      <c r="J123" s="90"/>
      <c r="K123" s="90"/>
      <c r="L123" s="90"/>
      <c r="M123" s="90"/>
      <c r="N123" s="90"/>
      <c r="O123" s="98"/>
      <c r="P123" s="98"/>
    </row>
    <row r="124" spans="1:17" ht="25.5">
      <c r="A124" s="45"/>
      <c r="B124" s="46">
        <v>39630</v>
      </c>
      <c r="C124" s="46">
        <v>39661</v>
      </c>
      <c r="D124" s="46">
        <v>39692</v>
      </c>
      <c r="E124" s="46">
        <v>39722</v>
      </c>
      <c r="F124" s="46">
        <v>39753</v>
      </c>
      <c r="G124" s="46">
        <v>39783</v>
      </c>
      <c r="H124" s="46">
        <v>39814</v>
      </c>
      <c r="I124" s="46">
        <v>39845</v>
      </c>
      <c r="J124" s="46">
        <v>39873</v>
      </c>
      <c r="K124" s="46">
        <v>39904</v>
      </c>
      <c r="L124" s="46">
        <v>39934</v>
      </c>
      <c r="M124" s="46">
        <v>39965</v>
      </c>
      <c r="N124" s="47" t="s">
        <v>354</v>
      </c>
      <c r="O124" s="55" t="s">
        <v>191</v>
      </c>
      <c r="P124" s="55" t="s">
        <v>86</v>
      </c>
      <c r="Q124" s="2"/>
    </row>
    <row r="125" spans="1:17" ht="12.75" customHeight="1">
      <c r="A125" s="48" t="s">
        <v>81</v>
      </c>
      <c r="B125" s="46"/>
      <c r="C125" s="46"/>
      <c r="D125" s="46"/>
      <c r="E125" s="46"/>
      <c r="F125" s="46"/>
      <c r="G125" s="46"/>
      <c r="H125" s="46"/>
      <c r="I125" s="46"/>
      <c r="J125" s="46"/>
      <c r="K125" s="46"/>
      <c r="L125" s="46"/>
      <c r="M125" s="46"/>
      <c r="N125" s="57"/>
      <c r="O125" s="99"/>
      <c r="P125" s="99"/>
    </row>
    <row r="126" spans="1:17" ht="12.75" customHeight="1">
      <c r="A126" s="50" t="s">
        <v>202</v>
      </c>
      <c r="B126" s="78">
        <v>3041</v>
      </c>
      <c r="C126" s="78">
        <v>1502</v>
      </c>
      <c r="D126" s="78">
        <v>4356</v>
      </c>
      <c r="E126" s="78">
        <v>4743</v>
      </c>
      <c r="F126" s="78">
        <v>2795</v>
      </c>
      <c r="G126" s="78">
        <v>2353</v>
      </c>
      <c r="H126" s="78">
        <v>1291</v>
      </c>
      <c r="I126" s="78">
        <v>2504</v>
      </c>
      <c r="J126" s="78">
        <v>3304</v>
      </c>
      <c r="K126" s="78">
        <v>3057</v>
      </c>
      <c r="L126" s="78">
        <v>1620</v>
      </c>
      <c r="M126" s="78">
        <v>2373</v>
      </c>
      <c r="N126" s="52">
        <f>SUM(B126:M126)</f>
        <v>32939</v>
      </c>
      <c r="O126" s="103" t="s">
        <v>13</v>
      </c>
      <c r="P126" s="92" t="s">
        <v>13</v>
      </c>
    </row>
    <row r="127" spans="1:17" ht="12.75" customHeight="1">
      <c r="A127" s="2"/>
      <c r="B127" s="41"/>
      <c r="C127" s="41"/>
      <c r="D127" s="41"/>
      <c r="E127" s="41"/>
      <c r="F127" s="41"/>
      <c r="G127" s="41"/>
      <c r="H127" s="41"/>
      <c r="I127" s="41"/>
      <c r="J127" s="41"/>
      <c r="K127" s="41"/>
      <c r="L127" s="41"/>
      <c r="M127" s="41"/>
      <c r="N127" s="41"/>
      <c r="O127" s="2"/>
      <c r="P127" s="2"/>
    </row>
    <row r="128" spans="1:17" ht="12.75" customHeight="1">
      <c r="A128" s="2"/>
      <c r="O128" s="2"/>
      <c r="P128" s="2"/>
    </row>
    <row r="129" spans="1:16" ht="12.75" customHeight="1">
      <c r="A129" s="2"/>
      <c r="O129" s="2"/>
      <c r="P129" s="2"/>
    </row>
    <row r="130" spans="1:16" ht="12.75" customHeight="1">
      <c r="A130" s="2" t="s">
        <v>15</v>
      </c>
      <c r="B130" s="2" t="s">
        <v>145</v>
      </c>
      <c r="O130" s="2"/>
      <c r="P130" s="2"/>
    </row>
    <row r="131" spans="1:16" ht="12.75" customHeight="1">
      <c r="A131" s="2"/>
      <c r="O131" s="2"/>
      <c r="P131" s="2"/>
    </row>
  </sheetData>
  <pageMargins left="0.75" right="0.75" top="1" bottom="1" header="0.5" footer="0.5"/>
  <pageSetup paperSize="9"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dimension ref="A1:P10"/>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0.5703125" customWidth="1"/>
    <col min="2" max="20" width="9.140625" customWidth="1"/>
  </cols>
  <sheetData>
    <row r="1" spans="1:16" ht="20.25">
      <c r="A1" s="167" t="s">
        <v>288</v>
      </c>
      <c r="B1" s="168"/>
      <c r="C1" s="168"/>
      <c r="D1" s="168"/>
      <c r="E1" s="168"/>
      <c r="F1" s="168"/>
      <c r="G1" s="2"/>
      <c r="H1" s="2"/>
      <c r="I1" s="2"/>
      <c r="J1" s="2"/>
      <c r="K1" s="2"/>
      <c r="L1" s="2"/>
      <c r="M1" s="2"/>
      <c r="N1" s="2"/>
      <c r="O1" s="2"/>
      <c r="P1" s="2"/>
    </row>
    <row r="2" spans="1:16" ht="18">
      <c r="A2" s="173" t="s">
        <v>192</v>
      </c>
      <c r="B2" s="168"/>
      <c r="C2" s="168"/>
      <c r="D2" s="168"/>
      <c r="E2" s="2"/>
      <c r="F2" s="2"/>
      <c r="G2" s="2"/>
      <c r="H2" s="2"/>
      <c r="I2" s="2"/>
      <c r="J2" s="2"/>
      <c r="K2" s="2"/>
      <c r="L2" s="2"/>
      <c r="M2" s="2"/>
      <c r="N2" s="2"/>
      <c r="O2" s="2"/>
      <c r="P2" s="2"/>
    </row>
    <row r="3" spans="1:16" ht="12.75" customHeight="1">
      <c r="A3" s="5"/>
      <c r="B3" s="6"/>
      <c r="C3" s="6"/>
      <c r="D3" s="6"/>
      <c r="E3" s="6"/>
      <c r="F3" s="6"/>
      <c r="G3" s="6"/>
      <c r="H3" s="6"/>
      <c r="I3" s="6"/>
      <c r="J3" s="6"/>
      <c r="K3" s="6"/>
      <c r="L3" s="6"/>
      <c r="M3" s="6"/>
      <c r="N3" s="6"/>
      <c r="O3" s="5"/>
      <c r="P3" s="6"/>
    </row>
    <row r="4" spans="1:16" ht="38.2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47" t="s">
        <v>165</v>
      </c>
    </row>
    <row r="5" spans="1:16" ht="12.75" customHeight="1">
      <c r="A5" s="48" t="s">
        <v>375</v>
      </c>
      <c r="B5" s="49"/>
      <c r="C5" s="49"/>
      <c r="D5" s="49"/>
      <c r="E5" s="49"/>
      <c r="F5" s="49"/>
      <c r="G5" s="49"/>
      <c r="H5" s="49"/>
      <c r="I5" s="49"/>
      <c r="J5" s="49"/>
      <c r="K5" s="49"/>
      <c r="L5" s="49"/>
      <c r="M5" s="49"/>
      <c r="N5" s="49"/>
      <c r="O5" s="40"/>
      <c r="P5" s="41"/>
    </row>
    <row r="6" spans="1:16" ht="12.75" customHeight="1">
      <c r="A6" s="50" t="s">
        <v>371</v>
      </c>
      <c r="B6" s="78" t="s">
        <v>229</v>
      </c>
      <c r="C6" s="78" t="s">
        <v>229</v>
      </c>
      <c r="D6" s="78" t="s">
        <v>229</v>
      </c>
      <c r="E6" s="78" t="s">
        <v>229</v>
      </c>
      <c r="F6" s="78" t="s">
        <v>229</v>
      </c>
      <c r="G6" s="78" t="s">
        <v>229</v>
      </c>
      <c r="H6" s="78" t="s">
        <v>229</v>
      </c>
      <c r="I6" s="78" t="s">
        <v>229</v>
      </c>
      <c r="J6" s="78" t="s">
        <v>229</v>
      </c>
      <c r="K6" s="78" t="s">
        <v>229</v>
      </c>
      <c r="L6" s="78" t="s">
        <v>229</v>
      </c>
      <c r="M6" s="78" t="s">
        <v>229</v>
      </c>
      <c r="N6" s="52">
        <f>SUM(B6:M6)</f>
        <v>0</v>
      </c>
      <c r="O6" s="53"/>
      <c r="P6" s="54" t="s">
        <v>13</v>
      </c>
    </row>
    <row r="7" spans="1:16" ht="12.75" customHeight="1">
      <c r="A7" s="2"/>
      <c r="B7" s="41"/>
      <c r="C7" s="41"/>
      <c r="D7" s="41"/>
      <c r="E7" s="41"/>
      <c r="F7" s="41"/>
      <c r="G7" s="41"/>
      <c r="H7" s="41"/>
      <c r="I7" s="41"/>
      <c r="J7" s="41"/>
      <c r="K7" s="41"/>
      <c r="L7" s="41"/>
      <c r="M7" s="41"/>
      <c r="N7" s="41"/>
      <c r="O7" s="2"/>
    </row>
    <row r="8" spans="1:16" ht="12.75" customHeight="1">
      <c r="A8" s="2"/>
      <c r="O8" s="2"/>
    </row>
    <row r="9" spans="1:16" ht="12.75" customHeight="1">
      <c r="A9" s="2" t="s">
        <v>15</v>
      </c>
      <c r="B9" s="2" t="s">
        <v>145</v>
      </c>
      <c r="O9" s="2"/>
    </row>
    <row r="10" spans="1:16" ht="12.75" customHeight="1">
      <c r="A10" s="2"/>
      <c r="O10" s="2"/>
    </row>
  </sheetData>
  <mergeCells count="2">
    <mergeCell ref="A1:F1"/>
    <mergeCell ref="A2:D2"/>
  </mergeCells>
  <pageMargins left="0.75" right="0.75" top="1" bottom="1" header="0.5" footer="0.5"/>
  <pageSetup paperSize="9"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dimension ref="A1:Q21"/>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2.7109375" customWidth="1"/>
    <col min="2" max="2" width="10.28515625" customWidth="1"/>
    <col min="3" max="3" width="8.7109375" customWidth="1"/>
    <col min="4" max="4" width="8" customWidth="1"/>
    <col min="5" max="5" width="8.85546875" customWidth="1"/>
    <col min="6" max="6" width="8.5703125" customWidth="1"/>
    <col min="7" max="7" width="9.140625" customWidth="1"/>
    <col min="8" max="8" width="7.85546875" customWidth="1"/>
    <col min="9" max="9" width="8.28515625" customWidth="1"/>
    <col min="10" max="10" width="9.42578125" customWidth="1"/>
    <col min="11" max="11" width="9" customWidth="1"/>
    <col min="12" max="12" width="9.28515625" customWidth="1"/>
    <col min="13" max="13" width="9" customWidth="1"/>
    <col min="14" max="14" width="10.28515625" customWidth="1"/>
    <col min="15" max="15" width="10.140625" customWidth="1"/>
    <col min="16" max="16" width="8.5703125" customWidth="1"/>
    <col min="17" max="17" width="9.140625" customWidth="1"/>
  </cols>
  <sheetData>
    <row r="1" spans="1:17" ht="20.25">
      <c r="A1" s="1" t="s">
        <v>55</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6"/>
      <c r="P3" s="6"/>
    </row>
    <row r="4" spans="1:17" ht="25.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47" t="s">
        <v>165</v>
      </c>
      <c r="Q4" s="2"/>
    </row>
    <row r="5" spans="1:17" ht="12.75" customHeight="1">
      <c r="A5" s="174" t="s">
        <v>160</v>
      </c>
      <c r="B5" s="182"/>
      <c r="C5" s="49"/>
      <c r="D5" s="49"/>
      <c r="E5" s="49"/>
      <c r="F5" s="49"/>
      <c r="G5" s="49"/>
      <c r="H5" s="49"/>
      <c r="I5" s="49"/>
      <c r="J5" s="49"/>
      <c r="K5" s="49"/>
      <c r="L5" s="49"/>
      <c r="M5" s="49"/>
      <c r="N5" s="49"/>
      <c r="O5" s="41"/>
      <c r="P5" s="41"/>
    </row>
    <row r="6" spans="1:17" ht="12.75" customHeight="1">
      <c r="A6" s="50" t="s">
        <v>260</v>
      </c>
      <c r="B6" s="120" t="s">
        <v>229</v>
      </c>
      <c r="C6" s="75" t="s">
        <v>229</v>
      </c>
      <c r="D6" s="75" t="s">
        <v>229</v>
      </c>
      <c r="E6" s="75" t="s">
        <v>229</v>
      </c>
      <c r="F6" s="75" t="s">
        <v>229</v>
      </c>
      <c r="G6" s="75" t="s">
        <v>229</v>
      </c>
      <c r="H6" s="78">
        <v>101</v>
      </c>
      <c r="I6" s="78">
        <v>256</v>
      </c>
      <c r="J6" s="78">
        <v>527</v>
      </c>
      <c r="K6" s="78">
        <v>725</v>
      </c>
      <c r="L6" s="78">
        <v>441</v>
      </c>
      <c r="M6" s="78"/>
      <c r="N6" s="52">
        <f>SUM(B6:M6)</f>
        <v>2050</v>
      </c>
      <c r="O6" s="53"/>
      <c r="P6" s="54"/>
    </row>
    <row r="7" spans="1:17" ht="12.75" customHeight="1">
      <c r="A7" s="50" t="s">
        <v>202</v>
      </c>
      <c r="B7" s="75" t="s">
        <v>229</v>
      </c>
      <c r="C7" s="75" t="s">
        <v>229</v>
      </c>
      <c r="D7" s="75" t="s">
        <v>229</v>
      </c>
      <c r="E7" s="75" t="s">
        <v>229</v>
      </c>
      <c r="F7" s="75" t="s">
        <v>229</v>
      </c>
      <c r="G7" s="75" t="s">
        <v>229</v>
      </c>
      <c r="H7" s="78">
        <v>585</v>
      </c>
      <c r="I7" s="78">
        <v>1245</v>
      </c>
      <c r="J7" s="78">
        <v>3185</v>
      </c>
      <c r="K7" s="78">
        <v>1618</v>
      </c>
      <c r="L7" s="78">
        <v>665</v>
      </c>
      <c r="M7" s="78"/>
      <c r="N7" s="52">
        <f>SUM(B7:M7)</f>
        <v>7298</v>
      </c>
      <c r="O7" s="53">
        <v>1874</v>
      </c>
      <c r="P7" s="54" t="s">
        <v>13</v>
      </c>
    </row>
    <row r="8" spans="1:17" ht="12.75" customHeight="1">
      <c r="A8" s="50" t="s">
        <v>226</v>
      </c>
      <c r="B8" s="78" t="s">
        <v>229</v>
      </c>
      <c r="C8" s="78" t="s">
        <v>229</v>
      </c>
      <c r="D8" s="78" t="s">
        <v>229</v>
      </c>
      <c r="E8" s="78" t="s">
        <v>229</v>
      </c>
      <c r="F8" s="78" t="s">
        <v>229</v>
      </c>
      <c r="G8" s="78" t="s">
        <v>229</v>
      </c>
      <c r="H8" s="78">
        <v>0</v>
      </c>
      <c r="I8" s="78">
        <v>0</v>
      </c>
      <c r="J8" s="78">
        <v>0</v>
      </c>
      <c r="K8" s="78">
        <v>0</v>
      </c>
      <c r="L8" s="78">
        <v>0</v>
      </c>
      <c r="M8" s="78"/>
      <c r="N8" s="52">
        <f>SUM(B8:M8)</f>
        <v>0</v>
      </c>
      <c r="O8" s="53"/>
      <c r="P8" s="54"/>
    </row>
    <row r="9" spans="1:17" ht="25.5">
      <c r="A9" s="121" t="s">
        <v>272</v>
      </c>
      <c r="B9" s="122" t="s">
        <v>229</v>
      </c>
      <c r="C9" s="122" t="s">
        <v>229</v>
      </c>
      <c r="D9" s="122" t="s">
        <v>229</v>
      </c>
      <c r="E9" s="122" t="s">
        <v>229</v>
      </c>
      <c r="F9" s="122" t="s">
        <v>229</v>
      </c>
      <c r="G9" s="122" t="s">
        <v>229</v>
      </c>
      <c r="H9" s="123">
        <v>249</v>
      </c>
      <c r="I9" s="123">
        <v>230</v>
      </c>
      <c r="J9" s="123">
        <v>794</v>
      </c>
      <c r="K9" s="123">
        <v>845</v>
      </c>
      <c r="L9" s="123">
        <v>613</v>
      </c>
      <c r="M9" s="123"/>
      <c r="N9" s="124">
        <f>SUM(B9:M9)</f>
        <v>2731</v>
      </c>
      <c r="O9" s="53">
        <v>1874</v>
      </c>
      <c r="P9" s="54" t="s">
        <v>13</v>
      </c>
      <c r="Q9" s="2"/>
    </row>
    <row r="10" spans="1:17" ht="12.75" customHeight="1">
      <c r="A10" s="2"/>
      <c r="B10" s="41"/>
      <c r="C10" s="41"/>
      <c r="D10" s="41"/>
      <c r="E10" s="41"/>
      <c r="F10" s="41"/>
      <c r="G10" s="41"/>
      <c r="H10" s="41"/>
      <c r="I10" s="41"/>
      <c r="J10" s="41"/>
      <c r="K10" s="41"/>
      <c r="L10" s="41"/>
      <c r="M10" s="41"/>
      <c r="N10" s="41"/>
    </row>
    <row r="11" spans="1:17" ht="12.75" customHeight="1">
      <c r="A11" s="2"/>
    </row>
    <row r="12" spans="1:17" ht="12.75" customHeight="1">
      <c r="A12" s="2" t="s">
        <v>15</v>
      </c>
      <c r="B12" s="2" t="s">
        <v>185</v>
      </c>
    </row>
    <row r="13" spans="1:17" ht="12.75" customHeight="1">
      <c r="A13" s="2"/>
    </row>
    <row r="14" spans="1:17" ht="12.75" customHeight="1">
      <c r="A14" s="2"/>
    </row>
    <row r="15" spans="1:17" ht="12.75" customHeight="1">
      <c r="A15" s="2"/>
    </row>
    <row r="16" spans="1:17" ht="12.75" customHeight="1">
      <c r="A16" s="2"/>
      <c r="I16" s="125"/>
    </row>
    <row r="17" spans="1:9" ht="12.75" customHeight="1">
      <c r="A17" s="2"/>
      <c r="I17" s="126"/>
    </row>
    <row r="18" spans="1:9" ht="12.75" customHeight="1">
      <c r="A18" s="2"/>
      <c r="I18" s="126"/>
    </row>
    <row r="19" spans="1:9" ht="12.75" customHeight="1">
      <c r="A19" s="2"/>
      <c r="I19" s="126"/>
    </row>
    <row r="20" spans="1:9" ht="12.75" customHeight="1">
      <c r="A20" s="2"/>
      <c r="I20" s="126"/>
    </row>
    <row r="21" spans="1:9" ht="12.75" customHeight="1">
      <c r="A21" s="2"/>
    </row>
  </sheetData>
  <mergeCells count="1">
    <mergeCell ref="A5:B5"/>
  </mergeCells>
  <pageMargins left="0.75" right="0.75" top="1" bottom="1" header="0.5" footer="0.5"/>
  <pageSetup paperSize="9"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dimension ref="A1:P98"/>
  <sheetViews>
    <sheetView zoomScaleNormal="100" workbookViewId="0"/>
  </sheetViews>
  <sheetFormatPr defaultColWidth="9.140625" defaultRowHeight="12.75" customHeight="1"/>
  <cols>
    <col min="1" max="1" width="21.42578125" customWidth="1"/>
    <col min="2" max="20" width="9.140625" customWidth="1"/>
  </cols>
  <sheetData>
    <row r="1" spans="1:16" ht="20.25">
      <c r="A1" s="167" t="s">
        <v>367</v>
      </c>
      <c r="B1" s="170"/>
      <c r="C1" s="170"/>
      <c r="D1" s="170"/>
    </row>
    <row r="2" spans="1:16" ht="18">
      <c r="A2" s="173" t="s">
        <v>192</v>
      </c>
      <c r="B2" s="170"/>
      <c r="C2" s="170"/>
    </row>
    <row r="3" spans="1:16" ht="12.75" customHeight="1">
      <c r="A3" s="5"/>
      <c r="B3" s="6"/>
      <c r="C3" s="6"/>
      <c r="D3" s="6"/>
      <c r="E3" s="6"/>
      <c r="F3" s="6"/>
      <c r="G3" s="6"/>
      <c r="H3" s="6"/>
      <c r="I3" s="6"/>
      <c r="J3" s="6"/>
      <c r="K3" s="6"/>
      <c r="L3" s="6"/>
      <c r="M3" s="6"/>
      <c r="N3" s="6"/>
      <c r="O3" s="6"/>
      <c r="P3" s="6"/>
    </row>
    <row r="4" spans="1:16" ht="38.2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47" t="s">
        <v>165</v>
      </c>
    </row>
    <row r="5" spans="1:16" ht="12.75" customHeight="1">
      <c r="A5" s="174" t="s">
        <v>367</v>
      </c>
      <c r="B5" s="183"/>
      <c r="C5" s="49"/>
      <c r="D5" s="49"/>
      <c r="E5" s="49"/>
      <c r="F5" s="49"/>
      <c r="G5" s="49"/>
      <c r="H5" s="49"/>
      <c r="I5" s="49"/>
      <c r="J5" s="49"/>
      <c r="K5" s="49"/>
      <c r="L5" s="49"/>
      <c r="M5" s="49"/>
      <c r="N5" s="49"/>
      <c r="O5" s="41"/>
      <c r="P5" s="41"/>
    </row>
    <row r="6" spans="1:16" ht="12.75" customHeight="1">
      <c r="A6" s="50" t="s">
        <v>202</v>
      </c>
      <c r="B6" s="76">
        <v>10</v>
      </c>
      <c r="C6" s="76">
        <v>1</v>
      </c>
      <c r="D6" s="76">
        <v>96</v>
      </c>
      <c r="E6" s="76">
        <v>252</v>
      </c>
      <c r="F6" s="76">
        <v>20</v>
      </c>
      <c r="G6" s="76">
        <v>1</v>
      </c>
      <c r="H6" s="78">
        <v>8</v>
      </c>
      <c r="I6" s="78">
        <v>87</v>
      </c>
      <c r="J6" s="78">
        <v>14</v>
      </c>
      <c r="K6" s="78">
        <v>2</v>
      </c>
      <c r="L6" s="78">
        <v>1</v>
      </c>
      <c r="M6" s="78">
        <v>14</v>
      </c>
      <c r="N6" s="52">
        <f>SUM(B6:M6)</f>
        <v>506</v>
      </c>
      <c r="O6" s="53">
        <f>3515/2</f>
        <v>1757.5</v>
      </c>
      <c r="P6" s="54" t="s">
        <v>13</v>
      </c>
    </row>
    <row r="7" spans="1:16" ht="12.75" customHeight="1">
      <c r="A7" s="50" t="s">
        <v>248</v>
      </c>
      <c r="B7" s="78">
        <v>30</v>
      </c>
      <c r="C7" s="78">
        <v>2</v>
      </c>
      <c r="D7" s="78">
        <v>207</v>
      </c>
      <c r="E7" s="78">
        <v>645</v>
      </c>
      <c r="F7" s="78">
        <v>57</v>
      </c>
      <c r="G7" s="78">
        <v>2</v>
      </c>
      <c r="H7" s="78">
        <v>13</v>
      </c>
      <c r="I7" s="78">
        <v>213</v>
      </c>
      <c r="J7" s="78">
        <v>37</v>
      </c>
      <c r="K7" s="78">
        <v>6</v>
      </c>
      <c r="L7" s="78">
        <v>3</v>
      </c>
      <c r="M7" s="78">
        <v>40</v>
      </c>
      <c r="N7" s="52">
        <f>SUM(B7:M7)</f>
        <v>1255</v>
      </c>
      <c r="O7" s="53"/>
      <c r="P7" s="54"/>
    </row>
    <row r="8" spans="1:16" ht="12.75" customHeight="1">
      <c r="A8" s="2"/>
      <c r="B8" s="41"/>
      <c r="C8" s="41"/>
      <c r="D8" s="41"/>
      <c r="E8" s="41"/>
      <c r="F8" s="41"/>
      <c r="G8" s="41"/>
      <c r="H8" s="41"/>
      <c r="I8" s="41"/>
      <c r="J8" s="41"/>
      <c r="K8" s="41"/>
      <c r="L8" s="41"/>
      <c r="M8" s="41"/>
      <c r="N8" s="41"/>
    </row>
    <row r="9" spans="1:16" ht="12.75" customHeight="1">
      <c r="A9" s="61" t="s">
        <v>169</v>
      </c>
      <c r="B9" s="61" t="s">
        <v>145</v>
      </c>
    </row>
    <row r="98" spans="1:1" ht="12.75" customHeight="1">
      <c r="A98" s="2" t="s">
        <v>361</v>
      </c>
    </row>
  </sheetData>
  <mergeCells count="3">
    <mergeCell ref="A1:D1"/>
    <mergeCell ref="A2:C2"/>
    <mergeCell ref="A5:B5"/>
  </mergeCells>
  <pageMargins left="0.75" right="0.75" top="1" bottom="1" header="0.5" footer="0.5"/>
  <pageSetup paperSize="9"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dimension ref="A1:Q14"/>
  <sheetViews>
    <sheetView zoomScaleNormal="100" workbookViewId="0">
      <pane ySplit="2" topLeftCell="A3" activePane="bottomLeft" state="frozen"/>
      <selection pane="bottomLeft" activeCell="A3" sqref="A3"/>
    </sheetView>
  </sheetViews>
  <sheetFormatPr defaultColWidth="17.140625" defaultRowHeight="12.75" customHeight="1"/>
  <cols>
    <col min="1" max="1" width="21" customWidth="1"/>
    <col min="2" max="9" width="8.85546875" customWidth="1"/>
    <col min="10" max="13" width="9.42578125" customWidth="1"/>
    <col min="14" max="14" width="9" customWidth="1"/>
    <col min="15" max="15" width="10.5703125" customWidth="1"/>
    <col min="16" max="16" width="10.28515625" customWidth="1"/>
    <col min="17" max="20" width="17.140625" customWidth="1"/>
  </cols>
  <sheetData>
    <row r="1" spans="1:17" ht="20.25">
      <c r="A1" s="1" t="s">
        <v>181</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5"/>
      <c r="P3" s="6"/>
    </row>
    <row r="4" spans="1:17" ht="25.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47" t="s">
        <v>165</v>
      </c>
      <c r="Q4" s="2"/>
    </row>
    <row r="5" spans="1:17" ht="12.75" customHeight="1">
      <c r="A5" s="48" t="s">
        <v>253</v>
      </c>
      <c r="B5" s="106"/>
      <c r="C5" s="106"/>
      <c r="D5" s="106"/>
      <c r="E5" s="106"/>
      <c r="F5" s="106"/>
      <c r="G5" s="106"/>
      <c r="H5" s="106"/>
      <c r="I5" s="106"/>
      <c r="J5" s="106"/>
      <c r="K5" s="106"/>
      <c r="L5" s="106"/>
      <c r="M5" s="106"/>
      <c r="N5" s="106"/>
      <c r="O5" s="40"/>
      <c r="P5" s="88"/>
    </row>
    <row r="6" spans="1:17" ht="12.75" customHeight="1">
      <c r="A6" s="50" t="s">
        <v>118</v>
      </c>
      <c r="B6" s="76">
        <v>150</v>
      </c>
      <c r="C6" s="76">
        <v>27</v>
      </c>
      <c r="D6" s="76">
        <v>80</v>
      </c>
      <c r="E6" s="76">
        <v>77</v>
      </c>
      <c r="F6" s="76">
        <v>153</v>
      </c>
      <c r="G6" s="76">
        <v>44</v>
      </c>
      <c r="H6" s="78">
        <v>201</v>
      </c>
      <c r="I6" s="78">
        <v>175</v>
      </c>
      <c r="J6" s="78">
        <v>407</v>
      </c>
      <c r="K6" s="78">
        <v>165</v>
      </c>
      <c r="L6" s="78">
        <v>61</v>
      </c>
      <c r="M6" s="78">
        <v>82</v>
      </c>
      <c r="N6" s="52">
        <f>SUM(B6:M6)</f>
        <v>1622</v>
      </c>
      <c r="O6" s="53">
        <v>0</v>
      </c>
      <c r="P6" s="54" t="s">
        <v>13</v>
      </c>
    </row>
    <row r="7" spans="1:17" ht="12.75" customHeight="1">
      <c r="A7" s="50" t="s">
        <v>202</v>
      </c>
      <c r="B7" s="76">
        <v>274</v>
      </c>
      <c r="C7" s="76">
        <v>109</v>
      </c>
      <c r="D7" s="76">
        <v>428</v>
      </c>
      <c r="E7" s="76">
        <v>457</v>
      </c>
      <c r="F7" s="76">
        <v>497</v>
      </c>
      <c r="G7" s="76">
        <v>330</v>
      </c>
      <c r="H7" s="78">
        <v>770</v>
      </c>
      <c r="I7" s="78">
        <v>678</v>
      </c>
      <c r="J7" s="78">
        <v>1403</v>
      </c>
      <c r="K7" s="78">
        <v>651</v>
      </c>
      <c r="L7" s="78">
        <v>567</v>
      </c>
      <c r="M7" s="78">
        <v>964</v>
      </c>
      <c r="N7" s="52">
        <f>SUM(B7:M7)</f>
        <v>7128</v>
      </c>
      <c r="O7" s="53">
        <v>0</v>
      </c>
      <c r="P7" s="54" t="s">
        <v>38</v>
      </c>
    </row>
    <row r="8" spans="1:17" ht="12.75" customHeight="1">
      <c r="A8" s="50" t="s">
        <v>190</v>
      </c>
      <c r="B8" s="76">
        <v>381</v>
      </c>
      <c r="C8" s="104">
        <v>138</v>
      </c>
      <c r="D8" s="104">
        <v>533</v>
      </c>
      <c r="E8" s="104">
        <v>616</v>
      </c>
      <c r="F8" s="104">
        <v>872</v>
      </c>
      <c r="G8" s="104">
        <v>403</v>
      </c>
      <c r="H8" s="104">
        <v>934</v>
      </c>
      <c r="I8" s="104">
        <v>822</v>
      </c>
      <c r="J8" s="104">
        <v>1653</v>
      </c>
      <c r="K8" s="104">
        <v>869</v>
      </c>
      <c r="L8" s="104">
        <v>632</v>
      </c>
      <c r="M8" s="104">
        <v>1385</v>
      </c>
      <c r="N8" s="52">
        <f>SUM(B8:M8)</f>
        <v>9238</v>
      </c>
      <c r="O8" s="53">
        <v>0</v>
      </c>
      <c r="P8" s="54" t="s">
        <v>13</v>
      </c>
    </row>
    <row r="9" spans="1:17" ht="12.75" customHeight="1">
      <c r="A9" s="2"/>
      <c r="B9" s="41"/>
      <c r="C9" s="41"/>
      <c r="D9" s="41"/>
      <c r="E9" s="41"/>
      <c r="F9" s="41"/>
      <c r="G9" s="41"/>
      <c r="H9" s="41"/>
      <c r="I9" s="41"/>
      <c r="J9" s="41"/>
      <c r="K9" s="41"/>
      <c r="L9" s="41"/>
      <c r="M9" s="41"/>
      <c r="N9" s="41"/>
      <c r="O9" s="2"/>
      <c r="P9" s="61" t="s">
        <v>13</v>
      </c>
    </row>
    <row r="10" spans="1:17" ht="12.75" customHeight="1">
      <c r="A10" s="2"/>
      <c r="O10" s="2"/>
    </row>
    <row r="11" spans="1:17" ht="12.75" customHeight="1">
      <c r="A11" s="2" t="s">
        <v>15</v>
      </c>
      <c r="B11" s="2" t="s">
        <v>145</v>
      </c>
      <c r="O11" s="2"/>
    </row>
    <row r="12" spans="1:17" ht="12.75" customHeight="1">
      <c r="O12" s="2"/>
    </row>
    <row r="14" spans="1:17" ht="12.75" customHeight="1">
      <c r="A14" s="168" t="s">
        <v>339</v>
      </c>
      <c r="B14" s="170"/>
      <c r="C14" s="170"/>
      <c r="D14" s="170"/>
      <c r="E14" s="170"/>
    </row>
  </sheetData>
  <mergeCells count="1">
    <mergeCell ref="A14:E14"/>
  </mergeCells>
  <pageMargins left="0.75" right="0.75" top="1" bottom="1" header="0.5" footer="0.5"/>
  <pageSetup paperSize="9"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dimension ref="A1:Q17"/>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0.5703125" customWidth="1"/>
    <col min="2" max="14" width="8.5703125" customWidth="1"/>
    <col min="15" max="15" width="10.85546875" customWidth="1"/>
    <col min="16" max="16" width="8.5703125" customWidth="1"/>
    <col min="17" max="17" width="9.140625" customWidth="1"/>
  </cols>
  <sheetData>
    <row r="1" spans="1:17" ht="20.25">
      <c r="A1" s="1" t="s">
        <v>347</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5"/>
      <c r="P3" s="6"/>
    </row>
    <row r="4" spans="1:17" ht="25.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47" t="s">
        <v>165</v>
      </c>
      <c r="Q4" s="2"/>
    </row>
    <row r="5" spans="1:17" ht="12.75" customHeight="1">
      <c r="A5" s="48" t="s">
        <v>133</v>
      </c>
      <c r="B5" s="106"/>
      <c r="C5" s="106"/>
      <c r="D5" s="106"/>
      <c r="E5" s="106"/>
      <c r="F5" s="106"/>
      <c r="G5" s="106"/>
      <c r="H5" s="106"/>
      <c r="I5" s="106"/>
      <c r="J5" s="106"/>
      <c r="K5" s="106"/>
      <c r="L5" s="106"/>
      <c r="M5" s="106"/>
      <c r="N5" s="106"/>
      <c r="O5" s="40"/>
      <c r="P5" s="88"/>
    </row>
    <row r="6" spans="1:17" ht="12.75" customHeight="1">
      <c r="A6" s="50" t="s">
        <v>260</v>
      </c>
      <c r="B6" s="75" t="s">
        <v>229</v>
      </c>
      <c r="C6" s="75" t="s">
        <v>229</v>
      </c>
      <c r="D6" s="75" t="s">
        <v>229</v>
      </c>
      <c r="E6" s="75" t="s">
        <v>229</v>
      </c>
      <c r="F6" s="75" t="s">
        <v>229</v>
      </c>
      <c r="G6" s="76">
        <v>452</v>
      </c>
      <c r="H6" s="78">
        <v>802</v>
      </c>
      <c r="I6" s="78">
        <v>3478</v>
      </c>
      <c r="J6" s="78">
        <v>5889</v>
      </c>
      <c r="K6" s="78">
        <v>5764</v>
      </c>
      <c r="L6" s="78">
        <v>1220</v>
      </c>
      <c r="M6" s="78">
        <v>971</v>
      </c>
      <c r="N6" s="52">
        <f>SUM(B6:M6)</f>
        <v>18576</v>
      </c>
      <c r="O6" s="53"/>
      <c r="P6" s="54" t="s">
        <v>13</v>
      </c>
    </row>
    <row r="7" spans="1:17" ht="12.75" customHeight="1">
      <c r="A7" s="50" t="s">
        <v>202</v>
      </c>
      <c r="B7" s="76">
        <v>1304</v>
      </c>
      <c r="C7" s="76">
        <v>533</v>
      </c>
      <c r="D7" s="76">
        <v>2429</v>
      </c>
      <c r="E7" s="76">
        <v>4756</v>
      </c>
      <c r="F7" s="76">
        <v>3962</v>
      </c>
      <c r="G7" s="76">
        <v>2391</v>
      </c>
      <c r="H7" s="78">
        <v>624</v>
      </c>
      <c r="I7" s="78">
        <v>2418</v>
      </c>
      <c r="J7" s="78">
        <v>4091</v>
      </c>
      <c r="K7" s="78">
        <v>3839</v>
      </c>
      <c r="L7" s="78">
        <v>882</v>
      </c>
      <c r="M7" s="78">
        <v>563</v>
      </c>
      <c r="N7" s="52">
        <f>SUM(B7:M7)</f>
        <v>27792</v>
      </c>
      <c r="O7" s="53">
        <v>22063.1</v>
      </c>
      <c r="P7" s="54" t="s">
        <v>13</v>
      </c>
    </row>
    <row r="8" spans="1:17" ht="12.75" customHeight="1">
      <c r="A8" s="2"/>
      <c r="B8" s="88"/>
      <c r="C8" s="111"/>
      <c r="D8" s="111"/>
      <c r="E8" s="111"/>
      <c r="F8" s="111"/>
      <c r="G8" s="111"/>
      <c r="H8" s="111"/>
      <c r="I8" s="111"/>
      <c r="J8" s="111"/>
      <c r="K8" s="111"/>
      <c r="L8" s="111"/>
      <c r="M8" s="111"/>
      <c r="N8" s="41"/>
      <c r="O8" s="54"/>
      <c r="P8" s="54"/>
    </row>
    <row r="9" spans="1:17" ht="12.75" customHeight="1">
      <c r="A9" s="115" t="s">
        <v>207</v>
      </c>
      <c r="B9" s="90"/>
      <c r="C9" s="6"/>
      <c r="D9" s="6"/>
      <c r="E9" s="6"/>
      <c r="F9" s="6"/>
      <c r="G9" s="6"/>
      <c r="H9" s="6"/>
      <c r="I9" s="6"/>
      <c r="J9" s="6"/>
      <c r="K9" s="6"/>
      <c r="L9" s="6"/>
      <c r="M9" s="6"/>
      <c r="N9" s="6"/>
      <c r="O9" s="54"/>
      <c r="P9" s="54"/>
    </row>
    <row r="10" spans="1:17" ht="12.75" customHeight="1">
      <c r="A10" s="50" t="s">
        <v>260</v>
      </c>
      <c r="B10" s="78" t="s">
        <v>229</v>
      </c>
      <c r="C10" s="78" t="s">
        <v>229</v>
      </c>
      <c r="D10" s="78" t="s">
        <v>229</v>
      </c>
      <c r="E10" s="75" t="s">
        <v>229</v>
      </c>
      <c r="F10" s="75" t="s">
        <v>229</v>
      </c>
      <c r="G10" s="76">
        <v>2</v>
      </c>
      <c r="H10" s="78">
        <v>7</v>
      </c>
      <c r="I10" s="78">
        <v>43</v>
      </c>
      <c r="J10" s="78">
        <v>125</v>
      </c>
      <c r="K10" s="78">
        <v>42</v>
      </c>
      <c r="L10" s="78">
        <v>28</v>
      </c>
      <c r="M10" s="78">
        <v>13</v>
      </c>
      <c r="N10" s="52">
        <f>SUM(B10:M10)</f>
        <v>260</v>
      </c>
      <c r="O10" s="53"/>
      <c r="P10" s="54" t="s">
        <v>13</v>
      </c>
    </row>
    <row r="11" spans="1:17" ht="12.75" customHeight="1">
      <c r="A11" s="50" t="s">
        <v>202</v>
      </c>
      <c r="B11" s="78">
        <v>12</v>
      </c>
      <c r="C11" s="78">
        <v>5</v>
      </c>
      <c r="D11" s="78">
        <v>78</v>
      </c>
      <c r="E11" s="76">
        <v>167</v>
      </c>
      <c r="F11" s="76">
        <v>66</v>
      </c>
      <c r="G11" s="76">
        <v>29</v>
      </c>
      <c r="H11" s="78">
        <v>18</v>
      </c>
      <c r="I11" s="78">
        <v>108</v>
      </c>
      <c r="J11" s="78">
        <v>0</v>
      </c>
      <c r="K11" s="78">
        <v>78</v>
      </c>
      <c r="L11" s="78">
        <v>80</v>
      </c>
      <c r="M11" s="78">
        <v>46</v>
      </c>
      <c r="N11" s="52">
        <f>SUM(B11:M11)</f>
        <v>687</v>
      </c>
      <c r="O11" s="53">
        <v>7446.6</v>
      </c>
      <c r="P11" s="54" t="s">
        <v>13</v>
      </c>
    </row>
    <row r="12" spans="1:17" ht="12.75" customHeight="1">
      <c r="A12" s="2"/>
      <c r="B12" s="127"/>
      <c r="C12" s="57"/>
      <c r="D12" s="57"/>
      <c r="E12" s="57"/>
      <c r="F12" s="57"/>
      <c r="G12" s="57"/>
      <c r="H12" s="57"/>
      <c r="I12" s="57"/>
      <c r="J12" s="57"/>
      <c r="K12" s="57"/>
      <c r="L12" s="57"/>
      <c r="M12" s="57"/>
      <c r="N12" s="57"/>
      <c r="O12" s="2"/>
    </row>
    <row r="13" spans="1:17" ht="12.75" customHeight="1">
      <c r="A13" s="2"/>
      <c r="B13" s="41"/>
      <c r="C13" s="41"/>
      <c r="D13" s="41"/>
      <c r="E13" s="41"/>
      <c r="F13" s="41"/>
      <c r="G13" s="41"/>
      <c r="H13" s="41"/>
      <c r="I13" s="41"/>
      <c r="J13" s="41"/>
      <c r="K13" s="41"/>
      <c r="L13" s="41"/>
      <c r="M13" s="41"/>
      <c r="N13" s="41"/>
      <c r="O13" s="2"/>
    </row>
    <row r="14" spans="1:17" ht="12.75" customHeight="1">
      <c r="A14" s="2"/>
      <c r="O14" s="2"/>
    </row>
    <row r="15" spans="1:17" ht="12.75" customHeight="1">
      <c r="A15" s="2" t="s">
        <v>15</v>
      </c>
      <c r="B15" s="2" t="s">
        <v>243</v>
      </c>
      <c r="O15" s="2"/>
    </row>
    <row r="16" spans="1:17" ht="12.75" customHeight="1">
      <c r="A16" s="2"/>
      <c r="O16" s="2"/>
    </row>
    <row r="17" spans="1:15" ht="12.75" customHeight="1">
      <c r="A17" s="2" t="s">
        <v>317</v>
      </c>
      <c r="O17" s="2"/>
    </row>
  </sheetData>
  <pageMargins left="0.75" right="0.75" top="1" bottom="1" header="0.5" footer="0.5"/>
  <pageSetup paperSize="9"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dimension ref="A1:Q37"/>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1.7109375" customWidth="1"/>
    <col min="2" max="14" width="8.5703125" customWidth="1"/>
    <col min="15" max="15" width="10.5703125" customWidth="1"/>
    <col min="16" max="16" width="8.5703125" customWidth="1"/>
    <col min="17" max="17" width="9.140625" customWidth="1"/>
  </cols>
  <sheetData>
    <row r="1" spans="1:17" ht="20.25">
      <c r="A1" s="1" t="s">
        <v>311</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6"/>
      <c r="P3" s="6"/>
    </row>
    <row r="4" spans="1:17" ht="38.2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47" t="s">
        <v>86</v>
      </c>
      <c r="Q4" s="2"/>
    </row>
    <row r="5" spans="1:17" ht="12.75" customHeight="1">
      <c r="A5" s="48" t="s">
        <v>311</v>
      </c>
      <c r="B5" s="49"/>
      <c r="C5" s="49"/>
      <c r="D5" s="49"/>
      <c r="E5" s="49"/>
      <c r="F5" s="49"/>
      <c r="G5" s="49"/>
      <c r="H5" s="49"/>
      <c r="I5" s="49"/>
      <c r="J5" s="49"/>
      <c r="K5" s="49"/>
      <c r="L5" s="49"/>
      <c r="M5" s="49"/>
      <c r="N5" s="49"/>
      <c r="O5" s="41"/>
      <c r="P5" s="41"/>
    </row>
    <row r="6" spans="1:17" ht="12.75" customHeight="1">
      <c r="A6" s="50" t="s">
        <v>260</v>
      </c>
      <c r="B6" s="78">
        <v>317</v>
      </c>
      <c r="C6" s="78">
        <v>105</v>
      </c>
      <c r="D6" s="78">
        <v>393</v>
      </c>
      <c r="E6" s="78">
        <v>311</v>
      </c>
      <c r="F6" s="78">
        <v>837</v>
      </c>
      <c r="G6" s="78">
        <v>659</v>
      </c>
      <c r="H6" s="78">
        <v>563</v>
      </c>
      <c r="I6" s="78">
        <v>747</v>
      </c>
      <c r="J6" s="78">
        <v>695</v>
      </c>
      <c r="K6" s="78">
        <v>987</v>
      </c>
      <c r="L6" s="78">
        <v>791</v>
      </c>
      <c r="M6" s="78">
        <v>735</v>
      </c>
      <c r="N6" s="52">
        <f>SUM(B6:M6)</f>
        <v>7140</v>
      </c>
      <c r="O6" s="53"/>
      <c r="P6" s="54"/>
    </row>
    <row r="7" spans="1:17" ht="12.75" customHeight="1">
      <c r="A7" s="50" t="s">
        <v>202</v>
      </c>
      <c r="B7" s="78">
        <v>380</v>
      </c>
      <c r="C7" s="78">
        <v>204</v>
      </c>
      <c r="D7" s="78">
        <v>609</v>
      </c>
      <c r="E7" s="78">
        <v>532</v>
      </c>
      <c r="F7" s="78">
        <v>968</v>
      </c>
      <c r="G7" s="78">
        <v>868</v>
      </c>
      <c r="H7" s="78">
        <v>731</v>
      </c>
      <c r="I7" s="78">
        <v>1076</v>
      </c>
      <c r="J7" s="78">
        <v>850</v>
      </c>
      <c r="K7" s="78">
        <v>1226</v>
      </c>
      <c r="L7" s="78">
        <v>920</v>
      </c>
      <c r="M7" s="78">
        <v>952</v>
      </c>
      <c r="N7" s="52">
        <f>SUM(B7:M7)</f>
        <v>9316</v>
      </c>
      <c r="O7" s="53">
        <v>7567.5</v>
      </c>
      <c r="P7" s="54" t="s">
        <v>13</v>
      </c>
    </row>
    <row r="8" spans="1:17" ht="12.75" customHeight="1">
      <c r="A8" s="2"/>
      <c r="B8" s="41"/>
      <c r="C8" s="41"/>
      <c r="D8" s="41"/>
      <c r="E8" s="41"/>
      <c r="F8" s="41"/>
      <c r="G8" s="41"/>
      <c r="H8" s="41"/>
      <c r="I8" s="41"/>
      <c r="J8" s="41"/>
      <c r="K8" s="41"/>
      <c r="L8" s="41"/>
      <c r="M8" s="41"/>
      <c r="N8" s="41"/>
    </row>
    <row r="9" spans="1:17" ht="12.75" customHeight="1">
      <c r="A9" s="2"/>
    </row>
    <row r="10" spans="1:17" ht="12.75" customHeight="1">
      <c r="A10" s="2" t="s">
        <v>15</v>
      </c>
      <c r="B10" s="2" t="s">
        <v>145</v>
      </c>
    </row>
    <row r="11" spans="1:17" ht="12.75" customHeight="1">
      <c r="A11" s="2"/>
    </row>
    <row r="12" spans="1:17" ht="12.75" customHeight="1">
      <c r="A12" s="2"/>
    </row>
    <row r="13" spans="1:17" ht="12.75" customHeight="1">
      <c r="A13" s="2"/>
    </row>
    <row r="14" spans="1:17" ht="12.75" customHeight="1">
      <c r="A14" s="2"/>
    </row>
    <row r="15" spans="1:17" ht="12.75" customHeight="1">
      <c r="A15" s="2"/>
    </row>
    <row r="16" spans="1:17" ht="12.75" customHeight="1">
      <c r="A16" s="2"/>
    </row>
    <row r="17" spans="1:1" ht="12.75" customHeight="1">
      <c r="A17" s="2"/>
    </row>
    <row r="18" spans="1:1" ht="12.75" customHeight="1">
      <c r="A18" s="2"/>
    </row>
    <row r="19" spans="1:1" ht="12.75" customHeight="1">
      <c r="A19" s="2"/>
    </row>
    <row r="20" spans="1:1" ht="12.75" customHeight="1">
      <c r="A20" s="2"/>
    </row>
    <row r="21" spans="1:1" ht="12.75" customHeight="1">
      <c r="A21" s="2"/>
    </row>
    <row r="22" spans="1:1" ht="12.75" customHeight="1">
      <c r="A22" s="2"/>
    </row>
    <row r="23" spans="1:1" ht="12.75" customHeight="1">
      <c r="A23" s="2"/>
    </row>
    <row r="24" spans="1:1" ht="12.75" customHeight="1">
      <c r="A24" s="2"/>
    </row>
    <row r="25" spans="1:1" ht="12.75" customHeight="1">
      <c r="A25" s="2"/>
    </row>
    <row r="26" spans="1:1" ht="12.75" customHeight="1">
      <c r="A26" s="2"/>
    </row>
    <row r="27" spans="1:1" ht="12.75" customHeight="1">
      <c r="A27" s="2"/>
    </row>
    <row r="28" spans="1:1" ht="12.75" customHeight="1">
      <c r="A28" s="2"/>
    </row>
    <row r="29" spans="1:1" ht="12.75" customHeight="1">
      <c r="A29" s="2"/>
    </row>
    <row r="30" spans="1:1" ht="12.75" customHeight="1">
      <c r="A30" s="2"/>
    </row>
    <row r="31" spans="1:1" ht="12.75" customHeight="1">
      <c r="A31" s="2"/>
    </row>
    <row r="32" spans="1:1" ht="12.75" customHeight="1">
      <c r="A32" s="2"/>
    </row>
    <row r="33" spans="1:9" ht="12.75" customHeight="1">
      <c r="A33" s="2"/>
    </row>
    <row r="34" spans="1:9" ht="12.75" customHeight="1">
      <c r="A34" s="2"/>
    </row>
    <row r="35" spans="1:9" ht="12.75" customHeight="1">
      <c r="A35" s="2"/>
    </row>
    <row r="36" spans="1:9" ht="12.75" customHeight="1">
      <c r="A36" s="2"/>
      <c r="I36" s="54"/>
    </row>
    <row r="37" spans="1:9" ht="12.75" customHeight="1">
      <c r="A37" s="2"/>
    </row>
  </sheetData>
  <pageMargins left="0.75" right="0.75" top="1" bottom="1" header="0.5" footer="0.5"/>
  <pageSetup paperSize="9"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dimension ref="A1:Q12"/>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2.7109375" customWidth="1"/>
    <col min="2" max="14" width="8.5703125" customWidth="1"/>
    <col min="15" max="15" width="10.85546875" customWidth="1"/>
    <col min="16" max="16" width="8.5703125" customWidth="1"/>
    <col min="17" max="17" width="9.140625" customWidth="1"/>
  </cols>
  <sheetData>
    <row r="1" spans="1:17" ht="20.25">
      <c r="A1" s="1" t="s">
        <v>152</v>
      </c>
      <c r="B1" s="2"/>
      <c r="C1" s="2"/>
      <c r="D1" s="2"/>
      <c r="E1" s="2"/>
      <c r="F1" s="2"/>
      <c r="G1" s="2"/>
      <c r="H1" s="2"/>
      <c r="I1" s="2"/>
      <c r="J1" s="2"/>
      <c r="K1" s="2"/>
      <c r="L1" s="2"/>
      <c r="M1" s="2"/>
      <c r="N1" s="2"/>
      <c r="O1" s="2"/>
      <c r="P1" s="2"/>
      <c r="Q1" s="2"/>
    </row>
    <row r="2" spans="1:17" ht="18">
      <c r="A2" s="44" t="s">
        <v>94</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5"/>
      <c r="P3" s="6"/>
    </row>
    <row r="4" spans="1:17" ht="25.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47" t="s">
        <v>165</v>
      </c>
      <c r="Q4" s="2"/>
    </row>
    <row r="5" spans="1:17" ht="12.75" customHeight="1">
      <c r="A5" s="48" t="s">
        <v>219</v>
      </c>
      <c r="B5" s="49"/>
      <c r="C5" s="49"/>
      <c r="D5" s="49"/>
      <c r="E5" s="49"/>
      <c r="F5" s="49"/>
      <c r="G5" s="49"/>
      <c r="H5" s="49"/>
      <c r="I5" s="49"/>
      <c r="J5" s="49"/>
      <c r="K5" s="49"/>
      <c r="L5" s="49"/>
      <c r="M5" s="49"/>
      <c r="N5" s="49"/>
      <c r="O5" s="40"/>
      <c r="P5" s="41"/>
    </row>
    <row r="6" spans="1:17" ht="12.75" customHeight="1">
      <c r="A6" s="50" t="s">
        <v>118</v>
      </c>
      <c r="B6" s="78">
        <v>10</v>
      </c>
      <c r="C6" s="78">
        <v>1</v>
      </c>
      <c r="D6" s="78">
        <v>101</v>
      </c>
      <c r="E6" s="78">
        <v>148</v>
      </c>
      <c r="F6" s="78">
        <v>487</v>
      </c>
      <c r="G6" s="78">
        <v>124</v>
      </c>
      <c r="H6" s="78">
        <v>17</v>
      </c>
      <c r="I6" s="78">
        <v>57</v>
      </c>
      <c r="J6" s="78">
        <v>40</v>
      </c>
      <c r="K6" s="78">
        <v>190</v>
      </c>
      <c r="L6" s="78">
        <v>9</v>
      </c>
      <c r="M6" s="78">
        <v>10</v>
      </c>
      <c r="N6" s="52">
        <f>SUM(B6:M6)</f>
        <v>1194</v>
      </c>
      <c r="O6" s="10"/>
      <c r="P6" s="61" t="s">
        <v>13</v>
      </c>
    </row>
    <row r="7" spans="1:17" ht="12.75" customHeight="1">
      <c r="A7" s="50" t="s">
        <v>202</v>
      </c>
      <c r="B7" s="78">
        <v>20</v>
      </c>
      <c r="C7" s="78">
        <v>0</v>
      </c>
      <c r="D7" s="78">
        <v>401</v>
      </c>
      <c r="E7" s="78">
        <v>495</v>
      </c>
      <c r="F7" s="78">
        <v>1717</v>
      </c>
      <c r="G7" s="78">
        <v>700</v>
      </c>
      <c r="H7" s="78">
        <v>326</v>
      </c>
      <c r="I7" s="78">
        <v>258</v>
      </c>
      <c r="J7" s="78">
        <v>132</v>
      </c>
      <c r="K7" s="78">
        <v>347</v>
      </c>
      <c r="L7" s="78">
        <v>11</v>
      </c>
      <c r="M7" s="78">
        <v>32</v>
      </c>
      <c r="N7" s="52">
        <f>SUM(B7:M7)</f>
        <v>4439</v>
      </c>
      <c r="O7" s="53">
        <v>13750</v>
      </c>
      <c r="P7" s="54" t="s">
        <v>13</v>
      </c>
    </row>
    <row r="8" spans="1:17" ht="12.75" customHeight="1">
      <c r="A8" s="50" t="s">
        <v>132</v>
      </c>
      <c r="B8" s="76">
        <v>7</v>
      </c>
      <c r="C8" s="76">
        <v>0</v>
      </c>
      <c r="D8" s="76">
        <v>250</v>
      </c>
      <c r="E8" s="76">
        <v>174</v>
      </c>
      <c r="F8" s="76">
        <v>678</v>
      </c>
      <c r="G8" s="76">
        <v>410</v>
      </c>
      <c r="H8" s="76">
        <v>130</v>
      </c>
      <c r="I8" s="76">
        <v>158</v>
      </c>
      <c r="J8" s="76">
        <v>109</v>
      </c>
      <c r="K8" s="76">
        <v>1279</v>
      </c>
      <c r="L8" s="76">
        <v>1</v>
      </c>
      <c r="M8" s="76">
        <v>7</v>
      </c>
      <c r="N8" s="52">
        <f>SUM(B8:M8)</f>
        <v>3203</v>
      </c>
      <c r="O8" s="53" t="s">
        <v>13</v>
      </c>
      <c r="P8" s="54" t="s">
        <v>13</v>
      </c>
    </row>
    <row r="9" spans="1:17" ht="12.75" customHeight="1">
      <c r="A9" s="2"/>
      <c r="B9" s="41"/>
      <c r="C9" s="41"/>
      <c r="D9" s="41"/>
      <c r="E9" s="41"/>
      <c r="F9" s="41"/>
      <c r="G9" s="41"/>
      <c r="H9" s="41"/>
      <c r="I9" s="41"/>
      <c r="J9" s="41"/>
      <c r="K9" s="41"/>
      <c r="L9" s="41"/>
      <c r="M9" s="41"/>
      <c r="N9" s="41"/>
      <c r="O9" s="2"/>
    </row>
    <row r="10" spans="1:17" ht="12.75" customHeight="1">
      <c r="A10" s="2"/>
      <c r="O10" s="2"/>
    </row>
    <row r="11" spans="1:17" ht="12.75" customHeight="1">
      <c r="A11" s="2" t="s">
        <v>15</v>
      </c>
      <c r="B11" s="2" t="s">
        <v>145</v>
      </c>
      <c r="O11" s="2"/>
    </row>
    <row r="12" spans="1:17" ht="12.75" customHeight="1">
      <c r="A12" s="2"/>
      <c r="O12" s="2"/>
    </row>
  </sheetData>
  <pageMargins left="0.75" right="0.75" top="1" bottom="1" header="0.5" footer="0.5"/>
  <pageSetup paperSize="9"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dimension ref="A1:Q36"/>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5.7109375" customWidth="1"/>
    <col min="2" max="16" width="8.5703125" customWidth="1"/>
    <col min="17" max="17" width="9.140625" customWidth="1"/>
  </cols>
  <sheetData>
    <row r="1" spans="1:17" ht="20.25">
      <c r="A1" s="1" t="s">
        <v>63</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6"/>
      <c r="P3" s="6"/>
    </row>
    <row r="4" spans="1:17" ht="38.2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47" t="s">
        <v>86</v>
      </c>
      <c r="Q4" s="2"/>
    </row>
    <row r="5" spans="1:17" ht="12.75" customHeight="1">
      <c r="A5" s="48" t="s">
        <v>368</v>
      </c>
      <c r="B5" s="49"/>
      <c r="C5" s="49"/>
      <c r="D5" s="49"/>
      <c r="E5" s="49"/>
      <c r="F5" s="49"/>
      <c r="G5" s="49"/>
      <c r="H5" s="49"/>
      <c r="I5" s="49"/>
      <c r="J5" s="49"/>
      <c r="K5" s="49"/>
      <c r="L5" s="49"/>
      <c r="M5" s="49"/>
      <c r="N5" s="49"/>
      <c r="O5" s="41"/>
      <c r="P5" s="41"/>
    </row>
    <row r="6" spans="1:17" ht="12.75" customHeight="1">
      <c r="A6" s="50" t="s">
        <v>389</v>
      </c>
      <c r="B6" s="78">
        <v>0</v>
      </c>
      <c r="C6" s="78">
        <v>0</v>
      </c>
      <c r="D6" s="78">
        <v>0</v>
      </c>
      <c r="E6" s="78">
        <v>0</v>
      </c>
      <c r="F6" s="78">
        <v>0</v>
      </c>
      <c r="G6" s="78">
        <v>0</v>
      </c>
      <c r="H6" s="78">
        <v>0</v>
      </c>
      <c r="I6" s="78">
        <v>0</v>
      </c>
      <c r="J6" s="78">
        <v>0</v>
      </c>
      <c r="K6" s="78">
        <v>0</v>
      </c>
      <c r="L6" s="78">
        <v>0</v>
      </c>
      <c r="M6" s="78"/>
      <c r="N6" s="52">
        <f>SUM(B6:M6)</f>
        <v>0</v>
      </c>
      <c r="O6" s="53">
        <v>366.28</v>
      </c>
      <c r="P6" s="92" t="s">
        <v>13</v>
      </c>
    </row>
    <row r="7" spans="1:17" ht="12.75" customHeight="1">
      <c r="A7" s="2"/>
      <c r="B7" s="41"/>
      <c r="C7" s="41"/>
      <c r="D7" s="41"/>
      <c r="E7" s="41"/>
      <c r="F7" s="41"/>
      <c r="G7" s="41"/>
      <c r="H7" s="41"/>
      <c r="I7" s="41"/>
      <c r="J7" s="41"/>
      <c r="K7" s="41"/>
      <c r="L7" s="41"/>
      <c r="M7" s="41"/>
      <c r="N7" s="41"/>
    </row>
    <row r="8" spans="1:17" ht="12.75" customHeight="1">
      <c r="A8" s="168" t="s">
        <v>325</v>
      </c>
      <c r="B8" s="170"/>
      <c r="C8" s="170"/>
      <c r="D8" s="170"/>
      <c r="E8" s="170"/>
      <c r="F8" s="170"/>
      <c r="G8" s="170"/>
      <c r="H8" s="170"/>
      <c r="I8" s="170"/>
      <c r="J8" s="170"/>
      <c r="K8" s="170"/>
      <c r="L8" s="170"/>
    </row>
    <row r="9" spans="1:17" ht="12.75" customHeight="1">
      <c r="A9" s="168" t="s">
        <v>26</v>
      </c>
      <c r="B9" s="170"/>
      <c r="C9" s="170"/>
      <c r="D9" s="170"/>
      <c r="E9" s="170"/>
      <c r="F9" s="170"/>
    </row>
    <row r="10" spans="1:17" ht="12.75" customHeight="1">
      <c r="A10" s="2"/>
    </row>
    <row r="11" spans="1:17" ht="12.75" customHeight="1">
      <c r="A11" s="2" t="s">
        <v>15</v>
      </c>
      <c r="B11" s="2" t="s">
        <v>185</v>
      </c>
    </row>
    <row r="12" spans="1:17" ht="12.75" customHeight="1">
      <c r="A12" s="2"/>
    </row>
    <row r="13" spans="1:17" ht="12.75" customHeight="1">
      <c r="A13" s="2"/>
    </row>
    <row r="14" spans="1:17" ht="12.75" customHeight="1">
      <c r="A14" s="2"/>
    </row>
    <row r="15" spans="1:17" ht="12.75" customHeight="1">
      <c r="A15" s="2"/>
    </row>
    <row r="16" spans="1:17" ht="12.75" customHeight="1">
      <c r="A16" s="2"/>
    </row>
    <row r="17" spans="1:1" ht="12.75" customHeight="1">
      <c r="A17" s="2"/>
    </row>
    <row r="18" spans="1:1" ht="12.75" customHeight="1">
      <c r="A18" s="2"/>
    </row>
    <row r="19" spans="1:1" ht="12.75" customHeight="1">
      <c r="A19" s="2"/>
    </row>
    <row r="20" spans="1:1" ht="12.75" customHeight="1">
      <c r="A20" s="2"/>
    </row>
    <row r="21" spans="1:1" ht="12.75" customHeight="1">
      <c r="A21" s="2"/>
    </row>
    <row r="22" spans="1:1" ht="12.75" customHeight="1">
      <c r="A22" s="2"/>
    </row>
    <row r="23" spans="1:1" ht="12.75" customHeight="1">
      <c r="A23" s="2"/>
    </row>
    <row r="24" spans="1:1" ht="12.75" customHeight="1">
      <c r="A24" s="2"/>
    </row>
    <row r="25" spans="1:1" ht="12.75" customHeight="1">
      <c r="A25" s="2"/>
    </row>
    <row r="26" spans="1:1" ht="12.75" customHeight="1">
      <c r="A26" s="2"/>
    </row>
    <row r="27" spans="1:1" ht="12.75" customHeight="1">
      <c r="A27" s="2"/>
    </row>
    <row r="28" spans="1:1" ht="12.75" customHeight="1">
      <c r="A28" s="2"/>
    </row>
    <row r="29" spans="1:1" ht="12.75" customHeight="1">
      <c r="A29" s="2"/>
    </row>
    <row r="30" spans="1:1" ht="12.75" customHeight="1">
      <c r="A30" s="2"/>
    </row>
    <row r="31" spans="1:1" ht="12.75" customHeight="1">
      <c r="A31" s="2"/>
    </row>
    <row r="32" spans="1:1" ht="12.75" customHeight="1">
      <c r="A32" s="2"/>
    </row>
    <row r="33" spans="1:9" ht="12.75" customHeight="1">
      <c r="A33" s="2"/>
    </row>
    <row r="34" spans="1:9" ht="12.75" customHeight="1">
      <c r="A34" s="2"/>
    </row>
    <row r="35" spans="1:9" ht="12.75" customHeight="1">
      <c r="A35" s="2"/>
      <c r="I35" s="54"/>
    </row>
    <row r="36" spans="1:9" ht="12.75" customHeight="1">
      <c r="A36" s="2"/>
    </row>
  </sheetData>
  <mergeCells count="2">
    <mergeCell ref="A8:L8"/>
    <mergeCell ref="A9:F9"/>
  </mergeCells>
  <pageMargins left="0.75" right="0.75" top="1" bottom="1" header="0.5" footer="0.5"/>
  <pageSetup paperSize="9"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dimension ref="A1:Q19"/>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2.7109375" customWidth="1"/>
    <col min="2" max="14" width="8.5703125" customWidth="1"/>
    <col min="15" max="15" width="10.5703125" customWidth="1"/>
    <col min="16" max="16" width="8.5703125" customWidth="1"/>
    <col min="17" max="17" width="9.140625" customWidth="1"/>
  </cols>
  <sheetData>
    <row r="1" spans="1:17" ht="20.25">
      <c r="A1" s="1" t="s">
        <v>76</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6"/>
      <c r="P3" s="6"/>
    </row>
    <row r="4" spans="1:17" ht="38.2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47" t="s">
        <v>394</v>
      </c>
      <c r="Q4" s="2"/>
    </row>
    <row r="5" spans="1:17" ht="12.75" customHeight="1">
      <c r="A5" s="48" t="s">
        <v>76</v>
      </c>
      <c r="B5" s="49"/>
      <c r="C5" s="49"/>
      <c r="D5" s="49"/>
      <c r="E5" s="49"/>
      <c r="F5" s="49"/>
      <c r="G5" s="49"/>
      <c r="H5" s="49"/>
      <c r="I5" s="49"/>
      <c r="J5" s="49"/>
      <c r="K5" s="49"/>
      <c r="L5" s="49"/>
      <c r="M5" s="49"/>
      <c r="N5" s="49"/>
      <c r="O5" s="41"/>
      <c r="P5" s="41"/>
    </row>
    <row r="6" spans="1:17" ht="12.75" customHeight="1">
      <c r="A6" s="50" t="s">
        <v>183</v>
      </c>
      <c r="B6" s="36">
        <v>59</v>
      </c>
      <c r="C6" s="36">
        <v>16</v>
      </c>
      <c r="D6" s="36">
        <v>79</v>
      </c>
      <c r="E6" s="36">
        <v>153</v>
      </c>
      <c r="F6" s="36">
        <v>55</v>
      </c>
      <c r="G6" s="36">
        <v>51</v>
      </c>
      <c r="H6" s="104">
        <v>18</v>
      </c>
      <c r="I6" s="104">
        <v>31</v>
      </c>
      <c r="J6" s="104">
        <v>40</v>
      </c>
      <c r="K6" s="104">
        <v>41</v>
      </c>
      <c r="L6" s="104">
        <v>48</v>
      </c>
      <c r="M6" s="104">
        <v>66</v>
      </c>
      <c r="N6" s="52">
        <f>SUM(B6:M6)</f>
        <v>657</v>
      </c>
      <c r="O6" s="53">
        <v>0</v>
      </c>
      <c r="P6" s="92" t="s">
        <v>13</v>
      </c>
    </row>
    <row r="7" spans="1:17" ht="12.75" customHeight="1">
      <c r="A7" s="50" t="s">
        <v>226</v>
      </c>
      <c r="B7" s="104">
        <v>12</v>
      </c>
      <c r="C7" s="104">
        <v>0</v>
      </c>
      <c r="D7" s="104">
        <v>14</v>
      </c>
      <c r="E7" s="104">
        <v>107</v>
      </c>
      <c r="F7" s="104">
        <v>9</v>
      </c>
      <c r="G7" s="104">
        <v>20</v>
      </c>
      <c r="H7" s="104">
        <v>0</v>
      </c>
      <c r="I7" s="104">
        <v>16</v>
      </c>
      <c r="J7" s="104">
        <v>0</v>
      </c>
      <c r="K7" s="104">
        <v>0</v>
      </c>
      <c r="L7" s="104">
        <v>7</v>
      </c>
      <c r="M7" s="104">
        <v>40</v>
      </c>
      <c r="N7" s="128">
        <f>SUM(B7:M7)</f>
        <v>225</v>
      </c>
      <c r="O7" s="53"/>
      <c r="P7" s="54"/>
    </row>
    <row r="8" spans="1:17" ht="12.75" customHeight="1">
      <c r="A8" s="2"/>
      <c r="B8" s="41"/>
      <c r="C8" s="41"/>
      <c r="D8" s="41"/>
      <c r="E8" s="41"/>
      <c r="F8" s="41"/>
      <c r="G8" s="41"/>
      <c r="H8" s="41"/>
      <c r="I8" s="41"/>
      <c r="J8" s="41"/>
      <c r="K8" s="41"/>
      <c r="L8" s="41"/>
      <c r="M8" s="41"/>
      <c r="N8" s="41"/>
    </row>
    <row r="9" spans="1:17" ht="12.75" customHeight="1">
      <c r="A9" s="2"/>
    </row>
    <row r="10" spans="1:17" ht="12.75" customHeight="1">
      <c r="A10" s="168" t="s">
        <v>75</v>
      </c>
      <c r="B10" s="170"/>
    </row>
    <row r="11" spans="1:17" ht="12.75" customHeight="1">
      <c r="A11" s="2" t="s">
        <v>15</v>
      </c>
      <c r="B11" s="2" t="s">
        <v>145</v>
      </c>
    </row>
    <row r="12" spans="1:17" ht="12.75" customHeight="1">
      <c r="A12" s="2"/>
    </row>
    <row r="13" spans="1:17" ht="12.75" customHeight="1">
      <c r="A13" s="2"/>
    </row>
    <row r="14" spans="1:17" ht="12.75" customHeight="1">
      <c r="A14" s="2"/>
      <c r="I14" s="125"/>
    </row>
    <row r="15" spans="1:17" ht="12.75" customHeight="1">
      <c r="A15" s="2"/>
      <c r="I15" s="126"/>
    </row>
    <row r="16" spans="1:17" ht="12.75" customHeight="1">
      <c r="A16" s="2"/>
      <c r="I16" s="126"/>
    </row>
    <row r="17" spans="1:9" ht="12.75" customHeight="1">
      <c r="A17" s="2"/>
      <c r="I17" s="126"/>
    </row>
    <row r="18" spans="1:9" ht="12.75" customHeight="1">
      <c r="A18" s="2"/>
      <c r="I18" s="126"/>
    </row>
    <row r="19" spans="1:9" ht="12.75" customHeight="1">
      <c r="A19" s="2"/>
    </row>
  </sheetData>
  <mergeCells count="1">
    <mergeCell ref="A10:B10"/>
  </mergeCells>
  <pageMargins left="0.75" right="0.75" top="1" bottom="1" header="0.5" footer="0.5"/>
  <pageSetup paperSize="9"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dimension ref="A1:Q23"/>
  <sheetViews>
    <sheetView zoomScaleNormal="100" workbookViewId="0"/>
  </sheetViews>
  <sheetFormatPr defaultColWidth="17.140625" defaultRowHeight="12.75" customHeight="1"/>
  <cols>
    <col min="1" max="1" width="21.85546875" customWidth="1"/>
    <col min="2" max="2" width="7.28515625" customWidth="1"/>
    <col min="3" max="3" width="7.5703125" customWidth="1"/>
    <col min="4" max="4" width="7.85546875" customWidth="1"/>
    <col min="5" max="5" width="7" customWidth="1"/>
    <col min="6" max="9" width="7.140625" customWidth="1"/>
    <col min="10" max="10" width="7.5703125" customWidth="1"/>
    <col min="11" max="11" width="7.140625" customWidth="1"/>
    <col min="12" max="12" width="7.7109375" customWidth="1"/>
    <col min="13" max="13" width="7" customWidth="1"/>
    <col min="14" max="14" width="6.85546875" customWidth="1"/>
    <col min="15" max="15" width="11.28515625" customWidth="1"/>
    <col min="16" max="16" width="10.42578125" customWidth="1"/>
    <col min="17" max="20" width="17.140625" customWidth="1"/>
  </cols>
  <sheetData>
    <row r="1" spans="1:17" ht="20.25">
      <c r="A1" s="167" t="s">
        <v>168</v>
      </c>
      <c r="B1" s="170"/>
      <c r="C1" s="170"/>
    </row>
    <row r="2" spans="1:17" ht="18">
      <c r="A2" s="44" t="s">
        <v>192</v>
      </c>
    </row>
    <row r="3" spans="1:17" ht="12.75" customHeight="1">
      <c r="A3" s="6"/>
      <c r="B3" s="6"/>
      <c r="C3" s="6"/>
      <c r="D3" s="6"/>
      <c r="E3" s="6"/>
      <c r="F3" s="6"/>
      <c r="G3" s="6"/>
      <c r="H3" s="6"/>
      <c r="I3" s="6"/>
      <c r="J3" s="6"/>
      <c r="K3" s="6"/>
      <c r="L3" s="6"/>
      <c r="M3" s="6"/>
      <c r="N3" s="6"/>
      <c r="O3" s="6"/>
      <c r="P3" s="6"/>
    </row>
    <row r="4" spans="1:17" ht="25.5">
      <c r="A4" s="41"/>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47" t="s">
        <v>394</v>
      </c>
    </row>
    <row r="5" spans="1:17" ht="12.75" customHeight="1">
      <c r="A5" s="62" t="s">
        <v>225</v>
      </c>
      <c r="B5" s="57"/>
      <c r="C5" s="57"/>
      <c r="D5" s="57"/>
      <c r="E5" s="57"/>
      <c r="F5" s="57"/>
      <c r="G5" s="57"/>
      <c r="H5" s="57"/>
      <c r="I5" s="57"/>
      <c r="J5" s="57"/>
      <c r="K5" s="57"/>
      <c r="L5" s="57"/>
      <c r="M5" s="57"/>
      <c r="N5" s="57"/>
      <c r="O5" s="57"/>
      <c r="P5" s="57"/>
    </row>
    <row r="6" spans="1:17" ht="12.75" customHeight="1">
      <c r="A6" s="58" t="s">
        <v>202</v>
      </c>
      <c r="B6" s="37" t="s">
        <v>229</v>
      </c>
      <c r="C6" s="37" t="s">
        <v>229</v>
      </c>
      <c r="D6" s="37" t="s">
        <v>229</v>
      </c>
      <c r="E6" s="37" t="s">
        <v>229</v>
      </c>
      <c r="F6" s="37" t="s">
        <v>229</v>
      </c>
      <c r="G6" s="37" t="s">
        <v>229</v>
      </c>
      <c r="H6" s="37" t="s">
        <v>229</v>
      </c>
      <c r="I6" s="37" t="s">
        <v>229</v>
      </c>
      <c r="J6" s="37" t="s">
        <v>229</v>
      </c>
      <c r="K6" s="37" t="s">
        <v>229</v>
      </c>
      <c r="L6" s="37" t="s">
        <v>229</v>
      </c>
      <c r="M6" s="37" t="s">
        <v>229</v>
      </c>
      <c r="N6" s="59">
        <f>SUM(B6:M6)</f>
        <v>0</v>
      </c>
      <c r="O6" s="37" t="s">
        <v>229</v>
      </c>
      <c r="P6" s="37" t="s">
        <v>13</v>
      </c>
      <c r="Q6" s="17"/>
    </row>
    <row r="7" spans="1:17" ht="12.75" customHeight="1">
      <c r="A7" s="58" t="s">
        <v>260</v>
      </c>
      <c r="B7" s="37" t="s">
        <v>229</v>
      </c>
      <c r="C7" s="37" t="s">
        <v>229</v>
      </c>
      <c r="D7" s="37" t="s">
        <v>229</v>
      </c>
      <c r="E7" s="37" t="s">
        <v>229</v>
      </c>
      <c r="F7" s="37" t="s">
        <v>229</v>
      </c>
      <c r="G7" s="37" t="s">
        <v>229</v>
      </c>
      <c r="H7" s="37" t="s">
        <v>229</v>
      </c>
      <c r="I7" s="37" t="s">
        <v>229</v>
      </c>
      <c r="J7" s="37" t="s">
        <v>229</v>
      </c>
      <c r="K7" s="37" t="s">
        <v>229</v>
      </c>
      <c r="L7" s="37" t="s">
        <v>229</v>
      </c>
      <c r="M7" s="37" t="s">
        <v>229</v>
      </c>
      <c r="N7" s="59">
        <f>SUM(B7:M7)</f>
        <v>0</v>
      </c>
      <c r="O7" s="37" t="s">
        <v>229</v>
      </c>
      <c r="P7" s="37" t="s">
        <v>13</v>
      </c>
      <c r="Q7" s="17"/>
    </row>
    <row r="8" spans="1:17" ht="12.75" customHeight="1">
      <c r="B8" s="41"/>
      <c r="C8" s="41"/>
      <c r="D8" s="41"/>
      <c r="E8" s="41"/>
      <c r="F8" s="41"/>
      <c r="G8" s="41"/>
      <c r="H8" s="41"/>
      <c r="I8" s="41"/>
      <c r="J8" s="41"/>
      <c r="K8" s="41"/>
      <c r="L8" s="41"/>
      <c r="M8" s="41"/>
      <c r="N8" s="41"/>
      <c r="O8" s="41"/>
      <c r="P8" s="41"/>
    </row>
    <row r="9" spans="1:17" ht="12.75" customHeight="1">
      <c r="B9" s="6"/>
      <c r="C9" s="6"/>
      <c r="D9" s="6"/>
      <c r="E9" s="6"/>
      <c r="F9" s="6"/>
      <c r="G9" s="6"/>
      <c r="H9" s="6"/>
      <c r="I9" s="6"/>
      <c r="J9" s="6"/>
      <c r="K9" s="6"/>
      <c r="L9" s="6"/>
      <c r="M9" s="6"/>
      <c r="N9" s="6"/>
      <c r="O9" s="6"/>
      <c r="P9" s="6"/>
    </row>
    <row r="10" spans="1:17" ht="25.5">
      <c r="B10" s="46">
        <v>39630</v>
      </c>
      <c r="C10" s="46">
        <v>39661</v>
      </c>
      <c r="D10" s="46">
        <v>39692</v>
      </c>
      <c r="E10" s="46">
        <v>39722</v>
      </c>
      <c r="F10" s="46">
        <v>39753</v>
      </c>
      <c r="G10" s="46">
        <v>39783</v>
      </c>
      <c r="H10" s="46">
        <v>39814</v>
      </c>
      <c r="I10" s="46">
        <v>39845</v>
      </c>
      <c r="J10" s="46">
        <v>39873</v>
      </c>
      <c r="K10" s="46">
        <v>39904</v>
      </c>
      <c r="L10" s="46">
        <v>39934</v>
      </c>
      <c r="M10" s="46">
        <v>39965</v>
      </c>
      <c r="N10" s="47" t="s">
        <v>354</v>
      </c>
      <c r="O10" s="55" t="s">
        <v>191</v>
      </c>
      <c r="P10" s="47" t="s">
        <v>394</v>
      </c>
    </row>
    <row r="11" spans="1:17" ht="12.75" customHeight="1">
      <c r="A11" s="129" t="s">
        <v>251</v>
      </c>
      <c r="B11" s="37" t="s">
        <v>229</v>
      </c>
      <c r="C11" s="37" t="s">
        <v>229</v>
      </c>
      <c r="D11" s="37" t="s">
        <v>229</v>
      </c>
      <c r="E11" s="37" t="s">
        <v>229</v>
      </c>
      <c r="F11" s="37" t="s">
        <v>229</v>
      </c>
      <c r="G11" s="37" t="s">
        <v>229</v>
      </c>
      <c r="H11" s="37" t="s">
        <v>229</v>
      </c>
      <c r="I11" s="37" t="s">
        <v>229</v>
      </c>
      <c r="J11" s="37" t="s">
        <v>229</v>
      </c>
      <c r="K11" s="37" t="s">
        <v>229</v>
      </c>
      <c r="L11" s="37" t="s">
        <v>229</v>
      </c>
      <c r="M11" s="37" t="s">
        <v>229</v>
      </c>
      <c r="N11" s="59">
        <f>SUM(B11:M11)</f>
        <v>0</v>
      </c>
      <c r="O11" s="60" t="s">
        <v>13</v>
      </c>
      <c r="P11" s="37"/>
      <c r="Q11" s="17"/>
    </row>
    <row r="12" spans="1:17" ht="12.75" customHeight="1">
      <c r="B12" s="41"/>
      <c r="C12" s="41"/>
      <c r="D12" s="41"/>
      <c r="E12" s="41"/>
      <c r="F12" s="41"/>
      <c r="G12" s="41"/>
      <c r="H12" s="41"/>
      <c r="I12" s="41"/>
      <c r="J12" s="41"/>
      <c r="K12" s="41"/>
      <c r="L12" s="41"/>
      <c r="M12" s="41"/>
      <c r="N12" s="41"/>
      <c r="O12" s="41" t="s">
        <v>13</v>
      </c>
      <c r="P12" s="41"/>
    </row>
    <row r="13" spans="1:17" ht="12.75" customHeight="1">
      <c r="B13" s="6"/>
      <c r="C13" s="6"/>
      <c r="D13" s="6"/>
      <c r="E13" s="6"/>
      <c r="F13" s="6"/>
      <c r="G13" s="6"/>
      <c r="H13" s="6"/>
      <c r="I13" s="6"/>
      <c r="J13" s="6"/>
      <c r="K13" s="6"/>
      <c r="L13" s="6"/>
      <c r="M13" s="6"/>
      <c r="N13" s="6"/>
      <c r="O13" s="6"/>
      <c r="P13" s="6"/>
    </row>
    <row r="14" spans="1:17" ht="25.5">
      <c r="B14" s="46">
        <v>39630</v>
      </c>
      <c r="C14" s="46">
        <v>39661</v>
      </c>
      <c r="D14" s="46">
        <v>39692</v>
      </c>
      <c r="E14" s="46">
        <v>39722</v>
      </c>
      <c r="F14" s="46">
        <v>39753</v>
      </c>
      <c r="G14" s="46">
        <v>39783</v>
      </c>
      <c r="H14" s="46">
        <v>39814</v>
      </c>
      <c r="I14" s="46">
        <v>39845</v>
      </c>
      <c r="J14" s="46">
        <v>39873</v>
      </c>
      <c r="K14" s="46">
        <v>39904</v>
      </c>
      <c r="L14" s="46">
        <v>39934</v>
      </c>
      <c r="M14" s="46">
        <v>39965</v>
      </c>
      <c r="N14" s="47" t="s">
        <v>354</v>
      </c>
      <c r="O14" s="55" t="s">
        <v>191</v>
      </c>
      <c r="P14" s="47" t="s">
        <v>394</v>
      </c>
    </row>
    <row r="15" spans="1:17" ht="12.75" customHeight="1">
      <c r="A15" s="62" t="s">
        <v>151</v>
      </c>
      <c r="B15" s="57"/>
      <c r="C15" s="57"/>
      <c r="D15" s="57"/>
      <c r="E15" s="57"/>
      <c r="F15" s="57"/>
      <c r="G15" s="57"/>
      <c r="H15" s="57"/>
      <c r="I15" s="57"/>
      <c r="J15" s="57"/>
      <c r="K15" s="57"/>
      <c r="L15" s="57"/>
      <c r="M15" s="57"/>
      <c r="N15" s="57"/>
      <c r="O15" s="57"/>
      <c r="P15" s="57"/>
    </row>
    <row r="16" spans="1:17" ht="12.75" customHeight="1">
      <c r="A16" s="130" t="s">
        <v>202</v>
      </c>
      <c r="B16" s="37" t="s">
        <v>229</v>
      </c>
      <c r="C16" s="37" t="s">
        <v>229</v>
      </c>
      <c r="D16" s="37" t="s">
        <v>229</v>
      </c>
      <c r="E16" s="37" t="s">
        <v>229</v>
      </c>
      <c r="F16" s="37" t="s">
        <v>229</v>
      </c>
      <c r="G16" s="37" t="s">
        <v>229</v>
      </c>
      <c r="H16" s="37" t="s">
        <v>229</v>
      </c>
      <c r="I16" s="37" t="s">
        <v>229</v>
      </c>
      <c r="J16" s="37" t="s">
        <v>229</v>
      </c>
      <c r="K16" s="37" t="s">
        <v>229</v>
      </c>
      <c r="L16" s="37" t="s">
        <v>229</v>
      </c>
      <c r="M16" s="37" t="s">
        <v>229</v>
      </c>
      <c r="N16" s="59">
        <f>SUM(B16:M16)</f>
        <v>0</v>
      </c>
      <c r="O16" s="60" t="s">
        <v>13</v>
      </c>
      <c r="P16" s="37"/>
      <c r="Q16" s="17"/>
    </row>
    <row r="17" spans="1:17" ht="12.75" customHeight="1">
      <c r="A17" s="130" t="s">
        <v>260</v>
      </c>
      <c r="B17" s="37" t="s">
        <v>229</v>
      </c>
      <c r="C17" s="37" t="s">
        <v>229</v>
      </c>
      <c r="D17" s="37" t="s">
        <v>229</v>
      </c>
      <c r="E17" s="37" t="s">
        <v>229</v>
      </c>
      <c r="F17" s="37" t="s">
        <v>229</v>
      </c>
      <c r="G17" s="37" t="s">
        <v>229</v>
      </c>
      <c r="H17" s="37" t="s">
        <v>229</v>
      </c>
      <c r="I17" s="37" t="s">
        <v>229</v>
      </c>
      <c r="J17" s="37" t="s">
        <v>229</v>
      </c>
      <c r="K17" s="37" t="s">
        <v>229</v>
      </c>
      <c r="L17" s="37" t="s">
        <v>229</v>
      </c>
      <c r="M17" s="37" t="s">
        <v>229</v>
      </c>
      <c r="N17" s="59">
        <f>SUM(B17:M17)</f>
        <v>0</v>
      </c>
      <c r="O17" s="60">
        <v>2250</v>
      </c>
      <c r="P17" s="37"/>
      <c r="Q17" s="17"/>
    </row>
    <row r="18" spans="1:17" ht="12.75" customHeight="1">
      <c r="B18" s="41"/>
      <c r="C18" s="41"/>
      <c r="D18" s="41"/>
      <c r="E18" s="41"/>
      <c r="F18" s="41"/>
      <c r="G18" s="41"/>
      <c r="H18" s="41"/>
      <c r="I18" s="41"/>
      <c r="J18" s="41"/>
      <c r="K18" s="41"/>
      <c r="L18" s="41"/>
      <c r="M18" s="41"/>
      <c r="N18" s="41"/>
      <c r="O18" s="41"/>
      <c r="P18" s="41"/>
    </row>
    <row r="20" spans="1:17" ht="12.75" customHeight="1">
      <c r="A20" s="171" t="s">
        <v>163</v>
      </c>
      <c r="B20" s="170"/>
      <c r="C20" s="170"/>
      <c r="D20" s="170"/>
      <c r="E20" s="170"/>
      <c r="F20" s="170"/>
      <c r="G20" s="170"/>
      <c r="H20" s="170"/>
      <c r="I20" s="170"/>
      <c r="J20" s="170"/>
      <c r="K20" s="170"/>
    </row>
    <row r="21" spans="1:17" ht="12.75" customHeight="1">
      <c r="A21" s="2" t="s">
        <v>15</v>
      </c>
      <c r="B21" s="61" t="s">
        <v>185</v>
      </c>
    </row>
    <row r="23" spans="1:17" ht="12.75" customHeight="1">
      <c r="A23" s="172" t="s">
        <v>292</v>
      </c>
      <c r="B23" s="172"/>
      <c r="C23" s="172"/>
      <c r="D23" s="172"/>
      <c r="E23" s="172"/>
      <c r="F23" s="172"/>
      <c r="G23" s="172"/>
      <c r="H23" s="172"/>
      <c r="I23" s="172"/>
      <c r="J23" s="172"/>
      <c r="K23" s="172"/>
    </row>
  </sheetData>
  <mergeCells count="3">
    <mergeCell ref="A1:C1"/>
    <mergeCell ref="A20:K20"/>
    <mergeCell ref="A23:K23"/>
  </mergeCells>
  <pageMargins left="0.75" right="0.75" top="1" bottom="1" header="0.5" footer="0.5"/>
  <pageSetup paperSize="9" orientation="portrait" horizontalDpi="300" verticalDpi="300"/>
  <headerFooter alignWithMargins="0"/>
</worksheet>
</file>

<file path=xl/worksheets/sheet23.xml><?xml version="1.0" encoding="utf-8"?>
<worksheet xmlns="http://schemas.openxmlformats.org/spreadsheetml/2006/main" xmlns:r="http://schemas.openxmlformats.org/officeDocument/2006/relationships">
  <dimension ref="A1:Q57"/>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4.85546875" customWidth="1"/>
    <col min="2" max="14" width="8.5703125" customWidth="1"/>
    <col min="15" max="15" width="14.42578125" customWidth="1"/>
    <col min="16" max="16" width="11.85546875" customWidth="1"/>
    <col min="17" max="17" width="9.140625" customWidth="1"/>
  </cols>
  <sheetData>
    <row r="1" spans="1:17" ht="20.25">
      <c r="A1" s="1" t="s">
        <v>331</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86"/>
      <c r="B3" s="87"/>
      <c r="C3" s="87"/>
      <c r="D3" s="87"/>
      <c r="E3" s="87"/>
      <c r="F3" s="87"/>
      <c r="G3" s="87"/>
      <c r="H3" s="87"/>
      <c r="I3" s="87"/>
      <c r="J3" s="87"/>
      <c r="K3" s="87"/>
      <c r="L3" s="87"/>
      <c r="M3" s="87"/>
      <c r="N3" s="87"/>
      <c r="O3" s="5"/>
      <c r="P3" s="5"/>
    </row>
    <row r="4" spans="1:17" ht="25.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47" t="s">
        <v>86</v>
      </c>
      <c r="Q4" s="2"/>
    </row>
    <row r="5" spans="1:17" ht="12.75" customHeight="1">
      <c r="A5" s="48" t="s">
        <v>115</v>
      </c>
      <c r="B5" s="49"/>
      <c r="C5" s="49"/>
      <c r="D5" s="49"/>
      <c r="E5" s="49"/>
      <c r="F5" s="49"/>
      <c r="G5" s="49"/>
      <c r="H5" s="49"/>
      <c r="I5" s="49"/>
      <c r="J5" s="49"/>
      <c r="K5" s="49"/>
      <c r="L5" s="49"/>
      <c r="M5" s="49"/>
      <c r="N5" s="49"/>
      <c r="O5" s="40"/>
      <c r="P5" s="40"/>
    </row>
    <row r="6" spans="1:17" ht="12.75" customHeight="1">
      <c r="A6" s="50" t="s">
        <v>260</v>
      </c>
      <c r="B6" s="104">
        <v>0</v>
      </c>
      <c r="C6" s="104">
        <v>0</v>
      </c>
      <c r="D6" s="104">
        <v>0</v>
      </c>
      <c r="E6" s="104">
        <v>0</v>
      </c>
      <c r="F6" s="104">
        <v>0</v>
      </c>
      <c r="G6" s="104">
        <v>0</v>
      </c>
      <c r="H6" s="104">
        <v>1</v>
      </c>
      <c r="I6" s="104">
        <v>0</v>
      </c>
      <c r="J6" s="104">
        <v>0</v>
      </c>
      <c r="K6" s="104">
        <v>0</v>
      </c>
      <c r="L6" s="104">
        <v>1</v>
      </c>
      <c r="M6" s="104">
        <v>0</v>
      </c>
      <c r="N6" s="117">
        <f>SUM(B6:M6)</f>
        <v>2</v>
      </c>
      <c r="O6" s="53"/>
      <c r="P6" s="2"/>
    </row>
    <row r="7" spans="1:17" ht="12.75" customHeight="1">
      <c r="A7" s="50" t="s">
        <v>202</v>
      </c>
      <c r="B7" s="104">
        <v>0</v>
      </c>
      <c r="C7" s="104">
        <v>0</v>
      </c>
      <c r="D7" s="104">
        <v>0</v>
      </c>
      <c r="E7" s="104">
        <v>0</v>
      </c>
      <c r="F7" s="104">
        <v>0</v>
      </c>
      <c r="G7" s="104">
        <v>0</v>
      </c>
      <c r="H7" s="36">
        <v>1</v>
      </c>
      <c r="I7" s="36">
        <v>0</v>
      </c>
      <c r="J7" s="36">
        <v>0</v>
      </c>
      <c r="K7" s="36">
        <v>0</v>
      </c>
      <c r="L7" s="36">
        <v>1</v>
      </c>
      <c r="M7" s="36">
        <v>0</v>
      </c>
      <c r="N7" s="117">
        <f>SUM(B7:M7)</f>
        <v>2</v>
      </c>
      <c r="O7" s="53">
        <v>0</v>
      </c>
      <c r="P7" s="131" t="s">
        <v>13</v>
      </c>
    </row>
    <row r="8" spans="1:17" ht="12.75" customHeight="1">
      <c r="A8" s="50" t="s">
        <v>226</v>
      </c>
      <c r="B8" s="132">
        <v>0</v>
      </c>
      <c r="C8" s="132">
        <v>0</v>
      </c>
      <c r="D8" s="132">
        <v>0</v>
      </c>
      <c r="E8" s="132">
        <v>0</v>
      </c>
      <c r="F8" s="132">
        <v>0</v>
      </c>
      <c r="G8" s="132">
        <v>0</v>
      </c>
      <c r="H8" s="132">
        <v>0</v>
      </c>
      <c r="I8" s="132">
        <v>0</v>
      </c>
      <c r="J8" s="132">
        <v>0</v>
      </c>
      <c r="K8" s="132">
        <v>0</v>
      </c>
      <c r="L8" s="132">
        <v>0</v>
      </c>
      <c r="M8" s="132">
        <v>0</v>
      </c>
      <c r="N8" s="133">
        <f>SUM(B8:M8)</f>
        <v>0</v>
      </c>
      <c r="O8" s="53"/>
      <c r="P8" s="2"/>
    </row>
    <row r="9" spans="1:17" ht="12.75" customHeight="1">
      <c r="A9" s="2"/>
      <c r="O9" s="54"/>
      <c r="P9" s="2"/>
    </row>
    <row r="10" spans="1:17" ht="12.75" customHeight="1">
      <c r="A10" s="5"/>
      <c r="B10" s="6"/>
      <c r="C10" s="6"/>
      <c r="D10" s="6"/>
      <c r="E10" s="6"/>
      <c r="F10" s="6"/>
      <c r="G10" s="6"/>
      <c r="H10" s="6"/>
      <c r="I10" s="6"/>
      <c r="J10" s="6"/>
      <c r="K10" s="6"/>
      <c r="L10" s="6"/>
      <c r="M10" s="6"/>
      <c r="N10" s="6"/>
      <c r="O10" s="91"/>
      <c r="P10" s="5"/>
    </row>
    <row r="11" spans="1:17" ht="25.5">
      <c r="A11" s="45"/>
      <c r="B11" s="46">
        <v>39630</v>
      </c>
      <c r="C11" s="46">
        <v>39661</v>
      </c>
      <c r="D11" s="46">
        <v>39692</v>
      </c>
      <c r="E11" s="46">
        <v>39722</v>
      </c>
      <c r="F11" s="46">
        <v>39753</v>
      </c>
      <c r="G11" s="46">
        <v>39783</v>
      </c>
      <c r="H11" s="46">
        <v>39814</v>
      </c>
      <c r="I11" s="46">
        <v>39845</v>
      </c>
      <c r="J11" s="46">
        <v>39873</v>
      </c>
      <c r="K11" s="46">
        <v>39904</v>
      </c>
      <c r="L11" s="46">
        <v>39934</v>
      </c>
      <c r="M11" s="46">
        <v>39965</v>
      </c>
      <c r="N11" s="47" t="s">
        <v>354</v>
      </c>
      <c r="O11" s="55" t="s">
        <v>191</v>
      </c>
      <c r="P11" s="47" t="s">
        <v>86</v>
      </c>
    </row>
    <row r="12" spans="1:17" ht="12.75" customHeight="1">
      <c r="A12" s="48" t="s">
        <v>216</v>
      </c>
      <c r="B12" s="49"/>
      <c r="C12" s="49"/>
      <c r="D12" s="49"/>
      <c r="E12" s="49"/>
      <c r="F12" s="49"/>
      <c r="G12" s="49"/>
      <c r="H12" s="49"/>
      <c r="I12" s="49"/>
      <c r="J12" s="49"/>
      <c r="K12" s="49"/>
      <c r="L12" s="49"/>
      <c r="M12" s="49"/>
      <c r="N12" s="49"/>
      <c r="O12" s="40"/>
      <c r="P12" s="40"/>
    </row>
    <row r="13" spans="1:17" ht="12.75" customHeight="1">
      <c r="A13" s="50" t="s">
        <v>260</v>
      </c>
      <c r="B13" s="104" t="s">
        <v>229</v>
      </c>
      <c r="C13" s="104" t="s">
        <v>229</v>
      </c>
      <c r="D13" s="104" t="s">
        <v>229</v>
      </c>
      <c r="E13" s="104" t="s">
        <v>229</v>
      </c>
      <c r="F13" s="104" t="s">
        <v>229</v>
      </c>
      <c r="G13" s="104" t="s">
        <v>229</v>
      </c>
      <c r="H13" s="104">
        <v>0</v>
      </c>
      <c r="I13" s="104">
        <v>26</v>
      </c>
      <c r="J13" s="104">
        <v>76</v>
      </c>
      <c r="K13" s="104">
        <v>106</v>
      </c>
      <c r="L13" s="104">
        <v>43</v>
      </c>
      <c r="M13" s="104">
        <v>26</v>
      </c>
      <c r="N13" s="117">
        <f>SUM(B13:M13)</f>
        <v>277</v>
      </c>
      <c r="O13" s="53"/>
      <c r="P13" s="2"/>
    </row>
    <row r="14" spans="1:17" ht="12.75" customHeight="1">
      <c r="A14" s="50" t="s">
        <v>202</v>
      </c>
      <c r="B14" s="104" t="s">
        <v>229</v>
      </c>
      <c r="C14" s="104" t="s">
        <v>229</v>
      </c>
      <c r="D14" s="104" t="s">
        <v>229</v>
      </c>
      <c r="E14" s="104" t="s">
        <v>229</v>
      </c>
      <c r="F14" s="104" t="s">
        <v>229</v>
      </c>
      <c r="G14" s="104" t="s">
        <v>229</v>
      </c>
      <c r="H14" s="36">
        <v>0</v>
      </c>
      <c r="I14" s="36">
        <v>23</v>
      </c>
      <c r="J14" s="36">
        <v>139</v>
      </c>
      <c r="K14" s="36">
        <v>227</v>
      </c>
      <c r="L14" s="36">
        <v>104</v>
      </c>
      <c r="M14" s="36">
        <v>45</v>
      </c>
      <c r="N14" s="117">
        <f>SUM(B14:M14)</f>
        <v>538</v>
      </c>
      <c r="O14" s="53">
        <v>0</v>
      </c>
      <c r="P14" s="131" t="s">
        <v>13</v>
      </c>
    </row>
    <row r="15" spans="1:17" ht="12.75" customHeight="1">
      <c r="A15" s="50" t="s">
        <v>226</v>
      </c>
      <c r="B15" s="134" t="s">
        <v>229</v>
      </c>
      <c r="C15" s="134" t="s">
        <v>229</v>
      </c>
      <c r="D15" s="134" t="s">
        <v>229</v>
      </c>
      <c r="E15" s="134" t="s">
        <v>229</v>
      </c>
      <c r="F15" s="134" t="s">
        <v>229</v>
      </c>
      <c r="G15" s="134" t="s">
        <v>229</v>
      </c>
      <c r="H15" s="134" t="s">
        <v>229</v>
      </c>
      <c r="I15" s="134" t="s">
        <v>229</v>
      </c>
      <c r="J15" s="134" t="s">
        <v>229</v>
      </c>
      <c r="K15" s="134" t="s">
        <v>229</v>
      </c>
      <c r="L15" s="134" t="s">
        <v>229</v>
      </c>
      <c r="M15" s="134" t="s">
        <v>229</v>
      </c>
      <c r="N15" s="117">
        <f>SUM(B15:M15)</f>
        <v>0</v>
      </c>
      <c r="O15" s="53"/>
      <c r="P15" s="2"/>
    </row>
    <row r="16" spans="1:17" ht="12.75" customHeight="1">
      <c r="A16" s="2"/>
      <c r="B16" s="41"/>
      <c r="C16" s="41"/>
      <c r="D16" s="41"/>
      <c r="E16" s="41"/>
      <c r="F16" s="41"/>
      <c r="G16" s="41"/>
      <c r="H16" s="41"/>
      <c r="I16" s="41"/>
      <c r="J16" s="41"/>
      <c r="K16" s="41"/>
      <c r="L16" s="41"/>
      <c r="M16" s="41"/>
      <c r="N16" s="41"/>
      <c r="O16" s="54"/>
      <c r="P16" s="2"/>
    </row>
    <row r="17" spans="1:17" ht="12.75" customHeight="1">
      <c r="A17" s="5"/>
      <c r="B17" s="6"/>
      <c r="C17" s="6"/>
      <c r="D17" s="6"/>
      <c r="E17" s="6"/>
      <c r="F17" s="6"/>
      <c r="G17" s="6"/>
      <c r="H17" s="6"/>
      <c r="I17" s="6"/>
      <c r="J17" s="6"/>
      <c r="K17" s="6"/>
      <c r="L17" s="6"/>
      <c r="M17" s="6"/>
      <c r="N17" s="6"/>
      <c r="O17" s="91"/>
      <c r="P17" s="5"/>
    </row>
    <row r="18" spans="1:17" ht="25.5">
      <c r="A18" s="45"/>
      <c r="B18" s="46">
        <v>39630</v>
      </c>
      <c r="C18" s="46">
        <v>39661</v>
      </c>
      <c r="D18" s="46">
        <v>39692</v>
      </c>
      <c r="E18" s="46">
        <v>39722</v>
      </c>
      <c r="F18" s="46">
        <v>39753</v>
      </c>
      <c r="G18" s="46">
        <v>39783</v>
      </c>
      <c r="H18" s="46">
        <v>39814</v>
      </c>
      <c r="I18" s="46">
        <v>39845</v>
      </c>
      <c r="J18" s="46">
        <v>39873</v>
      </c>
      <c r="K18" s="46">
        <v>39904</v>
      </c>
      <c r="L18" s="46">
        <v>39934</v>
      </c>
      <c r="M18" s="46">
        <v>39965</v>
      </c>
      <c r="N18" s="47" t="s">
        <v>354</v>
      </c>
      <c r="O18" s="55" t="s">
        <v>191</v>
      </c>
      <c r="P18" s="47" t="s">
        <v>86</v>
      </c>
      <c r="Q18" s="2"/>
    </row>
    <row r="19" spans="1:17" ht="12.75" customHeight="1">
      <c r="A19" s="48" t="s">
        <v>372</v>
      </c>
      <c r="B19" s="49"/>
      <c r="C19" s="49"/>
      <c r="D19" s="49"/>
      <c r="E19" s="49"/>
      <c r="F19" s="49"/>
      <c r="G19" s="49"/>
      <c r="H19" s="49"/>
      <c r="I19" s="49"/>
      <c r="J19" s="49"/>
      <c r="K19" s="49"/>
      <c r="L19" s="49"/>
      <c r="M19" s="49"/>
      <c r="N19" s="49"/>
      <c r="O19" s="74"/>
      <c r="P19" s="40"/>
    </row>
    <row r="20" spans="1:17" ht="12.75" customHeight="1">
      <c r="A20" s="50" t="s">
        <v>260</v>
      </c>
      <c r="B20" s="78">
        <v>1</v>
      </c>
      <c r="C20" s="78">
        <v>0</v>
      </c>
      <c r="D20" s="78">
        <v>2</v>
      </c>
      <c r="E20" s="78">
        <v>2</v>
      </c>
      <c r="F20" s="78">
        <v>3</v>
      </c>
      <c r="G20" s="78">
        <v>0</v>
      </c>
      <c r="H20" s="78">
        <v>1</v>
      </c>
      <c r="I20" s="78">
        <v>8</v>
      </c>
      <c r="J20" s="78">
        <v>3</v>
      </c>
      <c r="K20" s="78">
        <v>11</v>
      </c>
      <c r="L20" s="78">
        <v>0</v>
      </c>
      <c r="M20" s="78">
        <v>1</v>
      </c>
      <c r="N20" s="52">
        <f>SUM(B20:M20)</f>
        <v>32</v>
      </c>
      <c r="O20" s="53"/>
      <c r="P20" s="2"/>
    </row>
    <row r="21" spans="1:17" ht="12.75" customHeight="1">
      <c r="A21" s="50" t="s">
        <v>202</v>
      </c>
      <c r="B21" s="78">
        <v>0</v>
      </c>
      <c r="C21" s="78">
        <v>0</v>
      </c>
      <c r="D21" s="78">
        <v>2</v>
      </c>
      <c r="E21" s="78">
        <v>4</v>
      </c>
      <c r="F21" s="78">
        <v>2</v>
      </c>
      <c r="G21" s="78">
        <v>0</v>
      </c>
      <c r="H21" s="76">
        <v>1</v>
      </c>
      <c r="I21" s="76">
        <v>17</v>
      </c>
      <c r="J21" s="76">
        <v>10</v>
      </c>
      <c r="K21" s="76">
        <v>37</v>
      </c>
      <c r="L21" s="76">
        <v>0</v>
      </c>
      <c r="M21" s="76">
        <v>4</v>
      </c>
      <c r="N21" s="52">
        <f>SUM(B21:M21)</f>
        <v>77</v>
      </c>
      <c r="O21" s="53">
        <v>0</v>
      </c>
      <c r="P21" s="131" t="s">
        <v>229</v>
      </c>
    </row>
    <row r="22" spans="1:17" ht="12.75" customHeight="1">
      <c r="A22" s="50" t="s">
        <v>226</v>
      </c>
      <c r="B22" s="76">
        <v>0</v>
      </c>
      <c r="C22" s="76">
        <v>0</v>
      </c>
      <c r="D22" s="76">
        <v>0</v>
      </c>
      <c r="E22" s="76">
        <v>0</v>
      </c>
      <c r="F22" s="76">
        <v>0</v>
      </c>
      <c r="G22" s="76">
        <v>0</v>
      </c>
      <c r="H22" s="76">
        <v>0</v>
      </c>
      <c r="I22" s="76">
        <v>0</v>
      </c>
      <c r="J22" s="76">
        <v>0</v>
      </c>
      <c r="K22" s="76">
        <v>0</v>
      </c>
      <c r="L22" s="76">
        <v>0</v>
      </c>
      <c r="M22" s="76">
        <v>0</v>
      </c>
      <c r="N22" s="52">
        <f>SUM(B22:M22)</f>
        <v>0</v>
      </c>
      <c r="O22" s="53"/>
      <c r="P22" s="2"/>
    </row>
    <row r="23" spans="1:17" ht="12.75" customHeight="1">
      <c r="A23" s="2"/>
      <c r="B23" s="41"/>
      <c r="C23" s="41"/>
      <c r="D23" s="41"/>
      <c r="E23" s="41"/>
      <c r="F23" s="41"/>
      <c r="G23" s="41"/>
      <c r="H23" s="41"/>
      <c r="I23" s="41"/>
      <c r="J23" s="41"/>
      <c r="K23" s="41"/>
      <c r="L23" s="41"/>
      <c r="M23" s="41"/>
      <c r="N23" s="41"/>
      <c r="O23" s="54"/>
      <c r="P23" s="2"/>
    </row>
    <row r="24" spans="1:17" ht="12.75" customHeight="1">
      <c r="A24" s="5"/>
      <c r="B24" s="6"/>
      <c r="C24" s="6"/>
      <c r="D24" s="6"/>
      <c r="E24" s="6"/>
      <c r="F24" s="6"/>
      <c r="G24" s="6"/>
      <c r="H24" s="6"/>
      <c r="I24" s="6"/>
      <c r="J24" s="6"/>
      <c r="K24" s="6"/>
      <c r="L24" s="6"/>
      <c r="M24" s="6"/>
      <c r="N24" s="6"/>
      <c r="O24" s="91"/>
      <c r="P24" s="5"/>
    </row>
    <row r="25" spans="1:17" ht="25.5">
      <c r="A25" s="45"/>
      <c r="B25" s="46">
        <v>39630</v>
      </c>
      <c r="C25" s="46">
        <v>39661</v>
      </c>
      <c r="D25" s="46">
        <v>39692</v>
      </c>
      <c r="E25" s="46">
        <v>39722</v>
      </c>
      <c r="F25" s="46">
        <v>39753</v>
      </c>
      <c r="G25" s="46">
        <v>39783</v>
      </c>
      <c r="H25" s="46">
        <v>39814</v>
      </c>
      <c r="I25" s="46">
        <v>39845</v>
      </c>
      <c r="J25" s="46">
        <v>39873</v>
      </c>
      <c r="K25" s="46">
        <v>39904</v>
      </c>
      <c r="L25" s="46">
        <v>39934</v>
      </c>
      <c r="M25" s="46">
        <v>39965</v>
      </c>
      <c r="N25" s="47" t="s">
        <v>354</v>
      </c>
      <c r="O25" s="55" t="s">
        <v>191</v>
      </c>
      <c r="P25" s="47" t="s">
        <v>86</v>
      </c>
      <c r="Q25" s="2"/>
    </row>
    <row r="26" spans="1:17" ht="12.75" customHeight="1">
      <c r="A26" s="174" t="s">
        <v>58</v>
      </c>
      <c r="B26" s="182"/>
      <c r="C26" s="49"/>
      <c r="D26" s="49"/>
      <c r="E26" s="49"/>
      <c r="F26" s="49"/>
      <c r="G26" s="49"/>
      <c r="H26" s="49"/>
      <c r="I26" s="49"/>
      <c r="J26" s="49"/>
      <c r="K26" s="49"/>
      <c r="L26" s="49"/>
      <c r="M26" s="49"/>
      <c r="N26" s="49"/>
      <c r="O26" s="74"/>
      <c r="P26" s="40"/>
    </row>
    <row r="27" spans="1:17" ht="12.75" customHeight="1">
      <c r="A27" s="50" t="s">
        <v>260</v>
      </c>
      <c r="B27" s="100">
        <v>0</v>
      </c>
      <c r="C27" s="78">
        <v>0</v>
      </c>
      <c r="D27" s="78">
        <v>0</v>
      </c>
      <c r="E27" s="78">
        <v>0</v>
      </c>
      <c r="F27" s="78">
        <v>0</v>
      </c>
      <c r="G27" s="78">
        <v>0</v>
      </c>
      <c r="H27" s="78" t="s">
        <v>229</v>
      </c>
      <c r="I27" s="78" t="s">
        <v>229</v>
      </c>
      <c r="J27" s="78" t="s">
        <v>229</v>
      </c>
      <c r="K27" s="78" t="s">
        <v>229</v>
      </c>
      <c r="L27" s="78" t="s">
        <v>229</v>
      </c>
      <c r="M27" s="78" t="s">
        <v>229</v>
      </c>
      <c r="N27" s="52">
        <f>SUM(B27:M27)</f>
        <v>0</v>
      </c>
      <c r="O27" s="53"/>
      <c r="P27" s="2"/>
    </row>
    <row r="28" spans="1:17" ht="12.75" customHeight="1">
      <c r="A28" s="50" t="s">
        <v>202</v>
      </c>
      <c r="B28" s="78">
        <v>0</v>
      </c>
      <c r="C28" s="78">
        <v>0</v>
      </c>
      <c r="D28" s="78">
        <v>0</v>
      </c>
      <c r="E28" s="78">
        <v>0</v>
      </c>
      <c r="F28" s="78">
        <v>0</v>
      </c>
      <c r="G28" s="78">
        <v>0</v>
      </c>
      <c r="H28" s="75" t="s">
        <v>229</v>
      </c>
      <c r="I28" s="75" t="s">
        <v>229</v>
      </c>
      <c r="J28" s="75" t="s">
        <v>229</v>
      </c>
      <c r="K28" s="75" t="s">
        <v>229</v>
      </c>
      <c r="L28" s="75" t="s">
        <v>229</v>
      </c>
      <c r="M28" s="75" t="s">
        <v>229</v>
      </c>
      <c r="N28" s="52">
        <f>SUM(B28:M28)</f>
        <v>0</v>
      </c>
      <c r="O28" s="53">
        <v>0</v>
      </c>
      <c r="P28" s="131" t="s">
        <v>229</v>
      </c>
    </row>
    <row r="29" spans="1:17" ht="12.75" customHeight="1">
      <c r="A29" s="50" t="s">
        <v>226</v>
      </c>
      <c r="B29" s="76">
        <v>0</v>
      </c>
      <c r="C29" s="76">
        <v>0</v>
      </c>
      <c r="D29" s="76">
        <v>0</v>
      </c>
      <c r="E29" s="76">
        <v>0</v>
      </c>
      <c r="F29" s="76">
        <v>0</v>
      </c>
      <c r="G29" s="76">
        <v>0</v>
      </c>
      <c r="H29" s="75" t="s">
        <v>229</v>
      </c>
      <c r="I29" s="75" t="s">
        <v>229</v>
      </c>
      <c r="J29" s="75" t="s">
        <v>229</v>
      </c>
      <c r="K29" s="75" t="s">
        <v>229</v>
      </c>
      <c r="L29" s="75" t="s">
        <v>229</v>
      </c>
      <c r="M29" s="75" t="s">
        <v>229</v>
      </c>
      <c r="N29" s="52">
        <f>SUM(B29:M29)</f>
        <v>0</v>
      </c>
      <c r="O29" s="53"/>
      <c r="P29" s="2"/>
    </row>
    <row r="30" spans="1:17" ht="12.75" customHeight="1">
      <c r="A30" s="2"/>
      <c r="B30" s="40"/>
      <c r="C30" s="40"/>
      <c r="D30" s="40"/>
      <c r="E30" s="40"/>
      <c r="F30" s="40"/>
      <c r="G30" s="40"/>
      <c r="H30" s="40"/>
      <c r="I30" s="40"/>
      <c r="J30" s="40"/>
      <c r="K30" s="40"/>
      <c r="L30" s="40"/>
      <c r="M30" s="40"/>
      <c r="N30" s="114"/>
      <c r="O30" s="54"/>
      <c r="P30" s="2"/>
    </row>
    <row r="31" spans="1:17" ht="12.75" customHeight="1">
      <c r="A31" s="5"/>
      <c r="B31" s="6"/>
      <c r="C31" s="6"/>
      <c r="D31" s="6"/>
      <c r="E31" s="6"/>
      <c r="F31" s="6"/>
      <c r="G31" s="6"/>
      <c r="H31" s="6"/>
      <c r="I31" s="6"/>
      <c r="J31" s="6"/>
      <c r="K31" s="6"/>
      <c r="L31" s="6"/>
      <c r="M31" s="6"/>
      <c r="N31" s="6"/>
      <c r="O31" s="91"/>
      <c r="P31" s="5"/>
    </row>
    <row r="32" spans="1:17" ht="25.5">
      <c r="A32" s="45"/>
      <c r="B32" s="46">
        <v>39630</v>
      </c>
      <c r="C32" s="46">
        <v>39661</v>
      </c>
      <c r="D32" s="46">
        <v>39692</v>
      </c>
      <c r="E32" s="46">
        <v>39722</v>
      </c>
      <c r="F32" s="46">
        <v>39753</v>
      </c>
      <c r="G32" s="46">
        <v>39783</v>
      </c>
      <c r="H32" s="46">
        <v>39814</v>
      </c>
      <c r="I32" s="46">
        <v>39845</v>
      </c>
      <c r="J32" s="46">
        <v>39873</v>
      </c>
      <c r="K32" s="46">
        <v>39904</v>
      </c>
      <c r="L32" s="46">
        <v>39934</v>
      </c>
      <c r="M32" s="46">
        <v>39965</v>
      </c>
      <c r="N32" s="47" t="s">
        <v>354</v>
      </c>
      <c r="O32" s="55" t="s">
        <v>191</v>
      </c>
      <c r="P32" s="47" t="s">
        <v>86</v>
      </c>
      <c r="Q32" s="2"/>
    </row>
    <row r="33" spans="1:17" ht="12.75" customHeight="1">
      <c r="A33" s="48" t="s">
        <v>53</v>
      </c>
      <c r="B33" s="49"/>
      <c r="C33" s="49"/>
      <c r="D33" s="49"/>
      <c r="E33" s="49"/>
      <c r="F33" s="49"/>
      <c r="G33" s="49"/>
      <c r="H33" s="49"/>
      <c r="I33" s="49"/>
      <c r="J33" s="49"/>
      <c r="K33" s="49"/>
      <c r="L33" s="49"/>
      <c r="M33" s="49"/>
      <c r="N33" s="49"/>
      <c r="O33" s="74"/>
      <c r="P33" s="40"/>
    </row>
    <row r="34" spans="1:17" ht="12.75" customHeight="1">
      <c r="A34" s="50" t="s">
        <v>260</v>
      </c>
      <c r="B34" s="78" t="s">
        <v>229</v>
      </c>
      <c r="C34" s="78" t="s">
        <v>229</v>
      </c>
      <c r="D34" s="78" t="s">
        <v>229</v>
      </c>
      <c r="E34" s="78" t="s">
        <v>229</v>
      </c>
      <c r="F34" s="78" t="s">
        <v>229</v>
      </c>
      <c r="G34" s="78" t="s">
        <v>229</v>
      </c>
      <c r="H34" s="78" t="s">
        <v>229</v>
      </c>
      <c r="I34" s="78" t="s">
        <v>229</v>
      </c>
      <c r="J34" s="78" t="s">
        <v>229</v>
      </c>
      <c r="K34" s="78" t="s">
        <v>229</v>
      </c>
      <c r="L34" s="78" t="s">
        <v>229</v>
      </c>
      <c r="M34" s="78" t="s">
        <v>229</v>
      </c>
      <c r="N34" s="52">
        <f>SUM(B34:M34)</f>
        <v>0</v>
      </c>
      <c r="O34" s="53"/>
      <c r="P34" s="2"/>
    </row>
    <row r="35" spans="1:17" ht="12.75" customHeight="1">
      <c r="A35" s="50" t="s">
        <v>202</v>
      </c>
      <c r="B35" s="78" t="s">
        <v>229</v>
      </c>
      <c r="C35" s="78" t="s">
        <v>229</v>
      </c>
      <c r="D35" s="78" t="s">
        <v>229</v>
      </c>
      <c r="E35" s="78" t="s">
        <v>229</v>
      </c>
      <c r="F35" s="78" t="s">
        <v>229</v>
      </c>
      <c r="G35" s="78" t="s">
        <v>229</v>
      </c>
      <c r="H35" s="75" t="s">
        <v>229</v>
      </c>
      <c r="I35" s="75" t="s">
        <v>229</v>
      </c>
      <c r="J35" s="75" t="s">
        <v>229</v>
      </c>
      <c r="K35" s="75" t="s">
        <v>229</v>
      </c>
      <c r="L35" s="75" t="s">
        <v>229</v>
      </c>
      <c r="M35" s="75" t="s">
        <v>229</v>
      </c>
      <c r="N35" s="52">
        <f>SUM(B35:M35)</f>
        <v>0</v>
      </c>
      <c r="O35" s="53">
        <v>0</v>
      </c>
      <c r="P35" s="131" t="s">
        <v>229</v>
      </c>
    </row>
    <row r="36" spans="1:17" ht="12.75" customHeight="1">
      <c r="A36" s="50" t="s">
        <v>226</v>
      </c>
      <c r="B36" s="75" t="s">
        <v>229</v>
      </c>
      <c r="C36" s="75" t="s">
        <v>229</v>
      </c>
      <c r="D36" s="75" t="s">
        <v>229</v>
      </c>
      <c r="E36" s="75" t="s">
        <v>229</v>
      </c>
      <c r="F36" s="75" t="s">
        <v>229</v>
      </c>
      <c r="G36" s="75" t="s">
        <v>229</v>
      </c>
      <c r="H36" s="75" t="s">
        <v>229</v>
      </c>
      <c r="I36" s="75" t="s">
        <v>229</v>
      </c>
      <c r="J36" s="75" t="s">
        <v>229</v>
      </c>
      <c r="K36" s="75" t="s">
        <v>229</v>
      </c>
      <c r="L36" s="75" t="s">
        <v>229</v>
      </c>
      <c r="M36" s="75" t="s">
        <v>229</v>
      </c>
      <c r="N36" s="52">
        <f>SUM(B36:M36)</f>
        <v>0</v>
      </c>
      <c r="O36" s="53"/>
      <c r="P36" s="2"/>
    </row>
    <row r="37" spans="1:17" ht="12.75" customHeight="1">
      <c r="A37" s="2"/>
      <c r="B37" s="40"/>
      <c r="C37" s="40"/>
      <c r="D37" s="40"/>
      <c r="E37" s="40"/>
      <c r="F37" s="40"/>
      <c r="G37" s="40"/>
      <c r="H37" s="40"/>
      <c r="I37" s="40"/>
      <c r="J37" s="40"/>
      <c r="K37" s="40"/>
      <c r="L37" s="40"/>
      <c r="M37" s="40"/>
      <c r="N37" s="114"/>
      <c r="O37" s="54"/>
      <c r="P37" s="2"/>
    </row>
    <row r="38" spans="1:17" ht="12.75" customHeight="1">
      <c r="A38" s="5"/>
      <c r="B38" s="5"/>
      <c r="C38" s="5"/>
      <c r="D38" s="5"/>
      <c r="E38" s="5"/>
      <c r="F38" s="5"/>
      <c r="G38" s="5"/>
      <c r="H38" s="5"/>
      <c r="I38" s="5"/>
      <c r="J38" s="5"/>
      <c r="K38" s="5"/>
      <c r="L38" s="5"/>
      <c r="M38" s="5"/>
      <c r="N38" s="119"/>
      <c r="O38" s="91"/>
      <c r="P38" s="5"/>
    </row>
    <row r="39" spans="1:17" ht="25.5">
      <c r="A39" s="45"/>
      <c r="B39" s="46">
        <v>39630</v>
      </c>
      <c r="C39" s="46">
        <v>39661</v>
      </c>
      <c r="D39" s="46">
        <v>39692</v>
      </c>
      <c r="E39" s="46">
        <v>39722</v>
      </c>
      <c r="F39" s="46">
        <v>39753</v>
      </c>
      <c r="G39" s="46">
        <v>39783</v>
      </c>
      <c r="H39" s="46">
        <v>39814</v>
      </c>
      <c r="I39" s="46">
        <v>39845</v>
      </c>
      <c r="J39" s="46">
        <v>39873</v>
      </c>
      <c r="K39" s="46">
        <v>39904</v>
      </c>
      <c r="L39" s="46">
        <v>39934</v>
      </c>
      <c r="M39" s="46">
        <v>39965</v>
      </c>
      <c r="N39" s="47" t="s">
        <v>354</v>
      </c>
      <c r="O39" s="55" t="s">
        <v>191</v>
      </c>
      <c r="P39" s="47" t="s">
        <v>86</v>
      </c>
      <c r="Q39" s="2"/>
    </row>
    <row r="40" spans="1:17" ht="12.75" customHeight="1">
      <c r="A40" s="48" t="s">
        <v>128</v>
      </c>
      <c r="B40" s="49"/>
      <c r="C40" s="49"/>
      <c r="D40" s="49"/>
      <c r="E40" s="49"/>
      <c r="F40" s="49"/>
      <c r="G40" s="49"/>
      <c r="H40" s="49"/>
      <c r="I40" s="49"/>
      <c r="J40" s="49"/>
      <c r="K40" s="49"/>
      <c r="L40" s="49"/>
      <c r="M40" s="49"/>
      <c r="N40" s="49"/>
      <c r="O40" s="74"/>
      <c r="P40" s="40"/>
    </row>
    <row r="41" spans="1:17" ht="12.75" customHeight="1">
      <c r="A41" s="50" t="s">
        <v>260</v>
      </c>
      <c r="B41" s="104">
        <v>180</v>
      </c>
      <c r="C41" s="104">
        <v>136</v>
      </c>
      <c r="D41" s="104">
        <v>347</v>
      </c>
      <c r="E41" s="104">
        <v>458</v>
      </c>
      <c r="F41" s="104">
        <v>378</v>
      </c>
      <c r="G41" s="104">
        <v>198</v>
      </c>
      <c r="H41" s="78">
        <v>143</v>
      </c>
      <c r="I41" s="78">
        <v>671</v>
      </c>
      <c r="J41" s="78">
        <v>637</v>
      </c>
      <c r="K41" s="78">
        <v>634</v>
      </c>
      <c r="L41" s="78">
        <v>277</v>
      </c>
      <c r="M41" s="78">
        <v>217</v>
      </c>
      <c r="N41" s="52">
        <f>SUM(B41:M41)</f>
        <v>4276</v>
      </c>
      <c r="O41" s="53"/>
      <c r="P41" s="2"/>
    </row>
    <row r="42" spans="1:17" ht="12.75" customHeight="1">
      <c r="A42" s="50" t="s">
        <v>202</v>
      </c>
      <c r="B42" s="104">
        <v>178</v>
      </c>
      <c r="C42" s="104">
        <v>143</v>
      </c>
      <c r="D42" s="104">
        <v>352</v>
      </c>
      <c r="E42" s="104">
        <v>493</v>
      </c>
      <c r="F42" s="104">
        <v>490</v>
      </c>
      <c r="G42" s="104">
        <v>204</v>
      </c>
      <c r="H42" s="76">
        <v>146</v>
      </c>
      <c r="I42" s="76">
        <v>689</v>
      </c>
      <c r="J42" s="76">
        <v>698</v>
      </c>
      <c r="K42" s="76">
        <v>699</v>
      </c>
      <c r="L42" s="76">
        <v>276</v>
      </c>
      <c r="M42" s="76">
        <v>221</v>
      </c>
      <c r="N42" s="52">
        <f>SUM(B42:M42)</f>
        <v>4589</v>
      </c>
      <c r="O42" s="53">
        <v>13849</v>
      </c>
      <c r="P42" s="54" t="s">
        <v>13</v>
      </c>
    </row>
    <row r="43" spans="1:17" ht="12.75" customHeight="1">
      <c r="A43" s="50" t="s">
        <v>226</v>
      </c>
      <c r="B43" s="36">
        <v>0</v>
      </c>
      <c r="C43" s="36">
        <v>0</v>
      </c>
      <c r="D43" s="36">
        <v>0</v>
      </c>
      <c r="E43" s="36">
        <v>0</v>
      </c>
      <c r="F43" s="36">
        <v>0</v>
      </c>
      <c r="G43" s="36">
        <v>0</v>
      </c>
      <c r="H43" s="76">
        <v>0</v>
      </c>
      <c r="I43" s="76">
        <v>0</v>
      </c>
      <c r="J43" s="76">
        <v>0</v>
      </c>
      <c r="K43" s="76">
        <v>0</v>
      </c>
      <c r="L43" s="76">
        <v>0</v>
      </c>
      <c r="M43" s="76">
        <v>0</v>
      </c>
      <c r="N43" s="52">
        <f>SUM(B43:M43)</f>
        <v>0</v>
      </c>
      <c r="O43" s="53"/>
      <c r="P43" s="2"/>
    </row>
    <row r="44" spans="1:17" ht="12.75" customHeight="1">
      <c r="A44" s="2"/>
      <c r="B44" s="40"/>
      <c r="C44" s="40"/>
      <c r="D44" s="40"/>
      <c r="E44" s="40"/>
      <c r="F44" s="40"/>
      <c r="G44" s="40"/>
      <c r="H44" s="40"/>
      <c r="I44" s="40"/>
      <c r="J44" s="40"/>
      <c r="K44" s="40"/>
      <c r="L44" s="40"/>
      <c r="M44" s="40"/>
      <c r="N44" s="114"/>
      <c r="O44" s="54"/>
      <c r="P44" s="2"/>
    </row>
    <row r="45" spans="1:17" ht="12.75" customHeight="1">
      <c r="A45" s="2"/>
      <c r="B45" s="2"/>
      <c r="C45" s="2"/>
      <c r="D45" s="2"/>
      <c r="E45" s="2"/>
      <c r="F45" s="2"/>
      <c r="G45" s="2"/>
      <c r="H45" s="2"/>
      <c r="I45" s="2"/>
      <c r="J45" s="2"/>
      <c r="K45" s="2"/>
      <c r="L45" s="2"/>
      <c r="M45" s="2"/>
      <c r="N45" s="118"/>
      <c r="O45" s="54"/>
      <c r="P45" s="2"/>
    </row>
    <row r="46" spans="1:17" ht="12.75" customHeight="1">
      <c r="A46" s="86"/>
      <c r="B46" s="116"/>
      <c r="C46" s="116"/>
      <c r="D46" s="116"/>
      <c r="E46" s="116"/>
      <c r="F46" s="116"/>
      <c r="G46" s="116"/>
      <c r="H46" s="116"/>
      <c r="I46" s="116"/>
      <c r="J46" s="116"/>
      <c r="K46" s="116"/>
      <c r="L46" s="116"/>
      <c r="M46" s="116"/>
      <c r="N46" s="119"/>
      <c r="O46" s="91"/>
      <c r="P46" s="5"/>
    </row>
    <row r="47" spans="1:17" ht="25.5">
      <c r="A47" s="135"/>
      <c r="B47" s="46">
        <v>39630</v>
      </c>
      <c r="C47" s="46">
        <v>39661</v>
      </c>
      <c r="D47" s="46">
        <v>39692</v>
      </c>
      <c r="E47" s="46">
        <v>39722</v>
      </c>
      <c r="F47" s="46">
        <v>39753</v>
      </c>
      <c r="G47" s="46">
        <v>39783</v>
      </c>
      <c r="H47" s="46">
        <v>39814</v>
      </c>
      <c r="I47" s="46">
        <v>39845</v>
      </c>
      <c r="J47" s="46">
        <v>39873</v>
      </c>
      <c r="K47" s="46">
        <v>39904</v>
      </c>
      <c r="L47" s="46">
        <v>39934</v>
      </c>
      <c r="M47" s="46">
        <v>39965</v>
      </c>
      <c r="N47" s="47" t="s">
        <v>354</v>
      </c>
      <c r="O47" s="55" t="s">
        <v>191</v>
      </c>
      <c r="P47" s="47" t="s">
        <v>86</v>
      </c>
      <c r="Q47" s="2"/>
    </row>
    <row r="48" spans="1:17" ht="12.75" customHeight="1">
      <c r="A48" s="48" t="s">
        <v>267</v>
      </c>
      <c r="B48" s="49"/>
      <c r="C48" s="49"/>
      <c r="D48" s="49"/>
      <c r="E48" s="49"/>
      <c r="F48" s="49"/>
      <c r="G48" s="49"/>
      <c r="H48" s="49"/>
      <c r="I48" s="49"/>
      <c r="J48" s="49"/>
      <c r="K48" s="49"/>
      <c r="L48" s="49"/>
      <c r="M48" s="49"/>
      <c r="N48" s="49"/>
      <c r="O48" s="74"/>
      <c r="P48" s="40"/>
    </row>
    <row r="49" spans="1:16" ht="12.75" customHeight="1">
      <c r="A49" s="50" t="s">
        <v>260</v>
      </c>
      <c r="B49" s="78">
        <v>189</v>
      </c>
      <c r="C49" s="78">
        <v>144</v>
      </c>
      <c r="D49" s="78">
        <v>391</v>
      </c>
      <c r="E49" s="78">
        <v>501</v>
      </c>
      <c r="F49" s="78">
        <v>409</v>
      </c>
      <c r="G49" s="78">
        <v>206</v>
      </c>
      <c r="H49" s="78">
        <v>155</v>
      </c>
      <c r="I49" s="78">
        <v>759</v>
      </c>
      <c r="J49" s="78">
        <v>745</v>
      </c>
      <c r="K49" s="78">
        <v>777</v>
      </c>
      <c r="L49" s="78">
        <v>321</v>
      </c>
      <c r="M49" s="78">
        <v>249</v>
      </c>
      <c r="N49" s="52">
        <f>SUM(B49:M49)</f>
        <v>4846</v>
      </c>
      <c r="O49" s="53"/>
      <c r="P49" s="2"/>
    </row>
    <row r="50" spans="1:16" ht="12.75" customHeight="1">
      <c r="A50" s="50" t="s">
        <v>202</v>
      </c>
      <c r="B50" s="76">
        <v>194</v>
      </c>
      <c r="C50" s="76">
        <v>155</v>
      </c>
      <c r="D50" s="76">
        <v>414</v>
      </c>
      <c r="E50" s="76">
        <v>573</v>
      </c>
      <c r="F50" s="76">
        <v>547</v>
      </c>
      <c r="G50" s="76">
        <v>218</v>
      </c>
      <c r="H50" s="76">
        <v>159</v>
      </c>
      <c r="I50" s="76">
        <v>810</v>
      </c>
      <c r="J50" s="76">
        <v>902</v>
      </c>
      <c r="K50" s="76">
        <v>1006</v>
      </c>
      <c r="L50" s="76">
        <v>411</v>
      </c>
      <c r="M50" s="76">
        <v>280</v>
      </c>
      <c r="N50" s="52">
        <f>SUM(B50:M50)</f>
        <v>5669</v>
      </c>
      <c r="O50" s="53">
        <f>SUM(O6:O43)</f>
        <v>13849</v>
      </c>
      <c r="P50" s="54" t="s">
        <v>13</v>
      </c>
    </row>
    <row r="51" spans="1:16" ht="12.75" customHeight="1">
      <c r="A51" s="50" t="s">
        <v>226</v>
      </c>
      <c r="B51" s="76">
        <v>0</v>
      </c>
      <c r="C51" s="76">
        <v>0</v>
      </c>
      <c r="D51" s="76">
        <v>0</v>
      </c>
      <c r="E51" s="76">
        <v>0</v>
      </c>
      <c r="F51" s="76">
        <v>0</v>
      </c>
      <c r="G51" s="76">
        <v>0</v>
      </c>
      <c r="H51" s="76">
        <v>0</v>
      </c>
      <c r="I51" s="76">
        <v>0</v>
      </c>
      <c r="J51" s="76">
        <v>0</v>
      </c>
      <c r="K51" s="76">
        <v>0</v>
      </c>
      <c r="L51" s="76">
        <v>0</v>
      </c>
      <c r="M51" s="76">
        <v>0</v>
      </c>
      <c r="N51" s="52">
        <f>SUM(B51:M51)</f>
        <v>0</v>
      </c>
      <c r="O51" s="53"/>
      <c r="P51" s="2"/>
    </row>
    <row r="52" spans="1:16" ht="12.75" customHeight="1">
      <c r="A52" s="2"/>
      <c r="B52" s="41"/>
      <c r="C52" s="41"/>
      <c r="D52" s="41"/>
      <c r="E52" s="41"/>
      <c r="F52" s="41"/>
      <c r="G52" s="41"/>
      <c r="H52" s="41"/>
      <c r="I52" s="41"/>
      <c r="J52" s="41"/>
      <c r="K52" s="41"/>
      <c r="L52" s="41"/>
      <c r="M52" s="41"/>
      <c r="N52" s="41"/>
      <c r="O52" s="2"/>
      <c r="P52" s="2"/>
    </row>
    <row r="53" spans="1:16" ht="12.75" customHeight="1">
      <c r="A53" s="2"/>
      <c r="O53" s="2"/>
      <c r="P53" s="2"/>
    </row>
    <row r="54" spans="1:16" ht="12.75" customHeight="1">
      <c r="A54" s="2" t="s">
        <v>15</v>
      </c>
      <c r="B54" s="2" t="s">
        <v>185</v>
      </c>
      <c r="O54" s="2"/>
      <c r="P54" s="2"/>
    </row>
    <row r="55" spans="1:16" ht="12.75" customHeight="1">
      <c r="A55" s="2"/>
      <c r="O55" s="2"/>
      <c r="P55" s="2"/>
    </row>
    <row r="56" spans="1:16" ht="12.75" customHeight="1">
      <c r="A56" s="168" t="s">
        <v>61</v>
      </c>
      <c r="B56" s="170"/>
      <c r="C56" s="170"/>
      <c r="D56" s="170"/>
      <c r="E56" s="170"/>
      <c r="F56" s="170"/>
      <c r="G56" s="170"/>
      <c r="H56" s="170"/>
      <c r="I56" s="170"/>
      <c r="J56" s="170"/>
      <c r="K56" s="170"/>
      <c r="L56" s="170"/>
      <c r="M56" s="170"/>
      <c r="N56" s="170"/>
      <c r="O56" s="2"/>
      <c r="P56" s="2"/>
    </row>
    <row r="57" spans="1:16" ht="12.75" customHeight="1">
      <c r="A57" s="2"/>
      <c r="O57" s="2"/>
      <c r="P57" s="2"/>
    </row>
  </sheetData>
  <mergeCells count="2">
    <mergeCell ref="A26:B26"/>
    <mergeCell ref="A56:N56"/>
  </mergeCells>
  <pageMargins left="0.75" right="0.75" top="1" bottom="1" header="0.5" footer="0.5"/>
  <pageSetup paperSize="9" orientation="portrait" horizontalDpi="300" verticalDpi="300"/>
  <headerFooter alignWithMargins="0"/>
</worksheet>
</file>

<file path=xl/worksheets/sheet24.xml><?xml version="1.0" encoding="utf-8"?>
<worksheet xmlns="http://schemas.openxmlformats.org/spreadsheetml/2006/main" xmlns:r="http://schemas.openxmlformats.org/officeDocument/2006/relationships">
  <dimension ref="A1:Q37"/>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7.140625" customWidth="1"/>
    <col min="2" max="2" width="10.85546875" customWidth="1"/>
    <col min="3" max="14" width="8.5703125" customWidth="1"/>
    <col min="15" max="15" width="12.85546875" customWidth="1"/>
    <col min="16" max="16" width="8.5703125" customWidth="1"/>
    <col min="17" max="17" width="9.140625" customWidth="1"/>
  </cols>
  <sheetData>
    <row r="1" spans="1:17" ht="20.25">
      <c r="A1" s="1" t="s">
        <v>126</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2"/>
      <c r="B3" s="2"/>
      <c r="O3" s="2"/>
    </row>
    <row r="4" spans="1:17" ht="12.75" customHeight="1">
      <c r="A4" s="2" t="s">
        <v>15</v>
      </c>
      <c r="B4" s="2" t="s">
        <v>185</v>
      </c>
      <c r="O4" s="2"/>
    </row>
    <row r="5" spans="1:17" ht="12.75" customHeight="1">
      <c r="A5" s="5"/>
      <c r="B5" s="5"/>
      <c r="C5" s="6"/>
      <c r="D5" s="6"/>
      <c r="E5" s="6"/>
      <c r="F5" s="6"/>
      <c r="G5" s="6"/>
      <c r="H5" s="6"/>
      <c r="I5" s="6"/>
      <c r="J5" s="6"/>
      <c r="K5" s="6"/>
      <c r="L5" s="6"/>
      <c r="M5" s="6"/>
      <c r="N5" s="6"/>
      <c r="O5" s="5"/>
      <c r="P5" s="6"/>
    </row>
    <row r="6" spans="1:17" ht="25.5">
      <c r="A6" s="45"/>
      <c r="B6" s="46">
        <v>39630</v>
      </c>
      <c r="C6" s="46">
        <v>39661</v>
      </c>
      <c r="D6" s="46">
        <v>39692</v>
      </c>
      <c r="E6" s="46">
        <v>39722</v>
      </c>
      <c r="F6" s="46">
        <v>39753</v>
      </c>
      <c r="G6" s="46">
        <v>39783</v>
      </c>
      <c r="H6" s="46">
        <v>39814</v>
      </c>
      <c r="I6" s="46">
        <v>39845</v>
      </c>
      <c r="J6" s="46">
        <v>39873</v>
      </c>
      <c r="K6" s="46">
        <v>39904</v>
      </c>
      <c r="L6" s="46">
        <v>39934</v>
      </c>
      <c r="M6" s="46">
        <v>39965</v>
      </c>
      <c r="N6" s="47" t="s">
        <v>354</v>
      </c>
      <c r="O6" s="55" t="s">
        <v>191</v>
      </c>
      <c r="P6" s="55" t="s">
        <v>165</v>
      </c>
      <c r="Q6" s="2"/>
    </row>
    <row r="7" spans="1:17" ht="12.75" customHeight="1">
      <c r="A7" s="48" t="s">
        <v>115</v>
      </c>
      <c r="B7" s="136"/>
      <c r="C7" s="136"/>
      <c r="D7" s="136"/>
      <c r="E7" s="136"/>
      <c r="F7" s="136"/>
      <c r="G7" s="136"/>
      <c r="H7" s="136"/>
      <c r="I7" s="136"/>
      <c r="J7" s="136"/>
      <c r="K7" s="136"/>
      <c r="L7" s="136"/>
      <c r="M7" s="136"/>
      <c r="N7" s="127"/>
      <c r="O7" s="40"/>
      <c r="P7" s="41"/>
    </row>
    <row r="8" spans="1:17" ht="12.75" customHeight="1">
      <c r="A8" s="50" t="s">
        <v>260</v>
      </c>
      <c r="B8" s="137" t="s">
        <v>229</v>
      </c>
      <c r="C8" s="137" t="s">
        <v>229</v>
      </c>
      <c r="D8" s="137" t="s">
        <v>229</v>
      </c>
      <c r="E8" s="137" t="s">
        <v>229</v>
      </c>
      <c r="F8" s="137" t="s">
        <v>229</v>
      </c>
      <c r="G8" s="137" t="s">
        <v>229</v>
      </c>
      <c r="H8" s="137" t="s">
        <v>229</v>
      </c>
      <c r="I8" s="137">
        <v>0</v>
      </c>
      <c r="J8" s="137">
        <v>0</v>
      </c>
      <c r="K8" s="137">
        <v>0</v>
      </c>
      <c r="L8" s="137">
        <v>2</v>
      </c>
      <c r="M8" s="137">
        <v>4</v>
      </c>
      <c r="N8" s="52">
        <f>SUM(B8:M8)</f>
        <v>6</v>
      </c>
      <c r="O8" s="53"/>
      <c r="P8" s="54"/>
    </row>
    <row r="9" spans="1:17" ht="12.75" customHeight="1">
      <c r="A9" s="50" t="s">
        <v>223</v>
      </c>
      <c r="B9" s="137" t="s">
        <v>229</v>
      </c>
      <c r="C9" s="137" t="s">
        <v>229</v>
      </c>
      <c r="D9" s="137" t="s">
        <v>229</v>
      </c>
      <c r="E9" s="137" t="s">
        <v>229</v>
      </c>
      <c r="F9" s="137" t="s">
        <v>229</v>
      </c>
      <c r="G9" s="137" t="s">
        <v>229</v>
      </c>
      <c r="H9" s="137" t="s">
        <v>229</v>
      </c>
      <c r="I9" s="76">
        <v>0</v>
      </c>
      <c r="J9" s="76">
        <v>0</v>
      </c>
      <c r="K9" s="76">
        <v>0</v>
      </c>
      <c r="L9" s="76">
        <v>2</v>
      </c>
      <c r="M9" s="76">
        <v>6</v>
      </c>
      <c r="N9" s="52">
        <f>SUM(B9:M9)</f>
        <v>8</v>
      </c>
      <c r="O9" s="53">
        <f>(24867+27354)/2</f>
        <v>26110.5</v>
      </c>
      <c r="P9" s="54" t="s">
        <v>13</v>
      </c>
    </row>
    <row r="10" spans="1:17" ht="12.75" customHeight="1">
      <c r="A10" s="2"/>
      <c r="B10" s="40"/>
      <c r="C10" s="41"/>
      <c r="D10" s="41"/>
      <c r="E10" s="41"/>
      <c r="F10" s="41"/>
      <c r="G10" s="41"/>
      <c r="H10" s="41"/>
      <c r="I10" s="41"/>
      <c r="J10" s="41"/>
      <c r="K10" s="41"/>
      <c r="L10" s="41"/>
      <c r="M10" s="41"/>
      <c r="N10" s="41"/>
      <c r="O10" s="2"/>
    </row>
    <row r="11" spans="1:17" ht="12.75" customHeight="1">
      <c r="A11" s="2" t="s">
        <v>122</v>
      </c>
      <c r="B11" s="2"/>
      <c r="O11" s="2"/>
    </row>
    <row r="12" spans="1:17" ht="12.75" customHeight="1">
      <c r="A12" s="2"/>
      <c r="B12" s="2"/>
      <c r="O12" s="2"/>
    </row>
    <row r="13" spans="1:17" ht="12.75" customHeight="1">
      <c r="A13" s="5"/>
      <c r="B13" s="5"/>
      <c r="C13" s="6"/>
      <c r="D13" s="6"/>
      <c r="E13" s="6"/>
      <c r="F13" s="6"/>
      <c r="G13" s="6"/>
      <c r="H13" s="6"/>
      <c r="I13" s="6"/>
      <c r="J13" s="6"/>
      <c r="K13" s="6"/>
      <c r="L13" s="6"/>
      <c r="M13" s="6"/>
      <c r="N13" s="6"/>
      <c r="O13" s="5"/>
      <c r="P13" s="6"/>
    </row>
    <row r="14" spans="1:17" ht="25.5">
      <c r="A14" s="45"/>
      <c r="B14" s="46">
        <v>39630</v>
      </c>
      <c r="C14" s="46">
        <v>39661</v>
      </c>
      <c r="D14" s="46">
        <v>39692</v>
      </c>
      <c r="E14" s="46">
        <v>39722</v>
      </c>
      <c r="F14" s="46">
        <v>39753</v>
      </c>
      <c r="G14" s="46">
        <v>39783</v>
      </c>
      <c r="H14" s="46">
        <v>39814</v>
      </c>
      <c r="I14" s="46">
        <v>39845</v>
      </c>
      <c r="J14" s="46">
        <v>39873</v>
      </c>
      <c r="K14" s="46">
        <v>39904</v>
      </c>
      <c r="L14" s="46">
        <v>39934</v>
      </c>
      <c r="M14" s="46">
        <v>39965</v>
      </c>
      <c r="N14" s="47" t="s">
        <v>354</v>
      </c>
      <c r="O14" s="55" t="s">
        <v>191</v>
      </c>
      <c r="P14" s="55" t="s">
        <v>165</v>
      </c>
    </row>
    <row r="15" spans="1:17" ht="12.75" customHeight="1">
      <c r="A15" s="48" t="s">
        <v>291</v>
      </c>
      <c r="B15" s="136"/>
      <c r="C15" s="136"/>
      <c r="D15" s="136"/>
      <c r="E15" s="136"/>
      <c r="F15" s="136"/>
      <c r="G15" s="136"/>
      <c r="H15" s="136"/>
      <c r="I15" s="136"/>
      <c r="J15" s="136"/>
      <c r="K15" s="136"/>
      <c r="L15" s="136"/>
      <c r="M15" s="136"/>
      <c r="N15" s="127"/>
      <c r="O15" s="40"/>
      <c r="P15" s="41"/>
    </row>
    <row r="16" spans="1:17" ht="12.75" customHeight="1">
      <c r="A16" s="50" t="s">
        <v>260</v>
      </c>
      <c r="B16" s="137">
        <v>895</v>
      </c>
      <c r="C16" s="137">
        <v>539</v>
      </c>
      <c r="D16" s="137">
        <v>969</v>
      </c>
      <c r="E16" s="137">
        <v>1241</v>
      </c>
      <c r="F16" s="137">
        <v>1055</v>
      </c>
      <c r="G16" s="137">
        <v>631</v>
      </c>
      <c r="H16" s="137">
        <v>687</v>
      </c>
      <c r="I16" s="137">
        <v>980</v>
      </c>
      <c r="J16" s="137">
        <v>895</v>
      </c>
      <c r="K16" s="137">
        <v>869</v>
      </c>
      <c r="L16" s="137">
        <v>914</v>
      </c>
      <c r="M16" s="137">
        <v>653</v>
      </c>
      <c r="N16" s="52">
        <f>SUM(B16:M16)</f>
        <v>10328</v>
      </c>
      <c r="O16" s="53" t="s">
        <v>229</v>
      </c>
      <c r="P16" s="54" t="s">
        <v>229</v>
      </c>
    </row>
    <row r="17" spans="1:16" ht="12.75" customHeight="1">
      <c r="A17" s="2"/>
      <c r="B17" s="40"/>
      <c r="C17" s="41"/>
      <c r="D17" s="41"/>
      <c r="E17" s="41"/>
      <c r="F17" s="41"/>
      <c r="G17" s="41"/>
      <c r="H17" s="41"/>
      <c r="I17" s="41"/>
      <c r="J17" s="41"/>
      <c r="K17" s="41"/>
      <c r="L17" s="41"/>
      <c r="M17" s="41"/>
      <c r="N17" s="41"/>
      <c r="O17" s="2"/>
    </row>
    <row r="18" spans="1:16" ht="12.75" customHeight="1">
      <c r="A18" s="5"/>
      <c r="B18" s="5"/>
      <c r="C18" s="6"/>
      <c r="D18" s="6"/>
      <c r="E18" s="6"/>
      <c r="F18" s="6"/>
      <c r="G18" s="6"/>
      <c r="H18" s="6"/>
      <c r="I18" s="6"/>
      <c r="J18" s="6"/>
      <c r="K18" s="6"/>
      <c r="L18" s="6"/>
      <c r="M18" s="6"/>
      <c r="N18" s="6"/>
      <c r="O18" s="5"/>
      <c r="P18" s="6"/>
    </row>
    <row r="19" spans="1:16" ht="25.5">
      <c r="A19" s="45"/>
      <c r="B19" s="46">
        <v>39630</v>
      </c>
      <c r="C19" s="46">
        <v>39661</v>
      </c>
      <c r="D19" s="46">
        <v>39692</v>
      </c>
      <c r="E19" s="46">
        <v>39722</v>
      </c>
      <c r="F19" s="46">
        <v>39753</v>
      </c>
      <c r="G19" s="46">
        <v>39783</v>
      </c>
      <c r="H19" s="46">
        <v>39814</v>
      </c>
      <c r="I19" s="46">
        <v>39845</v>
      </c>
      <c r="J19" s="46">
        <v>39873</v>
      </c>
      <c r="K19" s="46">
        <v>39904</v>
      </c>
      <c r="L19" s="46">
        <v>39934</v>
      </c>
      <c r="M19" s="46">
        <v>39965</v>
      </c>
      <c r="N19" s="47" t="s">
        <v>354</v>
      </c>
      <c r="O19" s="55" t="s">
        <v>191</v>
      </c>
      <c r="P19" s="55" t="s">
        <v>165</v>
      </c>
    </row>
    <row r="20" spans="1:16" ht="12.75" customHeight="1">
      <c r="A20" s="48" t="s">
        <v>126</v>
      </c>
      <c r="B20" s="136"/>
      <c r="C20" s="136"/>
      <c r="D20" s="136"/>
      <c r="E20" s="136"/>
      <c r="F20" s="136"/>
      <c r="G20" s="136"/>
      <c r="H20" s="136"/>
      <c r="I20" s="136"/>
      <c r="J20" s="136"/>
      <c r="K20" s="136"/>
      <c r="L20" s="136"/>
      <c r="M20" s="136"/>
      <c r="N20" s="127"/>
      <c r="O20" s="40"/>
      <c r="P20" s="41"/>
    </row>
    <row r="21" spans="1:16" ht="12.75" customHeight="1">
      <c r="A21" s="50" t="s">
        <v>260</v>
      </c>
      <c r="B21" s="137">
        <v>413</v>
      </c>
      <c r="C21" s="137">
        <v>293</v>
      </c>
      <c r="D21" s="137">
        <v>707</v>
      </c>
      <c r="E21" s="137">
        <v>860</v>
      </c>
      <c r="F21" s="137">
        <v>766</v>
      </c>
      <c r="G21" s="137">
        <v>493</v>
      </c>
      <c r="H21" s="137">
        <v>293</v>
      </c>
      <c r="I21" s="137">
        <v>318</v>
      </c>
      <c r="J21" s="137">
        <v>632</v>
      </c>
      <c r="K21" s="137">
        <v>639</v>
      </c>
      <c r="L21" s="137">
        <v>406</v>
      </c>
      <c r="M21" s="137">
        <v>467</v>
      </c>
      <c r="N21" s="52">
        <f>SUM(B21:M21)</f>
        <v>6287</v>
      </c>
      <c r="O21" s="53"/>
      <c r="P21" s="54"/>
    </row>
    <row r="22" spans="1:16" ht="12.75" customHeight="1">
      <c r="A22" s="50" t="s">
        <v>223</v>
      </c>
      <c r="B22" s="76">
        <v>1860</v>
      </c>
      <c r="C22" s="76">
        <v>1427</v>
      </c>
      <c r="D22" s="76">
        <v>2916</v>
      </c>
      <c r="E22" s="76">
        <v>3517</v>
      </c>
      <c r="F22" s="76">
        <v>4285</v>
      </c>
      <c r="G22" s="76">
        <v>2412</v>
      </c>
      <c r="H22" s="76">
        <v>1807</v>
      </c>
      <c r="I22" s="76">
        <v>1331</v>
      </c>
      <c r="J22" s="76">
        <v>3190</v>
      </c>
      <c r="K22" s="76">
        <v>3332</v>
      </c>
      <c r="L22" s="76">
        <v>2168</v>
      </c>
      <c r="M22" s="76">
        <v>2664</v>
      </c>
      <c r="N22" s="52">
        <f>SUM(B22:M22)</f>
        <v>30909</v>
      </c>
      <c r="O22" s="53">
        <v>104394</v>
      </c>
      <c r="P22" s="54">
        <f>O22/N22</f>
        <v>3.3774628748908087</v>
      </c>
    </row>
    <row r="23" spans="1:16" ht="12.75" customHeight="1">
      <c r="A23" s="2"/>
      <c r="B23" s="40"/>
      <c r="C23" s="41"/>
      <c r="D23" s="41"/>
      <c r="E23" s="41"/>
      <c r="F23" s="41"/>
      <c r="G23" s="41"/>
      <c r="H23" s="41"/>
      <c r="I23" s="41"/>
      <c r="J23" s="41"/>
      <c r="K23" s="41"/>
      <c r="L23" s="41"/>
      <c r="M23" s="41"/>
      <c r="N23" s="41"/>
      <c r="O23" s="2"/>
    </row>
    <row r="24" spans="1:16" ht="12.75" customHeight="1">
      <c r="A24" s="5"/>
      <c r="B24" s="5"/>
      <c r="C24" s="6"/>
      <c r="D24" s="6"/>
      <c r="E24" s="6"/>
      <c r="F24" s="6"/>
      <c r="G24" s="6"/>
      <c r="H24" s="6"/>
      <c r="I24" s="6"/>
      <c r="J24" s="6"/>
      <c r="K24" s="6"/>
      <c r="L24" s="6"/>
      <c r="M24" s="6"/>
      <c r="N24" s="6"/>
      <c r="O24" s="5"/>
      <c r="P24" s="6"/>
    </row>
    <row r="25" spans="1:16" ht="12.75" customHeight="1">
      <c r="A25" s="45"/>
      <c r="B25" s="46">
        <v>39630</v>
      </c>
      <c r="C25" s="46">
        <v>39661</v>
      </c>
      <c r="D25" s="46">
        <v>39692</v>
      </c>
      <c r="E25" s="46">
        <v>39722</v>
      </c>
      <c r="F25" s="46">
        <v>39753</v>
      </c>
      <c r="G25" s="46">
        <v>39783</v>
      </c>
      <c r="H25" s="46">
        <v>39814</v>
      </c>
      <c r="I25" s="46">
        <v>39845</v>
      </c>
      <c r="J25" s="46">
        <v>39873</v>
      </c>
      <c r="K25" s="46">
        <v>39904</v>
      </c>
      <c r="L25" s="46">
        <v>39934</v>
      </c>
      <c r="M25" s="46">
        <v>39965</v>
      </c>
      <c r="N25" s="47" t="s">
        <v>354</v>
      </c>
      <c r="O25" s="55"/>
      <c r="P25" s="55"/>
    </row>
    <row r="26" spans="1:16" ht="12.75" customHeight="1">
      <c r="A26" s="48" t="s">
        <v>318</v>
      </c>
      <c r="B26" s="138"/>
      <c r="C26" s="57"/>
      <c r="D26" s="57"/>
      <c r="E26" s="57"/>
      <c r="F26" s="57"/>
      <c r="G26" s="57"/>
      <c r="H26" s="57"/>
      <c r="I26" s="57"/>
      <c r="J26" s="57"/>
      <c r="K26" s="57"/>
      <c r="L26" s="57"/>
      <c r="M26" s="57"/>
      <c r="N26" s="57"/>
      <c r="O26" s="40"/>
      <c r="P26" s="41"/>
    </row>
    <row r="27" spans="1:16" ht="12.75" customHeight="1">
      <c r="A27" s="50" t="s">
        <v>118</v>
      </c>
      <c r="B27" s="36">
        <v>9</v>
      </c>
      <c r="C27" s="37">
        <v>1</v>
      </c>
      <c r="D27" s="37">
        <v>20</v>
      </c>
      <c r="E27" s="37">
        <v>30</v>
      </c>
      <c r="F27" s="37">
        <v>8</v>
      </c>
      <c r="G27" s="37">
        <v>2</v>
      </c>
      <c r="H27" s="37">
        <v>6</v>
      </c>
      <c r="I27" s="37">
        <v>8</v>
      </c>
      <c r="J27" s="37">
        <v>12</v>
      </c>
      <c r="K27" s="37">
        <v>2</v>
      </c>
      <c r="L27" s="37">
        <v>0</v>
      </c>
      <c r="M27" s="37">
        <v>2</v>
      </c>
      <c r="N27" s="52">
        <f t="shared" ref="N27:N36" si="0">SUM(B27:M27)</f>
        <v>100</v>
      </c>
      <c r="O27" s="10"/>
    </row>
    <row r="28" spans="1:16" ht="12.75" customHeight="1">
      <c r="A28" s="50" t="s">
        <v>280</v>
      </c>
      <c r="B28" s="36">
        <v>0</v>
      </c>
      <c r="C28" s="37">
        <v>0</v>
      </c>
      <c r="D28" s="37">
        <v>0</v>
      </c>
      <c r="E28" s="37">
        <v>0</v>
      </c>
      <c r="F28" s="37">
        <v>0</v>
      </c>
      <c r="G28" s="37">
        <v>0</v>
      </c>
      <c r="H28" s="37">
        <v>5</v>
      </c>
      <c r="I28" s="37">
        <v>0</v>
      </c>
      <c r="J28" s="37">
        <v>0</v>
      </c>
      <c r="K28" s="37">
        <v>0</v>
      </c>
      <c r="L28" s="37">
        <v>0</v>
      </c>
      <c r="M28" s="37">
        <v>0</v>
      </c>
      <c r="N28" s="52">
        <f t="shared" si="0"/>
        <v>5</v>
      </c>
      <c r="O28" s="10"/>
    </row>
    <row r="29" spans="1:16" ht="12.75" customHeight="1">
      <c r="A29" s="50" t="s">
        <v>392</v>
      </c>
      <c r="B29" s="36">
        <v>0</v>
      </c>
      <c r="C29" s="37">
        <v>0</v>
      </c>
      <c r="D29" s="37">
        <v>40</v>
      </c>
      <c r="E29" s="37">
        <v>160</v>
      </c>
      <c r="F29" s="37">
        <v>0</v>
      </c>
      <c r="G29" s="37">
        <v>0</v>
      </c>
      <c r="H29" s="37">
        <v>20</v>
      </c>
      <c r="I29" s="37">
        <v>4</v>
      </c>
      <c r="J29" s="37">
        <v>0</v>
      </c>
      <c r="K29" s="37">
        <v>0</v>
      </c>
      <c r="L29" s="37">
        <v>0</v>
      </c>
      <c r="M29" s="37">
        <v>0</v>
      </c>
      <c r="N29" s="52">
        <f t="shared" si="0"/>
        <v>224</v>
      </c>
      <c r="O29" s="10"/>
    </row>
    <row r="30" spans="1:16" ht="12.75" customHeight="1">
      <c r="A30" s="50" t="s">
        <v>269</v>
      </c>
      <c r="B30" s="36">
        <v>0</v>
      </c>
      <c r="C30" s="37">
        <v>0</v>
      </c>
      <c r="D30" s="37">
        <v>0</v>
      </c>
      <c r="E30" s="37">
        <v>1</v>
      </c>
      <c r="F30" s="37">
        <v>3</v>
      </c>
      <c r="G30" s="37">
        <v>0</v>
      </c>
      <c r="H30" s="37">
        <v>0</v>
      </c>
      <c r="I30" s="37">
        <v>1</v>
      </c>
      <c r="J30" s="37">
        <v>4</v>
      </c>
      <c r="K30" s="37">
        <v>0</v>
      </c>
      <c r="L30" s="37">
        <v>1</v>
      </c>
      <c r="M30" s="37">
        <v>2</v>
      </c>
      <c r="N30" s="52">
        <f t="shared" si="0"/>
        <v>12</v>
      </c>
      <c r="O30" s="10"/>
    </row>
    <row r="31" spans="1:16" ht="12.75" customHeight="1">
      <c r="A31" s="50" t="s">
        <v>295</v>
      </c>
      <c r="B31" s="36">
        <v>0</v>
      </c>
      <c r="C31" s="37">
        <v>1</v>
      </c>
      <c r="D31" s="37">
        <v>0</v>
      </c>
      <c r="E31" s="37">
        <v>8</v>
      </c>
      <c r="F31" s="37">
        <v>0</v>
      </c>
      <c r="G31" s="37">
        <v>0</v>
      </c>
      <c r="H31" s="37">
        <v>5</v>
      </c>
      <c r="I31" s="37">
        <v>1</v>
      </c>
      <c r="J31" s="37">
        <v>1</v>
      </c>
      <c r="K31" s="37">
        <v>7</v>
      </c>
      <c r="L31" s="37">
        <v>0</v>
      </c>
      <c r="M31" s="37">
        <v>0</v>
      </c>
      <c r="N31" s="52">
        <f t="shared" si="0"/>
        <v>23</v>
      </c>
      <c r="O31" s="10"/>
    </row>
    <row r="32" spans="1:16" ht="12.75" customHeight="1">
      <c r="A32" s="50" t="s">
        <v>202</v>
      </c>
      <c r="B32" s="36">
        <v>3</v>
      </c>
      <c r="C32" s="37">
        <v>0</v>
      </c>
      <c r="D32" s="37">
        <v>4</v>
      </c>
      <c r="E32" s="37">
        <v>2</v>
      </c>
      <c r="F32" s="37">
        <v>15</v>
      </c>
      <c r="G32" s="37">
        <v>1</v>
      </c>
      <c r="H32" s="37">
        <v>3</v>
      </c>
      <c r="I32" s="37">
        <v>3</v>
      </c>
      <c r="J32" s="37">
        <v>1</v>
      </c>
      <c r="K32" s="37">
        <v>0</v>
      </c>
      <c r="L32" s="37">
        <v>0</v>
      </c>
      <c r="M32" s="37">
        <v>1</v>
      </c>
      <c r="N32" s="52">
        <f t="shared" si="0"/>
        <v>33</v>
      </c>
      <c r="O32" s="10"/>
    </row>
    <row r="33" spans="1:15" ht="12.75" customHeight="1">
      <c r="A33" s="50" t="s">
        <v>373</v>
      </c>
      <c r="B33" s="36">
        <v>0</v>
      </c>
      <c r="C33" s="37">
        <v>0</v>
      </c>
      <c r="D33" s="37">
        <v>0</v>
      </c>
      <c r="E33" s="37">
        <v>0</v>
      </c>
      <c r="F33" s="37">
        <v>0</v>
      </c>
      <c r="G33" s="37">
        <v>0</v>
      </c>
      <c r="H33" s="37">
        <v>0</v>
      </c>
      <c r="I33" s="37">
        <v>0</v>
      </c>
      <c r="J33" s="37">
        <v>0</v>
      </c>
      <c r="K33" s="37">
        <v>0</v>
      </c>
      <c r="L33" s="37">
        <v>0</v>
      </c>
      <c r="M33" s="37">
        <v>0</v>
      </c>
      <c r="N33" s="52">
        <f t="shared" si="0"/>
        <v>0</v>
      </c>
      <c r="O33" s="10"/>
    </row>
    <row r="34" spans="1:15" ht="12.75" customHeight="1">
      <c r="A34" s="50" t="s">
        <v>211</v>
      </c>
      <c r="B34" s="36">
        <v>0</v>
      </c>
      <c r="C34" s="37">
        <v>0</v>
      </c>
      <c r="D34" s="37">
        <v>0</v>
      </c>
      <c r="E34" s="37">
        <v>0</v>
      </c>
      <c r="F34" s="37">
        <v>0</v>
      </c>
      <c r="G34" s="37">
        <v>0</v>
      </c>
      <c r="H34" s="37">
        <v>1</v>
      </c>
      <c r="I34" s="37">
        <v>0</v>
      </c>
      <c r="J34" s="37">
        <v>0</v>
      </c>
      <c r="K34" s="37">
        <v>0</v>
      </c>
      <c r="L34" s="37">
        <v>0</v>
      </c>
      <c r="M34" s="37">
        <v>0</v>
      </c>
      <c r="N34" s="52">
        <f t="shared" si="0"/>
        <v>1</v>
      </c>
      <c r="O34" s="10"/>
    </row>
    <row r="35" spans="1:15" ht="12.75" customHeight="1">
      <c r="A35" s="50" t="s">
        <v>330</v>
      </c>
      <c r="B35" s="36">
        <v>0</v>
      </c>
      <c r="C35" s="37">
        <v>0</v>
      </c>
      <c r="D35" s="37">
        <v>0</v>
      </c>
      <c r="E35" s="37">
        <v>0</v>
      </c>
      <c r="F35" s="37">
        <v>0</v>
      </c>
      <c r="G35" s="37">
        <v>0</v>
      </c>
      <c r="H35" s="37">
        <v>0</v>
      </c>
      <c r="I35" s="37">
        <v>0</v>
      </c>
      <c r="J35" s="37">
        <v>0</v>
      </c>
      <c r="K35" s="37">
        <v>0</v>
      </c>
      <c r="L35" s="37">
        <v>0</v>
      </c>
      <c r="M35" s="37">
        <v>0</v>
      </c>
      <c r="N35" s="52">
        <f t="shared" si="0"/>
        <v>0</v>
      </c>
      <c r="O35" s="10"/>
    </row>
    <row r="36" spans="1:15" ht="12.75" customHeight="1">
      <c r="A36" s="50" t="s">
        <v>71</v>
      </c>
      <c r="B36" s="36">
        <v>12</v>
      </c>
      <c r="C36" s="37">
        <v>2</v>
      </c>
      <c r="D36" s="37">
        <v>64</v>
      </c>
      <c r="E36" s="37">
        <v>201</v>
      </c>
      <c r="F36" s="37">
        <v>26</v>
      </c>
      <c r="G36" s="37">
        <v>3</v>
      </c>
      <c r="H36" s="37">
        <v>40</v>
      </c>
      <c r="I36" s="37">
        <v>17</v>
      </c>
      <c r="J36" s="37">
        <v>18</v>
      </c>
      <c r="K36" s="37">
        <v>9</v>
      </c>
      <c r="L36" s="37">
        <v>1</v>
      </c>
      <c r="M36" s="37">
        <v>5</v>
      </c>
      <c r="N36" s="52">
        <f t="shared" si="0"/>
        <v>398</v>
      </c>
      <c r="O36" s="10"/>
    </row>
    <row r="37" spans="1:15" ht="12.75" customHeight="1">
      <c r="A37" s="2"/>
      <c r="B37" s="40"/>
      <c r="C37" s="41"/>
      <c r="D37" s="41"/>
      <c r="E37" s="41"/>
      <c r="F37" s="41"/>
      <c r="G37" s="41"/>
      <c r="H37" s="41"/>
      <c r="I37" s="41"/>
      <c r="J37" s="41"/>
      <c r="K37" s="41"/>
      <c r="L37" s="41"/>
      <c r="M37" s="41"/>
      <c r="N37" s="41"/>
      <c r="O37" s="2"/>
    </row>
  </sheetData>
  <pageMargins left="0.75" right="0.75" top="1" bottom="1" header="0.5" footer="0.5"/>
  <pageSetup paperSize="9"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dimension ref="A1:Q23"/>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1.7109375" customWidth="1"/>
    <col min="2" max="14" width="8.5703125" customWidth="1"/>
    <col min="15" max="15" width="9.42578125" customWidth="1"/>
    <col min="16" max="16" width="8.5703125" customWidth="1"/>
    <col min="17" max="17" width="9.140625" customWidth="1"/>
  </cols>
  <sheetData>
    <row r="1" spans="1:17" ht="20.25">
      <c r="A1" s="1" t="s">
        <v>290</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6"/>
      <c r="P3" s="6"/>
    </row>
    <row r="4" spans="1:17" ht="38.25">
      <c r="A4" s="45"/>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47" t="s">
        <v>165</v>
      </c>
      <c r="Q4" s="2"/>
    </row>
    <row r="5" spans="1:17" ht="12.75" customHeight="1">
      <c r="A5" s="48" t="s">
        <v>238</v>
      </c>
      <c r="B5" s="49"/>
      <c r="C5" s="49"/>
      <c r="D5" s="49"/>
      <c r="E5" s="49"/>
      <c r="F5" s="49"/>
      <c r="G5" s="49"/>
      <c r="H5" s="49"/>
      <c r="I5" s="49"/>
      <c r="J5" s="49"/>
      <c r="K5" s="49"/>
      <c r="L5" s="49"/>
      <c r="M5" s="49"/>
      <c r="N5" s="49"/>
      <c r="O5" s="41"/>
      <c r="P5" s="41"/>
    </row>
    <row r="6" spans="1:17" ht="12.75" customHeight="1">
      <c r="A6" s="50" t="s">
        <v>260</v>
      </c>
      <c r="B6" s="78">
        <v>22</v>
      </c>
      <c r="C6" s="78">
        <v>12</v>
      </c>
      <c r="D6" s="78">
        <v>87</v>
      </c>
      <c r="E6" s="78">
        <v>59</v>
      </c>
      <c r="F6" s="78">
        <v>33</v>
      </c>
      <c r="G6" s="78">
        <v>15</v>
      </c>
      <c r="H6" s="78">
        <v>35</v>
      </c>
      <c r="I6" s="78">
        <v>85</v>
      </c>
      <c r="J6" s="78">
        <v>41</v>
      </c>
      <c r="K6" s="78">
        <v>74</v>
      </c>
      <c r="L6" s="78">
        <v>39</v>
      </c>
      <c r="M6" s="78">
        <v>16</v>
      </c>
      <c r="N6" s="52">
        <f>SUM(B6:M6)</f>
        <v>518</v>
      </c>
      <c r="O6" s="53"/>
      <c r="P6" s="54"/>
    </row>
    <row r="7" spans="1:17" ht="12.75" customHeight="1">
      <c r="A7" s="50" t="s">
        <v>202</v>
      </c>
      <c r="B7" s="78">
        <v>36</v>
      </c>
      <c r="C7" s="78">
        <v>20</v>
      </c>
      <c r="D7" s="78">
        <v>148</v>
      </c>
      <c r="E7" s="78">
        <v>154</v>
      </c>
      <c r="F7" s="78">
        <v>69</v>
      </c>
      <c r="G7" s="78">
        <v>22</v>
      </c>
      <c r="H7" s="78">
        <v>64</v>
      </c>
      <c r="I7" s="78">
        <v>129</v>
      </c>
      <c r="J7" s="78">
        <v>120</v>
      </c>
      <c r="K7" s="78">
        <v>228</v>
      </c>
      <c r="L7" s="78">
        <v>112</v>
      </c>
      <c r="M7" s="78">
        <v>47</v>
      </c>
      <c r="N7" s="52">
        <f>SUM(B7:M7)</f>
        <v>1149</v>
      </c>
      <c r="O7" s="53">
        <v>1597.5</v>
      </c>
      <c r="P7" s="54" t="s">
        <v>13</v>
      </c>
    </row>
    <row r="8" spans="1:17" ht="12.75" customHeight="1">
      <c r="A8" s="50" t="s">
        <v>226</v>
      </c>
      <c r="B8" s="78">
        <v>2</v>
      </c>
      <c r="C8" s="78">
        <v>0</v>
      </c>
      <c r="D8" s="78">
        <v>6</v>
      </c>
      <c r="E8" s="78">
        <v>0</v>
      </c>
      <c r="F8" s="78">
        <v>0</v>
      </c>
      <c r="G8" s="78">
        <v>0</v>
      </c>
      <c r="H8" s="78">
        <v>0</v>
      </c>
      <c r="I8" s="78">
        <v>0</v>
      </c>
      <c r="J8" s="78">
        <v>0</v>
      </c>
      <c r="K8" s="78">
        <v>74</v>
      </c>
      <c r="L8" s="78">
        <v>33</v>
      </c>
      <c r="M8" s="78">
        <v>0</v>
      </c>
      <c r="N8" s="52">
        <f>SUM(B8:M8)</f>
        <v>115</v>
      </c>
      <c r="O8" s="53"/>
      <c r="P8" s="54"/>
    </row>
    <row r="9" spans="1:17" ht="12.75" customHeight="1">
      <c r="A9" s="2"/>
      <c r="B9" s="41"/>
      <c r="C9" s="41"/>
      <c r="D9" s="41"/>
      <c r="E9" s="41"/>
      <c r="F9" s="41"/>
      <c r="G9" s="41"/>
      <c r="H9" s="41"/>
      <c r="I9" s="41"/>
      <c r="J9" s="41"/>
      <c r="K9" s="41"/>
      <c r="L9" s="41"/>
      <c r="M9" s="41"/>
      <c r="N9" s="41"/>
    </row>
    <row r="10" spans="1:17" ht="12.75" customHeight="1">
      <c r="A10" s="184" t="s">
        <v>197</v>
      </c>
      <c r="B10" s="185"/>
      <c r="C10" s="185"/>
      <c r="D10" s="87"/>
      <c r="E10" s="87"/>
      <c r="F10" s="87"/>
      <c r="G10" s="87"/>
      <c r="H10" s="87"/>
      <c r="I10" s="87"/>
      <c r="J10" s="87"/>
      <c r="K10" s="87"/>
      <c r="L10" s="87"/>
      <c r="M10" s="87"/>
      <c r="N10" s="87"/>
    </row>
    <row r="11" spans="1:17" ht="12.75" customHeight="1">
      <c r="A11" s="50" t="s">
        <v>260</v>
      </c>
      <c r="B11" s="100">
        <v>149</v>
      </c>
      <c r="C11" s="100">
        <v>110</v>
      </c>
      <c r="D11" s="78">
        <v>568</v>
      </c>
      <c r="E11" s="78">
        <v>1062</v>
      </c>
      <c r="F11" s="78">
        <v>613</v>
      </c>
      <c r="G11" s="78">
        <v>397</v>
      </c>
      <c r="H11" s="78">
        <v>192</v>
      </c>
      <c r="I11" s="78">
        <v>505</v>
      </c>
      <c r="J11" s="78">
        <v>592</v>
      </c>
      <c r="K11" s="78">
        <v>727</v>
      </c>
      <c r="L11" s="78">
        <v>454</v>
      </c>
      <c r="M11" s="78">
        <v>298</v>
      </c>
      <c r="N11" s="52">
        <f>SUM(B11:M11)</f>
        <v>5667</v>
      </c>
      <c r="O11" s="53"/>
      <c r="P11" s="54"/>
    </row>
    <row r="12" spans="1:17" ht="12.75" customHeight="1">
      <c r="A12" s="50" t="s">
        <v>202</v>
      </c>
      <c r="B12" s="78">
        <v>275</v>
      </c>
      <c r="C12" s="78">
        <v>378</v>
      </c>
      <c r="D12" s="78">
        <v>3283</v>
      </c>
      <c r="E12" s="78">
        <v>4912</v>
      </c>
      <c r="F12" s="78">
        <v>2100</v>
      </c>
      <c r="G12" s="78">
        <v>1427</v>
      </c>
      <c r="H12" s="78">
        <v>743</v>
      </c>
      <c r="I12" s="78">
        <v>2077</v>
      </c>
      <c r="J12" s="78">
        <v>1575</v>
      </c>
      <c r="K12" s="78">
        <v>2282</v>
      </c>
      <c r="L12" s="78">
        <v>2090</v>
      </c>
      <c r="M12" s="78">
        <v>826</v>
      </c>
      <c r="N12" s="52">
        <f>SUM(B12:M12)</f>
        <v>21968</v>
      </c>
      <c r="O12" s="53">
        <v>3033.8</v>
      </c>
      <c r="P12" s="54" t="s">
        <v>13</v>
      </c>
    </row>
    <row r="13" spans="1:17" ht="12.75" customHeight="1">
      <c r="A13" s="50" t="s">
        <v>226</v>
      </c>
      <c r="B13" s="78">
        <v>0</v>
      </c>
      <c r="C13" s="78">
        <v>0</v>
      </c>
      <c r="D13" s="78">
        <v>0</v>
      </c>
      <c r="E13" s="78">
        <v>0</v>
      </c>
      <c r="F13" s="78">
        <v>0</v>
      </c>
      <c r="G13" s="78">
        <v>0</v>
      </c>
      <c r="H13" s="78">
        <v>0</v>
      </c>
      <c r="I13" s="78">
        <v>0</v>
      </c>
      <c r="J13" s="78">
        <v>0</v>
      </c>
      <c r="K13" s="78">
        <v>0</v>
      </c>
      <c r="L13" s="78">
        <v>0</v>
      </c>
      <c r="M13" s="78">
        <v>0</v>
      </c>
      <c r="N13" s="52">
        <f>SUM(B13:M13)</f>
        <v>0</v>
      </c>
      <c r="O13" s="17"/>
    </row>
    <row r="14" spans="1:17" ht="12.75" customHeight="1">
      <c r="A14" s="2"/>
      <c r="B14" s="41"/>
      <c r="C14" s="41"/>
      <c r="D14" s="41"/>
      <c r="E14" s="41"/>
      <c r="F14" s="41"/>
      <c r="G14" s="41"/>
      <c r="H14" s="41"/>
      <c r="I14" s="41"/>
      <c r="J14" s="41"/>
      <c r="K14" s="41"/>
      <c r="L14" s="41"/>
      <c r="M14" s="41"/>
      <c r="N14" s="41"/>
    </row>
    <row r="15" spans="1:17" ht="12.75" customHeight="1">
      <c r="A15" s="184" t="s">
        <v>109</v>
      </c>
      <c r="B15" s="186"/>
      <c r="C15" s="186"/>
      <c r="D15" s="186"/>
      <c r="E15" s="186"/>
      <c r="F15" s="186"/>
      <c r="G15" s="87"/>
      <c r="H15" s="87"/>
      <c r="I15" s="87"/>
      <c r="J15" s="87"/>
      <c r="K15" s="87"/>
      <c r="L15" s="87"/>
      <c r="M15" s="87"/>
      <c r="N15" s="87"/>
    </row>
    <row r="16" spans="1:17" ht="12.75" customHeight="1">
      <c r="A16" s="50" t="s">
        <v>260</v>
      </c>
      <c r="B16" s="78" t="s">
        <v>229</v>
      </c>
      <c r="C16" s="78" t="s">
        <v>229</v>
      </c>
      <c r="D16" s="78" t="s">
        <v>229</v>
      </c>
      <c r="E16" s="78" t="s">
        <v>229</v>
      </c>
      <c r="F16" s="78" t="s">
        <v>229</v>
      </c>
      <c r="G16" s="78" t="s">
        <v>229</v>
      </c>
      <c r="H16" s="78" t="s">
        <v>229</v>
      </c>
      <c r="I16" s="78" t="s">
        <v>229</v>
      </c>
      <c r="J16" s="78" t="s">
        <v>229</v>
      </c>
      <c r="K16" s="78" t="s">
        <v>229</v>
      </c>
      <c r="L16" s="78" t="s">
        <v>229</v>
      </c>
      <c r="M16" s="78" t="s">
        <v>229</v>
      </c>
      <c r="N16" s="52">
        <f>SUM(B16:M16)</f>
        <v>0</v>
      </c>
      <c r="O16" s="53" t="s">
        <v>13</v>
      </c>
      <c r="P16" s="54" t="s">
        <v>13</v>
      </c>
    </row>
    <row r="17" spans="1:16" ht="12.75" customHeight="1">
      <c r="A17" s="50" t="s">
        <v>401</v>
      </c>
      <c r="B17" s="78" t="s">
        <v>229</v>
      </c>
      <c r="C17" s="78" t="s">
        <v>229</v>
      </c>
      <c r="D17" s="78" t="s">
        <v>229</v>
      </c>
      <c r="E17" s="78" t="s">
        <v>229</v>
      </c>
      <c r="F17" s="78" t="s">
        <v>229</v>
      </c>
      <c r="G17" s="78" t="s">
        <v>229</v>
      </c>
      <c r="H17" s="78" t="s">
        <v>229</v>
      </c>
      <c r="I17" s="78" t="s">
        <v>229</v>
      </c>
      <c r="J17" s="78" t="s">
        <v>229</v>
      </c>
      <c r="K17" s="78" t="s">
        <v>229</v>
      </c>
      <c r="L17" s="78" t="s">
        <v>229</v>
      </c>
      <c r="M17" s="78" t="s">
        <v>229</v>
      </c>
      <c r="N17" s="52">
        <f>SUM(B17:M17)</f>
        <v>0</v>
      </c>
      <c r="O17" s="53">
        <v>1314.25</v>
      </c>
      <c r="P17" s="54" t="s">
        <v>13</v>
      </c>
    </row>
    <row r="18" spans="1:16" ht="12.75" customHeight="1">
      <c r="A18" s="50" t="s">
        <v>226</v>
      </c>
      <c r="B18" s="78" t="s">
        <v>229</v>
      </c>
      <c r="C18" s="78" t="s">
        <v>229</v>
      </c>
      <c r="D18" s="78" t="s">
        <v>229</v>
      </c>
      <c r="E18" s="78" t="s">
        <v>229</v>
      </c>
      <c r="F18" s="78" t="s">
        <v>229</v>
      </c>
      <c r="G18" s="78" t="s">
        <v>229</v>
      </c>
      <c r="H18" s="78" t="s">
        <v>229</v>
      </c>
      <c r="I18" s="78" t="s">
        <v>229</v>
      </c>
      <c r="J18" s="78" t="s">
        <v>229</v>
      </c>
      <c r="K18" s="78" t="s">
        <v>229</v>
      </c>
      <c r="L18" s="78" t="s">
        <v>229</v>
      </c>
      <c r="M18" s="78" t="s">
        <v>229</v>
      </c>
      <c r="N18" s="52">
        <f>SUM(B18:M18)</f>
        <v>0</v>
      </c>
      <c r="O18" s="17"/>
    </row>
    <row r="19" spans="1:16" ht="12.75" customHeight="1">
      <c r="A19" s="2"/>
      <c r="B19" s="41"/>
      <c r="C19" s="41"/>
      <c r="D19" s="41"/>
      <c r="E19" s="41"/>
      <c r="F19" s="41"/>
      <c r="G19" s="41"/>
      <c r="H19" s="41"/>
      <c r="I19" s="41"/>
      <c r="J19" s="41"/>
      <c r="K19" s="41"/>
      <c r="L19" s="41"/>
      <c r="M19" s="41"/>
      <c r="N19" s="41"/>
    </row>
    <row r="20" spans="1:16" ht="12.75" customHeight="1">
      <c r="A20" s="2"/>
    </row>
    <row r="21" spans="1:16" ht="12.75" customHeight="1">
      <c r="A21" s="2"/>
    </row>
    <row r="22" spans="1:16" ht="12.75" customHeight="1">
      <c r="A22" s="2" t="s">
        <v>15</v>
      </c>
      <c r="B22" s="2" t="s">
        <v>145</v>
      </c>
    </row>
    <row r="23" spans="1:16" ht="12.75" customHeight="1">
      <c r="A23" s="2"/>
    </row>
  </sheetData>
  <mergeCells count="2">
    <mergeCell ref="A10:C10"/>
    <mergeCell ref="A15:F15"/>
  </mergeCells>
  <pageMargins left="0.75" right="0.75" top="1" bottom="1" header="0.5" footer="0.5"/>
  <pageSetup paperSize="9" orientation="portrait" horizontalDpi="300" verticalDpi="300"/>
  <headerFooter alignWithMargins="0"/>
</worksheet>
</file>

<file path=xl/worksheets/sheet26.xml><?xml version="1.0" encoding="utf-8"?>
<worksheet xmlns="http://schemas.openxmlformats.org/spreadsheetml/2006/main" xmlns:r="http://schemas.openxmlformats.org/officeDocument/2006/relationships">
  <dimension ref="A1:Q58"/>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4.7109375" customWidth="1"/>
    <col min="2" max="14" width="8.5703125" customWidth="1"/>
    <col min="15" max="15" width="10.85546875" customWidth="1"/>
    <col min="16" max="16" width="9.7109375" customWidth="1"/>
    <col min="17" max="17" width="9.140625" customWidth="1"/>
  </cols>
  <sheetData>
    <row r="1" spans="1:17" ht="20.25">
      <c r="A1" s="1" t="s">
        <v>384</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5"/>
      <c r="B3" s="6"/>
      <c r="C3" s="6"/>
      <c r="D3" s="6"/>
      <c r="E3" s="6"/>
      <c r="F3" s="6"/>
      <c r="G3" s="6"/>
      <c r="H3" s="6"/>
      <c r="I3" s="6"/>
      <c r="J3" s="6"/>
      <c r="K3" s="6"/>
      <c r="L3" s="6"/>
      <c r="M3" s="6"/>
      <c r="N3" s="6"/>
      <c r="O3" s="5"/>
      <c r="P3" s="5"/>
    </row>
    <row r="4" spans="1:17" ht="25.5">
      <c r="A4" s="138"/>
      <c r="B4" s="46">
        <v>39630</v>
      </c>
      <c r="C4" s="46">
        <v>39661</v>
      </c>
      <c r="D4" s="46">
        <v>39692</v>
      </c>
      <c r="E4" s="46">
        <v>39722</v>
      </c>
      <c r="F4" s="46">
        <v>39753</v>
      </c>
      <c r="G4" s="46">
        <v>39783</v>
      </c>
      <c r="H4" s="46">
        <v>39814</v>
      </c>
      <c r="I4" s="46">
        <v>39845</v>
      </c>
      <c r="J4" s="46">
        <v>39873</v>
      </c>
      <c r="K4" s="46">
        <v>39904</v>
      </c>
      <c r="L4" s="46">
        <v>39934</v>
      </c>
      <c r="M4" s="46">
        <v>39965</v>
      </c>
      <c r="N4" s="47" t="s">
        <v>354</v>
      </c>
      <c r="O4" s="55" t="s">
        <v>191</v>
      </c>
      <c r="P4" s="55" t="s">
        <v>86</v>
      </c>
    </row>
    <row r="5" spans="1:17" ht="12.75" customHeight="1">
      <c r="A5" s="48" t="s">
        <v>172</v>
      </c>
      <c r="B5" s="46"/>
      <c r="C5" s="46"/>
      <c r="D5" s="46"/>
      <c r="E5" s="46"/>
      <c r="F5" s="46"/>
      <c r="G5" s="46"/>
      <c r="H5" s="46"/>
      <c r="I5" s="46"/>
      <c r="J5" s="46"/>
      <c r="K5" s="46"/>
      <c r="L5" s="46"/>
      <c r="M5" s="46"/>
      <c r="N5" s="55"/>
      <c r="O5" s="55"/>
      <c r="P5" s="55"/>
    </row>
    <row r="6" spans="1:17" ht="12.75" customHeight="1">
      <c r="A6" s="50" t="s">
        <v>202</v>
      </c>
      <c r="B6" s="78" t="s">
        <v>13</v>
      </c>
      <c r="C6" s="78" t="s">
        <v>13</v>
      </c>
      <c r="D6" s="78" t="s">
        <v>13</v>
      </c>
      <c r="E6" s="78" t="s">
        <v>13</v>
      </c>
      <c r="F6" s="78" t="s">
        <v>13</v>
      </c>
      <c r="G6" s="78" t="s">
        <v>13</v>
      </c>
      <c r="H6" s="78" t="s">
        <v>13</v>
      </c>
      <c r="I6" s="78"/>
      <c r="J6" s="78"/>
      <c r="K6" s="78"/>
      <c r="L6" s="78"/>
      <c r="M6" s="78"/>
      <c r="N6" s="52">
        <f>SUM(B6:M6)</f>
        <v>0</v>
      </c>
      <c r="O6" s="139">
        <v>0</v>
      </c>
      <c r="P6" s="99" t="s">
        <v>229</v>
      </c>
    </row>
    <row r="7" spans="1:17" ht="12.75" customHeight="1">
      <c r="A7" s="2"/>
      <c r="B7" s="41"/>
      <c r="C7" s="41"/>
      <c r="D7" s="41"/>
      <c r="E7" s="41"/>
      <c r="F7" s="41"/>
      <c r="G7" s="41"/>
      <c r="H7" s="41"/>
      <c r="I7" s="41"/>
      <c r="J7" s="41"/>
      <c r="K7" s="41"/>
      <c r="L7" s="41"/>
      <c r="M7" s="41"/>
      <c r="N7" s="41"/>
      <c r="O7" s="2"/>
      <c r="P7" s="2"/>
    </row>
    <row r="8" spans="1:17" ht="12.75" customHeight="1">
      <c r="A8" s="5"/>
      <c r="B8" s="6"/>
      <c r="C8" s="6"/>
      <c r="D8" s="6"/>
      <c r="E8" s="6"/>
      <c r="F8" s="6"/>
      <c r="G8" s="6"/>
      <c r="H8" s="6"/>
      <c r="I8" s="6"/>
      <c r="J8" s="6"/>
      <c r="K8" s="6"/>
      <c r="L8" s="6"/>
      <c r="M8" s="6"/>
      <c r="N8" s="6"/>
      <c r="O8" s="5"/>
      <c r="P8" s="5"/>
    </row>
    <row r="9" spans="1:17" ht="25.5">
      <c r="A9" s="138"/>
      <c r="B9" s="46">
        <v>39630</v>
      </c>
      <c r="C9" s="46">
        <v>39661</v>
      </c>
      <c r="D9" s="46">
        <v>39692</v>
      </c>
      <c r="E9" s="46">
        <v>39722</v>
      </c>
      <c r="F9" s="46">
        <v>39753</v>
      </c>
      <c r="G9" s="46">
        <v>39783</v>
      </c>
      <c r="H9" s="46">
        <v>39814</v>
      </c>
      <c r="I9" s="46">
        <v>39845</v>
      </c>
      <c r="J9" s="46">
        <v>39873</v>
      </c>
      <c r="K9" s="46">
        <v>39904</v>
      </c>
      <c r="L9" s="46">
        <v>39934</v>
      </c>
      <c r="M9" s="46">
        <v>39965</v>
      </c>
      <c r="N9" s="47" t="s">
        <v>354</v>
      </c>
      <c r="O9" s="55" t="s">
        <v>191</v>
      </c>
      <c r="P9" s="55" t="s">
        <v>86</v>
      </c>
      <c r="Q9" s="2"/>
    </row>
    <row r="10" spans="1:17" ht="12.75" customHeight="1">
      <c r="A10" s="48" t="s">
        <v>47</v>
      </c>
      <c r="B10" s="57"/>
      <c r="C10" s="57"/>
      <c r="D10" s="57"/>
      <c r="E10" s="57"/>
      <c r="F10" s="57"/>
      <c r="G10" s="57"/>
      <c r="H10" s="57"/>
      <c r="I10" s="57"/>
      <c r="J10" s="57"/>
      <c r="K10" s="57"/>
      <c r="L10" s="57"/>
      <c r="M10" s="57"/>
      <c r="N10" s="57"/>
      <c r="O10" s="40"/>
      <c r="P10" s="40"/>
    </row>
    <row r="11" spans="1:17" ht="12.75" customHeight="1">
      <c r="A11" s="50" t="s">
        <v>202</v>
      </c>
      <c r="B11" s="78" t="s">
        <v>13</v>
      </c>
      <c r="C11" s="78" t="s">
        <v>13</v>
      </c>
      <c r="D11" s="78" t="s">
        <v>13</v>
      </c>
      <c r="E11" s="78" t="s">
        <v>13</v>
      </c>
      <c r="F11" s="78" t="s">
        <v>13</v>
      </c>
      <c r="G11" s="78" t="s">
        <v>13</v>
      </c>
      <c r="H11" s="78" t="s">
        <v>13</v>
      </c>
      <c r="I11" s="78"/>
      <c r="J11" s="78"/>
      <c r="K11" s="78"/>
      <c r="L11" s="78"/>
      <c r="M11" s="78"/>
      <c r="N11" s="52">
        <f>SUM(B11:M11)</f>
        <v>0</v>
      </c>
      <c r="O11" s="53">
        <v>18757</v>
      </c>
      <c r="P11" s="54" t="s">
        <v>13</v>
      </c>
    </row>
    <row r="12" spans="1:17" ht="12.75" customHeight="1">
      <c r="A12" s="2"/>
      <c r="B12" s="69"/>
      <c r="C12" s="69"/>
      <c r="D12" s="69"/>
      <c r="E12" s="69"/>
      <c r="F12" s="69"/>
      <c r="G12" s="69"/>
      <c r="H12" s="69"/>
      <c r="I12" s="69"/>
      <c r="J12" s="69"/>
      <c r="K12" s="69"/>
      <c r="L12" s="69"/>
      <c r="M12" s="69"/>
      <c r="N12" s="88"/>
      <c r="O12" s="54"/>
      <c r="P12" s="54"/>
    </row>
    <row r="13" spans="1:17" ht="12.75" customHeight="1">
      <c r="A13" s="5"/>
      <c r="B13" s="5"/>
      <c r="C13" s="5"/>
      <c r="D13" s="5"/>
      <c r="E13" s="5"/>
      <c r="F13" s="5"/>
      <c r="G13" s="5"/>
      <c r="H13" s="5"/>
      <c r="I13" s="5"/>
      <c r="J13" s="5"/>
      <c r="K13" s="5"/>
      <c r="L13" s="5"/>
      <c r="M13" s="5"/>
      <c r="N13" s="119"/>
      <c r="O13" s="91"/>
      <c r="P13" s="91"/>
    </row>
    <row r="14" spans="1:17" ht="25.5">
      <c r="A14" s="138"/>
      <c r="B14" s="46">
        <v>39630</v>
      </c>
      <c r="C14" s="46">
        <v>39661</v>
      </c>
      <c r="D14" s="46">
        <v>39692</v>
      </c>
      <c r="E14" s="46">
        <v>39722</v>
      </c>
      <c r="F14" s="46">
        <v>39753</v>
      </c>
      <c r="G14" s="46">
        <v>39783</v>
      </c>
      <c r="H14" s="46">
        <v>39814</v>
      </c>
      <c r="I14" s="46">
        <v>39845</v>
      </c>
      <c r="J14" s="46">
        <v>39873</v>
      </c>
      <c r="K14" s="46">
        <v>39904</v>
      </c>
      <c r="L14" s="46">
        <v>39934</v>
      </c>
      <c r="M14" s="46">
        <v>39965</v>
      </c>
      <c r="N14" s="47" t="s">
        <v>354</v>
      </c>
      <c r="O14" s="55" t="s">
        <v>191</v>
      </c>
      <c r="P14" s="55" t="s">
        <v>86</v>
      </c>
      <c r="Q14" s="2"/>
    </row>
    <row r="15" spans="1:17" ht="12.75" customHeight="1">
      <c r="A15" s="48" t="s">
        <v>104</v>
      </c>
      <c r="B15" s="46"/>
      <c r="C15" s="46"/>
      <c r="D15" s="46"/>
      <c r="E15" s="46"/>
      <c r="F15" s="46"/>
      <c r="G15" s="46"/>
      <c r="H15" s="46"/>
      <c r="I15" s="46"/>
      <c r="J15" s="46"/>
      <c r="K15" s="46"/>
      <c r="L15" s="46"/>
      <c r="M15" s="46"/>
      <c r="N15" s="55"/>
      <c r="O15" s="55"/>
      <c r="P15" s="55"/>
    </row>
    <row r="16" spans="1:17" ht="12.75" customHeight="1">
      <c r="A16" s="50" t="s">
        <v>202</v>
      </c>
      <c r="B16" s="78" t="s">
        <v>13</v>
      </c>
      <c r="C16" s="78" t="s">
        <v>13</v>
      </c>
      <c r="D16" s="78" t="s">
        <v>13</v>
      </c>
      <c r="E16" s="78" t="s">
        <v>13</v>
      </c>
      <c r="F16" s="78" t="s">
        <v>13</v>
      </c>
      <c r="G16" s="78" t="s">
        <v>13</v>
      </c>
      <c r="H16" s="78" t="s">
        <v>13</v>
      </c>
      <c r="I16" s="78"/>
      <c r="J16" s="78"/>
      <c r="K16" s="78"/>
      <c r="L16" s="78"/>
      <c r="M16" s="78"/>
      <c r="N16" s="52">
        <f>SUM(B16:M16)</f>
        <v>0</v>
      </c>
      <c r="O16" s="139">
        <v>0</v>
      </c>
      <c r="P16" s="99" t="s">
        <v>229</v>
      </c>
    </row>
    <row r="17" spans="1:17" ht="12.75" customHeight="1">
      <c r="A17" s="2"/>
      <c r="B17" s="114"/>
      <c r="C17" s="114"/>
      <c r="D17" s="114"/>
      <c r="E17" s="114"/>
      <c r="F17" s="114"/>
      <c r="G17" s="114"/>
      <c r="H17" s="114"/>
      <c r="I17" s="114"/>
      <c r="J17" s="114"/>
      <c r="K17" s="114"/>
      <c r="L17" s="114"/>
      <c r="M17" s="114"/>
      <c r="N17" s="114"/>
      <c r="O17" s="54"/>
      <c r="P17" s="54"/>
    </row>
    <row r="18" spans="1:17" ht="12.75" customHeight="1">
      <c r="A18" s="5"/>
      <c r="B18" s="119"/>
      <c r="C18" s="119"/>
      <c r="D18" s="119"/>
      <c r="E18" s="119"/>
      <c r="F18" s="119"/>
      <c r="G18" s="119"/>
      <c r="H18" s="119"/>
      <c r="I18" s="119"/>
      <c r="J18" s="119"/>
      <c r="K18" s="119"/>
      <c r="L18" s="119"/>
      <c r="M18" s="119"/>
      <c r="N18" s="119"/>
      <c r="O18" s="91"/>
      <c r="P18" s="91"/>
    </row>
    <row r="19" spans="1:17" ht="25.5">
      <c r="A19" s="138"/>
      <c r="B19" s="46">
        <v>39630</v>
      </c>
      <c r="C19" s="46">
        <v>39661</v>
      </c>
      <c r="D19" s="46">
        <v>39692</v>
      </c>
      <c r="E19" s="46">
        <v>39722</v>
      </c>
      <c r="F19" s="46">
        <v>39753</v>
      </c>
      <c r="G19" s="46">
        <v>39783</v>
      </c>
      <c r="H19" s="46">
        <v>39814</v>
      </c>
      <c r="I19" s="46">
        <v>39845</v>
      </c>
      <c r="J19" s="46">
        <v>39873</v>
      </c>
      <c r="K19" s="46">
        <v>39904</v>
      </c>
      <c r="L19" s="46">
        <v>39934</v>
      </c>
      <c r="M19" s="46">
        <v>39965</v>
      </c>
      <c r="N19" s="47" t="s">
        <v>354</v>
      </c>
      <c r="O19" s="55" t="s">
        <v>191</v>
      </c>
      <c r="P19" s="55" t="s">
        <v>86</v>
      </c>
      <c r="Q19" s="2"/>
    </row>
    <row r="20" spans="1:17" ht="12.75" customHeight="1">
      <c r="A20" s="48" t="s">
        <v>85</v>
      </c>
      <c r="B20" s="46"/>
      <c r="C20" s="46"/>
      <c r="D20" s="46"/>
      <c r="E20" s="46"/>
      <c r="F20" s="46"/>
      <c r="G20" s="46"/>
      <c r="H20" s="46"/>
      <c r="I20" s="46"/>
      <c r="J20" s="46"/>
      <c r="K20" s="46"/>
      <c r="L20" s="46"/>
      <c r="M20" s="46"/>
      <c r="N20" s="55"/>
      <c r="O20" s="55"/>
      <c r="P20" s="55"/>
    </row>
    <row r="21" spans="1:17" ht="12.75" customHeight="1">
      <c r="A21" s="50" t="s">
        <v>202</v>
      </c>
      <c r="B21" s="78" t="s">
        <v>13</v>
      </c>
      <c r="C21" s="78" t="s">
        <v>13</v>
      </c>
      <c r="D21" s="78" t="s">
        <v>13</v>
      </c>
      <c r="E21" s="78" t="s">
        <v>13</v>
      </c>
      <c r="F21" s="78" t="s">
        <v>13</v>
      </c>
      <c r="G21" s="78" t="s">
        <v>13</v>
      </c>
      <c r="H21" s="78" t="s">
        <v>13</v>
      </c>
      <c r="I21" s="78"/>
      <c r="J21" s="78"/>
      <c r="K21" s="78"/>
      <c r="L21" s="78"/>
      <c r="M21" s="78"/>
      <c r="N21" s="52">
        <f>SUM(B21:M21)</f>
        <v>0</v>
      </c>
      <c r="O21" s="139">
        <v>0</v>
      </c>
      <c r="P21" s="74" t="s">
        <v>13</v>
      </c>
    </row>
    <row r="22" spans="1:17" ht="12.75" customHeight="1">
      <c r="A22" s="2"/>
      <c r="B22" s="40"/>
      <c r="C22" s="40"/>
      <c r="D22" s="40"/>
      <c r="E22" s="40"/>
      <c r="F22" s="40"/>
      <c r="G22" s="40"/>
      <c r="H22" s="40"/>
      <c r="I22" s="40"/>
      <c r="J22" s="40"/>
      <c r="K22" s="40"/>
      <c r="L22" s="40"/>
      <c r="M22" s="40"/>
      <c r="N22" s="114"/>
      <c r="O22" s="54"/>
      <c r="P22" s="54"/>
    </row>
    <row r="23" spans="1:17" ht="12.75" customHeight="1">
      <c r="A23" s="5"/>
      <c r="B23" s="5"/>
      <c r="C23" s="5"/>
      <c r="D23" s="5"/>
      <c r="E23" s="5"/>
      <c r="F23" s="5"/>
      <c r="G23" s="5"/>
      <c r="H23" s="5"/>
      <c r="I23" s="5"/>
      <c r="J23" s="5"/>
      <c r="K23" s="5"/>
      <c r="L23" s="5"/>
      <c r="M23" s="5"/>
      <c r="N23" s="119"/>
      <c r="O23" s="91"/>
      <c r="P23" s="91"/>
    </row>
    <row r="24" spans="1:17" ht="25.5">
      <c r="A24" s="138"/>
      <c r="B24" s="46">
        <v>39630</v>
      </c>
      <c r="C24" s="46">
        <v>39661</v>
      </c>
      <c r="D24" s="46">
        <v>39692</v>
      </c>
      <c r="E24" s="46">
        <v>39722</v>
      </c>
      <c r="F24" s="46">
        <v>39753</v>
      </c>
      <c r="G24" s="46">
        <v>39783</v>
      </c>
      <c r="H24" s="46">
        <v>39814</v>
      </c>
      <c r="I24" s="46">
        <v>39845</v>
      </c>
      <c r="J24" s="46">
        <v>39873</v>
      </c>
      <c r="K24" s="46">
        <v>39904</v>
      </c>
      <c r="L24" s="46">
        <v>39934</v>
      </c>
      <c r="M24" s="46">
        <v>39965</v>
      </c>
      <c r="N24" s="47" t="s">
        <v>354</v>
      </c>
      <c r="O24" s="55" t="s">
        <v>191</v>
      </c>
      <c r="P24" s="55" t="s">
        <v>86</v>
      </c>
      <c r="Q24" s="2"/>
    </row>
    <row r="25" spans="1:17" ht="12.75" customHeight="1">
      <c r="A25" s="48" t="s">
        <v>257</v>
      </c>
      <c r="B25" s="46"/>
      <c r="C25" s="46"/>
      <c r="D25" s="46"/>
      <c r="E25" s="46"/>
      <c r="F25" s="46"/>
      <c r="G25" s="46"/>
      <c r="H25" s="46"/>
      <c r="I25" s="46"/>
      <c r="J25" s="46"/>
      <c r="K25" s="46"/>
      <c r="L25" s="46"/>
      <c r="M25" s="46"/>
      <c r="N25" s="55"/>
      <c r="O25" s="55"/>
      <c r="P25" s="55"/>
    </row>
    <row r="26" spans="1:17" ht="12.75" customHeight="1">
      <c r="A26" s="50" t="s">
        <v>202</v>
      </c>
      <c r="B26" s="78" t="s">
        <v>13</v>
      </c>
      <c r="C26" s="78" t="s">
        <v>13</v>
      </c>
      <c r="D26" s="78" t="s">
        <v>13</v>
      </c>
      <c r="E26" s="78" t="s">
        <v>13</v>
      </c>
      <c r="F26" s="78" t="s">
        <v>13</v>
      </c>
      <c r="G26" s="78" t="s">
        <v>13</v>
      </c>
      <c r="H26" s="78" t="s">
        <v>13</v>
      </c>
      <c r="I26" s="78"/>
      <c r="J26" s="78"/>
      <c r="K26" s="78"/>
      <c r="L26" s="78"/>
      <c r="M26" s="78"/>
      <c r="N26" s="52">
        <f>SUM(B26:M26)</f>
        <v>0</v>
      </c>
      <c r="O26" s="139">
        <v>0</v>
      </c>
      <c r="P26" s="74" t="s">
        <v>13</v>
      </c>
    </row>
    <row r="27" spans="1:17" ht="12.75" customHeight="1">
      <c r="A27" s="2"/>
      <c r="B27" s="40"/>
      <c r="C27" s="40"/>
      <c r="D27" s="40"/>
      <c r="E27" s="40"/>
      <c r="F27" s="40"/>
      <c r="G27" s="40"/>
      <c r="H27" s="40"/>
      <c r="I27" s="40"/>
      <c r="J27" s="40"/>
      <c r="K27" s="40"/>
      <c r="L27" s="40"/>
      <c r="M27" s="40"/>
      <c r="N27" s="114"/>
      <c r="O27" s="54"/>
      <c r="P27" s="54"/>
    </row>
    <row r="28" spans="1:17" ht="12.75" customHeight="1">
      <c r="A28" s="5"/>
      <c r="B28" s="5"/>
      <c r="C28" s="5"/>
      <c r="D28" s="5"/>
      <c r="E28" s="5"/>
      <c r="F28" s="5"/>
      <c r="G28" s="5"/>
      <c r="H28" s="5"/>
      <c r="I28" s="5"/>
      <c r="J28" s="5"/>
      <c r="K28" s="5"/>
      <c r="L28" s="5"/>
      <c r="M28" s="5"/>
      <c r="N28" s="119"/>
      <c r="O28" s="91"/>
      <c r="P28" s="91"/>
    </row>
    <row r="29" spans="1:17" ht="25.5">
      <c r="A29" s="138"/>
      <c r="B29" s="46">
        <v>39630</v>
      </c>
      <c r="C29" s="46">
        <v>39661</v>
      </c>
      <c r="D29" s="46">
        <v>39692</v>
      </c>
      <c r="E29" s="46">
        <v>39722</v>
      </c>
      <c r="F29" s="46">
        <v>39753</v>
      </c>
      <c r="G29" s="46">
        <v>39783</v>
      </c>
      <c r="H29" s="46">
        <v>39814</v>
      </c>
      <c r="I29" s="46">
        <v>39845</v>
      </c>
      <c r="J29" s="46">
        <v>39873</v>
      </c>
      <c r="K29" s="46">
        <v>39904</v>
      </c>
      <c r="L29" s="46">
        <v>39934</v>
      </c>
      <c r="M29" s="46">
        <v>39965</v>
      </c>
      <c r="N29" s="47" t="s">
        <v>354</v>
      </c>
      <c r="O29" s="55" t="s">
        <v>191</v>
      </c>
      <c r="P29" s="55" t="s">
        <v>86</v>
      </c>
      <c r="Q29" s="2"/>
    </row>
    <row r="30" spans="1:17" ht="12.75" customHeight="1">
      <c r="A30" s="48" t="s">
        <v>378</v>
      </c>
      <c r="B30" s="46"/>
      <c r="C30" s="46"/>
      <c r="D30" s="46"/>
      <c r="E30" s="46"/>
      <c r="F30" s="46"/>
      <c r="G30" s="46"/>
      <c r="H30" s="46"/>
      <c r="I30" s="46"/>
      <c r="J30" s="46"/>
      <c r="K30" s="46"/>
      <c r="L30" s="46"/>
      <c r="M30" s="46"/>
      <c r="N30" s="55"/>
      <c r="O30" s="55"/>
      <c r="P30" s="55"/>
    </row>
    <row r="31" spans="1:17" ht="12.75" customHeight="1">
      <c r="A31" s="50" t="s">
        <v>202</v>
      </c>
      <c r="B31" s="78" t="s">
        <v>13</v>
      </c>
      <c r="C31" s="78" t="s">
        <v>13</v>
      </c>
      <c r="D31" s="78" t="s">
        <v>13</v>
      </c>
      <c r="E31" s="78" t="s">
        <v>13</v>
      </c>
      <c r="F31" s="78" t="s">
        <v>13</v>
      </c>
      <c r="G31" s="78" t="s">
        <v>13</v>
      </c>
      <c r="H31" s="78" t="s">
        <v>13</v>
      </c>
      <c r="I31" s="78"/>
      <c r="J31" s="78"/>
      <c r="K31" s="78"/>
      <c r="L31" s="78"/>
      <c r="M31" s="78"/>
      <c r="N31" s="52">
        <f>SUM(B31:M31)</f>
        <v>0</v>
      </c>
      <c r="O31" s="139">
        <v>0</v>
      </c>
      <c r="P31" s="99" t="s">
        <v>229</v>
      </c>
    </row>
    <row r="32" spans="1:17" ht="12.75" customHeight="1">
      <c r="A32" s="2"/>
      <c r="B32" s="69"/>
      <c r="C32" s="69"/>
      <c r="D32" s="69"/>
      <c r="E32" s="69"/>
      <c r="F32" s="69"/>
      <c r="G32" s="69"/>
      <c r="H32" s="69"/>
      <c r="I32" s="69"/>
      <c r="J32" s="69"/>
      <c r="K32" s="69"/>
      <c r="L32" s="69"/>
      <c r="M32" s="69"/>
      <c r="N32" s="88"/>
      <c r="O32" s="54"/>
      <c r="P32" s="92"/>
    </row>
    <row r="33" spans="1:17" ht="12.75" customHeight="1">
      <c r="A33" s="5"/>
      <c r="B33" s="89"/>
      <c r="C33" s="89"/>
      <c r="D33" s="89"/>
      <c r="E33" s="89"/>
      <c r="F33" s="89"/>
      <c r="G33" s="89"/>
      <c r="H33" s="89"/>
      <c r="I33" s="89"/>
      <c r="J33" s="89"/>
      <c r="K33" s="89"/>
      <c r="L33" s="89"/>
      <c r="M33" s="89"/>
      <c r="N33" s="90"/>
      <c r="O33" s="91"/>
      <c r="P33" s="98"/>
    </row>
    <row r="34" spans="1:17" ht="25.5">
      <c r="A34" s="138"/>
      <c r="B34" s="46">
        <v>39630</v>
      </c>
      <c r="C34" s="46">
        <v>39661</v>
      </c>
      <c r="D34" s="46">
        <v>39692</v>
      </c>
      <c r="E34" s="46">
        <v>39722</v>
      </c>
      <c r="F34" s="46">
        <v>39753</v>
      </c>
      <c r="G34" s="46">
        <v>39783</v>
      </c>
      <c r="H34" s="46">
        <v>39814</v>
      </c>
      <c r="I34" s="46">
        <v>39845</v>
      </c>
      <c r="J34" s="46">
        <v>39873</v>
      </c>
      <c r="K34" s="46">
        <v>39904</v>
      </c>
      <c r="L34" s="46">
        <v>39934</v>
      </c>
      <c r="M34" s="46">
        <v>39965</v>
      </c>
      <c r="N34" s="47" t="s">
        <v>354</v>
      </c>
      <c r="O34" s="55" t="s">
        <v>191</v>
      </c>
      <c r="P34" s="55" t="s">
        <v>86</v>
      </c>
      <c r="Q34" s="2"/>
    </row>
    <row r="35" spans="1:17" ht="12.75" customHeight="1">
      <c r="A35" s="48" t="s">
        <v>150</v>
      </c>
      <c r="B35" s="46"/>
      <c r="C35" s="46"/>
      <c r="D35" s="46"/>
      <c r="E35" s="46"/>
      <c r="F35" s="46"/>
      <c r="G35" s="46"/>
      <c r="H35" s="46"/>
      <c r="I35" s="46"/>
      <c r="J35" s="46"/>
      <c r="K35" s="46"/>
      <c r="L35" s="46"/>
      <c r="M35" s="46"/>
      <c r="N35" s="55"/>
      <c r="O35" s="55"/>
      <c r="P35" s="55"/>
    </row>
    <row r="36" spans="1:17" ht="12.75" customHeight="1">
      <c r="A36" s="50" t="s">
        <v>202</v>
      </c>
      <c r="B36" s="78" t="s">
        <v>13</v>
      </c>
      <c r="C36" s="78" t="s">
        <v>13</v>
      </c>
      <c r="D36" s="78" t="s">
        <v>13</v>
      </c>
      <c r="E36" s="78" t="s">
        <v>13</v>
      </c>
      <c r="F36" s="78" t="s">
        <v>13</v>
      </c>
      <c r="G36" s="78" t="s">
        <v>13</v>
      </c>
      <c r="H36" s="78" t="s">
        <v>13</v>
      </c>
      <c r="I36" s="78"/>
      <c r="J36" s="78"/>
      <c r="K36" s="78"/>
      <c r="L36" s="78"/>
      <c r="M36" s="78"/>
      <c r="N36" s="52">
        <f>SUM(B36:M36)</f>
        <v>0</v>
      </c>
      <c r="O36" s="139">
        <v>0</v>
      </c>
      <c r="P36" s="74" t="s">
        <v>13</v>
      </c>
    </row>
    <row r="37" spans="1:17" ht="12.75" customHeight="1">
      <c r="A37" s="2"/>
      <c r="B37" s="69"/>
      <c r="C37" s="69"/>
      <c r="D37" s="69"/>
      <c r="E37" s="69"/>
      <c r="F37" s="69"/>
      <c r="G37" s="69"/>
      <c r="H37" s="69"/>
      <c r="I37" s="69"/>
      <c r="J37" s="69"/>
      <c r="K37" s="69"/>
      <c r="L37" s="69"/>
      <c r="M37" s="69"/>
      <c r="N37" s="88"/>
      <c r="O37" s="54"/>
      <c r="P37" s="54"/>
    </row>
    <row r="38" spans="1:17" ht="12.75" customHeight="1">
      <c r="A38" s="5"/>
      <c r="B38" s="89"/>
      <c r="C38" s="89"/>
      <c r="D38" s="89"/>
      <c r="E38" s="89"/>
      <c r="F38" s="89"/>
      <c r="G38" s="89"/>
      <c r="H38" s="89"/>
      <c r="I38" s="89"/>
      <c r="J38" s="89"/>
      <c r="K38" s="89"/>
      <c r="L38" s="89"/>
      <c r="M38" s="89"/>
      <c r="N38" s="90"/>
      <c r="O38" s="91"/>
      <c r="P38" s="91"/>
    </row>
    <row r="39" spans="1:17" ht="25.5">
      <c r="A39" s="138"/>
      <c r="B39" s="46">
        <v>39630</v>
      </c>
      <c r="C39" s="46">
        <v>39661</v>
      </c>
      <c r="D39" s="46">
        <v>39692</v>
      </c>
      <c r="E39" s="46">
        <v>39722</v>
      </c>
      <c r="F39" s="46">
        <v>39753</v>
      </c>
      <c r="G39" s="46">
        <v>39783</v>
      </c>
      <c r="H39" s="46">
        <v>39814</v>
      </c>
      <c r="I39" s="46">
        <v>39845</v>
      </c>
      <c r="J39" s="46">
        <v>39873</v>
      </c>
      <c r="K39" s="46">
        <v>39904</v>
      </c>
      <c r="L39" s="46">
        <v>39934</v>
      </c>
      <c r="M39" s="46">
        <v>39965</v>
      </c>
      <c r="N39" s="47" t="s">
        <v>354</v>
      </c>
      <c r="O39" s="55" t="s">
        <v>191</v>
      </c>
      <c r="P39" s="55" t="s">
        <v>86</v>
      </c>
      <c r="Q39" s="2"/>
    </row>
    <row r="40" spans="1:17" ht="12.75" customHeight="1">
      <c r="A40" s="48" t="s">
        <v>310</v>
      </c>
      <c r="B40" s="46"/>
      <c r="C40" s="46"/>
      <c r="D40" s="46"/>
      <c r="E40" s="46"/>
      <c r="F40" s="46"/>
      <c r="G40" s="46"/>
      <c r="H40" s="46"/>
      <c r="I40" s="46"/>
      <c r="J40" s="46"/>
      <c r="K40" s="46"/>
      <c r="L40" s="46"/>
      <c r="M40" s="46"/>
      <c r="N40" s="55"/>
      <c r="O40" s="55"/>
      <c r="P40" s="55"/>
    </row>
    <row r="41" spans="1:17" ht="12.75" customHeight="1">
      <c r="A41" s="50" t="s">
        <v>202</v>
      </c>
      <c r="B41" s="78" t="s">
        <v>13</v>
      </c>
      <c r="C41" s="78" t="s">
        <v>13</v>
      </c>
      <c r="D41" s="78" t="s">
        <v>13</v>
      </c>
      <c r="E41" s="78" t="s">
        <v>13</v>
      </c>
      <c r="F41" s="78" t="s">
        <v>13</v>
      </c>
      <c r="G41" s="78" t="s">
        <v>13</v>
      </c>
      <c r="H41" s="78" t="s">
        <v>13</v>
      </c>
      <c r="I41" s="78"/>
      <c r="J41" s="78"/>
      <c r="K41" s="78"/>
      <c r="L41" s="78"/>
      <c r="M41" s="78"/>
      <c r="N41" s="52">
        <f>SUM(B41:M41)</f>
        <v>0</v>
      </c>
      <c r="O41" s="139">
        <v>0</v>
      </c>
      <c r="P41" s="99" t="s">
        <v>229</v>
      </c>
    </row>
    <row r="42" spans="1:17" ht="12.75" customHeight="1">
      <c r="A42" s="2"/>
      <c r="B42" s="69"/>
      <c r="C42" s="69"/>
      <c r="D42" s="69"/>
      <c r="E42" s="69"/>
      <c r="F42" s="69"/>
      <c r="G42" s="69"/>
      <c r="H42" s="69"/>
      <c r="I42" s="69"/>
      <c r="J42" s="69"/>
      <c r="K42" s="69"/>
      <c r="L42" s="69"/>
      <c r="M42" s="69"/>
      <c r="N42" s="88"/>
      <c r="O42" s="54"/>
      <c r="P42" s="92"/>
    </row>
    <row r="43" spans="1:17" ht="12.75" customHeight="1">
      <c r="A43" s="5"/>
      <c r="B43" s="89"/>
      <c r="C43" s="89"/>
      <c r="D43" s="89"/>
      <c r="E43" s="89"/>
      <c r="F43" s="89"/>
      <c r="G43" s="89"/>
      <c r="H43" s="89"/>
      <c r="I43" s="89"/>
      <c r="J43" s="89"/>
      <c r="K43" s="89"/>
      <c r="L43" s="89"/>
      <c r="M43" s="89"/>
      <c r="N43" s="90"/>
      <c r="O43" s="91"/>
      <c r="P43" s="98"/>
    </row>
    <row r="44" spans="1:17" ht="25.5">
      <c r="A44" s="138"/>
      <c r="B44" s="46">
        <v>39630</v>
      </c>
      <c r="C44" s="46">
        <v>39661</v>
      </c>
      <c r="D44" s="46">
        <v>39692</v>
      </c>
      <c r="E44" s="46">
        <v>39722</v>
      </c>
      <c r="F44" s="46">
        <v>39753</v>
      </c>
      <c r="G44" s="46">
        <v>39783</v>
      </c>
      <c r="H44" s="46">
        <v>39814</v>
      </c>
      <c r="I44" s="46">
        <v>39845</v>
      </c>
      <c r="J44" s="46">
        <v>39873</v>
      </c>
      <c r="K44" s="46">
        <v>39904</v>
      </c>
      <c r="L44" s="46">
        <v>39934</v>
      </c>
      <c r="M44" s="46">
        <v>39965</v>
      </c>
      <c r="N44" s="47" t="s">
        <v>354</v>
      </c>
      <c r="O44" s="55" t="s">
        <v>191</v>
      </c>
      <c r="P44" s="55" t="s">
        <v>86</v>
      </c>
      <c r="Q44" s="2"/>
    </row>
    <row r="45" spans="1:17" ht="25.5">
      <c r="A45" s="102" t="s">
        <v>22</v>
      </c>
      <c r="B45" s="46"/>
      <c r="C45" s="46"/>
      <c r="D45" s="46"/>
      <c r="E45" s="46"/>
      <c r="F45" s="46"/>
      <c r="G45" s="46"/>
      <c r="H45" s="46"/>
      <c r="I45" s="46"/>
      <c r="J45" s="46"/>
      <c r="K45" s="46"/>
      <c r="L45" s="46"/>
      <c r="M45" s="46"/>
      <c r="N45" s="55"/>
      <c r="O45" s="55"/>
      <c r="P45" s="55"/>
      <c r="Q45" s="2"/>
    </row>
    <row r="46" spans="1:17" ht="12.75" customHeight="1">
      <c r="A46" s="50" t="s">
        <v>202</v>
      </c>
      <c r="B46" s="78" t="s">
        <v>13</v>
      </c>
      <c r="C46" s="78" t="s">
        <v>13</v>
      </c>
      <c r="D46" s="78" t="s">
        <v>13</v>
      </c>
      <c r="E46" s="78" t="s">
        <v>13</v>
      </c>
      <c r="F46" s="78" t="s">
        <v>13</v>
      </c>
      <c r="G46" s="78" t="s">
        <v>13</v>
      </c>
      <c r="H46" s="78" t="s">
        <v>13</v>
      </c>
      <c r="I46" s="78" t="s">
        <v>13</v>
      </c>
      <c r="J46" s="78" t="s">
        <v>13</v>
      </c>
      <c r="K46" s="78"/>
      <c r="L46" s="78"/>
      <c r="M46" s="78"/>
      <c r="N46" s="52">
        <f>SUM(B46:M46)</f>
        <v>0</v>
      </c>
      <c r="O46" s="139">
        <v>0</v>
      </c>
      <c r="P46" s="99" t="s">
        <v>229</v>
      </c>
    </row>
    <row r="47" spans="1:17" ht="12.75" customHeight="1">
      <c r="A47" s="2"/>
      <c r="B47" s="114"/>
      <c r="C47" s="114"/>
      <c r="D47" s="114"/>
      <c r="E47" s="114"/>
      <c r="F47" s="114"/>
      <c r="G47" s="114"/>
      <c r="H47" s="114"/>
      <c r="I47" s="114"/>
      <c r="J47" s="114"/>
      <c r="K47" s="114"/>
      <c r="L47" s="114"/>
      <c r="M47" s="114"/>
      <c r="N47" s="114"/>
      <c r="O47" s="54"/>
      <c r="P47" s="54"/>
    </row>
    <row r="48" spans="1:17" ht="12.75" customHeight="1">
      <c r="A48" s="2"/>
      <c r="B48" s="118"/>
      <c r="C48" s="118"/>
      <c r="D48" s="118"/>
      <c r="E48" s="118"/>
      <c r="F48" s="118"/>
      <c r="G48" s="118"/>
      <c r="H48" s="118"/>
      <c r="I48" s="118"/>
      <c r="J48" s="118"/>
      <c r="K48" s="118"/>
      <c r="L48" s="118"/>
      <c r="M48" s="118"/>
      <c r="N48" s="118"/>
      <c r="O48" s="54"/>
      <c r="P48" s="54"/>
    </row>
    <row r="49" spans="1:17" ht="12.75" customHeight="1">
      <c r="A49" s="5"/>
      <c r="B49" s="119"/>
      <c r="C49" s="119"/>
      <c r="D49" s="119"/>
      <c r="E49" s="119"/>
      <c r="F49" s="119"/>
      <c r="G49" s="119"/>
      <c r="H49" s="119"/>
      <c r="I49" s="119"/>
      <c r="J49" s="119"/>
      <c r="K49" s="119"/>
      <c r="L49" s="119"/>
      <c r="M49" s="119"/>
      <c r="N49" s="119"/>
      <c r="O49" s="91"/>
      <c r="P49" s="91"/>
    </row>
    <row r="50" spans="1:17" ht="25.5">
      <c r="A50" s="138"/>
      <c r="B50" s="46">
        <v>39630</v>
      </c>
      <c r="C50" s="46">
        <v>39661</v>
      </c>
      <c r="D50" s="46">
        <v>39692</v>
      </c>
      <c r="E50" s="46">
        <v>39722</v>
      </c>
      <c r="F50" s="46">
        <v>39753</v>
      </c>
      <c r="G50" s="46">
        <v>39783</v>
      </c>
      <c r="H50" s="46">
        <v>39814</v>
      </c>
      <c r="I50" s="46">
        <v>39845</v>
      </c>
      <c r="J50" s="46">
        <v>39873</v>
      </c>
      <c r="K50" s="46">
        <v>39904</v>
      </c>
      <c r="L50" s="46">
        <v>39934</v>
      </c>
      <c r="M50" s="46">
        <v>39965</v>
      </c>
      <c r="N50" s="47" t="s">
        <v>354</v>
      </c>
      <c r="O50" s="55" t="s">
        <v>191</v>
      </c>
      <c r="P50" s="55" t="s">
        <v>165</v>
      </c>
      <c r="Q50" s="2"/>
    </row>
    <row r="51" spans="1:17" ht="12.75" customHeight="1">
      <c r="A51" s="48" t="s">
        <v>380</v>
      </c>
      <c r="B51" s="46"/>
      <c r="C51" s="46"/>
      <c r="D51" s="46"/>
      <c r="E51" s="46"/>
      <c r="F51" s="46"/>
      <c r="G51" s="46"/>
      <c r="H51" s="46"/>
      <c r="I51" s="46"/>
      <c r="J51" s="46"/>
      <c r="K51" s="46"/>
      <c r="L51" s="46"/>
      <c r="M51" s="46"/>
      <c r="N51" s="55"/>
      <c r="O51" s="55"/>
      <c r="P51" s="55"/>
    </row>
    <row r="52" spans="1:17" ht="12.75" customHeight="1">
      <c r="A52" s="50" t="s">
        <v>260</v>
      </c>
      <c r="B52" s="78" t="s">
        <v>13</v>
      </c>
      <c r="C52" s="78" t="s">
        <v>13</v>
      </c>
      <c r="D52" s="78" t="s">
        <v>13</v>
      </c>
      <c r="E52" s="78" t="s">
        <v>13</v>
      </c>
      <c r="F52" s="78" t="s">
        <v>13</v>
      </c>
      <c r="G52" s="78" t="s">
        <v>13</v>
      </c>
      <c r="H52" s="78" t="s">
        <v>13</v>
      </c>
      <c r="I52" s="78"/>
      <c r="J52" s="78"/>
      <c r="K52" s="78"/>
      <c r="L52" s="78"/>
      <c r="M52" s="78"/>
      <c r="N52" s="52">
        <f>SUM(B52:M52)</f>
        <v>0</v>
      </c>
      <c r="O52" s="140"/>
      <c r="P52" s="74"/>
    </row>
    <row r="53" spans="1:17" ht="12.75" customHeight="1">
      <c r="A53" s="50" t="s">
        <v>202</v>
      </c>
      <c r="B53" s="78" t="s">
        <v>13</v>
      </c>
      <c r="C53" s="78" t="s">
        <v>13</v>
      </c>
      <c r="D53" s="78" t="s">
        <v>13</v>
      </c>
      <c r="E53" s="78" t="s">
        <v>13</v>
      </c>
      <c r="F53" s="78" t="s">
        <v>13</v>
      </c>
      <c r="G53" s="78" t="s">
        <v>13</v>
      </c>
      <c r="H53" s="78" t="s">
        <v>13</v>
      </c>
      <c r="I53" s="78"/>
      <c r="J53" s="78"/>
      <c r="K53" s="78"/>
      <c r="L53" s="78"/>
      <c r="M53" s="78"/>
      <c r="N53" s="52">
        <f>SUM(B53:M53)</f>
        <v>0</v>
      </c>
      <c r="O53" s="53">
        <f>SUM(O11:O46)</f>
        <v>18757</v>
      </c>
      <c r="P53" s="54" t="s">
        <v>13</v>
      </c>
    </row>
    <row r="54" spans="1:17" ht="12.75" customHeight="1">
      <c r="A54" s="50" t="s">
        <v>44</v>
      </c>
      <c r="B54" s="78" t="s">
        <v>13</v>
      </c>
      <c r="C54" s="78" t="s">
        <v>13</v>
      </c>
      <c r="D54" s="78" t="s">
        <v>13</v>
      </c>
      <c r="E54" s="78" t="s">
        <v>13</v>
      </c>
      <c r="F54" s="78" t="s">
        <v>13</v>
      </c>
      <c r="G54" s="78" t="s">
        <v>13</v>
      </c>
      <c r="H54" s="78" t="s">
        <v>13</v>
      </c>
      <c r="I54" s="78"/>
      <c r="J54" s="78"/>
      <c r="K54" s="78"/>
      <c r="L54" s="78"/>
      <c r="M54" s="78"/>
      <c r="N54" s="52">
        <f>SUM(B54:M54)</f>
        <v>0</v>
      </c>
      <c r="O54" s="103" t="s">
        <v>13</v>
      </c>
      <c r="P54" s="54" t="s">
        <v>13</v>
      </c>
    </row>
    <row r="55" spans="1:17" ht="12.75" customHeight="1">
      <c r="A55" s="2"/>
      <c r="B55" s="41"/>
      <c r="C55" s="41"/>
      <c r="D55" s="41"/>
      <c r="E55" s="41"/>
      <c r="F55" s="41"/>
      <c r="G55" s="41"/>
      <c r="H55" s="41"/>
      <c r="I55" s="41"/>
      <c r="J55" s="41"/>
      <c r="K55" s="41"/>
      <c r="L55" s="41"/>
      <c r="M55" s="41"/>
      <c r="N55" s="41"/>
      <c r="O55" s="2"/>
      <c r="P55" s="2"/>
    </row>
    <row r="56" spans="1:17" ht="12.75" customHeight="1">
      <c r="A56" s="2"/>
      <c r="O56" s="2"/>
      <c r="P56" s="2"/>
    </row>
    <row r="57" spans="1:17" ht="12.75" customHeight="1">
      <c r="A57" s="2" t="s">
        <v>15</v>
      </c>
      <c r="B57" s="2" t="s">
        <v>185</v>
      </c>
      <c r="O57" s="2"/>
      <c r="P57" s="2"/>
    </row>
    <row r="58" spans="1:17" ht="12.75" customHeight="1">
      <c r="A58" s="2"/>
      <c r="O58" s="2"/>
      <c r="P58" s="2"/>
    </row>
  </sheetData>
  <pageMargins left="0.75" right="0.75" top="1" bottom="1" header="0.5" footer="0.5"/>
  <pageSetup paperSize="9" orientation="portrait" horizontalDpi="300" verticalDpi="300"/>
  <headerFooter alignWithMargins="0"/>
</worksheet>
</file>

<file path=xl/worksheets/sheet27.xml><?xml version="1.0" encoding="utf-8"?>
<worksheet xmlns="http://schemas.openxmlformats.org/spreadsheetml/2006/main" xmlns:r="http://schemas.openxmlformats.org/officeDocument/2006/relationships">
  <dimension ref="A1:Q58"/>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9.140625" customWidth="1"/>
    <col min="2" max="14" width="8.5703125" customWidth="1"/>
    <col min="15" max="15" width="15.140625" customWidth="1"/>
    <col min="16" max="16" width="8.5703125" customWidth="1"/>
    <col min="17" max="17" width="9.140625" customWidth="1"/>
  </cols>
  <sheetData>
    <row r="1" spans="1:17" ht="20.25">
      <c r="A1" s="1" t="s">
        <v>65</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2"/>
      <c r="O3" s="2"/>
    </row>
    <row r="4" spans="1:17" ht="12.75" customHeight="1">
      <c r="A4" s="2" t="s">
        <v>15</v>
      </c>
      <c r="B4" s="2" t="s">
        <v>145</v>
      </c>
      <c r="O4" s="2"/>
    </row>
    <row r="5" spans="1:17" ht="12.75" customHeight="1">
      <c r="A5" s="5"/>
      <c r="B5" s="6"/>
      <c r="C5" s="6"/>
      <c r="D5" s="6"/>
      <c r="E5" s="6"/>
      <c r="F5" s="6"/>
      <c r="G5" s="6"/>
      <c r="H5" s="6"/>
      <c r="I5" s="6"/>
      <c r="J5" s="6"/>
      <c r="K5" s="6"/>
      <c r="L5" s="6"/>
      <c r="M5" s="6"/>
      <c r="N5" s="6"/>
      <c r="O5" s="2"/>
    </row>
    <row r="6" spans="1:17" ht="12.75" customHeight="1">
      <c r="A6" s="45"/>
      <c r="B6" s="46">
        <v>39630</v>
      </c>
      <c r="C6" s="46">
        <v>39661</v>
      </c>
      <c r="D6" s="46">
        <v>39692</v>
      </c>
      <c r="E6" s="46">
        <v>39722</v>
      </c>
      <c r="F6" s="46">
        <v>39753</v>
      </c>
      <c r="G6" s="46">
        <v>39783</v>
      </c>
      <c r="H6" s="46">
        <v>39814</v>
      </c>
      <c r="I6" s="46">
        <v>39845</v>
      </c>
      <c r="J6" s="46">
        <v>39873</v>
      </c>
      <c r="K6" s="46">
        <v>39904</v>
      </c>
      <c r="L6" s="46">
        <v>39934</v>
      </c>
      <c r="M6" s="46">
        <v>39965</v>
      </c>
      <c r="N6" s="47" t="s">
        <v>354</v>
      </c>
      <c r="O6" s="2"/>
    </row>
    <row r="7" spans="1:17" ht="12.75" customHeight="1">
      <c r="A7" s="48" t="s">
        <v>188</v>
      </c>
      <c r="B7" s="57"/>
      <c r="C7" s="57"/>
      <c r="D7" s="57"/>
      <c r="E7" s="57"/>
      <c r="F7" s="57"/>
      <c r="G7" s="57"/>
      <c r="H7" s="57"/>
      <c r="I7" s="57"/>
      <c r="J7" s="57"/>
      <c r="K7" s="57"/>
      <c r="L7" s="57"/>
      <c r="M7" s="57"/>
      <c r="N7" s="57"/>
      <c r="O7" s="2"/>
    </row>
    <row r="8" spans="1:17" ht="12.75" customHeight="1">
      <c r="A8" s="50" t="s">
        <v>118</v>
      </c>
      <c r="B8" s="37">
        <v>108</v>
      </c>
      <c r="C8" s="37">
        <v>37</v>
      </c>
      <c r="D8" s="37">
        <v>188</v>
      </c>
      <c r="E8" s="37">
        <v>154</v>
      </c>
      <c r="F8" s="37">
        <v>79</v>
      </c>
      <c r="G8" s="37">
        <v>50</v>
      </c>
      <c r="H8" s="37">
        <v>41</v>
      </c>
      <c r="I8" s="37">
        <v>108</v>
      </c>
      <c r="J8" s="37">
        <v>58</v>
      </c>
      <c r="K8" s="37">
        <v>100</v>
      </c>
      <c r="L8" s="37">
        <v>68</v>
      </c>
      <c r="M8" s="37">
        <v>59</v>
      </c>
      <c r="N8" s="59">
        <f t="shared" ref="N8:N21" si="0">SUM(B8:M8)</f>
        <v>1050</v>
      </c>
      <c r="O8" s="10"/>
    </row>
    <row r="9" spans="1:17" ht="12.75" customHeight="1">
      <c r="A9" s="141" t="s">
        <v>396</v>
      </c>
      <c r="B9" s="142">
        <v>363</v>
      </c>
      <c r="C9" s="142">
        <v>133</v>
      </c>
      <c r="D9" s="142">
        <f>12+352</f>
        <v>364</v>
      </c>
      <c r="E9" s="142">
        <v>141</v>
      </c>
      <c r="F9" s="142">
        <v>78</v>
      </c>
      <c r="G9" s="142">
        <v>62</v>
      </c>
      <c r="H9" s="142">
        <v>28</v>
      </c>
      <c r="I9" s="142">
        <v>135</v>
      </c>
      <c r="J9" s="142">
        <v>75</v>
      </c>
      <c r="K9" s="142">
        <v>161</v>
      </c>
      <c r="L9" s="142">
        <v>125</v>
      </c>
      <c r="M9" s="142">
        <f>86+4</f>
        <v>90</v>
      </c>
      <c r="N9" s="143">
        <f t="shared" si="0"/>
        <v>1755</v>
      </c>
      <c r="O9" s="10"/>
    </row>
    <row r="10" spans="1:17" ht="12.75" customHeight="1">
      <c r="A10" s="50" t="s">
        <v>352</v>
      </c>
      <c r="B10" s="37">
        <v>800</v>
      </c>
      <c r="C10" s="37">
        <v>253</v>
      </c>
      <c r="D10" s="37">
        <f>18+642</f>
        <v>660</v>
      </c>
      <c r="E10" s="37">
        <v>307</v>
      </c>
      <c r="F10" s="37">
        <v>171</v>
      </c>
      <c r="G10" s="37">
        <v>130</v>
      </c>
      <c r="H10" s="37">
        <v>53</v>
      </c>
      <c r="I10" s="37">
        <v>344</v>
      </c>
      <c r="J10" s="37">
        <f>128+5</f>
        <v>133</v>
      </c>
      <c r="K10" s="37">
        <v>461</v>
      </c>
      <c r="L10" s="37">
        <v>1071</v>
      </c>
      <c r="M10" s="37">
        <f>122+4</f>
        <v>126</v>
      </c>
      <c r="N10" s="59">
        <f t="shared" si="0"/>
        <v>4509</v>
      </c>
      <c r="O10" s="10"/>
    </row>
    <row r="11" spans="1:17" ht="12.75" customHeight="1">
      <c r="A11" s="50" t="s">
        <v>14</v>
      </c>
      <c r="B11" s="37">
        <v>8266</v>
      </c>
      <c r="C11" s="37">
        <v>2509</v>
      </c>
      <c r="D11" s="37">
        <f>419+11222</f>
        <v>11641</v>
      </c>
      <c r="E11" s="37">
        <f>6086+24</f>
        <v>6110</v>
      </c>
      <c r="F11" s="37">
        <v>3029</v>
      </c>
      <c r="G11" s="37">
        <v>1813</v>
      </c>
      <c r="H11" s="37">
        <f>856+144</f>
        <v>1000</v>
      </c>
      <c r="I11" s="37">
        <f>7066+24</f>
        <v>7090</v>
      </c>
      <c r="J11" s="37">
        <v>1773</v>
      </c>
      <c r="K11" s="37">
        <v>8510</v>
      </c>
      <c r="L11" s="37">
        <v>23216</v>
      </c>
      <c r="M11" s="37">
        <f>1593+56</f>
        <v>1649</v>
      </c>
      <c r="N11" s="59">
        <f t="shared" si="0"/>
        <v>76606</v>
      </c>
      <c r="O11" s="10"/>
    </row>
    <row r="12" spans="1:17" ht="12.75" customHeight="1">
      <c r="A12" s="50" t="s">
        <v>337</v>
      </c>
      <c r="B12" s="37">
        <v>0</v>
      </c>
      <c r="C12" s="37">
        <v>0</v>
      </c>
      <c r="D12" s="37">
        <v>0</v>
      </c>
      <c r="E12" s="37">
        <v>0</v>
      </c>
      <c r="F12" s="37">
        <v>0</v>
      </c>
      <c r="G12" s="37">
        <v>0</v>
      </c>
      <c r="H12" s="37">
        <v>0</v>
      </c>
      <c r="I12" s="37">
        <v>0</v>
      </c>
      <c r="J12" s="37">
        <v>0</v>
      </c>
      <c r="K12" s="37">
        <v>0</v>
      </c>
      <c r="L12" s="37">
        <v>0</v>
      </c>
      <c r="M12" s="37">
        <v>0</v>
      </c>
      <c r="N12" s="59">
        <f t="shared" si="0"/>
        <v>0</v>
      </c>
      <c r="O12" s="10"/>
    </row>
    <row r="13" spans="1:17" ht="12.75" customHeight="1">
      <c r="A13" s="50" t="s">
        <v>297</v>
      </c>
      <c r="B13" s="37">
        <v>0</v>
      </c>
      <c r="C13" s="37">
        <v>0</v>
      </c>
      <c r="D13" s="37">
        <v>0</v>
      </c>
      <c r="E13" s="37">
        <v>0</v>
      </c>
      <c r="F13" s="37">
        <v>0</v>
      </c>
      <c r="G13" s="37">
        <v>0</v>
      </c>
      <c r="H13" s="37">
        <v>0</v>
      </c>
      <c r="I13" s="37">
        <v>0</v>
      </c>
      <c r="J13" s="37">
        <v>0</v>
      </c>
      <c r="K13" s="37">
        <v>0</v>
      </c>
      <c r="L13" s="37">
        <v>0</v>
      </c>
      <c r="M13" s="37">
        <v>0</v>
      </c>
      <c r="N13" s="59">
        <f t="shared" si="0"/>
        <v>0</v>
      </c>
      <c r="O13" s="10"/>
    </row>
    <row r="14" spans="1:17" ht="12.75" customHeight="1">
      <c r="A14" s="50" t="s">
        <v>110</v>
      </c>
      <c r="B14" s="37">
        <v>885</v>
      </c>
      <c r="C14" s="37">
        <v>166</v>
      </c>
      <c r="D14" s="37">
        <f>26+324</f>
        <v>350</v>
      </c>
      <c r="E14" s="37">
        <v>247</v>
      </c>
      <c r="F14" s="37">
        <v>99</v>
      </c>
      <c r="G14" s="37">
        <v>125</v>
      </c>
      <c r="H14" s="37">
        <f>23+6</f>
        <v>29</v>
      </c>
      <c r="I14" s="37">
        <v>149</v>
      </c>
      <c r="J14" s="37">
        <v>145</v>
      </c>
      <c r="K14" s="37">
        <v>156</v>
      </c>
      <c r="L14" s="37">
        <v>179</v>
      </c>
      <c r="M14" s="37">
        <v>150</v>
      </c>
      <c r="N14" s="59">
        <f t="shared" si="0"/>
        <v>2680</v>
      </c>
      <c r="O14" s="10"/>
    </row>
    <row r="15" spans="1:17" ht="12.75" customHeight="1">
      <c r="A15" s="50" t="s">
        <v>379</v>
      </c>
      <c r="B15" s="37">
        <v>895</v>
      </c>
      <c r="C15" s="37">
        <v>190</v>
      </c>
      <c r="D15" s="37">
        <f>26+975</f>
        <v>1001</v>
      </c>
      <c r="E15" s="37">
        <v>247</v>
      </c>
      <c r="F15" s="37">
        <v>99</v>
      </c>
      <c r="G15" s="37">
        <v>125</v>
      </c>
      <c r="H15" s="37">
        <v>29</v>
      </c>
      <c r="I15" s="37">
        <v>149</v>
      </c>
      <c r="J15" s="37">
        <v>145</v>
      </c>
      <c r="K15" s="37">
        <v>156</v>
      </c>
      <c r="L15" s="37">
        <v>179</v>
      </c>
      <c r="M15" s="37">
        <v>150</v>
      </c>
      <c r="N15" s="59">
        <f t="shared" si="0"/>
        <v>3365</v>
      </c>
      <c r="O15" s="10"/>
    </row>
    <row r="16" spans="1:17" ht="12.75" customHeight="1">
      <c r="A16" s="50" t="s">
        <v>138</v>
      </c>
      <c r="B16" s="37">
        <v>34</v>
      </c>
      <c r="C16" s="37">
        <v>12</v>
      </c>
      <c r="D16" s="37">
        <v>10</v>
      </c>
      <c r="E16" s="37">
        <v>3</v>
      </c>
      <c r="F16" s="37">
        <v>0</v>
      </c>
      <c r="G16" s="37">
        <v>6</v>
      </c>
      <c r="H16" s="37">
        <v>0</v>
      </c>
      <c r="I16" s="37">
        <v>15</v>
      </c>
      <c r="J16" s="37">
        <v>0</v>
      </c>
      <c r="K16" s="37">
        <v>14</v>
      </c>
      <c r="L16" s="37">
        <v>792</v>
      </c>
      <c r="M16" s="37">
        <v>4</v>
      </c>
      <c r="N16" s="59">
        <f t="shared" si="0"/>
        <v>890</v>
      </c>
      <c r="O16" s="10"/>
    </row>
    <row r="17" spans="1:16" ht="12.75" customHeight="1">
      <c r="A17" s="50" t="s">
        <v>95</v>
      </c>
      <c r="B17" s="37">
        <v>993</v>
      </c>
      <c r="C17" s="37">
        <v>139</v>
      </c>
      <c r="D17" s="37">
        <v>178</v>
      </c>
      <c r="E17" s="37">
        <v>51</v>
      </c>
      <c r="F17" s="37">
        <v>0</v>
      </c>
      <c r="G17" s="37">
        <v>32</v>
      </c>
      <c r="H17" s="37">
        <v>0</v>
      </c>
      <c r="I17" s="37">
        <v>688</v>
      </c>
      <c r="J17" s="37">
        <v>0</v>
      </c>
      <c r="K17" s="37">
        <v>206</v>
      </c>
      <c r="L17" s="37">
        <v>21541</v>
      </c>
      <c r="M17" s="37">
        <v>76</v>
      </c>
      <c r="N17" s="59">
        <f t="shared" si="0"/>
        <v>23904</v>
      </c>
      <c r="O17" s="10"/>
    </row>
    <row r="18" spans="1:16" ht="12.75" customHeight="1">
      <c r="A18" s="50" t="s">
        <v>345</v>
      </c>
      <c r="B18" s="37">
        <v>0</v>
      </c>
      <c r="C18" s="37">
        <v>0</v>
      </c>
      <c r="D18" s="37">
        <v>0</v>
      </c>
      <c r="E18" s="37">
        <v>0</v>
      </c>
      <c r="F18" s="37">
        <v>0</v>
      </c>
      <c r="G18" s="37">
        <v>0</v>
      </c>
      <c r="H18" s="37">
        <v>0</v>
      </c>
      <c r="I18" s="37">
        <v>0</v>
      </c>
      <c r="J18" s="37">
        <v>0</v>
      </c>
      <c r="K18" s="37">
        <v>0</v>
      </c>
      <c r="L18" s="37">
        <v>0</v>
      </c>
      <c r="M18" s="37">
        <v>0</v>
      </c>
      <c r="N18" s="59">
        <f t="shared" si="0"/>
        <v>0</v>
      </c>
      <c r="O18" s="10"/>
    </row>
    <row r="19" spans="1:16" ht="12.75" customHeight="1">
      <c r="A19" s="50" t="s">
        <v>201</v>
      </c>
      <c r="B19" s="37">
        <v>0</v>
      </c>
      <c r="C19" s="37">
        <v>0</v>
      </c>
      <c r="D19" s="37">
        <v>0</v>
      </c>
      <c r="E19" s="37">
        <v>0</v>
      </c>
      <c r="F19" s="37">
        <v>0</v>
      </c>
      <c r="G19" s="37">
        <v>0</v>
      </c>
      <c r="H19" s="37">
        <v>0</v>
      </c>
      <c r="I19" s="37">
        <v>0</v>
      </c>
      <c r="J19" s="37">
        <v>0</v>
      </c>
      <c r="K19" s="37">
        <v>0</v>
      </c>
      <c r="L19" s="37">
        <v>0</v>
      </c>
      <c r="M19" s="37">
        <v>0</v>
      </c>
      <c r="N19" s="59">
        <f t="shared" si="0"/>
        <v>0</v>
      </c>
      <c r="O19" s="10"/>
    </row>
    <row r="20" spans="1:16" ht="12.75" customHeight="1">
      <c r="A20" s="50" t="s">
        <v>366</v>
      </c>
      <c r="B20" s="37">
        <v>0</v>
      </c>
      <c r="C20" s="37">
        <v>0</v>
      </c>
      <c r="D20" s="37">
        <v>0</v>
      </c>
      <c r="E20" s="37">
        <v>0</v>
      </c>
      <c r="F20" s="37">
        <v>0</v>
      </c>
      <c r="G20" s="37">
        <v>0</v>
      </c>
      <c r="H20" s="37">
        <v>0</v>
      </c>
      <c r="I20" s="37">
        <v>0</v>
      </c>
      <c r="J20" s="37">
        <v>0</v>
      </c>
      <c r="K20" s="37">
        <v>0</v>
      </c>
      <c r="L20" s="37">
        <v>0</v>
      </c>
      <c r="M20" s="37">
        <v>0</v>
      </c>
      <c r="N20" s="59">
        <f t="shared" si="0"/>
        <v>0</v>
      </c>
      <c r="O20" s="10"/>
    </row>
    <row r="21" spans="1:16" ht="12.75" customHeight="1">
      <c r="A21" s="144" t="s">
        <v>385</v>
      </c>
      <c r="B21" s="37">
        <v>0</v>
      </c>
      <c r="C21" s="37">
        <v>0</v>
      </c>
      <c r="D21" s="37">
        <v>0</v>
      </c>
      <c r="E21" s="37">
        <v>0</v>
      </c>
      <c r="F21" s="37">
        <v>0</v>
      </c>
      <c r="G21" s="37">
        <v>0</v>
      </c>
      <c r="H21" s="37">
        <v>0</v>
      </c>
      <c r="I21" s="37">
        <v>0</v>
      </c>
      <c r="J21" s="37">
        <v>0</v>
      </c>
      <c r="K21" s="37">
        <v>0</v>
      </c>
      <c r="L21" s="37">
        <v>0</v>
      </c>
      <c r="M21" s="37">
        <v>0</v>
      </c>
      <c r="N21" s="59">
        <f t="shared" si="0"/>
        <v>0</v>
      </c>
      <c r="O21" s="10"/>
    </row>
    <row r="22" spans="1:16" ht="12.75" customHeight="1">
      <c r="B22" s="41"/>
      <c r="C22" s="41"/>
      <c r="D22" s="41"/>
      <c r="E22" s="41"/>
      <c r="F22" s="41"/>
      <c r="G22" s="41"/>
      <c r="H22" s="41"/>
      <c r="I22" s="41"/>
      <c r="J22" s="41"/>
      <c r="K22" s="41"/>
      <c r="L22" s="41"/>
      <c r="M22" s="41"/>
      <c r="N22" s="41"/>
      <c r="O22" s="2"/>
    </row>
    <row r="23" spans="1:16" ht="12.75" customHeight="1">
      <c r="A23" s="6"/>
      <c r="B23" s="6"/>
      <c r="C23" s="6"/>
      <c r="D23" s="6"/>
      <c r="E23" s="6"/>
      <c r="F23" s="6"/>
      <c r="G23" s="6"/>
      <c r="H23" s="6"/>
      <c r="I23" s="6"/>
      <c r="J23" s="6"/>
      <c r="K23" s="6"/>
      <c r="L23" s="6"/>
      <c r="M23" s="6"/>
      <c r="N23" s="6"/>
      <c r="O23" s="2"/>
    </row>
    <row r="24" spans="1:16" ht="12.75" customHeight="1">
      <c r="A24" s="45"/>
      <c r="B24" s="46">
        <v>39630</v>
      </c>
      <c r="C24" s="46">
        <v>39661</v>
      </c>
      <c r="D24" s="46">
        <v>39692</v>
      </c>
      <c r="E24" s="46">
        <v>39722</v>
      </c>
      <c r="F24" s="46">
        <v>39753</v>
      </c>
      <c r="G24" s="46">
        <v>39783</v>
      </c>
      <c r="H24" s="46">
        <v>39814</v>
      </c>
      <c r="I24" s="46">
        <v>39845</v>
      </c>
      <c r="J24" s="46">
        <v>39873</v>
      </c>
      <c r="K24" s="46">
        <v>39904</v>
      </c>
      <c r="L24" s="46">
        <v>39934</v>
      </c>
      <c r="M24" s="46">
        <v>39965</v>
      </c>
      <c r="N24" s="47" t="s">
        <v>354</v>
      </c>
      <c r="O24" s="145"/>
      <c r="P24" s="145"/>
    </row>
    <row r="25" spans="1:16" ht="12.75" customHeight="1">
      <c r="A25" s="48" t="s">
        <v>187</v>
      </c>
      <c r="B25" s="57"/>
      <c r="C25" s="57"/>
      <c r="D25" s="57"/>
      <c r="E25" s="57"/>
      <c r="F25" s="57"/>
      <c r="G25" s="57"/>
      <c r="H25" s="57"/>
      <c r="I25" s="57"/>
      <c r="J25" s="57"/>
      <c r="K25" s="57"/>
      <c r="L25" s="57"/>
      <c r="M25" s="57"/>
      <c r="N25" s="57"/>
      <c r="O25" s="2"/>
    </row>
    <row r="26" spans="1:16" ht="12.75" customHeight="1">
      <c r="A26" s="50" t="s">
        <v>118</v>
      </c>
      <c r="B26" s="37">
        <v>108</v>
      </c>
      <c r="C26" s="37">
        <v>37</v>
      </c>
      <c r="D26" s="37">
        <v>188</v>
      </c>
      <c r="E26" s="37">
        <v>154</v>
      </c>
      <c r="F26" s="37">
        <v>79</v>
      </c>
      <c r="G26" s="37">
        <v>50</v>
      </c>
      <c r="H26" s="37">
        <v>41</v>
      </c>
      <c r="I26" s="37">
        <v>108</v>
      </c>
      <c r="J26" s="37">
        <v>58</v>
      </c>
      <c r="K26" s="37">
        <v>100</v>
      </c>
      <c r="L26" s="37">
        <v>68</v>
      </c>
      <c r="M26" s="37">
        <v>59</v>
      </c>
      <c r="N26" s="59">
        <f t="shared" ref="N26:N39" si="1">SUM(B26:M26)</f>
        <v>1050</v>
      </c>
      <c r="O26" s="10"/>
    </row>
    <row r="27" spans="1:16" ht="12.75" customHeight="1">
      <c r="A27" s="141" t="s">
        <v>396</v>
      </c>
      <c r="B27" s="142">
        <v>26</v>
      </c>
      <c r="C27" s="142">
        <v>3</v>
      </c>
      <c r="D27" s="142">
        <v>20</v>
      </c>
      <c r="E27" s="142">
        <v>15</v>
      </c>
      <c r="F27" s="142">
        <v>17</v>
      </c>
      <c r="G27" s="142">
        <v>24</v>
      </c>
      <c r="H27" s="142">
        <v>21</v>
      </c>
      <c r="I27" s="142">
        <v>32</v>
      </c>
      <c r="J27" s="142">
        <v>9</v>
      </c>
      <c r="K27" s="142">
        <v>24</v>
      </c>
      <c r="L27" s="142">
        <v>17</v>
      </c>
      <c r="M27" s="142">
        <v>14</v>
      </c>
      <c r="N27" s="143">
        <f t="shared" si="1"/>
        <v>222</v>
      </c>
      <c r="O27" s="53"/>
    </row>
    <row r="28" spans="1:16" ht="12.75" customHeight="1">
      <c r="A28" s="50" t="s">
        <v>352</v>
      </c>
      <c r="B28" s="37">
        <v>94</v>
      </c>
      <c r="C28" s="37">
        <v>3</v>
      </c>
      <c r="D28" s="37">
        <v>23</v>
      </c>
      <c r="E28" s="37">
        <v>15</v>
      </c>
      <c r="F28" s="37">
        <v>18</v>
      </c>
      <c r="G28" s="37">
        <v>29</v>
      </c>
      <c r="H28" s="37">
        <v>25</v>
      </c>
      <c r="I28" s="37">
        <v>55</v>
      </c>
      <c r="J28" s="37">
        <v>16</v>
      </c>
      <c r="K28" s="37">
        <v>25</v>
      </c>
      <c r="L28" s="37">
        <v>20</v>
      </c>
      <c r="M28" s="37">
        <v>15</v>
      </c>
      <c r="N28" s="59">
        <f t="shared" si="1"/>
        <v>338</v>
      </c>
      <c r="O28" s="10"/>
    </row>
    <row r="29" spans="1:16" ht="12.75" customHeight="1">
      <c r="A29" s="50" t="s">
        <v>14</v>
      </c>
      <c r="B29" s="37">
        <v>2090</v>
      </c>
      <c r="C29" s="37">
        <v>5</v>
      </c>
      <c r="D29" s="37">
        <v>249</v>
      </c>
      <c r="E29" s="37">
        <v>51</v>
      </c>
      <c r="F29" s="37">
        <v>156</v>
      </c>
      <c r="G29" s="37">
        <v>405</v>
      </c>
      <c r="H29" s="37">
        <v>242</v>
      </c>
      <c r="I29" s="37">
        <v>1157</v>
      </c>
      <c r="J29" s="37">
        <v>284</v>
      </c>
      <c r="K29" s="37">
        <v>202</v>
      </c>
      <c r="L29" s="37">
        <v>164</v>
      </c>
      <c r="M29" s="37">
        <v>179</v>
      </c>
      <c r="N29" s="59">
        <f t="shared" si="1"/>
        <v>5184</v>
      </c>
      <c r="O29" s="10"/>
    </row>
    <row r="30" spans="1:16" ht="12.75" customHeight="1">
      <c r="A30" s="50" t="s">
        <v>337</v>
      </c>
      <c r="B30" s="37">
        <v>0</v>
      </c>
      <c r="C30" s="37">
        <v>0</v>
      </c>
      <c r="D30" s="37">
        <v>0</v>
      </c>
      <c r="E30" s="37">
        <v>0</v>
      </c>
      <c r="F30" s="37">
        <v>0</v>
      </c>
      <c r="G30" s="37">
        <v>0</v>
      </c>
      <c r="H30" s="37">
        <v>0</v>
      </c>
      <c r="I30" s="37">
        <v>0</v>
      </c>
      <c r="J30" s="37">
        <v>0</v>
      </c>
      <c r="K30" s="37">
        <v>0</v>
      </c>
      <c r="L30" s="37">
        <v>0</v>
      </c>
      <c r="M30" s="37">
        <v>0</v>
      </c>
      <c r="N30" s="59">
        <f t="shared" si="1"/>
        <v>0</v>
      </c>
      <c r="O30" s="10"/>
    </row>
    <row r="31" spans="1:16" ht="12.75" customHeight="1">
      <c r="A31" s="50" t="s">
        <v>297</v>
      </c>
      <c r="B31" s="37">
        <v>0</v>
      </c>
      <c r="C31" s="37">
        <v>0</v>
      </c>
      <c r="D31" s="37">
        <v>0</v>
      </c>
      <c r="E31" s="37">
        <v>0</v>
      </c>
      <c r="F31" s="37">
        <v>0</v>
      </c>
      <c r="G31" s="37">
        <v>0</v>
      </c>
      <c r="H31" s="37">
        <v>0</v>
      </c>
      <c r="I31" s="37">
        <v>0</v>
      </c>
      <c r="J31" s="37">
        <v>0</v>
      </c>
      <c r="K31" s="37">
        <v>0</v>
      </c>
      <c r="L31" s="37">
        <v>0</v>
      </c>
      <c r="M31" s="37">
        <v>0</v>
      </c>
      <c r="N31" s="59">
        <f t="shared" si="1"/>
        <v>0</v>
      </c>
      <c r="O31" s="10"/>
    </row>
    <row r="32" spans="1:16" ht="12.75" customHeight="1">
      <c r="A32" s="50" t="s">
        <v>110</v>
      </c>
      <c r="B32" s="37">
        <v>5</v>
      </c>
      <c r="C32" s="37">
        <v>1</v>
      </c>
      <c r="D32" s="37">
        <v>10</v>
      </c>
      <c r="E32" s="37">
        <v>7</v>
      </c>
      <c r="F32" s="37">
        <v>11</v>
      </c>
      <c r="G32" s="37">
        <v>5</v>
      </c>
      <c r="H32" s="37">
        <v>11</v>
      </c>
      <c r="I32" s="37">
        <v>12</v>
      </c>
      <c r="J32" s="37">
        <v>4</v>
      </c>
      <c r="K32" s="37">
        <v>13</v>
      </c>
      <c r="L32" s="37">
        <v>2</v>
      </c>
      <c r="M32" s="37">
        <v>17</v>
      </c>
      <c r="N32" s="59">
        <f t="shared" si="1"/>
        <v>98</v>
      </c>
      <c r="O32" s="10"/>
    </row>
    <row r="33" spans="1:16" ht="12.75" customHeight="1">
      <c r="A33" s="50" t="s">
        <v>379</v>
      </c>
      <c r="B33" s="37">
        <v>5</v>
      </c>
      <c r="C33" s="37">
        <v>1</v>
      </c>
      <c r="D33" s="37">
        <v>10</v>
      </c>
      <c r="E33" s="37">
        <v>7</v>
      </c>
      <c r="F33" s="37">
        <v>11</v>
      </c>
      <c r="G33" s="37">
        <v>5</v>
      </c>
      <c r="H33" s="37">
        <v>14</v>
      </c>
      <c r="I33" s="37">
        <v>12</v>
      </c>
      <c r="J33" s="37">
        <v>4</v>
      </c>
      <c r="K33" s="37">
        <v>13</v>
      </c>
      <c r="L33" s="37">
        <v>2</v>
      </c>
      <c r="M33" s="37">
        <v>17</v>
      </c>
      <c r="N33" s="59">
        <f t="shared" si="1"/>
        <v>101</v>
      </c>
      <c r="O33" s="10"/>
    </row>
    <row r="34" spans="1:16" ht="12.75" customHeight="1">
      <c r="A34" s="50" t="s">
        <v>138</v>
      </c>
      <c r="B34" s="37">
        <v>15</v>
      </c>
      <c r="C34" s="37">
        <v>0</v>
      </c>
      <c r="D34" s="37">
        <v>0</v>
      </c>
      <c r="E34" s="37">
        <v>0</v>
      </c>
      <c r="F34" s="37">
        <v>0</v>
      </c>
      <c r="G34" s="37">
        <v>0</v>
      </c>
      <c r="H34" s="37">
        <v>0</v>
      </c>
      <c r="I34" s="37">
        <v>0</v>
      </c>
      <c r="J34" s="37">
        <v>0</v>
      </c>
      <c r="K34" s="37">
        <v>0</v>
      </c>
      <c r="L34" s="37">
        <v>0</v>
      </c>
      <c r="M34" s="37">
        <v>0</v>
      </c>
      <c r="N34" s="59">
        <f t="shared" si="1"/>
        <v>15</v>
      </c>
      <c r="O34" s="10"/>
    </row>
    <row r="35" spans="1:16" ht="12.75" customHeight="1">
      <c r="A35" s="50" t="s">
        <v>95</v>
      </c>
      <c r="B35" s="37">
        <v>375</v>
      </c>
      <c r="C35" s="37">
        <v>0</v>
      </c>
      <c r="D35" s="37">
        <v>0</v>
      </c>
      <c r="E35" s="37">
        <v>0</v>
      </c>
      <c r="F35" s="37">
        <v>0</v>
      </c>
      <c r="G35" s="37">
        <v>0</v>
      </c>
      <c r="H35" s="37">
        <v>0</v>
      </c>
      <c r="I35" s="37">
        <v>0</v>
      </c>
      <c r="J35" s="37">
        <v>0</v>
      </c>
      <c r="K35" s="37">
        <v>0</v>
      </c>
      <c r="L35" s="37">
        <v>0</v>
      </c>
      <c r="M35" s="37">
        <v>0</v>
      </c>
      <c r="N35" s="59">
        <f t="shared" si="1"/>
        <v>375</v>
      </c>
      <c r="O35" s="10"/>
    </row>
    <row r="36" spans="1:16" ht="12.75" customHeight="1">
      <c r="A36" s="50" t="s">
        <v>345</v>
      </c>
      <c r="B36" s="37">
        <v>0</v>
      </c>
      <c r="C36" s="37">
        <v>0</v>
      </c>
      <c r="D36" s="37">
        <v>0</v>
      </c>
      <c r="E36" s="37">
        <v>0</v>
      </c>
      <c r="F36" s="37">
        <v>0</v>
      </c>
      <c r="G36" s="37">
        <v>0</v>
      </c>
      <c r="H36" s="37">
        <v>0</v>
      </c>
      <c r="I36" s="37">
        <v>0</v>
      </c>
      <c r="J36" s="37">
        <v>0</v>
      </c>
      <c r="K36" s="37">
        <v>0</v>
      </c>
      <c r="L36" s="37">
        <v>0</v>
      </c>
      <c r="M36" s="37">
        <v>0</v>
      </c>
      <c r="N36" s="59">
        <f t="shared" si="1"/>
        <v>0</v>
      </c>
      <c r="O36" s="10"/>
    </row>
    <row r="37" spans="1:16" ht="12.75" customHeight="1">
      <c r="A37" s="50" t="s">
        <v>201</v>
      </c>
      <c r="B37" s="37">
        <v>0</v>
      </c>
      <c r="C37" s="37">
        <v>0</v>
      </c>
      <c r="D37" s="37">
        <v>0</v>
      </c>
      <c r="E37" s="37">
        <v>0</v>
      </c>
      <c r="F37" s="37">
        <v>0</v>
      </c>
      <c r="G37" s="37">
        <v>0</v>
      </c>
      <c r="H37" s="37">
        <v>0</v>
      </c>
      <c r="I37" s="37">
        <v>0</v>
      </c>
      <c r="J37" s="37">
        <v>0</v>
      </c>
      <c r="K37" s="37">
        <v>0</v>
      </c>
      <c r="L37" s="37">
        <v>0</v>
      </c>
      <c r="M37" s="37">
        <v>0</v>
      </c>
      <c r="N37" s="59">
        <f t="shared" si="1"/>
        <v>0</v>
      </c>
      <c r="O37" s="10"/>
    </row>
    <row r="38" spans="1:16" ht="12.75" customHeight="1">
      <c r="A38" s="50" t="s">
        <v>366</v>
      </c>
      <c r="B38" s="37">
        <v>0</v>
      </c>
      <c r="C38" s="37">
        <v>0</v>
      </c>
      <c r="D38" s="37">
        <v>0</v>
      </c>
      <c r="E38" s="37">
        <v>0</v>
      </c>
      <c r="F38" s="37">
        <v>0</v>
      </c>
      <c r="G38" s="37">
        <v>0</v>
      </c>
      <c r="H38" s="37">
        <v>0</v>
      </c>
      <c r="I38" s="37">
        <v>0</v>
      </c>
      <c r="J38" s="37">
        <v>0</v>
      </c>
      <c r="K38" s="37">
        <v>0</v>
      </c>
      <c r="L38" s="37">
        <v>0</v>
      </c>
      <c r="M38" s="37">
        <v>0</v>
      </c>
      <c r="N38" s="59">
        <f t="shared" si="1"/>
        <v>0</v>
      </c>
      <c r="O38" s="10"/>
    </row>
    <row r="39" spans="1:16" ht="12.75" customHeight="1">
      <c r="A39" s="144" t="s">
        <v>385</v>
      </c>
      <c r="B39" s="37">
        <v>0</v>
      </c>
      <c r="C39" s="37">
        <v>0</v>
      </c>
      <c r="D39" s="37">
        <v>0</v>
      </c>
      <c r="E39" s="37">
        <v>0</v>
      </c>
      <c r="F39" s="37">
        <v>0</v>
      </c>
      <c r="G39" s="37">
        <v>0</v>
      </c>
      <c r="H39" s="37">
        <v>0</v>
      </c>
      <c r="I39" s="37">
        <v>0</v>
      </c>
      <c r="J39" s="37">
        <v>0</v>
      </c>
      <c r="K39" s="37">
        <v>0</v>
      </c>
      <c r="L39" s="37">
        <v>0</v>
      </c>
      <c r="M39" s="37">
        <v>0</v>
      </c>
      <c r="N39" s="59">
        <f t="shared" si="1"/>
        <v>0</v>
      </c>
      <c r="O39" s="10"/>
    </row>
    <row r="40" spans="1:16" ht="12.75" customHeight="1">
      <c r="B40" s="41"/>
      <c r="C40" s="41"/>
      <c r="D40" s="41"/>
      <c r="E40" s="41"/>
      <c r="F40" s="41"/>
      <c r="G40" s="41"/>
      <c r="H40" s="41"/>
      <c r="I40" s="41"/>
      <c r="J40" s="41"/>
      <c r="K40" s="41"/>
      <c r="L40" s="41"/>
      <c r="M40" s="41"/>
      <c r="N40" s="41"/>
      <c r="O40" s="2"/>
    </row>
    <row r="41" spans="1:16" ht="12.75" customHeight="1">
      <c r="A41" s="6"/>
      <c r="B41" s="6"/>
      <c r="C41" s="6"/>
      <c r="D41" s="6"/>
      <c r="E41" s="6"/>
      <c r="F41" s="6"/>
      <c r="G41" s="6"/>
      <c r="H41" s="6"/>
      <c r="I41" s="6"/>
      <c r="J41" s="6"/>
      <c r="K41" s="6"/>
      <c r="L41" s="6"/>
      <c r="M41" s="6"/>
      <c r="N41" s="6"/>
      <c r="O41" s="5"/>
      <c r="P41" s="6"/>
    </row>
    <row r="42" spans="1:16" ht="25.5">
      <c r="A42" s="45"/>
      <c r="B42" s="46">
        <v>39630</v>
      </c>
      <c r="C42" s="46">
        <v>39661</v>
      </c>
      <c r="D42" s="46">
        <v>39692</v>
      </c>
      <c r="E42" s="46">
        <v>39722</v>
      </c>
      <c r="F42" s="46">
        <v>39753</v>
      </c>
      <c r="G42" s="46">
        <v>39783</v>
      </c>
      <c r="H42" s="46">
        <v>39814</v>
      </c>
      <c r="I42" s="46">
        <v>39845</v>
      </c>
      <c r="J42" s="46">
        <v>39873</v>
      </c>
      <c r="K42" s="46">
        <v>39904</v>
      </c>
      <c r="L42" s="46">
        <v>39934</v>
      </c>
      <c r="M42" s="46">
        <v>39965</v>
      </c>
      <c r="N42" s="47" t="s">
        <v>354</v>
      </c>
      <c r="O42" s="55" t="s">
        <v>191</v>
      </c>
      <c r="P42" s="55" t="s">
        <v>165</v>
      </c>
    </row>
    <row r="43" spans="1:16" ht="12.75" customHeight="1">
      <c r="A43" s="48" t="s">
        <v>73</v>
      </c>
      <c r="B43" s="57"/>
      <c r="C43" s="57"/>
      <c r="D43" s="57"/>
      <c r="E43" s="57"/>
      <c r="F43" s="57"/>
      <c r="G43" s="57"/>
      <c r="H43" s="57"/>
      <c r="I43" s="57"/>
      <c r="J43" s="57"/>
      <c r="K43" s="57"/>
      <c r="L43" s="57"/>
      <c r="M43" s="57"/>
      <c r="N43" s="57"/>
      <c r="O43" s="40"/>
      <c r="P43" s="41"/>
    </row>
    <row r="44" spans="1:16" ht="12.75" customHeight="1">
      <c r="A44" s="50" t="s">
        <v>118</v>
      </c>
      <c r="B44" s="146">
        <f t="shared" ref="B44:M44" si="2">B26</f>
        <v>108</v>
      </c>
      <c r="C44" s="146">
        <f t="shared" si="2"/>
        <v>37</v>
      </c>
      <c r="D44" s="146">
        <f t="shared" si="2"/>
        <v>188</v>
      </c>
      <c r="E44" s="146">
        <f t="shared" si="2"/>
        <v>154</v>
      </c>
      <c r="F44" s="146">
        <f t="shared" si="2"/>
        <v>79</v>
      </c>
      <c r="G44" s="146">
        <f t="shared" si="2"/>
        <v>50</v>
      </c>
      <c r="H44" s="146">
        <f t="shared" si="2"/>
        <v>41</v>
      </c>
      <c r="I44" s="146">
        <f t="shared" si="2"/>
        <v>108</v>
      </c>
      <c r="J44" s="146">
        <f t="shared" si="2"/>
        <v>58</v>
      </c>
      <c r="K44" s="146">
        <f t="shared" si="2"/>
        <v>100</v>
      </c>
      <c r="L44" s="146">
        <f t="shared" si="2"/>
        <v>68</v>
      </c>
      <c r="M44" s="146">
        <f t="shared" si="2"/>
        <v>59</v>
      </c>
      <c r="N44" s="59">
        <f t="shared" ref="N44:N57" si="3">SUM(B44:M44)</f>
        <v>1050</v>
      </c>
      <c r="O44" s="10"/>
    </row>
    <row r="45" spans="1:16" ht="12.75" customHeight="1">
      <c r="A45" s="141" t="s">
        <v>396</v>
      </c>
      <c r="B45" s="147">
        <f t="shared" ref="B45:M45" si="4">B9+B27</f>
        <v>389</v>
      </c>
      <c r="C45" s="147">
        <f t="shared" si="4"/>
        <v>136</v>
      </c>
      <c r="D45" s="147">
        <f t="shared" si="4"/>
        <v>384</v>
      </c>
      <c r="E45" s="147">
        <f t="shared" si="4"/>
        <v>156</v>
      </c>
      <c r="F45" s="147">
        <f t="shared" si="4"/>
        <v>95</v>
      </c>
      <c r="G45" s="147">
        <f t="shared" si="4"/>
        <v>86</v>
      </c>
      <c r="H45" s="147">
        <f t="shared" si="4"/>
        <v>49</v>
      </c>
      <c r="I45" s="147">
        <f t="shared" si="4"/>
        <v>167</v>
      </c>
      <c r="J45" s="147">
        <f t="shared" si="4"/>
        <v>84</v>
      </c>
      <c r="K45" s="147">
        <f t="shared" si="4"/>
        <v>185</v>
      </c>
      <c r="L45" s="147">
        <f t="shared" si="4"/>
        <v>142</v>
      </c>
      <c r="M45" s="147">
        <f t="shared" si="4"/>
        <v>104</v>
      </c>
      <c r="N45" s="143">
        <f t="shared" si="3"/>
        <v>1977</v>
      </c>
      <c r="O45" s="53">
        <v>11907</v>
      </c>
      <c r="P45" s="81" t="s">
        <v>13</v>
      </c>
    </row>
    <row r="46" spans="1:16" ht="12.75" customHeight="1">
      <c r="A46" s="50" t="s">
        <v>352</v>
      </c>
      <c r="B46" s="146">
        <f t="shared" ref="B46:M46" si="5">B10+B28</f>
        <v>894</v>
      </c>
      <c r="C46" s="146">
        <f t="shared" si="5"/>
        <v>256</v>
      </c>
      <c r="D46" s="146">
        <f t="shared" si="5"/>
        <v>683</v>
      </c>
      <c r="E46" s="146">
        <f t="shared" si="5"/>
        <v>322</v>
      </c>
      <c r="F46" s="146">
        <f t="shared" si="5"/>
        <v>189</v>
      </c>
      <c r="G46" s="146">
        <f t="shared" si="5"/>
        <v>159</v>
      </c>
      <c r="H46" s="146">
        <f t="shared" si="5"/>
        <v>78</v>
      </c>
      <c r="I46" s="146">
        <f t="shared" si="5"/>
        <v>399</v>
      </c>
      <c r="J46" s="146">
        <f t="shared" si="5"/>
        <v>149</v>
      </c>
      <c r="K46" s="146">
        <f t="shared" si="5"/>
        <v>486</v>
      </c>
      <c r="L46" s="146">
        <f t="shared" si="5"/>
        <v>1091</v>
      </c>
      <c r="M46" s="146">
        <f t="shared" si="5"/>
        <v>141</v>
      </c>
      <c r="N46" s="59">
        <f t="shared" si="3"/>
        <v>4847</v>
      </c>
      <c r="O46" s="10"/>
    </row>
    <row r="47" spans="1:16" ht="12.75" customHeight="1">
      <c r="A47" s="50" t="s">
        <v>14</v>
      </c>
      <c r="B47" s="146">
        <f t="shared" ref="B47:M47" si="6">B11+B29</f>
        <v>10356</v>
      </c>
      <c r="C47" s="146">
        <f t="shared" si="6"/>
        <v>2514</v>
      </c>
      <c r="D47" s="146">
        <f t="shared" si="6"/>
        <v>11890</v>
      </c>
      <c r="E47" s="146">
        <f t="shared" si="6"/>
        <v>6161</v>
      </c>
      <c r="F47" s="146">
        <f t="shared" si="6"/>
        <v>3185</v>
      </c>
      <c r="G47" s="146">
        <f t="shared" si="6"/>
        <v>2218</v>
      </c>
      <c r="H47" s="146">
        <f t="shared" si="6"/>
        <v>1242</v>
      </c>
      <c r="I47" s="146">
        <f t="shared" si="6"/>
        <v>8247</v>
      </c>
      <c r="J47" s="146">
        <f t="shared" si="6"/>
        <v>2057</v>
      </c>
      <c r="K47" s="146">
        <f t="shared" si="6"/>
        <v>8712</v>
      </c>
      <c r="L47" s="146">
        <f t="shared" si="6"/>
        <v>23380</v>
      </c>
      <c r="M47" s="146">
        <f t="shared" si="6"/>
        <v>1828</v>
      </c>
      <c r="N47" s="59">
        <f t="shared" si="3"/>
        <v>81790</v>
      </c>
      <c r="O47" s="10"/>
    </row>
    <row r="48" spans="1:16" ht="12.75" customHeight="1">
      <c r="A48" s="50" t="s">
        <v>337</v>
      </c>
      <c r="B48" s="146">
        <f t="shared" ref="B48:M48" si="7">B12+B30</f>
        <v>0</v>
      </c>
      <c r="C48" s="146">
        <f t="shared" si="7"/>
        <v>0</v>
      </c>
      <c r="D48" s="146">
        <f t="shared" si="7"/>
        <v>0</v>
      </c>
      <c r="E48" s="146">
        <f t="shared" si="7"/>
        <v>0</v>
      </c>
      <c r="F48" s="146">
        <f t="shared" si="7"/>
        <v>0</v>
      </c>
      <c r="G48" s="146">
        <f t="shared" si="7"/>
        <v>0</v>
      </c>
      <c r="H48" s="146">
        <f t="shared" si="7"/>
        <v>0</v>
      </c>
      <c r="I48" s="146">
        <f t="shared" si="7"/>
        <v>0</v>
      </c>
      <c r="J48" s="146">
        <f t="shared" si="7"/>
        <v>0</v>
      </c>
      <c r="K48" s="146">
        <f t="shared" si="7"/>
        <v>0</v>
      </c>
      <c r="L48" s="146">
        <f t="shared" si="7"/>
        <v>0</v>
      </c>
      <c r="M48" s="146">
        <f t="shared" si="7"/>
        <v>0</v>
      </c>
      <c r="N48" s="59">
        <f t="shared" si="3"/>
        <v>0</v>
      </c>
      <c r="O48" s="10"/>
    </row>
    <row r="49" spans="1:15" ht="12.75" customHeight="1">
      <c r="A49" s="50" t="s">
        <v>297</v>
      </c>
      <c r="B49" s="146">
        <f t="shared" ref="B49:M49" si="8">B13+B31</f>
        <v>0</v>
      </c>
      <c r="C49" s="146">
        <f t="shared" si="8"/>
        <v>0</v>
      </c>
      <c r="D49" s="146">
        <f t="shared" si="8"/>
        <v>0</v>
      </c>
      <c r="E49" s="146">
        <f t="shared" si="8"/>
        <v>0</v>
      </c>
      <c r="F49" s="146">
        <f t="shared" si="8"/>
        <v>0</v>
      </c>
      <c r="G49" s="146">
        <f t="shared" si="8"/>
        <v>0</v>
      </c>
      <c r="H49" s="146">
        <f t="shared" si="8"/>
        <v>0</v>
      </c>
      <c r="I49" s="146">
        <f t="shared" si="8"/>
        <v>0</v>
      </c>
      <c r="J49" s="146">
        <f t="shared" si="8"/>
        <v>0</v>
      </c>
      <c r="K49" s="146">
        <f t="shared" si="8"/>
        <v>0</v>
      </c>
      <c r="L49" s="146">
        <f t="shared" si="8"/>
        <v>0</v>
      </c>
      <c r="M49" s="146">
        <f t="shared" si="8"/>
        <v>0</v>
      </c>
      <c r="N49" s="59">
        <f t="shared" si="3"/>
        <v>0</v>
      </c>
      <c r="O49" s="10"/>
    </row>
    <row r="50" spans="1:15" ht="12.75" customHeight="1">
      <c r="A50" s="50" t="s">
        <v>110</v>
      </c>
      <c r="B50" s="146">
        <f t="shared" ref="B50:M50" si="9">B14+B32</f>
        <v>890</v>
      </c>
      <c r="C50" s="146">
        <f t="shared" si="9"/>
        <v>167</v>
      </c>
      <c r="D50" s="146">
        <f t="shared" si="9"/>
        <v>360</v>
      </c>
      <c r="E50" s="146">
        <f t="shared" si="9"/>
        <v>254</v>
      </c>
      <c r="F50" s="146">
        <f t="shared" si="9"/>
        <v>110</v>
      </c>
      <c r="G50" s="146">
        <f t="shared" si="9"/>
        <v>130</v>
      </c>
      <c r="H50" s="146">
        <f t="shared" si="9"/>
        <v>40</v>
      </c>
      <c r="I50" s="146">
        <f t="shared" si="9"/>
        <v>161</v>
      </c>
      <c r="J50" s="146">
        <f t="shared" si="9"/>
        <v>149</v>
      </c>
      <c r="K50" s="146">
        <f t="shared" si="9"/>
        <v>169</v>
      </c>
      <c r="L50" s="146">
        <f t="shared" si="9"/>
        <v>181</v>
      </c>
      <c r="M50" s="146">
        <f t="shared" si="9"/>
        <v>167</v>
      </c>
      <c r="N50" s="59">
        <f t="shared" si="3"/>
        <v>2778</v>
      </c>
      <c r="O50" s="10"/>
    </row>
    <row r="51" spans="1:15" ht="12.75" customHeight="1">
      <c r="A51" s="50" t="s">
        <v>379</v>
      </c>
      <c r="B51" s="146">
        <f t="shared" ref="B51:M51" si="10">B15+B33</f>
        <v>900</v>
      </c>
      <c r="C51" s="146">
        <f t="shared" si="10"/>
        <v>191</v>
      </c>
      <c r="D51" s="146">
        <f t="shared" si="10"/>
        <v>1011</v>
      </c>
      <c r="E51" s="146">
        <f t="shared" si="10"/>
        <v>254</v>
      </c>
      <c r="F51" s="146">
        <f t="shared" si="10"/>
        <v>110</v>
      </c>
      <c r="G51" s="146">
        <f t="shared" si="10"/>
        <v>130</v>
      </c>
      <c r="H51" s="146">
        <f t="shared" si="10"/>
        <v>43</v>
      </c>
      <c r="I51" s="146">
        <f t="shared" si="10"/>
        <v>161</v>
      </c>
      <c r="J51" s="146">
        <f t="shared" si="10"/>
        <v>149</v>
      </c>
      <c r="K51" s="146">
        <f t="shared" si="10"/>
        <v>169</v>
      </c>
      <c r="L51" s="146">
        <f t="shared" si="10"/>
        <v>181</v>
      </c>
      <c r="M51" s="146">
        <f t="shared" si="10"/>
        <v>167</v>
      </c>
      <c r="N51" s="59">
        <f t="shared" si="3"/>
        <v>3466</v>
      </c>
      <c r="O51" s="10"/>
    </row>
    <row r="52" spans="1:15" ht="12.75" customHeight="1">
      <c r="A52" s="50" t="s">
        <v>138</v>
      </c>
      <c r="B52" s="146">
        <f t="shared" ref="B52:M52" si="11">B16+B34</f>
        <v>49</v>
      </c>
      <c r="C52" s="146">
        <f t="shared" si="11"/>
        <v>12</v>
      </c>
      <c r="D52" s="146">
        <f t="shared" si="11"/>
        <v>10</v>
      </c>
      <c r="E52" s="146">
        <f t="shared" si="11"/>
        <v>3</v>
      </c>
      <c r="F52" s="146">
        <f t="shared" si="11"/>
        <v>0</v>
      </c>
      <c r="G52" s="146">
        <f t="shared" si="11"/>
        <v>6</v>
      </c>
      <c r="H52" s="146">
        <f t="shared" si="11"/>
        <v>0</v>
      </c>
      <c r="I52" s="146">
        <f t="shared" si="11"/>
        <v>15</v>
      </c>
      <c r="J52" s="146">
        <f t="shared" si="11"/>
        <v>0</v>
      </c>
      <c r="K52" s="146">
        <f t="shared" si="11"/>
        <v>14</v>
      </c>
      <c r="L52" s="146">
        <f t="shared" si="11"/>
        <v>792</v>
      </c>
      <c r="M52" s="146">
        <f t="shared" si="11"/>
        <v>4</v>
      </c>
      <c r="N52" s="59">
        <f t="shared" si="3"/>
        <v>905</v>
      </c>
      <c r="O52" s="10"/>
    </row>
    <row r="53" spans="1:15" ht="12.75" customHeight="1">
      <c r="A53" s="50" t="s">
        <v>95</v>
      </c>
      <c r="B53" s="146">
        <f t="shared" ref="B53:M53" si="12">B17+B35</f>
        <v>1368</v>
      </c>
      <c r="C53" s="146">
        <f t="shared" si="12"/>
        <v>139</v>
      </c>
      <c r="D53" s="146">
        <f t="shared" si="12"/>
        <v>178</v>
      </c>
      <c r="E53" s="146">
        <f t="shared" si="12"/>
        <v>51</v>
      </c>
      <c r="F53" s="146">
        <f t="shared" si="12"/>
        <v>0</v>
      </c>
      <c r="G53" s="146">
        <f t="shared" si="12"/>
        <v>32</v>
      </c>
      <c r="H53" s="146">
        <f t="shared" si="12"/>
        <v>0</v>
      </c>
      <c r="I53" s="146">
        <f t="shared" si="12"/>
        <v>688</v>
      </c>
      <c r="J53" s="146">
        <f t="shared" si="12"/>
        <v>0</v>
      </c>
      <c r="K53" s="146">
        <f t="shared" si="12"/>
        <v>206</v>
      </c>
      <c r="L53" s="146">
        <f t="shared" si="12"/>
        <v>21541</v>
      </c>
      <c r="M53" s="146">
        <f t="shared" si="12"/>
        <v>76</v>
      </c>
      <c r="N53" s="59">
        <f t="shared" si="3"/>
        <v>24279</v>
      </c>
      <c r="O53" s="10"/>
    </row>
    <row r="54" spans="1:15" ht="12.75" customHeight="1">
      <c r="A54" s="50" t="s">
        <v>345</v>
      </c>
      <c r="B54" s="146">
        <f t="shared" ref="B54:M54" si="13">B18+B36</f>
        <v>0</v>
      </c>
      <c r="C54" s="146">
        <f t="shared" si="13"/>
        <v>0</v>
      </c>
      <c r="D54" s="146">
        <f t="shared" si="13"/>
        <v>0</v>
      </c>
      <c r="E54" s="146">
        <f t="shared" si="13"/>
        <v>0</v>
      </c>
      <c r="F54" s="146">
        <f t="shared" si="13"/>
        <v>0</v>
      </c>
      <c r="G54" s="146">
        <f t="shared" si="13"/>
        <v>0</v>
      </c>
      <c r="H54" s="146">
        <f t="shared" si="13"/>
        <v>0</v>
      </c>
      <c r="I54" s="146">
        <f t="shared" si="13"/>
        <v>0</v>
      </c>
      <c r="J54" s="146">
        <f t="shared" si="13"/>
        <v>0</v>
      </c>
      <c r="K54" s="146">
        <f t="shared" si="13"/>
        <v>0</v>
      </c>
      <c r="L54" s="146">
        <f t="shared" si="13"/>
        <v>0</v>
      </c>
      <c r="M54" s="146">
        <f t="shared" si="13"/>
        <v>0</v>
      </c>
      <c r="N54" s="59">
        <f t="shared" si="3"/>
        <v>0</v>
      </c>
      <c r="O54" s="10"/>
    </row>
    <row r="55" spans="1:15" ht="12.75" customHeight="1">
      <c r="A55" s="50" t="s">
        <v>201</v>
      </c>
      <c r="B55" s="146">
        <f t="shared" ref="B55:M55" si="14">B19+B37</f>
        <v>0</v>
      </c>
      <c r="C55" s="146">
        <f t="shared" si="14"/>
        <v>0</v>
      </c>
      <c r="D55" s="146">
        <f t="shared" si="14"/>
        <v>0</v>
      </c>
      <c r="E55" s="146">
        <f t="shared" si="14"/>
        <v>0</v>
      </c>
      <c r="F55" s="146">
        <f t="shared" si="14"/>
        <v>0</v>
      </c>
      <c r="G55" s="146">
        <f t="shared" si="14"/>
        <v>0</v>
      </c>
      <c r="H55" s="146">
        <f t="shared" si="14"/>
        <v>0</v>
      </c>
      <c r="I55" s="146">
        <f t="shared" si="14"/>
        <v>0</v>
      </c>
      <c r="J55" s="146">
        <f t="shared" si="14"/>
        <v>0</v>
      </c>
      <c r="K55" s="146">
        <f t="shared" si="14"/>
        <v>0</v>
      </c>
      <c r="L55" s="146">
        <f t="shared" si="14"/>
        <v>0</v>
      </c>
      <c r="M55" s="146">
        <f t="shared" si="14"/>
        <v>0</v>
      </c>
      <c r="N55" s="59">
        <f t="shared" si="3"/>
        <v>0</v>
      </c>
      <c r="O55" s="10"/>
    </row>
    <row r="56" spans="1:15" ht="12.75" customHeight="1">
      <c r="A56" s="50" t="s">
        <v>366</v>
      </c>
      <c r="B56" s="146">
        <f t="shared" ref="B56:M56" si="15">B20+B38</f>
        <v>0</v>
      </c>
      <c r="C56" s="146">
        <f t="shared" si="15"/>
        <v>0</v>
      </c>
      <c r="D56" s="146">
        <f t="shared" si="15"/>
        <v>0</v>
      </c>
      <c r="E56" s="146">
        <f t="shared" si="15"/>
        <v>0</v>
      </c>
      <c r="F56" s="146">
        <f t="shared" si="15"/>
        <v>0</v>
      </c>
      <c r="G56" s="146">
        <f t="shared" si="15"/>
        <v>0</v>
      </c>
      <c r="H56" s="146">
        <f t="shared" si="15"/>
        <v>0</v>
      </c>
      <c r="I56" s="146">
        <f t="shared" si="15"/>
        <v>0</v>
      </c>
      <c r="J56" s="146">
        <f t="shared" si="15"/>
        <v>0</v>
      </c>
      <c r="K56" s="146">
        <f t="shared" si="15"/>
        <v>0</v>
      </c>
      <c r="L56" s="146">
        <f t="shared" si="15"/>
        <v>0</v>
      </c>
      <c r="M56" s="146">
        <f t="shared" si="15"/>
        <v>0</v>
      </c>
      <c r="N56" s="59">
        <f t="shared" si="3"/>
        <v>0</v>
      </c>
      <c r="O56" s="10"/>
    </row>
    <row r="57" spans="1:15" ht="12.75" customHeight="1">
      <c r="A57" s="144" t="s">
        <v>385</v>
      </c>
      <c r="B57" s="146">
        <f t="shared" ref="B57:M57" si="16">B21+B39</f>
        <v>0</v>
      </c>
      <c r="C57" s="146">
        <f t="shared" si="16"/>
        <v>0</v>
      </c>
      <c r="D57" s="146">
        <f t="shared" si="16"/>
        <v>0</v>
      </c>
      <c r="E57" s="146">
        <f t="shared" si="16"/>
        <v>0</v>
      </c>
      <c r="F57" s="146">
        <f t="shared" si="16"/>
        <v>0</v>
      </c>
      <c r="G57" s="146">
        <f t="shared" si="16"/>
        <v>0</v>
      </c>
      <c r="H57" s="146">
        <f t="shared" si="16"/>
        <v>0</v>
      </c>
      <c r="I57" s="146">
        <f t="shared" si="16"/>
        <v>0</v>
      </c>
      <c r="J57" s="146">
        <f t="shared" si="16"/>
        <v>0</v>
      </c>
      <c r="K57" s="146">
        <f t="shared" si="16"/>
        <v>0</v>
      </c>
      <c r="L57" s="146">
        <f t="shared" si="16"/>
        <v>0</v>
      </c>
      <c r="M57" s="146">
        <f t="shared" si="16"/>
        <v>0</v>
      </c>
      <c r="N57" s="59">
        <f t="shared" si="3"/>
        <v>0</v>
      </c>
      <c r="O57" s="10"/>
    </row>
    <row r="58" spans="1:15" ht="12.75" customHeight="1">
      <c r="B58" s="41"/>
      <c r="C58" s="41"/>
      <c r="D58" s="41"/>
      <c r="E58" s="41"/>
      <c r="F58" s="41"/>
      <c r="G58" s="41"/>
      <c r="H58" s="41"/>
      <c r="I58" s="41"/>
      <c r="J58" s="41"/>
      <c r="K58" s="41"/>
      <c r="L58" s="41"/>
      <c r="M58" s="41"/>
      <c r="N58" s="41"/>
      <c r="O58" s="2"/>
    </row>
  </sheetData>
  <pageMargins left="0.75" right="0.75" top="1" bottom="1" header="0.5" footer="0.5"/>
  <pageSetup paperSize="9" orientation="portrait" horizontalDpi="300" verticalDpi="300"/>
  <headerFooter alignWithMargins="0"/>
</worksheet>
</file>

<file path=xl/worksheets/sheet28.xml><?xml version="1.0" encoding="utf-8"?>
<worksheet xmlns="http://schemas.openxmlformats.org/spreadsheetml/2006/main" xmlns:r="http://schemas.openxmlformats.org/officeDocument/2006/relationships">
  <dimension ref="A1:Q17"/>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6.85546875" customWidth="1"/>
    <col min="2" max="14" width="8.5703125" customWidth="1"/>
    <col min="15" max="15" width="10.85546875" customWidth="1"/>
    <col min="16" max="16" width="8.5703125" customWidth="1"/>
    <col min="17" max="17" width="9.140625" customWidth="1"/>
  </cols>
  <sheetData>
    <row r="1" spans="1:17" ht="20.25">
      <c r="A1" s="1" t="s">
        <v>351</v>
      </c>
      <c r="B1" s="2"/>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2"/>
      <c r="O3" s="2"/>
    </row>
    <row r="4" spans="1:17" ht="12.75" customHeight="1">
      <c r="A4" s="2" t="s">
        <v>15</v>
      </c>
      <c r="B4" s="2" t="s">
        <v>145</v>
      </c>
      <c r="O4" s="2"/>
    </row>
    <row r="5" spans="1:17" ht="12.75" customHeight="1">
      <c r="A5" s="5"/>
      <c r="B5" s="6"/>
      <c r="C5" s="6"/>
      <c r="D5" s="6"/>
      <c r="E5" s="6"/>
      <c r="F5" s="6"/>
      <c r="G5" s="6"/>
      <c r="H5" s="6"/>
      <c r="I5" s="6"/>
      <c r="J5" s="6"/>
      <c r="K5" s="6"/>
      <c r="L5" s="6"/>
      <c r="M5" s="6"/>
      <c r="N5" s="6"/>
      <c r="O5" s="5"/>
      <c r="P5" s="6"/>
    </row>
    <row r="6" spans="1:17" ht="25.5">
      <c r="A6" s="45"/>
      <c r="B6" s="46">
        <v>39630</v>
      </c>
      <c r="C6" s="46">
        <v>39661</v>
      </c>
      <c r="D6" s="46">
        <v>39692</v>
      </c>
      <c r="E6" s="46">
        <v>39722</v>
      </c>
      <c r="F6" s="46">
        <v>39753</v>
      </c>
      <c r="G6" s="46">
        <v>39783</v>
      </c>
      <c r="H6" s="46">
        <v>39814</v>
      </c>
      <c r="I6" s="46">
        <v>39845</v>
      </c>
      <c r="J6" s="46">
        <v>39873</v>
      </c>
      <c r="K6" s="46">
        <v>39904</v>
      </c>
      <c r="L6" s="46">
        <v>39934</v>
      </c>
      <c r="M6" s="46">
        <v>39965</v>
      </c>
      <c r="N6" s="47" t="s">
        <v>354</v>
      </c>
      <c r="O6" s="55" t="s">
        <v>191</v>
      </c>
      <c r="P6" s="55" t="s">
        <v>165</v>
      </c>
      <c r="Q6" s="2"/>
    </row>
    <row r="7" spans="1:17" ht="12.75" customHeight="1">
      <c r="A7" s="148" t="s">
        <v>351</v>
      </c>
      <c r="B7" s="149"/>
      <c r="C7" s="149"/>
      <c r="D7" s="149"/>
      <c r="E7" s="149"/>
      <c r="F7" s="149"/>
      <c r="G7" s="149"/>
      <c r="H7" s="149"/>
      <c r="I7" s="149"/>
      <c r="J7" s="149"/>
      <c r="K7" s="149"/>
      <c r="L7" s="149"/>
      <c r="M7" s="149"/>
      <c r="N7" s="149"/>
      <c r="O7" s="149"/>
      <c r="P7" s="149"/>
    </row>
    <row r="8" spans="1:17" ht="12.75" customHeight="1">
      <c r="A8" s="50" t="s">
        <v>280</v>
      </c>
      <c r="B8" s="150">
        <v>7</v>
      </c>
      <c r="C8" s="150">
        <v>7</v>
      </c>
      <c r="D8" s="150">
        <v>52</v>
      </c>
      <c r="E8" s="151">
        <v>36</v>
      </c>
      <c r="F8" s="151">
        <v>11</v>
      </c>
      <c r="G8" s="151">
        <v>18</v>
      </c>
      <c r="H8" s="151">
        <v>10</v>
      </c>
      <c r="I8" s="37">
        <v>66</v>
      </c>
      <c r="J8" s="37">
        <v>14</v>
      </c>
      <c r="K8" s="37">
        <v>12</v>
      </c>
      <c r="L8" s="37">
        <v>7</v>
      </c>
      <c r="M8" s="37">
        <v>2</v>
      </c>
      <c r="N8" s="52">
        <f t="shared" ref="N8:N14" si="0">SUM(B8:M8)</f>
        <v>242</v>
      </c>
      <c r="O8" s="152">
        <v>13360</v>
      </c>
      <c r="P8" s="39">
        <f t="shared" ref="P8:P14" si="1">O8/N8</f>
        <v>55.206611570247937</v>
      </c>
      <c r="Q8" s="17"/>
    </row>
    <row r="9" spans="1:17" ht="12.75" customHeight="1">
      <c r="A9" s="50" t="s">
        <v>239</v>
      </c>
      <c r="B9" s="150">
        <v>22</v>
      </c>
      <c r="C9" s="150">
        <v>21</v>
      </c>
      <c r="D9" s="150">
        <v>41</v>
      </c>
      <c r="E9" s="76">
        <v>80</v>
      </c>
      <c r="F9" s="76">
        <v>85</v>
      </c>
      <c r="G9" s="76">
        <v>58</v>
      </c>
      <c r="H9" s="76">
        <v>44</v>
      </c>
      <c r="I9" s="151">
        <v>58</v>
      </c>
      <c r="J9" s="151">
        <v>86</v>
      </c>
      <c r="K9" s="151">
        <v>90</v>
      </c>
      <c r="L9" s="151">
        <v>38</v>
      </c>
      <c r="M9" s="151">
        <v>21</v>
      </c>
      <c r="N9" s="52">
        <f t="shared" si="0"/>
        <v>644</v>
      </c>
      <c r="O9" s="152">
        <v>13360</v>
      </c>
      <c r="P9" s="39">
        <f t="shared" si="1"/>
        <v>20.745341614906831</v>
      </c>
      <c r="Q9" s="17"/>
    </row>
    <row r="10" spans="1:17" ht="12.75" customHeight="1">
      <c r="A10" s="141" t="s">
        <v>11</v>
      </c>
      <c r="B10" s="150">
        <v>29</v>
      </c>
      <c r="C10" s="150">
        <v>28</v>
      </c>
      <c r="D10" s="150">
        <v>93</v>
      </c>
      <c r="E10" s="78">
        <v>116</v>
      </c>
      <c r="F10" s="78">
        <v>96</v>
      </c>
      <c r="G10" s="78">
        <v>76</v>
      </c>
      <c r="H10" s="78">
        <v>54</v>
      </c>
      <c r="I10" s="78">
        <v>124</v>
      </c>
      <c r="J10" s="78">
        <v>100</v>
      </c>
      <c r="K10" s="78">
        <v>102</v>
      </c>
      <c r="L10" s="78">
        <v>45</v>
      </c>
      <c r="M10" s="78">
        <v>23</v>
      </c>
      <c r="N10" s="153">
        <f t="shared" si="0"/>
        <v>886</v>
      </c>
      <c r="O10" s="152">
        <v>13360</v>
      </c>
      <c r="P10" s="154">
        <f t="shared" si="1"/>
        <v>15.079006772009029</v>
      </c>
      <c r="Q10" s="17"/>
    </row>
    <row r="11" spans="1:17" ht="12.75" customHeight="1">
      <c r="A11" s="141" t="s">
        <v>149</v>
      </c>
      <c r="B11" s="150">
        <v>194</v>
      </c>
      <c r="C11" s="150">
        <v>201</v>
      </c>
      <c r="D11" s="150">
        <v>384</v>
      </c>
      <c r="E11" s="78">
        <v>454</v>
      </c>
      <c r="F11" s="78">
        <v>352</v>
      </c>
      <c r="G11" s="78">
        <v>270</v>
      </c>
      <c r="H11" s="78">
        <v>234</v>
      </c>
      <c r="I11" s="78">
        <v>516</v>
      </c>
      <c r="J11" s="78">
        <v>427</v>
      </c>
      <c r="K11" s="78">
        <v>473</v>
      </c>
      <c r="L11" s="78">
        <v>179</v>
      </c>
      <c r="M11" s="78">
        <v>201</v>
      </c>
      <c r="N11" s="153">
        <f t="shared" si="0"/>
        <v>3885</v>
      </c>
      <c r="O11" s="152">
        <v>13360</v>
      </c>
      <c r="P11" s="154">
        <f t="shared" si="1"/>
        <v>3.438867438867439</v>
      </c>
      <c r="Q11" s="17"/>
    </row>
    <row r="12" spans="1:17" ht="12.75" customHeight="1">
      <c r="A12" s="50" t="s">
        <v>342</v>
      </c>
      <c r="B12" s="155">
        <v>6.69</v>
      </c>
      <c r="C12" s="155">
        <v>7.18</v>
      </c>
      <c r="D12" s="155">
        <v>4.13</v>
      </c>
      <c r="E12" s="156">
        <v>3.91</v>
      </c>
      <c r="F12" s="156">
        <v>3.67</v>
      </c>
      <c r="G12" s="156">
        <v>3.55</v>
      </c>
      <c r="H12" s="156">
        <v>4.33</v>
      </c>
      <c r="I12" s="156">
        <v>4.16</v>
      </c>
      <c r="J12" s="156">
        <v>4.2699999999999996</v>
      </c>
      <c r="K12" s="156">
        <v>4.6399999999999997</v>
      </c>
      <c r="L12" s="156">
        <v>3.98</v>
      </c>
      <c r="M12" s="156">
        <v>8.74</v>
      </c>
      <c r="N12" s="157">
        <f t="shared" si="0"/>
        <v>59.25</v>
      </c>
      <c r="O12" s="152">
        <v>13360</v>
      </c>
      <c r="P12" s="39">
        <f t="shared" si="1"/>
        <v>225.48523206751054</v>
      </c>
      <c r="Q12" s="17"/>
    </row>
    <row r="13" spans="1:17" ht="12.75" customHeight="1">
      <c r="A13" s="141" t="s">
        <v>176</v>
      </c>
      <c r="B13" s="150">
        <v>592</v>
      </c>
      <c r="C13" s="150">
        <v>4526</v>
      </c>
      <c r="D13" s="150">
        <v>1182</v>
      </c>
      <c r="E13" s="76">
        <v>1856</v>
      </c>
      <c r="F13" s="76">
        <v>1134</v>
      </c>
      <c r="G13" s="76">
        <v>2369</v>
      </c>
      <c r="H13" s="76">
        <v>3348</v>
      </c>
      <c r="I13" s="76">
        <v>2898</v>
      </c>
      <c r="J13" s="76">
        <v>1106</v>
      </c>
      <c r="K13" s="76">
        <v>1448</v>
      </c>
      <c r="L13" s="76">
        <v>1908</v>
      </c>
      <c r="M13" s="76">
        <v>629</v>
      </c>
      <c r="N13" s="153">
        <f t="shared" si="0"/>
        <v>22996</v>
      </c>
      <c r="O13" s="152">
        <v>13360</v>
      </c>
      <c r="P13" s="154">
        <f t="shared" si="1"/>
        <v>0.58097060358323183</v>
      </c>
      <c r="Q13" s="17"/>
    </row>
    <row r="14" spans="1:17" ht="12.75" customHeight="1">
      <c r="A14" s="50" t="s">
        <v>98</v>
      </c>
      <c r="B14" s="155">
        <v>20.41</v>
      </c>
      <c r="C14" s="155">
        <v>161.63999999999999</v>
      </c>
      <c r="D14" s="155">
        <v>12.71</v>
      </c>
      <c r="E14" s="156">
        <v>16</v>
      </c>
      <c r="F14" s="156">
        <v>11.81</v>
      </c>
      <c r="G14" s="156">
        <v>31.17</v>
      </c>
      <c r="H14" s="156">
        <v>62</v>
      </c>
      <c r="I14" s="156">
        <v>23.37</v>
      </c>
      <c r="J14" s="156">
        <v>11.06</v>
      </c>
      <c r="K14" s="156">
        <v>14.2</v>
      </c>
      <c r="L14" s="156">
        <v>42.4</v>
      </c>
      <c r="M14" s="156">
        <v>27.35</v>
      </c>
      <c r="N14" s="157">
        <f t="shared" si="0"/>
        <v>434.12</v>
      </c>
      <c r="O14" s="152">
        <v>13360</v>
      </c>
      <c r="P14" s="39">
        <f t="shared" si="1"/>
        <v>30.774900949046348</v>
      </c>
      <c r="Q14" s="17"/>
    </row>
    <row r="15" spans="1:17" ht="12.75" customHeight="1">
      <c r="A15" s="2"/>
      <c r="B15" s="41"/>
      <c r="C15" s="41"/>
      <c r="D15" s="41"/>
      <c r="E15" s="41"/>
      <c r="F15" s="41"/>
      <c r="G15" s="41"/>
      <c r="H15" s="41"/>
      <c r="I15" s="41"/>
      <c r="J15" s="41"/>
      <c r="K15" s="41"/>
      <c r="L15" s="41"/>
      <c r="M15" s="41"/>
      <c r="N15" s="41"/>
      <c r="O15" s="40"/>
      <c r="P15" s="41"/>
    </row>
    <row r="16" spans="1:17" ht="12.75" customHeight="1">
      <c r="A16" s="158"/>
      <c r="B16" s="2"/>
      <c r="C16" s="2"/>
      <c r="D16" s="2"/>
      <c r="E16" s="2"/>
      <c r="F16" s="2"/>
      <c r="G16" s="2"/>
      <c r="H16" s="2"/>
      <c r="I16" s="2"/>
      <c r="J16" s="2"/>
      <c r="K16" s="2"/>
      <c r="L16" s="2"/>
      <c r="M16" s="2"/>
      <c r="N16" s="2"/>
      <c r="O16" s="2"/>
      <c r="P16" s="2"/>
      <c r="Q16" s="2"/>
    </row>
    <row r="17" spans="1:15" ht="12.75" customHeight="1">
      <c r="A17" s="168" t="s">
        <v>235</v>
      </c>
      <c r="B17" s="170"/>
      <c r="C17" s="170"/>
      <c r="D17" s="170"/>
      <c r="E17" s="170"/>
      <c r="F17" s="170"/>
      <c r="O17" s="2"/>
    </row>
  </sheetData>
  <mergeCells count="1">
    <mergeCell ref="A17:F17"/>
  </mergeCells>
  <pageMargins left="0.75" right="0.75" top="1" bottom="1" header="0.5" footer="0.5"/>
  <pageSetup paperSize="9"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dimension ref="A1:Q31"/>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4.85546875" customWidth="1"/>
    <col min="2" max="2" width="9.7109375" customWidth="1"/>
    <col min="3" max="14" width="8.5703125" customWidth="1"/>
    <col min="15" max="15" width="10.85546875" customWidth="1"/>
    <col min="16" max="16" width="8.5703125" customWidth="1"/>
    <col min="17" max="17" width="9.140625" customWidth="1"/>
  </cols>
  <sheetData>
    <row r="1" spans="1:17" ht="20.25">
      <c r="A1" s="167" t="s">
        <v>1</v>
      </c>
      <c r="B1" s="168"/>
      <c r="C1" s="168"/>
      <c r="D1" s="168"/>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2"/>
      <c r="B3" s="2"/>
      <c r="C3" s="2"/>
      <c r="O3" s="2"/>
    </row>
    <row r="4" spans="1:17" ht="12.75" customHeight="1">
      <c r="A4" s="2" t="s">
        <v>15</v>
      </c>
      <c r="B4" s="2" t="s">
        <v>145</v>
      </c>
      <c r="C4" s="2"/>
      <c r="O4" s="2"/>
    </row>
    <row r="5" spans="1:17" ht="12.75" customHeight="1">
      <c r="A5" s="5"/>
      <c r="B5" s="5"/>
      <c r="C5" s="5"/>
      <c r="D5" s="6"/>
      <c r="E5" s="6"/>
      <c r="F5" s="6"/>
      <c r="G5" s="6"/>
      <c r="H5" s="6"/>
      <c r="I5" s="6"/>
      <c r="J5" s="6"/>
      <c r="K5" s="6"/>
      <c r="L5" s="6"/>
      <c r="M5" s="6"/>
      <c r="N5" s="6"/>
      <c r="O5" s="5"/>
      <c r="P5" s="6"/>
    </row>
    <row r="6" spans="1:17" ht="25.5">
      <c r="A6" s="45"/>
      <c r="B6" s="46">
        <v>39630</v>
      </c>
      <c r="C6" s="46">
        <v>39661</v>
      </c>
      <c r="D6" s="46">
        <v>39692</v>
      </c>
      <c r="E6" s="46">
        <v>39722</v>
      </c>
      <c r="F6" s="46">
        <v>39753</v>
      </c>
      <c r="G6" s="46">
        <v>39783</v>
      </c>
      <c r="H6" s="46">
        <v>39814</v>
      </c>
      <c r="I6" s="46">
        <v>39845</v>
      </c>
      <c r="J6" s="46">
        <v>39873</v>
      </c>
      <c r="K6" s="46">
        <v>39904</v>
      </c>
      <c r="L6" s="46">
        <v>39934</v>
      </c>
      <c r="M6" s="46">
        <v>39965</v>
      </c>
      <c r="N6" s="47" t="s">
        <v>354</v>
      </c>
      <c r="O6" s="55" t="s">
        <v>191</v>
      </c>
      <c r="P6" s="55" t="s">
        <v>165</v>
      </c>
    </row>
    <row r="7" spans="1:17" ht="12.75" customHeight="1">
      <c r="A7" s="174" t="s">
        <v>249</v>
      </c>
      <c r="B7" s="187"/>
      <c r="C7" s="106"/>
      <c r="D7" s="106"/>
      <c r="E7" s="106"/>
      <c r="F7" s="106"/>
      <c r="G7" s="106"/>
      <c r="H7" s="106"/>
      <c r="I7" s="106"/>
      <c r="J7" s="106"/>
      <c r="K7" s="106"/>
      <c r="L7" s="106"/>
      <c r="M7" s="106"/>
      <c r="N7" s="106"/>
      <c r="O7" s="41"/>
      <c r="P7" s="41"/>
    </row>
    <row r="8" spans="1:17">
      <c r="A8" s="50" t="s">
        <v>260</v>
      </c>
      <c r="B8" s="100" t="s">
        <v>72</v>
      </c>
      <c r="C8" s="78" t="s">
        <v>72</v>
      </c>
      <c r="D8" s="78" t="s">
        <v>72</v>
      </c>
      <c r="E8" s="78" t="s">
        <v>72</v>
      </c>
      <c r="F8" s="78" t="s">
        <v>72</v>
      </c>
      <c r="G8" s="78" t="s">
        <v>72</v>
      </c>
      <c r="H8" s="78">
        <v>101</v>
      </c>
      <c r="I8" s="78">
        <v>102</v>
      </c>
      <c r="J8" s="78">
        <v>129</v>
      </c>
      <c r="K8" s="78">
        <v>92</v>
      </c>
      <c r="L8" s="78">
        <v>0</v>
      </c>
      <c r="M8" s="78">
        <v>0</v>
      </c>
      <c r="N8" s="52">
        <f>SUM(B8:M8)</f>
        <v>424</v>
      </c>
      <c r="O8" s="53"/>
      <c r="P8" s="54"/>
    </row>
    <row r="9" spans="1:17">
      <c r="A9" s="50" t="s">
        <v>202</v>
      </c>
      <c r="B9" s="78" t="s">
        <v>72</v>
      </c>
      <c r="C9" s="78" t="s">
        <v>72</v>
      </c>
      <c r="D9" s="78" t="s">
        <v>72</v>
      </c>
      <c r="E9" s="78" t="s">
        <v>72</v>
      </c>
      <c r="F9" s="78" t="s">
        <v>72</v>
      </c>
      <c r="G9" s="78" t="s">
        <v>72</v>
      </c>
      <c r="H9" s="78" t="s">
        <v>72</v>
      </c>
      <c r="I9" s="78" t="s">
        <v>72</v>
      </c>
      <c r="J9" s="78" t="s">
        <v>72</v>
      </c>
      <c r="K9" s="78" t="s">
        <v>72</v>
      </c>
      <c r="L9" s="78" t="s">
        <v>72</v>
      </c>
      <c r="M9" s="78" t="s">
        <v>72</v>
      </c>
      <c r="N9" s="159" t="s">
        <v>72</v>
      </c>
      <c r="O9" s="53" t="s">
        <v>229</v>
      </c>
      <c r="P9" s="54" t="s">
        <v>229</v>
      </c>
    </row>
    <row r="10" spans="1:17">
      <c r="A10" s="50" t="s">
        <v>226</v>
      </c>
      <c r="B10" s="78" t="s">
        <v>72</v>
      </c>
      <c r="C10" s="78" t="s">
        <v>72</v>
      </c>
      <c r="D10" s="78" t="s">
        <v>72</v>
      </c>
      <c r="E10" s="78" t="s">
        <v>72</v>
      </c>
      <c r="F10" s="78" t="s">
        <v>72</v>
      </c>
      <c r="G10" s="78" t="s">
        <v>72</v>
      </c>
      <c r="H10" s="78">
        <v>37</v>
      </c>
      <c r="I10" s="78">
        <v>17</v>
      </c>
      <c r="J10" s="78">
        <v>29</v>
      </c>
      <c r="K10" s="78">
        <v>37</v>
      </c>
      <c r="L10" s="78">
        <v>0</v>
      </c>
      <c r="M10" s="78">
        <v>0</v>
      </c>
      <c r="N10" s="52">
        <f>SUM(B10:M10)</f>
        <v>120</v>
      </c>
      <c r="O10" s="53"/>
      <c r="P10" s="54"/>
    </row>
    <row r="11" spans="1:17" ht="12.75" customHeight="1">
      <c r="A11" s="50" t="s">
        <v>271</v>
      </c>
      <c r="B11" s="30">
        <v>1</v>
      </c>
      <c r="C11" s="30">
        <v>1</v>
      </c>
      <c r="D11" s="30">
        <v>1</v>
      </c>
      <c r="E11" s="30">
        <v>1</v>
      </c>
      <c r="F11" s="30">
        <v>1</v>
      </c>
      <c r="G11" s="30">
        <v>1</v>
      </c>
      <c r="H11" s="30">
        <v>1</v>
      </c>
      <c r="I11" s="30">
        <v>1</v>
      </c>
      <c r="J11" s="30">
        <v>1</v>
      </c>
      <c r="K11" s="30">
        <v>1</v>
      </c>
      <c r="L11" s="30">
        <v>1</v>
      </c>
      <c r="M11" s="30">
        <v>1</v>
      </c>
      <c r="N11" s="160"/>
      <c r="O11" s="53"/>
      <c r="P11" s="54"/>
    </row>
    <row r="12" spans="1:17" ht="12.75" customHeight="1">
      <c r="A12" s="2"/>
      <c r="B12" s="40"/>
      <c r="C12" s="40"/>
      <c r="D12" s="41"/>
      <c r="E12" s="41"/>
      <c r="F12" s="41"/>
      <c r="G12" s="41"/>
      <c r="H12" s="41"/>
      <c r="I12" s="41"/>
      <c r="J12" s="41"/>
      <c r="K12" s="41"/>
      <c r="L12" s="41"/>
      <c r="M12" s="41"/>
      <c r="N12" s="41"/>
      <c r="O12" s="2"/>
    </row>
    <row r="13" spans="1:17" ht="12.75" customHeight="1">
      <c r="A13" s="5"/>
      <c r="B13" s="5"/>
      <c r="C13" s="5"/>
      <c r="D13" s="6"/>
      <c r="E13" s="6"/>
      <c r="F13" s="6"/>
      <c r="G13" s="6"/>
      <c r="H13" s="6"/>
      <c r="I13" s="6"/>
      <c r="J13" s="6"/>
      <c r="K13" s="6"/>
      <c r="L13" s="6"/>
      <c r="M13" s="6"/>
      <c r="N13" s="6"/>
      <c r="O13" s="5"/>
      <c r="P13" s="6"/>
    </row>
    <row r="14" spans="1:17" ht="25.5">
      <c r="A14" s="45"/>
      <c r="B14" s="46">
        <v>39630</v>
      </c>
      <c r="C14" s="46">
        <v>39661</v>
      </c>
      <c r="D14" s="46">
        <v>39692</v>
      </c>
      <c r="E14" s="46">
        <v>39722</v>
      </c>
      <c r="F14" s="46">
        <v>39753</v>
      </c>
      <c r="G14" s="46">
        <v>39783</v>
      </c>
      <c r="H14" s="46">
        <v>39814</v>
      </c>
      <c r="I14" s="46">
        <v>39845</v>
      </c>
      <c r="J14" s="46">
        <v>39873</v>
      </c>
      <c r="K14" s="46">
        <v>39904</v>
      </c>
      <c r="L14" s="46">
        <v>39934</v>
      </c>
      <c r="M14" s="46">
        <v>39965</v>
      </c>
      <c r="N14" s="47" t="s">
        <v>354</v>
      </c>
      <c r="O14" s="55" t="s">
        <v>191</v>
      </c>
      <c r="P14" s="55" t="s">
        <v>165</v>
      </c>
    </row>
    <row r="15" spans="1:17" ht="12.75" customHeight="1">
      <c r="A15" s="174" t="s">
        <v>376</v>
      </c>
      <c r="B15" s="187"/>
      <c r="C15" s="106"/>
      <c r="D15" s="106"/>
      <c r="E15" s="106"/>
      <c r="F15" s="106"/>
      <c r="G15" s="106"/>
      <c r="H15" s="106"/>
      <c r="I15" s="106"/>
      <c r="J15" s="106"/>
      <c r="K15" s="106"/>
      <c r="L15" s="106"/>
      <c r="M15" s="106"/>
      <c r="N15" s="106"/>
      <c r="O15" s="41"/>
      <c r="P15" s="41"/>
    </row>
    <row r="16" spans="1:17">
      <c r="A16" s="50" t="s">
        <v>260</v>
      </c>
      <c r="B16" s="100" t="s">
        <v>72</v>
      </c>
      <c r="C16" s="78" t="s">
        <v>72</v>
      </c>
      <c r="D16" s="78" t="s">
        <v>72</v>
      </c>
      <c r="E16" s="78" t="s">
        <v>72</v>
      </c>
      <c r="F16" s="78" t="s">
        <v>72</v>
      </c>
      <c r="G16" s="78" t="s">
        <v>72</v>
      </c>
      <c r="H16" s="78">
        <v>0</v>
      </c>
      <c r="I16" s="78">
        <v>90</v>
      </c>
      <c r="J16" s="78">
        <v>187</v>
      </c>
      <c r="K16" s="78">
        <v>166</v>
      </c>
      <c r="L16" s="78">
        <v>258</v>
      </c>
      <c r="M16" s="78">
        <v>305</v>
      </c>
      <c r="N16" s="52">
        <f>SUM(B16:M16)</f>
        <v>1006</v>
      </c>
      <c r="O16" s="53"/>
      <c r="P16" s="54"/>
    </row>
    <row r="17" spans="1:16">
      <c r="A17" s="50" t="s">
        <v>202</v>
      </c>
      <c r="B17" s="78" t="s">
        <v>72</v>
      </c>
      <c r="C17" s="78" t="s">
        <v>72</v>
      </c>
      <c r="D17" s="78" t="s">
        <v>72</v>
      </c>
      <c r="E17" s="78" t="s">
        <v>72</v>
      </c>
      <c r="F17" s="78" t="s">
        <v>72</v>
      </c>
      <c r="G17" s="78" t="s">
        <v>72</v>
      </c>
      <c r="H17" s="78" t="s">
        <v>72</v>
      </c>
      <c r="I17" s="78" t="s">
        <v>72</v>
      </c>
      <c r="J17" s="78" t="s">
        <v>72</v>
      </c>
      <c r="K17" s="78" t="s">
        <v>72</v>
      </c>
      <c r="L17" s="78" t="s">
        <v>72</v>
      </c>
      <c r="M17" s="78" t="s">
        <v>72</v>
      </c>
      <c r="N17" s="52" t="s">
        <v>72</v>
      </c>
      <c r="O17" s="53">
        <v>31525</v>
      </c>
      <c r="P17" s="54" t="s">
        <v>13</v>
      </c>
    </row>
    <row r="18" spans="1:16">
      <c r="A18" s="50" t="s">
        <v>226</v>
      </c>
      <c r="B18" s="78" t="s">
        <v>72</v>
      </c>
      <c r="C18" s="78" t="s">
        <v>72</v>
      </c>
      <c r="D18" s="78" t="s">
        <v>72</v>
      </c>
      <c r="E18" s="78" t="s">
        <v>72</v>
      </c>
      <c r="F18" s="78" t="s">
        <v>72</v>
      </c>
      <c r="G18" s="78" t="s">
        <v>72</v>
      </c>
      <c r="H18" s="78">
        <v>0</v>
      </c>
      <c r="I18" s="78">
        <v>10</v>
      </c>
      <c r="J18" s="78">
        <v>34</v>
      </c>
      <c r="K18" s="78">
        <v>30</v>
      </c>
      <c r="L18" s="78">
        <v>182</v>
      </c>
      <c r="M18" s="78">
        <v>203</v>
      </c>
      <c r="N18" s="52">
        <f>SUM(B18:M18)</f>
        <v>459</v>
      </c>
      <c r="O18" s="53"/>
      <c r="P18" s="54"/>
    </row>
    <row r="19" spans="1:16" ht="12.75" customHeight="1">
      <c r="A19" s="50" t="s">
        <v>271</v>
      </c>
      <c r="B19" s="30">
        <v>1</v>
      </c>
      <c r="C19" s="30">
        <v>1</v>
      </c>
      <c r="D19" s="30">
        <v>1</v>
      </c>
      <c r="E19" s="30">
        <v>1</v>
      </c>
      <c r="F19" s="30">
        <v>1</v>
      </c>
      <c r="G19" s="30">
        <v>1</v>
      </c>
      <c r="H19" s="30">
        <v>1</v>
      </c>
      <c r="I19" s="30">
        <v>1</v>
      </c>
      <c r="J19" s="30">
        <v>1</v>
      </c>
      <c r="K19" s="30">
        <v>1</v>
      </c>
      <c r="L19" s="30">
        <v>1</v>
      </c>
      <c r="M19" s="30">
        <v>1</v>
      </c>
      <c r="N19" s="160"/>
      <c r="O19" s="53"/>
      <c r="P19" s="54"/>
    </row>
    <row r="20" spans="1:16" ht="12.75" customHeight="1">
      <c r="A20" s="2"/>
      <c r="B20" s="40"/>
      <c r="C20" s="40"/>
      <c r="D20" s="41"/>
      <c r="E20" s="41"/>
      <c r="F20" s="41"/>
      <c r="G20" s="41"/>
      <c r="H20" s="41"/>
      <c r="I20" s="41"/>
      <c r="J20" s="41"/>
      <c r="K20" s="41"/>
      <c r="L20" s="41"/>
      <c r="M20" s="41"/>
      <c r="N20" s="41"/>
      <c r="O20" s="2"/>
    </row>
    <row r="21" spans="1:16" ht="12.75" customHeight="1">
      <c r="A21" s="5"/>
      <c r="B21" s="5"/>
      <c r="C21" s="5"/>
      <c r="D21" s="6"/>
      <c r="E21" s="6"/>
      <c r="F21" s="6"/>
      <c r="G21" s="6"/>
      <c r="H21" s="6"/>
      <c r="I21" s="6"/>
      <c r="J21" s="6"/>
      <c r="K21" s="6"/>
      <c r="L21" s="6"/>
      <c r="M21" s="6"/>
      <c r="N21" s="6"/>
      <c r="O21" s="5"/>
      <c r="P21" s="6"/>
    </row>
    <row r="22" spans="1:16" ht="25.5">
      <c r="A22" s="45"/>
      <c r="B22" s="46">
        <v>39630</v>
      </c>
      <c r="C22" s="46">
        <v>39661</v>
      </c>
      <c r="D22" s="46">
        <v>39692</v>
      </c>
      <c r="E22" s="46">
        <v>39722</v>
      </c>
      <c r="F22" s="46">
        <v>39753</v>
      </c>
      <c r="G22" s="46">
        <v>39783</v>
      </c>
      <c r="H22" s="46">
        <v>39814</v>
      </c>
      <c r="I22" s="46">
        <v>39845</v>
      </c>
      <c r="J22" s="46">
        <v>39873</v>
      </c>
      <c r="K22" s="46">
        <v>39904</v>
      </c>
      <c r="L22" s="46">
        <v>39934</v>
      </c>
      <c r="M22" s="46">
        <v>39965</v>
      </c>
      <c r="N22" s="47" t="s">
        <v>354</v>
      </c>
      <c r="O22" s="55" t="s">
        <v>191</v>
      </c>
      <c r="P22" s="55" t="s">
        <v>165</v>
      </c>
    </row>
    <row r="23" spans="1:16" ht="12.75" customHeight="1">
      <c r="A23" s="174" t="s">
        <v>96</v>
      </c>
      <c r="B23" s="187"/>
      <c r="C23" s="106"/>
      <c r="D23" s="106"/>
      <c r="E23" s="106"/>
      <c r="F23" s="106"/>
      <c r="G23" s="106"/>
      <c r="H23" s="106"/>
      <c r="I23" s="106"/>
      <c r="J23" s="106"/>
      <c r="K23" s="106"/>
      <c r="L23" s="106"/>
      <c r="M23" s="106"/>
      <c r="N23" s="106"/>
      <c r="O23" s="41"/>
      <c r="P23" s="41"/>
    </row>
    <row r="24" spans="1:16">
      <c r="A24" s="50" t="s">
        <v>260</v>
      </c>
      <c r="B24" s="100" t="s">
        <v>72</v>
      </c>
      <c r="C24" s="78" t="s">
        <v>72</v>
      </c>
      <c r="D24" s="78" t="s">
        <v>72</v>
      </c>
      <c r="E24" s="78" t="s">
        <v>72</v>
      </c>
      <c r="F24" s="78" t="s">
        <v>72</v>
      </c>
      <c r="G24" s="78" t="s">
        <v>72</v>
      </c>
      <c r="H24" s="78">
        <f t="shared" ref="H24:M24" si="0">H8+H16</f>
        <v>101</v>
      </c>
      <c r="I24" s="78">
        <f t="shared" si="0"/>
        <v>192</v>
      </c>
      <c r="J24" s="78">
        <f t="shared" si="0"/>
        <v>316</v>
      </c>
      <c r="K24" s="78">
        <f t="shared" si="0"/>
        <v>258</v>
      </c>
      <c r="L24" s="78">
        <f t="shared" si="0"/>
        <v>258</v>
      </c>
      <c r="M24" s="78">
        <f t="shared" si="0"/>
        <v>305</v>
      </c>
      <c r="N24" s="52">
        <f>SUM(B24:M24)</f>
        <v>1430</v>
      </c>
      <c r="O24" s="53"/>
      <c r="P24" s="54"/>
    </row>
    <row r="25" spans="1:16">
      <c r="A25" s="50" t="s">
        <v>202</v>
      </c>
      <c r="B25" s="78" t="s">
        <v>72</v>
      </c>
      <c r="C25" s="78" t="s">
        <v>72</v>
      </c>
      <c r="D25" s="78" t="s">
        <v>72</v>
      </c>
      <c r="E25" s="78" t="s">
        <v>72</v>
      </c>
      <c r="F25" s="78" t="s">
        <v>72</v>
      </c>
      <c r="G25" s="78" t="s">
        <v>72</v>
      </c>
      <c r="H25" s="78">
        <v>309</v>
      </c>
      <c r="I25" s="78">
        <v>499</v>
      </c>
      <c r="J25" s="78">
        <v>846</v>
      </c>
      <c r="K25" s="78">
        <v>765</v>
      </c>
      <c r="L25" s="78">
        <v>934</v>
      </c>
      <c r="M25" s="78">
        <v>910</v>
      </c>
      <c r="N25" s="52">
        <f>SUM(B25:M25)</f>
        <v>4263</v>
      </c>
      <c r="O25" s="53">
        <v>31525</v>
      </c>
      <c r="P25" s="54" t="s">
        <v>13</v>
      </c>
    </row>
    <row r="26" spans="1:16">
      <c r="A26" s="50" t="s">
        <v>226</v>
      </c>
      <c r="B26" s="78" t="s">
        <v>72</v>
      </c>
      <c r="C26" s="78" t="s">
        <v>72</v>
      </c>
      <c r="D26" s="78" t="s">
        <v>72</v>
      </c>
      <c r="E26" s="78" t="s">
        <v>72</v>
      </c>
      <c r="F26" s="78" t="s">
        <v>72</v>
      </c>
      <c r="G26" s="78" t="s">
        <v>72</v>
      </c>
      <c r="H26" s="78">
        <f t="shared" ref="H26:M26" si="1">H10+H18</f>
        <v>37</v>
      </c>
      <c r="I26" s="78">
        <f t="shared" si="1"/>
        <v>27</v>
      </c>
      <c r="J26" s="78">
        <f t="shared" si="1"/>
        <v>63</v>
      </c>
      <c r="K26" s="78">
        <f t="shared" si="1"/>
        <v>67</v>
      </c>
      <c r="L26" s="78">
        <f t="shared" si="1"/>
        <v>182</v>
      </c>
      <c r="M26" s="78">
        <f t="shared" si="1"/>
        <v>203</v>
      </c>
      <c r="N26" s="52">
        <f>SUM(B26:M26)</f>
        <v>579</v>
      </c>
      <c r="O26" s="53"/>
      <c r="P26" s="54"/>
    </row>
    <row r="27" spans="1:16" ht="12.75" customHeight="1">
      <c r="A27" s="50" t="s">
        <v>271</v>
      </c>
      <c r="B27" s="30">
        <v>1</v>
      </c>
      <c r="C27" s="30">
        <v>1</v>
      </c>
      <c r="D27" s="30">
        <v>1</v>
      </c>
      <c r="E27" s="30">
        <v>1</v>
      </c>
      <c r="F27" s="30">
        <v>1</v>
      </c>
      <c r="G27" s="30">
        <v>1</v>
      </c>
      <c r="H27" s="30">
        <v>1</v>
      </c>
      <c r="I27" s="30">
        <v>1</v>
      </c>
      <c r="J27" s="30">
        <v>1</v>
      </c>
      <c r="K27" s="30">
        <v>1</v>
      </c>
      <c r="L27" s="30">
        <v>1</v>
      </c>
      <c r="M27" s="30">
        <v>1</v>
      </c>
      <c r="N27" s="160"/>
      <c r="O27" s="53"/>
      <c r="P27" s="54"/>
    </row>
    <row r="28" spans="1:16" ht="12.75" customHeight="1">
      <c r="A28" s="2"/>
      <c r="B28" s="40"/>
      <c r="C28" s="40"/>
      <c r="D28" s="41"/>
      <c r="E28" s="41"/>
      <c r="F28" s="41"/>
      <c r="G28" s="41"/>
      <c r="H28" s="41"/>
      <c r="I28" s="41"/>
      <c r="J28" s="41"/>
      <c r="K28" s="41"/>
      <c r="L28" s="41"/>
      <c r="M28" s="41"/>
      <c r="N28" s="41"/>
      <c r="O28" s="2"/>
    </row>
    <row r="29" spans="1:16" ht="12.75" customHeight="1">
      <c r="A29" s="2"/>
      <c r="B29" s="2"/>
      <c r="C29" s="2"/>
      <c r="O29" s="2"/>
    </row>
    <row r="30" spans="1:16" ht="12.75" customHeight="1">
      <c r="A30" s="168" t="s">
        <v>156</v>
      </c>
      <c r="B30" s="168"/>
      <c r="C30" s="168"/>
      <c r="D30" s="170"/>
      <c r="E30" s="170"/>
      <c r="O30" s="2"/>
    </row>
    <row r="31" spans="1:16" ht="12.75" customHeight="1">
      <c r="A31" s="2"/>
      <c r="B31" s="2"/>
      <c r="C31" s="2"/>
      <c r="O31" s="2"/>
    </row>
  </sheetData>
  <mergeCells count="5">
    <mergeCell ref="A1:D1"/>
    <mergeCell ref="A7:B7"/>
    <mergeCell ref="A15:B15"/>
    <mergeCell ref="A23:B23"/>
    <mergeCell ref="A30:E30"/>
  </mergeCells>
  <pageMargins left="0.75" right="0.75" top="1" bottom="1" header="0.5" footer="0.5"/>
  <pageSetup paperSize="9"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dimension ref="A1:Q13"/>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0.5703125" customWidth="1"/>
    <col min="2" max="14" width="8.5703125" customWidth="1"/>
    <col min="15" max="16" width="11.85546875" customWidth="1"/>
    <col min="17" max="17" width="9.140625" customWidth="1"/>
  </cols>
  <sheetData>
    <row r="1" spans="1:17" ht="20.25">
      <c r="A1" s="167" t="s">
        <v>74</v>
      </c>
      <c r="B1" s="168"/>
      <c r="C1" s="2"/>
      <c r="D1" s="2"/>
      <c r="E1" s="2"/>
      <c r="F1" s="2"/>
      <c r="G1" s="2"/>
      <c r="H1" s="2"/>
      <c r="I1" s="2"/>
      <c r="J1" s="2"/>
      <c r="K1" s="2"/>
      <c r="L1" s="2"/>
      <c r="M1" s="2"/>
      <c r="N1" s="2"/>
      <c r="O1" s="2"/>
      <c r="P1" s="2"/>
      <c r="Q1" s="2"/>
    </row>
    <row r="2" spans="1:17" ht="18">
      <c r="A2" s="44" t="s">
        <v>192</v>
      </c>
      <c r="B2" s="2"/>
      <c r="C2" s="2"/>
      <c r="D2" s="2"/>
      <c r="E2" s="2"/>
      <c r="F2" s="2"/>
      <c r="G2" s="2"/>
      <c r="H2" s="2"/>
      <c r="I2" s="2"/>
      <c r="J2" s="2"/>
      <c r="K2" s="2"/>
      <c r="L2" s="2"/>
      <c r="M2" s="2"/>
      <c r="N2" s="2"/>
      <c r="O2" s="2"/>
      <c r="P2" s="2"/>
      <c r="Q2" s="2"/>
    </row>
    <row r="3" spans="1:17" ht="12.75" customHeight="1">
      <c r="A3" s="2"/>
      <c r="O3" s="2"/>
      <c r="P3" s="2"/>
    </row>
    <row r="4" spans="1:17" ht="12.75" customHeight="1">
      <c r="A4" s="2" t="s">
        <v>15</v>
      </c>
      <c r="B4" s="2" t="s">
        <v>185</v>
      </c>
      <c r="O4" s="2"/>
      <c r="P4" s="2"/>
    </row>
    <row r="5" spans="1:17" ht="12.75" customHeight="1">
      <c r="A5" s="5"/>
      <c r="B5" s="6"/>
      <c r="C5" s="6"/>
      <c r="D5" s="6"/>
      <c r="E5" s="6"/>
      <c r="F5" s="6"/>
      <c r="G5" s="6"/>
      <c r="H5" s="6"/>
      <c r="I5" s="6"/>
      <c r="J5" s="6"/>
      <c r="K5" s="6"/>
      <c r="L5" s="6"/>
      <c r="M5" s="6"/>
      <c r="N5" s="6"/>
      <c r="O5" s="5"/>
      <c r="P5" s="5"/>
    </row>
    <row r="6" spans="1:17" ht="25.5">
      <c r="A6" s="45"/>
      <c r="B6" s="46">
        <v>39630</v>
      </c>
      <c r="C6" s="46">
        <v>39661</v>
      </c>
      <c r="D6" s="46">
        <v>39692</v>
      </c>
      <c r="E6" s="46">
        <v>39722</v>
      </c>
      <c r="F6" s="46">
        <v>39753</v>
      </c>
      <c r="G6" s="46">
        <v>39783</v>
      </c>
      <c r="H6" s="46">
        <v>39814</v>
      </c>
      <c r="I6" s="46">
        <v>39845</v>
      </c>
      <c r="J6" s="46">
        <v>39873</v>
      </c>
      <c r="K6" s="46">
        <v>39904</v>
      </c>
      <c r="L6" s="46">
        <v>39934</v>
      </c>
      <c r="M6" s="46">
        <v>39965</v>
      </c>
      <c r="N6" s="47" t="s">
        <v>354</v>
      </c>
      <c r="O6" s="55" t="s">
        <v>191</v>
      </c>
      <c r="P6" s="55" t="s">
        <v>165</v>
      </c>
      <c r="Q6" s="2"/>
    </row>
    <row r="7" spans="1:17" ht="12.75" customHeight="1">
      <c r="A7" s="48" t="s">
        <v>216</v>
      </c>
      <c r="B7" s="106"/>
      <c r="C7" s="106"/>
      <c r="D7" s="106"/>
      <c r="E7" s="106"/>
      <c r="F7" s="106"/>
      <c r="G7" s="106"/>
      <c r="H7" s="106"/>
      <c r="I7" s="106"/>
      <c r="J7" s="106"/>
      <c r="K7" s="106"/>
      <c r="L7" s="106"/>
      <c r="M7" s="106"/>
      <c r="N7" s="106"/>
      <c r="O7" s="40"/>
      <c r="P7" s="40"/>
    </row>
    <row r="8" spans="1:17" ht="12.75" customHeight="1">
      <c r="A8" s="50" t="s">
        <v>260</v>
      </c>
      <c r="B8" s="76">
        <v>40</v>
      </c>
      <c r="C8" s="76">
        <v>16</v>
      </c>
      <c r="D8" s="76">
        <v>97</v>
      </c>
      <c r="E8" s="76">
        <v>135</v>
      </c>
      <c r="F8" s="76">
        <v>80</v>
      </c>
      <c r="G8" s="76">
        <v>59</v>
      </c>
      <c r="H8" s="78">
        <v>24</v>
      </c>
      <c r="I8" s="78">
        <v>120</v>
      </c>
      <c r="J8" s="78">
        <v>56</v>
      </c>
      <c r="K8" s="78" t="s">
        <v>229</v>
      </c>
      <c r="L8" s="78" t="s">
        <v>229</v>
      </c>
      <c r="M8" s="78" t="s">
        <v>229</v>
      </c>
      <c r="N8" s="52">
        <f>SUM(B8:M8)</f>
        <v>627</v>
      </c>
      <c r="O8" s="53"/>
      <c r="P8" s="54"/>
    </row>
    <row r="9" spans="1:17" ht="12.75" customHeight="1">
      <c r="A9" s="50" t="s">
        <v>202</v>
      </c>
      <c r="B9" s="76">
        <v>159</v>
      </c>
      <c r="C9" s="76">
        <v>64</v>
      </c>
      <c r="D9" s="76">
        <v>457</v>
      </c>
      <c r="E9" s="76">
        <v>453</v>
      </c>
      <c r="F9" s="76">
        <v>235</v>
      </c>
      <c r="G9" s="76">
        <v>220</v>
      </c>
      <c r="H9" s="78">
        <v>136</v>
      </c>
      <c r="I9" s="78">
        <v>563</v>
      </c>
      <c r="J9" s="78">
        <v>198</v>
      </c>
      <c r="K9" s="78" t="s">
        <v>229</v>
      </c>
      <c r="L9" s="78" t="s">
        <v>229</v>
      </c>
      <c r="M9" s="78" t="s">
        <v>229</v>
      </c>
      <c r="N9" s="52">
        <f>SUM(B9:M9)</f>
        <v>2485</v>
      </c>
      <c r="O9" s="53">
        <v>0</v>
      </c>
      <c r="P9" s="54" t="s">
        <v>13</v>
      </c>
    </row>
    <row r="10" spans="1:17" ht="12.75" customHeight="1">
      <c r="A10" s="50" t="s">
        <v>226</v>
      </c>
      <c r="B10" s="76">
        <v>0</v>
      </c>
      <c r="C10" s="76">
        <v>0</v>
      </c>
      <c r="D10" s="76">
        <v>0</v>
      </c>
      <c r="E10" s="76">
        <v>0</v>
      </c>
      <c r="F10" s="76">
        <v>0</v>
      </c>
      <c r="G10" s="76">
        <v>0</v>
      </c>
      <c r="H10" s="78">
        <v>0</v>
      </c>
      <c r="I10" s="78">
        <v>5</v>
      </c>
      <c r="J10" s="78">
        <v>0</v>
      </c>
      <c r="K10" s="78" t="s">
        <v>229</v>
      </c>
      <c r="L10" s="78" t="s">
        <v>229</v>
      </c>
      <c r="M10" s="78" t="s">
        <v>229</v>
      </c>
      <c r="N10" s="52">
        <f>SUM(B10:M10)</f>
        <v>5</v>
      </c>
      <c r="O10" s="53"/>
      <c r="P10" s="54"/>
    </row>
    <row r="11" spans="1:17" ht="12.75" customHeight="1">
      <c r="A11" s="2"/>
      <c r="B11" s="114"/>
      <c r="C11" s="114"/>
      <c r="D11" s="114"/>
      <c r="E11" s="114"/>
      <c r="F11" s="114"/>
      <c r="G11" s="114"/>
      <c r="H11" s="114"/>
      <c r="I11" s="114"/>
      <c r="J11" s="114"/>
      <c r="K11" s="114"/>
      <c r="L11" s="114"/>
      <c r="M11" s="114"/>
      <c r="N11" s="114"/>
      <c r="O11" s="2"/>
      <c r="P11" s="2"/>
    </row>
    <row r="12" spans="1:17" ht="12.75" customHeight="1">
      <c r="A12" s="2"/>
      <c r="O12" s="2"/>
      <c r="P12" s="2"/>
    </row>
    <row r="13" spans="1:17" ht="12.75" customHeight="1">
      <c r="A13" s="168" t="s">
        <v>28</v>
      </c>
      <c r="B13" s="170"/>
      <c r="C13" s="170"/>
      <c r="D13" s="170"/>
      <c r="E13" s="170"/>
      <c r="F13" s="170"/>
      <c r="G13" s="170"/>
      <c r="H13" s="170"/>
      <c r="I13" s="170"/>
      <c r="J13" s="170"/>
      <c r="K13" s="170"/>
      <c r="L13" s="170"/>
      <c r="M13" s="170"/>
      <c r="N13" s="170"/>
      <c r="O13" s="2"/>
      <c r="P13" s="2"/>
    </row>
  </sheetData>
  <mergeCells count="2">
    <mergeCell ref="A1:B1"/>
    <mergeCell ref="A13:N13"/>
  </mergeCells>
  <pageMargins left="0.75" right="0.75" top="1" bottom="1" header="0.5" footer="0.5"/>
  <pageSetup paperSize="9"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dimension ref="A1:Q71"/>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41.140625" customWidth="1"/>
    <col min="2" max="14" width="8.5703125" customWidth="1"/>
    <col min="15" max="15" width="11.42578125" customWidth="1"/>
    <col min="16" max="16" width="8.5703125" customWidth="1"/>
    <col min="17" max="17" width="9.140625" customWidth="1"/>
  </cols>
  <sheetData>
    <row r="1" spans="1:17" ht="20.25">
      <c r="A1" s="1" t="s">
        <v>231</v>
      </c>
      <c r="B1" s="2"/>
      <c r="C1" s="2"/>
      <c r="D1" s="2"/>
      <c r="E1" s="2"/>
      <c r="F1" s="2"/>
      <c r="G1" s="2"/>
      <c r="H1" s="2"/>
      <c r="I1" s="2"/>
      <c r="J1" s="2"/>
      <c r="K1" s="2"/>
      <c r="L1" s="2"/>
      <c r="M1" s="2"/>
      <c r="N1" s="2"/>
      <c r="O1" s="2"/>
      <c r="P1" s="2"/>
      <c r="Q1" s="2"/>
    </row>
    <row r="2" spans="1:17" ht="18">
      <c r="A2" s="44" t="s">
        <v>94</v>
      </c>
      <c r="B2" s="2"/>
      <c r="C2" s="2"/>
      <c r="D2" s="2"/>
      <c r="E2" s="2"/>
      <c r="F2" s="2"/>
      <c r="G2" s="2"/>
      <c r="H2" s="2"/>
      <c r="I2" s="2"/>
      <c r="J2" s="2"/>
      <c r="K2" s="2"/>
      <c r="L2" s="2"/>
      <c r="M2" s="2"/>
      <c r="N2" s="2"/>
      <c r="O2" s="2"/>
      <c r="P2" s="2"/>
      <c r="Q2" s="2"/>
    </row>
    <row r="3" spans="1:17" ht="12.75" customHeight="1">
      <c r="A3" s="2"/>
    </row>
    <row r="4" spans="1:17" ht="12.75" customHeight="1">
      <c r="A4" s="2" t="s">
        <v>326</v>
      </c>
    </row>
    <row r="5" spans="1:17" ht="12.75" customHeight="1">
      <c r="A5" s="5"/>
      <c r="B5" s="6"/>
      <c r="C5" s="6"/>
      <c r="D5" s="6"/>
      <c r="E5" s="6"/>
      <c r="F5" s="6"/>
      <c r="G5" s="6"/>
      <c r="H5" s="6"/>
      <c r="I5" s="6"/>
      <c r="J5" s="6"/>
      <c r="K5" s="6"/>
      <c r="L5" s="6"/>
      <c r="M5" s="6"/>
      <c r="N5" s="6"/>
      <c r="O5" s="6"/>
      <c r="P5" s="6"/>
    </row>
    <row r="6" spans="1:17" ht="25.5">
      <c r="A6" s="45"/>
      <c r="B6" s="46">
        <v>39630</v>
      </c>
      <c r="C6" s="46">
        <v>39661</v>
      </c>
      <c r="D6" s="46">
        <v>39692</v>
      </c>
      <c r="E6" s="46">
        <v>39722</v>
      </c>
      <c r="F6" s="46">
        <v>39753</v>
      </c>
      <c r="G6" s="46">
        <v>39783</v>
      </c>
      <c r="H6" s="46">
        <v>39814</v>
      </c>
      <c r="I6" s="46">
        <v>39845</v>
      </c>
      <c r="J6" s="46">
        <v>39873</v>
      </c>
      <c r="K6" s="46">
        <v>39904</v>
      </c>
      <c r="L6" s="46">
        <v>39934</v>
      </c>
      <c r="M6" s="46">
        <v>39965</v>
      </c>
      <c r="N6" s="47" t="s">
        <v>354</v>
      </c>
      <c r="O6" s="55" t="s">
        <v>191</v>
      </c>
      <c r="P6" s="55" t="s">
        <v>165</v>
      </c>
      <c r="Q6" s="2"/>
    </row>
    <row r="7" spans="1:17" ht="12.75" customHeight="1">
      <c r="A7" s="48" t="s">
        <v>119</v>
      </c>
      <c r="B7" s="106"/>
      <c r="C7" s="106"/>
      <c r="D7" s="106"/>
      <c r="E7" s="106"/>
      <c r="F7" s="106"/>
      <c r="G7" s="106"/>
      <c r="H7" s="106"/>
      <c r="I7" s="106"/>
      <c r="J7" s="106"/>
      <c r="K7" s="106"/>
      <c r="L7" s="106"/>
      <c r="M7" s="106"/>
      <c r="N7" s="106"/>
      <c r="O7" s="41"/>
      <c r="P7" s="41"/>
    </row>
    <row r="8" spans="1:17" ht="12.75" customHeight="1">
      <c r="A8" s="50" t="s">
        <v>260</v>
      </c>
      <c r="B8" s="78">
        <v>12</v>
      </c>
      <c r="C8" s="78">
        <v>7</v>
      </c>
      <c r="D8" s="78">
        <v>74</v>
      </c>
      <c r="E8" s="78">
        <v>59</v>
      </c>
      <c r="F8" s="78">
        <v>116</v>
      </c>
      <c r="G8" s="78">
        <v>66</v>
      </c>
      <c r="H8" s="78">
        <v>6</v>
      </c>
      <c r="I8" s="78">
        <v>122</v>
      </c>
      <c r="J8" s="78">
        <v>58</v>
      </c>
      <c r="K8" s="78">
        <v>91</v>
      </c>
      <c r="L8" s="78">
        <v>7</v>
      </c>
      <c r="M8" s="78">
        <v>9</v>
      </c>
      <c r="N8" s="52">
        <f>SUM(B8:M8)</f>
        <v>627</v>
      </c>
      <c r="O8" s="53"/>
      <c r="P8" s="54"/>
    </row>
    <row r="9" spans="1:17" ht="12.75" customHeight="1">
      <c r="A9" s="50" t="s">
        <v>202</v>
      </c>
      <c r="B9" s="76">
        <v>59</v>
      </c>
      <c r="C9" s="76">
        <v>19</v>
      </c>
      <c r="D9" s="76">
        <v>295</v>
      </c>
      <c r="E9" s="76">
        <v>199</v>
      </c>
      <c r="F9" s="76">
        <v>423</v>
      </c>
      <c r="G9" s="76">
        <v>222</v>
      </c>
      <c r="H9" s="78">
        <v>27</v>
      </c>
      <c r="I9" s="78">
        <v>549</v>
      </c>
      <c r="J9" s="78">
        <v>261</v>
      </c>
      <c r="K9" s="78">
        <v>253</v>
      </c>
      <c r="L9" s="78">
        <v>24</v>
      </c>
      <c r="M9" s="78">
        <v>42</v>
      </c>
      <c r="N9" s="52">
        <f>SUM(B9:M9)</f>
        <v>2373</v>
      </c>
      <c r="O9" s="53">
        <v>5989.5</v>
      </c>
      <c r="P9" s="54" t="s">
        <v>13</v>
      </c>
    </row>
    <row r="10" spans="1:17" ht="12.75" customHeight="1">
      <c r="A10" s="50" t="s">
        <v>226</v>
      </c>
      <c r="B10" s="78">
        <v>0</v>
      </c>
      <c r="C10" s="78">
        <v>0</v>
      </c>
      <c r="D10" s="78">
        <v>0</v>
      </c>
      <c r="E10" s="78">
        <v>0</v>
      </c>
      <c r="F10" s="78">
        <v>0</v>
      </c>
      <c r="G10" s="78">
        <v>0</v>
      </c>
      <c r="H10" s="78">
        <v>0</v>
      </c>
      <c r="I10" s="78">
        <v>0</v>
      </c>
      <c r="J10" s="78">
        <v>0</v>
      </c>
      <c r="K10" s="78">
        <v>0</v>
      </c>
      <c r="L10" s="78">
        <v>0</v>
      </c>
      <c r="M10" s="78">
        <v>0</v>
      </c>
      <c r="N10" s="52">
        <f>SUM(B10:M10)</f>
        <v>0</v>
      </c>
      <c r="O10" s="53"/>
      <c r="P10" s="54"/>
    </row>
    <row r="11" spans="1:17" ht="12.75" customHeight="1">
      <c r="A11" s="50" t="s">
        <v>338</v>
      </c>
      <c r="B11" s="12" t="s">
        <v>229</v>
      </c>
      <c r="C11" s="12" t="s">
        <v>229</v>
      </c>
      <c r="D11" s="12" t="s">
        <v>229</v>
      </c>
      <c r="E11" s="12" t="s">
        <v>229</v>
      </c>
      <c r="F11" s="12" t="s">
        <v>229</v>
      </c>
      <c r="G11" s="12" t="s">
        <v>229</v>
      </c>
      <c r="H11" s="12" t="s">
        <v>229</v>
      </c>
      <c r="I11" s="12" t="s">
        <v>229</v>
      </c>
      <c r="J11" s="12" t="s">
        <v>229</v>
      </c>
      <c r="K11" s="12" t="s">
        <v>229</v>
      </c>
      <c r="L11" s="12" t="s">
        <v>229</v>
      </c>
      <c r="M11" s="12" t="s">
        <v>229</v>
      </c>
      <c r="N11" s="12" t="s">
        <v>229</v>
      </c>
      <c r="O11" s="53"/>
      <c r="P11" s="54"/>
    </row>
    <row r="12" spans="1:17" ht="12.75" customHeight="1">
      <c r="A12" s="2"/>
      <c r="B12" s="161"/>
      <c r="C12" s="161"/>
      <c r="D12" s="161"/>
      <c r="E12" s="161"/>
      <c r="F12" s="161"/>
      <c r="G12" s="161"/>
      <c r="H12" s="161"/>
      <c r="I12" s="161"/>
      <c r="J12" s="161"/>
      <c r="K12" s="161"/>
      <c r="L12" s="161"/>
      <c r="M12" s="161"/>
      <c r="N12" s="161"/>
      <c r="O12" s="54"/>
      <c r="P12" s="54"/>
    </row>
    <row r="13" spans="1:17" ht="12.75" customHeight="1">
      <c r="A13" s="5"/>
      <c r="B13" s="162"/>
      <c r="C13" s="162"/>
      <c r="D13" s="162"/>
      <c r="E13" s="162"/>
      <c r="F13" s="162"/>
      <c r="G13" s="162"/>
      <c r="H13" s="162"/>
      <c r="I13" s="162"/>
      <c r="J13" s="162"/>
      <c r="K13" s="162"/>
      <c r="L13" s="162"/>
      <c r="M13" s="162"/>
      <c r="N13" s="162"/>
      <c r="O13" s="91"/>
      <c r="P13" s="91"/>
    </row>
    <row r="14" spans="1:17" ht="25.5">
      <c r="A14" s="45"/>
      <c r="B14" s="46">
        <v>39630</v>
      </c>
      <c r="C14" s="46">
        <v>39661</v>
      </c>
      <c r="D14" s="46">
        <v>39692</v>
      </c>
      <c r="E14" s="46">
        <v>39722</v>
      </c>
      <c r="F14" s="46">
        <v>39753</v>
      </c>
      <c r="G14" s="46">
        <v>39783</v>
      </c>
      <c r="H14" s="46">
        <v>39814</v>
      </c>
      <c r="I14" s="46">
        <v>39845</v>
      </c>
      <c r="J14" s="46">
        <v>39873</v>
      </c>
      <c r="K14" s="46">
        <v>39904</v>
      </c>
      <c r="L14" s="46">
        <v>39934</v>
      </c>
      <c r="M14" s="46">
        <v>39965</v>
      </c>
      <c r="N14" s="47" t="s">
        <v>354</v>
      </c>
      <c r="O14" s="55" t="s">
        <v>191</v>
      </c>
      <c r="P14" s="55" t="s">
        <v>165</v>
      </c>
    </row>
    <row r="15" spans="1:17" ht="12.75" customHeight="1">
      <c r="A15" s="48" t="s">
        <v>134</v>
      </c>
      <c r="B15" s="57"/>
      <c r="C15" s="57"/>
      <c r="D15" s="57"/>
      <c r="E15" s="57"/>
      <c r="F15" s="57"/>
      <c r="G15" s="57"/>
      <c r="H15" s="57"/>
      <c r="I15" s="57"/>
      <c r="J15" s="57"/>
      <c r="K15" s="57"/>
      <c r="L15" s="57"/>
      <c r="M15" s="57"/>
      <c r="N15" s="57"/>
      <c r="O15" s="74"/>
      <c r="P15" s="74"/>
    </row>
    <row r="16" spans="1:17" ht="12.75" customHeight="1">
      <c r="A16" s="50" t="s">
        <v>260</v>
      </c>
      <c r="B16" s="150">
        <v>3</v>
      </c>
      <c r="C16" s="150">
        <v>1</v>
      </c>
      <c r="D16" s="150">
        <v>13</v>
      </c>
      <c r="E16" s="150">
        <v>17</v>
      </c>
      <c r="F16" s="150">
        <v>23</v>
      </c>
      <c r="G16" s="150">
        <v>7</v>
      </c>
      <c r="H16" s="78">
        <v>3</v>
      </c>
      <c r="I16" s="78">
        <v>29</v>
      </c>
      <c r="J16" s="78">
        <v>18</v>
      </c>
      <c r="K16" s="78">
        <v>23</v>
      </c>
      <c r="L16" s="78">
        <v>3</v>
      </c>
      <c r="M16" s="78">
        <v>0</v>
      </c>
      <c r="N16" s="52">
        <f>SUM(B16:M16)</f>
        <v>140</v>
      </c>
      <c r="O16" s="53"/>
      <c r="P16" s="54"/>
    </row>
    <row r="17" spans="1:16" ht="12.75" customHeight="1">
      <c r="A17" s="50" t="s">
        <v>202</v>
      </c>
      <c r="B17" s="150">
        <v>9</v>
      </c>
      <c r="C17" s="150">
        <v>4</v>
      </c>
      <c r="D17" s="150">
        <v>34</v>
      </c>
      <c r="E17" s="150">
        <v>42</v>
      </c>
      <c r="F17" s="150">
        <v>98</v>
      </c>
      <c r="G17" s="150">
        <v>14</v>
      </c>
      <c r="H17" s="78">
        <v>10</v>
      </c>
      <c r="I17" s="78">
        <v>104</v>
      </c>
      <c r="J17" s="78">
        <v>46</v>
      </c>
      <c r="K17" s="78">
        <v>56</v>
      </c>
      <c r="L17" s="78">
        <v>10</v>
      </c>
      <c r="M17" s="78">
        <v>0</v>
      </c>
      <c r="N17" s="52">
        <f>SUM(B17:M17)</f>
        <v>427</v>
      </c>
      <c r="O17" s="53">
        <v>581</v>
      </c>
      <c r="P17" s="54" t="s">
        <v>13</v>
      </c>
    </row>
    <row r="18" spans="1:16" ht="12.75" customHeight="1">
      <c r="A18" s="50" t="s">
        <v>226</v>
      </c>
      <c r="B18" s="78">
        <v>0</v>
      </c>
      <c r="C18" s="78">
        <v>0</v>
      </c>
      <c r="D18" s="78">
        <v>6</v>
      </c>
      <c r="E18" s="78">
        <v>1</v>
      </c>
      <c r="F18" s="78">
        <v>0</v>
      </c>
      <c r="G18" s="78">
        <v>0</v>
      </c>
      <c r="H18" s="78">
        <v>0</v>
      </c>
      <c r="I18" s="78">
        <v>0</v>
      </c>
      <c r="J18" s="78">
        <v>0</v>
      </c>
      <c r="K18" s="78">
        <v>0</v>
      </c>
      <c r="L18" s="78">
        <v>0</v>
      </c>
      <c r="M18" s="78">
        <v>0</v>
      </c>
      <c r="N18" s="52">
        <f>SUM(B18:M18)</f>
        <v>7</v>
      </c>
      <c r="O18" s="53"/>
      <c r="P18" s="54"/>
    </row>
    <row r="19" spans="1:16" ht="12.75" customHeight="1">
      <c r="A19" s="50" t="s">
        <v>338</v>
      </c>
      <c r="B19" s="163">
        <v>3</v>
      </c>
      <c r="C19" s="163">
        <v>3</v>
      </c>
      <c r="D19" s="163">
        <v>3</v>
      </c>
      <c r="E19" s="163">
        <v>3</v>
      </c>
      <c r="F19" s="163">
        <v>3</v>
      </c>
      <c r="G19" s="163">
        <v>3</v>
      </c>
      <c r="H19" s="163">
        <v>3</v>
      </c>
      <c r="I19" s="163">
        <v>3</v>
      </c>
      <c r="J19" s="163">
        <v>3</v>
      </c>
      <c r="K19" s="163">
        <v>3</v>
      </c>
      <c r="L19" s="163">
        <v>3</v>
      </c>
      <c r="M19" s="163">
        <v>3</v>
      </c>
      <c r="N19" s="163">
        <v>3</v>
      </c>
      <c r="O19" s="17"/>
    </row>
    <row r="20" spans="1:16" ht="12.75" customHeight="1">
      <c r="A20" s="164"/>
    </row>
    <row r="21" spans="1:16" ht="12.75" customHeight="1">
      <c r="A21" s="165"/>
      <c r="B21" s="6"/>
      <c r="C21" s="6"/>
      <c r="D21" s="6"/>
      <c r="E21" s="6"/>
      <c r="F21" s="6"/>
      <c r="G21" s="6"/>
      <c r="H21" s="6"/>
      <c r="I21" s="6"/>
      <c r="J21" s="6"/>
      <c r="K21" s="6"/>
      <c r="L21" s="6"/>
      <c r="M21" s="6"/>
      <c r="N21" s="6"/>
      <c r="O21" s="6"/>
      <c r="P21" s="6"/>
    </row>
    <row r="22" spans="1:16" ht="25.5">
      <c r="A22" s="45"/>
      <c r="B22" s="46">
        <v>39630</v>
      </c>
      <c r="C22" s="46">
        <v>39661</v>
      </c>
      <c r="D22" s="46">
        <v>39692</v>
      </c>
      <c r="E22" s="46">
        <v>39722</v>
      </c>
      <c r="F22" s="46">
        <v>39753</v>
      </c>
      <c r="G22" s="46">
        <v>39783</v>
      </c>
      <c r="H22" s="46">
        <v>39814</v>
      </c>
      <c r="I22" s="46">
        <v>39845</v>
      </c>
      <c r="J22" s="46">
        <v>39873</v>
      </c>
      <c r="K22" s="46">
        <v>39904</v>
      </c>
      <c r="L22" s="46">
        <v>39934</v>
      </c>
      <c r="M22" s="46">
        <v>39965</v>
      </c>
      <c r="N22" s="47" t="s">
        <v>354</v>
      </c>
      <c r="O22" s="55" t="s">
        <v>191</v>
      </c>
      <c r="P22" s="55" t="s">
        <v>165</v>
      </c>
    </row>
    <row r="23" spans="1:16" ht="12.75" customHeight="1">
      <c r="A23" s="48" t="s">
        <v>336</v>
      </c>
      <c r="B23" s="57"/>
      <c r="C23" s="57"/>
      <c r="D23" s="57"/>
      <c r="E23" s="57"/>
      <c r="F23" s="57"/>
      <c r="G23" s="57"/>
      <c r="H23" s="57"/>
      <c r="I23" s="57"/>
      <c r="J23" s="57"/>
      <c r="K23" s="57"/>
      <c r="L23" s="57"/>
      <c r="M23" s="57"/>
      <c r="N23" s="57"/>
      <c r="O23" s="74"/>
      <c r="P23" s="74"/>
    </row>
    <row r="24" spans="1:16" ht="12.75" customHeight="1">
      <c r="A24" s="50" t="s">
        <v>260</v>
      </c>
      <c r="B24" s="78">
        <v>9</v>
      </c>
      <c r="C24" s="78">
        <v>4</v>
      </c>
      <c r="D24" s="78">
        <v>39</v>
      </c>
      <c r="E24" s="78">
        <v>33</v>
      </c>
      <c r="F24" s="78">
        <v>23</v>
      </c>
      <c r="G24" s="78">
        <v>44</v>
      </c>
      <c r="H24" s="78">
        <v>26</v>
      </c>
      <c r="I24" s="78">
        <v>47</v>
      </c>
      <c r="J24" s="78">
        <v>41</v>
      </c>
      <c r="K24" s="78">
        <v>53</v>
      </c>
      <c r="L24" s="78">
        <v>28</v>
      </c>
      <c r="M24" s="78">
        <v>23</v>
      </c>
      <c r="N24" s="52">
        <f>SUM(B24:M24)</f>
        <v>370</v>
      </c>
      <c r="O24" s="53"/>
      <c r="P24" s="54"/>
    </row>
    <row r="25" spans="1:16" ht="12.75" customHeight="1">
      <c r="A25" s="50" t="s">
        <v>202</v>
      </c>
      <c r="B25" s="151">
        <v>22</v>
      </c>
      <c r="C25" s="151">
        <v>10</v>
      </c>
      <c r="D25" s="151">
        <v>138</v>
      </c>
      <c r="E25" s="151">
        <v>108</v>
      </c>
      <c r="F25" s="151">
        <v>73</v>
      </c>
      <c r="G25" s="151">
        <v>139</v>
      </c>
      <c r="H25" s="78">
        <v>42</v>
      </c>
      <c r="I25" s="78">
        <v>157</v>
      </c>
      <c r="J25" s="78">
        <v>117</v>
      </c>
      <c r="K25" s="78">
        <v>112</v>
      </c>
      <c r="L25" s="78">
        <v>41</v>
      </c>
      <c r="M25" s="78">
        <v>43</v>
      </c>
      <c r="N25" s="52">
        <f>SUM(B25:M25)</f>
        <v>1002</v>
      </c>
      <c r="O25" s="53">
        <v>3411</v>
      </c>
      <c r="P25" s="54" t="s">
        <v>13</v>
      </c>
    </row>
    <row r="26" spans="1:16" ht="12.75" customHeight="1">
      <c r="A26" s="50" t="s">
        <v>226</v>
      </c>
      <c r="B26" s="78">
        <v>0</v>
      </c>
      <c r="C26" s="78">
        <v>0</v>
      </c>
      <c r="D26" s="78">
        <v>0</v>
      </c>
      <c r="E26" s="78">
        <v>0</v>
      </c>
      <c r="F26" s="78">
        <v>0</v>
      </c>
      <c r="G26" s="78">
        <v>0</v>
      </c>
      <c r="H26" s="78">
        <v>0</v>
      </c>
      <c r="I26" s="78">
        <v>0</v>
      </c>
      <c r="J26" s="78">
        <v>0</v>
      </c>
      <c r="K26" s="78">
        <v>0</v>
      </c>
      <c r="L26" s="78">
        <v>0</v>
      </c>
      <c r="M26" s="78">
        <v>0</v>
      </c>
      <c r="N26" s="52">
        <f>SUM(B26:M26)</f>
        <v>0</v>
      </c>
      <c r="O26" s="53"/>
      <c r="P26" s="54"/>
    </row>
    <row r="27" spans="1:16" ht="12.75" customHeight="1">
      <c r="A27" s="50" t="s">
        <v>338</v>
      </c>
      <c r="B27" s="30" t="s">
        <v>229</v>
      </c>
      <c r="C27" s="30" t="s">
        <v>229</v>
      </c>
      <c r="D27" s="30" t="s">
        <v>229</v>
      </c>
      <c r="E27" s="30" t="s">
        <v>229</v>
      </c>
      <c r="F27" s="30" t="s">
        <v>229</v>
      </c>
      <c r="G27" s="30" t="s">
        <v>229</v>
      </c>
      <c r="H27" s="30" t="s">
        <v>229</v>
      </c>
      <c r="I27" s="30" t="s">
        <v>229</v>
      </c>
      <c r="J27" s="30" t="s">
        <v>229</v>
      </c>
      <c r="K27" s="30" t="s">
        <v>229</v>
      </c>
      <c r="L27" s="30" t="s">
        <v>229</v>
      </c>
      <c r="M27" s="30" t="s">
        <v>229</v>
      </c>
      <c r="N27" s="30" t="s">
        <v>229</v>
      </c>
      <c r="O27" s="53"/>
      <c r="P27" s="54"/>
    </row>
    <row r="28" spans="1:16" ht="12.75" customHeight="1">
      <c r="A28" s="2"/>
      <c r="B28" s="166"/>
      <c r="C28" s="166"/>
      <c r="D28" s="166"/>
      <c r="E28" s="166"/>
      <c r="F28" s="166"/>
      <c r="G28" s="166"/>
      <c r="H28" s="166"/>
      <c r="I28" s="166"/>
      <c r="J28" s="166"/>
      <c r="K28" s="166"/>
      <c r="L28" s="166"/>
      <c r="M28" s="166"/>
      <c r="N28" s="40"/>
      <c r="O28" s="54"/>
      <c r="P28" s="54"/>
    </row>
    <row r="29" spans="1:16" ht="12.75" customHeight="1">
      <c r="A29" s="5"/>
      <c r="B29" s="162"/>
      <c r="C29" s="162"/>
      <c r="D29" s="162"/>
      <c r="E29" s="162"/>
      <c r="F29" s="162"/>
      <c r="G29" s="162"/>
      <c r="H29" s="162"/>
      <c r="I29" s="162"/>
      <c r="J29" s="162"/>
      <c r="K29" s="162"/>
      <c r="L29" s="162"/>
      <c r="M29" s="162"/>
      <c r="N29" s="5"/>
      <c r="O29" s="91"/>
      <c r="P29" s="91"/>
    </row>
    <row r="30" spans="1:16" ht="25.5">
      <c r="A30" s="45"/>
      <c r="B30" s="46">
        <v>39630</v>
      </c>
      <c r="C30" s="46">
        <v>39661</v>
      </c>
      <c r="D30" s="46">
        <v>39692</v>
      </c>
      <c r="E30" s="46">
        <v>39722</v>
      </c>
      <c r="F30" s="46">
        <v>39753</v>
      </c>
      <c r="G30" s="46">
        <v>39783</v>
      </c>
      <c r="H30" s="46">
        <v>39814</v>
      </c>
      <c r="I30" s="46">
        <v>39845</v>
      </c>
      <c r="J30" s="46">
        <v>39873</v>
      </c>
      <c r="K30" s="46">
        <v>39904</v>
      </c>
      <c r="L30" s="46">
        <v>39934</v>
      </c>
      <c r="M30" s="46">
        <v>39965</v>
      </c>
      <c r="N30" s="47" t="s">
        <v>354</v>
      </c>
      <c r="O30" s="55" t="s">
        <v>191</v>
      </c>
      <c r="P30" s="55" t="s">
        <v>165</v>
      </c>
    </row>
    <row r="31" spans="1:16" ht="12.75" customHeight="1">
      <c r="A31" s="48" t="s">
        <v>320</v>
      </c>
      <c r="B31" s="57"/>
      <c r="C31" s="57"/>
      <c r="D31" s="57"/>
      <c r="E31" s="57"/>
      <c r="F31" s="57"/>
      <c r="G31" s="57"/>
      <c r="H31" s="57"/>
      <c r="I31" s="57"/>
      <c r="J31" s="57"/>
      <c r="K31" s="57"/>
      <c r="L31" s="57"/>
      <c r="M31" s="57"/>
      <c r="N31" s="57"/>
      <c r="O31" s="74"/>
      <c r="P31" s="74"/>
    </row>
    <row r="32" spans="1:16" ht="12.75" customHeight="1">
      <c r="A32" s="50" t="s">
        <v>260</v>
      </c>
      <c r="B32" s="150">
        <v>127</v>
      </c>
      <c r="C32" s="150">
        <v>42</v>
      </c>
      <c r="D32" s="150">
        <v>573</v>
      </c>
      <c r="E32" s="150">
        <v>656</v>
      </c>
      <c r="F32" s="150">
        <v>530</v>
      </c>
      <c r="G32" s="150">
        <v>288</v>
      </c>
      <c r="H32" s="150">
        <v>171</v>
      </c>
      <c r="I32" s="150">
        <v>552</v>
      </c>
      <c r="J32" s="150">
        <v>353</v>
      </c>
      <c r="K32" s="78">
        <v>473</v>
      </c>
      <c r="L32" s="78">
        <v>186</v>
      </c>
      <c r="M32" s="78">
        <v>235</v>
      </c>
      <c r="N32" s="52">
        <f>SUM(B32:M32)</f>
        <v>4186</v>
      </c>
      <c r="O32" s="53"/>
      <c r="P32" s="54"/>
    </row>
    <row r="33" spans="1:16" ht="12.75" customHeight="1">
      <c r="A33" s="50" t="s">
        <v>202</v>
      </c>
      <c r="B33" s="150">
        <v>432</v>
      </c>
      <c r="C33" s="150">
        <v>91</v>
      </c>
      <c r="D33" s="150">
        <v>2483</v>
      </c>
      <c r="E33" s="150">
        <v>2714</v>
      </c>
      <c r="F33" s="150">
        <v>2057</v>
      </c>
      <c r="G33" s="150">
        <v>1067</v>
      </c>
      <c r="H33" s="150">
        <v>767</v>
      </c>
      <c r="I33" s="150">
        <v>2387</v>
      </c>
      <c r="J33" s="150">
        <v>1109</v>
      </c>
      <c r="K33" s="78">
        <v>1411</v>
      </c>
      <c r="L33" s="78">
        <v>648</v>
      </c>
      <c r="M33" s="78">
        <v>712</v>
      </c>
      <c r="N33" s="52">
        <f>SUM(B33:M33)</f>
        <v>15878</v>
      </c>
      <c r="O33" s="53">
        <v>6340.5</v>
      </c>
      <c r="P33" s="54" t="s">
        <v>13</v>
      </c>
    </row>
    <row r="34" spans="1:16" ht="12.75" customHeight="1">
      <c r="A34" s="50" t="s">
        <v>226</v>
      </c>
      <c r="B34" s="78">
        <v>0</v>
      </c>
      <c r="C34" s="78">
        <v>0</v>
      </c>
      <c r="D34" s="78">
        <v>0</v>
      </c>
      <c r="E34" s="78">
        <v>0</v>
      </c>
      <c r="F34" s="78">
        <v>0</v>
      </c>
      <c r="G34" s="78">
        <v>0</v>
      </c>
      <c r="H34" s="78">
        <v>0</v>
      </c>
      <c r="I34" s="78">
        <v>0</v>
      </c>
      <c r="J34" s="78">
        <v>0</v>
      </c>
      <c r="K34" s="78">
        <v>0</v>
      </c>
      <c r="L34" s="78">
        <v>0</v>
      </c>
      <c r="M34" s="78">
        <v>0</v>
      </c>
      <c r="N34" s="52">
        <f>SUM(B34:M34)</f>
        <v>0</v>
      </c>
      <c r="O34" s="53"/>
      <c r="P34" s="54"/>
    </row>
    <row r="35" spans="1:16" ht="25.5">
      <c r="A35" s="50" t="s">
        <v>338</v>
      </c>
      <c r="B35" s="37" t="s">
        <v>229</v>
      </c>
      <c r="C35" s="37" t="s">
        <v>229</v>
      </c>
      <c r="D35" s="37" t="s">
        <v>229</v>
      </c>
      <c r="E35" s="37" t="s">
        <v>229</v>
      </c>
      <c r="F35" s="37" t="s">
        <v>229</v>
      </c>
      <c r="G35" s="37" t="s">
        <v>229</v>
      </c>
      <c r="H35" s="37" t="s">
        <v>229</v>
      </c>
      <c r="I35" s="37" t="s">
        <v>229</v>
      </c>
      <c r="J35" s="37" t="s">
        <v>229</v>
      </c>
      <c r="K35" s="37" t="s">
        <v>229</v>
      </c>
      <c r="L35" s="37" t="s">
        <v>229</v>
      </c>
      <c r="M35" s="37" t="s">
        <v>229</v>
      </c>
      <c r="N35" s="37" t="s">
        <v>166</v>
      </c>
      <c r="O35" s="17"/>
    </row>
    <row r="36" spans="1:16" ht="12.75" customHeight="1">
      <c r="A36" s="2"/>
      <c r="B36" s="166"/>
      <c r="C36" s="166"/>
      <c r="D36" s="166"/>
      <c r="E36" s="166"/>
      <c r="F36" s="166"/>
      <c r="G36" s="166"/>
      <c r="H36" s="166"/>
      <c r="I36" s="166"/>
      <c r="J36" s="166"/>
      <c r="K36" s="166"/>
      <c r="L36" s="166"/>
      <c r="M36" s="166"/>
      <c r="N36" s="40"/>
      <c r="O36" s="54"/>
      <c r="P36" s="54"/>
    </row>
    <row r="37" spans="1:16" ht="12.75" customHeight="1">
      <c r="A37" s="5"/>
      <c r="B37" s="162"/>
      <c r="C37" s="162"/>
      <c r="D37" s="162"/>
      <c r="E37" s="162"/>
      <c r="F37" s="162"/>
      <c r="G37" s="162"/>
      <c r="H37" s="162"/>
      <c r="I37" s="162"/>
      <c r="J37" s="162"/>
      <c r="K37" s="162"/>
      <c r="L37" s="162"/>
      <c r="M37" s="162"/>
      <c r="N37" s="5"/>
      <c r="O37" s="91"/>
      <c r="P37" s="91"/>
    </row>
    <row r="38" spans="1:16" ht="25.5">
      <c r="A38" s="45"/>
      <c r="B38" s="46">
        <v>39630</v>
      </c>
      <c r="C38" s="46">
        <v>39661</v>
      </c>
      <c r="D38" s="46">
        <v>39692</v>
      </c>
      <c r="E38" s="46">
        <v>39722</v>
      </c>
      <c r="F38" s="46">
        <v>39753</v>
      </c>
      <c r="G38" s="46">
        <v>39783</v>
      </c>
      <c r="H38" s="46">
        <v>39814</v>
      </c>
      <c r="I38" s="46">
        <v>39845</v>
      </c>
      <c r="J38" s="46">
        <v>39873</v>
      </c>
      <c r="K38" s="46">
        <v>39904</v>
      </c>
      <c r="L38" s="46">
        <v>39934</v>
      </c>
      <c r="M38" s="46">
        <v>39965</v>
      </c>
      <c r="N38" s="47" t="s">
        <v>354</v>
      </c>
      <c r="O38" s="55" t="s">
        <v>191</v>
      </c>
      <c r="P38" s="55" t="s">
        <v>165</v>
      </c>
    </row>
    <row r="39" spans="1:16" ht="12.75" customHeight="1">
      <c r="A39" s="48" t="s">
        <v>158</v>
      </c>
      <c r="B39" s="57"/>
      <c r="C39" s="57"/>
      <c r="D39" s="57"/>
      <c r="E39" s="57"/>
      <c r="F39" s="57"/>
      <c r="G39" s="57"/>
      <c r="H39" s="57"/>
      <c r="I39" s="57"/>
      <c r="J39" s="57"/>
      <c r="K39" s="57"/>
      <c r="L39" s="57"/>
      <c r="M39" s="57"/>
      <c r="N39" s="57"/>
      <c r="O39" s="74"/>
      <c r="P39" s="74"/>
    </row>
    <row r="40" spans="1:16" ht="12.75" customHeight="1">
      <c r="A40" s="50" t="s">
        <v>260</v>
      </c>
      <c r="B40" s="150">
        <v>3</v>
      </c>
      <c r="C40" s="150">
        <v>1</v>
      </c>
      <c r="D40" s="150">
        <v>67</v>
      </c>
      <c r="E40" s="150">
        <v>30</v>
      </c>
      <c r="F40" s="150">
        <v>16</v>
      </c>
      <c r="G40" s="150">
        <v>13</v>
      </c>
      <c r="H40" s="150">
        <v>19</v>
      </c>
      <c r="I40" s="150">
        <v>87</v>
      </c>
      <c r="J40" s="150">
        <v>22</v>
      </c>
      <c r="K40" s="78">
        <v>12</v>
      </c>
      <c r="L40" s="78">
        <v>2</v>
      </c>
      <c r="M40" s="78">
        <v>4</v>
      </c>
      <c r="N40" s="52">
        <f>SUM(B40:M40)</f>
        <v>276</v>
      </c>
      <c r="O40" s="53"/>
      <c r="P40" s="54"/>
    </row>
    <row r="41" spans="1:16" ht="12.75" customHeight="1">
      <c r="A41" s="50" t="s">
        <v>202</v>
      </c>
      <c r="B41" s="150">
        <v>5</v>
      </c>
      <c r="C41" s="150">
        <v>1</v>
      </c>
      <c r="D41" s="150">
        <v>217</v>
      </c>
      <c r="E41" s="150">
        <v>99</v>
      </c>
      <c r="F41" s="150">
        <v>60</v>
      </c>
      <c r="G41" s="150">
        <v>49</v>
      </c>
      <c r="H41" s="150">
        <v>52</v>
      </c>
      <c r="I41" s="150">
        <v>324</v>
      </c>
      <c r="J41" s="150">
        <v>65</v>
      </c>
      <c r="K41" s="78">
        <v>33</v>
      </c>
      <c r="L41" s="78">
        <v>8</v>
      </c>
      <c r="M41" s="78">
        <v>7</v>
      </c>
      <c r="N41" s="52">
        <f>SUM(B41:M41)</f>
        <v>920</v>
      </c>
      <c r="O41" s="53">
        <v>798</v>
      </c>
      <c r="P41" s="54" t="s">
        <v>13</v>
      </c>
    </row>
    <row r="42" spans="1:16" ht="12.75" customHeight="1">
      <c r="A42" s="50" t="s">
        <v>226</v>
      </c>
      <c r="B42" s="78">
        <v>0</v>
      </c>
      <c r="C42" s="78">
        <v>0</v>
      </c>
      <c r="D42" s="78">
        <v>148</v>
      </c>
      <c r="E42" s="78">
        <v>0</v>
      </c>
      <c r="F42" s="78">
        <v>0</v>
      </c>
      <c r="G42" s="78">
        <v>0</v>
      </c>
      <c r="H42" s="78">
        <v>0</v>
      </c>
      <c r="I42" s="78">
        <v>639</v>
      </c>
      <c r="J42" s="78">
        <v>0</v>
      </c>
      <c r="K42" s="78">
        <v>0</v>
      </c>
      <c r="L42" s="78">
        <v>0</v>
      </c>
      <c r="M42" s="78">
        <v>0</v>
      </c>
      <c r="N42" s="52">
        <f>SUM(B42:M42)</f>
        <v>787</v>
      </c>
      <c r="O42" s="53"/>
      <c r="P42" s="54"/>
    </row>
    <row r="43" spans="1:16" ht="12.75" customHeight="1">
      <c r="A43" s="50" t="s">
        <v>338</v>
      </c>
      <c r="B43" s="37">
        <v>3</v>
      </c>
      <c r="C43" s="37">
        <v>3</v>
      </c>
      <c r="D43" s="37">
        <v>3</v>
      </c>
      <c r="E43" s="37">
        <v>3</v>
      </c>
      <c r="F43" s="37">
        <v>3</v>
      </c>
      <c r="G43" s="37">
        <v>3</v>
      </c>
      <c r="H43" s="37">
        <v>3</v>
      </c>
      <c r="I43" s="37">
        <v>3</v>
      </c>
      <c r="J43" s="37">
        <v>3</v>
      </c>
      <c r="K43" s="37">
        <v>3</v>
      </c>
      <c r="L43" s="37">
        <v>3</v>
      </c>
      <c r="M43" s="37">
        <v>3</v>
      </c>
      <c r="N43" s="37">
        <v>3</v>
      </c>
      <c r="O43" s="17"/>
    </row>
    <row r="44" spans="1:16" ht="12.75" customHeight="1">
      <c r="A44" s="2"/>
      <c r="B44" s="166"/>
      <c r="C44" s="166"/>
      <c r="D44" s="166"/>
      <c r="E44" s="166"/>
      <c r="F44" s="166"/>
      <c r="G44" s="166"/>
      <c r="H44" s="166"/>
      <c r="I44" s="166"/>
      <c r="J44" s="166"/>
      <c r="K44" s="166"/>
      <c r="L44" s="166"/>
      <c r="M44" s="166"/>
      <c r="N44" s="40"/>
      <c r="O44" s="54"/>
      <c r="P44" s="54"/>
    </row>
    <row r="45" spans="1:16" ht="12.75" customHeight="1">
      <c r="A45" s="5"/>
      <c r="B45" s="162"/>
      <c r="C45" s="162"/>
      <c r="D45" s="162"/>
      <c r="E45" s="162"/>
      <c r="F45" s="162"/>
      <c r="G45" s="162"/>
      <c r="H45" s="162"/>
      <c r="I45" s="162"/>
      <c r="J45" s="162"/>
      <c r="K45" s="162"/>
      <c r="L45" s="162"/>
      <c r="M45" s="162"/>
      <c r="N45" s="5"/>
      <c r="O45" s="91"/>
      <c r="P45" s="91"/>
    </row>
    <row r="46" spans="1:16" ht="25.5">
      <c r="A46" s="45"/>
      <c r="B46" s="46">
        <v>39630</v>
      </c>
      <c r="C46" s="46">
        <v>39661</v>
      </c>
      <c r="D46" s="46">
        <v>39692</v>
      </c>
      <c r="E46" s="46">
        <v>39722</v>
      </c>
      <c r="F46" s="46">
        <v>39753</v>
      </c>
      <c r="G46" s="46">
        <v>39783</v>
      </c>
      <c r="H46" s="46">
        <v>39814</v>
      </c>
      <c r="I46" s="46">
        <v>39845</v>
      </c>
      <c r="J46" s="46">
        <v>39873</v>
      </c>
      <c r="K46" s="46">
        <v>39904</v>
      </c>
      <c r="L46" s="46">
        <v>39934</v>
      </c>
      <c r="M46" s="46">
        <v>39965</v>
      </c>
      <c r="N46" s="47" t="s">
        <v>354</v>
      </c>
      <c r="O46" s="55" t="s">
        <v>191</v>
      </c>
      <c r="P46" s="55" t="s">
        <v>165</v>
      </c>
    </row>
    <row r="47" spans="1:16" ht="12.75" customHeight="1">
      <c r="A47" s="48" t="s">
        <v>343</v>
      </c>
      <c r="B47" s="57"/>
      <c r="C47" s="57"/>
      <c r="D47" s="57"/>
      <c r="E47" s="57"/>
      <c r="F47" s="57"/>
      <c r="G47" s="57"/>
      <c r="H47" s="57"/>
      <c r="I47" s="57"/>
      <c r="J47" s="57"/>
      <c r="K47" s="57"/>
      <c r="L47" s="57"/>
      <c r="M47" s="57"/>
      <c r="N47" s="57"/>
      <c r="O47" s="74"/>
      <c r="P47" s="74"/>
    </row>
    <row r="48" spans="1:16" ht="12.75" customHeight="1">
      <c r="A48" s="50" t="s">
        <v>260</v>
      </c>
      <c r="B48" s="150">
        <v>0</v>
      </c>
      <c r="C48" s="150">
        <v>0</v>
      </c>
      <c r="D48" s="150">
        <v>333</v>
      </c>
      <c r="E48" s="150">
        <v>454</v>
      </c>
      <c r="F48" s="150">
        <v>414</v>
      </c>
      <c r="G48" s="150">
        <v>154</v>
      </c>
      <c r="H48" s="150">
        <v>92</v>
      </c>
      <c r="I48" s="150">
        <v>388</v>
      </c>
      <c r="J48" s="150">
        <v>157</v>
      </c>
      <c r="K48" s="78">
        <v>271</v>
      </c>
      <c r="L48" s="78">
        <v>109</v>
      </c>
      <c r="M48" s="78">
        <v>176</v>
      </c>
      <c r="N48" s="52">
        <f>SUM(B48:M48)</f>
        <v>2548</v>
      </c>
      <c r="O48" s="53"/>
      <c r="P48" s="54"/>
    </row>
    <row r="49" spans="1:16" ht="12.75" customHeight="1">
      <c r="A49" s="50" t="s">
        <v>202</v>
      </c>
      <c r="B49" s="150">
        <v>0</v>
      </c>
      <c r="C49" s="150">
        <v>0</v>
      </c>
      <c r="D49" s="150">
        <v>1457</v>
      </c>
      <c r="E49" s="150">
        <v>2196</v>
      </c>
      <c r="F49" s="150">
        <v>1713</v>
      </c>
      <c r="G49" s="150">
        <v>679</v>
      </c>
      <c r="H49" s="150">
        <v>417</v>
      </c>
      <c r="I49" s="150">
        <v>1864</v>
      </c>
      <c r="J49" s="150">
        <v>639</v>
      </c>
      <c r="K49" s="78">
        <v>933</v>
      </c>
      <c r="L49" s="78">
        <v>398</v>
      </c>
      <c r="M49" s="78">
        <v>599</v>
      </c>
      <c r="N49" s="52">
        <f>SUM(B49:M49)</f>
        <v>10895</v>
      </c>
      <c r="O49" s="53">
        <v>0</v>
      </c>
      <c r="P49" s="54">
        <v>0</v>
      </c>
    </row>
    <row r="50" spans="1:16" ht="12.75" customHeight="1">
      <c r="A50" s="50" t="s">
        <v>226</v>
      </c>
      <c r="B50" s="78">
        <v>0</v>
      </c>
      <c r="C50" s="78">
        <v>0</v>
      </c>
      <c r="D50" s="78">
        <v>0</v>
      </c>
      <c r="E50" s="78">
        <v>0</v>
      </c>
      <c r="F50" s="78">
        <v>0</v>
      </c>
      <c r="G50" s="78">
        <v>0</v>
      </c>
      <c r="H50" s="78">
        <v>0</v>
      </c>
      <c r="I50" s="78">
        <v>0</v>
      </c>
      <c r="J50" s="78">
        <v>0</v>
      </c>
      <c r="K50" s="78">
        <v>0</v>
      </c>
      <c r="L50" s="78">
        <v>0</v>
      </c>
      <c r="M50" s="78">
        <v>0</v>
      </c>
      <c r="N50" s="52">
        <f>SUM(B50:M50)</f>
        <v>0</v>
      </c>
      <c r="O50" s="53"/>
      <c r="P50" s="54"/>
    </row>
    <row r="51" spans="1:16" ht="25.5">
      <c r="A51" s="50" t="s">
        <v>338</v>
      </c>
      <c r="B51" s="37" t="s">
        <v>229</v>
      </c>
      <c r="C51" s="37" t="s">
        <v>229</v>
      </c>
      <c r="D51" s="37" t="s">
        <v>229</v>
      </c>
      <c r="E51" s="37" t="s">
        <v>229</v>
      </c>
      <c r="F51" s="37" t="s">
        <v>229</v>
      </c>
      <c r="G51" s="37" t="s">
        <v>229</v>
      </c>
      <c r="H51" s="37" t="s">
        <v>229</v>
      </c>
      <c r="I51" s="37" t="s">
        <v>229</v>
      </c>
      <c r="J51" s="37" t="s">
        <v>229</v>
      </c>
      <c r="K51" s="37" t="s">
        <v>229</v>
      </c>
      <c r="L51" s="37" t="s">
        <v>229</v>
      </c>
      <c r="M51" s="37" t="s">
        <v>229</v>
      </c>
      <c r="N51" s="37" t="s">
        <v>166</v>
      </c>
      <c r="O51" s="17"/>
    </row>
    <row r="52" spans="1:16" ht="12.75" customHeight="1">
      <c r="A52" s="2"/>
      <c r="B52" s="166"/>
      <c r="C52" s="166"/>
      <c r="D52" s="166"/>
      <c r="E52" s="166"/>
      <c r="F52" s="166"/>
      <c r="G52" s="166"/>
      <c r="H52" s="166"/>
      <c r="I52" s="166"/>
      <c r="J52" s="166"/>
      <c r="K52" s="166"/>
      <c r="L52" s="166"/>
      <c r="M52" s="166"/>
      <c r="N52" s="40"/>
      <c r="O52" s="54"/>
      <c r="P52" s="54"/>
    </row>
    <row r="53" spans="1:16" ht="12.75" customHeight="1">
      <c r="A53" s="5"/>
      <c r="B53" s="162"/>
      <c r="C53" s="162"/>
      <c r="D53" s="162"/>
      <c r="E53" s="162"/>
      <c r="F53" s="162"/>
      <c r="G53" s="162"/>
      <c r="H53" s="162"/>
      <c r="I53" s="162"/>
      <c r="J53" s="162"/>
      <c r="K53" s="162"/>
      <c r="L53" s="162"/>
      <c r="M53" s="162"/>
      <c r="N53" s="5"/>
      <c r="O53" s="91"/>
      <c r="P53" s="91"/>
    </row>
    <row r="54" spans="1:16" ht="25.5">
      <c r="A54" s="45"/>
      <c r="B54" s="46">
        <v>39630</v>
      </c>
      <c r="C54" s="46">
        <v>39661</v>
      </c>
      <c r="D54" s="46">
        <v>39692</v>
      </c>
      <c r="E54" s="46">
        <v>39722</v>
      </c>
      <c r="F54" s="46">
        <v>39753</v>
      </c>
      <c r="G54" s="46">
        <v>39783</v>
      </c>
      <c r="H54" s="46">
        <v>39814</v>
      </c>
      <c r="I54" s="46">
        <v>39845</v>
      </c>
      <c r="J54" s="46">
        <v>39873</v>
      </c>
      <c r="K54" s="46">
        <v>39904</v>
      </c>
      <c r="L54" s="46">
        <v>39934</v>
      </c>
      <c r="M54" s="46">
        <v>39965</v>
      </c>
      <c r="N54" s="47" t="s">
        <v>354</v>
      </c>
      <c r="O54" s="55" t="s">
        <v>191</v>
      </c>
      <c r="P54" s="55" t="s">
        <v>165</v>
      </c>
    </row>
    <row r="55" spans="1:16" ht="12.75" customHeight="1">
      <c r="A55" s="48" t="s">
        <v>289</v>
      </c>
      <c r="B55" s="57"/>
      <c r="C55" s="57"/>
      <c r="D55" s="57"/>
      <c r="E55" s="57"/>
      <c r="F55" s="57"/>
      <c r="G55" s="57"/>
      <c r="H55" s="57"/>
      <c r="I55" s="57"/>
      <c r="J55" s="57"/>
      <c r="K55" s="57"/>
      <c r="L55" s="57"/>
      <c r="M55" s="57"/>
      <c r="N55" s="57"/>
      <c r="O55" s="74"/>
      <c r="P55" s="74"/>
    </row>
    <row r="56" spans="1:16" ht="12.75" customHeight="1">
      <c r="A56" s="50" t="s">
        <v>260</v>
      </c>
      <c r="B56" s="150">
        <v>15</v>
      </c>
      <c r="C56" s="150">
        <v>3</v>
      </c>
      <c r="D56" s="150">
        <v>52</v>
      </c>
      <c r="E56" s="150">
        <v>83</v>
      </c>
      <c r="F56" s="150">
        <v>81</v>
      </c>
      <c r="G56" s="150">
        <v>55</v>
      </c>
      <c r="H56" s="78">
        <v>12</v>
      </c>
      <c r="I56" s="78">
        <v>74</v>
      </c>
      <c r="J56" s="78">
        <v>73</v>
      </c>
      <c r="K56" s="78">
        <v>65</v>
      </c>
      <c r="L56" s="78">
        <v>21</v>
      </c>
      <c r="M56" s="78">
        <v>15</v>
      </c>
      <c r="N56" s="52">
        <f>SUM(B56:M56)</f>
        <v>549</v>
      </c>
      <c r="O56" s="53"/>
      <c r="P56" s="54"/>
    </row>
    <row r="57" spans="1:16" ht="12.75" customHeight="1">
      <c r="A57" s="50" t="s">
        <v>202</v>
      </c>
      <c r="B57" s="150">
        <v>37</v>
      </c>
      <c r="C57" s="150">
        <v>5</v>
      </c>
      <c r="D57" s="150">
        <v>145</v>
      </c>
      <c r="E57" s="150">
        <v>193</v>
      </c>
      <c r="F57" s="150">
        <v>269</v>
      </c>
      <c r="G57" s="150">
        <v>161</v>
      </c>
      <c r="H57" s="78">
        <v>21</v>
      </c>
      <c r="I57" s="78">
        <v>204</v>
      </c>
      <c r="J57" s="78">
        <v>214</v>
      </c>
      <c r="K57" s="78">
        <v>185</v>
      </c>
      <c r="L57" s="78">
        <v>45</v>
      </c>
      <c r="M57" s="78">
        <v>58</v>
      </c>
      <c r="N57" s="52">
        <f>SUM(B57:M57)</f>
        <v>1537</v>
      </c>
      <c r="O57" s="53">
        <v>822</v>
      </c>
      <c r="P57" s="54" t="s">
        <v>13</v>
      </c>
    </row>
    <row r="58" spans="1:16" ht="12.75" customHeight="1">
      <c r="A58" s="50" t="s">
        <v>226</v>
      </c>
      <c r="B58" s="78">
        <v>0</v>
      </c>
      <c r="C58" s="78">
        <v>0</v>
      </c>
      <c r="D58" s="78">
        <v>0</v>
      </c>
      <c r="E58" s="78">
        <v>0</v>
      </c>
      <c r="F58" s="78">
        <v>0</v>
      </c>
      <c r="G58" s="78">
        <v>0</v>
      </c>
      <c r="H58" s="78">
        <v>0</v>
      </c>
      <c r="I58" s="78">
        <v>2</v>
      </c>
      <c r="J58" s="78">
        <v>11</v>
      </c>
      <c r="K58" s="78">
        <v>0</v>
      </c>
      <c r="L58" s="78">
        <v>0</v>
      </c>
      <c r="M58" s="78">
        <v>0</v>
      </c>
      <c r="N58" s="52">
        <f>SUM(B58:M58)</f>
        <v>13</v>
      </c>
      <c r="O58" s="53"/>
      <c r="P58" s="54"/>
    </row>
    <row r="59" spans="1:16" ht="12.75" customHeight="1">
      <c r="A59" s="50" t="s">
        <v>338</v>
      </c>
      <c r="B59" s="37">
        <v>3</v>
      </c>
      <c r="C59" s="37">
        <v>3</v>
      </c>
      <c r="D59" s="37">
        <v>3</v>
      </c>
      <c r="E59" s="37">
        <v>3</v>
      </c>
      <c r="F59" s="37">
        <v>3</v>
      </c>
      <c r="G59" s="37">
        <v>3</v>
      </c>
      <c r="H59" s="37">
        <v>3</v>
      </c>
      <c r="I59" s="37">
        <v>3</v>
      </c>
      <c r="J59" s="37">
        <v>3</v>
      </c>
      <c r="K59" s="37">
        <v>3</v>
      </c>
      <c r="L59" s="37">
        <v>3</v>
      </c>
      <c r="M59" s="37">
        <v>3</v>
      </c>
      <c r="N59" s="37">
        <v>3</v>
      </c>
      <c r="O59" s="17"/>
    </row>
    <row r="60" spans="1:16" ht="12.75" customHeight="1">
      <c r="A60" s="2"/>
      <c r="B60" s="166"/>
      <c r="C60" s="166"/>
      <c r="D60" s="166"/>
      <c r="E60" s="166"/>
      <c r="F60" s="166"/>
      <c r="G60" s="166"/>
      <c r="H60" s="166"/>
      <c r="I60" s="166"/>
      <c r="J60" s="166"/>
      <c r="K60" s="166"/>
      <c r="L60" s="166"/>
      <c r="M60" s="166"/>
      <c r="N60" s="40"/>
      <c r="O60" s="54"/>
      <c r="P60" s="54"/>
    </row>
    <row r="61" spans="1:16" ht="12.75" customHeight="1">
      <c r="A61" s="5"/>
      <c r="B61" s="162"/>
      <c r="C61" s="162"/>
      <c r="D61" s="162"/>
      <c r="E61" s="162"/>
      <c r="F61" s="162"/>
      <c r="G61" s="162"/>
      <c r="H61" s="162"/>
      <c r="I61" s="162"/>
      <c r="J61" s="162"/>
      <c r="K61" s="162"/>
      <c r="L61" s="162"/>
      <c r="M61" s="162"/>
      <c r="N61" s="5"/>
      <c r="O61" s="91"/>
      <c r="P61" s="91"/>
    </row>
    <row r="62" spans="1:16" ht="25.5">
      <c r="A62" s="45"/>
      <c r="B62" s="46">
        <v>39630</v>
      </c>
      <c r="C62" s="46">
        <v>39661</v>
      </c>
      <c r="D62" s="46">
        <v>39692</v>
      </c>
      <c r="E62" s="46">
        <v>39722</v>
      </c>
      <c r="F62" s="46">
        <v>39753</v>
      </c>
      <c r="G62" s="46">
        <v>39783</v>
      </c>
      <c r="H62" s="46">
        <v>39814</v>
      </c>
      <c r="I62" s="46">
        <v>39845</v>
      </c>
      <c r="J62" s="46">
        <v>39873</v>
      </c>
      <c r="K62" s="46">
        <v>39904</v>
      </c>
      <c r="L62" s="46">
        <v>39934</v>
      </c>
      <c r="M62" s="46">
        <v>39965</v>
      </c>
      <c r="N62" s="47" t="s">
        <v>354</v>
      </c>
      <c r="O62" s="55" t="s">
        <v>191</v>
      </c>
      <c r="P62" s="55" t="s">
        <v>165</v>
      </c>
    </row>
    <row r="63" spans="1:16" ht="12.75" customHeight="1">
      <c r="A63" s="48" t="s">
        <v>48</v>
      </c>
      <c r="B63" s="57"/>
      <c r="C63" s="57"/>
      <c r="D63" s="57"/>
      <c r="E63" s="57"/>
      <c r="F63" s="57"/>
      <c r="G63" s="57"/>
      <c r="H63" s="57"/>
      <c r="I63" s="57"/>
      <c r="J63" s="57"/>
      <c r="K63" s="57"/>
      <c r="L63" s="57"/>
      <c r="M63" s="57"/>
      <c r="N63" s="57"/>
      <c r="O63" s="188" t="s">
        <v>333</v>
      </c>
      <c r="P63" s="188"/>
    </row>
    <row r="64" spans="1:16" ht="12.75" customHeight="1">
      <c r="A64" s="50" t="s">
        <v>260</v>
      </c>
      <c r="B64" s="151">
        <v>13</v>
      </c>
      <c r="C64" s="151">
        <v>1</v>
      </c>
      <c r="D64" s="151">
        <v>70</v>
      </c>
      <c r="E64" s="151">
        <v>50</v>
      </c>
      <c r="F64" s="151">
        <v>11</v>
      </c>
      <c r="G64" s="151">
        <v>14</v>
      </c>
      <c r="H64" s="78">
        <v>8</v>
      </c>
      <c r="I64" s="78">
        <v>19</v>
      </c>
      <c r="J64" s="78">
        <v>17</v>
      </c>
      <c r="K64" s="78">
        <v>7</v>
      </c>
      <c r="L64" s="78">
        <v>3</v>
      </c>
      <c r="M64" s="78">
        <v>20</v>
      </c>
      <c r="N64" s="52">
        <f>SUM(B64:M64)</f>
        <v>233</v>
      </c>
      <c r="O64" s="53"/>
      <c r="P64" s="54"/>
    </row>
    <row r="65" spans="1:17" ht="12.75" customHeight="1">
      <c r="A65" s="50" t="s">
        <v>202</v>
      </c>
      <c r="B65" s="151">
        <v>55</v>
      </c>
      <c r="C65" s="151">
        <v>1</v>
      </c>
      <c r="D65" s="151">
        <v>350</v>
      </c>
      <c r="E65" s="151">
        <v>205</v>
      </c>
      <c r="F65" s="151">
        <v>35</v>
      </c>
      <c r="G65" s="151">
        <v>56</v>
      </c>
      <c r="H65" s="78">
        <v>27</v>
      </c>
      <c r="I65" s="78">
        <v>61</v>
      </c>
      <c r="J65" s="78">
        <v>34</v>
      </c>
      <c r="K65" s="78">
        <v>13</v>
      </c>
      <c r="L65" s="78">
        <v>8</v>
      </c>
      <c r="M65" s="78">
        <v>147</v>
      </c>
      <c r="N65" s="52">
        <f>SUM(B65:M65)</f>
        <v>992</v>
      </c>
      <c r="O65" s="53">
        <v>326</v>
      </c>
      <c r="P65" s="54" t="s">
        <v>13</v>
      </c>
    </row>
    <row r="66" spans="1:17" ht="12.75" customHeight="1">
      <c r="A66" s="50" t="s">
        <v>226</v>
      </c>
      <c r="B66" s="78">
        <v>0</v>
      </c>
      <c r="C66" s="78">
        <v>0</v>
      </c>
      <c r="D66" s="78">
        <v>0</v>
      </c>
      <c r="E66" s="78">
        <v>0</v>
      </c>
      <c r="F66" s="78">
        <v>0</v>
      </c>
      <c r="G66" s="78">
        <v>0</v>
      </c>
      <c r="H66" s="78">
        <v>0</v>
      </c>
      <c r="I66" s="78">
        <v>0</v>
      </c>
      <c r="J66" s="78">
        <v>0</v>
      </c>
      <c r="K66" s="78">
        <v>0</v>
      </c>
      <c r="L66" s="78">
        <v>0</v>
      </c>
      <c r="M66" s="78">
        <v>0</v>
      </c>
      <c r="N66" s="52">
        <f>SUM(B66:M66)</f>
        <v>0</v>
      </c>
      <c r="O66" s="53"/>
      <c r="P66" s="54"/>
    </row>
    <row r="67" spans="1:17" ht="12.75" customHeight="1">
      <c r="A67" s="50" t="s">
        <v>338</v>
      </c>
      <c r="B67" s="37">
        <v>4</v>
      </c>
      <c r="C67" s="37">
        <v>4</v>
      </c>
      <c r="D67" s="37">
        <v>4</v>
      </c>
      <c r="E67" s="37">
        <v>4</v>
      </c>
      <c r="F67" s="37">
        <v>4</v>
      </c>
      <c r="G67" s="37">
        <v>4</v>
      </c>
      <c r="H67" s="37">
        <v>4</v>
      </c>
      <c r="I67" s="37">
        <v>4</v>
      </c>
      <c r="J67" s="37">
        <v>4</v>
      </c>
      <c r="K67" s="37">
        <v>4</v>
      </c>
      <c r="L67" s="37">
        <v>4</v>
      </c>
      <c r="M67" s="37">
        <v>4</v>
      </c>
      <c r="N67" s="37">
        <v>4</v>
      </c>
      <c r="O67" s="17"/>
    </row>
    <row r="68" spans="1:17" ht="12.75" customHeight="1">
      <c r="A68" s="2"/>
      <c r="B68" s="41"/>
      <c r="C68" s="41"/>
      <c r="D68" s="41"/>
      <c r="E68" s="41"/>
      <c r="F68" s="41"/>
      <c r="G68" s="41"/>
      <c r="H68" s="41"/>
      <c r="I68" s="41"/>
      <c r="J68" s="41"/>
      <c r="K68" s="41"/>
      <c r="L68" s="41"/>
      <c r="M68" s="41"/>
      <c r="N68" s="41"/>
    </row>
    <row r="69" spans="1:17" ht="12.75" customHeight="1">
      <c r="A69" s="2"/>
    </row>
    <row r="70" spans="1:17" ht="12.75" customHeight="1">
      <c r="A70" s="2"/>
    </row>
    <row r="71" spans="1:17" ht="12.75" customHeight="1">
      <c r="A71" s="168" t="s">
        <v>293</v>
      </c>
      <c r="B71" s="170"/>
      <c r="C71" s="170"/>
      <c r="D71" s="170"/>
      <c r="E71" s="170"/>
      <c r="F71" s="170"/>
      <c r="G71" s="170"/>
      <c r="H71" s="170"/>
      <c r="I71" s="170"/>
      <c r="J71" s="170"/>
      <c r="K71" s="170"/>
      <c r="L71" s="170"/>
      <c r="M71" s="170"/>
      <c r="N71" s="170"/>
      <c r="O71" s="170"/>
      <c r="P71" s="170"/>
      <c r="Q71" s="170"/>
    </row>
  </sheetData>
  <mergeCells count="2">
    <mergeCell ref="O63:P63"/>
    <mergeCell ref="A71:Q71"/>
  </mergeCells>
  <pageMargins left="0.75" right="0.75" top="1" bottom="1" header="0.5" footer="0.5"/>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31</vt:i4>
      </vt:variant>
    </vt:vector>
  </HeadingPairs>
  <TitlesOfParts>
    <vt:vector size="31" baseType="lpstr">
      <vt:lpstr>Summary</vt:lpstr>
      <vt:lpstr>ClassificationWeb</vt:lpstr>
      <vt:lpstr>ARTstor</vt:lpstr>
      <vt:lpstr>CIAO</vt:lpstr>
      <vt:lpstr>Cochrane</vt:lpstr>
      <vt:lpstr>Compendex(EI)</vt:lpstr>
      <vt:lpstr>CQ Researcher</vt:lpstr>
      <vt:lpstr>Greenwood</vt:lpstr>
      <vt:lpstr>CSA</vt:lpstr>
      <vt:lpstr>EBSCOhost</vt:lpstr>
      <vt:lpstr>Elsevier</vt:lpstr>
      <vt:lpstr>FirstSearch</vt:lpstr>
      <vt:lpstr>FSTA</vt:lpstr>
      <vt:lpstr>InfoTrac</vt:lpstr>
      <vt:lpstr>KCDL</vt:lpstr>
      <vt:lpstr>Lexi-Comp</vt:lpstr>
      <vt:lpstr>LexisNexis</vt:lpstr>
      <vt:lpstr>MathSciNet</vt:lpstr>
      <vt:lpstr>Mergent</vt:lpstr>
      <vt:lpstr>MetaPress</vt:lpstr>
      <vt:lpstr>netLibrary</vt:lpstr>
      <vt:lpstr>Newsbank</vt:lpstr>
      <vt:lpstr>OVID</vt:lpstr>
      <vt:lpstr>WebofScience</vt:lpstr>
      <vt:lpstr>Oxford</vt:lpstr>
      <vt:lpstr>ProQuest</vt:lpstr>
      <vt:lpstr>ReferenceUSA</vt:lpstr>
      <vt:lpstr>RefWorks</vt:lpstr>
      <vt:lpstr>SciFinderScholar</vt:lpstr>
      <vt:lpstr>WebSpirs</vt:lpstr>
      <vt:lpstr>WilsonWeb</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cp:lastModifiedBy>
  <dcterms:created xsi:type="dcterms:W3CDTF">2010-12-14T13:34:00Z</dcterms:created>
  <dcterms:modified xsi:type="dcterms:W3CDTF">2010-12-14T13:34:01Z</dcterms:modified>
</cp:coreProperties>
</file>