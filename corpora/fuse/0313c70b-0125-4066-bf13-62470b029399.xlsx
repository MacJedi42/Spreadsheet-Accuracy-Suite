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15" yWindow="-15" windowWidth="7395" windowHeight="8685" tabRatio="929"/>
  </bookViews>
  <sheets>
    <sheet name="Project Level Data" sheetId="1" r:id="rId1"/>
    <sheet name="County Summary" sheetId="5" r:id="rId2"/>
  </sheets>
  <definedNames>
    <definedName name="_xlnm.Print_Area" localSheetId="1">'County Summary'!$A$5:$E$75</definedName>
    <definedName name="_xlnm.Print_Titles" localSheetId="0">'Project Level Data'!$6:$6</definedName>
    <definedName name="Query_from_MS_Access_Database" localSheetId="0">'Project Level Data'!#REF!</definedName>
  </definedNames>
  <calcPr calcId="145621" fullCalcOnLoad="1"/>
  <pivotCaches>
    <pivotCache cacheId="0" r:id="rId3"/>
  </pivotCaches>
</workbook>
</file>

<file path=xl/calcChain.xml><?xml version="1.0" encoding="utf-8"?>
<calcChain xmlns="http://schemas.openxmlformats.org/spreadsheetml/2006/main">
  <c r="H2298" i="1" l="1"/>
  <c r="G2298" i="1"/>
  <c r="C2298" i="1"/>
</calcChain>
</file>

<file path=xl/sharedStrings.xml><?xml version="1.0" encoding="utf-8"?>
<sst xmlns="http://schemas.openxmlformats.org/spreadsheetml/2006/main" count="9210" uniqueCount="4638">
  <si>
    <t>Penn and Farquhar Park-York</t>
  </si>
  <si>
    <t>Lutheran Theological Seminary</t>
  </si>
  <si>
    <t>North Philadelphia Health System</t>
  </si>
  <si>
    <t>St. Agnes Hospital Conversion</t>
  </si>
  <si>
    <t>City Wide Youth Mini Mall</t>
  </si>
  <si>
    <t>Pleasant Playground</t>
  </si>
  <si>
    <t>Robinhood Dell East</t>
  </si>
  <si>
    <t>Progress Plaza I</t>
  </si>
  <si>
    <t>Progress Plaza II</t>
  </si>
  <si>
    <t>Germantown YWCA Rehabilitation</t>
  </si>
  <si>
    <t>Advanced Communications</t>
  </si>
  <si>
    <t>0253-03</t>
  </si>
  <si>
    <t>Northcentral KOZ-Coudersport Industrial Park</t>
  </si>
  <si>
    <t>0319-01</t>
  </si>
  <si>
    <t>0278-00</t>
  </si>
  <si>
    <t>Windber Biotech</t>
  </si>
  <si>
    <t>0278-01</t>
  </si>
  <si>
    <t>Windber Biotech II</t>
  </si>
  <si>
    <t>0407-01</t>
  </si>
  <si>
    <t>0407-02</t>
  </si>
  <si>
    <t>0429-00</t>
  </si>
  <si>
    <t>0251-01</t>
  </si>
  <si>
    <t>York Stadium II</t>
  </si>
  <si>
    <t>0434-00</t>
  </si>
  <si>
    <t>0437-00</t>
  </si>
  <si>
    <t>0437-01</t>
  </si>
  <si>
    <t>TOTALS</t>
  </si>
  <si>
    <t>Count of ME #</t>
  </si>
  <si>
    <t>Bedford Springs Resort Hotel &amp; SPA</t>
  </si>
  <si>
    <t>Scranton Medallion Parking Garage</t>
  </si>
  <si>
    <t>0106-03</t>
  </si>
  <si>
    <t>Nine Mile Run IV</t>
  </si>
  <si>
    <t>0241-01</t>
  </si>
  <si>
    <t>WQED II</t>
  </si>
  <si>
    <t>0420-00</t>
  </si>
  <si>
    <t>0438-00</t>
  </si>
  <si>
    <t>Magee Womens Research Institute III</t>
  </si>
  <si>
    <t>National Aviary</t>
  </si>
  <si>
    <t>National Aviary II</t>
  </si>
  <si>
    <t>Horticultural Society of Western PA</t>
  </si>
  <si>
    <t>Carnegie Library of Pittsburgh-Infrastructure</t>
  </si>
  <si>
    <t>Rochester Waterfront Redevelopment</t>
  </si>
  <si>
    <t>Bridgewater Crossing-Ohio River Mixed Use</t>
  </si>
  <si>
    <t>Westgate Business Park</t>
  </si>
  <si>
    <t>Reading Movie Theatre and Parking Garage</t>
  </si>
  <si>
    <t>Reading 700 Penn Street Project</t>
  </si>
  <si>
    <t>Keystone Food Industry Park</t>
  </si>
  <si>
    <t>0441-00</t>
  </si>
  <si>
    <t>Northampton Township Senior Center-Bucks</t>
  </si>
  <si>
    <t>0442-00</t>
  </si>
  <si>
    <t>Northampton Twp Free Library-Bucks</t>
  </si>
  <si>
    <t>Family Services of Bucks County</t>
  </si>
  <si>
    <t>0286-02</t>
  </si>
  <si>
    <t>PA Horticultural Research &amp; Education Center</t>
  </si>
  <si>
    <t>0432-00</t>
  </si>
  <si>
    <t>Ridley Park Borough Improvements</t>
  </si>
  <si>
    <t>0443-00</t>
  </si>
  <si>
    <t>Mann Center for the Performing Arts III</t>
  </si>
  <si>
    <t>Mann Center for the Performing Arts IV</t>
  </si>
  <si>
    <t>0466-00</t>
  </si>
  <si>
    <t>0475-00</t>
  </si>
  <si>
    <t>Pittsburgh Airport Center for Business Education</t>
  </si>
  <si>
    <t>Harrisburg University III</t>
  </si>
  <si>
    <t>Hillman Cancer Center</t>
  </si>
  <si>
    <t>Reading Movie Theatre and Parking Garage II</t>
  </si>
  <si>
    <t>Reading 700 Penn Street Project II</t>
  </si>
  <si>
    <t>Dickinson School of Law</t>
  </si>
  <si>
    <t>Rt 119 Business Park</t>
  </si>
  <si>
    <t>0312-01</t>
  </si>
  <si>
    <t>0451-02</t>
  </si>
  <si>
    <t>New Arena Site Demolition and Site Prep-PWSA</t>
  </si>
  <si>
    <t>0451-03</t>
  </si>
  <si>
    <t>New Arena Site Prep III</t>
  </si>
  <si>
    <t>0456-01</t>
  </si>
  <si>
    <t>0521-03</t>
  </si>
  <si>
    <t>Carnegie Library-East Liberty II</t>
  </si>
  <si>
    <t>0769-00</t>
  </si>
  <si>
    <t>0793-00</t>
  </si>
  <si>
    <t>0794-00</t>
  </si>
  <si>
    <t>0803-00</t>
  </si>
  <si>
    <t>0807-00</t>
  </si>
  <si>
    <t>0808-00</t>
  </si>
  <si>
    <t>0813-00</t>
  </si>
  <si>
    <t>0813-02</t>
  </si>
  <si>
    <t>0817-00</t>
  </si>
  <si>
    <t>East Liberty Commercial District</t>
  </si>
  <si>
    <t>Castle Shannon Transit Village II</t>
  </si>
  <si>
    <t>Castle Shannon Transit Village III</t>
  </si>
  <si>
    <t>0756-00</t>
  </si>
  <si>
    <t>0783-01</t>
  </si>
  <si>
    <t>0361-02</t>
  </si>
  <si>
    <t>Alvernia College III</t>
  </si>
  <si>
    <t>First Energy Stadium</t>
  </si>
  <si>
    <t>0449-04</t>
  </si>
  <si>
    <t>Greater Johnstown Regional Technology Center V</t>
  </si>
  <si>
    <t>Innovation Park</t>
  </si>
  <si>
    <t>0814-00</t>
  </si>
  <si>
    <t>Malvern Fire Company</t>
  </si>
  <si>
    <t>Clifton Heights Borough Center II</t>
  </si>
  <si>
    <t>0829-00</t>
  </si>
  <si>
    <t>Uniontown Hospital</t>
  </si>
  <si>
    <t>Mulberry Street Corridor-2010</t>
  </si>
  <si>
    <t>Allied Services Bridge Facility</t>
  </si>
  <si>
    <t>Valley View Technology Incubator</t>
  </si>
  <si>
    <t>0718-00</t>
  </si>
  <si>
    <t>Overlook Park</t>
  </si>
  <si>
    <t>Old Allentown Preservation Association</t>
  </si>
  <si>
    <t>Parkland Community Library</t>
  </si>
  <si>
    <t>Cityplace-Schoens Building Renovation II</t>
  </si>
  <si>
    <t>Pittston Main Street Redevelopment</t>
  </si>
  <si>
    <t>Pittston Riverfront Development</t>
  </si>
  <si>
    <t>City Avenue Streetscape II</t>
  </si>
  <si>
    <t>Sunnybrook Ballroom and Convention Center</t>
  </si>
  <si>
    <t>0422-03</t>
  </si>
  <si>
    <t>Northampton County Historical Society III</t>
  </si>
  <si>
    <t>0618-03</t>
  </si>
  <si>
    <t>St. Lukes Riverfront Health Campus IV</t>
  </si>
  <si>
    <t>0785-03</t>
  </si>
  <si>
    <t>Ben Franklin Tech Ventures IV</t>
  </si>
  <si>
    <t>0812-00</t>
  </si>
  <si>
    <t>0812-01</t>
  </si>
  <si>
    <t>0812-02</t>
  </si>
  <si>
    <t>Steel Stax Performing Arts VII</t>
  </si>
  <si>
    <t>0198-01</t>
  </si>
  <si>
    <t>0548-04</t>
  </si>
  <si>
    <t>Nueva Esperanza VI</t>
  </si>
  <si>
    <t>Woodlands Botanical Gardens</t>
  </si>
  <si>
    <t>0759-01</t>
  </si>
  <si>
    <t>0759-02</t>
  </si>
  <si>
    <t>0759-03</t>
  </si>
  <si>
    <t>0768-00</t>
  </si>
  <si>
    <t>0799-00</t>
  </si>
  <si>
    <t>0799-01</t>
  </si>
  <si>
    <t>0819-00</t>
  </si>
  <si>
    <t>Enterprise Heights II</t>
  </si>
  <si>
    <t>International House III</t>
  </si>
  <si>
    <t>Asian Arts Share Facility III</t>
  </si>
  <si>
    <t>Cranaleith Center</t>
  </si>
  <si>
    <t>Cranaleith Center II</t>
  </si>
  <si>
    <t>Uptown Theatre</t>
  </si>
  <si>
    <t>Nicetown Court</t>
  </si>
  <si>
    <t>Sultan Jihad Ahmad Community Center</t>
  </si>
  <si>
    <t>Heritage Center-Union League</t>
  </si>
  <si>
    <t>Pennsylvania Ballet</t>
  </si>
  <si>
    <t>Boyd Theatre</t>
  </si>
  <si>
    <t>Cheltenham Shop Rite Remodel</t>
  </si>
  <si>
    <t>Cheltenham-Ogontz Bus Loop Improvements</t>
  </si>
  <si>
    <t>West Cheltenham Avenue Redevelopment Project</t>
  </si>
  <si>
    <t>0741-01</t>
  </si>
  <si>
    <t>0741-02</t>
  </si>
  <si>
    <t>Blair LLC Call Center III</t>
  </si>
  <si>
    <t>0784-00</t>
  </si>
  <si>
    <t>Southpointe II</t>
  </si>
  <si>
    <t>St. Vincent College IV</t>
  </si>
  <si>
    <t>0714-01</t>
  </si>
  <si>
    <t>0714-02</t>
  </si>
  <si>
    <t>York College III</t>
  </si>
  <si>
    <t>0714-03</t>
  </si>
  <si>
    <t>York College IV</t>
  </si>
  <si>
    <t>0809-00</t>
  </si>
  <si>
    <t>Forbes Regional Hospital-Monroeville</t>
  </si>
  <si>
    <t>0411-00</t>
  </si>
  <si>
    <t>New Economy Business Park</t>
  </si>
  <si>
    <t>0412-00</t>
  </si>
  <si>
    <t>St. Mary's Medical Center</t>
  </si>
  <si>
    <t>Koehler Brewery Square</t>
  </si>
  <si>
    <t>0414-00</t>
  </si>
  <si>
    <t>0415-00</t>
  </si>
  <si>
    <t>Williamsport Conference Center</t>
  </si>
  <si>
    <t>0416-00</t>
  </si>
  <si>
    <t>Williamsport Cultural District</t>
  </si>
  <si>
    <t>0417-00</t>
  </si>
  <si>
    <t>Hazelton Intermodal Center</t>
  </si>
  <si>
    <t>0418-00</t>
  </si>
  <si>
    <t>Coal Township SEEDCO Industrial Park</t>
  </si>
  <si>
    <t>0419-00</t>
  </si>
  <si>
    <t>Lancaster Quilt &amp; Textile Museum</t>
  </si>
  <si>
    <t>0421-00</t>
  </si>
  <si>
    <t>Hardwoods Incubator-Former FCI Electronics</t>
  </si>
  <si>
    <t>0422-00</t>
  </si>
  <si>
    <t>Northampton Museum-Sigal's Bridal Store</t>
  </si>
  <si>
    <t>0423-00</t>
  </si>
  <si>
    <t>0424-00</t>
  </si>
  <si>
    <t>New Kensington 5th Avenue Project</t>
  </si>
  <si>
    <t>0425-01</t>
  </si>
  <si>
    <t>0425-02</t>
  </si>
  <si>
    <t>0426-00</t>
  </si>
  <si>
    <t>Arnold Redevelopment</t>
  </si>
  <si>
    <t>0427-00</t>
  </si>
  <si>
    <t>Hamilton-Brew Works</t>
  </si>
  <si>
    <t>0428-00</t>
  </si>
  <si>
    <t>Bloomsburg Hospital</t>
  </si>
  <si>
    <t>Point Breeze Performing Arts</t>
  </si>
  <si>
    <t>Greater Pittsburgh YMCA</t>
  </si>
  <si>
    <t>United/USAir Maintenance Facility</t>
  </si>
  <si>
    <t>North Shore Ampitheater</t>
  </si>
  <si>
    <t>Jewish History Museum</t>
  </si>
  <si>
    <t>Legacy Commons</t>
  </si>
  <si>
    <t>0511-00</t>
  </si>
  <si>
    <t>Hollidaysburg  Area YMCA Addition</t>
  </si>
  <si>
    <t>BioEnergy/Lukoil-Clearfield Ethanol II</t>
  </si>
  <si>
    <t>Lenape Valley Foundation</t>
  </si>
  <si>
    <t>National Center for the American Revolution</t>
  </si>
  <si>
    <t>Duferco Farrell</t>
  </si>
  <si>
    <t>Bucks County Port</t>
  </si>
  <si>
    <t>Beechview Community Center</t>
  </si>
  <si>
    <t>Beechview Community Center-2005</t>
  </si>
  <si>
    <t>First Quality Industrial Park</t>
  </si>
  <si>
    <t>Monesson Public Safety</t>
  </si>
  <si>
    <t>Salvation Army-Aliquippa</t>
  </si>
  <si>
    <t>Uniontown Downtown Revitalization</t>
  </si>
  <si>
    <t>0599-00</t>
  </si>
  <si>
    <t>New Granada Theatre</t>
  </si>
  <si>
    <t>Philosopher's Landing-Pedestrian Bridge</t>
  </si>
  <si>
    <t>0613-00</t>
  </si>
  <si>
    <t>0609-00</t>
  </si>
  <si>
    <t>0600-00</t>
  </si>
  <si>
    <t>0610-00</t>
  </si>
  <si>
    <t>0616-00</t>
  </si>
  <si>
    <t>0616-01</t>
  </si>
  <si>
    <t>0605-00</t>
  </si>
  <si>
    <t>Metro Machine II</t>
  </si>
  <si>
    <t>Johnstown War Memorial Ped Skywalk</t>
  </si>
  <si>
    <t>Allentown Arts Walk 1</t>
  </si>
  <si>
    <t>Norristown Parking Garage</t>
  </si>
  <si>
    <t>Punxsutawney-JB Eberhart Building</t>
  </si>
  <si>
    <t>Clarion</t>
  </si>
  <si>
    <t>Venango Two Mile Run Park</t>
  </si>
  <si>
    <t>Jeannette Downtown Redevelopment</t>
  </si>
  <si>
    <t>Gettysburg National Battlefield Museum II</t>
  </si>
  <si>
    <t>Shamokin Downtown Redevelopment</t>
  </si>
  <si>
    <t xml:space="preserve">CHILDREN'S HOSPITAL OF PITTSBURGH              </t>
  </si>
  <si>
    <t>Cochrandale KOZ Site- Site  Improvements</t>
  </si>
  <si>
    <t>Lafeyette College/Bushkill Creek</t>
  </si>
  <si>
    <t>Simon Silk Mill</t>
  </si>
  <si>
    <t>Norristown Parking Garage II</t>
  </si>
  <si>
    <t>Ursinus College</t>
  </si>
  <si>
    <t>Lackawanna Ave Redevelopment Project</t>
  </si>
  <si>
    <t>South Washington St Garage-Wilkes Barre</t>
  </si>
  <si>
    <t>Calder Museum</t>
  </si>
  <si>
    <t>Fox Chase Cancer Center</t>
  </si>
  <si>
    <t>Jewish History Museum II</t>
  </si>
  <si>
    <t>Sound Stage-Phila Naval Business Center</t>
  </si>
  <si>
    <t>Meadville Jr. High Rehabilitation</t>
  </si>
  <si>
    <t>Penn Hills Library</t>
  </si>
  <si>
    <t>Panther Valley High School Stadium</t>
  </si>
  <si>
    <t>Pittsburgh Children's Museum II</t>
  </si>
  <si>
    <t>Nazareth Hospital-Mercy</t>
  </si>
  <si>
    <t>Pilgrim Gardens</t>
  </si>
  <si>
    <t>KidsPeace Broadway Campus</t>
  </si>
  <si>
    <t>Lower Moreland Township Redevelopment</t>
  </si>
  <si>
    <t>Marshall Drive Development Project</t>
  </si>
  <si>
    <t>Buhl Science Center (DCA)</t>
  </si>
  <si>
    <t>0000-20</t>
  </si>
  <si>
    <t>Midfield Terminal (DCA)</t>
  </si>
  <si>
    <t>0000-21</t>
  </si>
  <si>
    <t>Multi-purpose stadium (DCA)</t>
  </si>
  <si>
    <t>Lackawanna</t>
  </si>
  <si>
    <t>0000-22</t>
  </si>
  <si>
    <t>Alcoa (DCA)</t>
  </si>
  <si>
    <t>Westmoreland</t>
  </si>
  <si>
    <t>0000-23</t>
  </si>
  <si>
    <t>Volkswagen/Sony (DCA)</t>
  </si>
  <si>
    <t>0000-24</t>
  </si>
  <si>
    <t>Western Westmoreland (DCA)</t>
  </si>
  <si>
    <t>0000-25</t>
  </si>
  <si>
    <t>Fitz Henry (DCA)</t>
  </si>
  <si>
    <t>0000-26</t>
  </si>
  <si>
    <t>Homer Research Lab (DCA)</t>
  </si>
  <si>
    <t>Northampton</t>
  </si>
  <si>
    <t>0000-27</t>
  </si>
  <si>
    <t>Johnson Bronze (DCA)</t>
  </si>
  <si>
    <t>Lawrence</t>
  </si>
  <si>
    <t>0000-28</t>
  </si>
  <si>
    <t>Malden Park (DCA)</t>
  </si>
  <si>
    <t>Washington</t>
  </si>
  <si>
    <t>0000-29</t>
  </si>
  <si>
    <t>Avtex (DCA)</t>
  </si>
  <si>
    <t>Crawford</t>
  </si>
  <si>
    <t>0000-30</t>
  </si>
  <si>
    <t>Truck Lite (DCA)</t>
  </si>
  <si>
    <t>Clinton</t>
  </si>
  <si>
    <t>0000-31</t>
  </si>
  <si>
    <t>Michener Arts Center (DCA)</t>
  </si>
  <si>
    <t>Bucks</t>
  </si>
  <si>
    <t>0001-00</t>
  </si>
  <si>
    <t>Andy Warhol Museum</t>
  </si>
  <si>
    <t>0002-00</t>
  </si>
  <si>
    <t>Fulton Opera House (Lancaster)</t>
  </si>
  <si>
    <t>Lancaster</t>
  </si>
  <si>
    <t>Act 1993- 47</t>
  </si>
  <si>
    <t>0003-00</t>
  </si>
  <si>
    <t>Lehigh University Performing Arts Center</t>
  </si>
  <si>
    <t>0004-00</t>
  </si>
  <si>
    <t>Erie Minor League Baseball Stadium</t>
  </si>
  <si>
    <t>Erie</t>
  </si>
  <si>
    <t>0005-00</t>
  </si>
  <si>
    <t>Erie Discovery Square</t>
  </si>
  <si>
    <t>0006-00</t>
  </si>
  <si>
    <t>Wilma Theater</t>
  </si>
  <si>
    <t>0007-00</t>
  </si>
  <si>
    <t>South Broad Street Streetscape</t>
  </si>
  <si>
    <t>0008-00</t>
  </si>
  <si>
    <t>Clef Club</t>
  </si>
  <si>
    <t>0009-00</t>
  </si>
  <si>
    <t>Reading Civic Center</t>
  </si>
  <si>
    <t>Berks</t>
  </si>
  <si>
    <t>0009-01</t>
  </si>
  <si>
    <t>Reading Civic Center Aug #1</t>
  </si>
  <si>
    <t>0009-02</t>
  </si>
  <si>
    <t>Reading Civic Center Aug #2</t>
  </si>
  <si>
    <t>0010-00</t>
  </si>
  <si>
    <t>Spectrum II</t>
  </si>
  <si>
    <t>Act 1994- 74</t>
  </si>
  <si>
    <t>0011-00</t>
  </si>
  <si>
    <t>0012-00</t>
  </si>
  <si>
    <t>Pittsburgh Regional History Center</t>
  </si>
  <si>
    <t>0013-00</t>
  </si>
  <si>
    <t>Phila Maritime Museum</t>
  </si>
  <si>
    <t>0014-01</t>
  </si>
  <si>
    <t>Joint Theater Project</t>
  </si>
  <si>
    <t>0014-02</t>
  </si>
  <si>
    <t>Recital Hall</t>
  </si>
  <si>
    <t>0015-00</t>
  </si>
  <si>
    <t>New Concert Hall</t>
  </si>
  <si>
    <t>0016-00</t>
  </si>
  <si>
    <t>New Freedom Theater</t>
  </si>
  <si>
    <t>0017-00</t>
  </si>
  <si>
    <t xml:space="preserve">Northeastern Pa Civic Ctr </t>
  </si>
  <si>
    <t>Luzerne</t>
  </si>
  <si>
    <t>0017-01</t>
  </si>
  <si>
    <t>Northeastern Pa Civic Ctr Supplemental</t>
  </si>
  <si>
    <t>0018-00</t>
  </si>
  <si>
    <t xml:space="preserve">Cobbs Creek </t>
  </si>
  <si>
    <t>0018-01</t>
  </si>
  <si>
    <t>Cobbs Creek II</t>
  </si>
  <si>
    <t>0019-00</t>
  </si>
  <si>
    <t>Urban Education Development Research and Retreat C</t>
  </si>
  <si>
    <t>0020-00</t>
  </si>
  <si>
    <t>North Philadelphia Station</t>
  </si>
  <si>
    <t>0021-00</t>
  </si>
  <si>
    <t>Easton Two Rivers Landing</t>
  </si>
  <si>
    <t>0022-00</t>
  </si>
  <si>
    <t>Downtown Library Center - Pittsburgh</t>
  </si>
  <si>
    <t>0023-00</t>
  </si>
  <si>
    <t>Simons Recreation Center</t>
  </si>
  <si>
    <t>0024-00</t>
  </si>
  <si>
    <t>Aliquippa LTV Industrial Park</t>
  </si>
  <si>
    <t>Beaver</t>
  </si>
  <si>
    <t>0025-00</t>
  </si>
  <si>
    <t>Southeastern PA Employment/Training Ctr.</t>
  </si>
  <si>
    <t>0026-00</t>
  </si>
  <si>
    <t>Beech Corporation - CB Moore Ave</t>
  </si>
  <si>
    <t>0027-00</t>
  </si>
  <si>
    <t>Fairmount Park</t>
  </si>
  <si>
    <t>0028-00</t>
  </si>
  <si>
    <t>George Street Revitalization</t>
  </si>
  <si>
    <t>York</t>
  </si>
  <si>
    <t>0029-00</t>
  </si>
  <si>
    <t>Keystone Commons</t>
  </si>
  <si>
    <t>0030-00</t>
  </si>
  <si>
    <t>Memorial Park Ice Rink</t>
  </si>
  <si>
    <t>0031-00</t>
  </si>
  <si>
    <t>Industrial Center of McKeesport</t>
  </si>
  <si>
    <t>0032-00</t>
  </si>
  <si>
    <t>City Center of Duquesne</t>
  </si>
  <si>
    <t>0033-00</t>
  </si>
  <si>
    <t>Federal/North</t>
  </si>
  <si>
    <t>0034-00</t>
  </si>
  <si>
    <t>Hollidaysburg Vistors Ctr</t>
  </si>
  <si>
    <t>Blair</t>
  </si>
  <si>
    <t>0035-00</t>
  </si>
  <si>
    <t>Johnstown Discovery Center</t>
  </si>
  <si>
    <t>Cambria</t>
  </si>
  <si>
    <t>0036-00</t>
  </si>
  <si>
    <t>North Broad Street Streetscape (OLD)</t>
  </si>
  <si>
    <t>0037-00</t>
  </si>
  <si>
    <t>Walnut Street Theater</t>
  </si>
  <si>
    <t>0038-00</t>
  </si>
  <si>
    <t>Blue Horizon 1</t>
  </si>
  <si>
    <t>0039-00</t>
  </si>
  <si>
    <t>Ridgway Library</t>
  </si>
  <si>
    <t>0040-00</t>
  </si>
  <si>
    <t>Hill District Supermarket</t>
  </si>
  <si>
    <t>Mount Aloysius Allumi Hall</t>
  </si>
  <si>
    <t>Clifton Heights Borough Center</t>
  </si>
  <si>
    <t>Wilkes University Law School</t>
  </si>
  <si>
    <t>Progress Plaza III (Phase 2)</t>
  </si>
  <si>
    <t>Progress Plaza IV (Phase 1)</t>
  </si>
  <si>
    <t>Wilkes Barre Downtown Parking Garage</t>
  </si>
  <si>
    <t>0443-03</t>
  </si>
  <si>
    <t>Children's Home of Pittsburgh IV</t>
  </si>
  <si>
    <t>0467-01</t>
  </si>
  <si>
    <t>Black Horse Inn II</t>
  </si>
  <si>
    <t>0483-02</t>
  </si>
  <si>
    <t>Meadowcroft Rockshelter III</t>
  </si>
  <si>
    <t>Bald Eagle Stadium II</t>
  </si>
  <si>
    <t>Tasty Baking II</t>
  </si>
  <si>
    <t>Tasty Baking III</t>
  </si>
  <si>
    <t>Warren General Hospital-Pine Grove</t>
  </si>
  <si>
    <t>Pittsburgh Cultural Trust-Eighth Street Project</t>
  </si>
  <si>
    <t>Magee Rehabilitation Hospital-Philadelphia</t>
  </si>
  <si>
    <t>Penguin Park-Coal Street Park</t>
  </si>
  <si>
    <t>UPMC Braddock</t>
  </si>
  <si>
    <t>Evangelical Community Hospital-Lewisburg</t>
  </si>
  <si>
    <t>ASPIRA Building</t>
  </si>
  <si>
    <t>Bensalem Beautification Project</t>
  </si>
  <si>
    <t>IUP-Kittanning Reuse Project</t>
  </si>
  <si>
    <t>Penrose Recreation Center</t>
  </si>
  <si>
    <t>University of the Arts-Skyline Performing Arts</t>
  </si>
  <si>
    <t>Indiana County Fire Academy</t>
  </si>
  <si>
    <t>Shamokin Area Hospital</t>
  </si>
  <si>
    <t>Northern Dauphin YMCA</t>
  </si>
  <si>
    <t>Historic Homestead Bakery Redevelopment</t>
  </si>
  <si>
    <t>Pathways Center for Families</t>
  </si>
  <si>
    <t>Meadowcroft Rock Shelter II</t>
  </si>
  <si>
    <t>Downtown Elizabethtown Redevelopment</t>
  </si>
  <si>
    <t>Pocono Environmental Education Center</t>
  </si>
  <si>
    <t>Maria Santo Clinic</t>
  </si>
  <si>
    <t>Crucible Facility Redevelopment</t>
  </si>
  <si>
    <t>Lancaster Convention Center Supplemental</t>
  </si>
  <si>
    <t>Piatt Place</t>
  </si>
  <si>
    <t>Lampeter-Strasburg Recreation Center</t>
  </si>
  <si>
    <t>Children's Home of Pittsburgh</t>
  </si>
  <si>
    <t>0281-01</t>
  </si>
  <si>
    <t>Gettysburg Majestic Theatre II</t>
  </si>
  <si>
    <t>Industrial Center of McKeesport(Duquesne)</t>
  </si>
  <si>
    <t>0220-01</t>
  </si>
  <si>
    <t>0227-00</t>
  </si>
  <si>
    <t>Phipps Conservatory</t>
  </si>
  <si>
    <t>0232-00</t>
  </si>
  <si>
    <t>Carnegie-Dinosaur Hall</t>
  </si>
  <si>
    <t>0324-00</t>
  </si>
  <si>
    <t>Carnegie Library</t>
  </si>
  <si>
    <t>Clinton Industrial Park (Phase I) Development</t>
  </si>
  <si>
    <t>LTV Coke Works - Brownfield Site (Hazelwood)</t>
  </si>
  <si>
    <t>0435-00</t>
  </si>
  <si>
    <t>Junior Achievement II</t>
  </si>
  <si>
    <t>Junior Achievement III</t>
  </si>
  <si>
    <t>0948-00</t>
  </si>
  <si>
    <t>0451-00</t>
  </si>
  <si>
    <t>New Arena Site Acquisition &amp; Demolition</t>
  </si>
  <si>
    <t>0305-02</t>
  </si>
  <si>
    <t>Goggle Works Parking and Apartments II</t>
  </si>
  <si>
    <t>Act 2006-083</t>
  </si>
  <si>
    <t>Magee Womens Research Institute V</t>
  </si>
  <si>
    <t>Tamaqua Education and Workforce Training Center</t>
  </si>
  <si>
    <t>0452-00</t>
  </si>
  <si>
    <t>0464-00</t>
  </si>
  <si>
    <t>0262-01</t>
  </si>
  <si>
    <t>0458-00</t>
  </si>
  <si>
    <t>Penn Teacher Professional Developmnt Ctr/Leadershp</t>
  </si>
  <si>
    <t>Mt. Airy Commercial Museum</t>
  </si>
  <si>
    <t>Heritage Tourism Experience/Once Upon a Nation</t>
  </si>
  <si>
    <t>Centro De Oro II</t>
  </si>
  <si>
    <t>0403-01</t>
  </si>
  <si>
    <t>Wilkes Barre Irem Masonic Temple</t>
  </si>
  <si>
    <t>0425-00</t>
  </si>
  <si>
    <t>Lancaster Convention Center Site Prep-Watt &amp; Shand</t>
  </si>
  <si>
    <t>Lancaster Convention Center Site Prep</t>
  </si>
  <si>
    <t>0444-00</t>
  </si>
  <si>
    <t>0445-00</t>
  </si>
  <si>
    <t>0446-00</t>
  </si>
  <si>
    <t>Murata II/Carlisle Business Central-Phase II</t>
  </si>
  <si>
    <t>0448-00</t>
  </si>
  <si>
    <t>0448-01</t>
  </si>
  <si>
    <t>0449-00</t>
  </si>
  <si>
    <t>Conemaugh Health Systems-Great Johnst Tech Complex</t>
  </si>
  <si>
    <t>0450-00</t>
  </si>
  <si>
    <t>Hershey Intermodal Center, Phase III</t>
  </si>
  <si>
    <t>0453-00</t>
  </si>
  <si>
    <t>Greene County Swimming Pool &amp; Community Center</t>
  </si>
  <si>
    <t>0455-00</t>
  </si>
  <si>
    <t>0457-00</t>
  </si>
  <si>
    <t>Marywood University/Robert J. Mellow Center</t>
  </si>
  <si>
    <t>0458-01</t>
  </si>
  <si>
    <t>0459-00</t>
  </si>
  <si>
    <t>0460-00</t>
  </si>
  <si>
    <t>0461-00</t>
  </si>
  <si>
    <t>State Street Redevelopment</t>
  </si>
  <si>
    <t>0094-00</t>
  </si>
  <si>
    <t>Gateway Visitor Center</t>
  </si>
  <si>
    <t>0095-00</t>
  </si>
  <si>
    <t>Regional Performing Arts Center</t>
  </si>
  <si>
    <t>0095-01</t>
  </si>
  <si>
    <t>Kimmel Center (RPAC)</t>
  </si>
  <si>
    <t>0096-00</t>
  </si>
  <si>
    <t>Victory Road Business Park - Clinton Twp</t>
  </si>
  <si>
    <t>Butler</t>
  </si>
  <si>
    <t>0096-01</t>
  </si>
  <si>
    <t>Victory Road Business Park - Clinton Twp Augment</t>
  </si>
  <si>
    <t>0097-00</t>
  </si>
  <si>
    <t>Fifth and Forbes Downtown</t>
  </si>
  <si>
    <t>0098-00</t>
  </si>
  <si>
    <t>Harrisburg Civil War Museum</t>
  </si>
  <si>
    <t>0099-00</t>
  </si>
  <si>
    <t>Greater Pittsburgh Food Bank</t>
  </si>
  <si>
    <t>0100-00</t>
  </si>
  <si>
    <t>Ellwood City School District</t>
  </si>
  <si>
    <t>0101-00</t>
  </si>
  <si>
    <t>Congresso de Latino Community Center</t>
  </si>
  <si>
    <t>0102-00</t>
  </si>
  <si>
    <t>Little League Baseball</t>
  </si>
  <si>
    <t>Lycoming</t>
  </si>
  <si>
    <t>0103-00</t>
  </si>
  <si>
    <t>Fayette Technology Park</t>
  </si>
  <si>
    <t>0104-00</t>
  </si>
  <si>
    <t>Alcoa Building Conversion</t>
  </si>
  <si>
    <t>0105-00</t>
  </si>
  <si>
    <t>Bowman Field Restoration</t>
  </si>
  <si>
    <t>0106-00</t>
  </si>
  <si>
    <t>Nine Mile Run</t>
  </si>
  <si>
    <t>0106-01</t>
  </si>
  <si>
    <t>Nine Mile Run II</t>
  </si>
  <si>
    <t>0106-02</t>
  </si>
  <si>
    <t>Nine Mile Run III</t>
  </si>
  <si>
    <t>Act 2002-131</t>
  </si>
  <si>
    <t>0107-00</t>
  </si>
  <si>
    <t>0108-00</t>
  </si>
  <si>
    <t>Towanda Downtown Revitalization</t>
  </si>
  <si>
    <t>Bradford</t>
  </si>
  <si>
    <t>0109-00</t>
  </si>
  <si>
    <t>Rock School Ballet</t>
  </si>
  <si>
    <t>0110-00</t>
  </si>
  <si>
    <t>Lonnie Young Recreation Center</t>
  </si>
  <si>
    <t>9995-00</t>
  </si>
  <si>
    <t>RACP Admin-SR 2004</t>
  </si>
  <si>
    <t>9995-01</t>
  </si>
  <si>
    <t>RACP Admin-SR 2005</t>
  </si>
  <si>
    <t>9995-02</t>
  </si>
  <si>
    <t>RACP Admin-SR 2008</t>
  </si>
  <si>
    <t>9996-00</t>
  </si>
  <si>
    <t>RACP Admin-SD 2004</t>
  </si>
  <si>
    <t>9996-01</t>
  </si>
  <si>
    <t>RACP Admin-SD 2005</t>
  </si>
  <si>
    <t>9996-02</t>
  </si>
  <si>
    <t>RACP Admin-SD 2008</t>
  </si>
  <si>
    <t>9997-00</t>
  </si>
  <si>
    <t>RACP Admin-HR 2004</t>
  </si>
  <si>
    <t>9997-01</t>
  </si>
  <si>
    <t>RACP Admin-HR 2005</t>
  </si>
  <si>
    <t>9997-02</t>
  </si>
  <si>
    <t>RACP Admin-HR 2008</t>
  </si>
  <si>
    <t>9998-00</t>
  </si>
  <si>
    <t>RACP Admin-HD 2004</t>
  </si>
  <si>
    <t>9998-01</t>
  </si>
  <si>
    <t>RACP Admin-HD 2005</t>
  </si>
  <si>
    <t>9998-02</t>
  </si>
  <si>
    <t>0624-00</t>
  </si>
  <si>
    <t>Fifth and Forbes 2006- Three PNC Plaza</t>
  </si>
  <si>
    <t>Rt. 22 Corridor Improvements-Indiana</t>
  </si>
  <si>
    <t>0604-00</t>
  </si>
  <si>
    <t>Phila Football Practice Facility - 1st Supplement</t>
  </si>
  <si>
    <t>(blank)</t>
  </si>
  <si>
    <t>0111-00</t>
  </si>
  <si>
    <t>Aliquippa Industrial Center</t>
  </si>
  <si>
    <t>0111-01</t>
  </si>
  <si>
    <t>Aliquippa Industrial Center II</t>
  </si>
  <si>
    <t>0112-00</t>
  </si>
  <si>
    <t>Lackawanna Stadium</t>
  </si>
  <si>
    <t>0112-01</t>
  </si>
  <si>
    <t>Lackawanna Stadium II</t>
  </si>
  <si>
    <t>0112-02</t>
  </si>
  <si>
    <t>Lackawanna Stadium III</t>
  </si>
  <si>
    <t>0113-00</t>
  </si>
  <si>
    <t>Pittsburgh Ballet</t>
  </si>
  <si>
    <t>0114-00</t>
  </si>
  <si>
    <t>Reading GPU Stadium</t>
  </si>
  <si>
    <t>0114-01</t>
  </si>
  <si>
    <t>Reading GPU Stadium II</t>
  </si>
  <si>
    <t>0115-00</t>
  </si>
  <si>
    <t>Clearfield County Technology Park</t>
  </si>
  <si>
    <t>Clearfield</t>
  </si>
  <si>
    <t>0116-00</t>
  </si>
  <si>
    <t>Greenville Borough Recreation Center</t>
  </si>
  <si>
    <t>Mercer</t>
  </si>
  <si>
    <t>0117-00</t>
  </si>
  <si>
    <t>Johnstown War Memorial</t>
  </si>
  <si>
    <t>0117-01</t>
  </si>
  <si>
    <t>Johnstown War Memorial Supplemental</t>
  </si>
  <si>
    <t>0118-00</t>
  </si>
  <si>
    <t>Erie Zoo - Wild Asia</t>
  </si>
  <si>
    <t>0119-00</t>
  </si>
  <si>
    <t>Warren County Technology Center</t>
  </si>
  <si>
    <t>0120-00</t>
  </si>
  <si>
    <t>Hershey Arena</t>
  </si>
  <si>
    <t>0121-00</t>
  </si>
  <si>
    <t>Nueva Esperanza</t>
  </si>
  <si>
    <t>0122-00</t>
  </si>
  <si>
    <t>Franklin Institute</t>
  </si>
  <si>
    <t>3270-00</t>
  </si>
  <si>
    <t>0521-02</t>
  </si>
  <si>
    <t>Monroeville Convention Center III</t>
  </si>
  <si>
    <t>0760-01</t>
  </si>
  <si>
    <t>3281-00</t>
  </si>
  <si>
    <t>0772-00</t>
  </si>
  <si>
    <t>0786-00</t>
  </si>
  <si>
    <t>0715-01</t>
  </si>
  <si>
    <t>3276-00</t>
  </si>
  <si>
    <t>0810-00</t>
  </si>
  <si>
    <t>3290-00</t>
  </si>
  <si>
    <t>3262-00</t>
  </si>
  <si>
    <t>0801-00</t>
  </si>
  <si>
    <t>0762-01</t>
  </si>
  <si>
    <t>Lancaster Northern Gateway II</t>
  </si>
  <si>
    <t>0743-00</t>
  </si>
  <si>
    <t>0743-01</t>
  </si>
  <si>
    <t>3277-00</t>
  </si>
  <si>
    <t>0785-00</t>
  </si>
  <si>
    <t>Salvation Army-Philadelphia IV</t>
  </si>
  <si>
    <t>Liddonfield Redevelopment III</t>
  </si>
  <si>
    <t>0759-00</t>
  </si>
  <si>
    <t>0779-00</t>
  </si>
  <si>
    <t>0787-00</t>
  </si>
  <si>
    <t>0787-01</t>
  </si>
  <si>
    <t>0787-02</t>
  </si>
  <si>
    <t>0787-03</t>
  </si>
  <si>
    <t>0796-00</t>
  </si>
  <si>
    <t>3273-00</t>
  </si>
  <si>
    <t>3300-00</t>
  </si>
  <si>
    <t>0741-00</t>
  </si>
  <si>
    <t>0735-01</t>
  </si>
  <si>
    <t>First Quality-Mifflin County</t>
  </si>
  <si>
    <t>Automobile Education Center, Museum and Archive</t>
  </si>
  <si>
    <t>Somerset county Redevelopment-Bakersville</t>
  </si>
  <si>
    <t>Pittsburgh Zoo</t>
  </si>
  <si>
    <t>Corry Memorial Hospital</t>
  </si>
  <si>
    <t>0647-00</t>
  </si>
  <si>
    <t>Buhl Park Community Center</t>
  </si>
  <si>
    <t>Jenkintown Boro Southern Gateway Parking Garage</t>
  </si>
  <si>
    <t>Tasty Baking IV</t>
  </si>
  <si>
    <t>Curtis Institute II</t>
  </si>
  <si>
    <t>Weaver's Way Co-Op Expansion</t>
  </si>
  <si>
    <t>Visiting Nurses Association Building Renovation</t>
  </si>
  <si>
    <t>Lights of Liberty</t>
  </si>
  <si>
    <t>Susquehanna University Science Facility II</t>
  </si>
  <si>
    <t>Susquehanna University Science Center III</t>
  </si>
  <si>
    <t>James Brown Library-Williamsport</t>
  </si>
  <si>
    <t>Liddonfield Redevelopment</t>
  </si>
  <si>
    <t>Liddonfield Redevelopment II</t>
  </si>
  <si>
    <t>International Trade Center-Erie Airport</t>
  </si>
  <si>
    <t>Strip District Streetscape</t>
  </si>
  <si>
    <t>Wood Street Development-Wilkes Barre</t>
  </si>
  <si>
    <t>Ebensburg Downtown Revitalization</t>
  </si>
  <si>
    <t>Saint Marys Downtown Revitalization</t>
  </si>
  <si>
    <t>Connell Building Rehabilitation-Scranton</t>
  </si>
  <si>
    <t>Flight 93 National Memorial</t>
  </si>
  <si>
    <t>Hope Enterprises</t>
  </si>
  <si>
    <t>Northwest York Triangle</t>
  </si>
  <si>
    <t>Carbondale Parking Garage</t>
  </si>
  <si>
    <t>Carbondale Parking Garage II</t>
  </si>
  <si>
    <t>Chestnut Hill College Student Center</t>
  </si>
  <si>
    <t>Chester Rivertown Development</t>
  </si>
  <si>
    <t>Jersey Shore Hospital</t>
  </si>
  <si>
    <t>Plum Senior Center</t>
  </si>
  <si>
    <t>Jewish Community Center-Philadelphia</t>
  </si>
  <si>
    <t>Children's Institute</t>
  </si>
  <si>
    <t>Children's Institute II</t>
  </si>
  <si>
    <t>Hershey Museum</t>
  </si>
  <si>
    <t>Fayette County Fairgrounds</t>
  </si>
  <si>
    <t>WVIA Public Television Upgrade</t>
  </si>
  <si>
    <t>Misericordia Assistive Technology Research Center</t>
  </si>
  <si>
    <t>Misericordia Assistive Technology Research II</t>
  </si>
  <si>
    <t>Ellwood City Hospital Expansion</t>
  </si>
  <si>
    <t>Gannon University Technology Incubator</t>
  </si>
  <si>
    <t>Erie Art Museum Phase 2</t>
  </si>
  <si>
    <t>Erie Art Museum Phase 2 II</t>
  </si>
  <si>
    <t>Renovation of Former Talon Plant #7-Meadville</t>
  </si>
  <si>
    <t>North Field Development</t>
  </si>
  <si>
    <t>Pittsburgh Technology Center-Two Parking Garages</t>
  </si>
  <si>
    <t>CMU Nanotechnology Building</t>
  </si>
  <si>
    <t>Free Library of Philadelphia</t>
  </si>
  <si>
    <t>Free Library of Philadelphia II</t>
  </si>
  <si>
    <t>Muhlenberg College Science Facilties</t>
  </si>
  <si>
    <t>Port of Bucks Renovations</t>
  </si>
  <si>
    <t>Ambler Theatre Restoration</t>
  </si>
  <si>
    <t>Montgomery County Community College-Satellite Camp</t>
  </si>
  <si>
    <t>Clearfield Hospital-Obstetrics</t>
  </si>
  <si>
    <t>Clearfield YMCA Renovations</t>
  </si>
  <si>
    <t>Elk Regional Health Center</t>
  </si>
  <si>
    <t>Alle-Kiski Hospital Renovation</t>
  </si>
  <si>
    <t>Alle-Kiski Hospital Renovation II</t>
  </si>
  <si>
    <t>Spring Garden Area Improvement Project</t>
  </si>
  <si>
    <t>Scranton Medical School</t>
  </si>
  <si>
    <t>Millenium Business Park</t>
  </si>
  <si>
    <t>Montgomery</t>
  </si>
  <si>
    <t>0167-00</t>
  </si>
  <si>
    <t>Indian Springs Business Facility</t>
  </si>
  <si>
    <t>Indiana</t>
  </si>
  <si>
    <t>0168-00</t>
  </si>
  <si>
    <t>PENN Cancer Center - Civic Center Demo</t>
  </si>
  <si>
    <t>0169-00</t>
  </si>
  <si>
    <t>Fort Necessity</t>
  </si>
  <si>
    <t>0170-00</t>
  </si>
  <si>
    <t>Soldiers and Sailors Memorial</t>
  </si>
  <si>
    <t>0171-00</t>
  </si>
  <si>
    <t>Children's Home of Reading</t>
  </si>
  <si>
    <t>0172-00</t>
  </si>
  <si>
    <t>Palace, James and Stark Buildings</t>
  </si>
  <si>
    <t>0173-00</t>
  </si>
  <si>
    <t>Ford City Technology Park</t>
  </si>
  <si>
    <t>Armstrong</t>
  </si>
  <si>
    <t>0173-01</t>
  </si>
  <si>
    <t>Ford City Incubator</t>
  </si>
  <si>
    <t>0174-00</t>
  </si>
  <si>
    <t>Gateway Commerce Park</t>
  </si>
  <si>
    <t>0175-00</t>
  </si>
  <si>
    <t>Titusville Opportunity Park</t>
  </si>
  <si>
    <t>0176-00</t>
  </si>
  <si>
    <t>PA Sports Hall of Fame</t>
  </si>
  <si>
    <t>0177-00</t>
  </si>
  <si>
    <t>Annville Streetscape</t>
  </si>
  <si>
    <t>Lebanon</t>
  </si>
  <si>
    <t>0178-00</t>
  </si>
  <si>
    <t xml:space="preserve">Great Streams Commons </t>
  </si>
  <si>
    <t>Union</t>
  </si>
  <si>
    <t>0179-00</t>
  </si>
  <si>
    <t>0410-02</t>
  </si>
  <si>
    <t>Forbes Regional Hospital-Monroeville III</t>
  </si>
  <si>
    <t>0585-00</t>
  </si>
  <si>
    <t>0585-01</t>
  </si>
  <si>
    <t>0585-03</t>
  </si>
  <si>
    <t>0585-04</t>
  </si>
  <si>
    <t>0585-05</t>
  </si>
  <si>
    <t>0586-00</t>
  </si>
  <si>
    <t>0593-00</t>
  </si>
  <si>
    <t>0315-02</t>
  </si>
  <si>
    <t>0655-00</t>
  </si>
  <si>
    <t>0659-00</t>
  </si>
  <si>
    <t>0659-01</t>
  </si>
  <si>
    <t>0663-00</t>
  </si>
  <si>
    <t>0401-01</t>
  </si>
  <si>
    <t>0604-01</t>
  </si>
  <si>
    <t>0604-02</t>
  </si>
  <si>
    <t>0604-03</t>
  </si>
  <si>
    <t>0634-00</t>
  </si>
  <si>
    <t>0634-01</t>
  </si>
  <si>
    <t>0653-00</t>
  </si>
  <si>
    <t>0661-00</t>
  </si>
  <si>
    <t>0661-01</t>
  </si>
  <si>
    <t>0664-00</t>
  </si>
  <si>
    <t>0668-00</t>
  </si>
  <si>
    <t>0640-00</t>
  </si>
  <si>
    <t>0664-01</t>
  </si>
  <si>
    <t>0666-00</t>
  </si>
  <si>
    <t>0667-00</t>
  </si>
  <si>
    <t>0274-03</t>
  </si>
  <si>
    <t>Philadelphia Museum of Art IV</t>
  </si>
  <si>
    <t>0449-01</t>
  </si>
  <si>
    <t>Greater Johnstown Regional Technology Center II</t>
  </si>
  <si>
    <t>0449-02</t>
  </si>
  <si>
    <t>Greater Johnstown Regional Technology Center III</t>
  </si>
  <si>
    <t>0473-01</t>
  </si>
  <si>
    <t>Maria de los Santos Health Center II</t>
  </si>
  <si>
    <t>0494-05</t>
  </si>
  <si>
    <t>August Wilson Center VI</t>
  </si>
  <si>
    <t>0517-02</t>
  </si>
  <si>
    <t>National Museum of Jewish History III</t>
  </si>
  <si>
    <t>0570-01</t>
  </si>
  <si>
    <t>Chestnut Hill College Student Center II</t>
  </si>
  <si>
    <t>St. Lukes Riverfront Hospital II</t>
  </si>
  <si>
    <t>0618-02</t>
  </si>
  <si>
    <t>St. Lukes Riverfront Health Campus III</t>
  </si>
  <si>
    <t>0627-01</t>
  </si>
  <si>
    <t>Lenfest Recreation Center II</t>
  </si>
  <si>
    <t>0659-02</t>
  </si>
  <si>
    <t>0659-03</t>
  </si>
  <si>
    <t>0661-02</t>
  </si>
  <si>
    <t>0661-03</t>
  </si>
  <si>
    <t>0662-00</t>
  </si>
  <si>
    <t>0662-01</t>
  </si>
  <si>
    <t>0664-02</t>
  </si>
  <si>
    <t>Clinton County Community Center II</t>
  </si>
  <si>
    <t>Curtis Institute of Music III</t>
  </si>
  <si>
    <t>Jenkintown Boro Southern Gateway Parking Garage II</t>
  </si>
  <si>
    <t>Sister Cities Plaza at Logan Square</t>
  </si>
  <si>
    <t>Ben Franklin Technology Ventures Incubator</t>
  </si>
  <si>
    <t>St. Joseph's University</t>
  </si>
  <si>
    <t>United Cerebral Palsy of SW PA</t>
  </si>
  <si>
    <t>Centerville Clinics</t>
  </si>
  <si>
    <t>Downingtown Library Senior Center</t>
  </si>
  <si>
    <t>PA Trolley Museum</t>
  </si>
  <si>
    <t>PEAK Center</t>
  </si>
  <si>
    <t>Maglev</t>
  </si>
  <si>
    <t>Washington Wild Things Stadium</t>
  </si>
  <si>
    <t>Mosteller Parking Garage</t>
  </si>
  <si>
    <t>Reading Central Branch YMCA</t>
  </si>
  <si>
    <t>Act 2008-048</t>
  </si>
  <si>
    <t>0597-00</t>
  </si>
  <si>
    <t>0598-00</t>
  </si>
  <si>
    <t>0565-00</t>
  </si>
  <si>
    <t>Philosopher's Landing/Amphitheatre Park</t>
  </si>
  <si>
    <t>0580-00</t>
  </si>
  <si>
    <t>0556-01</t>
  </si>
  <si>
    <t>0596-00</t>
  </si>
  <si>
    <t>0228-05</t>
  </si>
  <si>
    <t>Erie Convention Center Supplement IV</t>
  </si>
  <si>
    <t>0595-00</t>
  </si>
  <si>
    <t>Lackawanna College Expansion</t>
  </si>
  <si>
    <t>0579-00</t>
  </si>
  <si>
    <t>0579-01</t>
  </si>
  <si>
    <t>0579-02</t>
  </si>
  <si>
    <t>0562-00</t>
  </si>
  <si>
    <t>0562-01</t>
  </si>
  <si>
    <t>0571-00</t>
  </si>
  <si>
    <t>0462-00</t>
  </si>
  <si>
    <t>0583-00</t>
  </si>
  <si>
    <t>0590-00</t>
  </si>
  <si>
    <t xml:space="preserve"> Workshop</t>
  </si>
  <si>
    <t>0569-00</t>
  </si>
  <si>
    <t>0591-00</t>
  </si>
  <si>
    <t>York County Fire School</t>
  </si>
  <si>
    <t>Strand Performing Arts Center</t>
  </si>
  <si>
    <t>0180-00</t>
  </si>
  <si>
    <t>Murata Business Center</t>
  </si>
  <si>
    <t>0181-00</t>
  </si>
  <si>
    <t>Mt Laurel Center for the Performing Arts</t>
  </si>
  <si>
    <t>0182-00</t>
  </si>
  <si>
    <t>Please Touch Museum</t>
  </si>
  <si>
    <t>0182-01</t>
  </si>
  <si>
    <t>Please Touch Museum Supplement</t>
  </si>
  <si>
    <t>0182-02</t>
  </si>
  <si>
    <t>Please Touch Museum Supplement #2</t>
  </si>
  <si>
    <t>0182-03</t>
  </si>
  <si>
    <t>Please Touch Museum III</t>
  </si>
  <si>
    <t>0183-00</t>
  </si>
  <si>
    <t>Starpointe (Star Lake) Industrial Park</t>
  </si>
  <si>
    <t>0183-01</t>
  </si>
  <si>
    <t>Starpointe II</t>
  </si>
  <si>
    <t>0184-00</t>
  </si>
  <si>
    <t>Erie Childrens Library</t>
  </si>
  <si>
    <t>0185-00</t>
  </si>
  <si>
    <t>Gertrude Barber Center</t>
  </si>
  <si>
    <t>0186-00</t>
  </si>
  <si>
    <t>Lehigh Community Services for Children</t>
  </si>
  <si>
    <t>0187-00</t>
  </si>
  <si>
    <t>Panther Hollow</t>
  </si>
  <si>
    <t>0188-00</t>
  </si>
  <si>
    <t>Mifflin County Courthouse</t>
  </si>
  <si>
    <t>Mifflin</t>
  </si>
  <si>
    <t>0189-00</t>
  </si>
  <si>
    <t>Steel Valley Revitalization(Homestead Streetscape)</t>
  </si>
  <si>
    <t>0190-00</t>
  </si>
  <si>
    <t>Markle Building</t>
  </si>
  <si>
    <t>0191-00</t>
  </si>
  <si>
    <t>Barkeyville Industrial Park</t>
  </si>
  <si>
    <t>Venango</t>
  </si>
  <si>
    <t>Upper Merion Middle School Recreation</t>
  </si>
  <si>
    <t>Latrobe Area Hospital-Emergency Room</t>
  </si>
  <si>
    <t>Latrobe Area Hospital Emergency Room II</t>
  </si>
  <si>
    <t>0782-00</t>
  </si>
  <si>
    <t>0456-00</t>
  </si>
  <si>
    <t>0800-00</t>
  </si>
  <si>
    <t>0582-01</t>
  </si>
  <si>
    <t>0644-00</t>
  </si>
  <si>
    <t>0649-00</t>
  </si>
  <si>
    <t>0307-02</t>
  </si>
  <si>
    <t>0496-02</t>
  </si>
  <si>
    <t>0552-01</t>
  </si>
  <si>
    <t>0558-01</t>
  </si>
  <si>
    <t>0571-01</t>
  </si>
  <si>
    <t>0577-00</t>
  </si>
  <si>
    <t xml:space="preserve"> Hanover Acres</t>
  </si>
  <si>
    <t>0618-00</t>
  </si>
  <si>
    <t>0620-00</t>
  </si>
  <si>
    <t>0623-00</t>
  </si>
  <si>
    <t>0625-00</t>
  </si>
  <si>
    <t>0626-00</t>
  </si>
  <si>
    <t>0627-00</t>
  </si>
  <si>
    <t>0628-00</t>
  </si>
  <si>
    <t>0629-00</t>
  </si>
  <si>
    <t>0630-00</t>
  </si>
  <si>
    <t>0633-00</t>
  </si>
  <si>
    <t>Homestead City Hall</t>
  </si>
  <si>
    <t>0635-00</t>
  </si>
  <si>
    <t>0639-00</t>
  </si>
  <si>
    <t>0643-00</t>
  </si>
  <si>
    <t>0620-01</t>
  </si>
  <si>
    <t>0637-00</t>
  </si>
  <si>
    <t>0638-00</t>
  </si>
  <si>
    <t>0639-01</t>
  </si>
  <si>
    <t>0639-02</t>
  </si>
  <si>
    <t>0642-00</t>
  </si>
  <si>
    <t>0182-07</t>
  </si>
  <si>
    <t>Please Touch Museum VII</t>
  </si>
  <si>
    <t>Act 2004-040</t>
  </si>
  <si>
    <t>0636-00</t>
  </si>
  <si>
    <t>Paine's Park</t>
  </si>
  <si>
    <t>Act 2008-041</t>
  </si>
  <si>
    <t>Castle Shannon Transit</t>
  </si>
  <si>
    <t>Kimmel Center II (RPAC)</t>
  </si>
  <si>
    <t>0182-08</t>
  </si>
  <si>
    <t>Please Touch Museum VIII</t>
  </si>
  <si>
    <t>0258-04</t>
  </si>
  <si>
    <t>Moore College of Art V</t>
  </si>
  <si>
    <t>0305-05</t>
  </si>
  <si>
    <t>0324-01</t>
  </si>
  <si>
    <t>Carnegie Library-Carnegie</t>
  </si>
  <si>
    <t>0328-01</t>
  </si>
  <si>
    <t>Sharon Downtown Redevelopment II</t>
  </si>
  <si>
    <t>0394-01</t>
  </si>
  <si>
    <t>Children's Hospital of Philadelphia III</t>
  </si>
  <si>
    <t>0412-02</t>
  </si>
  <si>
    <t>St. Mary's Medical Center III</t>
  </si>
  <si>
    <t>0412-03</t>
  </si>
  <si>
    <t>St. Mary's Medical Center IV</t>
  </si>
  <si>
    <t>Stevens &amp; Smith Historic Façade Restoration</t>
  </si>
  <si>
    <t>0481-04</t>
  </si>
  <si>
    <t>Lutheran Theological Seminary V</t>
  </si>
  <si>
    <t>0494-03</t>
  </si>
  <si>
    <t>African American Cultural Center/August Wilson IV</t>
  </si>
  <si>
    <t>0534-01</t>
  </si>
  <si>
    <t>Worthington Steel Brownfield Redevelopment</t>
  </si>
  <si>
    <t>0540-01</t>
  </si>
  <si>
    <t>Ebensburg Downtown Revitalization II</t>
  </si>
  <si>
    <t>0560-02</t>
  </si>
  <si>
    <t>Erie Art Museum Phase 2 III</t>
  </si>
  <si>
    <t>0616-02</t>
  </si>
  <si>
    <t>Salvation Army-Philadelphia III</t>
  </si>
  <si>
    <t>0616-03</t>
  </si>
  <si>
    <t>0618-01</t>
  </si>
  <si>
    <t>0625-01</t>
  </si>
  <si>
    <t>Fifth and Forbes-Market Square Place II</t>
  </si>
  <si>
    <t>0644-01</t>
  </si>
  <si>
    <t>Barnes Museum II</t>
  </si>
  <si>
    <t>Muhlenberg Collge Science Facilties III</t>
  </si>
  <si>
    <t>Clearfield YMCA II</t>
  </si>
  <si>
    <t>Steel Stax Performing Arts Center II</t>
  </si>
  <si>
    <t>Steel Stax Performing Arts Center III</t>
  </si>
  <si>
    <t>Steel Stax Performing Arts Center IV</t>
  </si>
  <si>
    <t>Warrington Press Building III</t>
  </si>
  <si>
    <t>Franklin Court Museum</t>
  </si>
  <si>
    <t>Northcentral KOZ-GKN Sinter Facility-Micron</t>
  </si>
  <si>
    <t>0669-00</t>
  </si>
  <si>
    <t>0673-00</t>
  </si>
  <si>
    <t>0687-00</t>
  </si>
  <si>
    <t>0687-01</t>
  </si>
  <si>
    <t>0693-00</t>
  </si>
  <si>
    <t>Fifth and Forbes-Market Square Place-GC-M</t>
  </si>
  <si>
    <t>0658-00</t>
  </si>
  <si>
    <t>0665-00</t>
  </si>
  <si>
    <t>0670-00</t>
  </si>
  <si>
    <t>0672-00</t>
  </si>
  <si>
    <t>0676-00</t>
  </si>
  <si>
    <t>0677-00</t>
  </si>
  <si>
    <t>0680-00</t>
  </si>
  <si>
    <t>0687-02</t>
  </si>
  <si>
    <t>0698-00</t>
  </si>
  <si>
    <t>0634-02</t>
  </si>
  <si>
    <t>0657-00</t>
  </si>
  <si>
    <t>0671-00</t>
  </si>
  <si>
    <t>0675-00</t>
  </si>
  <si>
    <t>0683-00</t>
  </si>
  <si>
    <t>0684-00</t>
  </si>
  <si>
    <t>0686-00</t>
  </si>
  <si>
    <t>0689-00</t>
  </si>
  <si>
    <t>0678-00</t>
  </si>
  <si>
    <t>0213-01</t>
  </si>
  <si>
    <t>0299-05</t>
  </si>
  <si>
    <t>Robin Hood Dell East III</t>
  </si>
  <si>
    <t>0394-02</t>
  </si>
  <si>
    <t>Children's Hospital of Philadelphia IV</t>
  </si>
  <si>
    <t>0449-03</t>
  </si>
  <si>
    <t>Greater Johnstown Regional Technology Center IV</t>
  </si>
  <si>
    <t>Marywood University II</t>
  </si>
  <si>
    <t>0463-01</t>
  </si>
  <si>
    <t>Fox Chase Cancer Center II</t>
  </si>
  <si>
    <t>0464-01</t>
  </si>
  <si>
    <t>Hotel Easton II</t>
  </si>
  <si>
    <t>Act 1999-035</t>
  </si>
  <si>
    <t>0464-02</t>
  </si>
  <si>
    <t>0469-01</t>
  </si>
  <si>
    <t>0494-06</t>
  </si>
  <si>
    <t>August Wilson Center VII</t>
  </si>
  <si>
    <t>0548-02</t>
  </si>
  <si>
    <t>Nueva Esperanza IV</t>
  </si>
  <si>
    <t>Pilgrim Gardens II</t>
  </si>
  <si>
    <t>0628-01</t>
  </si>
  <si>
    <t>0642-01</t>
  </si>
  <si>
    <t>Penguin Park- Coal Street Park II</t>
  </si>
  <si>
    <t>0662-02</t>
  </si>
  <si>
    <t>0679-00</t>
  </si>
  <si>
    <t>0681-00</t>
  </si>
  <si>
    <t>0682-00</t>
  </si>
  <si>
    <t>0685-00</t>
  </si>
  <si>
    <t>0687-03</t>
  </si>
  <si>
    <t>Allentown Art Museum IV</t>
  </si>
  <si>
    <t>0688-00</t>
  </si>
  <si>
    <t>Starpointe Business Park III-1B</t>
  </si>
  <si>
    <t>0690-00</t>
  </si>
  <si>
    <t>0691-00</t>
  </si>
  <si>
    <t>0692-00</t>
  </si>
  <si>
    <t>0696-00</t>
  </si>
  <si>
    <t>0701-00</t>
  </si>
  <si>
    <t>0704-00</t>
  </si>
  <si>
    <t>Steel Stax Performing Arts Center V</t>
  </si>
  <si>
    <t>Steel Stax Performing Arts Cente VI</t>
  </si>
  <si>
    <t>Chester County Public Safety Training Center II</t>
  </si>
  <si>
    <t>Stegmaier Lofts</t>
  </si>
  <si>
    <t>York College II</t>
  </si>
  <si>
    <t>Valley Forge Military Academy II</t>
  </si>
  <si>
    <t>World War II Veterans Memorial III</t>
  </si>
  <si>
    <t>Pittsburgh Opera III</t>
  </si>
  <si>
    <t>Pittsburgh Opera IV</t>
  </si>
  <si>
    <t>Carlow University Health &amp; Wellness III</t>
  </si>
  <si>
    <t>0697-00</t>
  </si>
  <si>
    <t>0703-00</t>
  </si>
  <si>
    <t>0706-00</t>
  </si>
  <si>
    <t>0706-01</t>
  </si>
  <si>
    <t>0706-02</t>
  </si>
  <si>
    <t>0706-03</t>
  </si>
  <si>
    <t>World War II Veterans Memorial IV</t>
  </si>
  <si>
    <t>0712-00</t>
  </si>
  <si>
    <t>0730-01</t>
  </si>
  <si>
    <t>0730-02</t>
  </si>
  <si>
    <t>0731-00</t>
  </si>
  <si>
    <t>0734-00</t>
  </si>
  <si>
    <t>0744-00</t>
  </si>
  <si>
    <t>0744-01</t>
  </si>
  <si>
    <t>0744-02</t>
  </si>
  <si>
    <t>0744-03</t>
  </si>
  <si>
    <t>0744-04</t>
  </si>
  <si>
    <t>Pittsburgh Opera V</t>
  </si>
  <si>
    <t>0748-00</t>
  </si>
  <si>
    <t>0751-00</t>
  </si>
  <si>
    <t>Bombardier-Pittsburgh Technology Center II</t>
  </si>
  <si>
    <t>Community College of Allegheny County-Science II</t>
  </si>
  <si>
    <t>Point Park University III</t>
  </si>
  <si>
    <t>Heinz Hall-Pittsburgh Symphony III</t>
  </si>
  <si>
    <t>Pittsburgh Ballet II</t>
  </si>
  <si>
    <t>Pittsburgh Ballet III</t>
  </si>
  <si>
    <t>Phipps Conservatory V</t>
  </si>
  <si>
    <t>Carnegie Library-East Liberty</t>
  </si>
  <si>
    <t>Sarah Heinz House-Boys &amp; Girls Club</t>
  </si>
  <si>
    <t>Tech One Business Park</t>
  </si>
  <si>
    <t>0690-01</t>
  </si>
  <si>
    <t>0690-02</t>
  </si>
  <si>
    <t>Albright College III</t>
  </si>
  <si>
    <t>0715-00</t>
  </si>
  <si>
    <t>0709-00</t>
  </si>
  <si>
    <t>Packerton Business Park</t>
  </si>
  <si>
    <t>0708-00</t>
  </si>
  <si>
    <t>0719-00</t>
  </si>
  <si>
    <t>0719-01</t>
  </si>
  <si>
    <t>0727-00</t>
  </si>
  <si>
    <t>0716-00</t>
  </si>
  <si>
    <t>0737-00</t>
  </si>
  <si>
    <t>0737-01</t>
  </si>
  <si>
    <t>0737-02</t>
  </si>
  <si>
    <t>Commerce Bank Park III</t>
  </si>
  <si>
    <t>0737-03</t>
  </si>
  <si>
    <t>Commerce Bank Park IV</t>
  </si>
  <si>
    <t>0674-00</t>
  </si>
  <si>
    <t>Impact St. Marys</t>
  </si>
  <si>
    <t>GE Transportation-Clean Diesel Testing Facility II</t>
  </si>
  <si>
    <t>0707-00</t>
  </si>
  <si>
    <t>0699-00</t>
  </si>
  <si>
    <t>0699-01</t>
  </si>
  <si>
    <t>0705-00</t>
  </si>
  <si>
    <t>0713-00</t>
  </si>
  <si>
    <t>0717-00</t>
  </si>
  <si>
    <t>F&amp;M Northwest Gateway Norfolk Southern Project</t>
  </si>
  <si>
    <t>0766-00</t>
  </si>
  <si>
    <t>Lancaster Northern Gateway-Stockyards</t>
  </si>
  <si>
    <t>Jameson Hospital ER II</t>
  </si>
  <si>
    <t>Kidspeace Broadway Campus II</t>
  </si>
  <si>
    <t>0469-02</t>
  </si>
  <si>
    <t>Kidspeace Broadway Campus III</t>
  </si>
  <si>
    <t>0687-04</t>
  </si>
  <si>
    <t>Allentown Art Museum V</t>
  </si>
  <si>
    <t>0711-00</t>
  </si>
  <si>
    <t>0726-00</t>
  </si>
  <si>
    <t>Martin Towers III</t>
  </si>
  <si>
    <t>Martin Towers IV</t>
  </si>
  <si>
    <t>Lehigh Valley Hospital II</t>
  </si>
  <si>
    <t>Westminster Village</t>
  </si>
  <si>
    <t>DeSales University-Gambet Center</t>
  </si>
  <si>
    <t>DeSales University-Gambet Center II</t>
  </si>
  <si>
    <t>0728-00</t>
  </si>
  <si>
    <t>Misericordia University Health Science</t>
  </si>
  <si>
    <t>Misericordia University Health Science II</t>
  </si>
  <si>
    <t>Misericordia University Health Science III</t>
  </si>
  <si>
    <t>Burnham Interchange Development</t>
  </si>
  <si>
    <t>0700-00</t>
  </si>
  <si>
    <t>0722-00</t>
  </si>
  <si>
    <t>0753-00</t>
  </si>
  <si>
    <t>0604-04</t>
  </si>
  <si>
    <t>Northampton Community College Southside Beth V</t>
  </si>
  <si>
    <t>0721-00</t>
  </si>
  <si>
    <t>0742-00</t>
  </si>
  <si>
    <t>0742-01</t>
  </si>
  <si>
    <t>South Main Street Parking Garage-Bethlehem II</t>
  </si>
  <si>
    <t>Majestic Realty-Bethlehem II</t>
  </si>
  <si>
    <t>Majestic Realty-Bethlehem III</t>
  </si>
  <si>
    <t>Lehigh University Science Building II</t>
  </si>
  <si>
    <t>Delaware Terrace Redevelopment II</t>
  </si>
  <si>
    <t>Ben Franklin Tech Incubators III</t>
  </si>
  <si>
    <t>0394-03</t>
  </si>
  <si>
    <t>Children's Hospital of Philadelphia V</t>
  </si>
  <si>
    <t>0394-04</t>
  </si>
  <si>
    <t>Children's Hospital of Philadelphia VI</t>
  </si>
  <si>
    <t>0548-03</t>
  </si>
  <si>
    <t>Nueva Esperanza V</t>
  </si>
  <si>
    <t>Progress Trust-Fresh Grocer V</t>
  </si>
  <si>
    <t>0720-00</t>
  </si>
  <si>
    <t>0729-00</t>
  </si>
  <si>
    <t>0732-00</t>
  </si>
  <si>
    <t>0745-00</t>
  </si>
  <si>
    <t>0752-00</t>
  </si>
  <si>
    <t>0752-01</t>
  </si>
  <si>
    <t>0752-02</t>
  </si>
  <si>
    <t>Pleasant Playground III</t>
  </si>
  <si>
    <t>Pleasant Playground IV</t>
  </si>
  <si>
    <t>Franklin Institute IV</t>
  </si>
  <si>
    <t>Frankford Arsenal</t>
  </si>
  <si>
    <t>Wellness Community of Philadelphia II</t>
  </si>
  <si>
    <t>Kinsessing Heights Revitalization</t>
  </si>
  <si>
    <t>Christian Street YMCA II</t>
  </si>
  <si>
    <t>Asian Arts Initiative-Shared Arts Facility</t>
  </si>
  <si>
    <t>Association of Puerto Ricans on the March 2009</t>
  </si>
  <si>
    <t>Taller Puertorriqueno</t>
  </si>
  <si>
    <t>0723-00</t>
  </si>
  <si>
    <t>Pottsville Intermodal Center</t>
  </si>
  <si>
    <t>Endless Mountains Health System</t>
  </si>
  <si>
    <t>Susquehanna</t>
  </si>
  <si>
    <t>Soldiers and Sailors Memorial Hospital</t>
  </si>
  <si>
    <t>Sandycreek Industrial Park</t>
  </si>
  <si>
    <t>St. Vincent College II</t>
  </si>
  <si>
    <t>St. Vincent College III</t>
  </si>
  <si>
    <t>Palace Theatre-2009</t>
  </si>
  <si>
    <t>Palace Theatre 2009 II</t>
  </si>
  <si>
    <t>Palace Theatre 2009 III</t>
  </si>
  <si>
    <t>Monessen Memorial Stadium</t>
  </si>
  <si>
    <t>0714-00</t>
  </si>
  <si>
    <t>Crispus Attucks Early Learning Center II</t>
  </si>
  <si>
    <t>Schuylkill County Children and Youth Building</t>
  </si>
  <si>
    <t>Schuylkill Women in Crisis</t>
  </si>
  <si>
    <t>Island Studios McKees Rocks</t>
  </si>
  <si>
    <t>Taylor Hospital-Delaware</t>
  </si>
  <si>
    <t>Bakery Square Project</t>
  </si>
  <si>
    <t>Berks County Convention Center Hotel</t>
  </si>
  <si>
    <t>Mercer Museum</t>
  </si>
  <si>
    <t>Festival Park</t>
  </si>
  <si>
    <t>Downingtown River Station</t>
  </si>
  <si>
    <t>Union Square Revitalization-Erie</t>
  </si>
  <si>
    <t>Windy Ridge Business and Technology Park</t>
  </si>
  <si>
    <t>Laceworks Redevelopment</t>
  </si>
  <si>
    <t>Lancaster Central Market</t>
  </si>
  <si>
    <t>New Castle Riverplex Phase II</t>
  </si>
  <si>
    <t>Allentown Fairgrounds</t>
  </si>
  <si>
    <t>Lehigh Landing Riverfront Revitalization</t>
  </si>
  <si>
    <t>Hermitage Technology and Innovation Center</t>
  </si>
  <si>
    <t>Ardmore Station</t>
  </si>
  <si>
    <t>Bryn Mawr Film Studio</t>
  </si>
  <si>
    <t>Settlement Music School</t>
  </si>
  <si>
    <t>South Main Street Parking Garage-Bethlehem</t>
  </si>
  <si>
    <t>Susquehanna University Science Facility</t>
  </si>
  <si>
    <t>Snyder</t>
  </si>
  <si>
    <t>Bucknell University-Bull Run Gateway Project</t>
  </si>
  <si>
    <t>York College-Smurfit-Stone Property Development</t>
  </si>
  <si>
    <t>Clearfield Riverfront Revitalization</t>
  </si>
  <si>
    <t>Crossings at Ambler</t>
  </si>
  <si>
    <t>Crossings at Ambler II</t>
  </si>
  <si>
    <t>Crossings at Ambler III</t>
  </si>
  <si>
    <t>Logan Square Film Studio</t>
  </si>
  <si>
    <t>Almac-Frets and Wamhold Development</t>
  </si>
  <si>
    <t>Fresh Grocer</t>
  </si>
  <si>
    <t>Monroeville Convention Center</t>
  </si>
  <si>
    <t>Pike County Library System</t>
  </si>
  <si>
    <t>Anderson Creek Reservoir</t>
  </si>
  <si>
    <t>Valley Forge Military Academy</t>
  </si>
  <si>
    <t>Chester Soccer Stadium</t>
  </si>
  <si>
    <t>Chester Soccer Stadium II</t>
  </si>
  <si>
    <t>Chester Soccer Stadium III</t>
  </si>
  <si>
    <t>Berwick Area YMCA</t>
  </si>
  <si>
    <t>Martin Towers</t>
  </si>
  <si>
    <t>Livengrin Foundation Drug and Alcohol</t>
  </si>
  <si>
    <t>Bensalem Township Police Building</t>
  </si>
  <si>
    <t>Millersville Borough Building</t>
  </si>
  <si>
    <t>Albright College</t>
  </si>
  <si>
    <t>Lock Haven Pedestrian Mall</t>
  </si>
  <si>
    <t>Luzerne County Community College Culinary Arts</t>
  </si>
  <si>
    <t>Farr Building Redevelopment</t>
  </si>
  <si>
    <t>AWHS Belmont Mansion</t>
  </si>
  <si>
    <t>Arcadia University</t>
  </si>
  <si>
    <t>Goggle Works Neighborhood Lighting</t>
  </si>
  <si>
    <t>Somerset Hospital</t>
  </si>
  <si>
    <t>Riverview Towers</t>
  </si>
  <si>
    <t>Riverview Towers II</t>
  </si>
  <si>
    <t>Carnegie Music Hall</t>
  </si>
  <si>
    <t>Mantua Revitalization</t>
  </si>
  <si>
    <t>Blair County Ballpark Renovations</t>
  </si>
  <si>
    <t>Washington Hospital Expansion</t>
  </si>
  <si>
    <t>Washington Hospital Expansion II</t>
  </si>
  <si>
    <t>Brooklyn Heights Housing Project</t>
  </si>
  <si>
    <t>World War II Veterans Memorial-Allegheny</t>
  </si>
  <si>
    <t>Connellsville Airport Runway Extension</t>
  </si>
  <si>
    <t>Northampton County Historical Society</t>
  </si>
  <si>
    <t>Pittsburgh Opera</t>
  </si>
  <si>
    <t>Norristown Cultural Arts Center</t>
  </si>
  <si>
    <t>Lehigh Carbon Community College Athletic Fields</t>
  </si>
  <si>
    <t>Norwood Borough Fire Hall</t>
  </si>
  <si>
    <t>Majestic Realty-Bethlehem</t>
  </si>
  <si>
    <t>Southwest Regional Medical Center</t>
  </si>
  <si>
    <t>Gateway Youth Services Center</t>
  </si>
  <si>
    <t>North Shore Public Improvements</t>
  </si>
  <si>
    <t>Penn Regional Business Center</t>
  </si>
  <si>
    <t>Jimmy Stewart Airport Runway Extension</t>
  </si>
  <si>
    <t>Fallingwater II</t>
  </si>
  <si>
    <t>Lock Haven University Alumni Center</t>
  </si>
  <si>
    <t>Lands at Hillside Farms</t>
  </si>
  <si>
    <t>Textron Facility</t>
  </si>
  <si>
    <t>Clinton County Community Center</t>
  </si>
  <si>
    <t>St. Marys Kaulmont Park</t>
  </si>
  <si>
    <t>RJ Lee Tire Recycling Center</t>
  </si>
  <si>
    <t>RJ Lee Tire Recycling Center II</t>
  </si>
  <si>
    <t>RJ Lee Tire Recycling Center III</t>
  </si>
  <si>
    <t>Beechview Neighborhood Redevelopment</t>
  </si>
  <si>
    <t>South Hills High School Redevelopment</t>
  </si>
  <si>
    <t>Old Forge Community Center</t>
  </si>
  <si>
    <t>Father Ryan Arts Center</t>
  </si>
  <si>
    <t>Cityplace-Schoens Building Renovation</t>
  </si>
  <si>
    <t>Devon Theatre Performing Arts Center</t>
  </si>
  <si>
    <t>Southeastern Adams Volunteer Emergency Services</t>
  </si>
  <si>
    <t>Methodist Family Services</t>
  </si>
  <si>
    <t>People's Emergency Center II</t>
  </si>
  <si>
    <t>West Parkside Building</t>
  </si>
  <si>
    <t>Philips Hotel Redevelopment</t>
  </si>
  <si>
    <t>Latrobe Are Hospital Emergency Room III</t>
  </si>
  <si>
    <t>Latrobe Area Hospital-Emergency Room IV</t>
  </si>
  <si>
    <t>Nichol Avenue-Stowe Township Brownfield</t>
  </si>
  <si>
    <t>Steel City Rowing Boathouse</t>
  </si>
  <si>
    <t>Warrington Press Building</t>
  </si>
  <si>
    <t>Warrington Press Building II</t>
  </si>
  <si>
    <t>Spanish American Civic Center-Lancaster</t>
  </si>
  <si>
    <t>Puerto Rican Cultural Center-Lancaster</t>
  </si>
  <si>
    <t>Carbon County Office Building</t>
  </si>
  <si>
    <t>African American Museum-Reading</t>
  </si>
  <si>
    <t>Greater Carbondale YMCA</t>
  </si>
  <si>
    <t>Towanda Football Stadium-Endless Mountains Sc Dist</t>
  </si>
  <si>
    <t>Upper Dublin Junior Athletic Football Field</t>
  </si>
  <si>
    <t>Wyomissing Square</t>
  </si>
  <si>
    <t>Eastern State Penitentiary Renovations</t>
  </si>
  <si>
    <t>Holocaust Memorial-Benjamin Franklin Parkway</t>
  </si>
  <si>
    <t>Cabrini College Center for Science, Education</t>
  </si>
  <si>
    <t>MANNA Kitchen Renovations</t>
  </si>
  <si>
    <t>Bristol Borough Police Station</t>
  </si>
  <si>
    <t>UMWA Career Center</t>
  </si>
  <si>
    <t>Jefferson Hills Former Westinghouse Site</t>
  </si>
  <si>
    <t>Auberle Home For At Risk Youth</t>
  </si>
  <si>
    <t>TecPort Business Park</t>
  </si>
  <si>
    <t>St. Clair Hospital ER</t>
  </si>
  <si>
    <t>Mel Blount Youth Home</t>
  </si>
  <si>
    <t>Family Guidance-Promise Camp</t>
  </si>
  <si>
    <t>Pittsburgh Zoo II</t>
  </si>
  <si>
    <t>Hempfield Township Recreation Center</t>
  </si>
  <si>
    <t>East Side Youth Center-Allentown</t>
  </si>
  <si>
    <t>Worshipful Prince Hall Grand Lodge of PA</t>
  </si>
  <si>
    <t>Bethel Park YMCA</t>
  </si>
  <si>
    <t>Chester County Public Safety Training Facility</t>
  </si>
  <si>
    <t>Shoppes at LaSalle</t>
  </si>
  <si>
    <t>Bald Eagle Stadium</t>
  </si>
  <si>
    <t>Lenfest Youth Recreation Center</t>
  </si>
  <si>
    <t>Woodlands Foundation Inc.</t>
  </si>
  <si>
    <t>St. Mary's Villa for Children Home</t>
  </si>
  <si>
    <t>Hatboro Firehouse</t>
  </si>
  <si>
    <t>Lansdale Performing Arts Center</t>
  </si>
  <si>
    <t>Mount Joy Train Station</t>
  </si>
  <si>
    <t>New Holland Recreation Center</t>
  </si>
  <si>
    <t>Seton Hill Harrison Avenue Project</t>
  </si>
  <si>
    <t>Deshong Museum Restoration</t>
  </si>
  <si>
    <t>Science Center-Philadelphia</t>
  </si>
  <si>
    <t>Sbarro Health Research Organization</t>
  </si>
  <si>
    <t>Tarentum Senior Life Center</t>
  </si>
  <si>
    <t>Morrisville Firehouse</t>
  </si>
  <si>
    <t>Allegheny County Airport Revit-Voyager Jet Center</t>
  </si>
  <si>
    <t>Grandview Avenue Renovation Project</t>
  </si>
  <si>
    <t>Holy Redeemer Health System</t>
  </si>
  <si>
    <t>Holy Redeemer Health System II</t>
  </si>
  <si>
    <t>Whitemarsh Center</t>
  </si>
  <si>
    <t>B. Braun_Allentown Manufacturing Facility</t>
  </si>
  <si>
    <t>Penn Highlands Community College</t>
  </si>
  <si>
    <t>Steel Stax Arts and Education Center</t>
  </si>
  <si>
    <t>Port of Erie Drydock and Shipyard-Robotic Arm</t>
  </si>
  <si>
    <t>Wilkes Barre Riverfront and River Commons</t>
  </si>
  <si>
    <t>Scranton-Central NJ Train Station Renovation</t>
  </si>
  <si>
    <t>Scranton-Central NJ Train Station Renovation II</t>
  </si>
  <si>
    <t>Butler Township Senior Center</t>
  </si>
  <si>
    <t>Valley Youth House-Camp Fowler</t>
  </si>
  <si>
    <t>Lawrenceville Seawall - Armstrong Lofts</t>
  </si>
  <si>
    <t>African American Cultural Center</t>
  </si>
  <si>
    <t>Magee Womens Research Institute II</t>
  </si>
  <si>
    <t>0024-01</t>
  </si>
  <si>
    <t>0318-02</t>
  </si>
  <si>
    <t>Lincoln Performing Arts Center III</t>
  </si>
  <si>
    <t>0436-00</t>
  </si>
  <si>
    <t>Geneva College Stadium</t>
  </si>
  <si>
    <t>0336-01</t>
  </si>
  <si>
    <t>Hollidaysburg Car Shop</t>
  </si>
  <si>
    <t>0243-00</t>
  </si>
  <si>
    <t>Delaware Valley College-Animal Biotech</t>
  </si>
  <si>
    <t>0276-00</t>
  </si>
  <si>
    <t>Lower Southampton Library</t>
  </si>
  <si>
    <t>0612-00</t>
  </si>
  <si>
    <t>0606-00</t>
  </si>
  <si>
    <t>0584-00</t>
  </si>
  <si>
    <t>0584-01</t>
  </si>
  <si>
    <t>0589-00</t>
  </si>
  <si>
    <t>0592-00</t>
  </si>
  <si>
    <t>0601-00</t>
  </si>
  <si>
    <t>0602-00</t>
  </si>
  <si>
    <t>0606-01</t>
  </si>
  <si>
    <t>0606-02</t>
  </si>
  <si>
    <t>0606-03</t>
  </si>
  <si>
    <t>0606-04</t>
  </si>
  <si>
    <t>0611-00</t>
  </si>
  <si>
    <t>James A. Michener Art Museum III</t>
  </si>
  <si>
    <t>0430-01</t>
  </si>
  <si>
    <t>Trinity Point Business Center -Site Prep</t>
  </si>
  <si>
    <t>0430-02</t>
  </si>
  <si>
    <t>Trinity Point Business Center</t>
  </si>
  <si>
    <t>0292-00</t>
  </si>
  <si>
    <t>Penn Terminals-Banacol</t>
  </si>
  <si>
    <t>0310-00</t>
  </si>
  <si>
    <t>Lazaretto Restoration</t>
  </si>
  <si>
    <t>Chatham Terrace Apartments-Chester</t>
  </si>
  <si>
    <t>0327-01</t>
  </si>
  <si>
    <t>Uniontown Downtown Redevelopment-FCCAA</t>
  </si>
  <si>
    <t>0249-01</t>
  </si>
  <si>
    <t>PA Academy of Music Expansion-2006</t>
  </si>
  <si>
    <t>0249-02</t>
  </si>
  <si>
    <t>0296-00</t>
  </si>
  <si>
    <t>Ephrata Playhouse</t>
  </si>
  <si>
    <t>0260-00</t>
  </si>
  <si>
    <t>Da Vinci Discovery Center</t>
  </si>
  <si>
    <t>0260-01</t>
  </si>
  <si>
    <t>Good Sheperd Hospital</t>
  </si>
  <si>
    <t>Allentown Art Museum</t>
  </si>
  <si>
    <t>Wilkes Barre Parking Garage-South Main Street</t>
  </si>
  <si>
    <t>0431-00</t>
  </si>
  <si>
    <t>0433-00</t>
  </si>
  <si>
    <t>Cranberry Creek Gateway Park</t>
  </si>
  <si>
    <t>0219-00</t>
  </si>
  <si>
    <t>Farrell Redevelopment</t>
  </si>
  <si>
    <t>Northampton Ballyard-Lehigh Valley Multi-Purp Stad</t>
  </si>
  <si>
    <t>0317-00</t>
  </si>
  <si>
    <t>Centre County Baseball Stadium II</t>
  </si>
  <si>
    <t>0521-00</t>
  </si>
  <si>
    <t>0504-00</t>
  </si>
  <si>
    <t>0509-00</t>
  </si>
  <si>
    <t>0512-00</t>
  </si>
  <si>
    <t>0506-00</t>
  </si>
  <si>
    <t>0516-00</t>
  </si>
  <si>
    <t>0516-01</t>
  </si>
  <si>
    <t>0521-01</t>
  </si>
  <si>
    <t>0527-00</t>
  </si>
  <si>
    <t>0530-00</t>
  </si>
  <si>
    <t>0470-02</t>
  </si>
  <si>
    <t>0500-01</t>
  </si>
  <si>
    <t>0285-01</t>
  </si>
  <si>
    <t>0305-03</t>
  </si>
  <si>
    <t>Goggle Works Apartments and Parking III</t>
  </si>
  <si>
    <t>0501-01</t>
  </si>
  <si>
    <t>0528-00</t>
  </si>
  <si>
    <t>0531-00</t>
  </si>
  <si>
    <t>0532-00</t>
  </si>
  <si>
    <t>0533-00</t>
  </si>
  <si>
    <t>Reading Movie Theatre and Parking Garage V</t>
  </si>
  <si>
    <t>Tasty Baking</t>
  </si>
  <si>
    <t>York YMCA</t>
  </si>
  <si>
    <t>Temple University Hospital-Episcopal Campus</t>
  </si>
  <si>
    <t>Brandywine Workshop Plaza</t>
  </si>
  <si>
    <t>Darby Borough Municipal-Rec Center</t>
  </si>
  <si>
    <t>Salvation Army-Philadelphia</t>
  </si>
  <si>
    <t>African American Museum Reading II</t>
  </si>
  <si>
    <t>WHYY III Learning Labs</t>
  </si>
  <si>
    <t>0147-00</t>
  </si>
  <si>
    <t>Manayunk Canal</t>
  </si>
  <si>
    <t>0197-00</t>
  </si>
  <si>
    <t>60th Street Business District</t>
  </si>
  <si>
    <t>0299-02</t>
  </si>
  <si>
    <t>0299-03</t>
  </si>
  <si>
    <t>0315-01</t>
  </si>
  <si>
    <t>0372-01</t>
  </si>
  <si>
    <t>0372-02</t>
  </si>
  <si>
    <t>0374-01</t>
  </si>
  <si>
    <t>0392-01</t>
  </si>
  <si>
    <t>Point Park College/Firstside</t>
  </si>
  <si>
    <t>0560-00</t>
  </si>
  <si>
    <t>0560-01</t>
  </si>
  <si>
    <t>0581-00</t>
  </si>
  <si>
    <t>0587-00</t>
  </si>
  <si>
    <t>0588-00</t>
  </si>
  <si>
    <t>Children's Institute V</t>
  </si>
  <si>
    <t>Salvation Army-Philadelphia II</t>
  </si>
  <si>
    <t>Bristol Township Business District Improvements</t>
  </si>
  <si>
    <t>Morning Star Community Center</t>
  </si>
  <si>
    <t>Northern Columbia Community Center</t>
  </si>
  <si>
    <t>Centre County Fire Training Facility</t>
  </si>
  <si>
    <t>Pleasant Hill Park</t>
  </si>
  <si>
    <t>North Scranton-Goodwill Industries</t>
  </si>
  <si>
    <t>Dauphin County Libraries</t>
  </si>
  <si>
    <t>Hazlett Theatre</t>
  </si>
  <si>
    <t>Pennridge Community Senior Center</t>
  </si>
  <si>
    <t>Carnegie Library-Hill District</t>
  </si>
  <si>
    <t>PA College of Technology-Business and Workforce</t>
  </si>
  <si>
    <t>Lawrenceville Revitalization</t>
  </si>
  <si>
    <t>West Penn Hospital School of Nursing</t>
  </si>
  <si>
    <t>Eastern University</t>
  </si>
  <si>
    <t>Premier Hydraulics</t>
  </si>
  <si>
    <t>Holy Family College II</t>
  </si>
  <si>
    <t>Wilkes-Barre Parking Garage 2</t>
  </si>
  <si>
    <t>Project HOME II</t>
  </si>
  <si>
    <t>Dauphin County Libraries II</t>
  </si>
  <si>
    <t>DeSales University Conference Center</t>
  </si>
  <si>
    <t>Indiana Regional Medical Center</t>
  </si>
  <si>
    <t>Indiana County Commerce Park</t>
  </si>
  <si>
    <t>Indiana County Multi-Tenant Facility</t>
  </si>
  <si>
    <t>Centre County Fire Training Facility II</t>
  </si>
  <si>
    <t>Cancer Treatment Centers of America</t>
  </si>
  <si>
    <t>Impact Services</t>
  </si>
  <si>
    <t>DeSales University Conference Center II</t>
  </si>
  <si>
    <t>9994-00</t>
  </si>
  <si>
    <t>RACP Admin-Gov 2004</t>
  </si>
  <si>
    <t>9994-01</t>
  </si>
  <si>
    <t>RACP Admin-Gov 2005</t>
  </si>
  <si>
    <t>9994-02</t>
  </si>
  <si>
    <t>RACP Admin-Gov 2008</t>
  </si>
  <si>
    <t>Black Horse Inn</t>
  </si>
  <si>
    <t>Riverview Commerce Park II</t>
  </si>
  <si>
    <t>South Main Street Development</t>
  </si>
  <si>
    <t>Discovery Center-Da Vinci II</t>
  </si>
  <si>
    <t>Family Practice and Counseling Network</t>
  </si>
  <si>
    <t>Mercy Suburban Hospital</t>
  </si>
  <si>
    <t>Junior Achievment</t>
  </si>
  <si>
    <t>South Shore Riverfront Park</t>
  </si>
  <si>
    <t>Mural Arts Center</t>
  </si>
  <si>
    <t>Family Resources Retreat Center</t>
  </si>
  <si>
    <t>Allegheny College-Communications Arts Center</t>
  </si>
  <si>
    <t>Keystone House Project Phase II</t>
  </si>
  <si>
    <t>0566-00</t>
  </si>
  <si>
    <t>0425-03</t>
  </si>
  <si>
    <t>0525-00</t>
  </si>
  <si>
    <t>0536-00</t>
  </si>
  <si>
    <t>0541-00</t>
  </si>
  <si>
    <t>0542-00</t>
  </si>
  <si>
    <t>0542-01</t>
  </si>
  <si>
    <t>0561-00</t>
  </si>
  <si>
    <t>LaSalle University Science and Technology Center</t>
  </si>
  <si>
    <t>0564-00</t>
  </si>
  <si>
    <t>0582-00</t>
  </si>
  <si>
    <t>Northampton Community College-Southside Beth I</t>
  </si>
  <si>
    <t>0525-01</t>
  </si>
  <si>
    <t>0538-00</t>
  </si>
  <si>
    <t>0551-00</t>
  </si>
  <si>
    <t>0557-00</t>
  </si>
  <si>
    <t>0561-01</t>
  </si>
  <si>
    <t>LaSalle University Science and Technology Cent II</t>
  </si>
  <si>
    <t>0561-02</t>
  </si>
  <si>
    <t>LaSalle University Science and Technology Cen III</t>
  </si>
  <si>
    <t>0474-00</t>
  </si>
  <si>
    <t>0526-00</t>
  </si>
  <si>
    <t>0534-00</t>
  </si>
  <si>
    <t>0535-00</t>
  </si>
  <si>
    <t>0537-00</t>
  </si>
  <si>
    <t>0539-00</t>
  </si>
  <si>
    <t>0540-00</t>
  </si>
  <si>
    <t>0542-02</t>
  </si>
  <si>
    <t>0543-00</t>
  </si>
  <si>
    <t>0543-01</t>
  </si>
  <si>
    <t>0543-02</t>
  </si>
  <si>
    <t>0544-00</t>
  </si>
  <si>
    <t>0545-00</t>
  </si>
  <si>
    <t>0546-00</t>
  </si>
  <si>
    <t>0547-00</t>
  </si>
  <si>
    <t>0547-01</t>
  </si>
  <si>
    <t>0548-00</t>
  </si>
  <si>
    <t>0548-01</t>
  </si>
  <si>
    <t>0549-00</t>
  </si>
  <si>
    <t>0550-00</t>
  </si>
  <si>
    <t>0552-00</t>
  </si>
  <si>
    <t>0553-00</t>
  </si>
  <si>
    <t>0554-00</t>
  </si>
  <si>
    <t>0555-00</t>
  </si>
  <si>
    <t>0556-00</t>
  </si>
  <si>
    <t>0558-00</t>
  </si>
  <si>
    <t>0559-00</t>
  </si>
  <si>
    <t>0563-00</t>
  </si>
  <si>
    <t>0567-00</t>
  </si>
  <si>
    <t>0568-00</t>
  </si>
  <si>
    <t>0570-00</t>
  </si>
  <si>
    <t>0572-00</t>
  </si>
  <si>
    <t>0573-00</t>
  </si>
  <si>
    <t>0574-00</t>
  </si>
  <si>
    <t>0575-00</t>
  </si>
  <si>
    <t>Northampton Community Coll-Southside Bethlehem II</t>
  </si>
  <si>
    <t>Northampton Commuinty Coll Southside Beth III</t>
  </si>
  <si>
    <t>Northampton Community College Southside Beth IV</t>
  </si>
  <si>
    <t>Northpointe Technology Center II</t>
  </si>
  <si>
    <t>0431-03</t>
  </si>
  <si>
    <t>Redevelopment of Kaminski Bros Land</t>
  </si>
  <si>
    <t>0316-01</t>
  </si>
  <si>
    <t>0316-02</t>
  </si>
  <si>
    <t>Dorothy Emmanuel Rec Center</t>
  </si>
  <si>
    <t>0279-01</t>
  </si>
  <si>
    <t>Pleasant Playground II</t>
  </si>
  <si>
    <t>Robinhood Dell East &amp; Mann Music Center II</t>
  </si>
  <si>
    <t>Air Products II</t>
  </si>
  <si>
    <t>Boys &amp; Girls Club of Chester</t>
  </si>
  <si>
    <t>0439-00</t>
  </si>
  <si>
    <t>International Paper Site Reuse</t>
  </si>
  <si>
    <t>Shades Beach Park Development</t>
  </si>
  <si>
    <t>Lake Erie Arboretum</t>
  </si>
  <si>
    <t>0399-01</t>
  </si>
  <si>
    <t>Hunting &amp; Fishing Museum II</t>
  </si>
  <si>
    <t>0282-01</t>
  </si>
  <si>
    <t>Lancaster Baseball Stadium II</t>
  </si>
  <si>
    <t>Elizabethtown College-Thompson Gym</t>
  </si>
  <si>
    <t>F&amp;M Gateway-Armstrong Project</t>
  </si>
  <si>
    <t>Annville Streetscape II</t>
  </si>
  <si>
    <t>0284-01</t>
  </si>
  <si>
    <t>Allentown Art Museum II</t>
  </si>
  <si>
    <t>0290-01</t>
  </si>
  <si>
    <t>South Main Street Augmentation</t>
  </si>
  <si>
    <t>0290-02</t>
  </si>
  <si>
    <t>South Main Street Development III</t>
  </si>
  <si>
    <t>0431-01</t>
  </si>
  <si>
    <t>South Wash-Northampton St Garage-Wilkes Barre</t>
  </si>
  <si>
    <t>Luzerne Public Safety Training Center</t>
  </si>
  <si>
    <t>Conshohocken Central Business District</t>
  </si>
  <si>
    <t>Project Literacy-Easton</t>
  </si>
  <si>
    <t>Northampton Street Corridor-Easton-Pomeroys</t>
  </si>
  <si>
    <t>0182-04</t>
  </si>
  <si>
    <t>Please Touch Museum IV</t>
  </si>
  <si>
    <t>0274-02</t>
  </si>
  <si>
    <t>Philadelphia Museum of Art III</t>
  </si>
  <si>
    <t>0366-01</t>
  </si>
  <si>
    <t>Point Breeze Revitalization II</t>
  </si>
  <si>
    <t>Lutheran Theological Seminary II</t>
  </si>
  <si>
    <t>Lancaster Avenue Revitalization</t>
  </si>
  <si>
    <t>Lancaster Avenue Revitalization II</t>
  </si>
  <si>
    <t>Holy Family University Business School</t>
  </si>
  <si>
    <t>Old Met Retail &amp; Commercial Center</t>
  </si>
  <si>
    <t>Old Met Retail &amp; Commercial Center II</t>
  </si>
  <si>
    <t>Jewish Employment and Vocational Services</t>
  </si>
  <si>
    <t>Jewish Employment and Vocational Services II</t>
  </si>
  <si>
    <t>Morris Arboretum</t>
  </si>
  <si>
    <t>Barnes Museum</t>
  </si>
  <si>
    <t>Northern Home</t>
  </si>
  <si>
    <t>Lawndale Revitalization</t>
  </si>
  <si>
    <t>Lutheran Settlement House</t>
  </si>
  <si>
    <t>0440-00</t>
  </si>
  <si>
    <t>Westmoreland Distribution Center  II-Parcel B</t>
  </si>
  <si>
    <t>Grand Total</t>
  </si>
  <si>
    <t>ME #</t>
  </si>
  <si>
    <t>PROJECT</t>
  </si>
  <si>
    <t>COUNTY</t>
  </si>
  <si>
    <t>AUTHORIZATION</t>
  </si>
  <si>
    <t>0000-01</t>
  </si>
  <si>
    <t>Philadelphia</t>
  </si>
  <si>
    <t>Act 1986-118</t>
  </si>
  <si>
    <t>0000-02</t>
  </si>
  <si>
    <t>Keystone Commons (DCA)</t>
  </si>
  <si>
    <t>Allegheny</t>
  </si>
  <si>
    <t>Act 1988-113</t>
  </si>
  <si>
    <t>0000-03</t>
  </si>
  <si>
    <t>Convention Center (DCA)</t>
  </si>
  <si>
    <t>Act 1984- 62</t>
  </si>
  <si>
    <t>0000-04</t>
  </si>
  <si>
    <t>St. Christopher's Hospital (DCA)</t>
  </si>
  <si>
    <t>0000-05</t>
  </si>
  <si>
    <t>Amtrak Train Station (DCA)</t>
  </si>
  <si>
    <t>0000-06</t>
  </si>
  <si>
    <t>Univ. of Penn. Technology Center (DCA)</t>
  </si>
  <si>
    <t>Act 1990-223</t>
  </si>
  <si>
    <t>0000-07</t>
  </si>
  <si>
    <t>Spectrum II Parking (DCA)</t>
  </si>
  <si>
    <t>Act 1992-188</t>
  </si>
  <si>
    <t>0000-08</t>
  </si>
  <si>
    <t>Carnegie Mellon University (DCA)</t>
  </si>
  <si>
    <t>0000-09</t>
  </si>
  <si>
    <t>Herr's Island (DCA)</t>
  </si>
  <si>
    <t>0000-10</t>
  </si>
  <si>
    <t>Wilkinsburg (DCA)</t>
  </si>
  <si>
    <t>0000-11</t>
  </si>
  <si>
    <t>McKeesport (DCA)</t>
  </si>
  <si>
    <t>0000-12</t>
  </si>
  <si>
    <t>J&amp;L Technology Center (A) (DCA)</t>
  </si>
  <si>
    <t>0000-13</t>
  </si>
  <si>
    <t>Three Rivers Stadium (DCA)</t>
  </si>
  <si>
    <t>0000-14</t>
  </si>
  <si>
    <t>McKeesport USX (DCA)</t>
  </si>
  <si>
    <t>0000-15</t>
  </si>
  <si>
    <t>Duquesne USX (DCA)</t>
  </si>
  <si>
    <t>0000-16</t>
  </si>
  <si>
    <t>J&amp;L Technology Center (B) (DCA)</t>
  </si>
  <si>
    <t>0000-17</t>
  </si>
  <si>
    <t>Pitts. Technology Center (DCA)</t>
  </si>
  <si>
    <t>0000-18</t>
  </si>
  <si>
    <t>Munhall Access Ramp (DCA)</t>
  </si>
  <si>
    <t>0000-19</t>
  </si>
  <si>
    <t>Williamsport YMCA/Eastern Lycoming YMCA Comm Ctr</t>
  </si>
  <si>
    <t>0463-00</t>
  </si>
  <si>
    <t>0468-00</t>
  </si>
  <si>
    <t>Good Shepherd Rehabilitation Hospital</t>
  </si>
  <si>
    <t>0447-00</t>
  </si>
  <si>
    <t>0454-00</t>
  </si>
  <si>
    <t>0454-01</t>
  </si>
  <si>
    <t>Allegheny College-Communications Arts Center II</t>
  </si>
  <si>
    <t>0465-00</t>
  </si>
  <si>
    <t>0468-01</t>
  </si>
  <si>
    <t>0468-02</t>
  </si>
  <si>
    <t>Strand Theater-Butler</t>
  </si>
  <si>
    <t>Meadowcroft Rockshelter</t>
  </si>
  <si>
    <t>North Philadelphia Health System II</t>
  </si>
  <si>
    <t>African American Cultural Center/August Wilson</t>
  </si>
  <si>
    <t>Magee Womens Research Institute &amp; Foundation</t>
  </si>
  <si>
    <t>Philadelphia University Ctr for Community Fitness</t>
  </si>
  <si>
    <t>Glenolden Parks</t>
  </si>
  <si>
    <t>0453-01</t>
  </si>
  <si>
    <t>Greene County Swimming Pool II &amp; Community Center</t>
  </si>
  <si>
    <t>West Reading Commercial Redevelopment/Penn View Mo</t>
  </si>
  <si>
    <t>Nueva Esperanza II</t>
  </si>
  <si>
    <t>0182-05</t>
  </si>
  <si>
    <t>Please Touch Museum V</t>
  </si>
  <si>
    <t>0227-01</t>
  </si>
  <si>
    <t>Phipps Conservatory II</t>
  </si>
  <si>
    <t>0228-04</t>
  </si>
  <si>
    <t>Erie Convention Center Supplement III</t>
  </si>
  <si>
    <t>0258-02</t>
  </si>
  <si>
    <t>Moore College of Art III</t>
  </si>
  <si>
    <t>0258-03</t>
  </si>
  <si>
    <t>Moore College of Art IV</t>
  </si>
  <si>
    <t>0299-04</t>
  </si>
  <si>
    <t>0305-01</t>
  </si>
  <si>
    <t>Goggle Works Apartments and Parking</t>
  </si>
  <si>
    <t>0307-01</t>
  </si>
  <si>
    <t>Seton Hill College Theatre Arts II</t>
  </si>
  <si>
    <t>0325-01</t>
  </si>
  <si>
    <t>Market House Revitalization II</t>
  </si>
  <si>
    <t>0361-01</t>
  </si>
  <si>
    <t>Alvernia College II</t>
  </si>
  <si>
    <t>0379-01</t>
  </si>
  <si>
    <t>Carrie Furnace Site Redevelopment II</t>
  </si>
  <si>
    <t>0410-01</t>
  </si>
  <si>
    <t>Forbes Regional Hospital-Monroeville II</t>
  </si>
  <si>
    <t>0418-01</t>
  </si>
  <si>
    <t>Coal Township-SEEDCO Industrial Park II</t>
  </si>
  <si>
    <t>Lancaster Convention Center Site Prep Supplemental</t>
  </si>
  <si>
    <t>0443-01</t>
  </si>
  <si>
    <t>Children's Home of Pittsburgh II</t>
  </si>
  <si>
    <t>0443-02</t>
  </si>
  <si>
    <t>Children's Home of Pittsburgh III</t>
  </si>
  <si>
    <t>0454-02</t>
  </si>
  <si>
    <t>Allegheny College-Communications Arts Center III</t>
  </si>
  <si>
    <t>JB Eberhard Renovation II</t>
  </si>
  <si>
    <t>Centre County Fire Training Center III</t>
  </si>
  <si>
    <t>Eastern University II</t>
  </si>
  <si>
    <t>South Shore Riverfront Park III</t>
  </si>
  <si>
    <t>Lutheran Theological Seminary III</t>
  </si>
  <si>
    <t>Lutheran Theological Seminary IV</t>
  </si>
  <si>
    <t>North Philadelphia Health System III</t>
  </si>
  <si>
    <t>Allentown Art Museum III</t>
  </si>
  <si>
    <t>Magee Women's Researh Institute IV</t>
  </si>
  <si>
    <t>Shades Beach III</t>
  </si>
  <si>
    <t>Northern Home II</t>
  </si>
  <si>
    <t>Reading Movie Threate and Parking III</t>
  </si>
  <si>
    <t>Reading Movie Theatre and Parking Garage IV</t>
  </si>
  <si>
    <t>Reading 700 Penn Street Project III</t>
  </si>
  <si>
    <t>Jefferson Hospital for Neuroscience</t>
  </si>
  <si>
    <t>Jefferson Hospital for Neuroscience II</t>
  </si>
  <si>
    <t>Penn Highlands Community College II</t>
  </si>
  <si>
    <t>Jefferson Hospital for Neuroscience III</t>
  </si>
  <si>
    <t>Summit Hill Borough Redevelopment</t>
  </si>
  <si>
    <t>Worthington Steel Brownfield Revitalization</t>
  </si>
  <si>
    <t>Allens Lane Art Center Facility Development</t>
  </si>
  <si>
    <t>Stone Quarry Commons</t>
  </si>
  <si>
    <t>BioEnergy/Lukoil-Clearfield Ethanol</t>
  </si>
  <si>
    <t>Jewish Community Center-Pittsburgh</t>
  </si>
  <si>
    <t>Jewish Community Center-Pittsburgh II</t>
  </si>
  <si>
    <t>0783-00</t>
  </si>
  <si>
    <t>0792-00</t>
  </si>
  <si>
    <t>0757-00</t>
  </si>
  <si>
    <t>0785-01</t>
  </si>
  <si>
    <t>0785-02</t>
  </si>
  <si>
    <t>0789-00</t>
  </si>
  <si>
    <t>0791-00</t>
  </si>
  <si>
    <t>0815-00</t>
  </si>
  <si>
    <t>0499-04</t>
  </si>
  <si>
    <t>Altoona Discovery Center</t>
  </si>
  <si>
    <t>0041-00</t>
  </si>
  <si>
    <t>Arcadia Theater</t>
  </si>
  <si>
    <t>Somerset</t>
  </si>
  <si>
    <t>0042-00</t>
  </si>
  <si>
    <t>Lackawanna Trolley Museum</t>
  </si>
  <si>
    <t>0043-00</t>
  </si>
  <si>
    <t>Altoona Railroaders Museum</t>
  </si>
  <si>
    <t>0044-00</t>
  </si>
  <si>
    <t>National Institute for Env. Renewal</t>
  </si>
  <si>
    <t>0045-00</t>
  </si>
  <si>
    <t>National Road/Brownsville Flatiron</t>
  </si>
  <si>
    <t>Fayette</t>
  </si>
  <si>
    <t>0046-00</t>
  </si>
  <si>
    <t>Greek Row</t>
  </si>
  <si>
    <t>0047-00</t>
  </si>
  <si>
    <t>North Broad Street Joint Venture</t>
  </si>
  <si>
    <t>0048-00</t>
  </si>
  <si>
    <t>Cultural District Development Phase II</t>
  </si>
  <si>
    <t>0048-01</t>
  </si>
  <si>
    <t>Cultural District Development Phase II - Byham</t>
  </si>
  <si>
    <t>Act 1997- 47</t>
  </si>
  <si>
    <t>0048-02</t>
  </si>
  <si>
    <t>Allegheny Riverfront Park</t>
  </si>
  <si>
    <t>0049-00</t>
  </si>
  <si>
    <t>Whitaker Center for the Arts, Science and Ed.</t>
  </si>
  <si>
    <t>Dauphin</t>
  </si>
  <si>
    <t>0049-01</t>
  </si>
  <si>
    <t>Whitaker Center for the Arts, Science and Ed.(Aug)</t>
  </si>
  <si>
    <t>0050-00</t>
  </si>
  <si>
    <t>Lackawanna Jr College</t>
  </si>
  <si>
    <t>0051-00</t>
  </si>
  <si>
    <t>Monessen Riverfront</t>
  </si>
  <si>
    <t>0052-00</t>
  </si>
  <si>
    <t>Bedford</t>
  </si>
  <si>
    <t>0052-01</t>
  </si>
  <si>
    <t>Bedford Springs II</t>
  </si>
  <si>
    <t>0052-02</t>
  </si>
  <si>
    <t>Bedford Springs III</t>
  </si>
  <si>
    <t>0053-00</t>
  </si>
  <si>
    <t>NASA Robotics Consortium</t>
  </si>
  <si>
    <t>0054-00</t>
  </si>
  <si>
    <t>McKees Point</t>
  </si>
  <si>
    <t>0055-00</t>
  </si>
  <si>
    <t>Lackawanna Montage Trolley Excursion</t>
  </si>
  <si>
    <t>0056-00</t>
  </si>
  <si>
    <t>Hotel Casey/Convention Ctr</t>
  </si>
  <si>
    <t>0057-00</t>
  </si>
  <si>
    <t>Heinz Hall - Pitts</t>
  </si>
  <si>
    <t>0058-00</t>
  </si>
  <si>
    <t>Steel Industry Heritage Center - Homestead</t>
  </si>
  <si>
    <t>0059-00</t>
  </si>
  <si>
    <t>Johnstown Point Stadium 1</t>
  </si>
  <si>
    <t>0060-00</t>
  </si>
  <si>
    <t>Lackawanna Visitor Center</t>
  </si>
  <si>
    <t>0061-00</t>
  </si>
  <si>
    <t>Three Rivers Stadium I</t>
  </si>
  <si>
    <t>0062-00</t>
  </si>
  <si>
    <t>Greensburg Train Station/Palace Theater</t>
  </si>
  <si>
    <t>0063-00</t>
  </si>
  <si>
    <t>CSX Rail Line - SW PA</t>
  </si>
  <si>
    <t>0064-00</t>
  </si>
  <si>
    <t>Duquesne U. Envir Ed Center</t>
  </si>
  <si>
    <t>Act 1994-136</t>
  </si>
  <si>
    <t>0065-00</t>
  </si>
  <si>
    <t>Seamless Pipe Mill</t>
  </si>
  <si>
    <t>Act 1996-101</t>
  </si>
  <si>
    <t>0066-00</t>
  </si>
  <si>
    <t>Pittsburgh Technology Center - LTV Southside</t>
  </si>
  <si>
    <t>0067-00</t>
  </si>
  <si>
    <t>Pocono Mt. Corporate Center</t>
  </si>
  <si>
    <t>Monroe</t>
  </si>
  <si>
    <t>0068-00</t>
  </si>
  <si>
    <t>Pittsburgh Airport Cleanup</t>
  </si>
  <si>
    <t>0069-00</t>
  </si>
  <si>
    <t>Three Rivers Stadium II</t>
  </si>
  <si>
    <t>0070-00</t>
  </si>
  <si>
    <t>Altoona Baseball Stadium</t>
  </si>
  <si>
    <t>0071-00</t>
  </si>
  <si>
    <t>Fairview Industrial Park</t>
  </si>
  <si>
    <t>0072-00</t>
  </si>
  <si>
    <t>Warren County War Memorial Field</t>
  </si>
  <si>
    <t>Warren</t>
  </si>
  <si>
    <t>0073-00</t>
  </si>
  <si>
    <t>Lehigh Valley Baseball Stadium</t>
  </si>
  <si>
    <t>Lehigh</t>
  </si>
  <si>
    <t>0074-00</t>
  </si>
  <si>
    <t>Blair County Convention Center</t>
  </si>
  <si>
    <t>0075-00</t>
  </si>
  <si>
    <t>Philadelphia Zoo - Primate House</t>
  </si>
  <si>
    <t>0076-00</t>
  </si>
  <si>
    <t>South Greensburg Commons</t>
  </si>
  <si>
    <t>0077-00</t>
  </si>
  <si>
    <t>Seamless Pipe Mill II</t>
  </si>
  <si>
    <t>0078-00</t>
  </si>
  <si>
    <t>Seton Hill College Women's Business Center</t>
  </si>
  <si>
    <t>0079-00</t>
  </si>
  <si>
    <t>Southpointe Expansion</t>
  </si>
  <si>
    <t>0080-00</t>
  </si>
  <si>
    <t>Carlisle Parking Garage</t>
  </si>
  <si>
    <t>Cumberland</t>
  </si>
  <si>
    <t>0081-00</t>
  </si>
  <si>
    <t>Westmoreland County Airpark</t>
  </si>
  <si>
    <t>0082-00</t>
  </si>
  <si>
    <t>Westmoreland Distribution Center</t>
  </si>
  <si>
    <t>0083-00</t>
  </si>
  <si>
    <t>Erie Knowledge Park</t>
  </si>
  <si>
    <t>0083-01</t>
  </si>
  <si>
    <t>Knowledge Park - Phase II</t>
  </si>
  <si>
    <t>0084-00</t>
  </si>
  <si>
    <t>Allentown Symphony Hall</t>
  </si>
  <si>
    <t>0085-00</t>
  </si>
  <si>
    <t>Waterfront - Homestead Redevelopment Site</t>
  </si>
  <si>
    <t>0085-01</t>
  </si>
  <si>
    <t>Waterfront - Steel Valley Redevelopment</t>
  </si>
  <si>
    <t>0086-00</t>
  </si>
  <si>
    <t>PNC Park - Acquisition and Site Improvements</t>
  </si>
  <si>
    <t>0087-00</t>
  </si>
  <si>
    <t>Meadow Ridge Industrial Park</t>
  </si>
  <si>
    <t>Greene</t>
  </si>
  <si>
    <t>0088-00</t>
  </si>
  <si>
    <t>Greater Pittsburgh YWCA</t>
  </si>
  <si>
    <t>0089-00</t>
  </si>
  <si>
    <t>Storehouse-Duquesne</t>
  </si>
  <si>
    <t>0090-00</t>
  </si>
  <si>
    <t>Riverview Commerce Park</t>
  </si>
  <si>
    <t>0091-00</t>
  </si>
  <si>
    <t>Pittsburgh Baseball Stadium</t>
  </si>
  <si>
    <t>0092-00</t>
  </si>
  <si>
    <t>Pittsburgh Football Stadium</t>
  </si>
  <si>
    <t>0093-00</t>
  </si>
  <si>
    <t>St. Francis University Health and Wellness Center</t>
  </si>
  <si>
    <t>Northcentral KOZ-Chattanooga Labeling - Telcov</t>
  </si>
  <si>
    <t>0517-00</t>
  </si>
  <si>
    <t>Belmont Recreation Center</t>
  </si>
  <si>
    <t>Glatfelter Equipment Upgrades</t>
  </si>
  <si>
    <t>0469-00</t>
  </si>
  <si>
    <t>0478-00</t>
  </si>
  <si>
    <t>0482-00</t>
  </si>
  <si>
    <t>0492-00</t>
  </si>
  <si>
    <t>0505-00</t>
  </si>
  <si>
    <t>0510-00</t>
  </si>
  <si>
    <t>0517-01</t>
  </si>
  <si>
    <t>0231-01</t>
  </si>
  <si>
    <t>0405-01</t>
  </si>
  <si>
    <t>0470-00</t>
  </si>
  <si>
    <t>0470-01</t>
  </si>
  <si>
    <t>0471-00</t>
  </si>
  <si>
    <t>0472-00</t>
  </si>
  <si>
    <t>0473-00</t>
  </si>
  <si>
    <t>0476-00</t>
  </si>
  <si>
    <t>0476-01</t>
  </si>
  <si>
    <t>0476-02</t>
  </si>
  <si>
    <t>0477-00</t>
  </si>
  <si>
    <t>0478-01</t>
  </si>
  <si>
    <t>0479-00</t>
  </si>
  <si>
    <t>0481-00</t>
  </si>
  <si>
    <t>0481-01</t>
  </si>
  <si>
    <t>0483-00</t>
  </si>
  <si>
    <t>0483-01</t>
  </si>
  <si>
    <t>0486-00</t>
  </si>
  <si>
    <t>0486-01</t>
  </si>
  <si>
    <t>0486-02</t>
  </si>
  <si>
    <t>0486-03</t>
  </si>
  <si>
    <t>0487-00</t>
  </si>
  <si>
    <t>0488-00</t>
  </si>
  <si>
    <t>0489-00</t>
  </si>
  <si>
    <t>0489-01</t>
  </si>
  <si>
    <t>0490-00</t>
  </si>
  <si>
    <t>0490-01</t>
  </si>
  <si>
    <t>0494-00</t>
  </si>
  <si>
    <t>0494-01</t>
  </si>
  <si>
    <t>0494-02</t>
  </si>
  <si>
    <t>0496-00</t>
  </si>
  <si>
    <t>0497-00</t>
  </si>
  <si>
    <t>0498-00</t>
  </si>
  <si>
    <t>0499-00</t>
  </si>
  <si>
    <t>0499-01</t>
  </si>
  <si>
    <t>0499-02</t>
  </si>
  <si>
    <t>0500-00</t>
  </si>
  <si>
    <t>0502-00</t>
  </si>
  <si>
    <t>0508-00</t>
  </si>
  <si>
    <t>0522-00</t>
  </si>
  <si>
    <t>0411-01</t>
  </si>
  <si>
    <t>New Economy Business ParkII/Northern Ambridge</t>
  </si>
  <si>
    <t>0484-00</t>
  </si>
  <si>
    <t>0495-00</t>
  </si>
  <si>
    <t>0496-01</t>
  </si>
  <si>
    <t>0501-00</t>
  </si>
  <si>
    <t>Nueva Esperanza III</t>
  </si>
  <si>
    <t>0182-06</t>
  </si>
  <si>
    <t>Please Touch Museum VI</t>
  </si>
  <si>
    <t>0227-02</t>
  </si>
  <si>
    <t>Phipps Conservatory III</t>
  </si>
  <si>
    <t>0227-03</t>
  </si>
  <si>
    <t>Phipps Conservatory IV</t>
  </si>
  <si>
    <t>0320-01</t>
  </si>
  <si>
    <t>Bethlehem Riverport Parking Garage II</t>
  </si>
  <si>
    <t>0352-01</t>
  </si>
  <si>
    <t>Fred Rogers Center for Early Learning II</t>
  </si>
  <si>
    <t>0412-01</t>
  </si>
  <si>
    <t>St. Mary's Medical Center II</t>
  </si>
  <si>
    <t>0451-01</t>
  </si>
  <si>
    <t>New Arena Site Acquisition and Demolition II</t>
  </si>
  <si>
    <t>0476-03</t>
  </si>
  <si>
    <t>0476-04</t>
  </si>
  <si>
    <t>0478-02</t>
  </si>
  <si>
    <t>0481-02</t>
  </si>
  <si>
    <t>0481-03</t>
  </si>
  <si>
    <t>0485-00</t>
  </si>
  <si>
    <t>Beaver County YMCA II _Expansion</t>
  </si>
  <si>
    <t>0489-02</t>
  </si>
  <si>
    <t>0491-00</t>
  </si>
  <si>
    <t>0491-01</t>
  </si>
  <si>
    <t>Allens Lane Art Center II</t>
  </si>
  <si>
    <t>Act 2006-152</t>
  </si>
  <si>
    <t>0495-01</t>
  </si>
  <si>
    <t>0507-00</t>
  </si>
  <si>
    <t>0513-00</t>
  </si>
  <si>
    <t>Upper Darby Gateway Parking Garage</t>
  </si>
  <si>
    <t>0514-00</t>
  </si>
  <si>
    <t>0518-00</t>
  </si>
  <si>
    <t>0520-00</t>
  </si>
  <si>
    <t>0523-00</t>
  </si>
  <si>
    <t>Philadelphia University Ctr for Comm Fitness II</t>
  </si>
  <si>
    <t>Old Met Retail and Commercial Center III</t>
  </si>
  <si>
    <t>Bridgewater Crossing-Ohio River Mixed Use II</t>
  </si>
  <si>
    <t>Children's Institute III</t>
  </si>
  <si>
    <t>Children's Institute IV</t>
  </si>
  <si>
    <t>Pittsburgh Technology Center Parking Garages II</t>
  </si>
  <si>
    <t>Roosevelt Boulevard Redevelopment/Frederick</t>
  </si>
  <si>
    <t>Jeannette South Sixth Street Revitalization</t>
  </si>
  <si>
    <t>Smith Memorial Playground Renovation &amp; Restoration</t>
  </si>
  <si>
    <t>Armstrong Cork Lofts Parking Facility</t>
  </si>
  <si>
    <t>Valley Youth House-Camp Fowler II</t>
  </si>
  <si>
    <t>Fraser Cinema-State College</t>
  </si>
  <si>
    <t>Canonsburg Library</t>
  </si>
  <si>
    <t>Canonsburg Library II</t>
  </si>
  <si>
    <t>Historic Bethlehem Partnership I</t>
  </si>
  <si>
    <t>Historic Bethlehem Partnership II</t>
  </si>
  <si>
    <t>St. Luke's Hospital-Pennsburg Borough</t>
  </si>
  <si>
    <t>Easton Riverwalk Parking Garage</t>
  </si>
  <si>
    <t>0773-00</t>
  </si>
  <si>
    <t>0776-00</t>
  </si>
  <si>
    <t>0776-01</t>
  </si>
  <si>
    <t>0724-00</t>
  </si>
  <si>
    <t>0774-00</t>
  </si>
  <si>
    <t>0774-01</t>
  </si>
  <si>
    <t>0774-02</t>
  </si>
  <si>
    <t>0775-00</t>
  </si>
  <si>
    <t>Crispus Attucks Learning Center</t>
  </si>
  <si>
    <t>0798-00</t>
  </si>
  <si>
    <t>0122-01</t>
  </si>
  <si>
    <t>Franklin Institute, Phase II</t>
  </si>
  <si>
    <t>0123-00</t>
  </si>
  <si>
    <t>WHYY</t>
  </si>
  <si>
    <t>WHYY II</t>
  </si>
  <si>
    <t>0124-00</t>
  </si>
  <si>
    <t>Valley View Business Park</t>
  </si>
  <si>
    <t>0125-00</t>
  </si>
  <si>
    <t>Corry Multi-Tenant</t>
  </si>
  <si>
    <t>0126-00</t>
  </si>
  <si>
    <t>Elizabethtown Library</t>
  </si>
  <si>
    <t>0127-00</t>
  </si>
  <si>
    <t>Phila Football Practice Facility - 2nd Supplement</t>
  </si>
  <si>
    <t>0127-01</t>
  </si>
  <si>
    <t>Phila Football Practice Facility - 3rd Supplement</t>
  </si>
  <si>
    <t>0128-00</t>
  </si>
  <si>
    <t>Wallenpaupack Education Center</t>
  </si>
  <si>
    <t>Pike</t>
  </si>
  <si>
    <t>0129-00</t>
  </si>
  <si>
    <t>Port of Technology</t>
  </si>
  <si>
    <t>0130-00</t>
  </si>
  <si>
    <t>Erie Boys and Girls Club</t>
  </si>
  <si>
    <t>0131-00</t>
  </si>
  <si>
    <t>Blair County Historical Society-Baker Mansion</t>
  </si>
  <si>
    <t>0131-01</t>
  </si>
  <si>
    <t>0619-00</t>
  </si>
  <si>
    <t>0515-00</t>
  </si>
  <si>
    <t>0515-01</t>
  </si>
  <si>
    <t>0617-00</t>
  </si>
  <si>
    <t>0621-00</t>
  </si>
  <si>
    <t>0607-00</t>
  </si>
  <si>
    <t>IATSE Local #8 Training Center-Philadelphia</t>
  </si>
  <si>
    <t>0607-01</t>
  </si>
  <si>
    <t>IATSE Local # 8 Training Center II-Philadelphia</t>
  </si>
  <si>
    <t>0607-02</t>
  </si>
  <si>
    <t>IATSE Local #8 Training Center III-Philadelphia</t>
  </si>
  <si>
    <t>Shoppes at LaSalle University II-Fresh Grocer</t>
  </si>
  <si>
    <t>0614-00</t>
  </si>
  <si>
    <t>0615-00</t>
  </si>
  <si>
    <t>0132-00</t>
  </si>
  <si>
    <t>Lackawanna Performing Arts Center</t>
  </si>
  <si>
    <t>0133-00</t>
  </si>
  <si>
    <t>Mansfield Pool</t>
  </si>
  <si>
    <t>Tioga</t>
  </si>
  <si>
    <t>0134-00</t>
  </si>
  <si>
    <t>Fallingwater</t>
  </si>
  <si>
    <t>0135-00</t>
  </si>
  <si>
    <t>PONY Baseball</t>
  </si>
  <si>
    <t>0136-00</t>
  </si>
  <si>
    <t>Keystone Industrial Park</t>
  </si>
  <si>
    <t>0137-00</t>
  </si>
  <si>
    <t>Rockpointe Business Airpark</t>
  </si>
  <si>
    <t>0138-00</t>
  </si>
  <si>
    <t>Philabundance</t>
  </si>
  <si>
    <t>0139-00</t>
  </si>
  <si>
    <t>Philadelphia Football Stadium</t>
  </si>
  <si>
    <t>0140-00</t>
  </si>
  <si>
    <t>Philadelphia Baseball Stadium</t>
  </si>
  <si>
    <t>0141-00</t>
  </si>
  <si>
    <t>Beaver County YMCA</t>
  </si>
  <si>
    <t>0142-00</t>
  </si>
  <si>
    <t>North Shore Riverfront Park</t>
  </si>
  <si>
    <t>0143-00</t>
  </si>
  <si>
    <t>South Philadelphia Parking (Stadium Supplement)</t>
  </si>
  <si>
    <t>0144-00</t>
  </si>
  <si>
    <t>National Museum of Industrial History</t>
  </si>
  <si>
    <t>0524-00</t>
  </si>
  <si>
    <t>0145-00</t>
  </si>
  <si>
    <t>New Castle Downtown Revitalization</t>
  </si>
  <si>
    <t>0145-01</t>
  </si>
  <si>
    <t>New Castle Downtown Revitalization II</t>
  </si>
  <si>
    <t>0145-02</t>
  </si>
  <si>
    <t>New Castle Downtown Revitalization III</t>
  </si>
  <si>
    <t>0146-00</t>
  </si>
  <si>
    <t>National Constitution Center</t>
  </si>
  <si>
    <t>0148-00</t>
  </si>
  <si>
    <t>Peoples Emergency Center</t>
  </si>
  <si>
    <t>0149-00</t>
  </si>
  <si>
    <t>Gettysburg Historic Pathways</t>
  </si>
  <si>
    <t>Adams</t>
  </si>
  <si>
    <t>0150-00</t>
  </si>
  <si>
    <t>Jeannette Industrial Park</t>
  </si>
  <si>
    <t>0151-00</t>
  </si>
  <si>
    <t>PA Academy of Fine Arts</t>
  </si>
  <si>
    <t>0152-00</t>
  </si>
  <si>
    <t>Cultural District Service Center</t>
  </si>
  <si>
    <t>0153-00</t>
  </si>
  <si>
    <t>International House</t>
  </si>
  <si>
    <t>0154-00</t>
  </si>
  <si>
    <t>Prince Music Center</t>
  </si>
  <si>
    <t>0155-00</t>
  </si>
  <si>
    <t>Scranton Mulberry Corridor</t>
  </si>
  <si>
    <t>0156-00</t>
  </si>
  <si>
    <t>Erie Cruise &amp; Ferry Terminal</t>
  </si>
  <si>
    <t>0157-00</t>
  </si>
  <si>
    <t>CBS Westinghouse Site</t>
  </si>
  <si>
    <t>0158-00</t>
  </si>
  <si>
    <t>Park N Lock North</t>
  </si>
  <si>
    <t>0159-00</t>
  </si>
  <si>
    <t>Blue Horizon 2</t>
  </si>
  <si>
    <t>0160-00</t>
  </si>
  <si>
    <t>Rodale Aquatics Center</t>
  </si>
  <si>
    <t>0160-01</t>
  </si>
  <si>
    <t>Rodale Aquatics Center Supplement</t>
  </si>
  <si>
    <t>0161-00</t>
  </si>
  <si>
    <t>Berwick Workforce Development Center</t>
  </si>
  <si>
    <t>Columbia</t>
  </si>
  <si>
    <t>0162-00</t>
  </si>
  <si>
    <t>Hopewell Business and Industrial Park</t>
  </si>
  <si>
    <t>0163-00</t>
  </si>
  <si>
    <t>DeVorris Business Park</t>
  </si>
  <si>
    <t>0594-00</t>
  </si>
  <si>
    <t>0594-01</t>
  </si>
  <si>
    <t>0603-00</t>
  </si>
  <si>
    <t>0305-04</t>
  </si>
  <si>
    <t>Goggle Works Apartments</t>
  </si>
  <si>
    <t>Crozer-Keystone Health System-Chester Medical Cent</t>
  </si>
  <si>
    <t>Susquehanna Commercial Corridor Revitalization</t>
  </si>
  <si>
    <t>Bucknell Innovation Center</t>
  </si>
  <si>
    <t>0164-00</t>
  </si>
  <si>
    <t>North Broad Street Streetscape</t>
  </si>
  <si>
    <t>0165-00</t>
  </si>
  <si>
    <t>Meadow Ridge Industrial Park II</t>
  </si>
  <si>
    <t>0166-00</t>
  </si>
  <si>
    <t>Carlow University Health &amp; Wellness Center IV</t>
  </si>
  <si>
    <t>Center For Human Advancement II</t>
  </si>
  <si>
    <t>Ben Franklin Tech Ventures Incubator II</t>
  </si>
  <si>
    <t>St. Joseph's University II</t>
  </si>
  <si>
    <t>St. Joseph's University III</t>
  </si>
  <si>
    <t>United Ceberal Palsy of SW PA II</t>
  </si>
  <si>
    <t>Darby Town Center</t>
  </si>
  <si>
    <t>UPMC Mercy</t>
  </si>
  <si>
    <t>UPMC Monroeville</t>
  </si>
  <si>
    <t>UPMC Passavant</t>
  </si>
  <si>
    <t>St. Clair Hospital ER II</t>
  </si>
  <si>
    <t>Blair LLC Call Center</t>
  </si>
  <si>
    <t>Point Park University II</t>
  </si>
  <si>
    <t>Men &amp; Women for Human Excellence</t>
  </si>
  <si>
    <t>Hickman Senior Housing</t>
  </si>
  <si>
    <t>Phoenixville Public Library</t>
  </si>
  <si>
    <t>Historic Washington Building Renovation</t>
  </si>
  <si>
    <t>Enterprise Heights</t>
  </si>
  <si>
    <t>University of Scranton Science Building</t>
  </si>
  <si>
    <t>Haven Peniel Senior Citizens Residence</t>
  </si>
  <si>
    <t>Spring City Library</t>
  </si>
  <si>
    <t>Chester County Hospital West Pavillion</t>
  </si>
  <si>
    <t>Haverford Community Center</t>
  </si>
  <si>
    <t>Haverford Township Community Center II</t>
  </si>
  <si>
    <t>New Jerusalem Project</t>
  </si>
  <si>
    <t>Harrison Township Community Center</t>
  </si>
  <si>
    <t>Boys Latin Charter School</t>
  </si>
  <si>
    <t>Dignified Living Environements</t>
  </si>
  <si>
    <t>Jackson Township Business Park</t>
  </si>
  <si>
    <t>Atwater Kent Museum</t>
  </si>
  <si>
    <t>Albert Einstein Hospital</t>
  </si>
  <si>
    <t>Railroaders Memorial Museum</t>
  </si>
  <si>
    <t>Sun Center Studios</t>
  </si>
  <si>
    <t>Philadelphia Zoo-Children's Zoo</t>
  </si>
  <si>
    <t>Philadelphia Zoo-Aviary</t>
  </si>
  <si>
    <t>Germantown Revitalization</t>
  </si>
  <si>
    <t>Keystone College</t>
  </si>
  <si>
    <t>Mercer Museum II</t>
  </si>
  <si>
    <t>Tech 21 Park</t>
  </si>
  <si>
    <t>Commerce Bank Park</t>
  </si>
  <si>
    <t>Commerce Bank Park II</t>
  </si>
  <si>
    <t>Leg Up Farm</t>
  </si>
  <si>
    <t>Act 2000-027</t>
  </si>
  <si>
    <t>Elmwood Park Zoo</t>
  </si>
  <si>
    <t>GE Transportation-Clean Diesel Testing Facility</t>
  </si>
  <si>
    <t>Heinz Hall Pittsburgh Symphony II</t>
  </si>
  <si>
    <t>Pittsburgh Symphony Heinz Hall II</t>
  </si>
  <si>
    <t>St. Vincent College</t>
  </si>
  <si>
    <t>Butz Corporate Center</t>
  </si>
  <si>
    <t>Wellness Community of Philadelphia</t>
  </si>
  <si>
    <t>Pittsburgh Super Computer Center</t>
  </si>
  <si>
    <t>Norristown Riverfront Development</t>
  </si>
  <si>
    <t>City Avenue Streetscape</t>
  </si>
  <si>
    <t>International House II</t>
  </si>
  <si>
    <t>Allied Terrace Assisted Living</t>
  </si>
  <si>
    <t>Northeast Regional Autism Center</t>
  </si>
  <si>
    <t>Chapman Conference Center</t>
  </si>
  <si>
    <t>Lysle Blvd Flyover Ramp-McKeesport</t>
  </si>
  <si>
    <t>Federal North/Federal Hill</t>
  </si>
  <si>
    <t>Oak Hill Phase 2</t>
  </si>
  <si>
    <t>YMCA Hill District</t>
  </si>
  <si>
    <t>Wistar Institute</t>
  </si>
  <si>
    <t>0740-00</t>
  </si>
  <si>
    <t>0754-00</t>
  </si>
  <si>
    <t>0754-01</t>
  </si>
  <si>
    <t>0758-00</t>
  </si>
  <si>
    <t>0760-00</t>
  </si>
  <si>
    <t>0765-00</t>
  </si>
  <si>
    <t>0765-01</t>
  </si>
  <si>
    <t>Bethel Park Community Center</t>
  </si>
  <si>
    <t>0739-00</t>
  </si>
  <si>
    <t>0305-06</t>
  </si>
  <si>
    <t>0305-07</t>
  </si>
  <si>
    <t>Goggleworks Apartments VII</t>
  </si>
  <si>
    <t>0404-01</t>
  </si>
  <si>
    <t>0725-00</t>
  </si>
  <si>
    <t>0665-01</t>
  </si>
  <si>
    <t>0767-00</t>
  </si>
  <si>
    <t>0662-03</t>
  </si>
  <si>
    <t>Chester Soccer Stadium IV</t>
  </si>
  <si>
    <t>0694-00</t>
  </si>
  <si>
    <t>0733-00</t>
  </si>
  <si>
    <t>0755-00</t>
  </si>
  <si>
    <t>0736-00</t>
  </si>
  <si>
    <t>0762-00</t>
  </si>
  <si>
    <t>0749-00</t>
  </si>
  <si>
    <t>0422-01</t>
  </si>
  <si>
    <t>0422-02</t>
  </si>
  <si>
    <t>Hotel Easton Parking Garage/Easton riverw-intermo</t>
  </si>
  <si>
    <t>Franklin Institute (DCA)</t>
  </si>
  <si>
    <t>0499-03</t>
  </si>
  <si>
    <t>0543-03</t>
  </si>
  <si>
    <t>0666-01</t>
  </si>
  <si>
    <t>Biberman Building Renovation II</t>
  </si>
  <si>
    <t>0738-00</t>
  </si>
  <si>
    <t>0747-00</t>
  </si>
  <si>
    <t>0761-00</t>
  </si>
  <si>
    <t>0763-00</t>
  </si>
  <si>
    <t>0763-01</t>
  </si>
  <si>
    <t>0780-00</t>
  </si>
  <si>
    <t>0790-00</t>
  </si>
  <si>
    <t>0781-00</t>
  </si>
  <si>
    <t>0735-00</t>
  </si>
  <si>
    <t>Western Wayne School District Athletic Fields</t>
  </si>
  <si>
    <t>Wayne</t>
  </si>
  <si>
    <t>0770-00</t>
  </si>
  <si>
    <t>0192-00</t>
  </si>
  <si>
    <t>Asbury Woods</t>
  </si>
  <si>
    <t>0193-00</t>
  </si>
  <si>
    <t>Erie Port KOZ</t>
  </si>
  <si>
    <t>0194-00</t>
  </si>
  <si>
    <t>Bradford Old City Hall</t>
  </si>
  <si>
    <t>McKean</t>
  </si>
  <si>
    <t>0194-01</t>
  </si>
  <si>
    <t>Bradford Old City Hall II</t>
  </si>
  <si>
    <t>0194-02</t>
  </si>
  <si>
    <t>0194-03</t>
  </si>
  <si>
    <t>Bradford Regional Medical Center</t>
  </si>
  <si>
    <t>0195-00</t>
  </si>
  <si>
    <t>0578-00</t>
  </si>
  <si>
    <t>0578-01</t>
  </si>
  <si>
    <t>Muhlenberg College Science Facilities II</t>
  </si>
  <si>
    <t>Valley View House-Camp Fowler III</t>
  </si>
  <si>
    <t>Canonsburg Library III</t>
  </si>
  <si>
    <t>Greater Carbondale YMCA III</t>
  </si>
  <si>
    <t>Downtown Allentown Hotel</t>
  </si>
  <si>
    <t>Biberman Building Redevelopment</t>
  </si>
  <si>
    <t>Swan Biomass Conversion Center of Excellence</t>
  </si>
  <si>
    <t>Williamsport Streetscape</t>
  </si>
  <si>
    <t>0196-00</t>
  </si>
  <si>
    <t>AMLA Performing Arts Center</t>
  </si>
  <si>
    <t>0198-00</t>
  </si>
  <si>
    <t>Christian Street YMCA</t>
  </si>
  <si>
    <t>0199-00</t>
  </si>
  <si>
    <t>West Philadelphia YMCA Annex</t>
  </si>
  <si>
    <t>0200-00</t>
  </si>
  <si>
    <t>0201-00</t>
  </si>
  <si>
    <t>Northeast Neighborhood Community Center</t>
  </si>
  <si>
    <t>0202-00</t>
  </si>
  <si>
    <t>Association of Puerto Ricans on the March</t>
  </si>
  <si>
    <t>0203-00</t>
  </si>
  <si>
    <t>Erie Childrens Zoo</t>
  </si>
  <si>
    <t>0204-00</t>
  </si>
  <si>
    <t>Hanover Crossing</t>
  </si>
  <si>
    <t>0205-00</t>
  </si>
  <si>
    <t>York Exposition Center</t>
  </si>
  <si>
    <t>0206-00</t>
  </si>
  <si>
    <t>Ned Smith Center</t>
  </si>
  <si>
    <t>0207-00</t>
  </si>
  <si>
    <t>Kepler Hotel Project</t>
  </si>
  <si>
    <t>0208-00</t>
  </si>
  <si>
    <t>Lake Erie College of Osteopathic Medicine</t>
  </si>
  <si>
    <t>0209-00</t>
  </si>
  <si>
    <t>DuBois Workforce Development Center</t>
  </si>
  <si>
    <t>0210-00</t>
  </si>
  <si>
    <t>Morrison's Cove Memorial Park</t>
  </si>
  <si>
    <t>0211-00</t>
  </si>
  <si>
    <t>Slippery Rock Streetscape</t>
  </si>
  <si>
    <t>0212-00</t>
  </si>
  <si>
    <t>Perry County Business Campus One</t>
  </si>
  <si>
    <t>Perry</t>
  </si>
  <si>
    <t>0213-00</t>
  </si>
  <si>
    <t>Lancaster Convention Center</t>
  </si>
  <si>
    <t>0214-00</t>
  </si>
  <si>
    <t>Heinz History Center</t>
  </si>
  <si>
    <t>0215-00</t>
  </si>
  <si>
    <t>Agri-Business Zone Project</t>
  </si>
  <si>
    <t>0216-00</t>
  </si>
  <si>
    <t>Drexel University</t>
  </si>
  <si>
    <t>0217-00</t>
  </si>
  <si>
    <t>Tidewood East Industrial Park</t>
  </si>
  <si>
    <t>Schuylkill</t>
  </si>
  <si>
    <t>0218-00</t>
  </si>
  <si>
    <t>Ephrata Mountain Springs Hotel</t>
  </si>
  <si>
    <t>0220-00</t>
  </si>
  <si>
    <t>Pittsburgh Children's Museum</t>
  </si>
  <si>
    <t>0221-00</t>
  </si>
  <si>
    <t>CORA Services</t>
  </si>
  <si>
    <t>0222-00</t>
  </si>
  <si>
    <t>Universal Homes Commercial Development</t>
  </si>
  <si>
    <t>0223-00</t>
  </si>
  <si>
    <t>Settlement School of Music</t>
  </si>
  <si>
    <t>0224-00</t>
  </si>
  <si>
    <t>Woodmere Art Museum</t>
  </si>
  <si>
    <t>0225-00</t>
  </si>
  <si>
    <t>Media Armory</t>
  </si>
  <si>
    <t>Delaware</t>
  </si>
  <si>
    <t>0226-00</t>
  </si>
  <si>
    <t>Media Theatre</t>
  </si>
  <si>
    <t>0228-01</t>
  </si>
  <si>
    <t>Erie Convention Center</t>
  </si>
  <si>
    <t>0228-02</t>
  </si>
  <si>
    <t>RACP Admin-HD 2008</t>
  </si>
  <si>
    <t>0587-01</t>
  </si>
  <si>
    <t>0659-04</t>
  </si>
  <si>
    <t>National Aviary V</t>
  </si>
  <si>
    <t>0696-01</t>
  </si>
  <si>
    <t>0696-02</t>
  </si>
  <si>
    <t>Erie Convention Center Supplement</t>
  </si>
  <si>
    <t>0228-03</t>
  </si>
  <si>
    <t>Erie Convention Center Supplement II</t>
  </si>
  <si>
    <t>0229-00</t>
  </si>
  <si>
    <t>Indian Valley Family YMCA</t>
  </si>
  <si>
    <t>0230-00</t>
  </si>
  <si>
    <t>Jefferson County Vocational Center - Goodwill</t>
  </si>
  <si>
    <t>Jefferson</t>
  </si>
  <si>
    <t>0231-00</t>
  </si>
  <si>
    <t>Michener Art Museum</t>
  </si>
  <si>
    <t>0233-00</t>
  </si>
  <si>
    <t>Bayfront Maritime Studies</t>
  </si>
  <si>
    <t>0234-00</t>
  </si>
  <si>
    <t>Lehigh Valley Heritage Center</t>
  </si>
  <si>
    <t>0235-00</t>
  </si>
  <si>
    <t>Peters Township Recreation Center</t>
  </si>
  <si>
    <t>0236-00</t>
  </si>
  <si>
    <t>Fenestra Freight Facility (Tom Ridge Field)</t>
  </si>
  <si>
    <t>0237-00</t>
  </si>
  <si>
    <t>Grey Towers</t>
  </si>
  <si>
    <t>0238-00</t>
  </si>
  <si>
    <t>Stroudsburg Parking Garage</t>
  </si>
  <si>
    <t>0239-00</t>
  </si>
  <si>
    <t>Southeastern PA Red Cross</t>
  </si>
  <si>
    <t>0240-00</t>
  </si>
  <si>
    <t>Philadelphia Zoo - Carnivore House</t>
  </si>
  <si>
    <t>0241-00</t>
  </si>
  <si>
    <t>WQED</t>
  </si>
  <si>
    <t>0242-00</t>
  </si>
  <si>
    <t>Mercyhurst College Health &amp; Safety Buidling</t>
  </si>
  <si>
    <t>0244-00</t>
  </si>
  <si>
    <t>Lower Bucks Hospital</t>
  </si>
  <si>
    <t>0245-00</t>
  </si>
  <si>
    <t>Western PA Cultural Arts Center (Westminster)</t>
  </si>
  <si>
    <t>0246-00</t>
  </si>
  <si>
    <t>Shenango Valley Library</t>
  </si>
  <si>
    <t>0247-00</t>
  </si>
  <si>
    <t>House of Umoja</t>
  </si>
  <si>
    <t>0248-00</t>
  </si>
  <si>
    <t>Doylestown Cultural District</t>
  </si>
  <si>
    <t>0249-00</t>
  </si>
  <si>
    <t>PA Academy of Music</t>
  </si>
  <si>
    <t>0250-00</t>
  </si>
  <si>
    <t>Scranton Enterprise Center</t>
  </si>
  <si>
    <t>0251-00</t>
  </si>
  <si>
    <t>York Stadium</t>
  </si>
  <si>
    <t>0252-00</t>
  </si>
  <si>
    <t>PENN Vet School</t>
  </si>
  <si>
    <t>0253-01</t>
  </si>
  <si>
    <t>Northcentral KOZ-CDR Site Infrastructure</t>
  </si>
  <si>
    <t>Elk</t>
  </si>
  <si>
    <t>0253-02</t>
  </si>
  <si>
    <t>Potter</t>
  </si>
  <si>
    <t>0253-04</t>
  </si>
  <si>
    <t>Northcentral KOZ-DuBois Brewery Site Development</t>
  </si>
  <si>
    <t>0253-05</t>
  </si>
  <si>
    <t>Northcentral KOZ-DuBois-Jefferson Airpark</t>
  </si>
  <si>
    <t>0253-06</t>
  </si>
  <si>
    <t>Northcentral KOZ-Falls Creek Industrial Park</t>
  </si>
  <si>
    <t>0253-07</t>
  </si>
  <si>
    <t>Cameron</t>
  </si>
  <si>
    <t>0253-08</t>
  </si>
  <si>
    <t>Northcentral KOZ-Lafferty Hollow Industrial Park</t>
  </si>
  <si>
    <t>0253-09</t>
  </si>
  <si>
    <t>Northcentral KOZ-Northwest Business Park</t>
  </si>
  <si>
    <t>0253-10</t>
  </si>
  <si>
    <t>Northcentral KOZ-Punxsutawney Industrial Park</t>
  </si>
  <si>
    <t>0253-11</t>
  </si>
  <si>
    <t>Northcentral KOZ-Swanson Property Redevelopment</t>
  </si>
  <si>
    <t>0254-00</t>
  </si>
  <si>
    <t>Hanover Library</t>
  </si>
  <si>
    <t>0255-00</t>
  </si>
  <si>
    <t>Centre Region (Schlow Memorial) Library</t>
  </si>
  <si>
    <t>Centre</t>
  </si>
  <si>
    <t>0256-00</t>
  </si>
  <si>
    <t>Bensalem Community Center</t>
  </si>
  <si>
    <t>0257-00</t>
  </si>
  <si>
    <t>Horizon Corporate Center</t>
  </si>
  <si>
    <t>0258-00</t>
  </si>
  <si>
    <t>Moore College of Art</t>
  </si>
  <si>
    <t>0258-01</t>
  </si>
  <si>
    <t>Moore College of Art II</t>
  </si>
  <si>
    <t>0259-00</t>
  </si>
  <si>
    <t>Henry C. Morgan Stadium</t>
  </si>
  <si>
    <t>0261-00</t>
  </si>
  <si>
    <t>South Duke Street Gateway Corridor</t>
  </si>
  <si>
    <t>0262-00</t>
  </si>
  <si>
    <t>Metro Machine</t>
  </si>
  <si>
    <t>Beaver County Multi-Tenant Facility</t>
  </si>
  <si>
    <t>Beaver County Multi-Tenant Facility II</t>
  </si>
  <si>
    <t>0264-00</t>
  </si>
  <si>
    <t>Tyrone Mill-ABCD</t>
  </si>
  <si>
    <t>0265-00</t>
  </si>
  <si>
    <t>Harrisburg YMCA</t>
  </si>
  <si>
    <t>0266-00</t>
  </si>
  <si>
    <t>Sacred Heart Hospital</t>
  </si>
  <si>
    <t>0267-00</t>
  </si>
  <si>
    <t>New Courtland Elder Services</t>
  </si>
  <si>
    <t>0268-00</t>
  </si>
  <si>
    <t>0269-00</t>
  </si>
  <si>
    <t>Irish Memorial</t>
  </si>
  <si>
    <t>0270-00</t>
  </si>
  <si>
    <t>Children's Hospital of Philadelphia</t>
  </si>
  <si>
    <t>0271-00</t>
  </si>
  <si>
    <t>Phoenixville Foundry Building</t>
  </si>
  <si>
    <t>Chester</t>
  </si>
  <si>
    <t>0272-00</t>
  </si>
  <si>
    <t>Northpointe Technology Center</t>
  </si>
  <si>
    <t>0273-00</t>
  </si>
  <si>
    <t>Cabella's</t>
  </si>
  <si>
    <t>0274-00</t>
  </si>
  <si>
    <t>Philadelphia Museum of Art</t>
  </si>
  <si>
    <t>0274-01</t>
  </si>
  <si>
    <t>0275-00</t>
  </si>
  <si>
    <t>Independence Park Institute</t>
  </si>
  <si>
    <t>0277-00</t>
  </si>
  <si>
    <t>0279-00</t>
  </si>
  <si>
    <t>Project HOME</t>
  </si>
  <si>
    <t>0280-00</t>
  </si>
  <si>
    <t>Atwater Industrial Park</t>
  </si>
  <si>
    <t>0281-00</t>
  </si>
  <si>
    <t>Gettysburg Majestic Theatre</t>
  </si>
  <si>
    <t>0282-00</t>
  </si>
  <si>
    <t>Lancaster Baseball Stadium</t>
  </si>
  <si>
    <t>0283-00</t>
  </si>
  <si>
    <t>Bloomsburg Regional Community Technology Center</t>
  </si>
  <si>
    <t>0284-00</t>
  </si>
  <si>
    <t>0285-00</t>
  </si>
  <si>
    <t>Gettysburg National Battlefield Museum</t>
  </si>
  <si>
    <t>0286-00</t>
  </si>
  <si>
    <t>Harrisburg Polytechnic University</t>
  </si>
  <si>
    <t>0286-01</t>
  </si>
  <si>
    <t>Harrisburg University II</t>
  </si>
  <si>
    <t>0287-00</t>
  </si>
  <si>
    <t>Chel/Wayne Development</t>
  </si>
  <si>
    <t>0288-00</t>
  </si>
  <si>
    <t>People's Light Theatre</t>
  </si>
  <si>
    <t>0289-00</t>
  </si>
  <si>
    <t>Walmart Distribution Center</t>
  </si>
  <si>
    <t>0290-00</t>
  </si>
  <si>
    <t>0291-01</t>
  </si>
  <si>
    <t>WITF</t>
  </si>
  <si>
    <t>0291-02</t>
  </si>
  <si>
    <t>WITF II</t>
  </si>
  <si>
    <t>0293-00</t>
  </si>
  <si>
    <t>PA College of Optometry</t>
  </si>
  <si>
    <t>0294-00</t>
  </si>
  <si>
    <t>Lackawanna Montage Trolley Excursion II</t>
  </si>
  <si>
    <t>0295-00</t>
  </si>
  <si>
    <t>Bass Pro</t>
  </si>
  <si>
    <t>0297-00</t>
  </si>
  <si>
    <t>Bedford County Business Park II</t>
  </si>
  <si>
    <t>0298-00</t>
  </si>
  <si>
    <t>Riverside Construction Materials-Silvi Corp</t>
  </si>
  <si>
    <t>0299-00</t>
  </si>
  <si>
    <t>Mann Center for the Performing Arts</t>
  </si>
  <si>
    <t>0299-01</t>
  </si>
  <si>
    <t>Mann Center for the Performing Arts II</t>
  </si>
  <si>
    <t>0300-00</t>
  </si>
  <si>
    <t>0301-00</t>
  </si>
  <si>
    <t>Dupont Imaging Technologies</t>
  </si>
  <si>
    <t>Act 2003-  2</t>
  </si>
  <si>
    <t>0302-00</t>
  </si>
  <si>
    <t>Empire Kosher Poultry</t>
  </si>
  <si>
    <t>Juniata</t>
  </si>
  <si>
    <t>0303-00</t>
  </si>
  <si>
    <t>Leetsdale Industrial Park</t>
  </si>
  <si>
    <t>0304-00</t>
  </si>
  <si>
    <t>Warren Parking Garage</t>
  </si>
  <si>
    <t>0304-01</t>
  </si>
  <si>
    <t>Warren Parking Garage II</t>
  </si>
  <si>
    <t>0305-00</t>
  </si>
  <si>
    <t>Goggle Works-Dalloz Building</t>
  </si>
  <si>
    <t>0306-00</t>
  </si>
  <si>
    <t>Johnstown Point Stadium 2</t>
  </si>
  <si>
    <t>0306-01</t>
  </si>
  <si>
    <t>Johnstown Point Stadium Supplement</t>
  </si>
  <si>
    <t>0307-00</t>
  </si>
  <si>
    <t>Seton Hill College University Center</t>
  </si>
  <si>
    <t>0308-00</t>
  </si>
  <si>
    <t>Winner Industrial Park</t>
  </si>
  <si>
    <t>0309-00</t>
  </si>
  <si>
    <t>State Theatre-Centre</t>
  </si>
  <si>
    <t>0311-00</t>
  </si>
  <si>
    <t>Tinicum Township Fire and Emergency</t>
  </si>
  <si>
    <t>0312-00</t>
  </si>
  <si>
    <t>Allentown Arts Walk 2</t>
  </si>
  <si>
    <t>0313-00</t>
  </si>
  <si>
    <t>Schenley Plaza</t>
  </si>
  <si>
    <t>0314-00</t>
  </si>
  <si>
    <t>ESU Center for Research</t>
  </si>
  <si>
    <t>0315-00</t>
  </si>
  <si>
    <t>Holy Family College</t>
  </si>
  <si>
    <t>0316-00</t>
  </si>
  <si>
    <t>Bushkill Creek/Easton</t>
  </si>
  <si>
    <t>0317-01</t>
  </si>
  <si>
    <t>State Theatre-Easton</t>
  </si>
  <si>
    <t>State Theatre-Easton II</t>
  </si>
  <si>
    <t>0318-00</t>
  </si>
  <si>
    <t>Lincoln Park Performing Arts Center</t>
  </si>
  <si>
    <t>0318-01</t>
  </si>
  <si>
    <t>Lincoln Park Performing Arts Center II</t>
  </si>
  <si>
    <t>0319-00</t>
  </si>
  <si>
    <t>Air Products</t>
  </si>
  <si>
    <t>0320-00</t>
  </si>
  <si>
    <t>Bethlehem Riverport Parking Garage</t>
  </si>
  <si>
    <t>0321-00</t>
  </si>
  <si>
    <t>Dallmeyer Building</t>
  </si>
  <si>
    <t>0322-00</t>
  </si>
  <si>
    <t>Southpointe II - Western Center</t>
  </si>
  <si>
    <t>0323-00</t>
  </si>
  <si>
    <t>North Shore Parking Garage</t>
  </si>
  <si>
    <t>0325-00</t>
  </si>
  <si>
    <t>Market House Revitalization</t>
  </si>
  <si>
    <t>0326-00</t>
  </si>
  <si>
    <t>0327-00</t>
  </si>
  <si>
    <t>Uniontown Parking Garage</t>
  </si>
  <si>
    <t>0328-00</t>
  </si>
  <si>
    <t>Sharon Downtown Redevelopment</t>
  </si>
  <si>
    <t>0329-00</t>
  </si>
  <si>
    <t>Carbondale Revitalization</t>
  </si>
  <si>
    <t>0330-00</t>
  </si>
  <si>
    <t>Eagles Mere</t>
  </si>
  <si>
    <t>Sullivan</t>
  </si>
  <si>
    <t>0331-00</t>
  </si>
  <si>
    <t>Johnstown Children's Museum</t>
  </si>
  <si>
    <t>0332-00</t>
  </si>
  <si>
    <t>0333-00</t>
  </si>
  <si>
    <t>Westmoreland Technology Park</t>
  </si>
  <si>
    <t>0334-00</t>
  </si>
  <si>
    <t>Washington Crossroads</t>
  </si>
  <si>
    <t>0335-00</t>
  </si>
  <si>
    <t>Simons Recreation Center II</t>
  </si>
  <si>
    <t>0336-00</t>
  </si>
  <si>
    <t>Logan Towne Center</t>
  </si>
  <si>
    <t>0337-00</t>
  </si>
  <si>
    <t>Alta Vista-MIDI</t>
  </si>
  <si>
    <t>0338-00</t>
  </si>
  <si>
    <t>0339-00</t>
  </si>
  <si>
    <t>Cherrington Road Business Park</t>
  </si>
  <si>
    <t>0340-00</t>
  </si>
  <si>
    <t>F&amp;M Life Science Building</t>
  </si>
  <si>
    <t>0341-00</t>
  </si>
  <si>
    <t>Route 30 Industrial Park</t>
  </si>
  <si>
    <t>0342-00</t>
  </si>
  <si>
    <t>Monessen Riverfront Industrial Park</t>
  </si>
  <si>
    <t>0343-00</t>
  </si>
  <si>
    <t>Abington Arts Center</t>
  </si>
  <si>
    <t>0344-00</t>
  </si>
  <si>
    <t>Pullman Business Park</t>
  </si>
  <si>
    <t>Huntingdon Parking Garage</t>
  </si>
  <si>
    <t>Huntingdon</t>
  </si>
  <si>
    <t>0346-00</t>
  </si>
  <si>
    <t>0347-00</t>
  </si>
  <si>
    <t>Quakertown Library</t>
  </si>
  <si>
    <t>0348-00</t>
  </si>
  <si>
    <t>City Center of Duquesne-2005</t>
  </si>
  <si>
    <t>0349-00</t>
  </si>
  <si>
    <t>0350-00</t>
  </si>
  <si>
    <t>Aspens-Hanford Business Park</t>
  </si>
  <si>
    <t>0351-00</t>
  </si>
  <si>
    <t>GSI Commerce</t>
  </si>
  <si>
    <t>0352-00</t>
  </si>
  <si>
    <t>Fred Rogers Center for Early Learning</t>
  </si>
  <si>
    <t>0353-00</t>
  </si>
  <si>
    <t>Hugh Moore Park-National Canal Museum</t>
  </si>
  <si>
    <t>0354-00</t>
  </si>
  <si>
    <t>Station Square Pedestrian Bridge</t>
  </si>
  <si>
    <t>0355-00</t>
  </si>
  <si>
    <t>Lehigh/Carbon Regional Public Safety Training Cnt</t>
  </si>
  <si>
    <t>0356-00</t>
  </si>
  <si>
    <t>Army Museum</t>
  </si>
  <si>
    <t>0357-00</t>
  </si>
  <si>
    <t>0494-04</t>
  </si>
  <si>
    <t>August Wilson African American Cultural Center V</t>
  </si>
  <si>
    <t>0645-00</t>
  </si>
  <si>
    <t>National Aviary III</t>
  </si>
  <si>
    <t>National Aviary IV</t>
  </si>
  <si>
    <t>Pittsburgh Zoo III</t>
  </si>
  <si>
    <t>Pittsburgh Zoo IV</t>
  </si>
  <si>
    <t>Monroeville Convention Center II</t>
  </si>
  <si>
    <t>World War II Veterans Memorial-Allegheny II</t>
  </si>
  <si>
    <t>Pittsburgh Opera II</t>
  </si>
  <si>
    <t>Market Square-Fifth &amp; Forbes</t>
  </si>
  <si>
    <t>Steamfitters Local 449 Expansion</t>
  </si>
  <si>
    <t>Stemnion Project</t>
  </si>
  <si>
    <t>Golden Triangle Parking Project</t>
  </si>
  <si>
    <t>Bombardier-Pittsburgh Technology Center</t>
  </si>
  <si>
    <t>Carlow University Health and Wellness Center</t>
  </si>
  <si>
    <t>Carlow University Health &amp; Wellness Center II</t>
  </si>
  <si>
    <t>La Roche College Library</t>
  </si>
  <si>
    <t>Heritage Valley Health System</t>
  </si>
  <si>
    <t>0632-00</t>
  </si>
  <si>
    <t>0641-00</t>
  </si>
  <si>
    <t>Albright College II</t>
  </si>
  <si>
    <t>0654-00</t>
  </si>
  <si>
    <t>Bucks County Emergency Service Center</t>
  </si>
  <si>
    <t>0356-01</t>
  </si>
  <si>
    <t>Army Museum II</t>
  </si>
  <si>
    <t>0646-00</t>
  </si>
  <si>
    <t>0646-01</t>
  </si>
  <si>
    <t>0646-02</t>
  </si>
  <si>
    <t>Kerr Athletic Field</t>
  </si>
  <si>
    <t>Greater Carbondale YMCA II</t>
  </si>
  <si>
    <t>Ashley &amp; Bailey Silk Mill Renovation</t>
  </si>
  <si>
    <t>Jameson Hospital ER</t>
  </si>
  <si>
    <t>Lehigh Valley Hospital</t>
  </si>
  <si>
    <t>0652-00</t>
  </si>
  <si>
    <t>Crossings at Ambler IV</t>
  </si>
  <si>
    <t>Nicolet Complex</t>
  </si>
  <si>
    <t>Lower Gwynedd-Bethlehem Pike Project</t>
  </si>
  <si>
    <t>Northampton County Historical Society II</t>
  </si>
  <si>
    <t>Lehigh University Science Building</t>
  </si>
  <si>
    <t>Delaware Terrace Redevelopment</t>
  </si>
  <si>
    <t>0629-01</t>
  </si>
  <si>
    <t>0629-02</t>
  </si>
  <si>
    <t>Curtis Institute for Music</t>
  </si>
  <si>
    <t>Community College of Philadelphia</t>
  </si>
  <si>
    <t>Franklin Institute III</t>
  </si>
  <si>
    <t>Philabundance II</t>
  </si>
  <si>
    <t>West Oak Lane Plaza</t>
  </si>
  <si>
    <t>Ogontz Avenue Streetscape</t>
  </si>
  <si>
    <t>0608-00</t>
  </si>
  <si>
    <t>0608-01</t>
  </si>
  <si>
    <t>0608-02</t>
  </si>
  <si>
    <t>0608-03</t>
  </si>
  <si>
    <t>0651-00</t>
  </si>
  <si>
    <t>0651-01</t>
  </si>
  <si>
    <t>Fulton County Medical Center</t>
  </si>
  <si>
    <t>Fulton</t>
  </si>
  <si>
    <t>0358-00</t>
  </si>
  <si>
    <t>Jenkintown Theatre</t>
  </si>
  <si>
    <t>0359-00</t>
  </si>
  <si>
    <t>South Side Works Parking Garages</t>
  </si>
  <si>
    <t>0360-00</t>
  </si>
  <si>
    <t>Exeter Community Library</t>
  </si>
  <si>
    <t>0361-00</t>
  </si>
  <si>
    <t>Alvernia College</t>
  </si>
  <si>
    <t>0362-00</t>
  </si>
  <si>
    <t>Ever Greene Technology Park</t>
  </si>
  <si>
    <t>0363-00</t>
  </si>
  <si>
    <t>Comcast Center-One Pennsylvania Place</t>
  </si>
  <si>
    <t>0364-00</t>
  </si>
  <si>
    <t>Beech Corporation II-Avenue North</t>
  </si>
  <si>
    <t>0365-00</t>
  </si>
  <si>
    <t>0366-00</t>
  </si>
  <si>
    <t>Point Breeze Revitalization-DCS</t>
  </si>
  <si>
    <t>0367-00</t>
  </si>
  <si>
    <t>Independence Mall Streetscape</t>
  </si>
  <si>
    <t>0368-00</t>
  </si>
  <si>
    <t>Girard Avenue Streetscape</t>
  </si>
  <si>
    <t>0369-00</t>
  </si>
  <si>
    <t>0370-00</t>
  </si>
  <si>
    <t>Coatesville-Office/Hotel/Conference</t>
  </si>
  <si>
    <t>Hotel Sterling</t>
  </si>
  <si>
    <t>0372-00</t>
  </si>
  <si>
    <t>Arthur Ashe Youth Tennis Center</t>
  </si>
  <si>
    <t>Act 2002- 40</t>
  </si>
  <si>
    <t>0373-00</t>
  </si>
  <si>
    <t>PENN Center for Advanced Medicine</t>
  </si>
  <si>
    <t>0374-00</t>
  </si>
  <si>
    <t>Mill Creek Development</t>
  </si>
  <si>
    <t>0375-00</t>
  </si>
  <si>
    <t>Center For Human Advancement</t>
  </si>
  <si>
    <t>0376-00</t>
  </si>
  <si>
    <t>Firth Sterling Redevelopment</t>
  </si>
  <si>
    <t>0377-00</t>
  </si>
  <si>
    <t>Philadelphia University</t>
  </si>
  <si>
    <t>0378-00</t>
  </si>
  <si>
    <t>0379-00</t>
  </si>
  <si>
    <t>Carrie Furnace Site Redevelopment</t>
  </si>
  <si>
    <t>0380-00</t>
  </si>
  <si>
    <t>Precision Manufacturing Institute</t>
  </si>
  <si>
    <t>0381-00</t>
  </si>
  <si>
    <t>Philadelphia Theatre Company</t>
  </si>
  <si>
    <t>0383-00</t>
  </si>
  <si>
    <t>Schuylkill Riverfront Park</t>
  </si>
  <si>
    <t>0384-00</t>
  </si>
  <si>
    <t>Roxborough YMCA</t>
  </si>
  <si>
    <t>0385-00</t>
  </si>
  <si>
    <t>Pottstown Business Park-Gateway Commons</t>
  </si>
  <si>
    <t>413 Hope Mission-Billy Penn Warehouse</t>
  </si>
  <si>
    <t>Walnut Street Theatre II</t>
  </si>
  <si>
    <t>0388-00</t>
  </si>
  <si>
    <t>Downtown Doylestown Parking Garage</t>
  </si>
  <si>
    <t>0389-00</t>
  </si>
  <si>
    <t>Souderton Boys and Girls</t>
  </si>
  <si>
    <t>0390-00</t>
  </si>
  <si>
    <t>Parade Street Plaza</t>
  </si>
  <si>
    <t>0391-00</t>
  </si>
  <si>
    <t>Lehighton Jr. High Renovation</t>
  </si>
  <si>
    <t>Carbon</t>
  </si>
  <si>
    <t>0392-00</t>
  </si>
  <si>
    <t>Centro De Oro Business and Cultural District</t>
  </si>
  <si>
    <t>0393-00</t>
  </si>
  <si>
    <t>Rock School Ballet II</t>
  </si>
  <si>
    <t>0394-00</t>
  </si>
  <si>
    <t>Children's Hospital of Philadelphia II</t>
  </si>
  <si>
    <t>0395-01</t>
  </si>
  <si>
    <t>0467-00</t>
  </si>
  <si>
    <t>0480-00</t>
  </si>
  <si>
    <t>Clear Brook Detoxification Center</t>
  </si>
  <si>
    <t>Centre County Baseball Stadium</t>
  </si>
  <si>
    <t>0395-02</t>
  </si>
  <si>
    <t>0396-00</t>
  </si>
  <si>
    <t>Shearer Road Business Park</t>
  </si>
  <si>
    <t>Lincoln-Larimer Community Center</t>
  </si>
  <si>
    <t>0398-00</t>
  </si>
  <si>
    <t>Regional Learning Alliance</t>
  </si>
  <si>
    <t>0399-00</t>
  </si>
  <si>
    <t>Hunting &amp; Fishing Museum</t>
  </si>
  <si>
    <t>Forest</t>
  </si>
  <si>
    <t>0400-00</t>
  </si>
  <si>
    <t>Pullman Park</t>
  </si>
  <si>
    <t>0401-00</t>
  </si>
  <si>
    <t>Junction Hollow Phase II</t>
  </si>
  <si>
    <t>0402-00</t>
  </si>
  <si>
    <t>AE Staley Morrisville Industrial Site</t>
  </si>
  <si>
    <t>0403-00</t>
  </si>
  <si>
    <t>0597-01</t>
  </si>
  <si>
    <t>Sunbury Amphitheatre and Riverbank</t>
  </si>
  <si>
    <t>Northumberland</t>
  </si>
  <si>
    <t>0404-00</t>
  </si>
  <si>
    <t>Altoona Railroaders Museum  II</t>
  </si>
  <si>
    <t>0405-00</t>
  </si>
  <si>
    <t>Indian Springs Multi-Tenant Facility</t>
  </si>
  <si>
    <t>0406-00</t>
  </si>
  <si>
    <t>Fayette County Business Park Phase III</t>
  </si>
  <si>
    <t>0407-00</t>
  </si>
  <si>
    <t>Canonsburg Hospital</t>
  </si>
  <si>
    <t>0408-00</t>
  </si>
  <si>
    <t>Slippery Rock Tech Park</t>
  </si>
  <si>
    <t>0409-00</t>
  </si>
  <si>
    <t>Indiana Corporate Campus Multi-Tenant Facility</t>
  </si>
  <si>
    <t>0410-00</t>
  </si>
  <si>
    <t>0816-00</t>
  </si>
  <si>
    <t>0838-00</t>
  </si>
  <si>
    <t>0843-00</t>
  </si>
  <si>
    <t>0850-00</t>
  </si>
  <si>
    <t>3043-00</t>
  </si>
  <si>
    <t>3405-00</t>
  </si>
  <si>
    <t>3406-00</t>
  </si>
  <si>
    <t>YWCA of Greater Pittsburgh</t>
  </si>
  <si>
    <t>EQT Training and Utility Center</t>
  </si>
  <si>
    <t>0821-00</t>
  </si>
  <si>
    <t>3000-00</t>
  </si>
  <si>
    <t>3000-01</t>
  </si>
  <si>
    <t>First Energy Stadium II</t>
  </si>
  <si>
    <t>First Energy Stadium III</t>
  </si>
  <si>
    <t>First Energy Stadium IV</t>
  </si>
  <si>
    <t>0388-01</t>
  </si>
  <si>
    <t>3082-00</t>
  </si>
  <si>
    <t>0797-00</t>
  </si>
  <si>
    <t>0746-00</t>
  </si>
  <si>
    <t>3413-00</t>
  </si>
  <si>
    <t>3334-00</t>
  </si>
  <si>
    <t>0719-02</t>
  </si>
  <si>
    <t>Clearfield County YMCA III</t>
  </si>
  <si>
    <t>0662-04</t>
  </si>
  <si>
    <t>Chester Soccer Stadium V</t>
  </si>
  <si>
    <t>0841-00</t>
  </si>
  <si>
    <t>0827-00</t>
  </si>
  <si>
    <t>3027-00</t>
  </si>
  <si>
    <t>Shaft Drillers</t>
  </si>
  <si>
    <t>3165-00</t>
  </si>
  <si>
    <t>Jimmy Stewart Airport Business Park</t>
  </si>
  <si>
    <t>Jimmy Stewart Airport Business Park II</t>
  </si>
  <si>
    <t>Indiana County Multi-Tenant II</t>
  </si>
  <si>
    <t>0802-00</t>
  </si>
  <si>
    <t>0805-00</t>
  </si>
  <si>
    <t>3370-00</t>
  </si>
  <si>
    <t>Lackawanna College-Hawley Silk Mill</t>
  </si>
  <si>
    <t>3073-00</t>
  </si>
  <si>
    <t>0771-00</t>
  </si>
  <si>
    <t>0837-00</t>
  </si>
  <si>
    <t>0837-01</t>
  </si>
  <si>
    <t>0721-04</t>
  </si>
  <si>
    <t>0835-00</t>
  </si>
  <si>
    <t>0848-00</t>
  </si>
  <si>
    <t>3137-00</t>
  </si>
  <si>
    <t>3382-00</t>
  </si>
  <si>
    <t>0839-00</t>
  </si>
  <si>
    <t>3101-00</t>
  </si>
  <si>
    <t>Pittston Riverfront Redevelopment II</t>
  </si>
  <si>
    <t>Pittston Riverfront Redevelopment III</t>
  </si>
  <si>
    <t>Castle Auditorium</t>
  </si>
  <si>
    <t>3042-00</t>
  </si>
  <si>
    <t>Lafferty Hollow Industrial Park</t>
  </si>
  <si>
    <t>0836-00</t>
  </si>
  <si>
    <t>0795-00</t>
  </si>
  <si>
    <t>0833-00</t>
  </si>
  <si>
    <t>3070-00</t>
  </si>
  <si>
    <t>Stony Creek Development</t>
  </si>
  <si>
    <t>3367-00</t>
  </si>
  <si>
    <t>0721-01</t>
  </si>
  <si>
    <t>0721-02</t>
  </si>
  <si>
    <t>0721-03</t>
  </si>
  <si>
    <t>0721-05</t>
  </si>
  <si>
    <t>0721-06</t>
  </si>
  <si>
    <t>0764-00</t>
  </si>
  <si>
    <t>0764-01</t>
  </si>
  <si>
    <t>0812-03</t>
  </si>
  <si>
    <t>Majestic Realty IV</t>
  </si>
  <si>
    <t>3107-00</t>
  </si>
  <si>
    <t>3404-00</t>
  </si>
  <si>
    <t>0499-05</t>
  </si>
  <si>
    <t>Progress Trust Fresh Grocer IV</t>
  </si>
  <si>
    <t>0544-01</t>
  </si>
  <si>
    <t>Smith Memorial Playground II</t>
  </si>
  <si>
    <t>0644-02</t>
  </si>
  <si>
    <t>Barnes Museum III</t>
  </si>
  <si>
    <t>0819-01</t>
  </si>
  <si>
    <t>Albert Einstein Hospital II</t>
  </si>
  <si>
    <t>0822-00</t>
  </si>
  <si>
    <t>0825-00</t>
  </si>
  <si>
    <t>0825-01</t>
  </si>
  <si>
    <t>0825-02</t>
  </si>
  <si>
    <t>0834-00</t>
  </si>
  <si>
    <t>0842-00</t>
  </si>
  <si>
    <t>0844-00</t>
  </si>
  <si>
    <t>0846-00</t>
  </si>
  <si>
    <t>0849-00</t>
  </si>
  <si>
    <t>3124-00</t>
  </si>
  <si>
    <t>3302-00</t>
  </si>
  <si>
    <t>3331-00</t>
  </si>
  <si>
    <t>3396-00</t>
  </si>
  <si>
    <t>3403-00</t>
  </si>
  <si>
    <t>3431-00</t>
  </si>
  <si>
    <t>Ed Snider Youth Hockey Foundation</t>
  </si>
  <si>
    <t>Wesley Enhanced Living at Evangelical Manor</t>
  </si>
  <si>
    <t>Franklin Towne Charter School</t>
  </si>
  <si>
    <t>Chelten and Pulaski Revitalization</t>
  </si>
  <si>
    <t>0832-00</t>
  </si>
  <si>
    <t>0710-00</t>
  </si>
  <si>
    <t>3158-00</t>
  </si>
  <si>
    <t>0826-00</t>
  </si>
  <si>
    <t>0823-00</t>
  </si>
  <si>
    <t>0824-00</t>
  </si>
  <si>
    <t>0828-00</t>
  </si>
  <si>
    <t>0828-01</t>
  </si>
  <si>
    <t>0828-02</t>
  </si>
  <si>
    <t>3176-00</t>
  </si>
  <si>
    <t>Harley Davidson-York County Commerce Park</t>
  </si>
  <si>
    <t>9994-03</t>
  </si>
  <si>
    <t>RACP Admin-Gov 2010</t>
  </si>
  <si>
    <t>9995-03</t>
  </si>
  <si>
    <t>RACP Admin-SR 2010</t>
  </si>
  <si>
    <t>9996-03</t>
  </si>
  <si>
    <t>RACP Admin-SD 2010</t>
  </si>
  <si>
    <t>9997-03</t>
  </si>
  <si>
    <t>RACP Admin-HR 2010</t>
  </si>
  <si>
    <t>9998-03</t>
  </si>
  <si>
    <t>RACP Admin-HD 2010</t>
  </si>
  <si>
    <t>Adams County Commerce Park</t>
  </si>
  <si>
    <t>Schmucker Hall-Lutheran Theological Seminary II</t>
  </si>
  <si>
    <t>0420-01</t>
  </si>
  <si>
    <t>Children's Hospital of Pittsburgh II</t>
  </si>
  <si>
    <t>0661-04</t>
  </si>
  <si>
    <t>Pittsburgh Zoo V</t>
  </si>
  <si>
    <t>0661-05</t>
  </si>
  <si>
    <t>Pittsburgh Zoo VI</t>
  </si>
  <si>
    <t>0748-01</t>
  </si>
  <si>
    <t>Steamfitters Local 449 Expansion Project II</t>
  </si>
  <si>
    <t>0778-00</t>
  </si>
  <si>
    <t>Community College of Allegheny County-Science Ctr</t>
  </si>
  <si>
    <t>0806-00</t>
  </si>
  <si>
    <t>0813-03</t>
  </si>
  <si>
    <t>Pittsburgh Ballet IV</t>
  </si>
  <si>
    <t>0864-00</t>
  </si>
  <si>
    <t>0864-01</t>
  </si>
  <si>
    <t>Phipps Conservatory VI</t>
  </si>
  <si>
    <t>Point Park University IV</t>
  </si>
  <si>
    <t>Pittsburgh Parks Conservancy</t>
  </si>
  <si>
    <t>Connelley Trade School</t>
  </si>
  <si>
    <t>Allegheny General Hospital</t>
  </si>
  <si>
    <t>Pittsburgh Children's Museum III</t>
  </si>
  <si>
    <t>Hopewell Business Park II</t>
  </si>
  <si>
    <t>0305-08</t>
  </si>
  <si>
    <t>Goggleworks Apartments IX</t>
  </si>
  <si>
    <t>0772-01</t>
  </si>
  <si>
    <t>0412-04</t>
  </si>
  <si>
    <t>0681-01</t>
  </si>
  <si>
    <t>Bensalem Township Police Building II</t>
  </si>
  <si>
    <t>0854-00</t>
  </si>
  <si>
    <t>James A. Michener Museum IV</t>
  </si>
  <si>
    <t>Jackson Township-Buncher Co.</t>
  </si>
  <si>
    <t>0860-00</t>
  </si>
  <si>
    <t>Central PA Institute of Science and Technology</t>
  </si>
  <si>
    <t>Bellefonte Waterfront</t>
  </si>
  <si>
    <t>Paoli Rail Yard</t>
  </si>
  <si>
    <t>0757-01</t>
  </si>
  <si>
    <t>Berwick YMCA II</t>
  </si>
  <si>
    <t>Columbia Alliance for Growth</t>
  </si>
  <si>
    <t>0356-02</t>
  </si>
  <si>
    <t>Army Museum III</t>
  </si>
  <si>
    <t>0206-01</t>
  </si>
  <si>
    <t>Ned Smith Center II</t>
  </si>
  <si>
    <t>0286-03</t>
  </si>
  <si>
    <t>Harrisburg Polytechnic IV</t>
  </si>
  <si>
    <t>0286-04</t>
  </si>
  <si>
    <t>Harrisburg Polytechnic University V</t>
  </si>
  <si>
    <t>Susquehanna Art Museum</t>
  </si>
  <si>
    <t>Hershey Center for Applied Research</t>
  </si>
  <si>
    <t>0868-00</t>
  </si>
  <si>
    <t>0868-01</t>
  </si>
  <si>
    <t>0872-00</t>
  </si>
  <si>
    <t>Swarthmore Town Center II</t>
  </si>
  <si>
    <t>Swarthmore Town Center III</t>
  </si>
  <si>
    <t>Marple Township Municipal Complex</t>
  </si>
  <si>
    <t>Penn Hills Redevelopment</t>
  </si>
  <si>
    <t>0827-01</t>
  </si>
  <si>
    <t>3482-00</t>
  </si>
  <si>
    <t>Lake Erie College of Osteopathic Medicine II</t>
  </si>
  <si>
    <t>0750-00</t>
  </si>
  <si>
    <t>0750-01</t>
  </si>
  <si>
    <t>0750-02</t>
  </si>
  <si>
    <t>Lackawanna College-Hawley Silk Mill II</t>
  </si>
  <si>
    <t>Lancaster General Hospital-Community Health Center</t>
  </si>
  <si>
    <t>Lancaster Revitalization</t>
  </si>
  <si>
    <t>0837-02</t>
  </si>
  <si>
    <t>Jameson Hospital III</t>
  </si>
  <si>
    <t>0835-01</t>
  </si>
  <si>
    <t>0870-00</t>
  </si>
  <si>
    <t>Homes at Overlook Park</t>
  </si>
  <si>
    <t>Old Allentown Preservation Association II</t>
  </si>
  <si>
    <t>Williamsport Regional Medical Center</t>
  </si>
  <si>
    <t>Kessel Athletic Complex</t>
  </si>
  <si>
    <t>0836-01</t>
  </si>
  <si>
    <t>Hermitage Technology and Innovation Center II</t>
  </si>
  <si>
    <t>0863-00</t>
  </si>
  <si>
    <t>0847-00</t>
  </si>
  <si>
    <t>0859-00</t>
  </si>
  <si>
    <t>0873-00</t>
  </si>
  <si>
    <t>City Avenue Streetscape III</t>
  </si>
  <si>
    <t>Cheltenham Mall-Ogontz Avenue Project</t>
  </si>
  <si>
    <t>John James Audubon Center</t>
  </si>
  <si>
    <t>Gwynedd Mercy College</t>
  </si>
  <si>
    <t>Gwynedd Mercy College II</t>
  </si>
  <si>
    <t>Gwynedd Mercy College III</t>
  </si>
  <si>
    <t>Ambler YMCA</t>
  </si>
  <si>
    <t>Hatboro YMCA</t>
  </si>
  <si>
    <t>0764-02</t>
  </si>
  <si>
    <t>Delaware Terrace Redevelopment III</t>
  </si>
  <si>
    <t>0785-04</t>
  </si>
  <si>
    <t>Ben Franklin Technology Ventures Incubator V</t>
  </si>
  <si>
    <t>0812-04</t>
  </si>
  <si>
    <t>Majestic Realty-Bethlehem V</t>
  </si>
  <si>
    <t>0852-00</t>
  </si>
  <si>
    <t>0852-01</t>
  </si>
  <si>
    <t>0855-00</t>
  </si>
  <si>
    <t>0855-01</t>
  </si>
  <si>
    <t>0182-09</t>
  </si>
  <si>
    <t>Please Touch Museum IX</t>
  </si>
  <si>
    <t>0315-03</t>
  </si>
  <si>
    <t>Holy Family College Business School II</t>
  </si>
  <si>
    <t>0644-03</t>
  </si>
  <si>
    <t>Barnes Museum IV</t>
  </si>
  <si>
    <t>0820-00</t>
  </si>
  <si>
    <t>0820-01</t>
  </si>
  <si>
    <t>0820-02</t>
  </si>
  <si>
    <t>0856-02</t>
  </si>
  <si>
    <t>0856-03</t>
  </si>
  <si>
    <t>0857-00</t>
  </si>
  <si>
    <t>0857-01</t>
  </si>
  <si>
    <t>0865-00</t>
  </si>
  <si>
    <t>0865-01</t>
  </si>
  <si>
    <t>0869-00</t>
  </si>
  <si>
    <t>0871-00</t>
  </si>
  <si>
    <t>0874-00</t>
  </si>
  <si>
    <t>West Oak Lane Plaza II</t>
  </si>
  <si>
    <t>Ed Snider Youth Hockey Foundation II</t>
  </si>
  <si>
    <t>Thomas Jefferson Hospital Kimmel Cancer Center II</t>
  </si>
  <si>
    <t>Paschall Homes Redevelopment</t>
  </si>
  <si>
    <t>Haddington Health Center</t>
  </si>
  <si>
    <t>Beech International Complex</t>
  </si>
  <si>
    <t>0862-00</t>
  </si>
  <si>
    <t>0862-01</t>
  </si>
  <si>
    <t>0840-00</t>
  </si>
  <si>
    <t>0818-00</t>
  </si>
  <si>
    <t>0823-01</t>
  </si>
  <si>
    <t>0804-00</t>
  </si>
  <si>
    <t>0804-01</t>
  </si>
  <si>
    <t>0804-02</t>
  </si>
  <si>
    <t>0804-03</t>
  </si>
  <si>
    <t>Monessen Public Safety Building</t>
  </si>
  <si>
    <t>Mercy Tyler Hospital</t>
  </si>
  <si>
    <t>Wyoming</t>
  </si>
  <si>
    <t>0777-00</t>
  </si>
  <si>
    <t>0850-01</t>
  </si>
  <si>
    <t>0850-02</t>
  </si>
  <si>
    <t>St. Mary's Medical Center V</t>
  </si>
  <si>
    <t>0412-05</t>
  </si>
  <si>
    <t>St. Mary's Medical Center VI</t>
  </si>
  <si>
    <t>0683-01</t>
  </si>
  <si>
    <t>Bensalem Beautification Project II</t>
  </si>
  <si>
    <t>Churchville Nature Center</t>
  </si>
  <si>
    <t>0858-00</t>
  </si>
  <si>
    <t>0845-00</t>
  </si>
  <si>
    <t>0286-05</t>
  </si>
  <si>
    <t>Harrisburg University VI</t>
  </si>
  <si>
    <t>Hershey Center for Applied Research II</t>
  </si>
  <si>
    <t>0228-06</t>
  </si>
  <si>
    <t>Erie County Convention Center Expansion</t>
  </si>
  <si>
    <t>Greene County ARC</t>
  </si>
  <si>
    <t>0839-01</t>
  </si>
  <si>
    <t>0839-02</t>
  </si>
  <si>
    <t>Williamsport Regional Medical Center II</t>
  </si>
  <si>
    <t>Kessel Athletic Complex II</t>
  </si>
  <si>
    <t>McKean County Multi-Tenant Facility</t>
  </si>
  <si>
    <t>0785-05</t>
  </si>
  <si>
    <t>Ben Franklin Technology Incubators VI</t>
  </si>
  <si>
    <t>0644-04</t>
  </si>
  <si>
    <t>Barnes Museum V</t>
  </si>
  <si>
    <t>0849-01</t>
  </si>
  <si>
    <t>0875-00</t>
  </si>
  <si>
    <t>0875-01</t>
  </si>
  <si>
    <t>Academy of Natural Sciences</t>
  </si>
  <si>
    <t>Schmucker Hall -Lutheran Theological Seminary</t>
  </si>
  <si>
    <t>0490-02</t>
  </si>
  <si>
    <t>P&amp;LE McKees Rocks Brownfield Site</t>
  </si>
  <si>
    <t>0660-00</t>
  </si>
  <si>
    <t>0667-01</t>
  </si>
  <si>
    <t>Historic Homestead Bakery II</t>
  </si>
  <si>
    <t>0748-02</t>
  </si>
  <si>
    <t>Steamfitters Local 449 Expansion III</t>
  </si>
  <si>
    <t>0778-01</t>
  </si>
  <si>
    <t>0830-00</t>
  </si>
  <si>
    <t>0830-01</t>
  </si>
  <si>
    <t>0830-02</t>
  </si>
  <si>
    <t>0830-03</t>
  </si>
  <si>
    <t>Point Park University V</t>
  </si>
  <si>
    <t>0850-03</t>
  </si>
  <si>
    <t>Heinz Hall-Pittsburgh Symphony IV</t>
  </si>
  <si>
    <t>0850-04</t>
  </si>
  <si>
    <t>Heinz Hall-Pittsburgh Symphony V</t>
  </si>
  <si>
    <t>0897-00</t>
  </si>
  <si>
    <t>0920-00</t>
  </si>
  <si>
    <t>Clinton Industrial Park II</t>
  </si>
  <si>
    <t>0922-00</t>
  </si>
  <si>
    <t>McClaren Business Park</t>
  </si>
  <si>
    <t>0932-00</t>
  </si>
  <si>
    <t>Findlay Industrial Park</t>
  </si>
  <si>
    <t>Residences at the Strip</t>
  </si>
  <si>
    <t>Residences at the Strip II</t>
  </si>
  <si>
    <t>Connelley Trade School III</t>
  </si>
  <si>
    <t>Act 2010-047</t>
  </si>
  <si>
    <t>Findlay Industrial Park II-Westport</t>
  </si>
  <si>
    <t>Findlay Industrial Park III-Westport</t>
  </si>
  <si>
    <t>Carson Street-Goodwill Building Rehab</t>
  </si>
  <si>
    <t>Baum Square Parking Garage</t>
  </si>
  <si>
    <t>Kliment Building</t>
  </si>
  <si>
    <t>3519-00</t>
  </si>
  <si>
    <t>Doughboy Square</t>
  </si>
  <si>
    <t>Carrie Furnace-Hot Metal Bridge</t>
  </si>
  <si>
    <t>Hill District Grocery Store</t>
  </si>
  <si>
    <t>Jefferson Regional Medical Center</t>
  </si>
  <si>
    <t>Point State Park Trail</t>
  </si>
  <si>
    <t>Strip District and Produce Terminal Redevelopment</t>
  </si>
  <si>
    <t>Pittsburgh Downtown Preservation Project</t>
  </si>
  <si>
    <t>Manchester-Thomas and Betts Redevelopment</t>
  </si>
  <si>
    <t>Manchester-Thomas and Betts II</t>
  </si>
  <si>
    <t>Weinberg Village</t>
  </si>
  <si>
    <t>WQED III</t>
  </si>
  <si>
    <t>Duquesne University Center</t>
  </si>
  <si>
    <t>Schenley Place</t>
  </si>
  <si>
    <t>Beechview Business District</t>
  </si>
  <si>
    <t>Duquesne City Center Access</t>
  </si>
  <si>
    <t>McKeesport Industrial Center</t>
  </si>
  <si>
    <t>Act 2010-082</t>
  </si>
  <si>
    <t>Tech One-Bechtel Business Park</t>
  </si>
  <si>
    <t>Tech 21-Site Enhancement</t>
  </si>
  <si>
    <t>Robert Morris University Business School</t>
  </si>
  <si>
    <t>Robert Morris University School of Nursing</t>
  </si>
  <si>
    <t>Community Specialist Facilities</t>
  </si>
  <si>
    <t>Redevelopment of Former Dravo Site</t>
  </si>
  <si>
    <t>8000-00</t>
  </si>
  <si>
    <t>8006-00</t>
  </si>
  <si>
    <t>8025-00</t>
  </si>
  <si>
    <t>0411-02</t>
  </si>
  <si>
    <t>North Ambridge Redevelopment II</t>
  </si>
  <si>
    <t>Ellwood City Community Plaza</t>
  </si>
  <si>
    <t>Midland Centennial Project</t>
  </si>
  <si>
    <t>8017-00</t>
  </si>
  <si>
    <t>0361-03</t>
  </si>
  <si>
    <t>Alvernia University IV</t>
  </si>
  <si>
    <t>0772-02</t>
  </si>
  <si>
    <t>0877-00</t>
  </si>
  <si>
    <t>0877-01</t>
  </si>
  <si>
    <t>0877-02</t>
  </si>
  <si>
    <t>0877-03</t>
  </si>
  <si>
    <t>Berks Convention Center Hotel II</t>
  </si>
  <si>
    <t>8021-00</t>
  </si>
  <si>
    <t>0681-02</t>
  </si>
  <si>
    <t>Bensalem Township Police Building III</t>
  </si>
  <si>
    <t>0715-02</t>
  </si>
  <si>
    <t>Mercer Museum III</t>
  </si>
  <si>
    <t>Bensalem Township Golf Course</t>
  </si>
  <si>
    <t>8003-00</t>
  </si>
  <si>
    <t>8005-00</t>
  </si>
  <si>
    <t>8012-00</t>
  </si>
  <si>
    <t>8019-00</t>
  </si>
  <si>
    <t>0915-00</t>
  </si>
  <si>
    <t>John P. Murtha Center for Public Policy</t>
  </si>
  <si>
    <t>Mount Aloysius Convocation Center</t>
  </si>
  <si>
    <t>Richland Township Multi-Use Facility</t>
  </si>
  <si>
    <t>8008-00</t>
  </si>
  <si>
    <t>0580-01</t>
  </si>
  <si>
    <t>Fraser Cinema II</t>
  </si>
  <si>
    <t>0788-00</t>
  </si>
  <si>
    <t>0867-00</t>
  </si>
  <si>
    <t>0876-00</t>
  </si>
  <si>
    <t>0890-00</t>
  </si>
  <si>
    <t>0918-00</t>
  </si>
  <si>
    <t>Immaculata University</t>
  </si>
  <si>
    <t>Chester County Historical Society</t>
  </si>
  <si>
    <t>Shippensburg Library</t>
  </si>
  <si>
    <t>Shippensburg Library II</t>
  </si>
  <si>
    <t>Bosler Memorial Library II</t>
  </si>
  <si>
    <t>0286-06</t>
  </si>
  <si>
    <t>Harrisburg University VII</t>
  </si>
  <si>
    <t>Hershey Center for Applied Research III</t>
  </si>
  <si>
    <t>Hershey Center for Applied Research IV</t>
  </si>
  <si>
    <t>Olde Uptown Redevelopment Project</t>
  </si>
  <si>
    <t>HACC-Shumaker Public Safety Center</t>
  </si>
  <si>
    <t>0868-02</t>
  </si>
  <si>
    <t>Haverford Community Center III</t>
  </si>
  <si>
    <t>0872-01</t>
  </si>
  <si>
    <t>Darby Town Center II-Fresh Grocer</t>
  </si>
  <si>
    <t>0901-00</t>
  </si>
  <si>
    <t>0901-01</t>
  </si>
  <si>
    <t>0909-00</t>
  </si>
  <si>
    <t>Springfield Road Plaza</t>
  </si>
  <si>
    <t>Springfield Road Plaza II</t>
  </si>
  <si>
    <t>Cabrini College-Woodcrest Mansion</t>
  </si>
  <si>
    <t>Widener University Performing Arts Center</t>
  </si>
  <si>
    <t>Union Square Area Improvement Project</t>
  </si>
  <si>
    <t>Eastern University Performing Arts Center</t>
  </si>
  <si>
    <t>8013-00</t>
  </si>
  <si>
    <t>8013-01</t>
  </si>
  <si>
    <t>0535-01</t>
  </si>
  <si>
    <t>0923-00</t>
  </si>
  <si>
    <t>St Mary's Hotel</t>
  </si>
  <si>
    <t>0228-07</t>
  </si>
  <si>
    <t>Erie County Convention Center Expansion II</t>
  </si>
  <si>
    <t>0853-00</t>
  </si>
  <si>
    <t>0919-00</t>
  </si>
  <si>
    <t>Rexam Warehouse Facility Expansion</t>
  </si>
  <si>
    <t>Erie County Community College</t>
  </si>
  <si>
    <t>Mercyhurst College</t>
  </si>
  <si>
    <t>0878-00</t>
  </si>
  <si>
    <t>North Union Township Recreation Center</t>
  </si>
  <si>
    <t>0886-00</t>
  </si>
  <si>
    <t>Blairsville Riverfront Village</t>
  </si>
  <si>
    <t>0802-01</t>
  </si>
  <si>
    <t>University of Scranton Science Building II</t>
  </si>
  <si>
    <t>0896-00</t>
  </si>
  <si>
    <t>0896-01</t>
  </si>
  <si>
    <t>0904-00</t>
  </si>
  <si>
    <t>Madison School Redevelopment</t>
  </si>
  <si>
    <t>Johnson College</t>
  </si>
  <si>
    <t>Lackawanna Heritage Trail</t>
  </si>
  <si>
    <t>Abington Community Park</t>
  </si>
  <si>
    <t>Lackawanna County Baseball Stadium</t>
  </si>
  <si>
    <t>Lackawanna County Courthouse Renovations</t>
  </si>
  <si>
    <t>0898-00</t>
  </si>
  <si>
    <t>Lancaster History.org</t>
  </si>
  <si>
    <t>Lancaster History.org II</t>
  </si>
  <si>
    <t>Lancaster History.org III</t>
  </si>
  <si>
    <t>Lancaster History.org IV</t>
  </si>
  <si>
    <t>Lancaster History.org V</t>
  </si>
  <si>
    <t>Ephrata Community Hospital</t>
  </si>
  <si>
    <t>Elizabethtown College Dam</t>
  </si>
  <si>
    <t>0837-03</t>
  </si>
  <si>
    <t>Jameson Hospital IV</t>
  </si>
  <si>
    <t>3520-00</t>
  </si>
  <si>
    <t>Lebanon Blueprint Project</t>
  </si>
  <si>
    <t>Lehigh Landing</t>
  </si>
  <si>
    <t>0726-01</t>
  </si>
  <si>
    <t>Martin Towers II</t>
  </si>
  <si>
    <t>0726-02</t>
  </si>
  <si>
    <t>0726-03</t>
  </si>
  <si>
    <t>0726-05</t>
  </si>
  <si>
    <t>Martin Towers VI</t>
  </si>
  <si>
    <t>0835-02</t>
  </si>
  <si>
    <t>DeSales University-Gambet Center III</t>
  </si>
  <si>
    <t>Butz Center Phase II</t>
  </si>
  <si>
    <t>Butz Center Phase III</t>
  </si>
  <si>
    <t>0881-00</t>
  </si>
  <si>
    <t>0881-01</t>
  </si>
  <si>
    <t>0883-00</t>
  </si>
  <si>
    <t>0883-01</t>
  </si>
  <si>
    <t>0905-00</t>
  </si>
  <si>
    <t>0928-00</t>
  </si>
  <si>
    <t>Allentown Waste-to-Energy Facility</t>
  </si>
  <si>
    <t>0928-01</t>
  </si>
  <si>
    <t>Allentown Waste-to-Energy II</t>
  </si>
  <si>
    <t>St. Luke's Hospital-Allentown Parking Deck</t>
  </si>
  <si>
    <t>Lofts at Center Square</t>
  </si>
  <si>
    <t>Cumberland Gardens</t>
  </si>
  <si>
    <t>Cumberland Gardens II</t>
  </si>
  <si>
    <t>Community Services for Children SafeStart Program</t>
  </si>
  <si>
    <t>3609-00</t>
  </si>
  <si>
    <t>Lehigh Valley Health Network-Muhlenberg Hospital</t>
  </si>
  <si>
    <t>Cetronia Ambulance Corps</t>
  </si>
  <si>
    <t>Townes at Trexler Square</t>
  </si>
  <si>
    <t>The Bistro</t>
  </si>
  <si>
    <t>8029-00</t>
  </si>
  <si>
    <t>0431-02</t>
  </si>
  <si>
    <t>0642-02</t>
  </si>
  <si>
    <t>Coal Street Park III</t>
  </si>
  <si>
    <t>0728-01</t>
  </si>
  <si>
    <t>Luzerne County Community College Culinary Arts II</t>
  </si>
  <si>
    <t>0815-01</t>
  </si>
  <si>
    <t>Lands at Hillside Farms II</t>
  </si>
  <si>
    <t>0911-00</t>
  </si>
  <si>
    <t>King's College Recreation Center</t>
  </si>
  <si>
    <t>Misericordia University Mixed Use Development</t>
  </si>
  <si>
    <t>Northampton Corners</t>
  </si>
  <si>
    <t>West Pittston Library</t>
  </si>
  <si>
    <t>Wilkes University Science Building</t>
  </si>
  <si>
    <t>8015-00</t>
  </si>
  <si>
    <t>8022-00</t>
  </si>
  <si>
    <t>8026-00</t>
  </si>
  <si>
    <t>Dallas Township Mixed Use Redevelopment</t>
  </si>
  <si>
    <t>8027-00</t>
  </si>
  <si>
    <t>0781-01</t>
  </si>
  <si>
    <t>Lycoming Engines-Textron Facility II</t>
  </si>
  <si>
    <t>Williamsport Regional Medical Center III</t>
  </si>
  <si>
    <t>Kohls Department Store</t>
  </si>
  <si>
    <t>Lafferty Hollow Industrial Park II</t>
  </si>
  <si>
    <t>Lafferty Hollow Industrial Park III</t>
  </si>
  <si>
    <t>Kessel Athletic Complex III</t>
  </si>
  <si>
    <t>Sharon Regional Medical Center</t>
  </si>
  <si>
    <t>Ellwood Crankshaft</t>
  </si>
  <si>
    <t>8002-00</t>
  </si>
  <si>
    <t>8004-00</t>
  </si>
  <si>
    <t>8014-00</t>
  </si>
  <si>
    <t>0682-01</t>
  </si>
  <si>
    <t>Penn Regional Business Center II</t>
  </si>
  <si>
    <t>Smithfield Township Municipal Complex</t>
  </si>
  <si>
    <t>0724-01</t>
  </si>
  <si>
    <t>Ardmore Station II</t>
  </si>
  <si>
    <t>0811-00</t>
  </si>
  <si>
    <t>0811-01</t>
  </si>
  <si>
    <t>0811-02</t>
  </si>
  <si>
    <t>0811-03</t>
  </si>
  <si>
    <t>0851-00</t>
  </si>
  <si>
    <t>0851-01</t>
  </si>
  <si>
    <t>0882-00</t>
  </si>
  <si>
    <t>0887-00</t>
  </si>
  <si>
    <t>0889-00</t>
  </si>
  <si>
    <t>0889-01</t>
  </si>
  <si>
    <t>John James Audubon Center II</t>
  </si>
  <si>
    <t>Roslyn Center</t>
  </si>
  <si>
    <t>Roslyn Center II</t>
  </si>
  <si>
    <t>Shop Rite</t>
  </si>
  <si>
    <t>8010-00</t>
  </si>
  <si>
    <t>8024-00</t>
  </si>
  <si>
    <t>Souder Hill Town Center</t>
  </si>
  <si>
    <t>0726-04</t>
  </si>
  <si>
    <t>Martin Towers V</t>
  </si>
  <si>
    <t>0812-05</t>
  </si>
  <si>
    <t>Majestic Realty-Bethlehem VI</t>
  </si>
  <si>
    <t>Northampton Street Corridor/Pomeroys II</t>
  </si>
  <si>
    <t>0861-00</t>
  </si>
  <si>
    <t>0861-01</t>
  </si>
  <si>
    <t>Farr Building Redevelopment II</t>
  </si>
  <si>
    <t>Easton Intermodal Visitor Center</t>
  </si>
  <si>
    <t>Milton Public Library</t>
  </si>
  <si>
    <t>0182-10</t>
  </si>
  <si>
    <t>Please Touch Museum  X</t>
  </si>
  <si>
    <t>0274-04</t>
  </si>
  <si>
    <t>Philadelphia Museum of Art V</t>
  </si>
  <si>
    <t>Mann Music Center VI</t>
  </si>
  <si>
    <t>Mann Music Center VII</t>
  </si>
  <si>
    <t>0375-01</t>
  </si>
  <si>
    <t>0394-05</t>
  </si>
  <si>
    <t>Children's Hospital of Philadelphia VII</t>
  </si>
  <si>
    <t>0394-06</t>
  </si>
  <si>
    <t>0463-02</t>
  </si>
  <si>
    <t>Fox Chase Cancer Center III</t>
  </si>
  <si>
    <t>0463-03</t>
  </si>
  <si>
    <t>Fox Chase Cancer Center IV</t>
  </si>
  <si>
    <t>0517-03</t>
  </si>
  <si>
    <t>National Museum of Jewish History IV</t>
  </si>
  <si>
    <t>Wills Eye Institute II</t>
  </si>
  <si>
    <t>0548-05</t>
  </si>
  <si>
    <t>Nueva Esperanza VII</t>
  </si>
  <si>
    <t>0570-02</t>
  </si>
  <si>
    <t>Chestnut Hill College Student Center III</t>
  </si>
  <si>
    <t>0600-01</t>
  </si>
  <si>
    <t>ASPIRA II</t>
  </si>
  <si>
    <t>0616-04</t>
  </si>
  <si>
    <t>Salvation Army Philadelphia V</t>
  </si>
  <si>
    <t>0720-01</t>
  </si>
  <si>
    <t>0763-02</t>
  </si>
  <si>
    <t>Franklin Institute V</t>
  </si>
  <si>
    <t>0799-02</t>
  </si>
  <si>
    <t>Philadelphia Zoo-Children's Zoo II</t>
  </si>
  <si>
    <t>0825-03</t>
  </si>
  <si>
    <t>St. Joseph's University IV</t>
  </si>
  <si>
    <t>0825-04</t>
  </si>
  <si>
    <t>St. Joseph's University-Merion Hall</t>
  </si>
  <si>
    <t>0849-02</t>
  </si>
  <si>
    <t>International House IV</t>
  </si>
  <si>
    <t>0856-04</t>
  </si>
  <si>
    <t>0869-01</t>
  </si>
  <si>
    <t>0871-01</t>
  </si>
  <si>
    <t>Kimmel Center III</t>
  </si>
  <si>
    <t>0880-00</t>
  </si>
  <si>
    <t>0880-01</t>
  </si>
  <si>
    <t>0884-00</t>
  </si>
  <si>
    <t>0888-00</t>
  </si>
  <si>
    <t>Congreso de Latinos II-Education Building</t>
  </si>
  <si>
    <t>0891-00</t>
  </si>
  <si>
    <t>0892-00</t>
  </si>
  <si>
    <t>0892-01</t>
  </si>
  <si>
    <t>0893-00</t>
  </si>
  <si>
    <t>0894-00</t>
  </si>
  <si>
    <t>0894-01</t>
  </si>
  <si>
    <t>Wesley Enhanced Living Evangelical Manor II</t>
  </si>
  <si>
    <t>0895-00</t>
  </si>
  <si>
    <t>0902-00</t>
  </si>
  <si>
    <t>0903-00</t>
  </si>
  <si>
    <t>Drexel University Papadakis Science Building</t>
  </si>
  <si>
    <t>0906-00</t>
  </si>
  <si>
    <t>0908-00</t>
  </si>
  <si>
    <t>0912-00</t>
  </si>
  <si>
    <t>Urban Youth Baseball</t>
  </si>
  <si>
    <t>0913-00</t>
  </si>
  <si>
    <t>0914-00</t>
  </si>
  <si>
    <t>University City Hotel</t>
  </si>
  <si>
    <t>0916-00</t>
  </si>
  <si>
    <t>Wanamaker School</t>
  </si>
  <si>
    <t>0917-00</t>
  </si>
  <si>
    <t>Gift of Life Facility</t>
  </si>
  <si>
    <t>0924-00</t>
  </si>
  <si>
    <t>Philadelphia College of Osteopathic Medicine</t>
  </si>
  <si>
    <t>0925-00</t>
  </si>
  <si>
    <t>Tasty Baking-Old Site Reuse</t>
  </si>
  <si>
    <t>0926-00</t>
  </si>
  <si>
    <t>Dilworth Plaza</t>
  </si>
  <si>
    <t>0927-00</t>
  </si>
  <si>
    <t>Convention Center Hotel</t>
  </si>
  <si>
    <t>0927-01</t>
  </si>
  <si>
    <t>Convention Center Hotel II</t>
  </si>
  <si>
    <t>0927-02</t>
  </si>
  <si>
    <t>Convention Center Hotel III</t>
  </si>
  <si>
    <t>0929-00</t>
  </si>
  <si>
    <t>Franklin Place Hotel-401 Race Street</t>
  </si>
  <si>
    <t>0930-00</t>
  </si>
  <si>
    <t>0930-01</t>
  </si>
  <si>
    <t>Boyd Theatre II</t>
  </si>
  <si>
    <t>Eye Institute at Salus University</t>
  </si>
  <si>
    <t>Eye Institute at Salus University II</t>
  </si>
  <si>
    <t>Eye Institute at PA College of Optometry at Salus</t>
  </si>
  <si>
    <t>Wistar Institute II</t>
  </si>
  <si>
    <t>APM Wellness Center</t>
  </si>
  <si>
    <t>Taller Puertorriqueno II</t>
  </si>
  <si>
    <t>Congreso de Latinos Unidos II</t>
  </si>
  <si>
    <t>Pennsylvania Ballet II</t>
  </si>
  <si>
    <t>Pennsylvania Ballet III</t>
  </si>
  <si>
    <t>Ed Snider Youth Hockey Foundation III-Simons Rec</t>
  </si>
  <si>
    <t>Ed Snider Youth Hockey III</t>
  </si>
  <si>
    <t>Haddington Health Center II</t>
  </si>
  <si>
    <t>Wanamaker School II</t>
  </si>
  <si>
    <t>Thomas Jefferson University Research Building</t>
  </si>
  <si>
    <t>Academy of Music</t>
  </si>
  <si>
    <t>Norris Square Civic Association</t>
  </si>
  <si>
    <t>Philadelphia University-Arlen Specter Library</t>
  </si>
  <si>
    <t>Philadelphia University-SEED Center</t>
  </si>
  <si>
    <t>Settlement School of Music III</t>
  </si>
  <si>
    <t>Historical Society of Pennsylvania</t>
  </si>
  <si>
    <t>Ogontz Plaza Redevelopment</t>
  </si>
  <si>
    <t>Stenton Avenue Redevelopment</t>
  </si>
  <si>
    <t>American Revolution Center</t>
  </si>
  <si>
    <t>University of Pennsylvania School of Vet Medicine</t>
  </si>
  <si>
    <t>University City Science Center</t>
  </si>
  <si>
    <t>University City Science Center II</t>
  </si>
  <si>
    <t>Temple University Hospital</t>
  </si>
  <si>
    <t>Temple University Hospital II</t>
  </si>
  <si>
    <t>Gray's Ferry Corridor</t>
  </si>
  <si>
    <t>St. Christopher's Hospital</t>
  </si>
  <si>
    <t>Community Legal Services</t>
  </si>
  <si>
    <t>Community Legal Services II</t>
  </si>
  <si>
    <t>Community Legal Services III</t>
  </si>
  <si>
    <t>William Way LGBT Senior Housing Center</t>
  </si>
  <si>
    <t>William Way LGBT Senior Housing Center II</t>
  </si>
  <si>
    <t>William Way LGBT Senior Housing Center III</t>
  </si>
  <si>
    <t>William Way LGBT Senior Housing Center IV</t>
  </si>
  <si>
    <t>Audubon Center at Strawberry Mansion</t>
  </si>
  <si>
    <t>Audubon Center at Strawberry Mansion II</t>
  </si>
  <si>
    <t>Laborers District Council Union Office Building</t>
  </si>
  <si>
    <t>Frankford Friends School</t>
  </si>
  <si>
    <t>Hunting Park Revitalization</t>
  </si>
  <si>
    <t>Waterfront Arts Center</t>
  </si>
  <si>
    <t>Mt. Airy Transit Village</t>
  </si>
  <si>
    <t>8001-00</t>
  </si>
  <si>
    <t>8018-00</t>
  </si>
  <si>
    <t>8018-01</t>
  </si>
  <si>
    <t>8020-00</t>
  </si>
  <si>
    <t>8023-00</t>
  </si>
  <si>
    <t>8028-00</t>
  </si>
  <si>
    <t>0866-00</t>
  </si>
  <si>
    <t>Windber Medical Center ER</t>
  </si>
  <si>
    <t>0818-01</t>
  </si>
  <si>
    <t>Bucknell University-Bull Run Gateway II</t>
  </si>
  <si>
    <t>0818-02</t>
  </si>
  <si>
    <t>0921-00</t>
  </si>
  <si>
    <t>Penn Commons</t>
  </si>
  <si>
    <t>Trinity Point Tech Park</t>
  </si>
  <si>
    <t>8009-00</t>
  </si>
  <si>
    <t>0900-00</t>
  </si>
  <si>
    <t>Washington County Hotel-California University</t>
  </si>
  <si>
    <t>Greater Washington County Food Bank</t>
  </si>
  <si>
    <t>Washington Park</t>
  </si>
  <si>
    <t>Chartiers Township Community Center</t>
  </si>
  <si>
    <t>0907-00</t>
  </si>
  <si>
    <t>0885-00</t>
  </si>
  <si>
    <t>0910-00</t>
  </si>
  <si>
    <t>0931-00</t>
  </si>
  <si>
    <t>Westmoreland County Community College</t>
  </si>
  <si>
    <t>Seton Hill University Center for the Visual Arts</t>
  </si>
  <si>
    <t>8007-00</t>
  </si>
  <si>
    <t>0899-00</t>
  </si>
  <si>
    <t>York Downtown Market Revitalization</t>
  </si>
  <si>
    <t>York Downtown Market Revitalization II</t>
  </si>
  <si>
    <t>York Downtown Market Revitalization III</t>
  </si>
  <si>
    <t>Downtown York Historic Preservation</t>
  </si>
  <si>
    <t>0916-01</t>
  </si>
  <si>
    <t>0978-00</t>
  </si>
  <si>
    <t>0978-01</t>
  </si>
  <si>
    <t>0979-00</t>
  </si>
  <si>
    <t>0803-01</t>
  </si>
  <si>
    <t>0843-01</t>
  </si>
  <si>
    <t>0843-02</t>
  </si>
  <si>
    <t>0850-05</t>
  </si>
  <si>
    <t>Heinz Hall-Pittsburgh Symphony VI</t>
  </si>
  <si>
    <t>0939-00</t>
  </si>
  <si>
    <t>0941-00</t>
  </si>
  <si>
    <t>0941-01</t>
  </si>
  <si>
    <t>0941-02</t>
  </si>
  <si>
    <t>0957-00</t>
  </si>
  <si>
    <t>0972-00</t>
  </si>
  <si>
    <t>0972-01</t>
  </si>
  <si>
    <t>0973-00</t>
  </si>
  <si>
    <t>0974-00</t>
  </si>
  <si>
    <t>0975-00</t>
  </si>
  <si>
    <t>0976-00</t>
  </si>
  <si>
    <t>0977-00</t>
  </si>
  <si>
    <t>0989-00</t>
  </si>
  <si>
    <t>1018-00</t>
  </si>
  <si>
    <t>1020-00</t>
  </si>
  <si>
    <t>1021-00</t>
  </si>
  <si>
    <t>1024-00</t>
  </si>
  <si>
    <t>1027-00</t>
  </si>
  <si>
    <t>Schenley Place II</t>
  </si>
  <si>
    <t>UCP/CLASS-Center II</t>
  </si>
  <si>
    <t>East Suburban Family YMCA</t>
  </si>
  <si>
    <t>3659-00</t>
  </si>
  <si>
    <t>UPMC McKeesport Campus</t>
  </si>
  <si>
    <t>Lincoln Park Performing Arts Center IV</t>
  </si>
  <si>
    <t>McGuire Memorial</t>
  </si>
  <si>
    <t>Beaver County Dock Facility</t>
  </si>
  <si>
    <t>Beaver County Community College</t>
  </si>
  <si>
    <t>0996-00</t>
  </si>
  <si>
    <t>0996-01</t>
  </si>
  <si>
    <t>Berks Women in Crisis Center</t>
  </si>
  <si>
    <t>Reading Public Library</t>
  </si>
  <si>
    <t>Community Foundation Headquarters</t>
  </si>
  <si>
    <t>Opportunity House 2nd Street Learning Center</t>
  </si>
  <si>
    <t>Blair County Business Park</t>
  </si>
  <si>
    <t>American Eagle Expansion</t>
  </si>
  <si>
    <t>0412-06</t>
  </si>
  <si>
    <t>St. Mary's Medical Center VII</t>
  </si>
  <si>
    <t>0934-00</t>
  </si>
  <si>
    <t>0954-00</t>
  </si>
  <si>
    <t>1023-00</t>
  </si>
  <si>
    <t>Somerton Court Residence</t>
  </si>
  <si>
    <t>Libertae Learning Center</t>
  </si>
  <si>
    <t>Delaware Valley College Life Science &amp; Applied</t>
  </si>
  <si>
    <t>0935-00</t>
  </si>
  <si>
    <t>0940-00</t>
  </si>
  <si>
    <t>0943-00</t>
  </si>
  <si>
    <t>The Second Mile Learning Center</t>
  </si>
  <si>
    <t>0947-00</t>
  </si>
  <si>
    <t>Gateway Senior Housing</t>
  </si>
  <si>
    <t>Bosler Memorial Library</t>
  </si>
  <si>
    <t>0990-00</t>
  </si>
  <si>
    <t>0990-01</t>
  </si>
  <si>
    <t>0990-02</t>
  </si>
  <si>
    <t>0990-03</t>
  </si>
  <si>
    <t>1012-00</t>
  </si>
  <si>
    <t>Furlow Building Redevelopment</t>
  </si>
  <si>
    <t>International House of Harrisburg</t>
  </si>
  <si>
    <t>Whitaker Center 2010</t>
  </si>
  <si>
    <t>Whitaker Center 2010 II</t>
  </si>
  <si>
    <t>0658-01</t>
  </si>
  <si>
    <t>0872-02</t>
  </si>
  <si>
    <t>Darby Town Center III</t>
  </si>
  <si>
    <t>0936-00</t>
  </si>
  <si>
    <t>1014-00</t>
  </si>
  <si>
    <t>Crozer Health System-Springfield Hospital</t>
  </si>
  <si>
    <t>Lansdowne Theatre &amp; Central Business District</t>
  </si>
  <si>
    <t>Lansdowne Theatre &amp; Central Business District II</t>
  </si>
  <si>
    <t>Lansdowne Theatre &amp; Central Business District III</t>
  </si>
  <si>
    <t>Neumann University Campus Library</t>
  </si>
  <si>
    <t>3482-01</t>
  </si>
  <si>
    <t>Lake Erie College of Osteopathic Medicine III</t>
  </si>
  <si>
    <t>Fayette County Business Park</t>
  </si>
  <si>
    <t>Connellsville Airport Hangars</t>
  </si>
  <si>
    <t>Downtown Connellsville Revitalization</t>
  </si>
  <si>
    <t>Antrim Commons Business Park</t>
  </si>
  <si>
    <t>Franklin</t>
  </si>
  <si>
    <t>Antrim Commons Business Park II</t>
  </si>
  <si>
    <t>0944-00</t>
  </si>
  <si>
    <t>0980-00</t>
  </si>
  <si>
    <t>1013-00</t>
  </si>
  <si>
    <t>1030-00</t>
  </si>
  <si>
    <t>Mulberry Plaza</t>
  </si>
  <si>
    <t>Valley View Business Park-TMG Health</t>
  </si>
  <si>
    <t>0971-00</t>
  </si>
  <si>
    <t>0999-00</t>
  </si>
  <si>
    <t>0999-01</t>
  </si>
  <si>
    <t>0999-02</t>
  </si>
  <si>
    <t>0999-03</t>
  </si>
  <si>
    <t>0999-04</t>
  </si>
  <si>
    <t>Lancaster City Hall Renovation</t>
  </si>
  <si>
    <t>SACA Workforce Training Center</t>
  </si>
  <si>
    <t>0837-04</t>
  </si>
  <si>
    <t>Jameson Hospital V</t>
  </si>
  <si>
    <t>Dairy Farmers of America</t>
  </si>
  <si>
    <t>0958-00</t>
  </si>
  <si>
    <t>0701-01</t>
  </si>
  <si>
    <t>Lehigh Landing Riverfront Revitalization II</t>
  </si>
  <si>
    <t>0726-06</t>
  </si>
  <si>
    <t>Martin Towers VII</t>
  </si>
  <si>
    <t>0945-00</t>
  </si>
  <si>
    <t>Lehigh Valley Health Network-Muhlenberg Hos III</t>
  </si>
  <si>
    <t>Microdistillery Manufacturing Center</t>
  </si>
  <si>
    <t>Redevelopment of Former Corporate Plaza Site</t>
  </si>
  <si>
    <t>Haven House</t>
  </si>
  <si>
    <t>Haven House II</t>
  </si>
  <si>
    <t>Haven House III</t>
  </si>
  <si>
    <t>Donnelly College &amp; Career Access Network</t>
  </si>
  <si>
    <t>Donnelly College &amp; Career Access Network II</t>
  </si>
  <si>
    <t>Avantor</t>
  </si>
  <si>
    <t>Allentown Symphony Hall II</t>
  </si>
  <si>
    <t>0431-04</t>
  </si>
  <si>
    <t>South Washington Street Parking Garage IV</t>
  </si>
  <si>
    <t>0998-00</t>
  </si>
  <si>
    <t>1016-00</t>
  </si>
  <si>
    <t>Pittston Main Street Redevelopment II</t>
  </si>
  <si>
    <t>Wilkes-Barre Downtown Streetscape</t>
  </si>
  <si>
    <t>0937-00</t>
  </si>
  <si>
    <t>0937-01</t>
  </si>
  <si>
    <t>0937-02</t>
  </si>
  <si>
    <t>0938-00</t>
  </si>
  <si>
    <t>0942-00</t>
  </si>
  <si>
    <t>0942-01</t>
  </si>
  <si>
    <t>0942-02</t>
  </si>
  <si>
    <t>0836-02</t>
  </si>
  <si>
    <t>Joy Cone Expansion Access</t>
  </si>
  <si>
    <t>1000-00</t>
  </si>
  <si>
    <t>0882-01</t>
  </si>
  <si>
    <t>0889-02</t>
  </si>
  <si>
    <t>0889-03</t>
  </si>
  <si>
    <t>City Avenue Streetscape IV</t>
  </si>
  <si>
    <t>0952-00</t>
  </si>
  <si>
    <t>0952-01</t>
  </si>
  <si>
    <t>0952-02</t>
  </si>
  <si>
    <t>0952-03</t>
  </si>
  <si>
    <t>Gwynedd Mercy College IV</t>
  </si>
  <si>
    <t>0959-00</t>
  </si>
  <si>
    <t>0969-00</t>
  </si>
  <si>
    <t>0969-01</t>
  </si>
  <si>
    <t>Arcadia University II</t>
  </si>
  <si>
    <t>0855-02</t>
  </si>
  <si>
    <t>Lehigh University Science Building III</t>
  </si>
  <si>
    <t>Simon Silk Mill II</t>
  </si>
  <si>
    <t>Southside Parking Structure</t>
  </si>
  <si>
    <t>Children's Hospital of Philadelphia VIII</t>
  </si>
  <si>
    <t>0481-05</t>
  </si>
  <si>
    <t>Lutheran Theological Seminary VI</t>
  </si>
  <si>
    <t>0481-06</t>
  </si>
  <si>
    <t>Lutheran Theological Seminary VII</t>
  </si>
  <si>
    <t>0517-04</t>
  </si>
  <si>
    <t>National Museum of Jewish History V</t>
  </si>
  <si>
    <t>Thomas Jefferson Hospital-Wills Eye</t>
  </si>
  <si>
    <t>0616-05</t>
  </si>
  <si>
    <t>Salvation Army-Philadelphia VI</t>
  </si>
  <si>
    <t>0626-01</t>
  </si>
  <si>
    <t>0626-02</t>
  </si>
  <si>
    <t>0644-05</t>
  </si>
  <si>
    <t>Barnes Museum VI</t>
  </si>
  <si>
    <t>0644-06</t>
  </si>
  <si>
    <t>Barnes Museum VII</t>
  </si>
  <si>
    <t>0738-01</t>
  </si>
  <si>
    <t>0763-03</t>
  </si>
  <si>
    <t>Franklin Institute VI</t>
  </si>
  <si>
    <t>0799-03</t>
  </si>
  <si>
    <t>Philadelphia Zoo-Intermodal Project</t>
  </si>
  <si>
    <t>0891-01</t>
  </si>
  <si>
    <t>0949-00</t>
  </si>
  <si>
    <t>0951-00</t>
  </si>
  <si>
    <t>0951-01</t>
  </si>
  <si>
    <t>0953-00</t>
  </si>
  <si>
    <t>0955-00</t>
  </si>
  <si>
    <t>0955-01</t>
  </si>
  <si>
    <t>0955-02</t>
  </si>
  <si>
    <t>0955-03</t>
  </si>
  <si>
    <t>0956-00</t>
  </si>
  <si>
    <t>0963-00</t>
  </si>
  <si>
    <t>0964-00</t>
  </si>
  <si>
    <t>0966-00</t>
  </si>
  <si>
    <t>0966-01</t>
  </si>
  <si>
    <t>Beech International Complex II</t>
  </si>
  <si>
    <t>0966-02</t>
  </si>
  <si>
    <t>Beech International Complex III</t>
  </si>
  <si>
    <t>0966-03</t>
  </si>
  <si>
    <t>Beech International Complex IV</t>
  </si>
  <si>
    <t>0970-00</t>
  </si>
  <si>
    <t>0991-00</t>
  </si>
  <si>
    <t>0991-01</t>
  </si>
  <si>
    <t>1002-00</t>
  </si>
  <si>
    <t>1015-00</t>
  </si>
  <si>
    <t>1015-01</t>
  </si>
  <si>
    <t>Temple University Hospital III</t>
  </si>
  <si>
    <t>St. Maron Senior Residence</t>
  </si>
  <si>
    <t>Women Against Abuse Sojourner House</t>
  </si>
  <si>
    <t>Cobbs Creek II Fresh Grocer</t>
  </si>
  <si>
    <t>Janney Montgomery Scott LLC Corporate HQ</t>
  </si>
  <si>
    <t>Teva Pharmaceuticals</t>
  </si>
  <si>
    <t>Arden Theatre Company</t>
  </si>
  <si>
    <t>Philadelphia School</t>
  </si>
  <si>
    <t>Independence Visitor Center</t>
  </si>
  <si>
    <t>Gallery at Market East</t>
  </si>
  <si>
    <t>Navy Yard Infrastructure</t>
  </si>
  <si>
    <t>Christ Church Neighborhood Center</t>
  </si>
  <si>
    <t>Associated Services for the Blind Headquarters</t>
  </si>
  <si>
    <t>0710-01</t>
  </si>
  <si>
    <t>Somerset Hospital II</t>
  </si>
  <si>
    <t>Mansfield Central Business District Revitalization</t>
  </si>
  <si>
    <t>0950-00</t>
  </si>
  <si>
    <t>Innovate Warren</t>
  </si>
  <si>
    <t>0946-00</t>
  </si>
  <si>
    <t>Washington &amp; Jefferson College Dieter-Porter Reno</t>
  </si>
  <si>
    <t>Community Networks Solar Park</t>
  </si>
  <si>
    <t>1025-00</t>
  </si>
  <si>
    <t>0981-00</t>
  </si>
  <si>
    <t>Hamiltonban Township Education Campus</t>
  </si>
  <si>
    <t>0348-01</t>
  </si>
  <si>
    <t>0349-01</t>
  </si>
  <si>
    <t>0379-02</t>
  </si>
  <si>
    <t>Act 2006-040</t>
  </si>
  <si>
    <t>0661-06</t>
  </si>
  <si>
    <t>Pittsburgh Zoo VII-Animal Health Center</t>
  </si>
  <si>
    <t>0850-06</t>
  </si>
  <si>
    <t>Heinz Hall-Pittsburgh Symphony VII</t>
  </si>
  <si>
    <t>0932-01</t>
  </si>
  <si>
    <t>0932-02</t>
  </si>
  <si>
    <t>0989-01</t>
  </si>
  <si>
    <t>Carson Street-Goodwill Building Rehab II</t>
  </si>
  <si>
    <t>1003-00</t>
  </si>
  <si>
    <t>1006-00</t>
  </si>
  <si>
    <t>1006-01</t>
  </si>
  <si>
    <t>1006-02</t>
  </si>
  <si>
    <t>Schenley Place III</t>
  </si>
  <si>
    <t>1010-00</t>
  </si>
  <si>
    <t>1018-01</t>
  </si>
  <si>
    <t>Mon Wharf Switchback</t>
  </si>
  <si>
    <t>Community Specialist Facilities II</t>
  </si>
  <si>
    <t>Community Specialist Facilities III</t>
  </si>
  <si>
    <t>Chatham University EcoCenter Project</t>
  </si>
  <si>
    <t>Airside Business Park</t>
  </si>
  <si>
    <t>Watson Institute Friendship Academy</t>
  </si>
  <si>
    <t>Watson Institute Friendship Academy II</t>
  </si>
  <si>
    <t>Sewickley Valley YMCA</t>
  </si>
  <si>
    <t>Pittsburgh Technical Institute</t>
  </si>
  <si>
    <t>Pittsburgh Technical Institute II</t>
  </si>
  <si>
    <t>Bulgarian Macedonia National Education Center</t>
  </si>
  <si>
    <t>Pittsburgh Mills</t>
  </si>
  <si>
    <t>Edgewater Steel Redevelopment</t>
  </si>
  <si>
    <t>Amalgamated Transit Union Local 85</t>
  </si>
  <si>
    <t>Pittsburgh Life Sciences Greenhouse</t>
  </si>
  <si>
    <t>Great Allegheny Passage</t>
  </si>
  <si>
    <t>Robert Morris University School of Communications</t>
  </si>
  <si>
    <t>Former Tippins/62nd Street Industrial Park</t>
  </si>
  <si>
    <t>Bryant Street Redevelopment</t>
  </si>
  <si>
    <t>Pittsburgh Community Services</t>
  </si>
  <si>
    <t>Regent Square Theatre</t>
  </si>
  <si>
    <t>Manchester Bidwell Campus</t>
  </si>
  <si>
    <t>3845-00</t>
  </si>
  <si>
    <t>American Textile Company Heaving Remediation</t>
  </si>
  <si>
    <t>North Versailles Township Naser Road Project</t>
  </si>
  <si>
    <t>3847-00</t>
  </si>
  <si>
    <t>White Oak Borough Park Improvements</t>
  </si>
  <si>
    <t>Plum Municipal Center</t>
  </si>
  <si>
    <t>Historic Half Brothers Building Redevelopment</t>
  </si>
  <si>
    <t>Armstrong County Memorial Hospital</t>
  </si>
  <si>
    <t>Armstrong County Memorial Hospital II</t>
  </si>
  <si>
    <t>Belmont Recreation Facility II</t>
  </si>
  <si>
    <t>1005-00</t>
  </si>
  <si>
    <t>3750-00</t>
  </si>
  <si>
    <t>Godiva</t>
  </si>
  <si>
    <t>Berks County Brownfield Site</t>
  </si>
  <si>
    <t>Altoona Regional Health System</t>
  </si>
  <si>
    <t>0854-01</t>
  </si>
  <si>
    <t>Bristol Township Business District Improvements II</t>
  </si>
  <si>
    <t>1023-01</t>
  </si>
  <si>
    <t>Somerton Court II</t>
  </si>
  <si>
    <t>1047-00</t>
  </si>
  <si>
    <t>Lower Makefield Township Athletic Complex</t>
  </si>
  <si>
    <t>Delaware Valley College Life Science &amp; Applied II</t>
  </si>
  <si>
    <t>Warminster Township Storm Water Management</t>
  </si>
  <si>
    <t>Warwick Township Fire Company</t>
  </si>
  <si>
    <t>Upper Southampton Township Storm Water Management</t>
  </si>
  <si>
    <t>Pearl S. Buck International</t>
  </si>
  <si>
    <t>Bucks County Beautification Project</t>
  </si>
  <si>
    <t>Route 95 Industrial Center</t>
  </si>
  <si>
    <t>Bucks County Community College Public Safety Build</t>
  </si>
  <si>
    <t>Bensalem Township Open Space Project</t>
  </si>
  <si>
    <t>Clement Baseball Academy</t>
  </si>
  <si>
    <t>0540-02</t>
  </si>
  <si>
    <t>Ebensburg Downtown Revitalization III</t>
  </si>
  <si>
    <t>0589-01</t>
  </si>
  <si>
    <t>St. Francis University Science Center</t>
  </si>
  <si>
    <t>0589-02</t>
  </si>
  <si>
    <t>JAT Inc. Ammunition Plant</t>
  </si>
  <si>
    <t>Towamensing Municipal Recreation Center</t>
  </si>
  <si>
    <t>Lehighton Fire Station</t>
  </si>
  <si>
    <t>Lehighton Fire Station II</t>
  </si>
  <si>
    <t>3699-00</t>
  </si>
  <si>
    <t>Centre County Grange Encampment &amp; Fair</t>
  </si>
  <si>
    <t>0665-02</t>
  </si>
  <si>
    <t>Chester County Public Safety Training Center III</t>
  </si>
  <si>
    <t>0788-01</t>
  </si>
  <si>
    <t>Downingtown Library Senior Center II</t>
  </si>
  <si>
    <t>0814-01</t>
  </si>
  <si>
    <t>Spring City Library II</t>
  </si>
  <si>
    <t>0876-01</t>
  </si>
  <si>
    <t>Phoenixville Public Library II</t>
  </si>
  <si>
    <t>0890-01</t>
  </si>
  <si>
    <t>Malvern Fire Company II</t>
  </si>
  <si>
    <t>0918-01</t>
  </si>
  <si>
    <t>Chester County Hospital West Pavillion II</t>
  </si>
  <si>
    <t>1004-00</t>
  </si>
  <si>
    <t>1004-01</t>
  </si>
  <si>
    <t>Immaculata University II</t>
  </si>
  <si>
    <t>Longwood Gardens</t>
  </si>
  <si>
    <t>Chester County Technical College High School</t>
  </si>
  <si>
    <t>Chester County Technical College High School II</t>
  </si>
  <si>
    <t>Franklin Commons Adaptive Reuse</t>
  </si>
  <si>
    <t>Malvern Prep Outdoor Athletic Facility</t>
  </si>
  <si>
    <t>Chester County Art Association Green Renovation</t>
  </si>
  <si>
    <t>Chester County Art Association Green Renovation II</t>
  </si>
  <si>
    <t>East Whiteland Township Volunteer Firefighters</t>
  </si>
  <si>
    <t>Colonial Theatre</t>
  </si>
  <si>
    <t>3809-00</t>
  </si>
  <si>
    <t>Fame Fire Company</t>
  </si>
  <si>
    <t>Bioscience Park Project</t>
  </si>
  <si>
    <t>East King Street Development-Malvern</t>
  </si>
  <si>
    <t>DuBois Regional Medical Center</t>
  </si>
  <si>
    <t>Messiah College Murray Library</t>
  </si>
  <si>
    <t>1044-00</t>
  </si>
  <si>
    <t>1046-00</t>
  </si>
  <si>
    <t>International House of Harrisburg II</t>
  </si>
  <si>
    <t>Hamilton Health Center</t>
  </si>
  <si>
    <t>Hershey Fire Station</t>
  </si>
  <si>
    <t>Millersburg Colonnade</t>
  </si>
  <si>
    <t>Spring Creek Road Improvement Project</t>
  </si>
  <si>
    <t>Keystone Human Services</t>
  </si>
  <si>
    <t>Keystone Human Services II</t>
  </si>
  <si>
    <t>0640-01</t>
  </si>
  <si>
    <t>0640-02</t>
  </si>
  <si>
    <t>Darby Borough Municipal-Rec Center II</t>
  </si>
  <si>
    <t>0674-01</t>
  </si>
  <si>
    <t>0872-04</t>
  </si>
  <si>
    <t>Darby Town Center IV</t>
  </si>
  <si>
    <t>0948-01</t>
  </si>
  <si>
    <t>0948-02</t>
  </si>
  <si>
    <t>1007-00</t>
  </si>
  <si>
    <t>1007-01</t>
  </si>
  <si>
    <t>Widener University Academic Facility</t>
  </si>
  <si>
    <t>Main Line Art Center Renovations</t>
  </si>
  <si>
    <t>Haverford Township YMCA</t>
  </si>
  <si>
    <t>Franklin Mint</t>
  </si>
  <si>
    <t>Franklin Mint II</t>
  </si>
  <si>
    <t>Franklin Mint III</t>
  </si>
  <si>
    <t>Tinicum Township Municipal Building</t>
  </si>
  <si>
    <t>3816-00</t>
  </si>
  <si>
    <t>Elwyn Development Center</t>
  </si>
  <si>
    <t>Media Borough Water Safety and Infrastructure</t>
  </si>
  <si>
    <t>Philabundance III</t>
  </si>
  <si>
    <t>1048-00</t>
  </si>
  <si>
    <t>0406-01</t>
  </si>
  <si>
    <t>0829-01</t>
  </si>
  <si>
    <t>Shippensburg Industrial Facility</t>
  </si>
  <si>
    <t>0707-01</t>
  </si>
  <si>
    <t>Southwest Regional Medical Center II</t>
  </si>
  <si>
    <t>3784-00</t>
  </si>
  <si>
    <t>Greene County Transitional Housing Facility</t>
  </si>
  <si>
    <t>Greene County Airport Business Park</t>
  </si>
  <si>
    <t>JC Blair Memorial Hospital</t>
  </si>
  <si>
    <t>East Broad Top Preservation Project</t>
  </si>
  <si>
    <t>0755-01</t>
  </si>
  <si>
    <t>Windy Ridge Business and Technology Park II</t>
  </si>
  <si>
    <t>0755-02</t>
  </si>
  <si>
    <t>Windy Ridge Business and Technology Park III</t>
  </si>
  <si>
    <t>Indian Springs Road Development</t>
  </si>
  <si>
    <t>Jefferson County Business Park</t>
  </si>
  <si>
    <t>0805-01</t>
  </si>
  <si>
    <t>Keystone College II</t>
  </si>
  <si>
    <t>0944-01</t>
  </si>
  <si>
    <t>1028-00</t>
  </si>
  <si>
    <t>1042-00</t>
  </si>
  <si>
    <t>Wright Center for Primary Care</t>
  </si>
  <si>
    <t>Career Technology Center of Lackawanna County</t>
  </si>
  <si>
    <t>Nay Aug Park Improvements</t>
  </si>
  <si>
    <t>Moscow Borough Safe Route and Revitalization</t>
  </si>
  <si>
    <t>North Pocono Public Library</t>
  </si>
  <si>
    <t>0516-02</t>
  </si>
  <si>
    <t>0898-01</t>
  </si>
  <si>
    <t>Lancaster General Hospital II</t>
  </si>
  <si>
    <t>Lancaster Workforce Training Center</t>
  </si>
  <si>
    <t>Lancaster Press Building &amp; Parking Garage</t>
  </si>
  <si>
    <t>Arbor Place Community Center</t>
  </si>
  <si>
    <t>Neighborhood Recreation and Revitalization Project</t>
  </si>
  <si>
    <t>Montgomery House Restoration</t>
  </si>
  <si>
    <t>Lancaster General Health Cancer Center</t>
  </si>
  <si>
    <t>Keystone Solar</t>
  </si>
  <si>
    <t>Agricultural Support Facility-Perdue</t>
  </si>
  <si>
    <t>1034-00</t>
  </si>
  <si>
    <t>Philhaven Hospital Renovations</t>
  </si>
  <si>
    <t>South Lebanon Township Municipal Facility</t>
  </si>
  <si>
    <t>0469-03</t>
  </si>
  <si>
    <t>Kidspeace Broadway Campus IV</t>
  </si>
  <si>
    <t>0726-07</t>
  </si>
  <si>
    <t>Martin Tower VIII</t>
  </si>
  <si>
    <t>0743-04</t>
  </si>
  <si>
    <t>Lehigh Valley Health Network-Muhlenberg Hos IV</t>
  </si>
  <si>
    <t>0992-00</t>
  </si>
  <si>
    <t>Old Allentown Streetscape</t>
  </si>
  <si>
    <t>1022-00</t>
  </si>
  <si>
    <t>1022-01</t>
  </si>
  <si>
    <t>1032-00</t>
  </si>
  <si>
    <t>Community Services for Children SafeStart Prog II</t>
  </si>
  <si>
    <t>Community Services for Children SafeStart Prog III</t>
  </si>
  <si>
    <t>Community Services for Children SafeStart Prog IV</t>
  </si>
  <si>
    <t>Cetronia Ambulance Corps II</t>
  </si>
  <si>
    <t>Cetronia Ambulance Corps III</t>
  </si>
  <si>
    <t>Cetronia Ambulance Corps IV</t>
  </si>
  <si>
    <t>Allentown Symphony Hall III</t>
  </si>
  <si>
    <t>Allentown Symphony Hall IV</t>
  </si>
  <si>
    <t>3703-00</t>
  </si>
  <si>
    <t>Da Vinci Discovery Center of Science</t>
  </si>
  <si>
    <t>3703-01</t>
  </si>
  <si>
    <t>LaFarge Cement</t>
  </si>
  <si>
    <t>Diakon Lutheran Social Ministries Health Center</t>
  </si>
  <si>
    <t>Lehigh Valley Health Network-17th &amp; Chew Pediatric</t>
  </si>
  <si>
    <t>Lehigh Valley Health Network-17th &amp; Chew Ped. II</t>
  </si>
  <si>
    <t>Lehigh Valley Health Network-17th &amp; Chew Ped. III</t>
  </si>
  <si>
    <t>Air Products IV</t>
  </si>
  <si>
    <t>Air Products III</t>
  </si>
  <si>
    <t>Emmaus Main Street Program</t>
  </si>
  <si>
    <t>Camp Olympic Park</t>
  </si>
  <si>
    <t>Hamilton Crossing</t>
  </si>
  <si>
    <t>Lehigh Valley Zoo</t>
  </si>
  <si>
    <t>0962-00</t>
  </si>
  <si>
    <t>1017-00</t>
  </si>
  <si>
    <t>1017-01</t>
  </si>
  <si>
    <t>1017-02</t>
  </si>
  <si>
    <t>Hazard Wire Rope (Sinewa) Murray Complexca</t>
  </si>
  <si>
    <t>TJX Solar Photovoltaic Project</t>
  </si>
  <si>
    <t>20 Mega Watt Frequency Regulation Plant</t>
  </si>
  <si>
    <t>Weinberg Northeast Regional Food Bank</t>
  </si>
  <si>
    <t>Weinberg Northeast Regional Food Bank II</t>
  </si>
  <si>
    <t>Wyoming Valley West Community Center</t>
  </si>
  <si>
    <t>3836-00</t>
  </si>
  <si>
    <t>Nanticoke Downtown Redevelopment</t>
  </si>
  <si>
    <t>Market Street Redevelopment-Nanticoke</t>
  </si>
  <si>
    <t>3853-00</t>
  </si>
  <si>
    <t>Ready Rubber</t>
  </si>
  <si>
    <t>0986-00</t>
  </si>
  <si>
    <t>0986-01</t>
  </si>
  <si>
    <t>0986-02</t>
  </si>
  <si>
    <t>Lycoming county Emergency Communications Tower</t>
  </si>
  <si>
    <t>Linden Point-Hermitage Technology Center III</t>
  </si>
  <si>
    <t>1026-00</t>
  </si>
  <si>
    <t>Route 611 Gas Corridor</t>
  </si>
  <si>
    <t>Route 611 Gas Corridor II</t>
  </si>
  <si>
    <t>Holy Redeemer Health System III Maternity &amp; NICU</t>
  </si>
  <si>
    <t>Holy Redeemer Health System IV Maternity &amp; NICU</t>
  </si>
  <si>
    <t>Holy Redeemer Health System V Maternity &amp; NICU</t>
  </si>
  <si>
    <t>0702-00</t>
  </si>
  <si>
    <t>0702-01</t>
  </si>
  <si>
    <t>0724-02</t>
  </si>
  <si>
    <t>Ardmore Station III</t>
  </si>
  <si>
    <t>Eagleville Hospital</t>
  </si>
  <si>
    <t>Whitpain Township Emergency Services</t>
  </si>
  <si>
    <t>Whitpain Township Emergency Services II</t>
  </si>
  <si>
    <t>Valley Forge Corporate Center Revitalization</t>
  </si>
  <si>
    <t>Heuser Park and Valley Forge Park Trail</t>
  </si>
  <si>
    <t>Norristown Central Business Redevelopment</t>
  </si>
  <si>
    <t>3758-00</t>
  </si>
  <si>
    <t>Mission Kids Center</t>
  </si>
  <si>
    <t>Riverbend Environmental Education Center</t>
  </si>
  <si>
    <t>Stern Academy Community Center</t>
  </si>
  <si>
    <t>Abington Memorial Hospital NICU</t>
  </si>
  <si>
    <t>Souderton Train Station Restoration</t>
  </si>
  <si>
    <t>Montgomery County Community College West Campus</t>
  </si>
  <si>
    <t>Lower Moreland Township Infrastructure Improvement</t>
  </si>
  <si>
    <t>North Wales Water Authority</t>
  </si>
  <si>
    <t>Springfield Bus Garage</t>
  </si>
  <si>
    <t>Academy in Manayunk</t>
  </si>
  <si>
    <t>Irontown Commerce Center Rail Facility</t>
  </si>
  <si>
    <t>Montour</t>
  </si>
  <si>
    <t>0316-03</t>
  </si>
  <si>
    <t>0464-03</t>
  </si>
  <si>
    <t>0604-05</t>
  </si>
  <si>
    <t>Northampton Community College Southside Beth VI</t>
  </si>
  <si>
    <t>St. Luke's Riverfront Health Campus</t>
  </si>
  <si>
    <t>0618-04</t>
  </si>
  <si>
    <t>0855-03</t>
  </si>
  <si>
    <t>Lehigh University Science Building IV</t>
  </si>
  <si>
    <t>northampton</t>
  </si>
  <si>
    <t>Slate Belt YMCA</t>
  </si>
  <si>
    <t>Slate Belt YMCA II</t>
  </si>
  <si>
    <t>Slate Belt YMCA III</t>
  </si>
  <si>
    <t>Route 33 Interchange Development</t>
  </si>
  <si>
    <t>Lower Nazareth Commercial Park</t>
  </si>
  <si>
    <t>Route 512 Industrial Park</t>
  </si>
  <si>
    <t>Equi-Librium, Inc</t>
  </si>
  <si>
    <t>State Theatre-Easton III</t>
  </si>
  <si>
    <t>St. Luke's Wind Gap Medical Center</t>
  </si>
  <si>
    <t>3832-00</t>
  </si>
  <si>
    <t>Rehabilitation of former Fleetwood Facility</t>
  </si>
  <si>
    <t>3832-01</t>
  </si>
  <si>
    <t>Rehabilitation of former Fleetwood Facility II</t>
  </si>
  <si>
    <t>3863-00</t>
  </si>
  <si>
    <t>National Audubon Society Hawk Watch</t>
  </si>
  <si>
    <t>0258-05</t>
  </si>
  <si>
    <t>Moore College of Art VI</t>
  </si>
  <si>
    <t>0394-07</t>
  </si>
  <si>
    <t>Children's Hospital of Philadelphia IX</t>
  </si>
  <si>
    <t>0481-07</t>
  </si>
  <si>
    <t>Lutheran Theological Seminary VIII</t>
  </si>
  <si>
    <t>0481-08</t>
  </si>
  <si>
    <t>Lutheran Theological Seminary IX</t>
  </si>
  <si>
    <t>0548-06</t>
  </si>
  <si>
    <t>0570-03</t>
  </si>
  <si>
    <t>Chestnut Hill College Elevator Renovations</t>
  </si>
  <si>
    <t>0644-07</t>
  </si>
  <si>
    <t>Sbarro Health Research Organization II</t>
  </si>
  <si>
    <t>0672-01</t>
  </si>
  <si>
    <t>0672-02</t>
  </si>
  <si>
    <t>0672-03</t>
  </si>
  <si>
    <t>0672-04</t>
  </si>
  <si>
    <t>Temple University Hospital IV</t>
  </si>
  <si>
    <t>0672-05</t>
  </si>
  <si>
    <t>Temple University Hospital V</t>
  </si>
  <si>
    <t>0675-01</t>
  </si>
  <si>
    <t>Magee Rehabilitation Hospital-Philadelphia II</t>
  </si>
  <si>
    <t>0763-04</t>
  </si>
  <si>
    <t>Franklin Institute VII</t>
  </si>
  <si>
    <t>0763-05</t>
  </si>
  <si>
    <t>Franklin Institute Inspire Science Facility</t>
  </si>
  <si>
    <t>0799-04</t>
  </si>
  <si>
    <t>Philadelphia Zoo-Intermodal Project II</t>
  </si>
  <si>
    <t>0799-05</t>
  </si>
  <si>
    <t>Philadelphia Zoo-Intermodal Project III</t>
  </si>
  <si>
    <t>0849-03</t>
  </si>
  <si>
    <t>International House V</t>
  </si>
  <si>
    <t>West Oak Lane Plaza III</t>
  </si>
  <si>
    <t>0888-01</t>
  </si>
  <si>
    <t>Congreso de Latinos Unitos Education Center II</t>
  </si>
  <si>
    <t>0903-01</t>
  </si>
  <si>
    <t>Drexel University LeBow College of Business</t>
  </si>
  <si>
    <t>Chelten and Pulaski Revitalization II</t>
  </si>
  <si>
    <t>0927-03</t>
  </si>
  <si>
    <t>0987-00</t>
  </si>
  <si>
    <t>0987-01</t>
  </si>
  <si>
    <t>0988-00</t>
  </si>
  <si>
    <t>0997-00</t>
  </si>
  <si>
    <t>0997-01</t>
  </si>
  <si>
    <t>0997-02</t>
  </si>
  <si>
    <t>1008-00</t>
  </si>
  <si>
    <t>1008-01</t>
  </si>
  <si>
    <t>1008-02</t>
  </si>
  <si>
    <t>1019-00</t>
  </si>
  <si>
    <t>1036-00</t>
  </si>
  <si>
    <t>1036-01</t>
  </si>
  <si>
    <t>1037-00</t>
  </si>
  <si>
    <t>1038-00</t>
  </si>
  <si>
    <t>1041-00</t>
  </si>
  <si>
    <t>1043-00</t>
  </si>
  <si>
    <t>1045-00</t>
  </si>
  <si>
    <t>1045-01</t>
  </si>
  <si>
    <t>Hunting Park Revitalization II</t>
  </si>
  <si>
    <t>Pavilion at Market East</t>
  </si>
  <si>
    <t>Race Street Pier</t>
  </si>
  <si>
    <t>1220 North Broad Street</t>
  </si>
  <si>
    <t>2116 Chestnut Street Project</t>
  </si>
  <si>
    <t>Library Company of Philadelphia</t>
  </si>
  <si>
    <t>Renovation of the Blue Horizon II</t>
  </si>
  <si>
    <t>University City Gateway</t>
  </si>
  <si>
    <t>University City Gateway II</t>
  </si>
  <si>
    <t>University City Gateway III</t>
  </si>
  <si>
    <t>University City Gateway IV</t>
  </si>
  <si>
    <t>University City Gateway V</t>
  </si>
  <si>
    <t>Piazza at Schmidt's</t>
  </si>
  <si>
    <t>St. Monica Manor Expansion</t>
  </si>
  <si>
    <t>Roxborough Memorial Hospital</t>
  </si>
  <si>
    <t>Jewish Community Services-Philadelphia</t>
  </si>
  <si>
    <t>Avenue of the Arts Streetscape</t>
  </si>
  <si>
    <t>Avenue of the Arts Streetscape II</t>
  </si>
  <si>
    <t>Avenue of the Arts Streetscape III</t>
  </si>
  <si>
    <t>National Constitution Center 2010</t>
  </si>
  <si>
    <t>Porter's Community Expansion</t>
  </si>
  <si>
    <t>New Courtland LIFE Center</t>
  </si>
  <si>
    <t>HUB 3939 Project</t>
  </si>
  <si>
    <t>HUB 3939 Project II</t>
  </si>
  <si>
    <t>Impact Veterans Services</t>
  </si>
  <si>
    <t>New Freedom Theatre 2010</t>
  </si>
  <si>
    <t>Aria Health Frankford Campus ER Expansion</t>
  </si>
  <si>
    <t>Intercultural Family Services Inc.</t>
  </si>
  <si>
    <t>2055 Richmond Street Live Entertainment Venue</t>
  </si>
  <si>
    <t>Paul's Run Retirement Community</t>
  </si>
  <si>
    <t>Juniper Hotel</t>
  </si>
  <si>
    <t>Juniper Hotel II</t>
  </si>
  <si>
    <t>Juniper Hotel III</t>
  </si>
  <si>
    <t>West Parkside Revitalization</t>
  </si>
  <si>
    <t>Self Help Movement</t>
  </si>
  <si>
    <t>Royal Theatre &amp; Universal Commercial Corridor</t>
  </si>
  <si>
    <t>Royal Theatre &amp; Universal Commercial Corridor II</t>
  </si>
  <si>
    <t>Trail at Bartram's Garden</t>
  </si>
  <si>
    <t>Aria Health Torresdale Campus</t>
  </si>
  <si>
    <t>Aria Health Torresdale Campus II</t>
  </si>
  <si>
    <t>Renovation of the Blue Horizon</t>
  </si>
  <si>
    <t>Charles Cole Memorial Hospital</t>
  </si>
  <si>
    <t>0995-00</t>
  </si>
  <si>
    <t>St. Luke's Miners Memorial Hospital</t>
  </si>
  <si>
    <t>St. Luke's Miners Memorial Hospital II</t>
  </si>
  <si>
    <t>Schuylkill Medical Center</t>
  </si>
  <si>
    <t>Tamaqua Historical Society Museum</t>
  </si>
  <si>
    <t>Highridge Business Park</t>
  </si>
  <si>
    <t>Selinsgrove Borough Community Building</t>
  </si>
  <si>
    <t>Endless Mountains Health System II</t>
  </si>
  <si>
    <t>0862-02</t>
  </si>
  <si>
    <t>Endless Mountains Health System III</t>
  </si>
  <si>
    <t>0862-03</t>
  </si>
  <si>
    <t>Endless Mountains Health System IV</t>
  </si>
  <si>
    <t>Wellsboro &amp; Corning Rail Yard Improvements</t>
  </si>
  <si>
    <t>3825-00</t>
  </si>
  <si>
    <t>Hydraulic Stimulation Fluid Manufacturing Facility</t>
  </si>
  <si>
    <t>0430-03</t>
  </si>
  <si>
    <t>BVK Inc. Warren Project</t>
  </si>
  <si>
    <t>BVK Inc. Warren Project II</t>
  </si>
  <si>
    <t>0634-03</t>
  </si>
  <si>
    <t>Canonsburg Library IV</t>
  </si>
  <si>
    <t>0688-01</t>
  </si>
  <si>
    <t>Starpointe Business Park IV-1B</t>
  </si>
  <si>
    <t>0900-01</t>
  </si>
  <si>
    <t>Southpointe III</t>
  </si>
  <si>
    <t>Bentleyville Multipurpose Community Library</t>
  </si>
  <si>
    <t>Alta Vista II</t>
  </si>
  <si>
    <t>Canonsburg Armory</t>
  </si>
  <si>
    <t>3849-00</t>
  </si>
  <si>
    <t>Redevelopment of former ALCOA site</t>
  </si>
  <si>
    <t>0985-00</t>
  </si>
  <si>
    <t>0985-01</t>
  </si>
  <si>
    <t>0985-02</t>
  </si>
  <si>
    <t>1031-00</t>
  </si>
  <si>
    <t>3724-00</t>
  </si>
  <si>
    <t>Lake Marburg Dam Renovation</t>
  </si>
  <si>
    <t>3724-01</t>
  </si>
  <si>
    <t>Lake Marburg Dam Renovation II</t>
  </si>
  <si>
    <t>Glatfelter Industrial Park</t>
  </si>
  <si>
    <t>Glatfelter Industrial Park II</t>
  </si>
  <si>
    <t>1039-00</t>
  </si>
  <si>
    <t>1039-01</t>
  </si>
  <si>
    <t>InVision Human Services</t>
  </si>
  <si>
    <t>1009-00</t>
  </si>
  <si>
    <t>Goggleworks II-Incubator/Restaurant</t>
  </si>
  <si>
    <t>1009-01</t>
  </si>
  <si>
    <t>Goggleworks II- Incubator/Restaurant</t>
  </si>
  <si>
    <t>West Pharmaceuticals</t>
  </si>
  <si>
    <t>Haverford Township YMCA II</t>
  </si>
  <si>
    <t>3879-00</t>
  </si>
  <si>
    <t>Manitowoc Crane</t>
  </si>
  <si>
    <t>0536-01</t>
  </si>
  <si>
    <t>0717-01</t>
  </si>
  <si>
    <t>F&amp;M Northwest Gateway Norfolk Southern Project II</t>
  </si>
  <si>
    <t>Agricultural Support Facility-Perdue II</t>
  </si>
  <si>
    <t>Agricultural Support Facility-Perdue III</t>
  </si>
  <si>
    <t>PA Dutch Market</t>
  </si>
  <si>
    <t>1049-00</t>
  </si>
  <si>
    <t>Serento Gardens</t>
  </si>
  <si>
    <t>Mantua Supermarket</t>
  </si>
  <si>
    <t>1027-01</t>
  </si>
  <si>
    <t>8038-00</t>
  </si>
  <si>
    <t>Blair County Historical Society-Baker Mansion -1</t>
  </si>
  <si>
    <t>1138-00</t>
  </si>
  <si>
    <t>8030-00</t>
  </si>
  <si>
    <t>8031-00</t>
  </si>
  <si>
    <t>8032-00</t>
  </si>
  <si>
    <t>1051-00</t>
  </si>
  <si>
    <t>Swarthmore Town Center IV</t>
  </si>
  <si>
    <t>0898-02</t>
  </si>
  <si>
    <t>0971-01</t>
  </si>
  <si>
    <t>1110-00</t>
  </si>
  <si>
    <t>0743-02</t>
  </si>
  <si>
    <t>0743-03</t>
  </si>
  <si>
    <t>0961-00</t>
  </si>
  <si>
    <t>MMI Preparatory School</t>
  </si>
  <si>
    <t>8037-00</t>
  </si>
  <si>
    <t>0415-01</t>
  </si>
  <si>
    <t>Reznor Industrial Expansion-Thomas and Betts</t>
  </si>
  <si>
    <t>0960-00</t>
  </si>
  <si>
    <t>8033-00</t>
  </si>
  <si>
    <t>0317-02</t>
  </si>
  <si>
    <t>Esperanza Campus VIII</t>
  </si>
  <si>
    <t>0548-07</t>
  </si>
  <si>
    <t>Nueva Esperanza IX</t>
  </si>
  <si>
    <t>0626-03</t>
  </si>
  <si>
    <t>0879-00</t>
  </si>
  <si>
    <t>Convention Center Hotel IV</t>
  </si>
  <si>
    <t>1050-00</t>
  </si>
  <si>
    <t>1053-00</t>
  </si>
  <si>
    <t>1058-00</t>
  </si>
  <si>
    <t>8036-00</t>
  </si>
  <si>
    <t>Operating Engineers Training Building</t>
  </si>
  <si>
    <t>Operating Engineers Training Building II</t>
  </si>
  <si>
    <t>1154-00</t>
  </si>
  <si>
    <t>1132-00</t>
  </si>
  <si>
    <t>1083-00</t>
  </si>
  <si>
    <t>1137-00</t>
  </si>
  <si>
    <t>1140-00</t>
  </si>
  <si>
    <t>1073-00</t>
  </si>
  <si>
    <t>1076-00</t>
  </si>
  <si>
    <t>1102-00</t>
  </si>
  <si>
    <t>Goggle Works Apartments and Parking Garage</t>
  </si>
  <si>
    <t>1126-00</t>
  </si>
  <si>
    <t>1126-01</t>
  </si>
  <si>
    <t>1159-00</t>
  </si>
  <si>
    <t>8041-00</t>
  </si>
  <si>
    <t>8042-00</t>
  </si>
  <si>
    <t>1061-00</t>
  </si>
  <si>
    <t>1061-01</t>
  </si>
  <si>
    <t>1128-00</t>
  </si>
  <si>
    <t>1114-00</t>
  </si>
  <si>
    <t>1114-01</t>
  </si>
  <si>
    <t>1114-02</t>
  </si>
  <si>
    <t>1157-00</t>
  </si>
  <si>
    <t>Indiana County Convocation Center</t>
  </si>
  <si>
    <t>1063-00</t>
  </si>
  <si>
    <t>8039-00</t>
  </si>
  <si>
    <t>1106-00</t>
  </si>
  <si>
    <t>1106-01</t>
  </si>
  <si>
    <t>1096-00</t>
  </si>
  <si>
    <t>1096-01</t>
  </si>
  <si>
    <t>1096-02</t>
  </si>
  <si>
    <t>1096-03</t>
  </si>
  <si>
    <t>1107-00</t>
  </si>
  <si>
    <t>1107-01</t>
  </si>
  <si>
    <t>1107-02</t>
  </si>
  <si>
    <t>8040-00</t>
  </si>
  <si>
    <t>1151-00</t>
  </si>
  <si>
    <t>1158-00</t>
  </si>
  <si>
    <t>3367-01</t>
  </si>
  <si>
    <t>Hotel Easton III</t>
  </si>
  <si>
    <t>1136-00</t>
  </si>
  <si>
    <t>Festival Center at Steel Stacks</t>
  </si>
  <si>
    <t>1057-00</t>
  </si>
  <si>
    <t>0967-00</t>
  </si>
  <si>
    <t>1079-00</t>
  </si>
  <si>
    <t>1115-00</t>
  </si>
  <si>
    <t>1121-00</t>
  </si>
  <si>
    <t>1145-00</t>
  </si>
  <si>
    <t>1161-00</t>
  </si>
  <si>
    <t>1161-01</t>
  </si>
  <si>
    <t>1166-00</t>
  </si>
  <si>
    <t>1166-01</t>
  </si>
  <si>
    <t>1173-00</t>
  </si>
  <si>
    <t>Allegany College of Maryland-Somerset Campus</t>
  </si>
  <si>
    <t>1098-00</t>
  </si>
  <si>
    <t>1167-00</t>
  </si>
  <si>
    <t>1104-00</t>
  </si>
  <si>
    <t>1149-00</t>
  </si>
  <si>
    <t>1197-00</t>
  </si>
  <si>
    <t>0831-00</t>
  </si>
  <si>
    <t>1070-00</t>
  </si>
  <si>
    <t>1105-00</t>
  </si>
  <si>
    <t>1109-00</t>
  </si>
  <si>
    <t>1199-00</t>
  </si>
  <si>
    <t>1199-01</t>
  </si>
  <si>
    <t>8048-00</t>
  </si>
  <si>
    <t>8050-00</t>
  </si>
  <si>
    <t>8052-00</t>
  </si>
  <si>
    <t>1178-00</t>
  </si>
  <si>
    <t>1179-00</t>
  </si>
  <si>
    <t>1179-01</t>
  </si>
  <si>
    <t>1130-00</t>
  </si>
  <si>
    <t>1152-00</t>
  </si>
  <si>
    <t>1055-00</t>
  </si>
  <si>
    <t>1071-00</t>
  </si>
  <si>
    <t>1213-00</t>
  </si>
  <si>
    <t>1133-00</t>
  </si>
  <si>
    <t>1210-00</t>
  </si>
  <si>
    <t>1223-00</t>
  </si>
  <si>
    <t>0993-00</t>
  </si>
  <si>
    <t>1150-00</t>
  </si>
  <si>
    <t>8043-00</t>
  </si>
  <si>
    <t>1146-00</t>
  </si>
  <si>
    <t>1216-00</t>
  </si>
  <si>
    <t>1180-00</t>
  </si>
  <si>
    <t>1180-01</t>
  </si>
  <si>
    <t>1205-01</t>
  </si>
  <si>
    <t>8044-00</t>
  </si>
  <si>
    <t>0909-01</t>
  </si>
  <si>
    <t>1099-00</t>
  </si>
  <si>
    <t>1129-00</t>
  </si>
  <si>
    <t>1182-00</t>
  </si>
  <si>
    <t>1182-01</t>
  </si>
  <si>
    <t>8051-00</t>
  </si>
  <si>
    <t>1148-00</t>
  </si>
  <si>
    <t>1148-01</t>
  </si>
  <si>
    <t>8046-00</t>
  </si>
  <si>
    <t>1112-00</t>
  </si>
  <si>
    <t>1143-00</t>
  </si>
  <si>
    <t>1029-00</t>
  </si>
  <si>
    <t>1082-00</t>
  </si>
  <si>
    <t>1172-00</t>
  </si>
  <si>
    <t>1035-00</t>
  </si>
  <si>
    <t>1207-00</t>
  </si>
  <si>
    <t>1207-01</t>
  </si>
  <si>
    <t>1207-02</t>
  </si>
  <si>
    <t>1108-00</t>
  </si>
  <si>
    <t>1108-01</t>
  </si>
  <si>
    <t>1108-02</t>
  </si>
  <si>
    <t>1111-00</t>
  </si>
  <si>
    <t>1111-01</t>
  </si>
  <si>
    <t>1111-02</t>
  </si>
  <si>
    <t>1111-03</t>
  </si>
  <si>
    <t>1117-00</t>
  </si>
  <si>
    <t>1117-01</t>
  </si>
  <si>
    <t>1191-00</t>
  </si>
  <si>
    <t>1195-00</t>
  </si>
  <si>
    <t>1062-00</t>
  </si>
  <si>
    <t>1062-01</t>
  </si>
  <si>
    <t>1203-00</t>
  </si>
  <si>
    <t>8047-00</t>
  </si>
  <si>
    <t>1155-00</t>
  </si>
  <si>
    <t>1054-00</t>
  </si>
  <si>
    <t>1113-00</t>
  </si>
  <si>
    <t>0583-01</t>
  </si>
  <si>
    <t>1201-00</t>
  </si>
  <si>
    <t>1201-01</t>
  </si>
  <si>
    <t>1201-02</t>
  </si>
  <si>
    <t>1225-00</t>
  </si>
  <si>
    <t>1011-00</t>
  </si>
  <si>
    <t>1065-00</t>
  </si>
  <si>
    <t>1084-00</t>
  </si>
  <si>
    <t>1084-01</t>
  </si>
  <si>
    <t>1084-02</t>
  </si>
  <si>
    <t>1084-03</t>
  </si>
  <si>
    <t>1168-00</t>
  </si>
  <si>
    <t>1168-01</t>
  </si>
  <si>
    <t>1168-02</t>
  </si>
  <si>
    <t>1184-00</t>
  </si>
  <si>
    <t>Gallery at Market East II</t>
  </si>
  <si>
    <t>8045-00</t>
  </si>
  <si>
    <t>8049-00</t>
  </si>
  <si>
    <t>1188-00</t>
  </si>
  <si>
    <t>1091-00</t>
  </si>
  <si>
    <t>1170-00</t>
  </si>
  <si>
    <t>1077-00</t>
  </si>
  <si>
    <t>1059-00</t>
  </si>
  <si>
    <t>1060-00</t>
  </si>
  <si>
    <t>1093-00</t>
  </si>
  <si>
    <t>1192-00</t>
  </si>
  <si>
    <t>Monessen Public Library</t>
  </si>
  <si>
    <t>3724-02</t>
  </si>
  <si>
    <t>3724-03</t>
  </si>
  <si>
    <t>1052-00</t>
  </si>
  <si>
    <t>1056-00</t>
  </si>
  <si>
    <t>1066-00</t>
  </si>
  <si>
    <t>1066-01</t>
  </si>
  <si>
    <t>1067-00</t>
  </si>
  <si>
    <t>1092-00</t>
  </si>
  <si>
    <t>1139-00</t>
  </si>
  <si>
    <t>1209-00</t>
  </si>
  <si>
    <t>1212-00</t>
  </si>
  <si>
    <t>1222-00</t>
  </si>
  <si>
    <t>1103-00</t>
  </si>
  <si>
    <t>8056-00</t>
  </si>
  <si>
    <t>8056-01</t>
  </si>
  <si>
    <t>1095-00</t>
  </si>
  <si>
    <t>1075-00</t>
  </si>
  <si>
    <t>1156-00</t>
  </si>
  <si>
    <t>1156-01</t>
  </si>
  <si>
    <t>1162-00</t>
  </si>
  <si>
    <t>8053-00</t>
  </si>
  <si>
    <t>1119-00</t>
  </si>
  <si>
    <t>1146-01</t>
  </si>
  <si>
    <t>1116-00</t>
  </si>
  <si>
    <t>1116-01</t>
  </si>
  <si>
    <t>1187-00</t>
  </si>
  <si>
    <t>1196-00</t>
  </si>
  <si>
    <t>1196-01</t>
  </si>
  <si>
    <t>1196-02</t>
  </si>
  <si>
    <t>8054-00</t>
  </si>
  <si>
    <t>1068-00</t>
  </si>
  <si>
    <t>Brockway Technical Training Center</t>
  </si>
  <si>
    <t>1087-00</t>
  </si>
  <si>
    <t>1135-00</t>
  </si>
  <si>
    <t>1089-00</t>
  </si>
  <si>
    <t>1089-01</t>
  </si>
  <si>
    <t>1097-00</t>
  </si>
  <si>
    <t>1120-00</t>
  </si>
  <si>
    <t>1120-01</t>
  </si>
  <si>
    <t>1081-00</t>
  </si>
  <si>
    <t>1163-00</t>
  </si>
  <si>
    <t>3836-01</t>
  </si>
  <si>
    <t>1218-00</t>
  </si>
  <si>
    <t>1086-00</t>
  </si>
  <si>
    <t>1078-00</t>
  </si>
  <si>
    <t>1080-00</t>
  </si>
  <si>
    <t>1088-00</t>
  </si>
  <si>
    <t>1094-00</t>
  </si>
  <si>
    <t>1100-00</t>
  </si>
  <si>
    <t>1101-00</t>
  </si>
  <si>
    <t>1118-00</t>
  </si>
  <si>
    <t>1124-00</t>
  </si>
  <si>
    <t>1125-00</t>
  </si>
  <si>
    <t>1131-00</t>
  </si>
  <si>
    <t>1253-00</t>
  </si>
  <si>
    <t>1253-01</t>
  </si>
  <si>
    <t>1202-00</t>
  </si>
  <si>
    <t>1123-00</t>
  </si>
  <si>
    <t>1127-00</t>
  </si>
  <si>
    <t>1127-01</t>
  </si>
  <si>
    <t>1224-00</t>
  </si>
  <si>
    <t>1198-00</t>
  </si>
  <si>
    <t>1174-00</t>
  </si>
  <si>
    <t>1211-00</t>
  </si>
  <si>
    <t>1217-00</t>
  </si>
  <si>
    <t>1001-00</t>
  </si>
  <si>
    <t>1134-00</t>
  </si>
  <si>
    <t>1147-00</t>
  </si>
  <si>
    <t>1147-01</t>
  </si>
  <si>
    <t>1204-00</t>
  </si>
  <si>
    <t>1204-01</t>
  </si>
  <si>
    <t>Millennium Business Park II</t>
  </si>
  <si>
    <t>1230-00</t>
  </si>
  <si>
    <t>1230-01</t>
  </si>
  <si>
    <t>1230-02</t>
  </si>
  <si>
    <t>0891-02</t>
  </si>
  <si>
    <t>1144-00</t>
  </si>
  <si>
    <t>1144-01</t>
  </si>
  <si>
    <t>1144-02</t>
  </si>
  <si>
    <t>1185-00</t>
  </si>
  <si>
    <t>1221-00</t>
  </si>
  <si>
    <t>1226-00</t>
  </si>
  <si>
    <t>1226-01</t>
  </si>
  <si>
    <t>1033-00</t>
  </si>
  <si>
    <t>1085-00</t>
  </si>
  <si>
    <t>1085-01</t>
  </si>
  <si>
    <t>1141-00</t>
  </si>
  <si>
    <t>1164-00</t>
  </si>
  <si>
    <t>1169-00</t>
  </si>
  <si>
    <t>1169-01</t>
  </si>
  <si>
    <t>1232-00</t>
  </si>
  <si>
    <t>1235-00</t>
  </si>
  <si>
    <t>8058-00</t>
  </si>
  <si>
    <t>8040-01</t>
  </si>
  <si>
    <t>8059-00</t>
  </si>
  <si>
    <t>8057-00</t>
  </si>
  <si>
    <t>1243-00</t>
  </si>
  <si>
    <t>1220-00</t>
  </si>
  <si>
    <t>1090-00</t>
  </si>
  <si>
    <t>1277-00</t>
  </si>
  <si>
    <t>1277-01</t>
  </si>
  <si>
    <t>1277-02</t>
  </si>
  <si>
    <t>1277-03</t>
  </si>
  <si>
    <t>1277-04</t>
  </si>
  <si>
    <t>1257-00</t>
  </si>
  <si>
    <t>1238-00</t>
  </si>
  <si>
    <t>1240-00</t>
  </si>
  <si>
    <t>1280-00</t>
  </si>
  <si>
    <t>1280-01</t>
  </si>
  <si>
    <t>1280-02</t>
  </si>
  <si>
    <t>1280-03</t>
  </si>
  <si>
    <t>1306-00</t>
  </si>
  <si>
    <t>8072-02</t>
  </si>
  <si>
    <t>1177-00</t>
  </si>
  <si>
    <t>8074-00</t>
  </si>
  <si>
    <t>1227-00</t>
  </si>
  <si>
    <t>8082-00</t>
  </si>
  <si>
    <t>1153-00</t>
  </si>
  <si>
    <t>8070-00</t>
  </si>
  <si>
    <t>1254-00</t>
  </si>
  <si>
    <t>8011-00</t>
  </si>
  <si>
    <t>8011-01</t>
  </si>
  <si>
    <t>8071-00</t>
  </si>
  <si>
    <t>8073-00</t>
  </si>
  <si>
    <t>1267-00</t>
  </si>
  <si>
    <t>8062-00</t>
  </si>
  <si>
    <t>8062-01</t>
  </si>
  <si>
    <t>8078-00</t>
  </si>
  <si>
    <t>1241-00</t>
  </si>
  <si>
    <t>8034-03</t>
  </si>
  <si>
    <t>8079-00</t>
  </si>
  <si>
    <t>1275-00</t>
  </si>
  <si>
    <t>1275-01</t>
  </si>
  <si>
    <t>8061-00</t>
  </si>
  <si>
    <t>8077-00</t>
  </si>
  <si>
    <t>8081-00</t>
  </si>
  <si>
    <t>8081-01</t>
  </si>
  <si>
    <t>1231-00</t>
  </si>
  <si>
    <t>1173-01</t>
  </si>
  <si>
    <t>1229-00</t>
  </si>
  <si>
    <t>1278-00</t>
  </si>
  <si>
    <t>8016-00</t>
  </si>
  <si>
    <t>8035-01</t>
  </si>
  <si>
    <t>8060-02</t>
  </si>
  <si>
    <t>8060-03</t>
  </si>
  <si>
    <t>8065-00</t>
  </si>
  <si>
    <t>8066-00</t>
  </si>
  <si>
    <t>8068-00</t>
  </si>
  <si>
    <t>8069-00</t>
  </si>
  <si>
    <t>8075-00</t>
  </si>
  <si>
    <t>8076-00</t>
  </si>
  <si>
    <t>1239-00</t>
  </si>
  <si>
    <t>8080-00</t>
  </si>
  <si>
    <t>8080-01</t>
  </si>
  <si>
    <t>8063-00</t>
  </si>
  <si>
    <t>8064-00</t>
  </si>
  <si>
    <t>1208-00</t>
  </si>
  <si>
    <t>1236-00</t>
  </si>
  <si>
    <t>1252-00</t>
  </si>
  <si>
    <t>1276-00</t>
  </si>
  <si>
    <t>1276-01</t>
  </si>
  <si>
    <t>1286-00</t>
  </si>
  <si>
    <t>1317-00</t>
  </si>
  <si>
    <t>1255-00</t>
  </si>
  <si>
    <t>1258-00</t>
  </si>
  <si>
    <t>1293-00</t>
  </si>
  <si>
    <t>8067-00</t>
  </si>
  <si>
    <t>8067-02</t>
  </si>
  <si>
    <t>1282-00</t>
  </si>
  <si>
    <t>1303-00</t>
  </si>
  <si>
    <t>1304-00</t>
  </si>
  <si>
    <t>1305-00</t>
  </si>
  <si>
    <t>1248-00</t>
  </si>
  <si>
    <t>1262-00</t>
  </si>
  <si>
    <t>1242-00</t>
  </si>
  <si>
    <t>1288-00</t>
  </si>
  <si>
    <t>1288-01</t>
  </si>
  <si>
    <t>1279-00</t>
  </si>
  <si>
    <t>Fine Arts Discovery Series-Sherman Theatre</t>
  </si>
  <si>
    <t>1279-01</t>
  </si>
  <si>
    <t>Fine Arts Discovery Series-Sherman Theatre II</t>
  </si>
  <si>
    <t>1193-00</t>
  </si>
  <si>
    <t>1265-00</t>
  </si>
  <si>
    <t>1307-00</t>
  </si>
  <si>
    <t>1215-00</t>
  </si>
  <si>
    <t>1215-01</t>
  </si>
  <si>
    <t>1215-02</t>
  </si>
  <si>
    <t>1287-00</t>
  </si>
  <si>
    <t>1294-00</t>
  </si>
  <si>
    <t>1298-00</t>
  </si>
  <si>
    <t>1260-00</t>
  </si>
  <si>
    <t>1260-01</t>
  </si>
  <si>
    <t>Tamaqua Historical Society Museum II</t>
  </si>
  <si>
    <t>1283-00</t>
  </si>
  <si>
    <t>1259-00</t>
  </si>
  <si>
    <t>1176-00</t>
  </si>
  <si>
    <t>1250-00</t>
  </si>
  <si>
    <t>1273-00</t>
  </si>
  <si>
    <t>1292-00</t>
  </si>
  <si>
    <t>1297-00</t>
  </si>
  <si>
    <t>Thomas Jefferson Hospital-Kimmel Cancer Center</t>
  </si>
  <si>
    <t>1302-00</t>
  </si>
  <si>
    <t>1289-00</t>
  </si>
  <si>
    <t>1266-00</t>
  </si>
  <si>
    <t>1300-00</t>
  </si>
  <si>
    <t>1300-01</t>
  </si>
  <si>
    <t>1295-00</t>
  </si>
  <si>
    <t>0305-09</t>
  </si>
  <si>
    <t>Goggleworks Apartments X</t>
  </si>
  <si>
    <t>1311-00</t>
  </si>
  <si>
    <t>1311-01</t>
  </si>
  <si>
    <t>8084-00</t>
  </si>
  <si>
    <t>8084-01</t>
  </si>
  <si>
    <t>0310-01</t>
  </si>
  <si>
    <t>1296-00</t>
  </si>
  <si>
    <t>1256-00</t>
  </si>
  <si>
    <t>1189-00</t>
  </si>
  <si>
    <t>1271-00</t>
  </si>
  <si>
    <t>1263-00</t>
  </si>
  <si>
    <t>8083-00</t>
  </si>
  <si>
    <t>1308-00</t>
  </si>
  <si>
    <t>1183-00</t>
  </si>
  <si>
    <t>1183-01</t>
  </si>
  <si>
    <t>1183-02</t>
  </si>
  <si>
    <t>1285-00</t>
  </si>
  <si>
    <t>8085-00</t>
  </si>
  <si>
    <t>Gettysburg Station  (former Project REDDI)</t>
  </si>
  <si>
    <t>8086-00</t>
  </si>
  <si>
    <t>1206-00</t>
  </si>
  <si>
    <t>1314-00</t>
  </si>
  <si>
    <t>1281-00</t>
  </si>
  <si>
    <t>1142-00</t>
  </si>
  <si>
    <t>1142-01</t>
  </si>
  <si>
    <t>0931-01</t>
  </si>
  <si>
    <t>Westmoreland Cty Comm.College-Former Sony Plant</t>
  </si>
  <si>
    <t>1233-00</t>
  </si>
  <si>
    <t>3000-02</t>
  </si>
  <si>
    <t>Antietam Lake Park</t>
  </si>
  <si>
    <t>1234-00</t>
  </si>
  <si>
    <t>8087-00</t>
  </si>
  <si>
    <t>3890-00</t>
  </si>
  <si>
    <t>Wendell August Forge Manufacturing Facility</t>
  </si>
  <si>
    <t>0656-00</t>
  </si>
  <si>
    <t>1284-00</t>
  </si>
  <si>
    <t>1086-01</t>
  </si>
  <si>
    <t>0996-02</t>
  </si>
  <si>
    <t>Berks Convention Center Hotel III</t>
  </si>
  <si>
    <t>White Haven Recreation Center</t>
  </si>
  <si>
    <t>Air Side</t>
  </si>
  <si>
    <t>0721-08</t>
  </si>
  <si>
    <t>Steel Stax Arts &amp; Education Center</t>
  </si>
  <si>
    <t>0748-03</t>
  </si>
  <si>
    <t>Steamfitters Local 449 Expansion IV</t>
  </si>
  <si>
    <t>1006-03</t>
  </si>
  <si>
    <t>Schenley Place IV</t>
  </si>
  <si>
    <t>3891-00</t>
  </si>
  <si>
    <t>Lower Hill Infrastructure Project</t>
  </si>
  <si>
    <t>3892-00</t>
  </si>
  <si>
    <t>Bakery Square 2.0</t>
  </si>
  <si>
    <t>3893-00</t>
  </si>
  <si>
    <t>The Gardens at Market Square</t>
  </si>
  <si>
    <t>3894-00</t>
  </si>
  <si>
    <t>Calgon Carbon UV Technologies Expansion</t>
  </si>
  <si>
    <t>3895-00</t>
  </si>
  <si>
    <t>Heinz History Center Museum Support</t>
  </si>
  <si>
    <t>3896-00</t>
  </si>
  <si>
    <t>Northpointe Entrance Development</t>
  </si>
  <si>
    <t>3897-00</t>
  </si>
  <si>
    <t>Berks Park 78 Domestic Water Supply System</t>
  </si>
  <si>
    <t>3898-00</t>
  </si>
  <si>
    <t>Guthrie Health Replacement Facility</t>
  </si>
  <si>
    <t>0412-07</t>
  </si>
  <si>
    <t>St. Mary Medical Center Surgical Services</t>
  </si>
  <si>
    <t>3899-00</t>
  </si>
  <si>
    <t>Summit of Cranberry Woods</t>
  </si>
  <si>
    <t>3900-00</t>
  </si>
  <si>
    <t>Centre City Revitalization</t>
  </si>
  <si>
    <t>3901-00</t>
  </si>
  <si>
    <t>JWF Industries - Cramer Pike Project</t>
  </si>
  <si>
    <t>0940-01</t>
  </si>
  <si>
    <t>CPI Transportation Training Center Final Phase</t>
  </si>
  <si>
    <t>3902-00</t>
  </si>
  <si>
    <t>Holy Spirit Electronic Data Center</t>
  </si>
  <si>
    <t>3903-00</t>
  </si>
  <si>
    <t>Redevelopment of the IAC Brownfield Site</t>
  </si>
  <si>
    <t>1153-01</t>
  </si>
  <si>
    <t>Spring Creek Road Improvement Project II</t>
  </si>
  <si>
    <t>3904-00</t>
  </si>
  <si>
    <t>PinnacleHealth Cardiothoracic ICU Expansion</t>
  </si>
  <si>
    <t>1099-01</t>
  </si>
  <si>
    <t>Neumann University Campus Library - Phase 2</t>
  </si>
  <si>
    <t>3905-00</t>
  </si>
  <si>
    <t>Project Clarity - Marcus Hook Splitter Acquisition</t>
  </si>
  <si>
    <t>3906-00</t>
  </si>
  <si>
    <t>Ridley Mixed-Use Development</t>
  </si>
  <si>
    <t>3907-00</t>
  </si>
  <si>
    <t>West Slip Sheet Pile Dock Repair</t>
  </si>
  <si>
    <t>3908-00</t>
  </si>
  <si>
    <t>Dunbar Township Business Park Development</t>
  </si>
  <si>
    <t>3909-00</t>
  </si>
  <si>
    <t>Borough of Chambersburg CNG Refueling Station</t>
  </si>
  <si>
    <t>8088-00</t>
  </si>
  <si>
    <t>3910-00</t>
  </si>
  <si>
    <t>Indiana Economic Development Project Segment C</t>
  </si>
  <si>
    <t>3911-00</t>
  </si>
  <si>
    <t>Punxsutawney FQHC-Anchored Multi-Service Facility</t>
  </si>
  <si>
    <t>0801-01</t>
  </si>
  <si>
    <t>Marywood University Knowledge Commons</t>
  </si>
  <si>
    <t>1195-01</t>
  </si>
  <si>
    <t>Hamilton Crossings II</t>
  </si>
  <si>
    <t>3912-00</t>
  </si>
  <si>
    <t>6th Tower Patient Floor Renovation (Sacred Heart)</t>
  </si>
  <si>
    <t>3913-00</t>
  </si>
  <si>
    <t>Hayden Tower at The Markle Building</t>
  </si>
  <si>
    <t>3932-00</t>
  </si>
  <si>
    <t>Adams County 800 MHz Radio Network</t>
  </si>
  <si>
    <t>3937-00</t>
  </si>
  <si>
    <t>Duquesne U. School of Law Clinical Educ. Bldg.</t>
  </si>
  <si>
    <t>0996-03</t>
  </si>
  <si>
    <t>Berks Convention Center Hotel IV</t>
  </si>
  <si>
    <t>3936-00</t>
  </si>
  <si>
    <t>Ellis Preserve's Building Repositioning Project</t>
  </si>
  <si>
    <t>0898-03</t>
  </si>
  <si>
    <t>Lancaster General Hospital IV</t>
  </si>
  <si>
    <t>Millennium Technology Park</t>
  </si>
  <si>
    <t>New Casa Guadalupe Center</t>
  </si>
  <si>
    <t>1290-00</t>
  </si>
  <si>
    <t>3933-00</t>
  </si>
  <si>
    <t>Williamsport Regional Airport Terminal</t>
  </si>
  <si>
    <t>3914-00</t>
  </si>
  <si>
    <t>Route 611 Corridor Gas Line II</t>
  </si>
  <si>
    <t>3915-00</t>
  </si>
  <si>
    <t>PMC Medical Home</t>
  </si>
  <si>
    <t>3916-00</t>
  </si>
  <si>
    <t>CBK Lodge</t>
  </si>
  <si>
    <t>3917-00</t>
  </si>
  <si>
    <t>Arcadia New Ventures</t>
  </si>
  <si>
    <t>3918-00</t>
  </si>
  <si>
    <t>Lankenau Hospital Pew 4 SW Renovation</t>
  </si>
  <si>
    <t>3919-00</t>
  </si>
  <si>
    <t>Madison Avenue Parking Lot Redevelopment</t>
  </si>
  <si>
    <t>3920-00</t>
  </si>
  <si>
    <t>Geisinger Hospital for Advanced Medicine</t>
  </si>
  <si>
    <t>0812-06</t>
  </si>
  <si>
    <t>Majestic Bethlehem Center-Commerce Center  VII</t>
  </si>
  <si>
    <t>3921-00</t>
  </si>
  <si>
    <t>Lehigh Valley Charter HS for the Performing Arts</t>
  </si>
  <si>
    <t>0274-05</t>
  </si>
  <si>
    <t>Philadelphia Museum of Art VI - Art Handling Fac.</t>
  </si>
  <si>
    <t>0387-00</t>
  </si>
  <si>
    <t>0626-04</t>
  </si>
  <si>
    <t>3737 Market Street</t>
  </si>
  <si>
    <t>0799-06</t>
  </si>
  <si>
    <t>HFC's Zoo &amp; Faris Family Education Center</t>
  </si>
  <si>
    <t>1253-02</t>
  </si>
  <si>
    <t>Gallery at Market East - Phase II</t>
  </si>
  <si>
    <t>3922-00</t>
  </si>
  <si>
    <t>Philadelphia Energy Solutions Catalytic Cracker</t>
  </si>
  <si>
    <t>3923-00</t>
  </si>
  <si>
    <t>Central Green Project</t>
  </si>
  <si>
    <t>3924-00</t>
  </si>
  <si>
    <t>Ambulatory Care Center and Parking Garage</t>
  </si>
  <si>
    <t>3925-00</t>
  </si>
  <si>
    <t>McNeil Science and Technology Center - Phase II</t>
  </si>
  <si>
    <t>3926-00</t>
  </si>
  <si>
    <t>PCOM Clinical Learning and Assessment Center</t>
  </si>
  <si>
    <t>3927-00</t>
  </si>
  <si>
    <t>Center for Culinary Enterprises</t>
  </si>
  <si>
    <t>3934-00</t>
  </si>
  <si>
    <t>Project H.O.M.E Wellness Center</t>
  </si>
  <si>
    <t>3935-00</t>
  </si>
  <si>
    <t>North Philadelphia Regional Transit Center</t>
  </si>
  <si>
    <t>1226-02</t>
  </si>
  <si>
    <t>St. Luke's Miners Surgical Center</t>
  </si>
  <si>
    <t>3928-00</t>
  </si>
  <si>
    <t>Myersdale Medical Office</t>
  </si>
  <si>
    <t>3929-00</t>
  </si>
  <si>
    <t>Starpointe Business Park Phase 1-B Infrastructure</t>
  </si>
  <si>
    <t>1300-02</t>
  </si>
  <si>
    <t>Western PA Operating Engineers III</t>
  </si>
  <si>
    <t>3930-00</t>
  </si>
  <si>
    <t>City of Latrobe Parking Garage Rehab</t>
  </si>
  <si>
    <t>3931-00</t>
  </si>
  <si>
    <t>Westmoreland County Airpark - Phase II</t>
  </si>
  <si>
    <t xml:space="preserve">Redevelopment Assistance Capital Program </t>
  </si>
  <si>
    <t>Grant Releases 1986-Current</t>
  </si>
  <si>
    <t>County Level Summary</t>
  </si>
  <si>
    <t>Data as of March 11, 2013</t>
  </si>
  <si>
    <t>RELEASE AMOUNT</t>
  </si>
  <si>
    <t>RELEASE DATE</t>
  </si>
  <si>
    <t>PAYMENTS</t>
  </si>
  <si>
    <t>BALANCE</t>
  </si>
  <si>
    <t>Project Level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</si>
</sst>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8" x14ac:knownFonts="1">
    <font>
      <sz val="10"/>
      <name val="Tahoma"/>
    </font>
    <font>
      <sz val="10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7">
    <xf numFmtId="0" fontId="0" fillId="0" borderId="0" xfId="0"/>
    <xf numFmtId="43" fontId="0" fillId="0" borderId="0" xfId="1" applyFont="1"/>
    <xf numFmtId="43" fontId="2" fillId="0" borderId="0" xfId="1" applyFon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43" fontId="4" fillId="0" borderId="0" xfId="1" applyFont="1"/>
    <xf numFmtId="0" fontId="2" fillId="0" borderId="0" xfId="0" applyFont="1" applyFill="1"/>
    <xf numFmtId="0" fontId="0" fillId="0" borderId="0" xfId="0" applyFill="1"/>
    <xf numFmtId="0" fontId="4" fillId="0" borderId="0" xfId="2"/>
    <xf numFmtId="3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0" xfId="0" applyAlignment="1">
      <alignment vertical="center" wrapText="1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vertical="center" wrapText="1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0" fontId="0" fillId="0" borderId="0" xfId="0" pivotButton="1" applyAlignment="1" applyProtection="1">
      <alignment vertical="center" wrapText="1"/>
      <protection locked="0"/>
    </xf>
    <xf numFmtId="0" fontId="5" fillId="0" borderId="0" xfId="2" applyFont="1" applyAlignment="1"/>
    <xf numFmtId="0" fontId="6" fillId="0" borderId="0" xfId="2" applyFont="1" applyAlignment="1"/>
    <xf numFmtId="43" fontId="6" fillId="0" borderId="0" xfId="1" applyFont="1" applyAlignment="1"/>
    <xf numFmtId="0" fontId="7" fillId="0" borderId="0" xfId="2" applyFont="1"/>
    <xf numFmtId="0" fontId="7" fillId="0" borderId="0" xfId="0" applyFont="1"/>
    <xf numFmtId="0" fontId="5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43" fontId="3" fillId="0" borderId="0" xfId="1" applyFont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10">
    <dxf>
      <protection locked="0"/>
    </dxf>
    <dxf>
      <alignment vertical="center" readingOrder="0"/>
    </dxf>
    <dxf>
      <alignment wrapText="1" readingOrder="0"/>
    </dxf>
    <dxf>
      <numFmt numFmtId="165" formatCode="&quot;$&quot;#,##0"/>
    </dxf>
    <dxf>
      <numFmt numFmtId="3" formatCode="#,##0"/>
    </dxf>
    <dxf>
      <border>
        <vertical style="thin">
          <color theme="0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  <border>
        <vertical style="thin">
          <color theme="0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0"/>
        </vertical>
        <horizontal style="thin">
          <color auto="1"/>
        </horizontal>
      </border>
    </dxf>
  </dxfs>
  <tableStyles count="2" defaultTableStyle="TableStyleMedium9" defaultPivotStyle="PivotStyleLight16">
    <tableStyle name="PivotTable Style 1" table="0" count="3">
      <tableStyleElement type="wholeTable" dxfId="9"/>
      <tableStyleElement type="headerRow" dxfId="8"/>
      <tableStyleElement type="totalRow" dxfId="7"/>
    </tableStyle>
    <tableStyle name="PivotTable Style 2" table="0" count="2">
      <tableStyleElement type="wholeTable" dxfId="6"/>
      <tableStyleElement type="totalRow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harbeson" refreshedDate="41344.622773842595" createdVersion="1" refreshedVersion="3" recordCount="2290" upgradeOnRefresh="1">
  <cacheSource type="worksheet">
    <worksheetSource ref="A6:H2296" sheet="Project Level Data"/>
  </cacheSource>
  <cacheFields count="9">
    <cacheField name="ME #" numFmtId="0">
      <sharedItems/>
    </cacheField>
    <cacheField name="PROJECT" numFmtId="0">
      <sharedItems/>
    </cacheField>
    <cacheField name="RELEASE_AMOUNT" numFmtId="0">
      <sharedItems containsSemiMixedTypes="0" containsString="0" containsNumber="1" containsInteger="1" minValue="0" maxValue="185000000"/>
    </cacheField>
    <cacheField name="COUNTY" numFmtId="0">
      <sharedItems containsBlank="1" count="77">
        <m/>
        <s v="Adams"/>
        <s v="Allegheny"/>
        <s v="Armstrong"/>
        <s v="Beaver"/>
        <s v="Bedford"/>
        <s v="Berks"/>
        <s v="Blair"/>
        <s v="Bradford"/>
        <s v="Bucks"/>
        <s v="Butler"/>
        <s v="Cambria"/>
        <s v="Cameron"/>
        <s v="Carbon"/>
        <s v="Centre"/>
        <s v="Chester"/>
        <s v="Clarion"/>
        <s v="Clearfield"/>
        <s v="Clinton"/>
        <s v="Columbia"/>
        <s v="Crawford"/>
        <s v="Cumberland"/>
        <s v="Dauphin"/>
        <s v="Delaware"/>
        <s v="Elk"/>
        <s v="Erie"/>
        <s v="Fayette"/>
        <s v="Forest"/>
        <s v="Franklin"/>
        <s v="Fulton"/>
        <s v="Greene"/>
        <s v="Huntingdon"/>
        <s v="Indiana"/>
        <s v="Jefferson"/>
        <s v="Juniata"/>
        <s v="Lackawanna"/>
        <s v="Lancaster"/>
        <s v="Lawrence"/>
        <s v="Lebanon"/>
        <s v="Lehigh"/>
        <s v="Luzerne"/>
        <s v="Lycoming"/>
        <s v="McKean"/>
        <s v="Mercer"/>
        <s v="Mifflin"/>
        <s v="Monroe"/>
        <s v="Montgomery"/>
        <s v="Montour"/>
        <s v="Northampton"/>
        <s v="Northumberland"/>
        <s v="Perry"/>
        <s v="Philadelphia"/>
        <s v="Pike"/>
        <s v="Potter"/>
        <s v="Schuylkill"/>
        <s v="Snyder"/>
        <s v="Somerset"/>
        <s v="Sullivan"/>
        <s v="Susquehanna"/>
        <s v="Tioga"/>
        <s v="Union"/>
        <s v="Venango"/>
        <s v="Warren"/>
        <s v="Washington"/>
        <s v="Wayne"/>
        <s v="Westmoreland"/>
        <s v="Wyoming"/>
        <s v="York"/>
        <s v="Lehgih" u="1"/>
        <s v="Warran" u="1"/>
        <s v="Phildealphia" u="1"/>
        <s v="Bethlehem" u="1"/>
        <s v="Phildelphia" u="1"/>
        <s v="Luzerne County" u="1"/>
        <s v="Huntington" u="1"/>
        <s v="Wyoming/Lacka" u="1"/>
        <s v="Delawre" u="1"/>
      </sharedItems>
    </cacheField>
    <cacheField name="AUTHORIZATION" numFmtId="0">
      <sharedItems containsBlank="1"/>
    </cacheField>
    <cacheField name="RELEASE_DATE" numFmtId="0">
      <sharedItems containsNonDate="0" containsDate="1" containsString="0" containsBlank="1" minDate="1993-07-01T00:00:00" maxDate="2013-02-12T00:00:00"/>
    </cacheField>
    <cacheField name="'PAYMENTS'" numFmtId="0">
      <sharedItems containsSemiMixedTypes="0" containsString="0" containsNumber="1" minValue="0" maxValue="185000000"/>
    </cacheField>
    <cacheField name="'BALANCE'" numFmtId="0">
      <sharedItems containsSemiMixedTypes="0" containsString="0" containsNumber="1" minValue="-893463" maxValue="30000000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90">
  <r>
    <s v="9994-00"/>
    <s v="RACP Admin-Gov 2004"/>
    <n v="5280000"/>
    <x v="0"/>
    <m/>
    <m/>
    <n v="0"/>
    <n v="5280000"/>
  </r>
  <r>
    <s v="9994-01"/>
    <s v="RACP Admin-Gov 2005"/>
    <n v="4080000"/>
    <x v="0"/>
    <m/>
    <m/>
    <n v="0"/>
    <n v="4080000"/>
  </r>
  <r>
    <s v="9994-02"/>
    <s v="RACP Admin-Gov 2008"/>
    <n v="4800000"/>
    <x v="0"/>
    <m/>
    <m/>
    <n v="0"/>
    <n v="4800000"/>
  </r>
  <r>
    <s v="9994-03"/>
    <s v="RACP Admin-Gov 2010"/>
    <n v="3200000"/>
    <x v="0"/>
    <m/>
    <m/>
    <n v="0"/>
    <n v="3200000"/>
  </r>
  <r>
    <s v="9995-00"/>
    <s v="RACP Admin-SR 2004"/>
    <n v="600000"/>
    <x v="0"/>
    <m/>
    <m/>
    <n v="0"/>
    <n v="600000"/>
  </r>
  <r>
    <s v="9995-01"/>
    <s v="RACP Admin-SR 2005"/>
    <n v="480000"/>
    <x v="0"/>
    <m/>
    <m/>
    <n v="0"/>
    <n v="480000"/>
  </r>
  <r>
    <s v="9995-02"/>
    <s v="RACP Admin-SR 2008"/>
    <n v="1200000"/>
    <x v="0"/>
    <m/>
    <m/>
    <n v="0"/>
    <n v="1200000"/>
  </r>
  <r>
    <s v="9995-03"/>
    <s v="RACP Admin-SR 2010"/>
    <n v="900000"/>
    <x v="0"/>
    <m/>
    <m/>
    <n v="0"/>
    <n v="900000"/>
  </r>
  <r>
    <s v="9996-00"/>
    <s v="RACP Admin-SD 2004"/>
    <n v="600000"/>
    <x v="0"/>
    <m/>
    <m/>
    <n v="0"/>
    <n v="600000"/>
  </r>
  <r>
    <s v="9996-01"/>
    <s v="RACP Admin-SD 2005"/>
    <n v="480000"/>
    <x v="0"/>
    <m/>
    <m/>
    <n v="0"/>
    <n v="480000"/>
  </r>
  <r>
    <s v="9996-02"/>
    <s v="RACP Admin-SD 2008"/>
    <n v="1200000"/>
    <x v="0"/>
    <m/>
    <m/>
    <n v="0"/>
    <n v="1200000"/>
  </r>
  <r>
    <s v="9996-03"/>
    <s v="RACP Admin-SD 2010"/>
    <n v="900000"/>
    <x v="0"/>
    <m/>
    <m/>
    <n v="0"/>
    <n v="900000"/>
  </r>
  <r>
    <s v="9997-00"/>
    <s v="RACP Admin-HR 2004"/>
    <n v="600000"/>
    <x v="0"/>
    <m/>
    <m/>
    <n v="0"/>
    <n v="600000"/>
  </r>
  <r>
    <s v="9997-01"/>
    <s v="RACP Admin-HR 2005"/>
    <n v="480000"/>
    <x v="0"/>
    <m/>
    <m/>
    <n v="0"/>
    <n v="480000"/>
  </r>
  <r>
    <s v="9997-02"/>
    <s v="RACP Admin-HR 2008"/>
    <n v="1200000"/>
    <x v="0"/>
    <m/>
    <m/>
    <n v="0"/>
    <n v="1200000"/>
  </r>
  <r>
    <s v="9997-03"/>
    <s v="RACP Admin-HR 2010"/>
    <n v="900000"/>
    <x v="0"/>
    <m/>
    <m/>
    <n v="0"/>
    <n v="900000"/>
  </r>
  <r>
    <s v="9998-00"/>
    <s v="RACP Admin-HD 2004"/>
    <n v="600000"/>
    <x v="0"/>
    <m/>
    <m/>
    <n v="0"/>
    <n v="600000"/>
  </r>
  <r>
    <s v="9998-01"/>
    <s v="RACP Admin-HD 2005"/>
    <n v="480000"/>
    <x v="0"/>
    <m/>
    <m/>
    <n v="0"/>
    <n v="480000"/>
  </r>
  <r>
    <s v="9998-02"/>
    <s v="RACP Admin-HD 2008"/>
    <n v="1200000"/>
    <x v="0"/>
    <m/>
    <m/>
    <n v="0"/>
    <n v="1200000"/>
  </r>
  <r>
    <s v="9998-03"/>
    <s v="RACP Admin-HD 2010"/>
    <n v="900000"/>
    <x v="0"/>
    <m/>
    <m/>
    <n v="0"/>
    <n v="900000"/>
  </r>
  <r>
    <s v="0149-00"/>
    <s v="Gettysburg Historic Pathways"/>
    <n v="3000000"/>
    <x v="1"/>
    <s v="Act 1997- 47"/>
    <d v="1999-12-13T00:00:00"/>
    <n v="3000000"/>
    <n v="0"/>
  </r>
  <r>
    <s v="0281-00"/>
    <s v="Gettysburg Majestic Theatre"/>
    <n v="2500000"/>
    <x v="1"/>
    <s v="Act 1999-035"/>
    <d v="2002-08-29T00:00:00"/>
    <n v="2500000"/>
    <n v="0"/>
  </r>
  <r>
    <s v="0281-01"/>
    <s v="Gettysburg Majestic Theatre II"/>
    <n v="6000000"/>
    <x v="1"/>
    <s v="Act 1999-035"/>
    <d v="2004-08-17T00:00:00"/>
    <n v="6000000"/>
    <n v="0"/>
  </r>
  <r>
    <s v="0285-00"/>
    <s v="Gettysburg National Battlefield Museum"/>
    <n v="10000000"/>
    <x v="1"/>
    <s v="Act 2002-131"/>
    <d v="2002-12-19T00:00:00"/>
    <n v="10000000"/>
    <n v="0"/>
  </r>
  <r>
    <s v="0285-01"/>
    <s v="Gettysburg National Battlefield Museum II"/>
    <n v="10000000"/>
    <x v="1"/>
    <s v="Act 2004-040"/>
    <d v="2004-08-17T00:00:00"/>
    <n v="10000000"/>
    <n v="0"/>
  </r>
  <r>
    <s v="0740-00"/>
    <s v="Gettysburg Station  (former Project REDDI)"/>
    <n v="1000000"/>
    <x v="1"/>
    <s v="Act 2004-040"/>
    <d v="2006-04-25T00:00:00"/>
    <n v="0"/>
    <n v="1000000"/>
  </r>
  <r>
    <s v="0978-00"/>
    <s v="Schmucker Hall -Lutheran Theological Seminary"/>
    <n v="2000000"/>
    <x v="1"/>
    <s v="Act 2008-041"/>
    <d v="2010-05-27T00:00:00"/>
    <n v="2000000"/>
    <n v="0"/>
  </r>
  <r>
    <s v="0978-01"/>
    <s v="Schmucker Hall-Lutheran Theological Seminary II"/>
    <n v="2000000"/>
    <x v="1"/>
    <s v="Act 2008-041"/>
    <d v="2010-05-27T00:00:00"/>
    <n v="740443"/>
    <n v="1259557"/>
  </r>
  <r>
    <s v="0979-00"/>
    <s v="Adams County Commerce Park"/>
    <n v="500000"/>
    <x v="1"/>
    <s v="Act 2008-041"/>
    <d v="2010-05-27T00:00:00"/>
    <n v="0"/>
    <n v="500000"/>
  </r>
  <r>
    <s v="1257-00"/>
    <s v="Hamiltonban Township Education Campus"/>
    <n v="500000"/>
    <x v="1"/>
    <s v="Act 2010-082"/>
    <d v="2011-01-03T00:00:00"/>
    <n v="356345"/>
    <n v="143655"/>
  </r>
  <r>
    <s v="3270-00"/>
    <s v="Southeastern Adams Volunteer Emergency Services"/>
    <n v="0"/>
    <x v="1"/>
    <s v="Act 2008-041"/>
    <d v="2008-11-20T00:00:00"/>
    <n v="0"/>
    <n v="0"/>
  </r>
  <r>
    <s v="3932-00"/>
    <s v="Adams County 800 MHz Radio Network"/>
    <n v="3250000"/>
    <x v="1"/>
    <s v="Act 2010-082"/>
    <d v="2013-02-11T00:00:00"/>
    <n v="0"/>
    <n v="3250000"/>
  </r>
  <r>
    <s v="0000-02"/>
    <s v="Keystone Commons (DCA)"/>
    <n v="3870000"/>
    <x v="2"/>
    <s v="Act 1988-113"/>
    <m/>
    <n v="3870000"/>
    <n v="0"/>
  </r>
  <r>
    <s v="0000-08"/>
    <s v="Carnegie Mellon University (DCA)"/>
    <n v="895051"/>
    <x v="2"/>
    <s v="Act 1986-118"/>
    <m/>
    <n v="895051"/>
    <n v="0"/>
  </r>
  <r>
    <s v="0000-09"/>
    <s v="Herr's Island (DCA)"/>
    <n v="3000000"/>
    <x v="2"/>
    <s v="Act 1988-113"/>
    <m/>
    <n v="3000000"/>
    <n v="0"/>
  </r>
  <r>
    <s v="0000-10"/>
    <s v="Wilkinsburg (DCA)"/>
    <n v="550000"/>
    <x v="2"/>
    <s v="Act 1986-118"/>
    <m/>
    <n v="550000"/>
    <n v="0"/>
  </r>
  <r>
    <s v="0000-11"/>
    <s v="McKeesport (DCA)"/>
    <n v="2600000"/>
    <x v="2"/>
    <s v="Act 1986-118"/>
    <m/>
    <n v="2600000"/>
    <n v="0"/>
  </r>
  <r>
    <s v="0000-12"/>
    <s v="J&amp;L Technology Center (A) (DCA)"/>
    <n v="7600432"/>
    <x v="2"/>
    <s v="Act 1986-118"/>
    <m/>
    <n v="7600432"/>
    <n v="0"/>
  </r>
  <r>
    <s v="0000-13"/>
    <s v="Three Rivers Stadium (DCA)"/>
    <n v="1600000"/>
    <x v="2"/>
    <s v="Act 1988-113"/>
    <m/>
    <n v="1600000"/>
    <n v="0"/>
  </r>
  <r>
    <s v="0000-14"/>
    <s v="McKeesport USX (DCA)"/>
    <n v="4000000"/>
    <x v="2"/>
    <s v="Act 1988-113"/>
    <m/>
    <n v="4000000"/>
    <n v="0"/>
  </r>
  <r>
    <s v="0000-15"/>
    <s v="Duquesne USX (DCA)"/>
    <n v="3000000"/>
    <x v="2"/>
    <s v="Act 1988-113"/>
    <m/>
    <n v="3000000"/>
    <n v="0"/>
  </r>
  <r>
    <s v="0000-16"/>
    <s v="J&amp;L Technology Center (B) (DCA)"/>
    <n v="699568"/>
    <x v="2"/>
    <s v="Act 1986-118"/>
    <m/>
    <n v="699568"/>
    <n v="0"/>
  </r>
  <r>
    <s v="0000-17"/>
    <s v="Pitts. Technology Center (DCA)"/>
    <n v="16107144"/>
    <x v="2"/>
    <s v="Act 1986-118"/>
    <m/>
    <n v="16107144"/>
    <n v="0"/>
  </r>
  <r>
    <s v="0000-18"/>
    <s v="Munhall Access Ramp (DCA)"/>
    <n v="2000000"/>
    <x v="2"/>
    <s v="Act 1988-113"/>
    <m/>
    <n v="2000000"/>
    <n v="0"/>
  </r>
  <r>
    <s v="0000-19"/>
    <s v="Buhl Science Center (DCA)"/>
    <n v="13800000"/>
    <x v="2"/>
    <s v="Act 1986-118"/>
    <m/>
    <n v="13800000"/>
    <n v="0"/>
  </r>
  <r>
    <s v="0000-20"/>
    <s v="Midfield Terminal (DCA)"/>
    <n v="85000000"/>
    <x v="2"/>
    <s v="Act 1986-118"/>
    <m/>
    <n v="85000000"/>
    <n v="0"/>
  </r>
  <r>
    <s v="0001-00"/>
    <s v="Andy Warhol Museum"/>
    <n v="6000000"/>
    <x v="2"/>
    <s v="Act 1992-188"/>
    <d v="1993-07-01T00:00:00"/>
    <n v="6000000"/>
    <n v="0"/>
  </r>
  <r>
    <s v="0012-00"/>
    <s v="Pittsburgh Regional History Center"/>
    <n v="7000000"/>
    <x v="2"/>
    <s v="Act 1992-188"/>
    <d v="1993-07-01T00:00:00"/>
    <n v="7000000"/>
    <n v="0"/>
  </r>
  <r>
    <s v="0022-00"/>
    <s v="Downtown Library Center - Pittsburgh"/>
    <n v="1000000"/>
    <x v="2"/>
    <s v="Act 1992-188"/>
    <d v="1993-07-01T00:00:00"/>
    <n v="999999.99999999988"/>
    <n v="0"/>
  </r>
  <r>
    <s v="0029-00"/>
    <s v="Keystone Commons"/>
    <n v="2100000"/>
    <x v="2"/>
    <s v="Act 1992-188"/>
    <d v="1993-07-01T00:00:00"/>
    <n v="2100000"/>
    <n v="0"/>
  </r>
  <r>
    <s v="0031-00"/>
    <s v="Industrial Center of McKeesport(Duquesne)"/>
    <n v="1463700"/>
    <x v="2"/>
    <s v="Act 1992-188"/>
    <d v="1993-07-01T00:00:00"/>
    <n v="1463227.55"/>
    <n v="472.45"/>
  </r>
  <r>
    <s v="0032-00"/>
    <s v="City Center of Duquesne"/>
    <n v="2021300"/>
    <x v="2"/>
    <s v="Act 1992-188"/>
    <d v="1993-07-01T00:00:00"/>
    <n v="1920232.0000000002"/>
    <n v="101068"/>
  </r>
  <r>
    <s v="0033-00"/>
    <s v="Federal/North"/>
    <n v="3000000"/>
    <x v="2"/>
    <s v="Act 1992-188"/>
    <d v="1993-07-01T00:00:00"/>
    <n v="3000000"/>
    <n v="0"/>
  </r>
  <r>
    <s v="0048-00"/>
    <s v="Cultural District Development Phase II"/>
    <n v="17750000"/>
    <x v="2"/>
    <s v="Act 1992-188"/>
    <d v="1993-07-01T00:00:00"/>
    <n v="17749910.189999998"/>
    <n v="89.81"/>
  </r>
  <r>
    <s v="0048-01"/>
    <s v="Cultural District Development Phase II - Byham"/>
    <n v="3500000"/>
    <x v="2"/>
    <s v="Act 1997- 47"/>
    <d v="1998-07-28T00:00:00"/>
    <n v="3485362.36"/>
    <n v="14637.64"/>
  </r>
  <r>
    <s v="0048-02"/>
    <s v="Allegheny Riverfront Park"/>
    <n v="1373505"/>
    <x v="2"/>
    <s v="Act 1997- 47"/>
    <d v="1998-07-28T00:00:00"/>
    <n v="1339545"/>
    <n v="33960"/>
  </r>
  <r>
    <s v="0053-00"/>
    <s v="NASA Robotics Consortium"/>
    <n v="6500000"/>
    <x v="2"/>
    <s v="Act 1994- 74"/>
    <d v="1993-07-01T00:00:00"/>
    <n v="6500000"/>
    <n v="0"/>
  </r>
  <r>
    <s v="0054-00"/>
    <s v="McKees Point"/>
    <n v="1800000"/>
    <x v="2"/>
    <s v="Act 1993- 47"/>
    <d v="1993-07-01T00:00:00"/>
    <n v="1800000"/>
    <n v="0"/>
  </r>
  <r>
    <s v="0057-00"/>
    <s v="Heinz Hall - Pitts"/>
    <n v="2500000"/>
    <x v="2"/>
    <s v="Act 1988-113"/>
    <d v="1993-07-01T00:00:00"/>
    <n v="2500000"/>
    <n v="0"/>
  </r>
  <r>
    <s v="0058-00"/>
    <s v="Steel Industry Heritage Center - Homestead"/>
    <n v="2000000"/>
    <x v="2"/>
    <s v="Act 1993- 47"/>
    <d v="1995-07-25T00:00:00"/>
    <n v="2000000"/>
    <n v="0"/>
  </r>
  <r>
    <s v="0061-00"/>
    <s v="Three Rivers Stadium I"/>
    <n v="9112222"/>
    <x v="2"/>
    <s v="Act 1988-113"/>
    <d v="1993-07-01T00:00:00"/>
    <n v="9112222"/>
    <n v="0"/>
  </r>
  <r>
    <s v="0064-00"/>
    <s v="Duquesne U. Envir Ed Center"/>
    <n v="2000000"/>
    <x v="2"/>
    <s v="Act 1994-136"/>
    <d v="1993-07-01T00:00:00"/>
    <n v="2000000"/>
    <n v="0"/>
  </r>
  <r>
    <s v="0065-00"/>
    <s v="Seamless Pipe Mill"/>
    <n v="1500000"/>
    <x v="2"/>
    <s v="Act 1996-101"/>
    <d v="1997-07-01T00:00:00"/>
    <n v="1500000"/>
    <n v="0"/>
  </r>
  <r>
    <s v="0066-00"/>
    <s v="Pittsburgh Technology Center - LTV Southside"/>
    <n v="2500000"/>
    <x v="2"/>
    <s v="Act 1986-118"/>
    <d v="1997-08-01T00:00:00"/>
    <n v="2500000"/>
    <n v="0"/>
  </r>
  <r>
    <s v="0068-00"/>
    <s v="Pittsburgh Airport Cleanup"/>
    <n v="1000000"/>
    <x v="2"/>
    <s v="Act 1996-101"/>
    <d v="1997-02-15T00:00:00"/>
    <n v="1000000"/>
    <n v="0"/>
  </r>
  <r>
    <s v="0069-00"/>
    <s v="Three Rivers Stadium II"/>
    <n v="4387778"/>
    <x v="2"/>
    <s v="Act 1988-113"/>
    <d v="1993-07-01T00:00:00"/>
    <n v="4387778"/>
    <n v="0"/>
  </r>
  <r>
    <s v="0077-00"/>
    <s v="Seamless Pipe Mill II"/>
    <n v="2500000"/>
    <x v="2"/>
    <s v="Act 1997- 47"/>
    <d v="1998-06-12T00:00:00"/>
    <n v="2500000.0000000005"/>
    <n v="0"/>
  </r>
  <r>
    <s v="0085-00"/>
    <s v="Waterfront - Homestead Redevelopment Site"/>
    <n v="4500000"/>
    <x v="2"/>
    <s v="Act 1997- 47"/>
    <d v="1998-06-12T00:00:00"/>
    <n v="4500000"/>
    <n v="0"/>
  </r>
  <r>
    <s v="0085-01"/>
    <s v="Waterfront - Steel Valley Redevelopment"/>
    <n v="1800000"/>
    <x v="2"/>
    <s v="Act 1997- 47"/>
    <d v="1998-06-12T00:00:00"/>
    <n v="1797388.28"/>
    <n v="2611.7199999999998"/>
  </r>
  <r>
    <s v="0086-00"/>
    <s v="PNC Park - Acquisition and Site Improvements"/>
    <n v="7000000"/>
    <x v="2"/>
    <s v="Act 1997- 47"/>
    <d v="1998-12-16T00:00:00"/>
    <n v="7000000"/>
    <n v="0"/>
  </r>
  <r>
    <s v="0088-00"/>
    <s v="Greater Pittsburgh YWCA"/>
    <n v="1300000"/>
    <x v="2"/>
    <s v="Act 1997- 47"/>
    <d v="1998-07-21T00:00:00"/>
    <n v="1300000"/>
    <n v="0"/>
  </r>
  <r>
    <s v="0089-00"/>
    <s v="Storehouse-Duquesne"/>
    <n v="500000"/>
    <x v="2"/>
    <s v="Act 1997- 47"/>
    <d v="1998-06-12T00:00:00"/>
    <n v="500000"/>
    <n v="0"/>
  </r>
  <r>
    <s v="0091-00"/>
    <s v="Pittsburgh Baseball Stadium"/>
    <n v="75000000"/>
    <x v="2"/>
    <s v="Act 1997- 47"/>
    <d v="1999-03-22T00:00:00"/>
    <n v="75000000"/>
    <n v="0"/>
  </r>
  <r>
    <s v="0092-00"/>
    <s v="Pittsburgh Football Stadium"/>
    <n v="75000000"/>
    <x v="2"/>
    <s v="Act 1997- 47"/>
    <d v="1999-03-22T00:00:00"/>
    <n v="75000000"/>
    <n v="0"/>
  </r>
  <r>
    <s v="0097-00"/>
    <s v="Fifth and Forbes Downtown"/>
    <n v="0"/>
    <x v="2"/>
    <s v="Act 1997- 47"/>
    <d v="1998-07-28T00:00:00"/>
    <n v="0"/>
    <n v="0"/>
  </r>
  <r>
    <s v="0099-00"/>
    <s v="Greater Pittsburgh Food Bank"/>
    <n v="1200000"/>
    <x v="2"/>
    <s v="Act 1997- 47"/>
    <d v="1999-07-29T00:00:00"/>
    <n v="1200000"/>
    <n v="0"/>
  </r>
  <r>
    <s v="0104-00"/>
    <s v="Alcoa Building Conversion"/>
    <n v="3000000"/>
    <x v="2"/>
    <s v="Act 1997- 47"/>
    <d v="1998-06-12T00:00:00"/>
    <n v="3000000.0000000005"/>
    <n v="0"/>
  </r>
  <r>
    <s v="0106-00"/>
    <s v="Nine Mile Run"/>
    <n v="3500000"/>
    <x v="2"/>
    <s v="Act 1997- 47"/>
    <d v="2000-07-01T00:00:00"/>
    <n v="3500000"/>
    <n v="0"/>
  </r>
  <r>
    <s v="0106-01"/>
    <s v="Nine Mile Run II"/>
    <n v="4000000"/>
    <x v="2"/>
    <s v="Act 1997- 47"/>
    <d v="2000-10-19T00:00:00"/>
    <n v="4000000"/>
    <n v="0"/>
  </r>
  <r>
    <s v="0106-02"/>
    <s v="Nine Mile Run III"/>
    <n v="5000000"/>
    <x v="2"/>
    <s v="Act 2002-131"/>
    <d v="2004-08-19T00:00:00"/>
    <n v="5000000"/>
    <n v="0"/>
  </r>
  <r>
    <s v="0106-03"/>
    <s v="Nine Mile Run IV"/>
    <n v="5000000"/>
    <x v="2"/>
    <s v="Act 2002-131"/>
    <d v="2006-05-15T00:00:00"/>
    <n v="5000000"/>
    <n v="0"/>
  </r>
  <r>
    <s v="0113-00"/>
    <s v="Pittsburgh Ballet"/>
    <n v="1300000"/>
    <x v="2"/>
    <s v="Act 1997- 47"/>
    <d v="1999-10-07T00:00:00"/>
    <n v="1300000"/>
    <n v="0"/>
  </r>
  <r>
    <s v="0137-00"/>
    <s v="Rockpointe Business Airpark"/>
    <n v="2000000"/>
    <x v="2"/>
    <s v="Act 1999-035"/>
    <d v="2000-10-19T00:00:00"/>
    <n v="1506576"/>
    <n v="493424"/>
  </r>
  <r>
    <s v="0142-00"/>
    <s v="North Shore Riverfront Park"/>
    <n v="10000000"/>
    <x v="2"/>
    <s v="Act 1999-035"/>
    <d v="2001-02-13T00:00:00"/>
    <n v="10000000"/>
    <n v="0"/>
  </r>
  <r>
    <s v="0152-00"/>
    <s v="Cultural District Service Center"/>
    <n v="5000000"/>
    <x v="2"/>
    <s v="Act 1999-035"/>
    <d v="2001-01-16T00:00:00"/>
    <n v="5000000"/>
    <n v="0"/>
  </r>
  <r>
    <s v="0170-00"/>
    <s v="Soldiers and Sailors Memorial"/>
    <n v="3000000"/>
    <x v="2"/>
    <s v="Act 1997- 47"/>
    <d v="2001-02-22T00:00:00"/>
    <n v="2953169"/>
    <n v="46831"/>
  </r>
  <r>
    <s v="0187-00"/>
    <s v="Panther Hollow"/>
    <n v="5000000"/>
    <x v="2"/>
    <s v="Act 2000-027"/>
    <d v="2001-10-12T00:00:00"/>
    <n v="5000000"/>
    <n v="0"/>
  </r>
  <r>
    <s v="0189-00"/>
    <s v="Steel Valley Revitalization(Homestead Streetscape)"/>
    <n v="5000000"/>
    <x v="2"/>
    <s v="Act 2000-027"/>
    <d v="2001-10-05T00:00:00"/>
    <n v="1944407.82"/>
    <n v="3055592.18"/>
  </r>
  <r>
    <s v="0214-00"/>
    <s v="Heinz History Center"/>
    <n v="9000000"/>
    <x v="2"/>
    <s v="Act 2002-131"/>
    <d v="2002-11-21T00:00:00"/>
    <n v="9000000"/>
    <n v="0"/>
  </r>
  <r>
    <s v="0220-00"/>
    <s v="Pittsburgh Children's Museum"/>
    <n v="8000000"/>
    <x v="2"/>
    <s v="Act 1999-035"/>
    <d v="2002-11-21T00:00:00"/>
    <n v="7999999.9999999991"/>
    <n v="0"/>
  </r>
  <r>
    <s v="0220-01"/>
    <s v="Pittsburgh Children's Museum II"/>
    <n v="1000000"/>
    <x v="2"/>
    <s v="Act 1999-035"/>
    <d v="2004-10-26T00:00:00"/>
    <n v="1000000.0000000001"/>
    <n v="0"/>
  </r>
  <r>
    <s v="0227-00"/>
    <s v="Phipps Conservatory"/>
    <n v="5125000"/>
    <x v="2"/>
    <s v="Act 1999-035"/>
    <d v="2002-11-21T00:00:00"/>
    <n v="5125000"/>
    <n v="0"/>
  </r>
  <r>
    <s v="0227-01"/>
    <s v="Phipps Conservatory II"/>
    <n v="500000"/>
    <x v="2"/>
    <s v="Act 2004-040"/>
    <d v="2006-09-14T00:00:00"/>
    <n v="500000"/>
    <n v="0"/>
  </r>
  <r>
    <s v="0227-02"/>
    <s v="Phipps Conservatory III"/>
    <n v="250000"/>
    <x v="2"/>
    <s v="Act 2004-040"/>
    <d v="2007-02-09T00:00:00"/>
    <n v="250000"/>
    <n v="0"/>
  </r>
  <r>
    <s v="0227-03"/>
    <s v="Phipps Conservatory IV"/>
    <n v="250000"/>
    <x v="2"/>
    <s v="Act 2004-040"/>
    <d v="2007-02-09T00:00:00"/>
    <n v="250000"/>
    <n v="0"/>
  </r>
  <r>
    <s v="0232-00"/>
    <s v="Carnegie-Dinosaur Hall"/>
    <n v="15000000"/>
    <x v="2"/>
    <s v="Act 2002-131"/>
    <d v="2002-11-21T00:00:00"/>
    <n v="15000000"/>
    <n v="0"/>
  </r>
  <r>
    <s v="0241-00"/>
    <s v="WQED"/>
    <n v="1000000"/>
    <x v="2"/>
    <s v="Act 2000-027"/>
    <d v="2003-04-09T00:00:00"/>
    <n v="1000000"/>
    <n v="0"/>
  </r>
  <r>
    <s v="0241-01"/>
    <s v="WQED II"/>
    <n v="2000000"/>
    <x v="2"/>
    <s v="Act 2004-040"/>
    <d v="2006-04-27T00:00:00"/>
    <n v="2000000"/>
    <n v="0"/>
  </r>
  <r>
    <s v="0277-00"/>
    <s v="Point Park College/Firstside"/>
    <n v="1500000"/>
    <x v="2"/>
    <s v="Act 2000-027"/>
    <d v="2002-11-21T00:00:00"/>
    <n v="1500000"/>
    <n v="0"/>
  </r>
  <r>
    <s v="0303-00"/>
    <s v="Leetsdale Industrial Park"/>
    <n v="3300000"/>
    <x v="2"/>
    <s v="Act 2004-040"/>
    <d v="2004-08-19T00:00:00"/>
    <n v="3300000"/>
    <n v="0"/>
  </r>
  <r>
    <s v="0313-00"/>
    <s v="Schenley Plaza"/>
    <n v="5000000"/>
    <x v="2"/>
    <s v="Act 2002-131"/>
    <d v="2004-04-19T00:00:00"/>
    <n v="5000000.0000000009"/>
    <n v="0"/>
  </r>
  <r>
    <s v="0323-00"/>
    <s v="North Shore Parking Garage"/>
    <n v="5000000"/>
    <x v="2"/>
    <s v="Act 2004-040"/>
    <d v="2004-12-13T00:00:00"/>
    <n v="5000000"/>
    <n v="0"/>
  </r>
  <r>
    <s v="0324-00"/>
    <s v="Carnegie Library"/>
    <n v="750000"/>
    <x v="2"/>
    <s v="Act 2004-040"/>
    <d v="2004-08-19T00:00:00"/>
    <n v="750000"/>
    <n v="0"/>
  </r>
  <r>
    <s v="0324-01"/>
    <s v="Carnegie Library-Carnegie"/>
    <n v="500000"/>
    <x v="2"/>
    <s v="Act 2004-040"/>
    <d v="2008-11-20T00:00:00"/>
    <n v="500000"/>
    <n v="0"/>
  </r>
  <r>
    <s v="0338-00"/>
    <s v="Clinton Industrial Park (Phase I) Development"/>
    <n v="7500000"/>
    <x v="2"/>
    <s v="Act 2004-040"/>
    <d v="2004-08-19T00:00:00"/>
    <n v="7500000"/>
    <n v="0"/>
  </r>
  <r>
    <s v="0339-00"/>
    <s v="Cherrington Road Business Park"/>
    <n v="2000000"/>
    <x v="2"/>
    <s v="Act 2004-040"/>
    <d v="2004-08-19T00:00:00"/>
    <n v="2000000"/>
    <n v="0"/>
  </r>
  <r>
    <s v="0341-00"/>
    <s v="Route 30 Industrial Park"/>
    <n v="4000000"/>
    <x v="2"/>
    <s v="Act 2004-040"/>
    <d v="2004-08-19T00:00:00"/>
    <n v="0"/>
    <n v="4000000"/>
  </r>
  <r>
    <s v="0348-00"/>
    <s v="City Center of Duquesne-2005"/>
    <n v="3000000"/>
    <x v="2"/>
    <s v="Act 2002-131"/>
    <d v="2004-08-19T00:00:00"/>
    <n v="3000000"/>
    <n v="0"/>
  </r>
  <r>
    <s v="0348-01"/>
    <s v="Duquesne City Center Access"/>
    <n v="5000000"/>
    <x v="2"/>
    <s v="Act 2004-040"/>
    <d v="2010-11-05T00:00:00"/>
    <n v="739878"/>
    <n v="4260122"/>
  </r>
  <r>
    <s v="0349-00"/>
    <s v="Industrial Center of McKeesport"/>
    <n v="1500000"/>
    <x v="2"/>
    <s v="Act 2004-040"/>
    <d v="2004-08-19T00:00:00"/>
    <n v="1500000"/>
    <n v="0"/>
  </r>
  <r>
    <s v="0349-01"/>
    <s v="McKeesport Industrial Center"/>
    <n v="5000000"/>
    <x v="2"/>
    <s v="Act 2010-082"/>
    <d v="2010-11-05T00:00:00"/>
    <n v="403565"/>
    <n v="4596435"/>
  </r>
  <r>
    <s v="0354-00"/>
    <s v="Station Square Pedestrian Bridge"/>
    <n v="941554"/>
    <x v="2"/>
    <s v="Act 2002-131"/>
    <d v="2004-08-19T00:00:00"/>
    <n v="941554"/>
    <n v="0"/>
  </r>
  <r>
    <s v="0359-00"/>
    <s v="South Side Works Parking Garages"/>
    <n v="3000000"/>
    <x v="2"/>
    <s v="Act 2004-040"/>
    <d v="2004-08-19T00:00:00"/>
    <n v="3000000"/>
    <n v="0"/>
  </r>
  <r>
    <s v="0376-00"/>
    <s v="Firth Sterling Redevelopment"/>
    <n v="2000000"/>
    <x v="2"/>
    <s v="Act 2004-040"/>
    <d v="2004-08-19T00:00:00"/>
    <n v="883419.86"/>
    <n v="1116580.1399999999"/>
  </r>
  <r>
    <s v="0378-00"/>
    <s v="Cochrandale KOZ Site- Site  Improvements"/>
    <n v="3700000"/>
    <x v="2"/>
    <s v="Act 2004-040"/>
    <d v="2004-08-19T00:00:00"/>
    <n v="0"/>
    <n v="3700000"/>
  </r>
  <r>
    <s v="0379-00"/>
    <s v="Carrie Furnace Site Redevelopment"/>
    <n v="6000000"/>
    <x v="2"/>
    <s v="Act 2004-040"/>
    <d v="2004-08-19T00:00:00"/>
    <n v="4005393"/>
    <n v="1994607"/>
  </r>
  <r>
    <s v="0379-01"/>
    <s v="Carrie Furnace Site Redevelopment II"/>
    <n v="250000"/>
    <x v="2"/>
    <s v="Act 2004-040"/>
    <d v="2006-07-18T00:00:00"/>
    <n v="0"/>
    <n v="250000"/>
  </r>
  <r>
    <s v="0379-02"/>
    <s v="Carrie Furnace-Hot Metal Bridge"/>
    <n v="5000000"/>
    <x v="2"/>
    <s v="Act 2004-040"/>
    <d v="2010-08-30T00:00:00"/>
    <n v="0"/>
    <n v="5000000"/>
  </r>
  <r>
    <s v="0398-00"/>
    <s v="Regional Learning Alliance"/>
    <n v="2000000"/>
    <x v="2"/>
    <s v="Act 2002-131"/>
    <d v="2005-03-09T00:00:00"/>
    <n v="2000000"/>
    <n v="0"/>
  </r>
  <r>
    <s v="0401-00"/>
    <s v="Junction Hollow Phase II"/>
    <n v="5000000"/>
    <x v="2"/>
    <s v="Act 2004-040"/>
    <d v="2004-08-19T00:00:00"/>
    <n v="5000000"/>
    <n v="0"/>
  </r>
  <r>
    <s v="0401-01"/>
    <s v="CMU Nanotechnology Building"/>
    <n v="4000000"/>
    <x v="2"/>
    <s v="Act 2006-083"/>
    <d v="2006-09-25T00:00:00"/>
    <n v="4000000"/>
    <n v="0"/>
  </r>
  <r>
    <s v="0410-00"/>
    <s v="Forbes Regional Hospital-Monroeville"/>
    <n v="2000000"/>
    <x v="2"/>
    <s v="Act 2002- 40"/>
    <d v="2005-01-26T00:00:00"/>
    <n v="1950000"/>
    <n v="50000"/>
  </r>
  <r>
    <s v="0410-01"/>
    <s v="Forbes Regional Hospital-Monroeville II"/>
    <n v="1000000"/>
    <x v="2"/>
    <s v="Act 2006-083"/>
    <d v="2006-09-14T00:00:00"/>
    <n v="613389"/>
    <n v="386611"/>
  </r>
  <r>
    <s v="0410-02"/>
    <s v="Forbes Regional Hospital-Monroeville III"/>
    <n v="1000000"/>
    <x v="2"/>
    <s v="Act 2006-083"/>
    <d v="2008-01-08T00:00:00"/>
    <n v="0"/>
    <n v="1000000"/>
  </r>
  <r>
    <s v="0420-00"/>
    <s v="CHILDREN'S HOSPITAL OF PITTSBURGH              "/>
    <n v="10000000"/>
    <x v="2"/>
    <s v="Act 2004-040"/>
    <d v="2004-08-19T00:00:00"/>
    <n v="10000000"/>
    <n v="0"/>
  </r>
  <r>
    <s v="0420-01"/>
    <s v="Children's Hospital of Pittsburgh II"/>
    <n v="500000"/>
    <x v="2"/>
    <s v="Act 2008-041"/>
    <d v="2010-05-27T00:00:00"/>
    <n v="500000"/>
    <n v="0"/>
  </r>
  <r>
    <s v="0435-00"/>
    <s v="Penn Hills Library"/>
    <n v="700000"/>
    <x v="2"/>
    <s v="Act 2002-131"/>
    <d v="2004-10-04T00:00:00"/>
    <n v="700000"/>
    <n v="0"/>
  </r>
  <r>
    <s v="0438-00"/>
    <s v="Greater Pittsburgh YMCA"/>
    <n v="2500000"/>
    <x v="2"/>
    <s v="Act 2004-040"/>
    <d v="2006-04-06T00:00:00"/>
    <n v="2500000"/>
    <n v="0"/>
  </r>
  <r>
    <s v="0443-00"/>
    <s v="Children's Home of Pittsburgh"/>
    <n v="4000000"/>
    <x v="2"/>
    <s v="Act 2004-040"/>
    <d v="2006-02-09T00:00:00"/>
    <n v="4000000"/>
    <n v="0"/>
  </r>
  <r>
    <s v="0443-01"/>
    <s v="Children's Home of Pittsburgh II"/>
    <n v="500000"/>
    <x v="2"/>
    <s v="Act 2004-040"/>
    <d v="2006-08-15T00:00:00"/>
    <n v="500000"/>
    <n v="0"/>
  </r>
  <r>
    <s v="0443-02"/>
    <s v="Children's Home of Pittsburgh III"/>
    <n v="500000"/>
    <x v="2"/>
    <s v="Act 2006-040"/>
    <d v="2006-12-11T00:00:00"/>
    <n v="500000"/>
    <n v="0"/>
  </r>
  <r>
    <s v="0443-03"/>
    <s v="Children's Home of Pittsburgh IV"/>
    <n v="500000"/>
    <x v="2"/>
    <s v="Act 2004-040"/>
    <d v="2007-09-04T00:00:00"/>
    <n v="500000"/>
    <n v="0"/>
  </r>
  <r>
    <s v="0445-00"/>
    <s v="Hazlett Theatre"/>
    <n v="1000000"/>
    <x v="2"/>
    <s v="Act 2004-040"/>
    <d v="2005-04-08T00:00:00"/>
    <n v="1000000"/>
    <n v="0"/>
  </r>
  <r>
    <s v="0451-00"/>
    <s v="New Arena Site Acquisition &amp; Demolition"/>
    <n v="9200000"/>
    <x v="2"/>
    <s v="Act 2002-131"/>
    <d v="2006-10-13T00:00:00"/>
    <n v="9200000"/>
    <n v="0"/>
  </r>
  <r>
    <s v="0451-01"/>
    <s v="New Arena Site Acquisition and Demolition II"/>
    <n v="10500000"/>
    <x v="2"/>
    <s v="Act 2002-131"/>
    <d v="2007-04-02T00:00:00"/>
    <n v="10500000"/>
    <n v="0"/>
  </r>
  <r>
    <s v="0451-02"/>
    <s v="New Arena Site Demolition and Site Prep-PWSA"/>
    <n v="100000"/>
    <x v="2"/>
    <s v="Act 2008-041"/>
    <d v="2010-02-08T00:00:00"/>
    <n v="100000"/>
    <n v="0"/>
  </r>
  <r>
    <s v="0451-03"/>
    <s v="New Arena Site Prep III"/>
    <n v="10000000"/>
    <x v="2"/>
    <s v="Act 2002-131"/>
    <d v="2010-02-17T00:00:00"/>
    <n v="10000000"/>
    <n v="0"/>
  </r>
  <r>
    <s v="0456-00"/>
    <s v="Lawrenceville Revitalization"/>
    <n v="1400000"/>
    <x v="2"/>
    <s v="Act 2004-040"/>
    <d v="2005-05-20T00:00:00"/>
    <n v="1400000"/>
    <n v="0"/>
  </r>
  <r>
    <s v="0456-01"/>
    <s v="Lawrenceville Revitalization"/>
    <n v="420000"/>
    <x v="2"/>
    <s v="Act 2004-040"/>
    <d v="2009-04-27T00:00:00"/>
    <n v="420000"/>
    <n v="0"/>
  </r>
  <r>
    <s v="0470-00"/>
    <s v="South Shore Riverfront Park"/>
    <n v="500000"/>
    <x v="2"/>
    <s v="Act 2004-040"/>
    <d v="2005-11-21T00:00:00"/>
    <n v="500000"/>
    <n v="0"/>
  </r>
  <r>
    <s v="0470-01"/>
    <s v="South Shore Riverfront Park"/>
    <n v="500000"/>
    <x v="2"/>
    <s v="Act 2004-040"/>
    <d v="2005-12-13T00:00:00"/>
    <n v="500000"/>
    <n v="0"/>
  </r>
  <r>
    <s v="0470-02"/>
    <s v="South Shore Riverfront Park III"/>
    <n v="1500000"/>
    <x v="2"/>
    <s v="Act 2006-083"/>
    <d v="2006-09-25T00:00:00"/>
    <n v="1437500"/>
    <n v="62500"/>
  </r>
  <r>
    <s v="0476-00"/>
    <s v="Magee Womens Research Institute &amp; Foundation"/>
    <n v="500000"/>
    <x v="2"/>
    <s v="Act 2002-131"/>
    <d v="2006-04-06T00:00:00"/>
    <n v="500000"/>
    <n v="0"/>
  </r>
  <r>
    <s v="0476-01"/>
    <s v="Magee Womens Research Institute II"/>
    <n v="500000"/>
    <x v="2"/>
    <s v="Act 2002-131"/>
    <d v="2006-04-06T00:00:00"/>
    <n v="500000"/>
    <n v="0"/>
  </r>
  <r>
    <s v="0476-02"/>
    <s v="Magee Womens Research Institute III"/>
    <n v="500000"/>
    <x v="2"/>
    <s v="Act 2002-131"/>
    <d v="2006-04-27T00:00:00"/>
    <n v="500000"/>
    <n v="0"/>
  </r>
  <r>
    <s v="0476-03"/>
    <s v="Magee Women's Researh Institute IV"/>
    <n v="3000000"/>
    <x v="2"/>
    <s v="Act 2002-131"/>
    <d v="2006-07-19T00:00:00"/>
    <n v="3000000"/>
    <n v="0"/>
  </r>
  <r>
    <s v="0476-04"/>
    <s v="Magee Womens Research Institute V"/>
    <n v="500000"/>
    <x v="2"/>
    <s v="Act 2002-131"/>
    <d v="2006-09-25T00:00:00"/>
    <n v="500000"/>
    <n v="0"/>
  </r>
  <r>
    <s v="0490-00"/>
    <s v="Junior Achievment"/>
    <n v="1000000"/>
    <x v="2"/>
    <s v="Act 2004-040"/>
    <d v="2005-11-21T00:00:00"/>
    <n v="0"/>
    <n v="1000000"/>
  </r>
  <r>
    <s v="0490-01"/>
    <s v="Junior Achievement II"/>
    <n v="250000"/>
    <x v="2"/>
    <s v="Act 2004-040"/>
    <d v="2006-03-14T00:00:00"/>
    <n v="0"/>
    <n v="250000"/>
  </r>
  <r>
    <s v="0490-02"/>
    <s v="Junior Achievement III"/>
    <n v="250000"/>
    <x v="2"/>
    <s v="Act 2004-040"/>
    <d v="2006-03-15T00:00:00"/>
    <n v="0"/>
    <n v="250000"/>
  </r>
  <r>
    <s v="0494-00"/>
    <s v="African American Cultural Center/August Wilson"/>
    <n v="5000000"/>
    <x v="2"/>
    <s v="Act 2000-027"/>
    <d v="2006-03-15T00:00:00"/>
    <n v="5000000"/>
    <n v="0"/>
  </r>
  <r>
    <s v="0494-01"/>
    <s v="African American Cultural Center"/>
    <n v="1000000"/>
    <x v="2"/>
    <s v="Act 2000-027"/>
    <d v="2006-03-15T00:00:00"/>
    <n v="1000000"/>
    <n v="0"/>
  </r>
  <r>
    <s v="0494-02"/>
    <s v="African American Cultural Center"/>
    <n v="500000"/>
    <x v="2"/>
    <s v="Act 2000-027"/>
    <d v="2006-03-15T00:00:00"/>
    <n v="500000"/>
    <n v="0"/>
  </r>
  <r>
    <s v="0494-03"/>
    <s v="African American Cultural Center/August Wilson IV"/>
    <n v="500000"/>
    <x v="2"/>
    <s v="Act 2006-083"/>
    <d v="2008-09-11T00:00:00"/>
    <n v="500000"/>
    <n v="0"/>
  </r>
  <r>
    <s v="0494-04"/>
    <s v="August Wilson African American Cultural Center V"/>
    <n v="600000"/>
    <x v="2"/>
    <s v="Act 2006-083"/>
    <d v="2008-12-11T00:00:00"/>
    <n v="600000"/>
    <n v="0"/>
  </r>
  <r>
    <s v="0494-05"/>
    <s v="August Wilson Center VI"/>
    <n v="350000"/>
    <x v="2"/>
    <s v="Act 2006-083"/>
    <d v="2009-02-12T00:00:00"/>
    <n v="350000"/>
    <n v="0"/>
  </r>
  <r>
    <s v="0494-06"/>
    <s v="August Wilson Center VII"/>
    <n v="1500000"/>
    <x v="2"/>
    <s v="Act 2006-083"/>
    <d v="2009-03-18T00:00:00"/>
    <n v="1500000"/>
    <n v="0"/>
  </r>
  <r>
    <s v="0498-00"/>
    <s v="Family Resources Retreat Center"/>
    <n v="400000"/>
    <x v="2"/>
    <s v="Act 2004-040"/>
    <d v="2005-12-02T00:00:00"/>
    <n v="400000"/>
    <n v="0"/>
  </r>
  <r>
    <s v="0502-00"/>
    <s v="Piatt Place"/>
    <n v="2000000"/>
    <x v="2"/>
    <s v="Act 2002-131"/>
    <d v="2006-02-09T00:00:00"/>
    <n v="2000000"/>
    <n v="0"/>
  </r>
  <r>
    <s v="0510-00"/>
    <s v="West Penn Hospital School of Nursing"/>
    <n v="350000"/>
    <x v="2"/>
    <s v="Act 2004-040"/>
    <d v="2005-05-20T00:00:00"/>
    <n v="350000"/>
    <n v="0"/>
  </r>
  <r>
    <s v="0521-00"/>
    <s v="Carnegie Library-Hill District"/>
    <n v="250000"/>
    <x v="2"/>
    <s v="Act 2004-040"/>
    <d v="2005-05-20T00:00:00"/>
    <n v="250000"/>
    <n v="0"/>
  </r>
  <r>
    <s v="0521-01"/>
    <s v="Carnegie Library of Pittsburgh-Infrastructure"/>
    <n v="7500000"/>
    <x v="2"/>
    <s v="Act 2002-131"/>
    <d v="2006-06-06T00:00:00"/>
    <n v="7500000"/>
    <n v="0"/>
  </r>
  <r>
    <s v="0521-02"/>
    <s v="Carnegie Library-East Liberty"/>
    <n v="500000"/>
    <x v="2"/>
    <s v="Act 2006-083"/>
    <d v="2009-05-28T00:00:00"/>
    <n v="103008"/>
    <n v="396992"/>
  </r>
  <r>
    <s v="0521-03"/>
    <s v="Carnegie Library-East Liberty II"/>
    <n v="250000"/>
    <x v="2"/>
    <s v="Act 2006-083"/>
    <d v="2010-02-08T00:00:00"/>
    <n v="0"/>
    <n v="250000"/>
  </r>
  <r>
    <s v="0522-00"/>
    <s v="P&amp;LE McKees Rocks Brownfield Site"/>
    <n v="0"/>
    <x v="2"/>
    <s v="Act 2004-040"/>
    <d v="2006-04-25T00:00:00"/>
    <n v="0"/>
    <n v="0"/>
  </r>
  <r>
    <s v="0530-00"/>
    <s v="Horticultural Society of Western PA"/>
    <n v="5000000"/>
    <x v="2"/>
    <s v="Act 2002-131"/>
    <d v="2006-05-15T00:00:00"/>
    <n v="0"/>
    <n v="5000000"/>
  </r>
  <r>
    <s v="0532-00"/>
    <s v="Strip District Streetscape"/>
    <n v="500000"/>
    <x v="2"/>
    <s v="Act 2006-083"/>
    <d v="2006-08-17T00:00:00"/>
    <n v="500000"/>
    <n v="0"/>
  </r>
  <r>
    <s v="0533-00"/>
    <s v="Armstrong Cork Lofts Parking Facility"/>
    <n v="750000"/>
    <x v="2"/>
    <s v="Act 2006-083"/>
    <d v="2006-12-11T00:00:00"/>
    <n v="750000"/>
    <n v="0"/>
  </r>
  <r>
    <s v="0545-00"/>
    <s v="Tarentum Senior Life Center"/>
    <n v="500000"/>
    <x v="2"/>
    <s v="Act 2006-083"/>
    <d v="2006-12-11T00:00:00"/>
    <n v="500000"/>
    <n v="0"/>
  </r>
  <r>
    <s v="0549-00"/>
    <s v="North Field Development"/>
    <n v="7000000"/>
    <x v="2"/>
    <s v="Act 2006-083"/>
    <d v="2006-09-25T00:00:00"/>
    <n v="7000000"/>
    <n v="0"/>
  </r>
  <r>
    <s v="0552-00"/>
    <s v="Alle-Kiski Hospital Renovation"/>
    <n v="2000000"/>
    <x v="2"/>
    <s v="Act 2006-083"/>
    <d v="2006-10-30T00:00:00"/>
    <n v="2000000"/>
    <n v="0"/>
  </r>
  <r>
    <s v="0552-01"/>
    <s v="Alle-Kiski Hospital Renovation II"/>
    <n v="500000"/>
    <x v="2"/>
    <s v="Act 2006-083"/>
    <d v="2006-10-30T00:00:00"/>
    <n v="500000"/>
    <n v="0"/>
  </r>
  <r>
    <s v="0559-00"/>
    <s v="Allegheny County Airport Revit-Voyager Jet Center"/>
    <n v="350000"/>
    <x v="2"/>
    <s v="Act 2006-083"/>
    <d v="2006-12-11T00:00:00"/>
    <n v="350000"/>
    <n v="0"/>
  </r>
  <r>
    <s v="0567-00"/>
    <s v="Steel City Rowing Boathouse"/>
    <n v="500000"/>
    <x v="2"/>
    <s v="Act 2006-083"/>
    <d v="2007-02-09T00:00:00"/>
    <n v="500000"/>
    <n v="0"/>
  </r>
  <r>
    <s v="0573-00"/>
    <s v="Grandview Avenue Renovation Project"/>
    <n v="400000"/>
    <x v="2"/>
    <s v="Act 2006-083"/>
    <d v="2006-12-11T00:00:00"/>
    <n v="0"/>
    <n v="400000"/>
  </r>
  <r>
    <s v="0577-00"/>
    <s v="Nichol Avenue-Stowe Township Brownfield"/>
    <n v="500000"/>
    <x v="2"/>
    <s v="Act 2006-152"/>
    <d v="2007-02-05T00:00:00"/>
    <n v="0"/>
    <n v="500000"/>
  </r>
  <r>
    <s v="0584-00"/>
    <s v="Pittsburgh Technology Center-Two Parking Garages"/>
    <n v="4000000"/>
    <x v="2"/>
    <s v="Act 2006-083"/>
    <d v="2006-09-25T00:00:00"/>
    <n v="4000000"/>
    <n v="0"/>
  </r>
  <r>
    <s v="0584-01"/>
    <s v="Pittsburgh Technology Center Parking Garages II"/>
    <n v="1400000"/>
    <x v="2"/>
    <s v="Act 2006-083"/>
    <d v="2007-02-09T00:00:00"/>
    <n v="1400000"/>
    <n v="0"/>
  </r>
  <r>
    <s v="0585-00"/>
    <s v="Children's Institute"/>
    <n v="2000000"/>
    <x v="2"/>
    <s v="Act 2006-083"/>
    <d v="2006-09-14T00:00:00"/>
    <n v="2000000"/>
    <n v="0"/>
  </r>
  <r>
    <s v="0585-01"/>
    <s v="Children's Institute II"/>
    <n v="750000"/>
    <x v="2"/>
    <s v="Act 2006-083"/>
    <d v="2006-09-25T00:00:00"/>
    <n v="750000"/>
    <n v="0"/>
  </r>
  <r>
    <s v="0585-03"/>
    <s v="Children's Institute III"/>
    <n v="250000"/>
    <x v="2"/>
    <s v="Act 2006-083"/>
    <d v="2007-02-05T00:00:00"/>
    <n v="250000"/>
    <n v="0"/>
  </r>
  <r>
    <s v="0585-04"/>
    <s v="Children's Institute IV"/>
    <n v="250000"/>
    <x v="2"/>
    <s v="Act 2006-083"/>
    <d v="2007-02-05T00:00:00"/>
    <n v="250000"/>
    <n v="0"/>
  </r>
  <r>
    <s v="0585-05"/>
    <s v="Children's Institute V"/>
    <n v="500000"/>
    <x v="2"/>
    <s v="Act 2006-083"/>
    <d v="2007-11-28T00:00:00"/>
    <n v="500000"/>
    <n v="0"/>
  </r>
  <r>
    <s v="0586-00"/>
    <s v="Hillman Cancer Center"/>
    <n v="0"/>
    <x v="2"/>
    <s v="Act 2006-083"/>
    <d v="2006-12-18T00:00:00"/>
    <n v="0"/>
    <n v="0"/>
  </r>
  <r>
    <s v="0587-00"/>
    <s v="St. Clair Hospital ER"/>
    <n v="500000"/>
    <x v="2"/>
    <s v="Act 2006-083"/>
    <d v="2007-03-29T00:00:00"/>
    <n v="500000"/>
    <n v="0"/>
  </r>
  <r>
    <s v="0587-01"/>
    <s v="St. Clair Hospital ER II"/>
    <n v="2500000"/>
    <x v="2"/>
    <s v="Act 2006-083"/>
    <d v="2009-03-26T00:00:00"/>
    <n v="2500000"/>
    <n v="0"/>
  </r>
  <r>
    <s v="0588-00"/>
    <s v="Woodlands Foundation Inc."/>
    <n v="400000"/>
    <x v="2"/>
    <s v="Act 2006-083"/>
    <d v="2006-12-11T00:00:00"/>
    <n v="400000"/>
    <n v="0"/>
  </r>
  <r>
    <s v="0593-00"/>
    <s v="Auberle Home For At Risk Youth"/>
    <n v="400000"/>
    <x v="2"/>
    <s v="Act 2006-083"/>
    <d v="2007-03-29T00:00:00"/>
    <n v="400000"/>
    <n v="0"/>
  </r>
  <r>
    <s v="0597-00"/>
    <s v="Jewish Community Center-Pittsburgh"/>
    <n v="500000"/>
    <x v="2"/>
    <s v="Act 2006-083"/>
    <d v="2006-07-14T00:00:00"/>
    <n v="500000"/>
    <n v="0"/>
  </r>
  <r>
    <s v="0597-01"/>
    <s v="Jewish Community Center-Pittsburgh II"/>
    <n v="500000"/>
    <x v="2"/>
    <s v="Act 2006-083"/>
    <d v="2006-09-14T00:00:00"/>
    <n v="500000"/>
    <n v="0"/>
  </r>
  <r>
    <s v="0598-00"/>
    <s v="Jefferson Hills Former Westinghouse Site"/>
    <n v="500000"/>
    <x v="2"/>
    <s v="Act 2002-131"/>
    <d v="2007-03-27T00:00:00"/>
    <n v="500000"/>
    <n v="0"/>
  </r>
  <r>
    <s v="0599-00"/>
    <s v="UPMC Braddock"/>
    <n v="3000000"/>
    <x v="2"/>
    <s v="Act 2006-083"/>
    <d v="2007-08-27T00:00:00"/>
    <n v="0"/>
    <n v="3000000"/>
  </r>
  <r>
    <s v="0611-00"/>
    <s v="Pittsburgh Cultural Trust-Eighth Street Project"/>
    <n v="0"/>
    <x v="2"/>
    <s v="Act 2006-083"/>
    <d v="2007-07-14T00:00:00"/>
    <n v="0"/>
    <n v="0"/>
  </r>
  <r>
    <s v="0624-00"/>
    <s v="Fifth and Forbes 2006- Three PNC Plaza"/>
    <n v="16000000"/>
    <x v="2"/>
    <s v="Act 1994- 74"/>
    <d v="2006-02-09T00:00:00"/>
    <n v="16000000"/>
    <n v="0"/>
  </r>
  <r>
    <s v="0625-00"/>
    <s v="Fifth and Forbes-Market Square Place-GC-M"/>
    <n v="600000"/>
    <x v="2"/>
    <s v="Act 2006-083"/>
    <d v="2007-06-12T00:00:00"/>
    <n v="600000"/>
    <n v="0"/>
  </r>
  <r>
    <s v="0625-01"/>
    <s v="Fifth and Forbes-Market Square Place II"/>
    <n v="5000000"/>
    <x v="2"/>
    <s v="Act 2006-083"/>
    <d v="2008-09-16T00:00:00"/>
    <n v="5000000"/>
    <n v="0"/>
  </r>
  <r>
    <s v="0633-00"/>
    <s v="Homestead City Hall"/>
    <n v="500000"/>
    <x v="2"/>
    <s v="Act 2004-040"/>
    <d v="2007-02-05T00:00:00"/>
    <n v="0"/>
    <n v="500000"/>
  </r>
  <r>
    <s v="0638-00"/>
    <s v="New Granada Theatre"/>
    <n v="500000"/>
    <x v="2"/>
    <s v="Act 1992-188"/>
    <d v="2008-04-28T00:00:00"/>
    <n v="500000"/>
    <n v="0"/>
  </r>
  <r>
    <s v="0645-00"/>
    <s v="Bakery Square Project"/>
    <n v="4000000"/>
    <x v="2"/>
    <s v="Act 2008-041"/>
    <d v="2008-08-28T00:00:00"/>
    <n v="4000000"/>
    <n v="0"/>
  </r>
  <r>
    <s v="0659-00"/>
    <s v="National Aviary"/>
    <n v="625000"/>
    <x v="2"/>
    <s v="Act 2002-131"/>
    <d v="2006-04-27T00:00:00"/>
    <n v="625000"/>
    <n v="0"/>
  </r>
  <r>
    <s v="0659-01"/>
    <s v="National Aviary II"/>
    <n v="500000"/>
    <x v="2"/>
    <s v="Act 2002-131"/>
    <d v="2006-06-05T00:00:00"/>
    <n v="500000"/>
    <n v="0"/>
  </r>
  <r>
    <s v="0659-02"/>
    <s v="National Aviary III"/>
    <n v="250000"/>
    <x v="2"/>
    <s v="Act 2008-041"/>
    <d v="2008-12-11T00:00:00"/>
    <n v="250000"/>
    <n v="0"/>
  </r>
  <r>
    <s v="0659-03"/>
    <s v="National Aviary IV"/>
    <n v="250000"/>
    <x v="2"/>
    <s v="Act 2008-041"/>
    <d v="2008-12-11T00:00:00"/>
    <n v="250000"/>
    <n v="0"/>
  </r>
  <r>
    <s v="0659-04"/>
    <s v="National Aviary V"/>
    <n v="1000000"/>
    <x v="2"/>
    <s v="Act 2008-041"/>
    <d v="2009-08-31T00:00:00"/>
    <n v="1000000"/>
    <n v="0"/>
  </r>
  <r>
    <s v="0661-00"/>
    <s v="Pittsburgh Zoo"/>
    <n v="625000"/>
    <x v="2"/>
    <s v="Act 2006-083"/>
    <d v="2006-07-14T00:00:00"/>
    <n v="625000"/>
    <n v="0"/>
  </r>
  <r>
    <s v="0661-01"/>
    <s v="Pittsburgh Zoo II"/>
    <n v="250000"/>
    <x v="2"/>
    <s v="Act 2006-083"/>
    <d v="2007-03-29T00:00:00"/>
    <n v="250000"/>
    <n v="0"/>
  </r>
  <r>
    <s v="0661-02"/>
    <s v="Pittsburgh Zoo III"/>
    <n v="250000"/>
    <x v="2"/>
    <s v="Act 2006-083"/>
    <d v="2008-12-11T00:00:00"/>
    <n v="250000"/>
    <n v="0"/>
  </r>
  <r>
    <s v="0661-03"/>
    <s v="Pittsburgh Zoo IV"/>
    <n v="125000"/>
    <x v="2"/>
    <s v="Act 2006-083"/>
    <d v="2008-12-11T00:00:00"/>
    <n v="125000"/>
    <n v="0"/>
  </r>
  <r>
    <s v="0661-04"/>
    <s v="Pittsburgh Zoo V"/>
    <n v="500000"/>
    <x v="2"/>
    <s v="Act 2006-083"/>
    <d v="2010-05-27T00:00:00"/>
    <n v="500000"/>
    <n v="0"/>
  </r>
  <r>
    <s v="0661-05"/>
    <s v="Pittsburgh Zoo VI"/>
    <n v="250000"/>
    <x v="2"/>
    <s v="Act 2006-083"/>
    <d v="2010-05-27T00:00:00"/>
    <n v="250000"/>
    <n v="0"/>
  </r>
  <r>
    <s v="0661-06"/>
    <s v="Pittsburgh Zoo VII-Animal Health Center"/>
    <n v="275000"/>
    <x v="2"/>
    <s v="Act 2006-083"/>
    <d v="2010-12-03T00:00:00"/>
    <n v="218125"/>
    <n v="56875"/>
  </r>
  <r>
    <s v="0667-00"/>
    <s v="Historic Homestead Bakery Redevelopment"/>
    <n v="500000"/>
    <x v="2"/>
    <s v="Act 2002-131"/>
    <d v="2007-10-25T00:00:00"/>
    <n v="0"/>
    <n v="500000"/>
  </r>
  <r>
    <s v="0667-01"/>
    <s v="Historic Homestead Bakery II"/>
    <n v="250000"/>
    <x v="2"/>
    <s v="Act 2008-041"/>
    <d v="2010-08-11T00:00:00"/>
    <n v="0"/>
    <n v="250000"/>
  </r>
  <r>
    <s v="0673-00"/>
    <s v="Pittsburgh Airport Center for Business Education"/>
    <n v="1000000"/>
    <x v="2"/>
    <s v="Act 2004-040"/>
    <d v="2006-05-03T00:00:00"/>
    <n v="0"/>
    <n v="1000000"/>
  </r>
  <r>
    <s v="0685-00"/>
    <s v="Island Studios McKees Rocks"/>
    <n v="200000"/>
    <x v="2"/>
    <s v="Act 2008-041"/>
    <d v="2008-08-25T00:00:00"/>
    <n v="0"/>
    <n v="200000"/>
  </r>
  <r>
    <s v="0696-00"/>
    <s v="Monroeville Convention Center"/>
    <n v="3000000"/>
    <x v="2"/>
    <s v="Act 2008-041"/>
    <d v="2008-09-11T00:00:00"/>
    <n v="3000000"/>
    <n v="0"/>
  </r>
  <r>
    <s v="0696-01"/>
    <s v="Monroeville Convention Center II"/>
    <n v="1000000"/>
    <x v="2"/>
    <s v="Act 2008-041"/>
    <d v="2008-12-11T00:00:00"/>
    <n v="1000000"/>
    <n v="0"/>
  </r>
  <r>
    <s v="0696-02"/>
    <s v="Monroeville Convention Center III"/>
    <n v="275000"/>
    <x v="2"/>
    <s v="Act 2008-041"/>
    <d v="2009-06-15T00:00:00"/>
    <n v="275000"/>
    <n v="0"/>
  </r>
  <r>
    <s v="0697-00"/>
    <s v="Father Ryan Arts Center"/>
    <n v="500000"/>
    <x v="2"/>
    <s v="Act 2008-041"/>
    <d v="2008-11-20T00:00:00"/>
    <n v="500000"/>
    <n v="0"/>
  </r>
  <r>
    <s v="0703-00"/>
    <s v="Market Square-Fifth &amp; Forbes"/>
    <n v="2000000"/>
    <x v="2"/>
    <s v="Act 2002-131"/>
    <d v="2008-11-20T00:00:00"/>
    <n v="1850955"/>
    <n v="149045"/>
  </r>
  <r>
    <s v="0706-00"/>
    <s v="World War II Veterans Memorial-Allegheny"/>
    <n v="250000"/>
    <x v="2"/>
    <s v="Act 2006-083"/>
    <d v="2008-10-15T00:00:00"/>
    <n v="0"/>
    <n v="250000"/>
  </r>
  <r>
    <s v="0706-01"/>
    <s v="World War II Veterans Memorial-Allegheny II"/>
    <n v="500000"/>
    <x v="2"/>
    <s v="Act 2006-083"/>
    <d v="2008-12-11T00:00:00"/>
    <n v="0"/>
    <n v="500000"/>
  </r>
  <r>
    <s v="0706-02"/>
    <s v="World War II Veterans Memorial III"/>
    <n v="500000"/>
    <x v="2"/>
    <s v="Act 2006-083"/>
    <d v="2009-04-27T00:00:00"/>
    <n v="0"/>
    <n v="500000"/>
  </r>
  <r>
    <s v="0706-03"/>
    <s v="World War II Veterans Memorial IV"/>
    <n v="500000"/>
    <x v="2"/>
    <s v="Act 2006-083"/>
    <d v="2009-05-12T00:00:00"/>
    <n v="0"/>
    <n v="500000"/>
  </r>
  <r>
    <s v="0712-00"/>
    <s v="Carnegie Music Hall"/>
    <n v="500000"/>
    <x v="2"/>
    <s v="Act 2004-040"/>
    <d v="2008-09-26T00:00:00"/>
    <n v="490000"/>
    <n v="10000"/>
  </r>
  <r>
    <s v="0730-01"/>
    <s v="Beechview Community Center-2005"/>
    <n v="1000000"/>
    <x v="2"/>
    <s v="Act 2002-131"/>
    <d v="2005-12-13T00:00:00"/>
    <n v="0"/>
    <n v="1000000"/>
  </r>
  <r>
    <s v="0730-02"/>
    <s v="Beechview Neighborhood Redevelopment"/>
    <n v="500000"/>
    <x v="2"/>
    <s v="Act 2008-041"/>
    <d v="2008-11-20T00:00:00"/>
    <n v="0"/>
    <n v="500000"/>
  </r>
  <r>
    <s v="0731-00"/>
    <s v="Maglev"/>
    <n v="1000000"/>
    <x v="2"/>
    <s v="Act 2006-083"/>
    <d v="2009-03-09T00:00:00"/>
    <n v="0"/>
    <n v="1000000"/>
  </r>
  <r>
    <s v="0734-00"/>
    <s v="Stemnion Project"/>
    <n v="500000"/>
    <x v="2"/>
    <s v="Act 2008-041"/>
    <d v="2008-12-11T00:00:00"/>
    <n v="500000"/>
    <n v="0"/>
  </r>
  <r>
    <s v="0744-00"/>
    <s v="Pittsburgh Opera"/>
    <n v="500000"/>
    <x v="2"/>
    <s v="Act 2006-083"/>
    <d v="2008-10-15T00:00:00"/>
    <n v="500000"/>
    <n v="0"/>
  </r>
  <r>
    <s v="0744-01"/>
    <s v="Pittsburgh Opera II"/>
    <n v="250000"/>
    <x v="2"/>
    <s v="Act 2006-083"/>
    <d v="2008-12-11T00:00:00"/>
    <n v="250000"/>
    <n v="0"/>
  </r>
  <r>
    <s v="0744-02"/>
    <s v="Pittsburgh Opera III"/>
    <n v="250000"/>
    <x v="2"/>
    <s v="Act 2008-041"/>
    <d v="2009-03-18T00:00:00"/>
    <n v="250000"/>
    <n v="0"/>
  </r>
  <r>
    <s v="0744-03"/>
    <s v="Pittsburgh Opera IV"/>
    <n v="1000000"/>
    <x v="2"/>
    <s v="Act 2008-041"/>
    <d v="2009-04-27T00:00:00"/>
    <n v="1000000"/>
    <n v="0"/>
  </r>
  <r>
    <s v="0744-04"/>
    <s v="Pittsburgh Opera V"/>
    <n v="250000"/>
    <x v="2"/>
    <s v="Act 2008-041"/>
    <d v="2009-05-28T00:00:00"/>
    <n v="250000"/>
    <n v="0"/>
  </r>
  <r>
    <s v="0748-00"/>
    <s v="Steamfitters Local 449 Expansion"/>
    <n v="250000"/>
    <x v="2"/>
    <s v="Act 2008-041"/>
    <d v="2008-12-11T00:00:00"/>
    <n v="250000"/>
    <n v="0"/>
  </r>
  <r>
    <s v="0748-01"/>
    <s v="Steamfitters Local 449 Expansion Project II"/>
    <n v="250000"/>
    <x v="2"/>
    <s v="Act 2008-041"/>
    <d v="2010-05-27T00:00:00"/>
    <n v="250000"/>
    <n v="0"/>
  </r>
  <r>
    <s v="0748-02"/>
    <s v="Steamfitters Local 449 Expansion III"/>
    <n v="250000"/>
    <x v="2"/>
    <s v="Act 2008-041"/>
    <d v="2010-10-21T00:00:00"/>
    <n v="231250"/>
    <n v="18750"/>
  </r>
  <r>
    <s v="0748-03"/>
    <s v="Steamfitters Local 449 Expansion IV"/>
    <n v="750000"/>
    <x v="2"/>
    <s v="Act 2010-082"/>
    <d v="2013-02-11T00:00:00"/>
    <n v="0"/>
    <n v="750000"/>
  </r>
  <r>
    <s v="0751-00"/>
    <s v="South Hills High School Redevelopment"/>
    <n v="1500000"/>
    <x v="2"/>
    <s v="Act 2006-083"/>
    <d v="2008-11-20T00:00:00"/>
    <n v="1470000"/>
    <n v="30000"/>
  </r>
  <r>
    <s v="0754-00"/>
    <s v="Bombardier-Pittsburgh Technology Center"/>
    <n v="500000"/>
    <x v="2"/>
    <s v="Act 2002-131"/>
    <d v="2008-12-11T00:00:00"/>
    <n v="0"/>
    <n v="500000"/>
  </r>
  <r>
    <s v="0754-01"/>
    <s v="Bombardier-Pittsburgh Technology Center II"/>
    <n v="500000"/>
    <x v="2"/>
    <s v="Act 2002-131"/>
    <d v="2009-05-12T00:00:00"/>
    <n v="0"/>
    <n v="500000"/>
  </r>
  <r>
    <s v="0758-00"/>
    <s v="Chapman Conference Center"/>
    <n v="2000000"/>
    <x v="2"/>
    <s v="Act 2008-041"/>
    <d v="2009-04-27T00:00:00"/>
    <n v="1960000"/>
    <n v="40000"/>
  </r>
  <r>
    <s v="0760-00"/>
    <s v="Riverview Towers"/>
    <n v="500000"/>
    <x v="2"/>
    <s v="Act 2008-041"/>
    <d v="2008-09-26T00:00:00"/>
    <n v="500000"/>
    <n v="0"/>
  </r>
  <r>
    <s v="0760-01"/>
    <s v="Riverview Towers II"/>
    <n v="500000"/>
    <x v="2"/>
    <s v="Act 2008-041"/>
    <d v="2008-10-30T00:00:00"/>
    <n v="267521"/>
    <n v="232479"/>
  </r>
  <r>
    <s v="0765-00"/>
    <s v="Bethel Park YMCA"/>
    <n v="0"/>
    <x v="2"/>
    <s v="Act 2006-083"/>
    <d v="2007-04-23T00:00:00"/>
    <n v="0"/>
    <n v="0"/>
  </r>
  <r>
    <s v="0765-01"/>
    <s v="Bethel Park Community Center"/>
    <n v="300000"/>
    <x v="2"/>
    <s v="Act 2006-083"/>
    <d v="2009-06-15T00:00:00"/>
    <n v="300000"/>
    <n v="0"/>
  </r>
  <r>
    <s v="0769-00"/>
    <s v="North Shore Public Improvements"/>
    <n v="2500000"/>
    <x v="2"/>
    <s v="Act 2004-040"/>
    <d v="2008-10-30T00:00:00"/>
    <n v="2500000"/>
    <n v="0"/>
  </r>
  <r>
    <s v="0773-00"/>
    <s v="La Roche College Library"/>
    <n v="250000"/>
    <x v="2"/>
    <s v="Act 2008-041"/>
    <d v="2008-12-11T00:00:00"/>
    <n v="250000"/>
    <n v="0"/>
  </r>
  <r>
    <s v="0777-00"/>
    <s v="Pittsburgh Super Computer Center"/>
    <n v="500000"/>
    <x v="2"/>
    <s v="Act 2008-041"/>
    <d v="2009-04-27T00:00:00"/>
    <n v="257244"/>
    <n v="242756"/>
  </r>
  <r>
    <s v="0778-00"/>
    <s v="Community College of Allegheny County-Science Ctr"/>
    <n v="1000000"/>
    <x v="2"/>
    <s v="Act 2008-041"/>
    <d v="2009-02-12T00:00:00"/>
    <n v="0"/>
    <n v="1000000"/>
  </r>
  <r>
    <s v="0778-01"/>
    <s v="Community College of Allegheny County-Science II"/>
    <n v="500000"/>
    <x v="2"/>
    <s v="Act 2008-041"/>
    <d v="2009-05-28T00:00:00"/>
    <n v="0"/>
    <n v="500000"/>
  </r>
  <r>
    <s v="0793-00"/>
    <s v="Harrison Township Community Center"/>
    <n v="150000"/>
    <x v="2"/>
    <s v="Act 2006-083"/>
    <d v="2009-03-18T00:00:00"/>
    <n v="150000"/>
    <n v="0"/>
  </r>
  <r>
    <s v="0794-00"/>
    <s v="Oak Hill Phase 2"/>
    <n v="2500000"/>
    <x v="2"/>
    <s v="Act 2008-041"/>
    <d v="2009-04-27T00:00:00"/>
    <n v="0"/>
    <n v="2500000"/>
  </r>
  <r>
    <s v="0800-00"/>
    <s v="Federal North/Federal Hill"/>
    <n v="2000000"/>
    <x v="2"/>
    <s v="Act 2008-041"/>
    <d v="2009-04-27T00:00:00"/>
    <n v="0"/>
    <n v="2000000"/>
  </r>
  <r>
    <s v="0803-00"/>
    <s v="Tech One Business Park"/>
    <n v="3000000"/>
    <x v="2"/>
    <s v="Act 2008-041"/>
    <d v="2009-07-17T00:00:00"/>
    <n v="0"/>
    <n v="3000000"/>
  </r>
  <r>
    <s v="0803-01"/>
    <s v="Tech One-Bechtel Business Park"/>
    <n v="3000000"/>
    <x v="2"/>
    <s v="Act 2010-082"/>
    <d v="2010-11-05T00:00:00"/>
    <n v="0"/>
    <n v="3000000"/>
  </r>
  <r>
    <s v="0806-00"/>
    <s v="UPMC Monroeville"/>
    <n v="5000000"/>
    <x v="2"/>
    <s v="Act 2008-041"/>
    <d v="2009-03-26T00:00:00"/>
    <n v="5000000"/>
    <n v="0"/>
  </r>
  <r>
    <s v="0807-00"/>
    <s v="UPMC Mercy"/>
    <n v="2000000"/>
    <x v="2"/>
    <s v="Act 2008-041"/>
    <d v="2009-03-26T00:00:00"/>
    <n v="1950000"/>
    <n v="50000"/>
  </r>
  <r>
    <s v="0808-00"/>
    <s v="UPMC Passavant"/>
    <n v="18000000"/>
    <x v="2"/>
    <s v="Act 2008-041"/>
    <d v="2009-03-26T00:00:00"/>
    <n v="18000000"/>
    <n v="0"/>
  </r>
  <r>
    <s v="0813-00"/>
    <s v="Pittsburgh Ballet II"/>
    <n v="500000"/>
    <x v="2"/>
    <s v="Act 2008-041"/>
    <d v="2009-05-12T00:00:00"/>
    <n v="500000"/>
    <n v="0"/>
  </r>
  <r>
    <s v="0813-02"/>
    <s v="Pittsburgh Ballet III"/>
    <n v="250000"/>
    <x v="2"/>
    <s v="Act 2008-041"/>
    <d v="2009-05-28T00:00:00"/>
    <n v="250000"/>
    <n v="0"/>
  </r>
  <r>
    <s v="0813-03"/>
    <s v="Pittsburgh Ballet IV"/>
    <n v="500000"/>
    <x v="2"/>
    <s v="Act 2004-040"/>
    <d v="2010-05-27T00:00:00"/>
    <n v="487500"/>
    <n v="12500"/>
  </r>
  <r>
    <s v="0816-00"/>
    <s v="YMCA Hill District"/>
    <n v="3000000"/>
    <x v="2"/>
    <s v="Act 2008-041"/>
    <d v="2009-04-27T00:00:00"/>
    <n v="2925000"/>
    <n v="75000"/>
  </r>
  <r>
    <s v="0817-00"/>
    <s v="East Liberty Commercial District"/>
    <n v="2000000"/>
    <x v="2"/>
    <s v="Act 2008-041"/>
    <d v="2009-04-27T00:00:00"/>
    <n v="1257405"/>
    <n v="742595"/>
  </r>
  <r>
    <s v="0830-00"/>
    <s v="Point Park University II"/>
    <n v="250000"/>
    <x v="2"/>
    <s v="Act 2008-041"/>
    <d v="2009-03-18T00:00:00"/>
    <n v="250000"/>
    <n v="0"/>
  </r>
  <r>
    <s v="0830-01"/>
    <s v="Point Park University III"/>
    <n v="250000"/>
    <x v="2"/>
    <s v="Act 2008-041"/>
    <d v="2009-05-28T00:00:00"/>
    <n v="250000"/>
    <n v="0"/>
  </r>
  <r>
    <s v="0830-02"/>
    <s v="Point Park University IV"/>
    <n v="250000"/>
    <x v="2"/>
    <s v="Act 2008-041"/>
    <d v="2010-06-17T00:00:00"/>
    <n v="250000"/>
    <n v="0"/>
  </r>
  <r>
    <s v="0830-03"/>
    <s v="Point Park University V"/>
    <n v="2500000"/>
    <x v="2"/>
    <s v="Act 2008-041"/>
    <d v="2010-08-11T00:00:00"/>
    <n v="2418750"/>
    <n v="81250"/>
  </r>
  <r>
    <s v="0831-00"/>
    <s v="Lysle Blvd Flyover Ramp-McKeesport"/>
    <n v="3000000"/>
    <x v="2"/>
    <s v="Act 2008-041"/>
    <d v="2009-04-27T00:00:00"/>
    <n v="0"/>
    <n v="3000000"/>
  </r>
  <r>
    <s v="0838-00"/>
    <s v="Sarah Heinz House-Boys &amp; Girls Club"/>
    <n v="250000"/>
    <x v="2"/>
    <s v="Act 2004-040"/>
    <d v="2009-05-28T00:00:00"/>
    <n v="250000"/>
    <n v="0"/>
  </r>
  <r>
    <s v="0843-00"/>
    <s v="Castle Shannon Transit"/>
    <n v="300000"/>
    <x v="2"/>
    <s v="Act 2006-083"/>
    <d v="2008-07-30T00:00:00"/>
    <n v="0"/>
    <n v="300000"/>
  </r>
  <r>
    <s v="0843-01"/>
    <s v="Castle Shannon Transit Village II"/>
    <n v="4000000"/>
    <x v="2"/>
    <s v="Act 2006-083"/>
    <d v="2009-03-09T00:00:00"/>
    <n v="0"/>
    <n v="4000000"/>
  </r>
  <r>
    <s v="0843-02"/>
    <s v="Castle Shannon Transit Village III"/>
    <n v="500000"/>
    <x v="2"/>
    <s v="Act 2008-041"/>
    <d v="2010-02-04T00:00:00"/>
    <n v="0"/>
    <n v="500000"/>
  </r>
  <r>
    <s v="0850-00"/>
    <s v="Heinz Hall Pittsburgh Symphony II"/>
    <n v="200000"/>
    <x v="2"/>
    <s v="Act 2008-041"/>
    <d v="2009-04-27T00:00:00"/>
    <n v="200000"/>
    <n v="0"/>
  </r>
  <r>
    <s v="0850-01"/>
    <s v="Pittsburgh Symphony Heinz Hall II"/>
    <n v="1000000"/>
    <x v="2"/>
    <s v="Act 2008-041"/>
    <d v="2009-04-27T00:00:00"/>
    <n v="1000000"/>
    <n v="0"/>
  </r>
  <r>
    <s v="0850-02"/>
    <s v="Heinz Hall-Pittsburgh Symphony III"/>
    <n v="200000"/>
    <x v="2"/>
    <s v="Act 2008-041"/>
    <d v="2009-05-12T00:00:00"/>
    <n v="200000"/>
    <n v="0"/>
  </r>
  <r>
    <s v="0850-03"/>
    <s v="Heinz Hall-Pittsburgh Symphony IV"/>
    <n v="250000"/>
    <x v="2"/>
    <s v="Act 2008-041"/>
    <d v="2010-10-12T00:00:00"/>
    <n v="0"/>
    <n v="250000"/>
  </r>
  <r>
    <s v="0850-04"/>
    <s v="Heinz Hall-Pittsburgh Symphony V"/>
    <n v="250000"/>
    <x v="2"/>
    <s v="Act 2008-041"/>
    <d v="2010-10-21T00:00:00"/>
    <n v="0"/>
    <n v="250000"/>
  </r>
  <r>
    <s v="0850-05"/>
    <s v="Heinz Hall-Pittsburgh Symphony VI"/>
    <n v="250000"/>
    <x v="2"/>
    <s v="Act 2008-041"/>
    <d v="2010-11-17T00:00:00"/>
    <n v="0"/>
    <n v="250000"/>
  </r>
  <r>
    <s v="0850-06"/>
    <s v="Heinz Hall-Pittsburgh Symphony VII"/>
    <n v="250000"/>
    <x v="2"/>
    <s v="Act 2008-041"/>
    <d v="2010-12-20T00:00:00"/>
    <n v="0"/>
    <n v="250000"/>
  </r>
  <r>
    <s v="0864-00"/>
    <s v="Phipps Conservatory V"/>
    <n v="250000"/>
    <x v="2"/>
    <s v="Act 2006-083"/>
    <d v="2009-05-28T00:00:00"/>
    <n v="135267"/>
    <n v="114733"/>
  </r>
  <r>
    <s v="0864-01"/>
    <s v="Phipps Conservatory VI"/>
    <n v="250000"/>
    <x v="2"/>
    <s v="Act 2006-083"/>
    <d v="2010-05-27T00:00:00"/>
    <n v="0"/>
    <n v="250000"/>
  </r>
  <r>
    <s v="0897-00"/>
    <s v="YWCA of Greater Pittsburgh"/>
    <n v="500000"/>
    <x v="2"/>
    <s v="Act 2006-083"/>
    <d v="2010-02-23T00:00:00"/>
    <n v="487500"/>
    <n v="12500"/>
  </r>
  <r>
    <s v="0920-00"/>
    <s v="Clinton Industrial Park II"/>
    <n v="10000000"/>
    <x v="2"/>
    <s v="Act 2000-027"/>
    <d v="2010-08-30T00:00:00"/>
    <n v="0"/>
    <n v="10000000"/>
  </r>
  <r>
    <s v="0922-00"/>
    <s v="McClaren Business Park"/>
    <n v="5000000"/>
    <x v="2"/>
    <s v="Act 2000-027"/>
    <d v="2010-08-30T00:00:00"/>
    <n v="0"/>
    <n v="5000000"/>
  </r>
  <r>
    <s v="0932-00"/>
    <s v="Findlay Industrial Park"/>
    <n v="500000"/>
    <x v="2"/>
    <s v="Act 2008-041"/>
    <d v="2010-05-27T00:00:00"/>
    <n v="500000"/>
    <n v="0"/>
  </r>
  <r>
    <s v="0932-01"/>
    <s v="Findlay Industrial Park II-Westport"/>
    <n v="2000000"/>
    <x v="2"/>
    <s v="Act 2008-041"/>
    <d v="2010-08-30T00:00:00"/>
    <n v="2000000"/>
    <n v="0"/>
  </r>
  <r>
    <s v="0932-02"/>
    <s v="Findlay Industrial Park III-Westport"/>
    <n v="500000"/>
    <x v="2"/>
    <s v="Act 2008-041"/>
    <d v="2010-09-15T00:00:00"/>
    <n v="410719"/>
    <n v="89281"/>
  </r>
  <r>
    <s v="0939-00"/>
    <s v="Kliment Building"/>
    <n v="250000"/>
    <x v="2"/>
    <s v="Act 2006-083"/>
    <d v="2010-08-11T00:00:00"/>
    <n v="0"/>
    <n v="250000"/>
  </r>
  <r>
    <s v="0941-00"/>
    <s v="Connelley Trade School"/>
    <n v="2080000"/>
    <x v="2"/>
    <s v="Act 2006-083"/>
    <d v="2010-05-27T00:00:00"/>
    <n v="0"/>
    <n v="2080000"/>
  </r>
  <r>
    <s v="0941-01"/>
    <s v="Connelley Trade School"/>
    <n v="1920000"/>
    <x v="2"/>
    <s v="Act 2006-083"/>
    <d v="2010-06-16T00:00:00"/>
    <n v="0"/>
    <n v="1920000"/>
  </r>
  <r>
    <s v="0941-02"/>
    <s v="Connelley Trade School III"/>
    <n v="8000000"/>
    <x v="2"/>
    <s v="Act 2010-047"/>
    <d v="2010-08-03T00:00:00"/>
    <n v="0"/>
    <n v="8000000"/>
  </r>
  <r>
    <s v="0957-00"/>
    <s v="Pittsburgh Parks Conservancy"/>
    <n v="500000"/>
    <x v="2"/>
    <s v="Act 2006-083"/>
    <d v="2010-05-18T00:00:00"/>
    <n v="0"/>
    <n v="500000"/>
  </r>
  <r>
    <s v="0972-00"/>
    <s v="Residences at the Strip"/>
    <n v="250000"/>
    <x v="2"/>
    <s v="Act 2008-041"/>
    <d v="2010-02-08T00:00:00"/>
    <n v="0"/>
    <n v="250000"/>
  </r>
  <r>
    <s v="0972-01"/>
    <s v="Residences at the Strip II"/>
    <n v="1900000"/>
    <x v="2"/>
    <s v="Act 2006-083"/>
    <d v="2010-10-12T00:00:00"/>
    <n v="0"/>
    <n v="1900000"/>
  </r>
  <r>
    <s v="0973-00"/>
    <s v="Pittsburgh Children's Museum III"/>
    <n v="250000"/>
    <x v="2"/>
    <s v="Act 2004-040"/>
    <d v="2010-06-17T00:00:00"/>
    <n v="242500"/>
    <n v="7500"/>
  </r>
  <r>
    <s v="0974-00"/>
    <s v="Pittsburgh Downtown Preservation Project"/>
    <n v="4000000"/>
    <x v="2"/>
    <s v="Act 2002-131"/>
    <d v="2010-09-27T00:00:00"/>
    <n v="0"/>
    <n v="4000000"/>
  </r>
  <r>
    <s v="0975-00"/>
    <s v="Baum Square Parking Garage"/>
    <n v="4500000"/>
    <x v="2"/>
    <s v="Act 2008-041"/>
    <d v="2010-08-11T00:00:00"/>
    <n v="0"/>
    <n v="4500000"/>
  </r>
  <r>
    <s v="0976-00"/>
    <s v="Doughboy Square"/>
    <n v="1000000"/>
    <x v="2"/>
    <s v="Act 2008-041"/>
    <d v="2010-08-24T00:00:00"/>
    <n v="0"/>
    <n v="1000000"/>
  </r>
  <r>
    <s v="0977-00"/>
    <s v="Strip District and Produce Terminal Redevelopment"/>
    <n v="15000000"/>
    <x v="2"/>
    <s v="Act 2006-083"/>
    <d v="2010-09-27T00:00:00"/>
    <n v="0"/>
    <n v="15000000"/>
  </r>
  <r>
    <s v="0989-00"/>
    <s v="Carson Street-Goodwill Building Rehab"/>
    <n v="5000000"/>
    <x v="2"/>
    <s v="Act 2006-083"/>
    <d v="2010-08-11T00:00:00"/>
    <n v="2729505"/>
    <n v="2270495"/>
  </r>
  <r>
    <s v="0989-01"/>
    <s v="Carson Street-Goodwill Building Rehab II"/>
    <n v="500000"/>
    <x v="2"/>
    <s v="Act 2010-082"/>
    <d v="2010-12-20T00:00:00"/>
    <n v="0"/>
    <n v="500000"/>
  </r>
  <r>
    <s v="1003-00"/>
    <s v="Beechview Business District"/>
    <n v="250000"/>
    <x v="2"/>
    <s v="Act 2006-083"/>
    <d v="2010-10-12T00:00:00"/>
    <n v="0"/>
    <n v="250000"/>
  </r>
  <r>
    <s v="1006-00"/>
    <s v="Schenley Place"/>
    <n v="250000"/>
    <x v="2"/>
    <s v="Act 2002-131"/>
    <d v="2010-10-12T00:00:00"/>
    <n v="0"/>
    <n v="250000"/>
  </r>
  <r>
    <s v="1006-01"/>
    <s v="Schenley Place II"/>
    <n v="250000"/>
    <x v="2"/>
    <s v="Act 2002-131"/>
    <d v="2010-11-22T00:00:00"/>
    <n v="0"/>
    <n v="250000"/>
  </r>
  <r>
    <s v="1006-02"/>
    <s v="Schenley Place III"/>
    <n v="250000"/>
    <x v="2"/>
    <s v="Act 2002-131"/>
    <d v="2011-01-03T00:00:00"/>
    <n v="0"/>
    <n v="250000"/>
  </r>
  <r>
    <s v="1006-03"/>
    <s v="Schenley Place IV"/>
    <n v="1000000"/>
    <x v="2"/>
    <s v="Act 2010-082"/>
    <d v="2013-02-11T00:00:00"/>
    <n v="0"/>
    <n v="1000000"/>
  </r>
  <r>
    <s v="1010-00"/>
    <s v="Duquesne University Center"/>
    <n v="500000"/>
    <x v="2"/>
    <s v="Act 2006-083"/>
    <d v="2010-10-12T00:00:00"/>
    <n v="487500"/>
    <n v="12500"/>
  </r>
  <r>
    <s v="1018-00"/>
    <s v="Point State Park Trail"/>
    <n v="250000"/>
    <x v="2"/>
    <s v="Act 2004-040"/>
    <d v="2010-09-15T00:00:00"/>
    <n v="0"/>
    <n v="250000"/>
  </r>
  <r>
    <s v="1018-01"/>
    <s v="Mon Wharf Switchback"/>
    <n v="250000"/>
    <x v="2"/>
    <s v="Act 2004-040"/>
    <d v="2010-12-20T00:00:00"/>
    <n v="0"/>
    <n v="250000"/>
  </r>
  <r>
    <s v="1020-00"/>
    <s v="Robert Morris University School of Nursing"/>
    <n v="5000000"/>
    <x v="2"/>
    <s v="Act 2010-082"/>
    <d v="2010-11-05T00:00:00"/>
    <n v="0"/>
    <n v="5000000"/>
  </r>
  <r>
    <s v="1021-00"/>
    <s v="Robert Morris University Business School"/>
    <n v="5000000"/>
    <x v="2"/>
    <s v="Act 2010-082"/>
    <d v="2010-11-05T00:00:00"/>
    <n v="4875000"/>
    <n v="125000"/>
  </r>
  <r>
    <s v="1024-00"/>
    <s v="Hill District Grocery Store"/>
    <n v="500000"/>
    <x v="2"/>
    <s v="Act 2008-041"/>
    <d v="2010-09-15T00:00:00"/>
    <n v="0"/>
    <n v="500000"/>
  </r>
  <r>
    <s v="1027-00"/>
    <s v="Manchester-Thomas and Betts Redevelopment"/>
    <n v="250000"/>
    <x v="2"/>
    <s v="Act 2006-083"/>
    <d v="2010-10-12T00:00:00"/>
    <n v="0"/>
    <n v="250000"/>
  </r>
  <r>
    <s v="1027-01"/>
    <s v="Manchester-Thomas and Betts II"/>
    <n v="250000"/>
    <x v="2"/>
    <s v="Act 2006-083"/>
    <d v="2010-10-12T00:00:00"/>
    <n v="0"/>
    <n v="250000"/>
  </r>
  <r>
    <s v="1033-00"/>
    <s v="Weinberg Village"/>
    <n v="500000"/>
    <x v="2"/>
    <s v="Act 2008-041"/>
    <d v="2010-10-12T00:00:00"/>
    <n v="0"/>
    <n v="500000"/>
  </r>
  <r>
    <s v="1052-00"/>
    <s v="Jefferson Regional Medical Center"/>
    <n v="250000"/>
    <x v="2"/>
    <s v="Act 2006-083"/>
    <d v="2010-09-15T00:00:00"/>
    <n v="0"/>
    <n v="250000"/>
  </r>
  <r>
    <s v="1056-00"/>
    <s v="Allegheny General Hospital"/>
    <n v="250000"/>
    <x v="2"/>
    <s v="Act 2008-041"/>
    <d v="2010-05-27T00:00:00"/>
    <n v="0"/>
    <n v="250000"/>
  </r>
  <r>
    <s v="1066-00"/>
    <s v="Community Specialist Facilities"/>
    <n v="250000"/>
    <x v="2"/>
    <s v="Act 2008-041"/>
    <d v="2010-10-21T00:00:00"/>
    <n v="436420"/>
    <n v="-186420"/>
  </r>
  <r>
    <s v="1066-01"/>
    <s v="Community Specialist Facilities II"/>
    <n v="250000"/>
    <x v="2"/>
    <s v="Act 2008-041"/>
    <d v="2010-12-20T00:00:00"/>
    <n v="0"/>
    <n v="250000"/>
  </r>
  <r>
    <s v="1067-00"/>
    <s v="Redevelopment of Former Dravo Site"/>
    <n v="500000"/>
    <x v="2"/>
    <s v="Act 2002-131"/>
    <d v="2010-10-21T00:00:00"/>
    <n v="487500"/>
    <n v="12500"/>
  </r>
  <r>
    <s v="1070-00"/>
    <s v="UCP/CLASS-Center II"/>
    <n v="500000"/>
    <x v="2"/>
    <s v="Act 2010-082"/>
    <d v="2010-11-22T00:00:00"/>
    <n v="0"/>
    <n v="500000"/>
  </r>
  <r>
    <s v="1083-00"/>
    <s v="East Suburban Family YMCA"/>
    <n v="2000000"/>
    <x v="2"/>
    <s v="Act 2010-082"/>
    <d v="2010-11-22T00:00:00"/>
    <n v="0"/>
    <n v="2000000"/>
  </r>
  <r>
    <s v="1085-00"/>
    <s v="Tech 21-Site Enhancement"/>
    <n v="3000000"/>
    <x v="2"/>
    <s v="Act 2010-082"/>
    <d v="2010-11-05T00:00:00"/>
    <n v="259857"/>
    <n v="2740143"/>
  </r>
  <r>
    <s v="1085-01"/>
    <s v="Tech 21 Park"/>
    <n v="250000"/>
    <x v="2"/>
    <s v="Act 2006-083"/>
    <d v="2009-04-27T00:00:00"/>
    <n v="0"/>
    <n v="250000"/>
  </r>
  <r>
    <s v="1092-00"/>
    <s v="Chatham University EcoCenter Project"/>
    <n v="3000000"/>
    <x v="2"/>
    <s v="Act 2010-082"/>
    <d v="2010-11-29T00:00:00"/>
    <n v="0"/>
    <n v="3000000"/>
  </r>
  <r>
    <s v="1105-00"/>
    <s v="Great Allegheny Passage"/>
    <n v="750000"/>
    <x v="2"/>
    <s v="Act 2008-041"/>
    <d v="2010-12-20T00:00:00"/>
    <n v="0"/>
    <n v="750000"/>
  </r>
  <r>
    <s v="1109-00"/>
    <s v="WQED III"/>
    <n v="250000"/>
    <x v="2"/>
    <s v="Act 2000-027"/>
    <d v="2010-10-12T00:00:00"/>
    <n v="0"/>
    <n v="250000"/>
  </r>
  <r>
    <s v="1137-00"/>
    <s v="Bulgarian Macedonia National Education Center"/>
    <n v="250000"/>
    <x v="2"/>
    <s v="Act 2010-082"/>
    <d v="2010-12-03T00:00:00"/>
    <n v="0"/>
    <n v="250000"/>
  </r>
  <r>
    <s v="1139-00"/>
    <s v="Amalgamated Transit Union Local 85"/>
    <n v="500000"/>
    <x v="2"/>
    <s v="Act 2008-041"/>
    <d v="2010-12-20T00:00:00"/>
    <n v="487500"/>
    <n v="12500"/>
  </r>
  <r>
    <s v="1140-00"/>
    <s v="P&amp;LE McKees Rocks Brownfield Site"/>
    <n v="1100000"/>
    <x v="2"/>
    <s v="Act 2006-083"/>
    <d v="2010-10-21T00:00:00"/>
    <n v="0"/>
    <n v="1100000"/>
  </r>
  <r>
    <s v="1154-00"/>
    <s v="Robert Morris University School of Communications"/>
    <n v="500000"/>
    <x v="2"/>
    <s v="Act 2010-082"/>
    <d v="2010-12-20T00:00:00"/>
    <n v="487500"/>
    <n v="12500"/>
  </r>
  <r>
    <s v="1167-00"/>
    <s v="Manchester Bidwell Campus"/>
    <n v="400000"/>
    <x v="2"/>
    <s v="Act 2010-082"/>
    <d v="2011-01-03T00:00:00"/>
    <n v="0"/>
    <n v="400000"/>
  </r>
  <r>
    <s v="1199-00"/>
    <s v="Pittsburgh Technical Institute"/>
    <n v="500000"/>
    <x v="2"/>
    <s v="Act 2010-082"/>
    <d v="2010-12-07T00:00:00"/>
    <n v="0"/>
    <n v="500000"/>
  </r>
  <r>
    <s v="1199-01"/>
    <s v="Pittsburgh Technical Institute II"/>
    <n v="250000"/>
    <x v="2"/>
    <s v="Act 2010-082"/>
    <d v="2010-12-20T00:00:00"/>
    <n v="0"/>
    <n v="250000"/>
  </r>
  <r>
    <s v="1208-00"/>
    <s v="Pittsburgh Community Services"/>
    <n v="500000"/>
    <x v="2"/>
    <s v="Act 2010-082"/>
    <d v="2010-12-20T00:00:00"/>
    <n v="0"/>
    <n v="500000"/>
  </r>
  <r>
    <s v="1209-00"/>
    <s v="Bryant Street Redevelopment"/>
    <n v="500000"/>
    <x v="2"/>
    <s v="Act 2010-082"/>
    <d v="2010-12-20T00:00:00"/>
    <n v="0"/>
    <n v="500000"/>
  </r>
  <r>
    <s v="1212-00"/>
    <s v="Former Tippins/62nd Street Industrial Park"/>
    <n v="750000"/>
    <x v="2"/>
    <s v="Act 2002-131"/>
    <d v="2010-12-20T00:00:00"/>
    <n v="0"/>
    <n v="750000"/>
  </r>
  <r>
    <s v="1222-00"/>
    <s v="Edgewater Steel Redevelopment"/>
    <n v="1500000"/>
    <x v="2"/>
    <s v="Act 2004-040"/>
    <d v="2010-12-20T00:00:00"/>
    <n v="0"/>
    <n v="1500000"/>
  </r>
  <r>
    <s v="1233-00"/>
    <s v="Airside Business Park"/>
    <n v="250000"/>
    <x v="2"/>
    <s v="Act 2010-082"/>
    <d v="2010-12-07T00:00:00"/>
    <n v="0"/>
    <n v="250000"/>
  </r>
  <r>
    <s v="1236-00"/>
    <s v="Sewickley Valley YMCA"/>
    <n v="250000"/>
    <x v="2"/>
    <s v="Act 2010-082"/>
    <d v="2010-12-07T00:00:00"/>
    <n v="0"/>
    <n v="250000"/>
  </r>
  <r>
    <s v="1238-00"/>
    <s v="Pittsburgh Mills"/>
    <n v="3000000"/>
    <x v="2"/>
    <s v="Act 2004-040"/>
    <d v="2010-12-20T00:00:00"/>
    <n v="2940000"/>
    <n v="60000"/>
  </r>
  <r>
    <s v="1240-00"/>
    <s v="InVision Human Services"/>
    <n v="500000"/>
    <x v="2"/>
    <s v="Act 2010-082"/>
    <d v="2011-01-14T00:00:00"/>
    <n v="0"/>
    <n v="500000"/>
  </r>
  <r>
    <s v="1252-00"/>
    <s v="Pittsburgh Life Sciences Greenhouse"/>
    <n v="500000"/>
    <x v="2"/>
    <s v="Act 2010-082"/>
    <d v="2010-12-20T00:00:00"/>
    <n v="0"/>
    <n v="500000"/>
  </r>
  <r>
    <s v="1276-00"/>
    <s v="Watson Institute Friendship Academy"/>
    <n v="500000"/>
    <x v="2"/>
    <s v="Act 2008-041"/>
    <d v="2010-12-07T00:00:00"/>
    <n v="0"/>
    <n v="500000"/>
  </r>
  <r>
    <s v="1276-01"/>
    <s v="Watson Institute Friendship Academy II"/>
    <n v="250000"/>
    <x v="2"/>
    <s v="Act 2008-041"/>
    <d v="2011-01-03T00:00:00"/>
    <n v="0"/>
    <n v="250000"/>
  </r>
  <r>
    <s v="1280-00"/>
    <s v="Carlow University Health and Wellness Center"/>
    <n v="250000"/>
    <x v="2"/>
    <s v="Act 2004-040"/>
    <d v="2008-12-11T00:00:00"/>
    <n v="0"/>
    <n v="250000"/>
  </r>
  <r>
    <s v="1280-01"/>
    <s v="Carlow University Health &amp; Wellness Center II"/>
    <n v="250000"/>
    <x v="2"/>
    <s v="Act 2004-040"/>
    <d v="2008-12-11T00:00:00"/>
    <n v="0"/>
    <n v="250000"/>
  </r>
  <r>
    <s v="1280-02"/>
    <s v="Carlow University Health &amp; Wellness III"/>
    <n v="250000"/>
    <x v="2"/>
    <s v="Act 2004-040"/>
    <d v="2009-04-27T00:00:00"/>
    <n v="0"/>
    <n v="250000"/>
  </r>
  <r>
    <s v="1280-03"/>
    <s v="Carlow University Health &amp; Wellness Center IV"/>
    <n v="250000"/>
    <x v="2"/>
    <s v="Act 2004-040"/>
    <d v="2009-04-27T00:00:00"/>
    <n v="0"/>
    <n v="250000"/>
  </r>
  <r>
    <s v="1286-00"/>
    <s v="Regent Square Theatre"/>
    <n v="400000"/>
    <x v="2"/>
    <s v="Act 2004-040"/>
    <d v="2010-12-20T00:00:00"/>
    <n v="0"/>
    <n v="400000"/>
  </r>
  <r>
    <s v="1295-00"/>
    <s v="Plum Municipal Center"/>
    <n v="500000"/>
    <x v="2"/>
    <s v="Act 2010-082"/>
    <d v="2011-01-03T00:00:00"/>
    <n v="0"/>
    <n v="500000"/>
  </r>
  <r>
    <s v="1306-00"/>
    <s v="Historic Half Brothers Building Redevelopment"/>
    <n v="500000"/>
    <x v="2"/>
    <s v="Act 2010-082"/>
    <d v="2011-01-03T00:00:00"/>
    <n v="0"/>
    <n v="500000"/>
  </r>
  <r>
    <s v="1317-00"/>
    <s v="North Versailles Township Naser Road Project"/>
    <n v="250000"/>
    <x v="2"/>
    <s v="Act 2010-082"/>
    <d v="2011-01-03T00:00:00"/>
    <n v="0"/>
    <n v="250000"/>
  </r>
  <r>
    <s v="3043-00"/>
    <s v="Plum Senior Center"/>
    <n v="0"/>
    <x v="2"/>
    <s v="Act 2006-083"/>
    <d v="2006-09-14T00:00:00"/>
    <n v="0"/>
    <n v="0"/>
  </r>
  <r>
    <s v="3281-00"/>
    <s v="Golden Triangle Parking Project"/>
    <n v="0"/>
    <x v="2"/>
    <s v="Act 2004-040"/>
    <d v="2008-12-11T00:00:00"/>
    <n v="0"/>
    <n v="0"/>
  </r>
  <r>
    <s v="3405-00"/>
    <s v="Greater Pittsburgh YMCA"/>
    <n v="0"/>
    <x v="2"/>
    <s v="Act 1999-035"/>
    <d v="1999-10-21T00:00:00"/>
    <n v="0"/>
    <n v="0"/>
  </r>
  <r>
    <s v="3406-00"/>
    <s v="United/USAir Maintenance Facility"/>
    <n v="0"/>
    <x v="2"/>
    <s v="Act 1999-035"/>
    <d v="2000-12-21T00:00:00"/>
    <n v="0"/>
    <n v="0"/>
  </r>
  <r>
    <s v="3519-00"/>
    <s v="Marshall Drive Development Project"/>
    <n v="400000"/>
    <x v="2"/>
    <s v="Act 2004-040"/>
    <d v="2005-03-15T00:00:00"/>
    <n v="0"/>
    <n v="400000"/>
  </r>
  <r>
    <s v="3659-00"/>
    <s v="UPMC McKeesport Campus"/>
    <n v="0"/>
    <x v="2"/>
    <s v="Act 2010-082"/>
    <d v="2010-11-18T00:00:00"/>
    <n v="0"/>
    <n v="0"/>
  </r>
  <r>
    <s v="3845-00"/>
    <s v="American Textile Company Heaving Remediation"/>
    <n v="375000"/>
    <x v="2"/>
    <s v="Act 2010-082"/>
    <d v="2011-01-03T00:00:00"/>
    <n v="0"/>
    <n v="375000"/>
  </r>
  <r>
    <s v="3847-00"/>
    <s v="White Oak Borough Park Improvements"/>
    <n v="500000"/>
    <x v="2"/>
    <s v="Act 2008-041"/>
    <d v="2011-01-03T00:00:00"/>
    <n v="0"/>
    <n v="500000"/>
  </r>
  <r>
    <s v="3891-00"/>
    <s v="Lower Hill Infrastructure Project"/>
    <n v="15000000"/>
    <x v="2"/>
    <s v="Act 2002-131"/>
    <d v="2013-02-11T00:00:00"/>
    <n v="0"/>
    <n v="15000000"/>
  </r>
  <r>
    <s v="3892-00"/>
    <s v="Bakery Square 2.0"/>
    <n v="4000000"/>
    <x v="2"/>
    <s v="Act 2008-041"/>
    <d v="2013-02-11T00:00:00"/>
    <n v="0"/>
    <n v="4000000"/>
  </r>
  <r>
    <s v="3893-00"/>
    <s v="The Gardens at Market Square"/>
    <n v="4000000"/>
    <x v="2"/>
    <s v="Act 2002-131"/>
    <d v="2013-02-11T00:00:00"/>
    <n v="0"/>
    <n v="4000000"/>
  </r>
  <r>
    <s v="3894-00"/>
    <s v="Calgon Carbon UV Technologies Expansion"/>
    <n v="2000000"/>
    <x v="2"/>
    <s v="Act 2010-082"/>
    <d v="2013-02-11T00:00:00"/>
    <n v="0"/>
    <n v="2000000"/>
  </r>
  <r>
    <s v="3895-00"/>
    <s v="Heinz History Center Museum Support"/>
    <n v="2000000"/>
    <x v="2"/>
    <s v="Act 1996-101"/>
    <d v="2013-02-11T00:00:00"/>
    <n v="0"/>
    <n v="2000000"/>
  </r>
  <r>
    <s v="3937-00"/>
    <s v="Duquesne U. School of Law Clinical Educ. Bldg."/>
    <n v="500000"/>
    <x v="2"/>
    <s v="Act 2006-083"/>
    <d v="2013-02-11T00:00:00"/>
    <n v="0"/>
    <n v="500000"/>
  </r>
  <r>
    <s v="8000-00"/>
    <s v="North Shore Ampitheater"/>
    <n v="0"/>
    <x v="2"/>
    <s v="Act 2004-040"/>
    <d v="2004-08-19T00:00:00"/>
    <n v="0"/>
    <n v="0"/>
  </r>
  <r>
    <s v="8006-00"/>
    <s v="Beechview Community Center"/>
    <n v="0"/>
    <x v="2"/>
    <s v="Act 2002-131"/>
    <d v="2003-02-03T00:00:00"/>
    <n v="0"/>
    <n v="0"/>
  </r>
  <r>
    <s v="8025-00"/>
    <s v="Hill District Supermarket"/>
    <n v="0"/>
    <x v="2"/>
    <s v="Act 2008-041"/>
    <d v="2009-02-19T00:00:00"/>
    <n v="0"/>
    <n v="0"/>
  </r>
  <r>
    <s v="8038-00"/>
    <s v="EQT Training and Utility Center"/>
    <n v="0"/>
    <x v="2"/>
    <s v="Act 2004-040"/>
    <d v="2010-03-23T00:00:00"/>
    <n v="0"/>
    <n v="0"/>
  </r>
  <r>
    <s v="8048-00"/>
    <s v="LTV Coke Works - Brownfield Site (Hazelwood)"/>
    <n v="0"/>
    <x v="2"/>
    <s v="Act 2002-131"/>
    <d v="2004-08-19T00:00:00"/>
    <n v="0"/>
    <n v="0"/>
  </r>
  <r>
    <s v="8050-00"/>
    <s v="Lincoln-Larimer Community Center"/>
    <n v="0"/>
    <x v="2"/>
    <s v="Act 2000-027"/>
    <d v="2004-04-02T00:00:00"/>
    <n v="0"/>
    <n v="0"/>
  </r>
  <r>
    <s v="8052-00"/>
    <s v="Lawrenceville Seawall - Armstrong Lofts"/>
    <n v="0"/>
    <x v="2"/>
    <s v="Act 1994- 74"/>
    <d v="2005-06-21T00:00:00"/>
    <n v="0"/>
    <n v="0"/>
  </r>
  <r>
    <s v="8072-02"/>
    <s v="Community Specialist Facilities III"/>
    <n v="0"/>
    <x v="2"/>
    <s v="Act 2008-041"/>
    <d v="2010-12-20T00:00:00"/>
    <n v="0"/>
    <n v="0"/>
  </r>
  <r>
    <s v="0173-00"/>
    <s v="Ford City Technology Park"/>
    <n v="3000000"/>
    <x v="3"/>
    <s v="Act 1999-035"/>
    <d v="2000-12-18T00:00:00"/>
    <n v="3000000"/>
    <n v="0"/>
  </r>
  <r>
    <s v="0173-01"/>
    <s v="Ford City Incubator"/>
    <n v="1000000"/>
    <x v="3"/>
    <s v="Act 2002-131"/>
    <d v="2003-07-31T00:00:00"/>
    <n v="1000000"/>
    <n v="0"/>
  </r>
  <r>
    <s v="0272-00"/>
    <s v="Northpointe Technology Center"/>
    <n v="950000"/>
    <x v="3"/>
    <s v="Act 1999-035"/>
    <d v="2002-11-27T00:00:00"/>
    <n v="950000"/>
    <n v="0"/>
  </r>
  <r>
    <s v="0332-00"/>
    <s v="Belmont Recreation Center"/>
    <n v="500000"/>
    <x v="3"/>
    <s v="Act 2004-040"/>
    <d v="2004-09-30T00:00:00"/>
    <n v="500000"/>
    <n v="0"/>
  </r>
  <r>
    <s v="0671-00"/>
    <s v="IUP-Kittanning Reuse Project"/>
    <n v="1500000"/>
    <x v="3"/>
    <s v="Act 2004-040"/>
    <d v="2007-09-04T00:00:00"/>
    <n v="498136"/>
    <n v="1001864"/>
  </r>
  <r>
    <s v="0782-00"/>
    <s v="Northpointe Technology Center II"/>
    <n v="2000000"/>
    <x v="3"/>
    <s v="Act 2002-131"/>
    <d v="2007-09-24T00:00:00"/>
    <n v="2000000"/>
    <n v="0"/>
  </r>
  <r>
    <s v="1178-00"/>
    <s v="Belmont Recreation Facility II"/>
    <n v="1250000"/>
    <x v="3"/>
    <s v="Act 2010-082"/>
    <d v="2011-01-03T00:00:00"/>
    <n v="0"/>
    <n v="1250000"/>
  </r>
  <r>
    <s v="1179-00"/>
    <s v="Armstrong County Memorial Hospital"/>
    <n v="1000000"/>
    <x v="3"/>
    <s v="Act 2010-082"/>
    <d v="2011-01-03T00:00:00"/>
    <n v="0"/>
    <n v="1000000"/>
  </r>
  <r>
    <s v="1179-01"/>
    <s v="Armstrong County Memorial Hospital II"/>
    <n v="500000"/>
    <x v="3"/>
    <s v="Act 2010-082"/>
    <d v="2011-01-10T00:00:00"/>
    <n v="0"/>
    <n v="500000"/>
  </r>
  <r>
    <s v="3896-00"/>
    <s v="Northpointe Entrance Development"/>
    <n v="950000"/>
    <x v="3"/>
    <s v="Act 2010-082"/>
    <d v="2013-02-11T00:00:00"/>
    <n v="0"/>
    <n v="950000"/>
  </r>
  <r>
    <s v="0024-00"/>
    <s v="Aliquippa LTV Industrial Park"/>
    <n v="1197505"/>
    <x v="4"/>
    <s v="Act 1986-118"/>
    <d v="1993-07-01T00:00:00"/>
    <n v="1197505"/>
    <n v="0"/>
  </r>
  <r>
    <s v="0024-01"/>
    <s v="Aliquippa LTV Industrial Park"/>
    <n v="2002495"/>
    <x v="4"/>
    <s v="Act 1986-118"/>
    <d v="1993-07-01T00:00:00"/>
    <n v="2002495"/>
    <n v="0"/>
  </r>
  <r>
    <s v="0111-00"/>
    <s v="Aliquippa Industrial Center"/>
    <n v="3750000"/>
    <x v="4"/>
    <s v="Act 1997- 47"/>
    <d v="1998-06-12T00:00:00"/>
    <n v="3750000"/>
    <n v="0"/>
  </r>
  <r>
    <s v="0111-01"/>
    <s v="Aliquippa Industrial Center II"/>
    <n v="1250000"/>
    <x v="4"/>
    <s v="Act 1997- 47"/>
    <d v="2004-09-29T00:00:00"/>
    <n v="1250000"/>
    <n v="0"/>
  </r>
  <r>
    <s v="0141-00"/>
    <s v="Beaver County YMCA"/>
    <n v="1500000"/>
    <x v="4"/>
    <s v="Act 2000-027"/>
    <d v="2000-12-05T00:00:00"/>
    <n v="1500000"/>
    <n v="0"/>
  </r>
  <r>
    <s v="0162-00"/>
    <s v="Hopewell Business and Industrial Park"/>
    <n v="1500000"/>
    <x v="4"/>
    <s v="Act 1999-035"/>
    <d v="2000-12-18T00:00:00"/>
    <n v="1451056"/>
    <n v="48944"/>
  </r>
  <r>
    <s v="0318-00"/>
    <s v="Lincoln Park Performing Arts Center"/>
    <n v="1500000"/>
    <x v="4"/>
    <s v="Act 2002-131"/>
    <d v="2005-02-25T00:00:00"/>
    <n v="1500000"/>
    <n v="0"/>
  </r>
  <r>
    <s v="0318-01"/>
    <s v="Lincoln Park Performing Arts Center II"/>
    <n v="2000000"/>
    <x v="4"/>
    <s v="Act 2002-131"/>
    <d v="2005-09-07T00:00:00"/>
    <n v="2000000"/>
    <n v="0"/>
  </r>
  <r>
    <s v="0318-02"/>
    <s v="Lincoln Performing Arts Center III"/>
    <n v="4000000"/>
    <x v="4"/>
    <s v="Act 2004-040"/>
    <d v="2006-04-06T00:00:00"/>
    <n v="4000000"/>
    <n v="0"/>
  </r>
  <r>
    <s v="0411-00"/>
    <s v="New Economy Business Park"/>
    <n v="500000"/>
    <x v="4"/>
    <s v="Act 2004-040"/>
    <d v="2005-09-06T00:00:00"/>
    <n v="500000"/>
    <n v="0"/>
  </r>
  <r>
    <s v="0411-01"/>
    <s v="New Economy Business ParkII/Northern Ambridge"/>
    <n v="3000000"/>
    <x v="4"/>
    <s v="Act 2004-040"/>
    <d v="2006-06-06T00:00:00"/>
    <n v="3000000"/>
    <n v="0"/>
  </r>
  <r>
    <s v="0411-02"/>
    <s v="North Ambridge Redevelopment II"/>
    <n v="3000000"/>
    <x v="4"/>
    <s v="Act 2010-047"/>
    <d v="2010-08-30T00:00:00"/>
    <n v="2740000"/>
    <n v="260000"/>
  </r>
  <r>
    <s v="0436-00"/>
    <s v="Salvation Army-Aliquippa"/>
    <n v="150000"/>
    <x v="4"/>
    <s v="Act 2002-131"/>
    <d v="2003-04-11T00:00:00"/>
    <n v="0"/>
    <n v="150000"/>
  </r>
  <r>
    <s v="0485-00"/>
    <s v="Beaver County YMCA II _Expansion"/>
    <n v="1000000"/>
    <x v="4"/>
    <s v="Act 2006-083"/>
    <d v="2006-07-14T00:00:00"/>
    <n v="1000000"/>
    <n v="0"/>
  </r>
  <r>
    <s v="0488-00"/>
    <s v="Geneva College Stadium"/>
    <n v="1250000"/>
    <x v="4"/>
    <s v="Act 2004-040"/>
    <d v="2006-03-30T00:00:00"/>
    <n v="1250000"/>
    <n v="0"/>
  </r>
  <r>
    <s v="0501-00"/>
    <s v="Bridgewater Crossing-Ohio River Mixed Use"/>
    <n v="1500000"/>
    <x v="4"/>
    <s v="Act 2002-131"/>
    <d v="2006-06-06T00:00:00"/>
    <n v="1500000"/>
    <n v="0"/>
  </r>
  <r>
    <s v="0501-01"/>
    <s v="Bridgewater Crossing-Ohio River Mixed Use II"/>
    <n v="600000"/>
    <x v="4"/>
    <s v="Act 2002-131"/>
    <d v="2007-04-23T00:00:00"/>
    <n v="245867"/>
    <n v="354133"/>
  </r>
  <r>
    <s v="0520-00"/>
    <s v="Stone Quarry Commons"/>
    <n v="800000"/>
    <x v="4"/>
    <s v="Act 2004-040"/>
    <d v="2006-07-18T00:00:00"/>
    <n v="800000"/>
    <n v="0"/>
  </r>
  <r>
    <s v="0538-00"/>
    <s v="Westgate Business Park"/>
    <n v="3000000"/>
    <x v="4"/>
    <s v="Act 2004-040"/>
    <d v="2006-06-06T00:00:00"/>
    <n v="2285511"/>
    <n v="714489"/>
  </r>
  <r>
    <s v="0551-00"/>
    <s v="Rochester Waterfront Redevelopment"/>
    <n v="0"/>
    <x v="4"/>
    <s v="Act 2004-040"/>
    <d v="2006-06-06T00:00:00"/>
    <n v="0"/>
    <n v="0"/>
  </r>
  <r>
    <s v="0660-00"/>
    <s v="Family Guidance-Promise Camp"/>
    <n v="250000"/>
    <x v="4"/>
    <s v="Act 2006-083"/>
    <d v="2007-03-29T00:00:00"/>
    <n v="0"/>
    <n v="250000"/>
  </r>
  <r>
    <s v="0739-00"/>
    <s v="Gateway Youth Services Center"/>
    <n v="500000"/>
    <x v="4"/>
    <s v="Act 2004-040"/>
    <d v="2008-10-30T00:00:00"/>
    <n v="500000"/>
    <n v="0"/>
  </r>
  <r>
    <s v="0756-00"/>
    <s v="Heritage Valley Health System"/>
    <n v="1000000"/>
    <x v="4"/>
    <s v="Act 2006-083"/>
    <d v="2008-12-11T00:00:00"/>
    <n v="1000000"/>
    <n v="0"/>
  </r>
  <r>
    <s v="0783-00"/>
    <s v="Beaver County Multi-Tenant Facility"/>
    <n v="1000000"/>
    <x v="4"/>
    <s v="Act 2002-131"/>
    <d v="2003-05-28T00:00:00"/>
    <n v="1000000"/>
    <n v="0"/>
  </r>
  <r>
    <s v="0783-01"/>
    <s v="Beaver County Multi-Tenant Facility"/>
    <n v="1000000"/>
    <x v="4"/>
    <s v="Act 2002-131"/>
    <d v="2003-05-28T00:00:00"/>
    <n v="1000000"/>
    <n v="0"/>
  </r>
  <r>
    <s v="1005-00"/>
    <s v="Hopewell Business Park II"/>
    <n v="250000"/>
    <x v="4"/>
    <s v="Act 2002-131"/>
    <d v="2010-06-17T00:00:00"/>
    <n v="0"/>
    <n v="250000"/>
  </r>
  <r>
    <s v="1073-00"/>
    <s v="Beaver County Dock Facility"/>
    <n v="1250000"/>
    <x v="4"/>
    <s v="Act 2010-082"/>
    <d v="2010-11-18T00:00:00"/>
    <n v="1218750"/>
    <n v="31250"/>
  </r>
  <r>
    <s v="1076-00"/>
    <s v="McGuire Memorial"/>
    <n v="750000"/>
    <x v="4"/>
    <s v="Act 2010-082"/>
    <d v="2010-11-18T00:00:00"/>
    <n v="0"/>
    <n v="750000"/>
  </r>
  <r>
    <s v="1102-00"/>
    <s v="Beaver County Community College"/>
    <n v="1000000"/>
    <x v="4"/>
    <s v="Act 2010-082"/>
    <d v="2010-11-17T00:00:00"/>
    <n v="0"/>
    <n v="1000000"/>
  </r>
  <r>
    <s v="1103-00"/>
    <s v="Midland Centennial Project"/>
    <n v="250000"/>
    <x v="4"/>
    <s v="Act 2006-083"/>
    <d v="2010-10-25T00:00:00"/>
    <n v="0"/>
    <n v="250000"/>
  </r>
  <r>
    <s v="1141-00"/>
    <s v="Lincoln Park Performing Arts Center IV"/>
    <n v="500000"/>
    <x v="4"/>
    <s v="Act 2010-082"/>
    <d v="2010-11-17T00:00:00"/>
    <n v="0"/>
    <n v="500000"/>
  </r>
  <r>
    <s v="8017-00"/>
    <s v="Crucible Facility Redevelopment"/>
    <n v="0"/>
    <x v="4"/>
    <s v="Act 2004-040"/>
    <d v="2006-01-30T00:00:00"/>
    <n v="0"/>
    <n v="0"/>
  </r>
  <r>
    <s v="8056-00"/>
    <s v="Beaver County Multi-Tenant Facility"/>
    <n v="0"/>
    <x v="4"/>
    <s v="Act 2002-131"/>
    <d v="2003-05-28T00:00:00"/>
    <n v="0"/>
    <n v="0"/>
  </r>
  <r>
    <s v="8056-01"/>
    <s v="Beaver County Multi-Tenant Facility II"/>
    <n v="0"/>
    <x v="4"/>
    <s v="Act 2002-131"/>
    <d v="2004-04-19T00:00:00"/>
    <n v="0"/>
    <n v="0"/>
  </r>
  <r>
    <s v="0052-00"/>
    <s v="Bedford Springs Resort Hotel &amp; SPA"/>
    <n v="5000000"/>
    <x v="5"/>
    <s v="Act 1992-188"/>
    <d v="1993-07-01T00:00:00"/>
    <n v="5000000"/>
    <n v="0"/>
  </r>
  <r>
    <s v="0052-01"/>
    <s v="Bedford Springs II"/>
    <n v="16000000"/>
    <x v="5"/>
    <s v="Act 1999-035"/>
    <d v="2002-10-23T00:00:00"/>
    <n v="16000000"/>
    <n v="0"/>
  </r>
  <r>
    <s v="0052-02"/>
    <s v="Bedford Springs III"/>
    <n v="5000000"/>
    <x v="5"/>
    <s v="Act 2004-040"/>
    <d v="2005-03-24T00:00:00"/>
    <n v="5000000"/>
    <n v="0"/>
  </r>
  <r>
    <s v="0297-00"/>
    <s v="Bedford County Business Park II"/>
    <n v="1500000"/>
    <x v="5"/>
    <s v="Act 1999-035"/>
    <d v="2003-01-16T00:00:00"/>
    <n v="1500000"/>
    <n v="0"/>
  </r>
  <r>
    <s v="0009-00"/>
    <s v="Reading Civic Center"/>
    <n v="12500000"/>
    <x v="6"/>
    <s v="Act 1994- 74"/>
    <d v="1993-07-01T00:00:00"/>
    <n v="12500000"/>
    <n v="0"/>
  </r>
  <r>
    <s v="0009-01"/>
    <s v="Reading Civic Center Aug #1"/>
    <n v="3500000"/>
    <x v="6"/>
    <s v="Act 1988-113"/>
    <d v="1998-04-15T00:00:00"/>
    <n v="3500000"/>
    <n v="0"/>
  </r>
  <r>
    <s v="0009-02"/>
    <s v="Reading Civic Center Aug #2"/>
    <n v="2500000"/>
    <x v="6"/>
    <s v="Act 1999-035"/>
    <d v="2001-09-06T00:00:00"/>
    <n v="2500000"/>
    <n v="0"/>
  </r>
  <r>
    <s v="0114-00"/>
    <s v="Reading GPU Stadium"/>
    <n v="400000"/>
    <x v="6"/>
    <s v="Act 1999-035"/>
    <d v="2000-02-01T00:00:00"/>
    <n v="400000"/>
    <n v="0"/>
  </r>
  <r>
    <s v="0114-01"/>
    <s v="Reading GPU Stadium II"/>
    <n v="550000"/>
    <x v="6"/>
    <s v="Act 1999-035"/>
    <d v="2003-05-28T00:00:00"/>
    <n v="550000"/>
    <n v="0"/>
  </r>
  <r>
    <s v="0171-00"/>
    <s v="Children's Home of Reading"/>
    <n v="1000000"/>
    <x v="6"/>
    <s v="Act 2000-027"/>
    <d v="2001-11-06T00:00:00"/>
    <n v="1000000"/>
    <n v="0"/>
  </r>
  <r>
    <s v="0273-00"/>
    <s v="Cabella's"/>
    <n v="5000000"/>
    <x v="6"/>
    <s v="Act 2002-131"/>
    <d v="2003-12-29T00:00:00"/>
    <n v="5000000"/>
    <n v="0"/>
  </r>
  <r>
    <s v="0305-00"/>
    <s v="Goggle Works-Dalloz Building"/>
    <n v="3000000"/>
    <x v="6"/>
    <s v="Act 2004-040"/>
    <d v="2004-08-20T00:00:00"/>
    <n v="3000000"/>
    <n v="0"/>
  </r>
  <r>
    <s v="0305-01"/>
    <s v="Goggle Works Apartments and Parking"/>
    <n v="3500000"/>
    <x v="6"/>
    <s v="Act 2006-083"/>
    <d v="2006-08-17T00:00:00"/>
    <n v="3500000"/>
    <n v="0"/>
  </r>
  <r>
    <s v="0305-02"/>
    <s v="Goggle Works Parking and Apartments II"/>
    <n v="500000"/>
    <x v="6"/>
    <s v="Act 2006-083"/>
    <d v="2006-09-14T00:00:00"/>
    <n v="500000"/>
    <n v="0"/>
  </r>
  <r>
    <s v="0305-03"/>
    <s v="Goggle Works Apartments and Parking III"/>
    <n v="1000000"/>
    <x v="6"/>
    <s v="Act 2006-083"/>
    <d v="2008-02-28T00:00:00"/>
    <n v="1000000"/>
    <n v="0"/>
  </r>
  <r>
    <s v="0305-04"/>
    <s v="Goggle Works Apartments"/>
    <n v="500000"/>
    <x v="6"/>
    <s v="Act 2006-083"/>
    <d v="2008-03-12T00:00:00"/>
    <n v="500000"/>
    <n v="0"/>
  </r>
  <r>
    <s v="0305-05"/>
    <s v="Goggle Works Apartments and Parking Garage"/>
    <n v="1250000"/>
    <x v="6"/>
    <s v="Act 2006-083"/>
    <d v="2008-08-28T00:00:00"/>
    <n v="1250000"/>
    <n v="0"/>
  </r>
  <r>
    <s v="0305-06"/>
    <s v="Goggle Works Apartments"/>
    <n v="500000"/>
    <x v="6"/>
    <s v="Act 2006-083"/>
    <d v="2009-09-15T00:00:00"/>
    <n v="500000"/>
    <n v="0"/>
  </r>
  <r>
    <s v="0305-07"/>
    <s v="Goggleworks Apartments VII"/>
    <n v="1000000"/>
    <x v="6"/>
    <s v="Act 2008-041"/>
    <d v="2009-10-22T00:00:00"/>
    <n v="586199"/>
    <n v="413801"/>
  </r>
  <r>
    <s v="0305-08"/>
    <s v="Goggleworks Apartments IX"/>
    <n v="250000"/>
    <x v="6"/>
    <s v="Act 2006-083"/>
    <d v="2010-05-27T00:00:00"/>
    <n v="0"/>
    <n v="250000"/>
  </r>
  <r>
    <s v="0305-09"/>
    <s v="Goggleworks Apartments X"/>
    <n v="1500000"/>
    <x v="6"/>
    <s v="Act 2004-040"/>
    <d v="2012-04-09T00:00:00"/>
    <n v="0"/>
    <n v="1500000"/>
  </r>
  <r>
    <s v="0360-00"/>
    <s v="Exeter Community Library"/>
    <n v="500000"/>
    <x v="6"/>
    <s v="Act 2002-131"/>
    <d v="2005-05-20T00:00:00"/>
    <n v="500000"/>
    <n v="0"/>
  </r>
  <r>
    <s v="0361-00"/>
    <s v="Alvernia College"/>
    <n v="2000000"/>
    <x v="6"/>
    <s v="Act 2004-040"/>
    <d v="2005-05-20T00:00:00"/>
    <n v="2000000"/>
    <n v="0"/>
  </r>
  <r>
    <s v="0361-01"/>
    <s v="Alvernia College II"/>
    <n v="500000"/>
    <x v="6"/>
    <s v="Act 2004-040"/>
    <d v="2006-09-25T00:00:00"/>
    <n v="500000"/>
    <n v="0"/>
  </r>
  <r>
    <s v="0361-02"/>
    <s v="Alvernia College III"/>
    <n v="500000"/>
    <x v="6"/>
    <s v="Act 2008-041"/>
    <d v="2010-02-08T00:00:00"/>
    <n v="500000"/>
    <n v="0"/>
  </r>
  <r>
    <s v="0361-03"/>
    <s v="Alvernia University IV"/>
    <n v="500000"/>
    <x v="6"/>
    <s v="Act 2008-041"/>
    <d v="2010-10-12T00:00:00"/>
    <n v="0"/>
    <n v="500000"/>
  </r>
  <r>
    <s v="0484-00"/>
    <s v="West Reading Commercial Redevelopment/Penn View Mo"/>
    <n v="750000"/>
    <x v="6"/>
    <s v="Act 2002-131"/>
    <d v="2006-06-06T00:00:00"/>
    <n v="750000"/>
    <n v="0"/>
  </r>
  <r>
    <s v="0606-00"/>
    <s v="Reading Movie Theatre and Parking Garage"/>
    <n v="3000000"/>
    <x v="6"/>
    <s v="Act 2002-131"/>
    <d v="2006-06-06T00:00:00"/>
    <n v="3000000"/>
    <n v="0"/>
  </r>
  <r>
    <s v="0606-01"/>
    <s v="Reading Movie Theatre and Parking Garage II"/>
    <n v="0"/>
    <x v="6"/>
    <s v="Act 1988-113"/>
    <d v="2006-07-14T00:00:00"/>
    <n v="0"/>
    <n v="0"/>
  </r>
  <r>
    <s v="0606-02"/>
    <s v="Reading Movie Threate and Parking III"/>
    <n v="500000"/>
    <x v="6"/>
    <s v="Act 2006-083"/>
    <d v="2006-09-14T00:00:00"/>
    <n v="500000"/>
    <n v="0"/>
  </r>
  <r>
    <s v="0606-03"/>
    <s v="Reading Movie Theatre and Parking Garage IV"/>
    <n v="350000"/>
    <x v="6"/>
    <s v="Act 2006-083"/>
    <d v="2006-09-25T00:00:00"/>
    <n v="350000"/>
    <n v="0"/>
  </r>
  <r>
    <s v="0606-04"/>
    <s v="Reading Movie Theatre and Parking Garage V"/>
    <n v="500000"/>
    <x v="6"/>
    <s v="Act 2006-083"/>
    <d v="2007-06-12T00:00:00"/>
    <n v="500000"/>
    <n v="0"/>
  </r>
  <r>
    <s v="0632-00"/>
    <s v="Keystone Food Industry Park"/>
    <n v="3000000"/>
    <x v="6"/>
    <s v="Act 2004-040"/>
    <d v="2006-06-06T00:00:00"/>
    <n v="2925000"/>
    <n v="75000"/>
  </r>
  <r>
    <s v="0641-00"/>
    <s v="Wyomissing Square"/>
    <n v="1000000"/>
    <x v="6"/>
    <s v="Act 2006-083"/>
    <d v="2007-03-08T00:00:00"/>
    <n v="1000000"/>
    <n v="0"/>
  </r>
  <r>
    <s v="0690-00"/>
    <s v="Albright College"/>
    <n v="5000000"/>
    <x v="6"/>
    <s v="Act 2008-041"/>
    <d v="2008-09-26T00:00:00"/>
    <n v="5000000"/>
    <n v="0"/>
  </r>
  <r>
    <s v="0690-01"/>
    <s v="Albright College II"/>
    <n v="500000"/>
    <x v="6"/>
    <s v="Act 2008-041"/>
    <d v="2008-12-11T00:00:00"/>
    <n v="500000"/>
    <n v="0"/>
  </r>
  <r>
    <s v="0690-02"/>
    <s v="Albright College III"/>
    <n v="500000"/>
    <x v="6"/>
    <s v="Act 2008-041"/>
    <d v="2009-06-15T00:00:00"/>
    <n v="380000"/>
    <n v="120000"/>
  </r>
  <r>
    <s v="0772-00"/>
    <s v="Reading 700 Penn Street Project"/>
    <n v="3750000"/>
    <x v="6"/>
    <s v="Act 2004-040"/>
    <d v="2006-06-06T00:00:00"/>
    <n v="3750000"/>
    <n v="0"/>
  </r>
  <r>
    <s v="0772-01"/>
    <s v="Reading 700 Penn Street Project II"/>
    <n v="500000"/>
    <x v="6"/>
    <s v="Act 2004-040"/>
    <d v="2006-08-17T00:00:00"/>
    <n v="500000"/>
    <n v="0"/>
  </r>
  <r>
    <s v="0772-02"/>
    <s v="Reading 700 Penn Street Project"/>
    <n v="1750000"/>
    <x v="6"/>
    <s v="Act 2006-083"/>
    <d v="2006-08-17T00:00:00"/>
    <n v="1750000"/>
    <n v="0"/>
  </r>
  <r>
    <s v="0786-00"/>
    <s v="Goggle Works Neighborhood Lighting"/>
    <n v="500000"/>
    <x v="6"/>
    <s v="Act 2006-083"/>
    <d v="2008-09-26T00:00:00"/>
    <n v="500000"/>
    <n v="0"/>
  </r>
  <r>
    <s v="0821-00"/>
    <s v="Reading Central Branch YMCA"/>
    <n v="500000"/>
    <x v="6"/>
    <s v="Act 2008-048"/>
    <d v="2009-03-09T00:00:00"/>
    <n v="500000"/>
    <n v="0"/>
  </r>
  <r>
    <s v="0877-00"/>
    <s v="First Energy Stadium"/>
    <n v="1500000"/>
    <x v="6"/>
    <s v="Act 2008-041"/>
    <d v="2010-02-08T00:00:00"/>
    <n v="1500000"/>
    <n v="0"/>
  </r>
  <r>
    <s v="0877-01"/>
    <s v="First Energy Stadium II"/>
    <n v="1500000"/>
    <x v="6"/>
    <s v="Act 2008-041"/>
    <d v="2010-02-23T00:00:00"/>
    <n v="1500000"/>
    <n v="0"/>
  </r>
  <r>
    <s v="0877-02"/>
    <s v="First Energy Stadium III"/>
    <n v="1500000"/>
    <x v="6"/>
    <s v="Act 2008-041"/>
    <d v="2010-02-23T00:00:00"/>
    <n v="1500000"/>
    <n v="0"/>
  </r>
  <r>
    <s v="0877-03"/>
    <s v="First Energy Stadium IV"/>
    <n v="500000"/>
    <x v="6"/>
    <s v="Act 2008-041"/>
    <d v="2010-03-23T00:00:00"/>
    <n v="500000"/>
    <n v="0"/>
  </r>
  <r>
    <s v="0996-00"/>
    <s v="Berks County Convention Center Hotel"/>
    <n v="12000000"/>
    <x v="6"/>
    <s v="Act 2006-083"/>
    <d v="2008-08-28T00:00:00"/>
    <n v="0"/>
    <n v="12000000"/>
  </r>
  <r>
    <s v="0996-01"/>
    <s v="Berks Convention Center Hotel II"/>
    <n v="2000000"/>
    <x v="6"/>
    <s v="Act 2006-083"/>
    <d v="2010-09-15T00:00:00"/>
    <n v="0"/>
    <n v="2000000"/>
  </r>
  <r>
    <s v="0996-02"/>
    <s v="Berks Convention Center Hotel III"/>
    <n v="2500000"/>
    <x v="6"/>
    <s v="Act 2004-040"/>
    <d v="2010-10-12T00:00:00"/>
    <n v="0"/>
    <n v="2500000"/>
  </r>
  <r>
    <s v="0996-03"/>
    <s v="Berks Convention Center Hotel IV"/>
    <n v="3000000"/>
    <x v="6"/>
    <s v="Act 2006-083"/>
    <d v="2013-02-11T00:00:00"/>
    <n v="0"/>
    <n v="3000000"/>
  </r>
  <r>
    <s v="1009-00"/>
    <s v="Goggleworks II-Incubator/Restaurant"/>
    <n v="1000000"/>
    <x v="6"/>
    <s v="Act 2004-040"/>
    <d v="2010-10-12T00:00:00"/>
    <n v="0"/>
    <n v="1000000"/>
  </r>
  <r>
    <s v="1009-01"/>
    <s v="Goggleworks II- Incubator/Restaurant"/>
    <n v="2000000"/>
    <x v="6"/>
    <s v="Act 2002-131"/>
    <d v="2010-10-12T00:00:00"/>
    <n v="0"/>
    <n v="2000000"/>
  </r>
  <r>
    <s v="1095-00"/>
    <s v="Opportunity House 2nd Street Learning Center"/>
    <n v="250000"/>
    <x v="6"/>
    <s v="Act 2006-083"/>
    <d v="2010-11-22T00:00:00"/>
    <n v="243750"/>
    <n v="6250"/>
  </r>
  <r>
    <s v="1130-00"/>
    <s v="Reading Public Library"/>
    <n v="250000"/>
    <x v="6"/>
    <s v="Act 2010-082"/>
    <d v="2010-11-22T00:00:00"/>
    <n v="0"/>
    <n v="250000"/>
  </r>
  <r>
    <s v="1152-00"/>
    <s v="Berks Women in Crisis Center"/>
    <n v="250000"/>
    <x v="6"/>
    <s v="Act 2010-082"/>
    <d v="2010-11-22T00:00:00"/>
    <n v="0"/>
    <n v="250000"/>
  </r>
  <r>
    <s v="1164-00"/>
    <s v="Community Foundation Headquarters"/>
    <n v="250000"/>
    <x v="6"/>
    <s v="Act 2006-083"/>
    <d v="2010-11-22T00:00:00"/>
    <n v="0"/>
    <n v="250000"/>
  </r>
  <r>
    <s v="1259-00"/>
    <s v="Berks County Brownfield Site"/>
    <n v="500000"/>
    <x v="6"/>
    <s v="Act 2006-083"/>
    <d v="2011-01-03T00:00:00"/>
    <n v="0"/>
    <n v="500000"/>
  </r>
  <r>
    <s v="1311-00"/>
    <s v="African American Museum-Reading"/>
    <n v="2350000"/>
    <x v="6"/>
    <s v="Act 2004-040"/>
    <d v="2007-03-08T00:00:00"/>
    <n v="0"/>
    <n v="2350000"/>
  </r>
  <r>
    <s v="1311-01"/>
    <s v="African American Museum Reading II"/>
    <n v="650000"/>
    <x v="6"/>
    <s v="Act 2004-040"/>
    <d v="2007-07-03T00:00:00"/>
    <n v="0"/>
    <n v="650000"/>
  </r>
  <r>
    <s v="3000-00"/>
    <s v="Philosopher's Landing/Amphitheatre Park"/>
    <n v="0"/>
    <x v="6"/>
    <s v="Act 2002-131"/>
    <d v="2006-06-06T00:00:00"/>
    <n v="0"/>
    <n v="0"/>
  </r>
  <r>
    <s v="3000-01"/>
    <s v="Philosopher's Landing-Pedestrian Bridge"/>
    <n v="1000000"/>
    <x v="6"/>
    <s v="Act 2006-083"/>
    <d v="2008-04-02T00:00:00"/>
    <n v="0"/>
    <n v="1000000"/>
  </r>
  <r>
    <s v="3000-02"/>
    <s v="Antietam Lake Park"/>
    <n v="1000000"/>
    <x v="6"/>
    <s v="Act 2004-040"/>
    <d v="2012-11-06T00:00:00"/>
    <n v="0"/>
    <n v="1000000"/>
  </r>
  <r>
    <s v="3750-00"/>
    <s v="Godiva"/>
    <n v="2000000"/>
    <x v="6"/>
    <s v="Act 2010-047"/>
    <d v="2010-12-20T00:00:00"/>
    <n v="0"/>
    <n v="2000000"/>
  </r>
  <r>
    <s v="3897-00"/>
    <s v="Berks Park 78 Domestic Water Supply System"/>
    <n v="500000"/>
    <x v="6"/>
    <s v="Act 2004-040"/>
    <d v="2013-02-11T00:00:00"/>
    <n v="0"/>
    <n v="500000"/>
  </r>
  <r>
    <s v="8021-00"/>
    <s v="Reading 700 Penn Street Project III"/>
    <n v="0"/>
    <x v="6"/>
    <s v="Act 2006-083"/>
    <d v="2006-09-14T00:00:00"/>
    <n v="0"/>
    <n v="0"/>
  </r>
  <r>
    <s v="0034-00"/>
    <s v="Hollidaysburg Vistors Ctr"/>
    <n v="1000000"/>
    <x v="7"/>
    <s v="Act 1993- 47"/>
    <d v="1993-07-01T00:00:00"/>
    <n v="1000000"/>
    <n v="0"/>
  </r>
  <r>
    <s v="0040-00"/>
    <s v="Altoona Discovery Center"/>
    <n v="2500000"/>
    <x v="7"/>
    <s v="Act 1993- 47"/>
    <d v="1993-07-01T00:00:00"/>
    <n v="2500000"/>
    <n v="0"/>
  </r>
  <r>
    <s v="0043-00"/>
    <s v="Altoona Railroaders Museum"/>
    <n v="7700000"/>
    <x v="7"/>
    <s v="Act 1993- 47"/>
    <d v="1993-07-01T00:00:00"/>
    <n v="7699999.9899999993"/>
    <n v="0.01"/>
  </r>
  <r>
    <s v="0070-00"/>
    <s v="Altoona Baseball Stadium"/>
    <n v="10800000"/>
    <x v="7"/>
    <s v="Act 1997- 47"/>
    <d v="1997-10-10T00:00:00"/>
    <n v="10800000"/>
    <n v="0"/>
  </r>
  <r>
    <s v="0074-00"/>
    <s v="Blair County Convention Center"/>
    <n v="17500000"/>
    <x v="7"/>
    <s v="Act 1994- 74"/>
    <d v="1998-01-15T00:00:00"/>
    <n v="17500000"/>
    <n v="0"/>
  </r>
  <r>
    <s v="0131-00"/>
    <s v="Blair County Historical Society-Baker Mansion"/>
    <n v="700000"/>
    <x v="7"/>
    <s v="Act 1997- 47"/>
    <d v="1998-04-06T00:00:00"/>
    <n v="700000"/>
    <n v="0"/>
  </r>
  <r>
    <s v="0131-01"/>
    <s v="Blair County Historical Society-Baker Mansion -1"/>
    <n v="0"/>
    <x v="7"/>
    <s v="Act 1997- 47"/>
    <d v="2005-01-28T00:00:00"/>
    <n v="0"/>
    <n v="0"/>
  </r>
  <r>
    <s v="0163-00"/>
    <s v="DeVorris Business Park"/>
    <n v="1385000"/>
    <x v="7"/>
    <s v="Act 1997- 47"/>
    <d v="2001-06-29T00:00:00"/>
    <n v="1385000"/>
    <n v="0"/>
  </r>
  <r>
    <s v="0210-00"/>
    <s v="Morrison's Cove Memorial Park"/>
    <n v="970000"/>
    <x v="7"/>
    <s v="Act 1999-035"/>
    <d v="2001-10-03T00:00:00"/>
    <n v="970000"/>
    <n v="0"/>
  </r>
  <r>
    <s v="0264-00"/>
    <s v="Tyrone Mill-ABCD"/>
    <n v="3000000"/>
    <x v="7"/>
    <s v="Act 2002-131"/>
    <d v="2003-05-14T00:00:00"/>
    <n v="3000000"/>
    <n v="0"/>
  </r>
  <r>
    <s v="0336-00"/>
    <s v="Logan Towne Center"/>
    <n v="3250000"/>
    <x v="7"/>
    <s v="Act 2002-131"/>
    <d v="2005-07-22T00:00:00"/>
    <n v="3250000"/>
    <n v="0"/>
  </r>
  <r>
    <s v="0336-01"/>
    <s v="Logan Towne Center"/>
    <n v="1750000"/>
    <x v="7"/>
    <s v="Act 2002-131"/>
    <d v="2005-07-22T00:00:00"/>
    <n v="1750000"/>
    <n v="0"/>
  </r>
  <r>
    <s v="0404-00"/>
    <s v="Altoona Railroaders Museum  II"/>
    <n v="1600000"/>
    <x v="7"/>
    <s v="Act 2002-131"/>
    <d v="2003-02-04T00:00:00"/>
    <n v="1599999.9999999998"/>
    <n v="0"/>
  </r>
  <r>
    <s v="0404-01"/>
    <s v="Railroaders Memorial Museum"/>
    <n v="2150000"/>
    <x v="7"/>
    <s v="Act 2006-083"/>
    <d v="2009-03-18T00:00:00"/>
    <n v="1168431"/>
    <n v="981569"/>
  </r>
  <r>
    <s v="0487-00"/>
    <s v="Hollidaysburg Car Shop"/>
    <n v="2000000"/>
    <x v="7"/>
    <s v="Act 2002-131"/>
    <d v="2006-03-30T00:00:00"/>
    <n v="2000000"/>
    <n v="0"/>
  </r>
  <r>
    <s v="0511-00"/>
    <s v="Hollidaysburg  Area YMCA Addition"/>
    <n v="2000000"/>
    <x v="7"/>
    <s v="Act 2002-131"/>
    <d v="2006-02-09T00:00:00"/>
    <n v="2000000"/>
    <n v="0"/>
  </r>
  <r>
    <s v="0654-00"/>
    <s v="Blair County Ballpark Renovations"/>
    <n v="1300000"/>
    <x v="7"/>
    <s v="Act 2008-041"/>
    <d v="2008-10-14T00:00:00"/>
    <n v="1296811"/>
    <n v="3189"/>
  </r>
  <r>
    <s v="1055-00"/>
    <s v="American Eagle Expansion"/>
    <n v="2000000"/>
    <x v="7"/>
    <s v="Act 2002-131"/>
    <d v="2010-11-15T00:00:00"/>
    <n v="0"/>
    <n v="2000000"/>
  </r>
  <r>
    <s v="1071-00"/>
    <s v="Blair County Business Park"/>
    <n v="3500000"/>
    <x v="7"/>
    <s v="Act 2008-041"/>
    <d v="2010-11-15T00:00:00"/>
    <n v="0"/>
    <n v="3500000"/>
  </r>
  <r>
    <s v="1213-00"/>
    <s v="Altoona Regional Health System"/>
    <n v="1000000"/>
    <x v="7"/>
    <s v="Act 2006-083"/>
    <d v="2011-01-03T00:00:00"/>
    <n v="50563"/>
    <n v="949437"/>
  </r>
  <r>
    <s v="0108-00"/>
    <s v="Towanda Downtown Revitalization"/>
    <n v="3250000"/>
    <x v="8"/>
    <s v="Act 1999-035"/>
    <d v="1999-07-07T00:00:00"/>
    <n v="3250000"/>
    <n v="0"/>
  </r>
  <r>
    <s v="0301-00"/>
    <s v="Dupont Imaging Technologies"/>
    <n v="15000000"/>
    <x v="8"/>
    <s v="Act 2003-  2"/>
    <d v="2004-01-23T00:00:00"/>
    <n v="15000000"/>
    <n v="0"/>
  </r>
  <r>
    <s v="0550-00"/>
    <s v="Towanda Football Stadium-Endless Mountains Sc Dist"/>
    <n v="1500000"/>
    <x v="8"/>
    <s v="Act 2004-040"/>
    <d v="2007-03-08T00:00:00"/>
    <n v="1500000"/>
    <n v="0"/>
  </r>
  <r>
    <s v="1133-00"/>
    <s v="Towanda Downtown Revitalization"/>
    <n v="5000000"/>
    <x v="8"/>
    <s v="Act 2010-047"/>
    <d v="2010-11-15T00:00:00"/>
    <n v="0"/>
    <n v="5000000"/>
  </r>
  <r>
    <s v="3898-00"/>
    <s v="Guthrie Health Replacement Facility"/>
    <n v="2000000"/>
    <x v="8"/>
    <s v="Act 2010-082"/>
    <d v="2013-02-11T00:00:00"/>
    <n v="0"/>
    <n v="2000000"/>
  </r>
  <r>
    <s v="0000-31"/>
    <s v="Michener Arts Center (DCA)"/>
    <n v="400000"/>
    <x v="9"/>
    <s v="Act 1988-113"/>
    <m/>
    <n v="400000"/>
    <n v="0"/>
  </r>
  <r>
    <s v="0231-00"/>
    <s v="Michener Art Museum"/>
    <n v="750000"/>
    <x v="9"/>
    <s v="Act 1999-035"/>
    <d v="2002-10-26T00:00:00"/>
    <n v="750000"/>
    <n v="0"/>
  </r>
  <r>
    <s v="0231-01"/>
    <s v="James A. Michener Art Museum III"/>
    <n v="3000000"/>
    <x v="9"/>
    <s v="Act 2004-040"/>
    <d v="2006-04-06T00:00:00"/>
    <n v="3000000"/>
    <n v="0"/>
  </r>
  <r>
    <s v="0243-00"/>
    <s v="Delaware Valley College-Animal Biotech"/>
    <n v="7900000"/>
    <x v="9"/>
    <s v="Act 2002-131"/>
    <d v="2003-01-07T00:00:00"/>
    <n v="7900000"/>
    <n v="0"/>
  </r>
  <r>
    <s v="0244-00"/>
    <s v="Lower Bucks Hospital"/>
    <n v="5000000"/>
    <x v="9"/>
    <s v="Act 2000-027"/>
    <d v="2002-12-23T00:00:00"/>
    <n v="5000000"/>
    <n v="0"/>
  </r>
  <r>
    <s v="0248-00"/>
    <s v="Doylestown Cultural District"/>
    <n v="768000"/>
    <x v="9"/>
    <s v="Act 2002-131"/>
    <d v="2002-10-26T00:00:00"/>
    <n v="487955"/>
    <n v="280045"/>
  </r>
  <r>
    <s v="0256-00"/>
    <s v="Bensalem Community Center"/>
    <n v="2000000"/>
    <x v="9"/>
    <s v="Act 2000-027"/>
    <d v="2002-10-04T00:00:00"/>
    <n v="1902116"/>
    <n v="97884"/>
  </r>
  <r>
    <s v="0257-00"/>
    <s v="Horizon Corporate Center"/>
    <n v="2500000"/>
    <x v="9"/>
    <s v="Act 2002-131"/>
    <d v="2002-11-23T00:00:00"/>
    <n v="2500000"/>
    <n v="0"/>
  </r>
  <r>
    <s v="0259-00"/>
    <s v="Henry C. Morgan Stadium"/>
    <n v="1000000"/>
    <x v="9"/>
    <s v="Act 2002-131"/>
    <d v="2002-11-28T00:00:00"/>
    <n v="913074.15"/>
    <n v="86925.85"/>
  </r>
  <r>
    <s v="0276-00"/>
    <s v="Lower Southampton Library"/>
    <n v="1245105"/>
    <x v="9"/>
    <s v="Act 2000-027"/>
    <d v="2002-10-26T00:00:00"/>
    <n v="1245105"/>
    <n v="0"/>
  </r>
  <r>
    <s v="0298-00"/>
    <s v="Riverside Construction Materials-Silvi Corp"/>
    <n v="1850000"/>
    <x v="9"/>
    <s v="Act 2004-040"/>
    <d v="2004-08-27T00:00:00"/>
    <n v="1850000"/>
    <n v="0"/>
  </r>
  <r>
    <s v="0347-00"/>
    <s v="Quakertown Library"/>
    <n v="1500000"/>
    <x v="9"/>
    <s v="Act 2002-131"/>
    <d v="2002-11-23T00:00:00"/>
    <n v="1500000"/>
    <n v="0"/>
  </r>
  <r>
    <s v="0388-00"/>
    <s v="Downtown Doylestown Parking Garage"/>
    <n v="4500000"/>
    <x v="9"/>
    <s v="Act 2002-131"/>
    <d v="2002-11-23T00:00:00"/>
    <n v="4500000"/>
    <n v="0"/>
  </r>
  <r>
    <s v="0388-01"/>
    <s v="Downtown Doylestown Parking Garage"/>
    <n v="1200000"/>
    <x v="9"/>
    <s v="Act 2006-083"/>
    <d v="2010-02-23T00:00:00"/>
    <n v="1200000"/>
    <n v="0"/>
  </r>
  <r>
    <s v="0402-00"/>
    <s v="AE Staley Morrisville Industrial Site"/>
    <n v="2000000"/>
    <x v="9"/>
    <s v="Act 2004-040"/>
    <d v="2004-08-27T00:00:00"/>
    <n v="0"/>
    <n v="2000000"/>
  </r>
  <r>
    <s v="0412-00"/>
    <s v="St. Mary's Medical Center"/>
    <n v="500000"/>
    <x v="9"/>
    <s v="Act 2004-040"/>
    <d v="2005-04-14T00:00:00"/>
    <n v="500000"/>
    <n v="0"/>
  </r>
  <r>
    <s v="0412-01"/>
    <s v="St. Mary's Medical Center II"/>
    <n v="1000000"/>
    <x v="9"/>
    <s v="Act 2006-083"/>
    <d v="2007-03-29T00:00:00"/>
    <n v="1000000"/>
    <n v="0"/>
  </r>
  <r>
    <s v="0412-02"/>
    <s v="St. Mary's Medical Center III"/>
    <n v="1000000"/>
    <x v="9"/>
    <s v="Act 2006-083"/>
    <d v="2008-08-28T00:00:00"/>
    <n v="1000000"/>
    <n v="0"/>
  </r>
  <r>
    <s v="0412-03"/>
    <s v="St. Mary's Medical Center IV"/>
    <n v="250000"/>
    <x v="9"/>
    <s v="Act 2008-041"/>
    <d v="2008-10-15T00:00:00"/>
    <n v="250000"/>
    <n v="0"/>
  </r>
  <r>
    <s v="0412-04"/>
    <s v="St. Mary's Medical Center V"/>
    <n v="1000000"/>
    <x v="9"/>
    <s v="Act 2008-041"/>
    <d v="2010-05-18T00:00:00"/>
    <n v="0"/>
    <n v="1000000"/>
  </r>
  <r>
    <s v="0412-05"/>
    <s v="St. Mary's Medical Center VI"/>
    <n v="1000000"/>
    <x v="9"/>
    <s v="Act 2006-083"/>
    <d v="2010-07-15T00:00:00"/>
    <n v="0"/>
    <n v="1000000"/>
  </r>
  <r>
    <s v="0412-06"/>
    <s v="St. Mary's Medical Center VII"/>
    <n v="1000000"/>
    <x v="9"/>
    <s v="Act 2008-041"/>
    <d v="2010-11-18T00:00:00"/>
    <n v="0"/>
    <n v="1000000"/>
  </r>
  <r>
    <s v="0412-07"/>
    <s v="St. Mary Medical Center Surgical Services"/>
    <n v="3000000"/>
    <x v="9"/>
    <s v="Act 2004-040"/>
    <d v="2013-02-11T00:00:00"/>
    <n v="0"/>
    <n v="3000000"/>
  </r>
  <r>
    <s v="0441-00"/>
    <s v="Northampton Township Senior Center-Bucks"/>
    <n v="500000"/>
    <x v="9"/>
    <s v="Act 2004-040"/>
    <d v="2005-04-14T00:00:00"/>
    <n v="500000"/>
    <n v="0"/>
  </r>
  <r>
    <s v="0442-00"/>
    <s v="Northampton Twp Free Library-Bucks"/>
    <n v="500000"/>
    <x v="9"/>
    <s v="Act 2004-040"/>
    <d v="2005-04-14T00:00:00"/>
    <n v="500000"/>
    <n v="0"/>
  </r>
  <r>
    <s v="0568-00"/>
    <s v="Port of Bucks Renovations"/>
    <n v="700000"/>
    <x v="9"/>
    <s v="Act 2006-083"/>
    <d v="2006-09-25T00:00:00"/>
    <n v="700000"/>
    <n v="0"/>
  </r>
  <r>
    <s v="0613-00"/>
    <s v="Bristol Borough Police Station"/>
    <n v="250000"/>
    <x v="9"/>
    <s v="Act 2006-083"/>
    <d v="2007-03-27T00:00:00"/>
    <n v="250000"/>
    <n v="0"/>
  </r>
  <r>
    <s v="0681-00"/>
    <s v="Bensalem Township Police Building"/>
    <n v="250000"/>
    <x v="9"/>
    <s v="Act 2008-041"/>
    <d v="2008-09-26T00:00:00"/>
    <n v="250000"/>
    <n v="0"/>
  </r>
  <r>
    <s v="0681-01"/>
    <s v="Bensalem Township Police Building II"/>
    <n v="1000000"/>
    <x v="9"/>
    <s v="Act 2008-041"/>
    <d v="2010-05-18T00:00:00"/>
    <n v="1000000"/>
    <n v="0"/>
  </r>
  <r>
    <s v="0681-02"/>
    <s v="Bensalem Township Police Building III"/>
    <n v="500000"/>
    <x v="9"/>
    <s v="Act 2008-041"/>
    <d v="2010-09-15T00:00:00"/>
    <n v="465000"/>
    <n v="35000"/>
  </r>
  <r>
    <s v="0683-00"/>
    <s v="Bensalem Beautification Project"/>
    <n v="1000000"/>
    <x v="9"/>
    <s v="Act 2006-083"/>
    <d v="2007-09-04T00:00:00"/>
    <n v="757684"/>
    <n v="242316"/>
  </r>
  <r>
    <s v="0683-01"/>
    <s v="Bensalem Beautification Project II"/>
    <n v="500000"/>
    <x v="9"/>
    <s v="Act 2006-083"/>
    <d v="2010-07-15T00:00:00"/>
    <n v="0"/>
    <n v="500000"/>
  </r>
  <r>
    <s v="0715-00"/>
    <s v="Mercer Museum"/>
    <n v="2000000"/>
    <x v="9"/>
    <s v="Act 2008-041"/>
    <d v="2008-08-28T00:00:00"/>
    <n v="2000000"/>
    <n v="0"/>
  </r>
  <r>
    <s v="0715-01"/>
    <s v="Mercer Museum II"/>
    <n v="2000000"/>
    <x v="9"/>
    <s v="Act 2008-041"/>
    <d v="2009-04-27T00:00:00"/>
    <n v="2000000"/>
    <n v="0"/>
  </r>
  <r>
    <s v="0715-02"/>
    <s v="Mercer Museum III"/>
    <n v="1000000"/>
    <x v="9"/>
    <s v="Act 2008-041"/>
    <d v="2010-08-03T00:00:00"/>
    <n v="900000"/>
    <n v="100000"/>
  </r>
  <r>
    <s v="0725-00"/>
    <s v="Livengrin Foundation Drug and Alcohol"/>
    <n v="500000"/>
    <x v="9"/>
    <s v="Act 2008-041"/>
    <d v="2008-09-26T00:00:00"/>
    <n v="487500"/>
    <n v="12500"/>
  </r>
  <r>
    <s v="0854-00"/>
    <s v="Bristol Township Business District Improvements"/>
    <n v="500000"/>
    <x v="9"/>
    <s v="Act 2004-040"/>
    <d v="2007-09-04T00:00:00"/>
    <n v="0"/>
    <n v="500000"/>
  </r>
  <r>
    <s v="0854-01"/>
    <s v="Bristol Township Business District Improvements II"/>
    <n v="500000"/>
    <x v="9"/>
    <s v="Act 2004-040"/>
    <d v="2011-01-03T00:00:00"/>
    <n v="0"/>
    <n v="500000"/>
  </r>
  <r>
    <s v="0934-00"/>
    <s v="James A. Michener Museum IV"/>
    <n v="2000000"/>
    <x v="9"/>
    <s v="Act 2006-083"/>
    <d v="2010-06-17T00:00:00"/>
    <n v="1950000"/>
    <n v="50000"/>
  </r>
  <r>
    <s v="0954-00"/>
    <s v="Churchville Nature Center"/>
    <n v="1000000"/>
    <x v="9"/>
    <s v="Act 2006-083"/>
    <d v="2010-07-15T00:00:00"/>
    <n v="460759"/>
    <n v="539241"/>
  </r>
  <r>
    <s v="1023-00"/>
    <s v="Somerton Court Residence"/>
    <n v="2000000"/>
    <x v="9"/>
    <s v="Act 2010-082"/>
    <d v="2010-11-15T00:00:00"/>
    <n v="0"/>
    <n v="2000000"/>
  </r>
  <r>
    <s v="1023-01"/>
    <s v="Somerton Court II"/>
    <n v="500000"/>
    <x v="9"/>
    <s v="Act 2010-082"/>
    <d v="2011-01-03T00:00:00"/>
    <n v="0"/>
    <n v="500000"/>
  </r>
  <r>
    <s v="1047-00"/>
    <s v="Lower Makefield Township Athletic Complex"/>
    <n v="2000000"/>
    <x v="9"/>
    <s v="Act 2010-082"/>
    <d v="2010-12-20T00:00:00"/>
    <n v="0"/>
    <n v="2000000"/>
  </r>
  <r>
    <s v="1075-00"/>
    <s v="Libertae Learning Center"/>
    <n v="500000"/>
    <x v="9"/>
    <s v="Act 2008-041"/>
    <d v="2010-09-15T00:00:00"/>
    <n v="0"/>
    <n v="500000"/>
  </r>
  <r>
    <s v="1126-00"/>
    <s v="Delaware Valley College Life Science &amp; Applied"/>
    <n v="1000000"/>
    <x v="9"/>
    <s v="Act 2010-082"/>
    <d v="2010-11-17T00:00:00"/>
    <n v="0"/>
    <n v="1000000"/>
  </r>
  <r>
    <s v="1126-01"/>
    <s v="Delaware Valley College Life Science &amp; Applied II"/>
    <n v="2200000"/>
    <x v="9"/>
    <s v="Act 2010-082"/>
    <d v="2011-01-03T00:00:00"/>
    <n v="0"/>
    <n v="2200000"/>
  </r>
  <r>
    <s v="1159-00"/>
    <s v="Bucks County Community College Public Safety Build"/>
    <n v="1500000"/>
    <x v="9"/>
    <s v="Act 2010-082"/>
    <d v="2011-01-10T00:00:00"/>
    <n v="0"/>
    <n v="1500000"/>
  </r>
  <r>
    <s v="1169-00"/>
    <s v="Bensalem Township Open Space Project"/>
    <n v="2500000"/>
    <x v="9"/>
    <s v="Act 2010-082"/>
    <d v="2011-01-13T00:00:00"/>
    <n v="2500000"/>
    <n v="0"/>
  </r>
  <r>
    <s v="1169-01"/>
    <s v="Bensalem Township Golf Course"/>
    <n v="1000000"/>
    <x v="9"/>
    <s v="Act 2008-041"/>
    <d v="2010-10-12T00:00:00"/>
    <n v="912500"/>
    <n v="87500"/>
  </r>
  <r>
    <s v="1176-00"/>
    <s v="Route 95 Industrial Center"/>
    <n v="500000"/>
    <x v="9"/>
    <s v="Act 2010-082"/>
    <d v="2011-01-03T00:00:00"/>
    <n v="0"/>
    <n v="500000"/>
  </r>
  <r>
    <s v="1177-00"/>
    <s v="Bucks County Beautification Project"/>
    <n v="1500000"/>
    <x v="9"/>
    <s v="Act 2010-082"/>
    <d v="2011-01-03T00:00:00"/>
    <n v="0"/>
    <n v="1500000"/>
  </r>
  <r>
    <s v="1210-00"/>
    <s v="Upper Southampton Township Storm Water Management"/>
    <n v="500000"/>
    <x v="9"/>
    <s v="Act 2010-082"/>
    <d v="2011-01-03T00:00:00"/>
    <n v="459475"/>
    <n v="40525"/>
  </r>
  <r>
    <s v="1223-00"/>
    <s v="Pearl S. Buck International"/>
    <n v="780000"/>
    <x v="9"/>
    <s v="Act 2010-082"/>
    <d v="2011-01-03T00:00:00"/>
    <n v="325145"/>
    <n v="454855"/>
  </r>
  <r>
    <s v="1234-00"/>
    <s v="Warminster Township Storm Water Management"/>
    <n v="500000"/>
    <x v="9"/>
    <s v="Act 2010-082"/>
    <d v="2010-12-08T00:00:00"/>
    <n v="0"/>
    <n v="500000"/>
  </r>
  <r>
    <s v="3082-00"/>
    <s v="Morrisville Firehouse"/>
    <n v="0"/>
    <x v="9"/>
    <s v="Act 2006-083"/>
    <d v="2006-12-11T00:00:00"/>
    <n v="0"/>
    <n v="0"/>
  </r>
  <r>
    <s v="3276-00"/>
    <s v="Bucks County Emergency Service Center"/>
    <n v="0"/>
    <x v="9"/>
    <s v="Act 2004-040"/>
    <d v="2008-12-11T00:00:00"/>
    <n v="0"/>
    <n v="0"/>
  </r>
  <r>
    <s v="8003-00"/>
    <s v="Lenape Valley Foundation"/>
    <n v="0"/>
    <x v="9"/>
    <s v="Act 2002-131"/>
    <d v="2002-11-27T00:00:00"/>
    <n v="0"/>
    <n v="0"/>
  </r>
  <r>
    <s v="8005-00"/>
    <s v="Bucks County Port"/>
    <n v="0"/>
    <x v="9"/>
    <s v="Act 2002-131"/>
    <d v="2003-01-16T00:00:00"/>
    <n v="0"/>
    <n v="0"/>
  </r>
  <r>
    <s v="8012-00"/>
    <s v="Pennridge Community Senior Center"/>
    <n v="0"/>
    <x v="9"/>
    <s v="Act 2004-040"/>
    <d v="2005-04-14T00:00:00"/>
    <n v="0"/>
    <n v="0"/>
  </r>
  <r>
    <s v="8019-00"/>
    <s v="Family Services of Bucks County"/>
    <n v="0"/>
    <x v="9"/>
    <s v="Act 2004-040"/>
    <d v="2006-04-27T00:00:00"/>
    <n v="0"/>
    <n v="0"/>
  </r>
  <r>
    <s v="8041-00"/>
    <s v="Warwick Township Fire Company"/>
    <n v="0"/>
    <x v="9"/>
    <s v="Act 2010-082"/>
    <d v="2011-01-03T00:00:00"/>
    <n v="0"/>
    <n v="0"/>
  </r>
  <r>
    <s v="0096-00"/>
    <s v="Victory Road Business Park - Clinton Twp"/>
    <n v="1875000"/>
    <x v="10"/>
    <s v="Act 1997- 47"/>
    <d v="1998-06-12T00:00:00"/>
    <n v="1875000"/>
    <n v="0"/>
  </r>
  <r>
    <s v="0096-01"/>
    <s v="Victory Road Business Park - Clinton Twp Augment"/>
    <n v="625000"/>
    <x v="10"/>
    <s v="Act 1997- 47"/>
    <d v="2000-01-15T00:00:00"/>
    <n v="625000"/>
    <n v="0"/>
  </r>
  <r>
    <s v="0211-00"/>
    <s v="Slippery Rock Streetscape"/>
    <n v="2000000"/>
    <x v="10"/>
    <s v="Act 2000-027"/>
    <d v="2002-07-11T00:00:00"/>
    <n v="2000000"/>
    <n v="0"/>
  </r>
  <r>
    <s v="0215-00"/>
    <s v="Agri-Business Zone Project"/>
    <n v="0"/>
    <x v="10"/>
    <s v="Act 1999-035"/>
    <d v="2000-12-18T00:00:00"/>
    <n v="0"/>
    <n v="0"/>
  </r>
  <r>
    <s v="0344-00"/>
    <s v="Pullman Business Park"/>
    <n v="1500000"/>
    <x v="10"/>
    <s v="Act 2004-040"/>
    <d v="2004-08-15T00:00:00"/>
    <n v="1500000"/>
    <n v="0"/>
  </r>
  <r>
    <s v="0396-00"/>
    <s v="Shearer Road Business Park"/>
    <n v="1000000"/>
    <x v="10"/>
    <s v="Act 2002-131"/>
    <d v="2004-08-15T00:00:00"/>
    <n v="777257"/>
    <n v="222743"/>
  </r>
  <r>
    <s v="0400-00"/>
    <s v="Pullman Park"/>
    <n v="1859000"/>
    <x v="10"/>
    <s v="Act 2002-131"/>
    <d v="2004-04-19T00:00:00"/>
    <n v="1859000"/>
    <n v="0"/>
  </r>
  <r>
    <s v="0408-00"/>
    <s v="Slippery Rock Tech Park"/>
    <n v="1500000"/>
    <x v="10"/>
    <s v="Act 2002-131"/>
    <d v="2004-08-15T00:00:00"/>
    <n v="1204109"/>
    <n v="295891"/>
  </r>
  <r>
    <s v="0466-00"/>
    <s v="Strand Theater-Butler"/>
    <n v="400000"/>
    <x v="10"/>
    <s v="Act 2004-040"/>
    <d v="2005-12-02T00:00:00"/>
    <n v="400000"/>
    <n v="0"/>
  </r>
  <r>
    <s v="0993-00"/>
    <s v="Jackson Township-Buncher Co."/>
    <n v="1000000"/>
    <x v="10"/>
    <s v="Act 2008-041"/>
    <d v="2010-05-27T00:00:00"/>
    <n v="0"/>
    <n v="1000000"/>
  </r>
  <r>
    <s v="1255-00"/>
    <s v="Clement Baseball Academy"/>
    <n v="500000"/>
    <x v="10"/>
    <s v="Act 2010-082"/>
    <d v="2010-12-20T00:00:00"/>
    <n v="0"/>
    <n v="500000"/>
  </r>
  <r>
    <s v="3899-00"/>
    <s v="Summit of Cranberry Woods"/>
    <n v="3000000"/>
    <x v="10"/>
    <s v="Act 2004-040"/>
    <d v="2013-02-11T00:00:00"/>
    <n v="0"/>
    <n v="3000000"/>
  </r>
  <r>
    <s v="3900-00"/>
    <s v="Centre City Revitalization"/>
    <n v="2000000"/>
    <x v="10"/>
    <s v="Act 2006-083"/>
    <d v="2013-02-11T00:00:00"/>
    <n v="0"/>
    <n v="2000000"/>
  </r>
  <r>
    <s v="0035-00"/>
    <s v="Johnstown Discovery Center"/>
    <n v="2500090"/>
    <x v="11"/>
    <s v="Act 1993- 47"/>
    <d v="1993-07-01T00:00:00"/>
    <n v="2500090"/>
    <n v="0"/>
  </r>
  <r>
    <s v="0059-00"/>
    <s v="Johnstown Point Stadium 1"/>
    <n v="1300000"/>
    <x v="11"/>
    <s v="Act 1993- 47"/>
    <d v="1993-07-01T00:00:00"/>
    <n v="1300000"/>
    <n v="0"/>
  </r>
  <r>
    <s v="0117-00"/>
    <s v="Johnstown War Memorial"/>
    <n v="16200000"/>
    <x v="11"/>
    <s v="Act 1997- 47"/>
    <d v="1999-11-05T00:00:00"/>
    <n v="16200000"/>
    <n v="0"/>
  </r>
  <r>
    <s v="0117-01"/>
    <s v="Johnstown War Memorial Supplemental"/>
    <n v="1000000"/>
    <x v="11"/>
    <s v="Act 1999-035"/>
    <d v="2000-10-16T00:00:00"/>
    <n v="1000000"/>
    <n v="0"/>
  </r>
  <r>
    <s v="0306-00"/>
    <s v="Johnstown Point Stadium 2"/>
    <n v="2000000"/>
    <x v="11"/>
    <s v="Act 2002-131"/>
    <d v="2003-04-11T00:00:00"/>
    <n v="2000000"/>
    <n v="0"/>
  </r>
  <r>
    <s v="0306-01"/>
    <s v="Johnstown Point Stadium Supplement"/>
    <n v="1500000"/>
    <x v="11"/>
    <s v="Act 2002-131"/>
    <d v="2004-12-20T00:00:00"/>
    <n v="1500000"/>
    <n v="0"/>
  </r>
  <r>
    <s v="0331-00"/>
    <s v="Johnstown Children's Museum"/>
    <n v="1500000"/>
    <x v="11"/>
    <s v="Act 2002-131"/>
    <d v="2004-04-22T00:00:00"/>
    <n v="1500000"/>
    <n v="0"/>
  </r>
  <r>
    <s v="0449-00"/>
    <s v="Conemaugh Health Systems-Great Johnst Tech Complex"/>
    <n v="3000000"/>
    <x v="11"/>
    <s v="Act 2004-040"/>
    <d v="2005-01-03T00:00:00"/>
    <n v="3000000"/>
    <n v="0"/>
  </r>
  <r>
    <s v="0449-01"/>
    <s v="Greater Johnstown Regional Technology Center II"/>
    <n v="1000000"/>
    <x v="11"/>
    <s v="Act 2004-040"/>
    <d v="2009-02-12T00:00:00"/>
    <n v="1000000"/>
    <n v="0"/>
  </r>
  <r>
    <s v="0449-02"/>
    <s v="Greater Johnstown Regional Technology Center III"/>
    <n v="1000000"/>
    <x v="11"/>
    <s v="Act 2004-040"/>
    <d v="2009-02-12T00:00:00"/>
    <n v="1000000"/>
    <n v="0"/>
  </r>
  <r>
    <s v="0449-03"/>
    <s v="Greater Johnstown Regional Technology Center IV"/>
    <n v="1000000"/>
    <x v="11"/>
    <s v="Act 2004-040"/>
    <d v="2009-03-18T00:00:00"/>
    <n v="1000000"/>
    <n v="0"/>
  </r>
  <r>
    <s v="0449-04"/>
    <s v="Greater Johnstown Regional Technology Center V"/>
    <n v="250000"/>
    <x v="11"/>
    <s v="Act 2006-083"/>
    <d v="2010-02-08T00:00:00"/>
    <n v="250000"/>
    <n v="0"/>
  </r>
  <r>
    <s v="0540-00"/>
    <s v="Ebensburg Downtown Revitalization"/>
    <n v="1000000"/>
    <x v="11"/>
    <s v="Act 2006-083"/>
    <d v="2006-08-17T00:00:00"/>
    <n v="1000000"/>
    <n v="0"/>
  </r>
  <r>
    <s v="0540-01"/>
    <s v="Ebensburg Downtown Revitalization II"/>
    <n v="1000000"/>
    <x v="11"/>
    <s v="Act 2006-083"/>
    <d v="2008-08-20T00:00:00"/>
    <n v="1000000"/>
    <n v="0"/>
  </r>
  <r>
    <s v="0540-02"/>
    <s v="Ebensburg Downtown Revitalization III"/>
    <n v="250000"/>
    <x v="11"/>
    <s v="Act 2006-083"/>
    <d v="2010-12-20T00:00:00"/>
    <n v="0"/>
    <n v="250000"/>
  </r>
  <r>
    <s v="0547-00"/>
    <s v="Penn Highlands Community College"/>
    <n v="2000000"/>
    <x v="11"/>
    <s v="Act 2006-083"/>
    <d v="2006-12-11T00:00:00"/>
    <n v="2000000"/>
    <n v="0"/>
  </r>
  <r>
    <s v="0547-01"/>
    <s v="Penn Highlands Community College II"/>
    <n v="2000000"/>
    <x v="11"/>
    <s v="Act 2006-083"/>
    <d v="2006-12-11T00:00:00"/>
    <n v="2000000"/>
    <n v="0"/>
  </r>
  <r>
    <s v="0589-00"/>
    <s v="St. Francis University Health and Wellness Center"/>
    <n v="3500000"/>
    <x v="11"/>
    <s v="Act 2006-083"/>
    <d v="2007-03-08T00:00:00"/>
    <n v="3500000"/>
    <n v="0"/>
  </r>
  <r>
    <s v="0589-01"/>
    <s v="St. Francis University Science Center"/>
    <n v="5000000"/>
    <x v="11"/>
    <s v="Act 2010-082"/>
    <d v="2010-11-29T00:00:00"/>
    <n v="1969250"/>
    <n v="3030750"/>
  </r>
  <r>
    <s v="0589-02"/>
    <s v="St. Francis University Science Center"/>
    <n v="2000000"/>
    <x v="11"/>
    <s v="Act 2010-082"/>
    <d v="2010-11-29T00:00:00"/>
    <n v="0"/>
    <n v="2000000"/>
  </r>
  <r>
    <s v="0709-00"/>
    <s v="Festival Park"/>
    <n v="2000000"/>
    <x v="11"/>
    <s v="Act 2008-041"/>
    <d v="2008-08-28T00:00:00"/>
    <n v="1908651"/>
    <n v="91349"/>
  </r>
  <r>
    <s v="0797-00"/>
    <s v="Jackson Township Business Park"/>
    <n v="500000"/>
    <x v="11"/>
    <s v="Act 2006-083"/>
    <d v="2009-03-18T00:00:00"/>
    <n v="0"/>
    <n v="500000"/>
  </r>
  <r>
    <s v="0860-00"/>
    <s v="Mount Aloysius Allumi Hall"/>
    <n v="1000000"/>
    <x v="11"/>
    <s v="Act 2006-083"/>
    <d v="2008-10-14T00:00:00"/>
    <n v="1000000"/>
    <n v="0"/>
  </r>
  <r>
    <s v="0915-00"/>
    <s v="John P. Murtha Center for Public Policy"/>
    <n v="10000000"/>
    <x v="11"/>
    <s v="Act 2010-047"/>
    <d v="2010-09-15T00:00:00"/>
    <n v="0"/>
    <n v="10000000"/>
  </r>
  <r>
    <s v="0935-00"/>
    <s v="Mount Aloysius Convocation Center"/>
    <n v="10000000"/>
    <x v="11"/>
    <s v="Act 2010-047"/>
    <d v="2010-08-30T00:00:00"/>
    <n v="1863672"/>
    <n v="8136328"/>
  </r>
  <r>
    <s v="1104-00"/>
    <s v="Richland Township Multi-Use Facility"/>
    <n v="1000000"/>
    <x v="11"/>
    <s v="Act 2010-082"/>
    <d v="2010-11-01T00:00:00"/>
    <n v="0"/>
    <n v="1000000"/>
  </r>
  <r>
    <s v="3901-00"/>
    <s v="JWF Industries - Cramer Pike Project"/>
    <n v="1000000"/>
    <x v="11"/>
    <s v="Act 2010-082"/>
    <d v="2013-02-11T00:00:00"/>
    <n v="0"/>
    <n v="1000000"/>
  </r>
  <r>
    <s v="8008-00"/>
    <s v="Johnstown War Memorial Ped Skywalk"/>
    <n v="0"/>
    <x v="11"/>
    <s v="Act 2002-131"/>
    <d v="2004-04-22T00:00:00"/>
    <n v="0"/>
    <n v="0"/>
  </r>
  <r>
    <s v="8074-00"/>
    <s v="JAT Inc. Ammunition Plant"/>
    <n v="0"/>
    <x v="11"/>
    <s v="Act 2010-082"/>
    <d v="2010-11-29T00:00:00"/>
    <n v="0"/>
    <n v="0"/>
  </r>
  <r>
    <s v="0253-07"/>
    <s v="Northcentral KOZ-GKN Sinter Facility-Micron"/>
    <n v="400000"/>
    <x v="12"/>
    <s v="Act 2000-027"/>
    <d v="2002-11-22T00:00:00"/>
    <n v="400000"/>
    <n v="0"/>
  </r>
  <r>
    <s v="0391-00"/>
    <s v="Lehighton Jr. High Renovation"/>
    <n v="500000"/>
    <x v="13"/>
    <s v="Act 2004-040"/>
    <d v="2004-10-26T00:00:00"/>
    <n v="500000"/>
    <n v="0"/>
  </r>
  <r>
    <s v="0492-00"/>
    <s v="Panther Valley High School Stadium"/>
    <n v="1500000"/>
    <x v="13"/>
    <s v="Act 2004-040"/>
    <d v="2004-10-13T00:00:00"/>
    <n v="1500000"/>
    <n v="0"/>
  </r>
  <r>
    <s v="0592-00"/>
    <s v="Carbon County Office Building"/>
    <n v="700000"/>
    <x v="13"/>
    <s v="Act 2006-083"/>
    <d v="2007-03-08T00:00:00"/>
    <n v="700000"/>
    <n v="0"/>
  </r>
  <r>
    <s v="0609-00"/>
    <s v="Summit Hill Borough Redevelopment"/>
    <n v="1250000"/>
    <x v="13"/>
    <s v="Act 2004-040"/>
    <d v="2006-08-15T00:00:00"/>
    <n v="1225000"/>
    <n v="25000"/>
  </r>
  <r>
    <s v="0858-00"/>
    <s v="Packerton Business Park"/>
    <n v="2000000"/>
    <x v="13"/>
    <s v="Act 2008-041"/>
    <d v="2009-05-28T00:00:00"/>
    <n v="0"/>
    <n v="2000000"/>
  </r>
  <r>
    <s v="1156-00"/>
    <s v="Lehighton Fire Station"/>
    <n v="1500000"/>
    <x v="13"/>
    <s v="Act 2010-082"/>
    <d v="2010-11-29T00:00:00"/>
    <n v="0"/>
    <n v="1500000"/>
  </r>
  <r>
    <s v="1156-01"/>
    <s v="Lehighton Fire Station II"/>
    <n v="250000"/>
    <x v="13"/>
    <s v="Act 2010-082"/>
    <d v="2011-01-03T00:00:00"/>
    <n v="0"/>
    <n v="250000"/>
  </r>
  <r>
    <s v="1162-00"/>
    <s v="Towamensing Municipal Recreation Center"/>
    <n v="1500000"/>
    <x v="13"/>
    <s v="Act 2010-082"/>
    <d v="2010-11-29T00:00:00"/>
    <n v="0"/>
    <n v="1500000"/>
  </r>
  <r>
    <s v="3699-00"/>
    <s v="White Haven Recreation Center"/>
    <n v="1500000"/>
    <x v="13"/>
    <s v="Act 2010-082"/>
    <d v="2010-11-29T00:00:00"/>
    <n v="0"/>
    <n v="1500000"/>
  </r>
  <r>
    <s v="0255-00"/>
    <s v="Centre Region (Schlow Memorial) Library"/>
    <n v="2500000"/>
    <x v="14"/>
    <s v="Act 2002-131"/>
    <d v="2002-12-20T00:00:00"/>
    <n v="2500000"/>
    <n v="0"/>
  </r>
  <r>
    <s v="0309-00"/>
    <s v="State Theatre-Centre"/>
    <n v="1500000"/>
    <x v="14"/>
    <s v="Act 2004-040"/>
    <d v="2004-08-18T00:00:00"/>
    <n v="1500000"/>
    <n v="0"/>
  </r>
  <r>
    <s v="0395-01"/>
    <s v="Centre County Baseball Stadium"/>
    <n v="3000000"/>
    <x v="14"/>
    <s v="Act 2004-040"/>
    <d v="2004-12-16T00:00:00"/>
    <n v="3000000"/>
    <n v="0"/>
  </r>
  <r>
    <s v="0395-02"/>
    <s v="Centre County Baseball Stadium II"/>
    <n v="9000000"/>
    <x v="14"/>
    <s v="Act 2004-040"/>
    <d v="2004-12-29T00:00:00"/>
    <n v="9000000"/>
    <n v="0"/>
  </r>
  <r>
    <s v="0478-00"/>
    <s v="Centre County Fire Training Facility"/>
    <n v="500000"/>
    <x v="14"/>
    <s v="Act 2004-040"/>
    <d v="2005-03-17T00:00:00"/>
    <n v="500000"/>
    <n v="0"/>
  </r>
  <r>
    <s v="0478-01"/>
    <s v="Centre County Fire Training Facility II"/>
    <n v="750000"/>
    <x v="14"/>
    <s v="Act 2004-040"/>
    <d v="2005-07-26T00:00:00"/>
    <n v="750000"/>
    <n v="0"/>
  </r>
  <r>
    <s v="0478-02"/>
    <s v="Centre County Fire Training Center III"/>
    <n v="500000"/>
    <x v="14"/>
    <s v="Act 2004-040"/>
    <d v="2006-09-14T00:00:00"/>
    <n v="500000"/>
    <n v="0"/>
  </r>
  <r>
    <s v="0580-00"/>
    <s v="Fraser Cinema-State College"/>
    <n v="2500000"/>
    <x v="14"/>
    <s v="Act 2006-083"/>
    <d v="2007-01-15T00:00:00"/>
    <n v="0"/>
    <n v="2500000"/>
  </r>
  <r>
    <s v="0580-01"/>
    <s v="Fraser Cinema II"/>
    <n v="1500000"/>
    <x v="14"/>
    <s v="Act 2006-083"/>
    <d v="2010-08-11T00:00:00"/>
    <n v="0"/>
    <n v="1500000"/>
  </r>
  <r>
    <s v="0746-00"/>
    <s v="Philips Hotel Redevelopment"/>
    <n v="1000000"/>
    <x v="14"/>
    <s v="Act 2006-083"/>
    <d v="2008-11-20T00:00:00"/>
    <n v="950000"/>
    <n v="50000"/>
  </r>
  <r>
    <s v="0940-00"/>
    <s v="Central PA Institute of Science and Technology"/>
    <n v="3000000"/>
    <x v="14"/>
    <s v="Act 2008-041"/>
    <d v="2010-05-27T00:00:00"/>
    <n v="0"/>
    <n v="3000000"/>
  </r>
  <r>
    <s v="0940-01"/>
    <s v="CPI Transportation Training Center Final Phase"/>
    <n v="2000000"/>
    <x v="14"/>
    <s v="Act 2008-041"/>
    <d v="2013-02-11T00:00:00"/>
    <n v="0"/>
    <n v="2000000"/>
  </r>
  <r>
    <s v="0943-00"/>
    <s v="Bellefonte Waterfront"/>
    <n v="3000000"/>
    <x v="14"/>
    <s v="Act 2006-083"/>
    <d v="2010-06-17T00:00:00"/>
    <n v="0"/>
    <n v="3000000"/>
  </r>
  <r>
    <s v="1138-00"/>
    <s v="Centre County Grange Encampment &amp; Fair"/>
    <n v="1000000"/>
    <x v="14"/>
    <s v="Act 2006-083"/>
    <d v="2010-12-07T00:00:00"/>
    <n v="1000000"/>
    <n v="0"/>
  </r>
  <r>
    <s v="3413-00"/>
    <s v="Innovation Park"/>
    <n v="1300000"/>
    <x v="14"/>
    <s v="Act 2004-040"/>
    <d v="2010-02-04T00:00:00"/>
    <n v="0"/>
    <n v="1300000"/>
  </r>
  <r>
    <s v="8053-00"/>
    <s v="The Second Mile Learning Center"/>
    <n v="0"/>
    <x v="14"/>
    <s v="Act 2010-082"/>
    <d v="2010-11-17T00:00:00"/>
    <n v="0"/>
    <n v="0"/>
  </r>
  <r>
    <s v="0271-00"/>
    <s v="Phoenixville Foundry Building"/>
    <n v="1000000"/>
    <x v="15"/>
    <s v="Act 2002-131"/>
    <d v="2003-04-14T00:00:00"/>
    <n v="1000000"/>
    <n v="0"/>
  </r>
  <r>
    <s v="0280-00"/>
    <s v="Atwater Industrial Park"/>
    <n v="2000000"/>
    <x v="15"/>
    <s v="Act 2002-131"/>
    <d v="2002-12-20T00:00:00"/>
    <n v="2000000"/>
    <n v="0"/>
  </r>
  <r>
    <s v="0288-00"/>
    <s v="People's Light Theatre"/>
    <n v="2000000"/>
    <x v="15"/>
    <s v="Act 1999-035"/>
    <d v="2002-12-20T00:00:00"/>
    <n v="2000000"/>
    <n v="0"/>
  </r>
  <r>
    <s v="0370-00"/>
    <s v="Coatesville-Office/Hotel/Conference"/>
    <n v="5750000"/>
    <x v="15"/>
    <s v="Act 2004-040"/>
    <d v="2004-11-19T00:00:00"/>
    <n v="5606250"/>
    <n v="143750"/>
  </r>
  <r>
    <s v="0534-00"/>
    <s v="Worthington Steel Brownfield Revitalization"/>
    <n v="4300000"/>
    <x v="15"/>
    <s v="Act 2004-040"/>
    <d v="2006-07-19T00:00:00"/>
    <n v="4300000"/>
    <n v="0"/>
  </r>
  <r>
    <s v="0534-01"/>
    <s v="Worthington Steel Brownfield Redevelopment"/>
    <n v="2500000"/>
    <x v="15"/>
    <s v="Act 2006-083"/>
    <d v="2008-11-20T00:00:00"/>
    <n v="2500000"/>
    <n v="0"/>
  </r>
  <r>
    <s v="0665-00"/>
    <s v="Chester County Public Safety Training Facility"/>
    <n v="2000000"/>
    <x v="15"/>
    <s v="Act 2004-040"/>
    <d v="2007-04-23T00:00:00"/>
    <n v="1974137"/>
    <n v="25863"/>
  </r>
  <r>
    <s v="0665-01"/>
    <s v="Chester County Public Safety Training Center II"/>
    <n v="500000"/>
    <x v="15"/>
    <s v="Act 2008-041"/>
    <d v="2009-03-18T00:00:00"/>
    <n v="0"/>
    <n v="500000"/>
  </r>
  <r>
    <s v="0665-02"/>
    <s v="Chester County Public Safety Training Center III"/>
    <n v="500000"/>
    <x v="15"/>
    <s v="Act 2004-040"/>
    <d v="2010-12-08T00:00:00"/>
    <n v="0"/>
    <n v="500000"/>
  </r>
  <r>
    <s v="0767-00"/>
    <s v="Mosteller Parking Garage"/>
    <n v="1000000"/>
    <x v="15"/>
    <s v="Act 2008-041"/>
    <d v="2009-03-09T00:00:00"/>
    <n v="1000000"/>
    <n v="0"/>
  </r>
  <r>
    <s v="0788-00"/>
    <s v="Downingtown Library Senior Center"/>
    <n v="500000"/>
    <x v="15"/>
    <s v="Act 2008-041"/>
    <d v="2009-02-12T00:00:00"/>
    <n v="0"/>
    <n v="500000"/>
  </r>
  <r>
    <s v="0788-01"/>
    <s v="Downingtown Library Senior Center II"/>
    <n v="50000"/>
    <x v="15"/>
    <s v="Act 2004-040"/>
    <d v="2011-01-10T00:00:00"/>
    <n v="0"/>
    <n v="50000"/>
  </r>
  <r>
    <s v="0814-00"/>
    <s v="Spring City Library"/>
    <n v="450000"/>
    <x v="15"/>
    <s v="Act 2008-048"/>
    <d v="2009-03-18T00:00:00"/>
    <n v="0"/>
    <n v="450000"/>
  </r>
  <r>
    <s v="0814-01"/>
    <s v="Spring City Library II"/>
    <n v="50000"/>
    <x v="15"/>
    <s v="Act 2008-041"/>
    <d v="2011-01-10T00:00:00"/>
    <n v="0"/>
    <n v="50000"/>
  </r>
  <r>
    <s v="0845-00"/>
    <s v="Dignified Living Environements"/>
    <n v="100000"/>
    <x v="15"/>
    <s v="Act 2004-040"/>
    <d v="2009-03-18T00:00:00"/>
    <n v="100000"/>
    <n v="0"/>
  </r>
  <r>
    <s v="0867-00"/>
    <s v="Downingtown River Station"/>
    <n v="6000000"/>
    <x v="15"/>
    <s v="Act 2008-041"/>
    <d v="2008-08-28T00:00:00"/>
    <n v="3549576"/>
    <n v="2450424"/>
  </r>
  <r>
    <s v="0876-00"/>
    <s v="Phoenixville Public Library"/>
    <n v="450000"/>
    <x v="15"/>
    <s v="Act 2008-041"/>
    <d v="2009-03-18T00:00:00"/>
    <n v="0"/>
    <n v="450000"/>
  </r>
  <r>
    <s v="0876-01"/>
    <s v="Phoenixville Public Library II"/>
    <n v="50000"/>
    <x v="15"/>
    <s v="Act 2008-041"/>
    <d v="2011-01-10T00:00:00"/>
    <n v="0"/>
    <n v="50000"/>
  </r>
  <r>
    <s v="0890-00"/>
    <s v="Malvern Fire Company"/>
    <n v="100000"/>
    <x v="15"/>
    <s v="Act 2008-041"/>
    <d v="2010-02-08T00:00:00"/>
    <n v="100000"/>
    <n v="0"/>
  </r>
  <r>
    <s v="0890-01"/>
    <s v="Malvern Fire Company II"/>
    <n v="150000"/>
    <x v="15"/>
    <s v="Act 2008-041"/>
    <d v="2010-12-03T00:00:00"/>
    <n v="143750"/>
    <n v="6250"/>
  </r>
  <r>
    <s v="0918-00"/>
    <s v="Chester County Hospital West Pavillion"/>
    <n v="100000"/>
    <x v="15"/>
    <s v="Act 2008-041"/>
    <d v="2009-03-18T00:00:00"/>
    <n v="0"/>
    <n v="100000"/>
  </r>
  <r>
    <s v="0918-01"/>
    <s v="Chester County Hospital West Pavillion II"/>
    <n v="50000"/>
    <x v="15"/>
    <s v="Act 2008-041"/>
    <d v="2011-01-10T00:00:00"/>
    <n v="0"/>
    <n v="50000"/>
  </r>
  <r>
    <s v="0947-00"/>
    <s v="Paoli Rail Yard"/>
    <n v="1000000"/>
    <x v="15"/>
    <s v="Act 2004-040"/>
    <d v="2010-06-16T00:00:00"/>
    <n v="0"/>
    <n v="1000000"/>
  </r>
  <r>
    <s v="1004-00"/>
    <s v="Immaculata University"/>
    <n v="250000"/>
    <x v="15"/>
    <s v="Act 2006-083"/>
    <d v="2010-09-15T00:00:00"/>
    <n v="250000"/>
    <n v="0"/>
  </r>
  <r>
    <s v="1004-01"/>
    <s v="Immaculata University II"/>
    <n v="200000"/>
    <x v="15"/>
    <s v="Act 2006-083"/>
    <d v="2010-12-03T00:00:00"/>
    <n v="188750"/>
    <n v="11250"/>
  </r>
  <r>
    <s v="1119-00"/>
    <s v="Franklin Commons Adaptive Reuse"/>
    <n v="250000"/>
    <x v="15"/>
    <s v="Act 2010-082"/>
    <d v="2010-12-03T00:00:00"/>
    <n v="0"/>
    <n v="250000"/>
  </r>
  <r>
    <s v="1127-00"/>
    <s v="Chester County Technical College High School"/>
    <n v="350000"/>
    <x v="15"/>
    <s v="Act 2010-082"/>
    <d v="2010-12-03T00:00:00"/>
    <n v="0"/>
    <n v="350000"/>
  </r>
  <r>
    <s v="1127-01"/>
    <s v="Chester County Technical College High School II"/>
    <n v="500000"/>
    <x v="15"/>
    <s v="Act 2010-082"/>
    <d v="2010-12-08T00:00:00"/>
    <n v="0"/>
    <n v="500000"/>
  </r>
  <r>
    <s v="1150-00"/>
    <s v="Longwood Gardens"/>
    <n v="500000"/>
    <x v="15"/>
    <s v="Act 2010-082"/>
    <d v="2010-12-08T00:00:00"/>
    <n v="487500"/>
    <n v="12500"/>
  </r>
  <r>
    <s v="1224-00"/>
    <s v="East King Street Development-Malvern"/>
    <n v="1000000"/>
    <x v="15"/>
    <s v="Act 2010-082"/>
    <d v="2011-01-03T00:00:00"/>
    <n v="102628"/>
    <n v="897372"/>
  </r>
  <r>
    <s v="1227-00"/>
    <s v="Colonial Theatre"/>
    <n v="250000"/>
    <x v="15"/>
    <s v="Act 2010-082"/>
    <d v="2010-12-20T00:00:00"/>
    <n v="0"/>
    <n v="250000"/>
  </r>
  <r>
    <s v="1258-00"/>
    <s v="East Whiteland Township Volunteer Firefighters"/>
    <n v="250000"/>
    <x v="15"/>
    <s v="Act 2010-082"/>
    <d v="2010-12-20T00:00:00"/>
    <n v="0"/>
    <n v="250000"/>
  </r>
  <r>
    <s v="3334-00"/>
    <s v="Historic Washington Building Renovation"/>
    <n v="0"/>
    <x v="15"/>
    <s v="Act 2008-041"/>
    <d v="2009-03-18T00:00:00"/>
    <n v="0"/>
    <n v="0"/>
  </r>
  <r>
    <s v="3809-00"/>
    <s v="Fame Fire Company"/>
    <n v="250000"/>
    <x v="15"/>
    <s v="Act 2010-082"/>
    <d v="2011-01-03T00:00:00"/>
    <n v="0"/>
    <n v="250000"/>
  </r>
  <r>
    <s v="8030-00"/>
    <s v="Bioscience Park Project"/>
    <n v="0"/>
    <x v="15"/>
    <s v="Act 2010-082"/>
    <d v="2011-01-03T00:00:00"/>
    <n v="0"/>
    <n v="0"/>
  </r>
  <r>
    <s v="8031-00"/>
    <s v="Chester County Historical Society"/>
    <n v="0"/>
    <x v="15"/>
    <s v="Act 2008-041"/>
    <d v="2010-09-15T00:00:00"/>
    <n v="0"/>
    <n v="0"/>
  </r>
  <r>
    <s v="8032-00"/>
    <s v="Malvern Prep Outdoor Athletic Facility"/>
    <n v="0"/>
    <x v="15"/>
    <s v="Act 2010-082"/>
    <d v="2010-12-03T00:00:00"/>
    <n v="0"/>
    <n v="0"/>
  </r>
  <r>
    <s v="8042-00"/>
    <s v="West Pharmaceuticals"/>
    <n v="0"/>
    <x v="15"/>
    <s v="Act 2010-082"/>
    <d v="2011-01-14T00:00:00"/>
    <n v="0"/>
    <n v="0"/>
  </r>
  <r>
    <s v="8082-00"/>
    <s v="Gateway Senior Housing"/>
    <n v="0"/>
    <x v="15"/>
    <s v="Act 2010-082"/>
    <d v="2010-11-15T00:00:00"/>
    <n v="0"/>
    <n v="0"/>
  </r>
  <r>
    <s v="8084-00"/>
    <s v="Chester County Art Association Green Renovation"/>
    <n v="0"/>
    <x v="15"/>
    <s v="Act 2010-082"/>
    <d v="2010-12-03T00:00:00"/>
    <n v="0"/>
    <n v="0"/>
  </r>
  <r>
    <s v="8084-01"/>
    <s v="Chester County Art Association Green Renovation II"/>
    <n v="0"/>
    <x v="15"/>
    <s v="Act 2010-082"/>
    <d v="2011-01-10T00:00:00"/>
    <n v="0"/>
    <n v="0"/>
  </r>
  <r>
    <s v="0430-01"/>
    <s v="Trinity Point Business Center -Site Prep"/>
    <n v="1200000"/>
    <x v="16"/>
    <s v="Act 2002-131"/>
    <d v="2005-11-23T00:00:00"/>
    <n v="1200000"/>
    <n v="0"/>
  </r>
  <r>
    <s v="0430-02"/>
    <s v="Trinity Point Business Center"/>
    <n v="1500000"/>
    <x v="16"/>
    <s v="Act 2002-131"/>
    <d v="2004-08-14T00:00:00"/>
    <n v="1500000"/>
    <n v="0"/>
  </r>
  <r>
    <s v="0430-03"/>
    <s v="Trinity Point Tech Park"/>
    <n v="850000"/>
    <x v="16"/>
    <s v="Act 2008-041"/>
    <d v="2010-09-15T00:00:00"/>
    <n v="0"/>
    <n v="850000"/>
  </r>
  <r>
    <s v="0115-00"/>
    <s v="Clearfield County Technology Park"/>
    <n v="1000000"/>
    <x v="17"/>
    <s v="Act 1997- 47"/>
    <d v="2000-02-25T00:00:00"/>
    <n v="1000000"/>
    <n v="0"/>
  </r>
  <r>
    <s v="0209-00"/>
    <s v="DuBois Workforce Development Center"/>
    <n v="3000000"/>
    <x v="17"/>
    <s v="Act 2000-027"/>
    <d v="2002-07-11T00:00:00"/>
    <n v="3000000"/>
    <n v="0"/>
  </r>
  <r>
    <s v="0253-04"/>
    <s v="Northcentral KOZ-DuBois Brewery Site Development"/>
    <n v="140000"/>
    <x v="17"/>
    <s v="Act 2000-027"/>
    <d v="2002-11-22T00:00:00"/>
    <n v="140000"/>
    <n v="0"/>
  </r>
  <r>
    <s v="0421-00"/>
    <s v="Hardwoods Incubator-Former FCI Electronics"/>
    <n v="2000000"/>
    <x v="17"/>
    <s v="Act 2002-131"/>
    <d v="2004-04-22T00:00:00"/>
    <n v="2000000"/>
    <n v="0"/>
  </r>
  <r>
    <s v="0554-00"/>
    <s v="Clearfield Hospital-Obstetrics"/>
    <n v="300000"/>
    <x v="17"/>
    <s v="Act 2006-083"/>
    <d v="2006-09-25T00:00:00"/>
    <n v="300000"/>
    <n v="0"/>
  </r>
  <r>
    <s v="0556-00"/>
    <s v="BioEnergy/Lukoil-Clearfield Ethanol"/>
    <n v="11000000"/>
    <x v="17"/>
    <s v="Act 2004-040"/>
    <d v="2006-07-07T00:00:00"/>
    <n v="11000000"/>
    <n v="0"/>
  </r>
  <r>
    <s v="0556-01"/>
    <s v="BioEnergy/Lukoil-Clearfield Ethanol II"/>
    <n v="3000000"/>
    <x v="17"/>
    <s v="Act 2004-040"/>
    <d v="2006-07-18T00:00:00"/>
    <n v="2250000"/>
    <n v="750000"/>
  </r>
  <r>
    <s v="0619-00"/>
    <s v="Swan Biomass Conversion Center of Excellence"/>
    <n v="2000000"/>
    <x v="17"/>
    <s v="Act 2006-083"/>
    <d v="2007-11-08T00:00:00"/>
    <n v="1791419"/>
    <n v="208581"/>
  </r>
  <r>
    <s v="0708-00"/>
    <s v="Anderson Creek Reservoir"/>
    <n v="3500000"/>
    <x v="17"/>
    <s v="Act 2008-041"/>
    <d v="2008-09-11T00:00:00"/>
    <n v="1974755"/>
    <n v="1525245"/>
  </r>
  <r>
    <s v="0719-00"/>
    <s v="Clearfield YMCA Renovations"/>
    <n v="300000"/>
    <x v="17"/>
    <s v="Act 2006-083"/>
    <d v="2006-09-25T00:00:00"/>
    <n v="300000"/>
    <n v="0"/>
  </r>
  <r>
    <s v="0719-01"/>
    <s v="Clearfield YMCA II"/>
    <n v="1000000"/>
    <x v="17"/>
    <s v="Act 2006-083"/>
    <d v="2008-08-28T00:00:00"/>
    <n v="1000000"/>
    <n v="0"/>
  </r>
  <r>
    <s v="0719-02"/>
    <s v="Clearfield County YMCA III"/>
    <n v="1200000"/>
    <x v="17"/>
    <s v="Act 2006-083"/>
    <d v="2010-03-23T00:00:00"/>
    <n v="1002356"/>
    <n v="197644"/>
  </r>
  <r>
    <s v="0727-00"/>
    <s v="Clearfield Riverfront Revitalization"/>
    <n v="5000000"/>
    <x v="17"/>
    <s v="Act 2008-041"/>
    <d v="2008-08-28T00:00:00"/>
    <n v="0"/>
    <n v="5000000"/>
  </r>
  <r>
    <s v="1250-00"/>
    <s v="DuBois Regional Medical Center"/>
    <n v="300000"/>
    <x v="17"/>
    <s v="Act 2010-082"/>
    <d v="2010-12-20T00:00:00"/>
    <n v="0"/>
    <n v="300000"/>
  </r>
  <r>
    <s v="0000-30"/>
    <s v="Truck Lite (DCA)"/>
    <n v="550000"/>
    <x v="18"/>
    <s v="Act 1988-113"/>
    <m/>
    <n v="550000"/>
    <n v="0"/>
  </r>
  <r>
    <s v="0452-00"/>
    <s v="First Quality Industrial Park"/>
    <n v="4000000"/>
    <x v="18"/>
    <s v="Act 2002-131"/>
    <d v="2003-02-03T00:00:00"/>
    <n v="4000000"/>
    <n v="0"/>
  </r>
  <r>
    <s v="0620-00"/>
    <s v="Bald Eagle Stadium"/>
    <n v="250000"/>
    <x v="18"/>
    <s v="Act 2006-083"/>
    <d v="2007-05-02T00:00:00"/>
    <n v="250000"/>
    <n v="0"/>
  </r>
  <r>
    <s v="0620-01"/>
    <s v="Bald Eagle Stadium II"/>
    <n v="1000000"/>
    <x v="18"/>
    <s v="Act 2006-083"/>
    <d v="2007-08-20T00:00:00"/>
    <n v="1000000"/>
    <n v="0"/>
  </r>
  <r>
    <s v="0691-00"/>
    <s v="Lock Haven University Alumni Center"/>
    <n v="2000000"/>
    <x v="18"/>
    <s v="Act 2006-152"/>
    <d v="2008-10-30T00:00:00"/>
    <n v="2000000"/>
    <n v="0"/>
  </r>
  <r>
    <s v="0716-00"/>
    <s v="Lock Haven Pedestrian Mall"/>
    <n v="1002000"/>
    <x v="18"/>
    <s v="Act 2006-152"/>
    <d v="2008-09-26T00:00:00"/>
    <n v="977000"/>
    <n v="25000"/>
  </r>
  <r>
    <s v="0776-00"/>
    <s v="Clinton County Community Center"/>
    <n v="500000"/>
    <x v="18"/>
    <s v="Act 2006-083"/>
    <d v="2008-10-30T00:00:00"/>
    <n v="500000"/>
    <n v="0"/>
  </r>
  <r>
    <s v="0776-01"/>
    <s v="Clinton County Community Center II"/>
    <n v="1500000"/>
    <x v="18"/>
    <s v="Act 2006-083"/>
    <d v="2009-02-12T00:00:00"/>
    <n v="1500000"/>
    <n v="0"/>
  </r>
  <r>
    <s v="0161-00"/>
    <s v="Berwick Workforce Development Center"/>
    <n v="500000"/>
    <x v="19"/>
    <s v="Act 1999-035"/>
    <d v="2001-07-27T00:00:00"/>
    <n v="500000"/>
    <n v="0"/>
  </r>
  <r>
    <s v="0283-00"/>
    <s v="Bloomsburg Regional Community Technology Center"/>
    <n v="1000000"/>
    <x v="19"/>
    <s v="Act 2000-027"/>
    <d v="2002-10-25T00:00:00"/>
    <n v="1000000"/>
    <n v="0"/>
  </r>
  <r>
    <s v="0428-00"/>
    <s v="Bloomsburg Hospital"/>
    <n v="600000"/>
    <x v="19"/>
    <s v="Act 2004-040"/>
    <d v="2005-03-15T00:00:00"/>
    <n v="600000"/>
    <n v="0"/>
  </r>
  <r>
    <s v="0460-00"/>
    <s v="Northern Columbia Community Center"/>
    <n v="600000"/>
    <x v="19"/>
    <s v="Act 2004-040"/>
    <d v="2005-03-15T00:00:00"/>
    <n v="600000"/>
    <n v="0"/>
  </r>
  <r>
    <s v="0757-00"/>
    <s v="Berwick Area YMCA"/>
    <n v="600000"/>
    <x v="19"/>
    <s v="Act 2006-083"/>
    <d v="2008-09-19T00:00:00"/>
    <n v="600000"/>
    <n v="0"/>
  </r>
  <r>
    <s v="0757-01"/>
    <s v="Berwick YMCA II"/>
    <n v="250000"/>
    <x v="19"/>
    <s v="Act 2006-083"/>
    <d v="2010-05-27T00:00:00"/>
    <n v="250000"/>
    <n v="0"/>
  </r>
  <r>
    <s v="8043-00"/>
    <s v="Columbia Alliance for Growth"/>
    <n v="0"/>
    <x v="19"/>
    <s v="Act 2006-083"/>
    <d v="2010-05-27T00:00:00"/>
    <n v="0"/>
    <n v="0"/>
  </r>
  <r>
    <s v="0000-29"/>
    <s v="Avtex (DCA)"/>
    <n v="1200000"/>
    <x v="20"/>
    <s v="Act 1988-113"/>
    <m/>
    <n v="1200000"/>
    <n v="0"/>
  </r>
  <r>
    <s v="0136-00"/>
    <s v="Keystone Industrial Park"/>
    <n v="3500000"/>
    <x v="20"/>
    <s v="Act 1999-035"/>
    <d v="2000-05-18T00:00:00"/>
    <n v="3500000"/>
    <n v="0"/>
  </r>
  <r>
    <s v="0175-00"/>
    <s v="Titusville Opportunity Park"/>
    <n v="1400000"/>
    <x v="20"/>
    <s v="Act 1999-035"/>
    <d v="2001-09-28T00:00:00"/>
    <n v="1400000"/>
    <n v="0"/>
  </r>
  <r>
    <s v="0207-00"/>
    <s v="Kepler Hotel Project"/>
    <n v="2000000"/>
    <x v="20"/>
    <s v="Act 2000-027"/>
    <d v="2001-12-06T00:00:00"/>
    <n v="2000000"/>
    <n v="0"/>
  </r>
  <r>
    <s v="0380-00"/>
    <s v="Precision Manufacturing Institute"/>
    <n v="750000"/>
    <x v="20"/>
    <s v="Act 2004-040"/>
    <d v="2005-03-15T00:00:00"/>
    <n v="750000"/>
    <n v="0"/>
  </r>
  <r>
    <s v="0454-00"/>
    <s v="Allegheny College-Communications Arts Center"/>
    <n v="1000000"/>
    <x v="20"/>
    <s v="Act 2004-040"/>
    <d v="2005-12-02T00:00:00"/>
    <n v="1000000"/>
    <n v="0"/>
  </r>
  <r>
    <s v="0454-01"/>
    <s v="Allegheny College-Communications Arts Center II"/>
    <n v="500000"/>
    <x v="20"/>
    <s v="Act 2004-040"/>
    <d v="2005-12-02T00:00:00"/>
    <n v="500000"/>
    <n v="0"/>
  </r>
  <r>
    <s v="0454-02"/>
    <s v="Allegheny College-Communications Arts Center III"/>
    <n v="2500000"/>
    <x v="20"/>
    <s v="Act 2004-040"/>
    <d v="2006-09-25T00:00:00"/>
    <n v="2500000"/>
    <n v="0"/>
  </r>
  <r>
    <s v="0505-00"/>
    <s v="Meadville Jr. High Rehabilitation"/>
    <n v="800000"/>
    <x v="20"/>
    <s v="Act 2004-040"/>
    <d v="2004-10-04T00:00:00"/>
    <n v="800000"/>
    <n v="0"/>
  </r>
  <r>
    <s v="0602-00"/>
    <s v="Renovation of Former Talon Plant #7-Meadville"/>
    <n v="1500000"/>
    <x v="20"/>
    <s v="Act 2004-040"/>
    <d v="2006-09-25T00:00:00"/>
    <n v="1500000"/>
    <n v="0"/>
  </r>
  <r>
    <s v="0080-00"/>
    <s v="Carlisle Parking Garage"/>
    <n v="1000000"/>
    <x v="21"/>
    <s v="Act 1997- 47"/>
    <d v="1998-04-21T00:00:00"/>
    <n v="1000000"/>
    <n v="0"/>
  </r>
  <r>
    <s v="0180-00"/>
    <s v="Murata Business Center"/>
    <n v="750000"/>
    <x v="21"/>
    <s v="Act 2000-027"/>
    <d v="2001-10-19T00:00:00"/>
    <n v="750000"/>
    <n v="0"/>
  </r>
  <r>
    <s v="0356-00"/>
    <s v="Army Museum"/>
    <n v="10000000"/>
    <x v="21"/>
    <s v="Act 2004-040"/>
    <d v="2002-11-18T00:00:00"/>
    <n v="10000000"/>
    <n v="0"/>
  </r>
  <r>
    <s v="0356-01"/>
    <s v="Army Museum II"/>
    <n v="250000"/>
    <x v="21"/>
    <s v="Act 2004-040"/>
    <d v="2008-12-11T00:00:00"/>
    <n v="250000"/>
    <n v="0"/>
  </r>
  <r>
    <s v="0356-02"/>
    <s v="Army Museum III"/>
    <n v="500000"/>
    <x v="21"/>
    <s v="Act 2004-040"/>
    <d v="2010-05-27T00:00:00"/>
    <n v="475000"/>
    <n v="25000"/>
  </r>
  <r>
    <s v="0446-00"/>
    <s v="Murata II/Carlisle Business Central-Phase II"/>
    <n v="1000000"/>
    <x v="21"/>
    <s v="Act 2004-040"/>
    <d v="2005-02-11T00:00:00"/>
    <n v="1000000"/>
    <n v="0"/>
  </r>
  <r>
    <s v="0601-00"/>
    <s v="Dickinson School of Law"/>
    <n v="25000000"/>
    <x v="21"/>
    <s v="Act 2004-040"/>
    <d v="2006-07-14T00:00:00"/>
    <n v="24375000"/>
    <n v="625000"/>
  </r>
  <r>
    <s v="1061-00"/>
    <s v="Bosler Memorial Library"/>
    <n v="1000000"/>
    <x v="21"/>
    <s v="Act 2008-041"/>
    <d v="2010-10-21T00:00:00"/>
    <n v="1893463"/>
    <n v="-893463"/>
  </r>
  <r>
    <s v="1061-01"/>
    <s v="Bosler Memorial Library II"/>
    <n v="1500000"/>
    <x v="21"/>
    <s v="Act 2008-041"/>
    <d v="2010-10-21T00:00:00"/>
    <n v="0"/>
    <n v="1500000"/>
  </r>
  <r>
    <s v="1146-00"/>
    <s v="Shippensburg Library"/>
    <n v="1000000"/>
    <x v="21"/>
    <s v="Act 2006-083"/>
    <d v="2010-09-10T00:00:00"/>
    <n v="0"/>
    <n v="1000000"/>
  </r>
  <r>
    <s v="1146-01"/>
    <s v="Shippensburg Library II"/>
    <n v="1000000"/>
    <x v="21"/>
    <s v="Act 2006-083"/>
    <d v="2010-09-15T00:00:00"/>
    <n v="0"/>
    <n v="1000000"/>
  </r>
  <r>
    <s v="1216-00"/>
    <s v="Messiah College Murray Library"/>
    <n v="500000"/>
    <x v="21"/>
    <s v="Act 2010-082"/>
    <d v="2011-01-10T00:00:00"/>
    <n v="0"/>
    <n v="500000"/>
  </r>
  <r>
    <s v="3902-00"/>
    <s v="Holy Spirit Electronic Data Center"/>
    <n v="3250000"/>
    <x v="21"/>
    <s v="Act 2010-082"/>
    <d v="2013-02-11T00:00:00"/>
    <n v="0"/>
    <n v="3250000"/>
  </r>
  <r>
    <s v="3903-00"/>
    <s v="Redevelopment of the IAC Brownfield Site"/>
    <n v="2000000"/>
    <x v="21"/>
    <s v="Act 2010-082"/>
    <d v="2013-02-11T00:00:00"/>
    <n v="0"/>
    <n v="2000000"/>
  </r>
  <r>
    <s v="0049-00"/>
    <s v="Whitaker Center for the Arts, Science and Ed."/>
    <n v="18000000"/>
    <x v="22"/>
    <s v="Act 1992-188"/>
    <d v="1993-07-01T00:00:00"/>
    <n v="18000000"/>
    <n v="0"/>
  </r>
  <r>
    <s v="0049-01"/>
    <s v="Whitaker Center for the Arts, Science and Ed.(Aug)"/>
    <n v="3000000"/>
    <x v="22"/>
    <s v="Act 1997- 47"/>
    <d v="1998-04-15T00:00:00"/>
    <n v="3000000"/>
    <n v="0"/>
  </r>
  <r>
    <s v="0098-00"/>
    <s v="Harrisburg Civil War Museum"/>
    <n v="16200000"/>
    <x v="22"/>
    <s v="Act 1999-035"/>
    <d v="1999-07-28T00:00:00"/>
    <n v="16200000"/>
    <n v="0"/>
  </r>
  <r>
    <s v="0120-00"/>
    <s v="Hershey Arena"/>
    <n v="25000000"/>
    <x v="22"/>
    <s v="Act 1997- 47"/>
    <d v="1999-12-06T00:00:00"/>
    <n v="25000000"/>
    <n v="0"/>
  </r>
  <r>
    <s v="0176-00"/>
    <s v="PA Sports Hall of Fame"/>
    <n v="0"/>
    <x v="22"/>
    <s v="Act 1997- 47"/>
    <d v="2001-08-31T00:00:00"/>
    <n v="0"/>
    <n v="0"/>
  </r>
  <r>
    <s v="0206-00"/>
    <s v="Ned Smith Center"/>
    <n v="2000000"/>
    <x v="22"/>
    <s v="Act 1999-035"/>
    <d v="2002-01-17T00:00:00"/>
    <n v="2000000"/>
    <n v="0"/>
  </r>
  <r>
    <s v="0206-01"/>
    <s v="Ned Smith Center II"/>
    <n v="400000"/>
    <x v="22"/>
    <s v="Act 2004-040"/>
    <d v="2010-05-27T00:00:00"/>
    <n v="239579"/>
    <n v="160421"/>
  </r>
  <r>
    <s v="0265-00"/>
    <s v="Harrisburg YMCA"/>
    <n v="1000000"/>
    <x v="22"/>
    <s v="Act 2000-027"/>
    <d v="2002-12-13T00:00:00"/>
    <n v="1000000"/>
    <n v="0"/>
  </r>
  <r>
    <s v="0286-00"/>
    <s v="Harrisburg Polytechnic University"/>
    <n v="12000000"/>
    <x v="22"/>
    <s v="Act 2002-131"/>
    <d v="2003-01-06T00:00:00"/>
    <n v="12000000"/>
    <n v="0"/>
  </r>
  <r>
    <s v="0286-01"/>
    <s v="Harrisburg University II"/>
    <n v="15000000"/>
    <x v="22"/>
    <s v="Act 2002-131"/>
    <d v="2005-07-06T00:00:00"/>
    <n v="15000000"/>
    <n v="0"/>
  </r>
  <r>
    <s v="0286-02"/>
    <s v="Harrisburg University III"/>
    <n v="10000000"/>
    <x v="22"/>
    <s v="Act 2002-131"/>
    <d v="2006-06-06T00:00:00"/>
    <n v="10000000"/>
    <n v="0"/>
  </r>
  <r>
    <s v="0286-03"/>
    <s v="Harrisburg Polytechnic IV"/>
    <n v="625000"/>
    <x v="22"/>
    <s v="Act 2002-131"/>
    <d v="2010-05-27T00:00:00"/>
    <n v="625000"/>
    <n v="0"/>
  </r>
  <r>
    <s v="0286-04"/>
    <s v="Harrisburg Polytechnic University V"/>
    <n v="625000"/>
    <x v="22"/>
    <s v="Act 2002-131"/>
    <d v="2010-05-27T00:00:00"/>
    <n v="625000"/>
    <n v="0"/>
  </r>
  <r>
    <s v="0286-05"/>
    <s v="Harrisburg University VI"/>
    <n v="5000000"/>
    <x v="22"/>
    <s v="Act 2002-131"/>
    <d v="2010-07-15T00:00:00"/>
    <n v="5000000"/>
    <n v="0"/>
  </r>
  <r>
    <s v="0286-06"/>
    <s v="Harrisburg University VII"/>
    <n v="6000000"/>
    <x v="22"/>
    <s v="Act 2002-131"/>
    <d v="2010-09-13T00:00:00"/>
    <n v="2883988"/>
    <n v="3116012"/>
  </r>
  <r>
    <s v="0291-01"/>
    <s v="WITF"/>
    <n v="3000000"/>
    <x v="22"/>
    <s v="Act 2002-131"/>
    <d v="2003-01-16T00:00:00"/>
    <n v="3000000"/>
    <n v="0"/>
  </r>
  <r>
    <s v="0291-02"/>
    <s v="WITF II"/>
    <n v="4000000"/>
    <x v="22"/>
    <s v="Act 2002-131"/>
    <d v="2005-01-20T00:00:00"/>
    <n v="4000000"/>
    <n v="0"/>
  </r>
  <r>
    <s v="0295-00"/>
    <s v="Bass Pro"/>
    <n v="5000000"/>
    <x v="22"/>
    <s v="Act 2004-040"/>
    <d v="2004-09-08T00:00:00"/>
    <n v="5000000"/>
    <n v="0"/>
  </r>
  <r>
    <s v="0447-00"/>
    <s v="Advanced Communications"/>
    <n v="5000000"/>
    <x v="22"/>
    <s v="Act 2000-027"/>
    <d v="2006-03-30T00:00:00"/>
    <n v="1535255"/>
    <n v="3464745"/>
  </r>
  <r>
    <s v="0448-00"/>
    <s v="Dauphin County Libraries"/>
    <n v="1000000"/>
    <x v="22"/>
    <s v="Act 2000-027"/>
    <d v="2005-04-08T00:00:00"/>
    <n v="1000000"/>
    <n v="0"/>
  </r>
  <r>
    <s v="0448-01"/>
    <s v="Dauphin County Libraries II"/>
    <n v="1300000"/>
    <x v="22"/>
    <s v="Act 2000-027"/>
    <d v="2005-06-21T00:00:00"/>
    <n v="1300000"/>
    <n v="0"/>
  </r>
  <r>
    <s v="0450-00"/>
    <s v="Hershey Intermodal Center, Phase III"/>
    <n v="3000000"/>
    <x v="22"/>
    <s v="Act 2004-040"/>
    <d v="2005-01-20T00:00:00"/>
    <n v="3000000"/>
    <n v="0"/>
  </r>
  <r>
    <s v="0507-00"/>
    <s v="Hershey Museum"/>
    <n v="5000000"/>
    <x v="22"/>
    <s v="Act 2004-040"/>
    <d v="2006-09-15T00:00:00"/>
    <n v="5000000"/>
    <n v="0"/>
  </r>
  <r>
    <s v="0555-00"/>
    <s v="TecPort Business Park"/>
    <n v="300000"/>
    <x v="22"/>
    <s v="Act 2006-083"/>
    <d v="2007-03-29T00:00:00"/>
    <n v="300000"/>
    <n v="0"/>
  </r>
  <r>
    <s v="0637-00"/>
    <s v="Northern Dauphin YMCA"/>
    <n v="600000"/>
    <x v="22"/>
    <s v="Act 2006-083"/>
    <d v="2007-10-03T00:00:00"/>
    <n v="600000"/>
    <n v="0"/>
  </r>
  <r>
    <s v="0646-00"/>
    <s v="Warrington Press Building"/>
    <n v="500000"/>
    <x v="22"/>
    <s v="Act 2006-083"/>
    <d v="2007-03-08T00:00:00"/>
    <n v="500000"/>
    <n v="0"/>
  </r>
  <r>
    <s v="0646-01"/>
    <s v="Warrington Press Building II"/>
    <n v="1000000"/>
    <x v="22"/>
    <s v="Act 2006-083"/>
    <d v="2007-03-29T00:00:00"/>
    <n v="1000000"/>
    <n v="0"/>
  </r>
  <r>
    <s v="0646-02"/>
    <s v="Warrington Press Building III"/>
    <n v="3000000"/>
    <x v="22"/>
    <s v="Act 2006-083"/>
    <d v="2008-10-30T00:00:00"/>
    <n v="3000000"/>
    <n v="0"/>
  </r>
  <r>
    <s v="0737-00"/>
    <s v="Commerce Bank Park"/>
    <n v="1000000"/>
    <x v="22"/>
    <s v="Act 2004-040"/>
    <d v="2009-04-27T00:00:00"/>
    <n v="1000000"/>
    <n v="0"/>
  </r>
  <r>
    <s v="0737-01"/>
    <s v="Commerce Bank Park II"/>
    <n v="2000000"/>
    <x v="22"/>
    <s v="Act 2004-040"/>
    <d v="2009-04-27T00:00:00"/>
    <n v="2000000"/>
    <n v="0"/>
  </r>
  <r>
    <s v="0737-02"/>
    <s v="Commerce Bank Park III"/>
    <n v="2500000"/>
    <x v="22"/>
    <s v="Act 2004-040"/>
    <d v="2009-05-12T00:00:00"/>
    <n v="2500000"/>
    <n v="0"/>
  </r>
  <r>
    <s v="0737-03"/>
    <s v="Commerce Bank Park IV"/>
    <n v="13000000"/>
    <x v="22"/>
    <s v="Act 2004-040"/>
    <d v="2009-05-28T00:00:00"/>
    <n v="13000000"/>
    <n v="0"/>
  </r>
  <r>
    <s v="0990-00"/>
    <s v="Hershey Center for Applied Research"/>
    <n v="1000000"/>
    <x v="22"/>
    <s v="Act 2008-041"/>
    <d v="2010-05-27T00:00:00"/>
    <n v="1000000"/>
    <n v="0"/>
  </r>
  <r>
    <s v="0990-01"/>
    <s v="Hershey Center for Applied Research II"/>
    <n v="2000000"/>
    <x v="22"/>
    <s v="Act 2008-048"/>
    <d v="2010-07-15T00:00:00"/>
    <n v="956599"/>
    <n v="1043401"/>
  </r>
  <r>
    <s v="0990-02"/>
    <s v="Hershey Center for Applied Research III"/>
    <n v="2000000"/>
    <x v="22"/>
    <s v="Act 2008-041"/>
    <d v="2010-10-12T00:00:00"/>
    <n v="0"/>
    <n v="2000000"/>
  </r>
  <r>
    <s v="0990-03"/>
    <s v="Hershey Center for Applied Research IV"/>
    <n v="1000000"/>
    <x v="22"/>
    <s v="Act 2008-041"/>
    <d v="2010-10-12T00:00:00"/>
    <n v="0"/>
    <n v="1000000"/>
  </r>
  <r>
    <s v="1012-00"/>
    <s v="Olde Uptown Redevelopment Project"/>
    <n v="3000000"/>
    <x v="22"/>
    <s v="Act 2006-083"/>
    <d v="2010-09-27T00:00:00"/>
    <n v="3000000"/>
    <n v="0"/>
  </r>
  <r>
    <s v="1044-00"/>
    <s v="Furlow Building Redevelopment"/>
    <n v="2500000"/>
    <x v="22"/>
    <s v="Act 2010-047"/>
    <d v="2010-11-15T00:00:00"/>
    <n v="2047239"/>
    <n v="452761"/>
  </r>
  <r>
    <s v="1046-00"/>
    <s v="Susquehanna Art Museum"/>
    <n v="5000000"/>
    <x v="22"/>
    <s v="Act 2004-040"/>
    <d v="2010-04-21T00:00:00"/>
    <n v="0"/>
    <n v="5000000"/>
  </r>
  <r>
    <s v="1051-00"/>
    <s v="Hamilton Health Center"/>
    <n v="3000000"/>
    <x v="22"/>
    <s v="Act 2002-131"/>
    <d v="2010-11-29T00:00:00"/>
    <n v="2382423"/>
    <n v="617577"/>
  </r>
  <r>
    <s v="1116-00"/>
    <s v="Whitaker Center 2010"/>
    <n v="250000"/>
    <x v="22"/>
    <s v="Act 2008-041"/>
    <d v="2010-11-17T00:00:00"/>
    <n v="0"/>
    <n v="250000"/>
  </r>
  <r>
    <s v="1116-01"/>
    <s v="Whitaker Center 2010 II"/>
    <n v="500000"/>
    <x v="22"/>
    <s v="Act 2008-041"/>
    <d v="2010-11-17T00:00:00"/>
    <n v="0"/>
    <n v="500000"/>
  </r>
  <r>
    <s v="1128-00"/>
    <s v="HACC-Shumaker Public Safety Center"/>
    <n v="2500000"/>
    <x v="22"/>
    <s v="Act 2006-083"/>
    <d v="2010-10-20T00:00:00"/>
    <n v="2206398"/>
    <n v="293602"/>
  </r>
  <r>
    <s v="1153-00"/>
    <s v="Spring Creek Road Improvement Project"/>
    <n v="725000"/>
    <x v="22"/>
    <s v="Act 2008-041"/>
    <d v="2010-12-20T00:00:00"/>
    <n v="0"/>
    <n v="725000"/>
  </r>
  <r>
    <s v="1153-01"/>
    <s v="Spring Creek Road Improvement Project II"/>
    <n v="710000"/>
    <x v="22"/>
    <s v="Act 2008-041"/>
    <d v="2013-02-11T00:00:00"/>
    <n v="0"/>
    <n v="710000"/>
  </r>
  <r>
    <s v="1180-00"/>
    <s v="Keystone Human Services"/>
    <n v="700000"/>
    <x v="22"/>
    <s v="Act 2010-082"/>
    <d v="2011-01-03T00:00:00"/>
    <n v="0"/>
    <n v="700000"/>
  </r>
  <r>
    <s v="1180-01"/>
    <s v="Keystone Human Services II"/>
    <n v="250000"/>
    <x v="22"/>
    <s v="Act 2010-082"/>
    <d v="2011-01-03T00:00:00"/>
    <n v="0"/>
    <n v="250000"/>
  </r>
  <r>
    <s v="1187-00"/>
    <s v="Millersburg Colonnade"/>
    <n v="750000"/>
    <x v="22"/>
    <s v="Act 2010-082"/>
    <d v="2010-12-20T00:00:00"/>
    <n v="0"/>
    <n v="750000"/>
  </r>
  <r>
    <s v="1198-00"/>
    <s v="Hershey Fire Station"/>
    <n v="1000000"/>
    <x v="22"/>
    <s v="Act 2010-082"/>
    <d v="2010-12-07T00:00:00"/>
    <n v="0"/>
    <n v="1000000"/>
  </r>
  <r>
    <s v="1205-01"/>
    <s v="International House of Harrisburg II"/>
    <n v="750000"/>
    <x v="22"/>
    <s v="Act 2010-082"/>
    <d v="2011-01-03T00:00:00"/>
    <n v="0"/>
    <n v="750000"/>
  </r>
  <r>
    <s v="3904-00"/>
    <s v="PinnacleHealth Cardiothoracic ICU Expansion"/>
    <n v="1640000"/>
    <x v="22"/>
    <s v="Act 2010-082"/>
    <d v="2013-02-11T00:00:00"/>
    <n v="0"/>
    <n v="1640000"/>
  </r>
  <r>
    <s v="8044-00"/>
    <s v="International House of Harrisburg"/>
    <n v="0"/>
    <x v="22"/>
    <s v="Act 2010-082"/>
    <d v="2010-11-18T00:00:00"/>
    <n v="0"/>
    <n v="0"/>
  </r>
  <r>
    <s v="8070-00"/>
    <s v="PA Horticultural Research &amp; Education Center"/>
    <n v="0"/>
    <x v="22"/>
    <s v="Act 2004-040"/>
    <d v="2006-05-15T00:00:00"/>
    <n v="0"/>
    <n v="0"/>
  </r>
  <r>
    <s v="0225-00"/>
    <s v="Media Armory"/>
    <n v="1316000"/>
    <x v="23"/>
    <s v="Act 2002-131"/>
    <d v="2002-12-20T00:00:00"/>
    <n v="1316000"/>
    <n v="0"/>
  </r>
  <r>
    <s v="0226-00"/>
    <s v="Media Theatre"/>
    <n v="700000"/>
    <x v="23"/>
    <s v="Act 2002-131"/>
    <d v="2002-12-20T00:00:00"/>
    <n v="675214"/>
    <n v="24786"/>
  </r>
  <r>
    <s v="0292-00"/>
    <s v="Penn Terminals-Banacol"/>
    <n v="2500000"/>
    <x v="23"/>
    <s v="Act 2004-040"/>
    <d v="2004-08-27T00:00:00"/>
    <n v="2500000"/>
    <n v="0"/>
  </r>
  <r>
    <s v="0310-00"/>
    <s v="Lazaretto Restoration"/>
    <n v="2000000"/>
    <x v="23"/>
    <s v="Act 2004-040"/>
    <d v="2004-09-21T00:00:00"/>
    <n v="1726889"/>
    <n v="273111"/>
  </r>
  <r>
    <s v="0310-01"/>
    <s v="Tinicum Township Municipal Building"/>
    <n v="1000000"/>
    <x v="23"/>
    <s v="Act 2008-041"/>
    <d v="2011-01-03T00:00:00"/>
    <n v="0"/>
    <n v="1000000"/>
  </r>
  <r>
    <s v="0311-00"/>
    <s v="Tinicum Township Fire and Emergency"/>
    <n v="3500000"/>
    <x v="23"/>
    <s v="Act 2004-040"/>
    <d v="2004-09-21T00:00:00"/>
    <n v="3500000"/>
    <n v="0"/>
  </r>
  <r>
    <s v="0432-00"/>
    <s v="Chatham Terrace Apartments-Chester"/>
    <n v="2000000"/>
    <x v="23"/>
    <s v="Act 2004-040"/>
    <d v="2006-03-14T00:00:00"/>
    <n v="2000000"/>
    <n v="0"/>
  </r>
  <r>
    <s v="0486-00"/>
    <s v="Pathways Center for Families"/>
    <n v="125000"/>
    <x v="23"/>
    <s v="Act 2004-040"/>
    <d v="2006-01-04T00:00:00"/>
    <n v="0"/>
    <n v="125000"/>
  </r>
  <r>
    <s v="0486-01"/>
    <s v="Pathways Center for Families"/>
    <n v="125000"/>
    <x v="23"/>
    <s v="Act 2004-040"/>
    <d v="2006-01-04T00:00:00"/>
    <n v="0"/>
    <n v="125000"/>
  </r>
  <r>
    <s v="0486-02"/>
    <s v="Pathways Center for Families"/>
    <n v="125000"/>
    <x v="23"/>
    <s v="Act 2004-040"/>
    <d v="2006-01-04T00:00:00"/>
    <n v="0"/>
    <n v="125000"/>
  </r>
  <r>
    <s v="0486-03"/>
    <s v="Pathways Center for Families"/>
    <n v="125000"/>
    <x v="23"/>
    <s v="Act 2004-040"/>
    <d v="2006-01-04T00:00:00"/>
    <n v="0"/>
    <n v="125000"/>
  </r>
  <r>
    <s v="0504-00"/>
    <s v="Glenolden Parks"/>
    <n v="1300000"/>
    <x v="23"/>
    <s v="Act 2004-040"/>
    <d v="2006-05-12T00:00:00"/>
    <n v="1156028"/>
    <n v="143972"/>
  </r>
  <r>
    <s v="0509-00"/>
    <s v="Ridley Park Borough Improvements"/>
    <n v="1000000"/>
    <x v="23"/>
    <s v="Act 2004-040"/>
    <d v="2006-05-12T00:00:00"/>
    <n v="1000000"/>
    <n v="0"/>
  </r>
  <r>
    <s v="0513-00"/>
    <s v="Upper Darby Gateway Parking Garage"/>
    <n v="4200000"/>
    <x v="23"/>
    <s v="Act 2002-131"/>
    <d v="2006-07-07T00:00:00"/>
    <n v="0"/>
    <n v="4200000"/>
  </r>
  <r>
    <s v="0515-00"/>
    <s v="Boys &amp; Girls Club of Chester"/>
    <n v="500000"/>
    <x v="23"/>
    <s v="Act 2000-027"/>
    <d v="2006-06-05T00:00:00"/>
    <n v="500000"/>
    <n v="0"/>
  </r>
  <r>
    <s v="0515-01"/>
    <s v="Boys &amp; Girls Club of Chester"/>
    <n v="500000"/>
    <x v="23"/>
    <s v="Act 2006-083"/>
    <d v="2006-12-11T00:00:00"/>
    <n v="500000"/>
    <n v="0"/>
  </r>
  <r>
    <s v="0596-00"/>
    <s v="Chester Rivertown Development"/>
    <n v="1450000"/>
    <x v="23"/>
    <s v="Act 2006-083"/>
    <d v="2006-09-14T00:00:00"/>
    <n v="0"/>
    <n v="1450000"/>
  </r>
  <r>
    <s v="0640-00"/>
    <s v="Crozer-Keystone Health System-Chester Medical Cent"/>
    <n v="2000000"/>
    <x v="23"/>
    <s v="Act 2004-040"/>
    <d v="2008-03-12T00:00:00"/>
    <n v="1828350"/>
    <n v="171650"/>
  </r>
  <r>
    <s v="0640-01"/>
    <s v="Taylor Hospital-Delaware"/>
    <n v="1000000"/>
    <x v="23"/>
    <s v="Act 2008-041"/>
    <d v="2008-08-25T00:00:00"/>
    <n v="0"/>
    <n v="1000000"/>
  </r>
  <r>
    <s v="0640-02"/>
    <s v="Crozer Health System-Springfield Hospital"/>
    <n v="500000"/>
    <x v="23"/>
    <s v="Act 2010-082"/>
    <d v="2010-11-18T00:00:00"/>
    <n v="0"/>
    <n v="500000"/>
  </r>
  <r>
    <s v="0658-00"/>
    <s v="Darby Borough Municipal-Rec Center"/>
    <n v="250000"/>
    <x v="23"/>
    <s v="Act 2006-083"/>
    <d v="2007-06-13T00:00:00"/>
    <n v="216472"/>
    <n v="33528"/>
  </r>
  <r>
    <s v="0658-01"/>
    <s v="Darby Borough Municipal-Rec Center II"/>
    <n v="2000000"/>
    <x v="23"/>
    <s v="Act 2010-082"/>
    <d v="2010-11-22T00:00:00"/>
    <n v="0"/>
    <n v="2000000"/>
  </r>
  <r>
    <s v="0662-00"/>
    <s v="Chester Soccer Stadium"/>
    <n v="15000000"/>
    <x v="23"/>
    <s v="Act 2008-041"/>
    <d v="2008-09-16T00:00:00"/>
    <n v="15000000"/>
    <n v="0"/>
  </r>
  <r>
    <s v="0662-01"/>
    <s v="Chester Soccer Stadium II"/>
    <n v="8000000"/>
    <x v="23"/>
    <s v="Act 2008-041"/>
    <d v="2008-09-16T00:00:00"/>
    <n v="8000000"/>
    <n v="0"/>
  </r>
  <r>
    <s v="0662-02"/>
    <s v="Chester Soccer Stadium III"/>
    <n v="4000000"/>
    <x v="23"/>
    <s v="Act 2008-041"/>
    <d v="2008-09-16T00:00:00"/>
    <n v="4000000"/>
    <n v="0"/>
  </r>
  <r>
    <s v="0662-03"/>
    <s v="Chester Soccer Stadium IV"/>
    <n v="500000"/>
    <x v="23"/>
    <s v="Act 2008-041"/>
    <d v="2009-09-14T00:00:00"/>
    <n v="500000"/>
    <n v="0"/>
  </r>
  <r>
    <s v="0662-04"/>
    <s v="Chester Soccer Stadium V"/>
    <n v="7500000"/>
    <x v="23"/>
    <s v="Act 2008-041"/>
    <d v="2010-01-27T00:00:00"/>
    <n v="7400000"/>
    <n v="100000"/>
  </r>
  <r>
    <s v="0674-00"/>
    <s v="Cabrini College Center for Science, Education"/>
    <n v="1500000"/>
    <x v="23"/>
    <s v="Act 2006-083"/>
    <d v="2007-03-27T00:00:00"/>
    <n v="1500000"/>
    <n v="0"/>
  </r>
  <r>
    <s v="0674-01"/>
    <s v="Cabrini College-Woodcrest Mansion"/>
    <n v="500000"/>
    <x v="23"/>
    <s v="Act 2006-083"/>
    <d v="2010-09-15T00:00:00"/>
    <n v="0"/>
    <n v="500000"/>
  </r>
  <r>
    <s v="0698-00"/>
    <s v="Deshong Museum Restoration"/>
    <n v="500000"/>
    <x v="23"/>
    <s v="Act 2004-040"/>
    <d v="2006-12-11T00:00:00"/>
    <n v="0"/>
    <n v="500000"/>
  </r>
  <r>
    <s v="0810-00"/>
    <s v="Sun Center Studios"/>
    <n v="10000000"/>
    <x v="23"/>
    <s v="Act 2008-041"/>
    <d v="2009-03-18T00:00:00"/>
    <n v="10000000"/>
    <n v="0"/>
  </r>
  <r>
    <s v="0841-00"/>
    <s v="Norwood Borough Fire Hall"/>
    <n v="1000000"/>
    <x v="23"/>
    <s v="Act 2008-041"/>
    <d v="2008-10-15T00:00:00"/>
    <n v="0"/>
    <n v="1000000"/>
  </r>
  <r>
    <s v="0868-00"/>
    <s v="Haverford Community Center"/>
    <n v="500000"/>
    <x v="23"/>
    <s v="Act 2008-041"/>
    <d v="2009-03-18T00:00:00"/>
    <n v="500000"/>
    <n v="0"/>
  </r>
  <r>
    <s v="0868-01"/>
    <s v="Haverford Township Community Center II"/>
    <n v="500000"/>
    <x v="23"/>
    <s v="Act 2008-041"/>
    <d v="2009-04-27T00:00:00"/>
    <n v="500000"/>
    <n v="0"/>
  </r>
  <r>
    <s v="0868-02"/>
    <s v="Haverford Community Center III"/>
    <n v="500000"/>
    <x v="23"/>
    <s v="Act 2008-041"/>
    <d v="2010-09-15T00:00:00"/>
    <n v="462500"/>
    <n v="37500"/>
  </r>
  <r>
    <s v="0872-00"/>
    <s v="Darby Town Center"/>
    <n v="1400000"/>
    <x v="23"/>
    <s v="Act 2008-041"/>
    <d v="2009-03-13T00:00:00"/>
    <n v="1400000"/>
    <n v="0"/>
  </r>
  <r>
    <s v="0872-01"/>
    <s v="Darby Town Center II-Fresh Grocer"/>
    <n v="1000000"/>
    <x v="23"/>
    <s v="Act 2008-041"/>
    <d v="2010-11-01T00:00:00"/>
    <n v="1000000"/>
    <n v="0"/>
  </r>
  <r>
    <s v="0872-02"/>
    <s v="Darby Town Center III"/>
    <n v="1000000"/>
    <x v="23"/>
    <s v="Act 2008-041"/>
    <d v="2010-11-22T00:00:00"/>
    <n v="1000000"/>
    <n v="0"/>
  </r>
  <r>
    <s v="0872-04"/>
    <s v="Darby Town Center IV"/>
    <n v="850000"/>
    <x v="23"/>
    <s v="Act 2008-041"/>
    <d v="2010-12-20T00:00:00"/>
    <n v="850000"/>
    <n v="0"/>
  </r>
  <r>
    <s v="0901-00"/>
    <s v="Clifton Heights Borough Center"/>
    <n v="3000000"/>
    <x v="23"/>
    <s v="Act 2008-041"/>
    <d v="2010-01-06T00:00:00"/>
    <n v="0"/>
    <n v="3000000"/>
  </r>
  <r>
    <s v="0901-01"/>
    <s v="Clifton Heights Borough Center II"/>
    <n v="1500000"/>
    <x v="23"/>
    <s v="Act 2008-041"/>
    <d v="2010-02-03T00:00:00"/>
    <n v="0"/>
    <n v="1500000"/>
  </r>
  <r>
    <s v="0909-00"/>
    <s v="Valley Forge Military Academy"/>
    <n v="500000"/>
    <x v="23"/>
    <s v="Act 2008-041"/>
    <d v="2008-09-11T00:00:00"/>
    <n v="487500"/>
    <n v="12500"/>
  </r>
  <r>
    <s v="0909-01"/>
    <s v="Valley Forge Military Academy II"/>
    <n v="900000"/>
    <x v="23"/>
    <s v="Act 2008-041"/>
    <d v="2009-04-27T00:00:00"/>
    <n v="0"/>
    <n v="900000"/>
  </r>
  <r>
    <s v="0936-00"/>
    <s v="Penn Hills Redevelopment"/>
    <n v="1500000"/>
    <x v="23"/>
    <s v="Act 2008-041"/>
    <d v="2010-05-27T00:00:00"/>
    <n v="1500000"/>
    <n v="0"/>
  </r>
  <r>
    <s v="0948-00"/>
    <s v="Swarthmore Town Center II"/>
    <n v="500000"/>
    <x v="23"/>
    <s v="Act 2008-041"/>
    <d v="2010-04-21T00:00:00"/>
    <n v="0"/>
    <n v="500000"/>
  </r>
  <r>
    <s v="0948-01"/>
    <s v="Swarthmore Town Center III"/>
    <n v="1000000"/>
    <x v="23"/>
    <s v="Act 2008-041"/>
    <d v="2010-04-21T00:00:00"/>
    <n v="0"/>
    <n v="1000000"/>
  </r>
  <r>
    <s v="0948-02"/>
    <s v="Swarthmore Town Center IV"/>
    <n v="500000"/>
    <x v="23"/>
    <s v="Act 2008-041"/>
    <d v="2010-04-21T00:00:00"/>
    <n v="0"/>
    <n v="500000"/>
  </r>
  <r>
    <s v="1007-00"/>
    <s v="Widener University Performing Arts Center"/>
    <n v="1000000"/>
    <x v="23"/>
    <s v="Act 2004-040"/>
    <d v="2010-09-15T00:00:00"/>
    <n v="0"/>
    <n v="1000000"/>
  </r>
  <r>
    <s v="1007-01"/>
    <s v="Widener University Academic Facility"/>
    <n v="3000000"/>
    <x v="23"/>
    <s v="Act 2010-082"/>
    <d v="2010-12-08T00:00:00"/>
    <n v="0"/>
    <n v="3000000"/>
  </r>
  <r>
    <s v="1014-00"/>
    <s v="Eastern University Performing Arts Center"/>
    <n v="500000"/>
    <x v="23"/>
    <s v="Act 2002-131"/>
    <d v="2010-10-12T00:00:00"/>
    <n v="0"/>
    <n v="500000"/>
  </r>
  <r>
    <s v="1099-00"/>
    <s v="Neumann University Campus Library"/>
    <n v="300000"/>
    <x v="23"/>
    <s v="Act 2006-083"/>
    <d v="2010-11-22T00:00:00"/>
    <n v="0"/>
    <n v="300000"/>
  </r>
  <r>
    <s v="1099-01"/>
    <s v="Neumann University Campus Library - Phase 2"/>
    <n v="1000000"/>
    <x v="23"/>
    <s v="Act 2006-083"/>
    <d v="2013-02-11T00:00:00"/>
    <n v="0"/>
    <n v="1000000"/>
  </r>
  <r>
    <s v="1114-00"/>
    <s v="Lansdowne Theatre &amp; Central Business District"/>
    <n v="2000000"/>
    <x v="23"/>
    <s v="Act 2010-082"/>
    <d v="2010-11-17T00:00:00"/>
    <n v="0"/>
    <n v="2000000"/>
  </r>
  <r>
    <s v="1114-01"/>
    <s v="Lansdowne Theatre &amp; Central Business District II"/>
    <n v="1000000"/>
    <x v="23"/>
    <s v="Act 2010-082"/>
    <d v="2010-11-17T00:00:00"/>
    <n v="0"/>
    <n v="1000000"/>
  </r>
  <r>
    <s v="1114-02"/>
    <s v="Lansdowne Theatre &amp; Central Business District III"/>
    <n v="2000000"/>
    <x v="23"/>
    <s v="Act 2010-082"/>
    <d v="2010-11-17T00:00:00"/>
    <n v="0"/>
    <n v="2000000"/>
  </r>
  <r>
    <s v="1129-00"/>
    <s v="Union Square Area Improvement Project"/>
    <n v="1500000"/>
    <x v="23"/>
    <s v="Act 2010-047"/>
    <d v="2010-09-27T00:00:00"/>
    <n v="0"/>
    <n v="1500000"/>
  </r>
  <r>
    <s v="1174-00"/>
    <s v="Media Borough Water Safety and Infrastructure"/>
    <n v="650000"/>
    <x v="23"/>
    <s v="Act 2010-082"/>
    <d v="2011-01-03T00:00:00"/>
    <n v="0"/>
    <n v="650000"/>
  </r>
  <r>
    <s v="1182-00"/>
    <s v="Haverford Township YMCA"/>
    <n v="500000"/>
    <x v="23"/>
    <s v="Act 2010-047"/>
    <d v="2010-12-20T00:00:00"/>
    <n v="0"/>
    <n v="500000"/>
  </r>
  <r>
    <s v="1182-01"/>
    <s v="Haverford Township YMCA II"/>
    <n v="3000000"/>
    <x v="23"/>
    <s v="Act 2010-082"/>
    <d v="2011-01-14T00:00:00"/>
    <n v="0"/>
    <n v="3000000"/>
  </r>
  <r>
    <s v="1196-00"/>
    <s v="Franklin Mint"/>
    <n v="2000000"/>
    <x v="23"/>
    <s v="Act 2006-083"/>
    <d v="2010-12-20T00:00:00"/>
    <n v="0"/>
    <n v="2000000"/>
  </r>
  <r>
    <s v="1196-01"/>
    <s v="Franklin Mint II"/>
    <n v="1000000"/>
    <x v="23"/>
    <s v="Act 2006-083"/>
    <d v="2011-01-03T00:00:00"/>
    <n v="0"/>
    <n v="1000000"/>
  </r>
  <r>
    <s v="1196-02"/>
    <s v="Franklin Mint III"/>
    <n v="2000000"/>
    <x v="23"/>
    <s v="Act 2006-083"/>
    <d v="2011-01-03T00:00:00"/>
    <n v="0"/>
    <n v="2000000"/>
  </r>
  <r>
    <s v="1254-00"/>
    <s v="Main Line Art Center Renovations"/>
    <n v="600000"/>
    <x v="23"/>
    <s v="Act 2008-041"/>
    <d v="2010-12-20T00:00:00"/>
    <n v="0"/>
    <n v="600000"/>
  </r>
  <r>
    <s v="1293-00"/>
    <s v="Philabundance III"/>
    <n v="750000"/>
    <x v="23"/>
    <s v="Act 2010-082"/>
    <d v="2011-01-03T00:00:00"/>
    <n v="0"/>
    <n v="750000"/>
  </r>
  <r>
    <s v="3290-00"/>
    <s v="Kerr Athletic Field"/>
    <n v="0"/>
    <x v="23"/>
    <s v="Act 2008-041"/>
    <d v="2008-12-11T00:00:00"/>
    <n v="0"/>
    <n v="0"/>
  </r>
  <r>
    <s v="3816-00"/>
    <s v="Elwyn Development Center"/>
    <n v="425000"/>
    <x v="23"/>
    <s v="Act 2010-082"/>
    <d v="2011-01-03T00:00:00"/>
    <n v="0"/>
    <n v="425000"/>
  </r>
  <r>
    <s v="3905-00"/>
    <s v="Project Clarity - Marcus Hook Splitter Acquisition"/>
    <n v="15000000"/>
    <x v="23"/>
    <s v="Act 2010-082"/>
    <d v="2013-02-11T00:00:00"/>
    <n v="0"/>
    <n v="15000000"/>
  </r>
  <r>
    <s v="3906-00"/>
    <s v="Ridley Mixed-Use Development"/>
    <n v="2500000"/>
    <x v="23"/>
    <s v="Act 2010-082"/>
    <d v="2013-02-11T00:00:00"/>
    <n v="0"/>
    <n v="2500000"/>
  </r>
  <r>
    <s v="3936-00"/>
    <s v="Ellis Preserve's Building Repositioning Project"/>
    <n v="2000000"/>
    <x v="23"/>
    <s v="Act 2010-082"/>
    <d v="2013-02-11T00:00:00"/>
    <n v="0"/>
    <n v="2000000"/>
  </r>
  <r>
    <s v="8011-00"/>
    <s v="Springfield Road Plaza"/>
    <n v="0"/>
    <x v="23"/>
    <s v="Act 2010-047"/>
    <d v="2010-08-03T00:00:00"/>
    <n v="0"/>
    <n v="0"/>
  </r>
  <r>
    <s v="8011-01"/>
    <s v="Springfield Road Plaza II"/>
    <n v="0"/>
    <x v="23"/>
    <s v="Act 2010-047"/>
    <d v="2010-10-12T00:00:00"/>
    <n v="0"/>
    <n v="0"/>
  </r>
  <r>
    <s v="8013-00"/>
    <s v="Eastern University"/>
    <n v="0"/>
    <x v="23"/>
    <s v="Act 2002-131"/>
    <d v="2005-06-02T00:00:00"/>
    <n v="0"/>
    <n v="0"/>
  </r>
  <r>
    <s v="8013-01"/>
    <s v="Eastern University II"/>
    <n v="0"/>
    <x v="23"/>
    <s v="Act 2002-131"/>
    <d v="2006-07-07T00:00:00"/>
    <n v="0"/>
    <n v="0"/>
  </r>
  <r>
    <s v="8054-00"/>
    <s v="Marple Township Municipal Complex"/>
    <n v="0"/>
    <x v="23"/>
    <s v="Act 2008-041"/>
    <d v="2010-05-27T00:00:00"/>
    <n v="0"/>
    <n v="0"/>
  </r>
  <r>
    <s v="0253-01"/>
    <s v="Northcentral KOZ-CDR Site Infrastructure"/>
    <n v="700000"/>
    <x v="24"/>
    <s v="Act 2000-027"/>
    <d v="2002-11-22T00:00:00"/>
    <n v="700000"/>
    <n v="0"/>
  </r>
  <r>
    <s v="0526-00"/>
    <s v="Elk Regional Health Center"/>
    <n v="300000"/>
    <x v="24"/>
    <s v="Act 2006-083"/>
    <d v="2006-09-25T00:00:00"/>
    <n v="300000"/>
    <n v="0"/>
  </r>
  <r>
    <s v="0535-00"/>
    <s v="Saint Marys Downtown Revitalization"/>
    <n v="4000000"/>
    <x v="24"/>
    <s v="Act 2004-040"/>
    <d v="2006-08-17T00:00:00"/>
    <n v="4000000"/>
    <n v="0"/>
  </r>
  <r>
    <s v="0535-01"/>
    <s v="Impact St. Marys"/>
    <n v="2000000"/>
    <x v="24"/>
    <s v="Act 2008-041"/>
    <d v="2009-05-28T00:00:00"/>
    <n v="1639529"/>
    <n v="360471"/>
  </r>
  <r>
    <s v="0923-00"/>
    <s v="St Mary's Hotel"/>
    <n v="3000000"/>
    <x v="24"/>
    <s v="Act 2010-047"/>
    <d v="2010-08-30T00:00:00"/>
    <n v="0"/>
    <n v="3000000"/>
  </r>
  <r>
    <s v="3262-00"/>
    <s v="St. Marys Kaulmont Park"/>
    <n v="0"/>
    <x v="24"/>
    <s v="Act 2008-041"/>
    <d v="2008-10-30T00:00:00"/>
    <n v="0"/>
    <n v="0"/>
  </r>
  <r>
    <s v="0004-00"/>
    <s v="Erie Minor League Baseball Stadium"/>
    <n v="8905000"/>
    <x v="25"/>
    <s v="Act 1992-188"/>
    <d v="1993-07-01T00:00:00"/>
    <n v="8905000"/>
    <n v="0"/>
  </r>
  <r>
    <s v="0005-00"/>
    <s v="Erie Discovery Square"/>
    <n v="2000000"/>
    <x v="25"/>
    <s v="Act 1992-188"/>
    <d v="1993-07-01T00:00:00"/>
    <n v="1918618.1600000001"/>
    <n v="81381.84"/>
  </r>
  <r>
    <s v="0071-00"/>
    <s v="Fairview Industrial Park"/>
    <n v="3825000"/>
    <x v="25"/>
    <s v="Act 1997- 47"/>
    <d v="1998-05-13T00:00:00"/>
    <n v="3825000"/>
    <n v="0"/>
  </r>
  <r>
    <s v="0083-00"/>
    <s v="Erie Knowledge Park"/>
    <n v="8500000"/>
    <x v="25"/>
    <s v="Act 1997- 47"/>
    <d v="1998-08-31T00:00:00"/>
    <n v="8500000"/>
    <n v="0"/>
  </r>
  <r>
    <s v="0083-01"/>
    <s v="Knowledge Park - Phase II"/>
    <n v="2000000"/>
    <x v="25"/>
    <s v="Act 1999-035"/>
    <d v="1999-10-18T00:00:00"/>
    <n v="1999998.5"/>
    <n v="1.5"/>
  </r>
  <r>
    <s v="0093-00"/>
    <s v="State Street Redevelopment"/>
    <n v="1000000"/>
    <x v="25"/>
    <s v="Act 1997- 47"/>
    <d v="1999-07-02T00:00:00"/>
    <n v="1000000"/>
    <n v="0"/>
  </r>
  <r>
    <s v="0118-00"/>
    <s v="Erie Zoo - Wild Asia"/>
    <n v="1600000"/>
    <x v="25"/>
    <s v="Act 1997- 47"/>
    <d v="1998-08-31T00:00:00"/>
    <n v="1600000"/>
    <n v="0"/>
  </r>
  <r>
    <s v="0125-00"/>
    <s v="Corry Multi-Tenant"/>
    <n v="1100000"/>
    <x v="25"/>
    <s v="Act 1999-035"/>
    <d v="1999-11-16T00:00:00"/>
    <n v="1100000"/>
    <n v="0"/>
  </r>
  <r>
    <s v="0130-00"/>
    <s v="Erie Boys and Girls Club"/>
    <n v="1000000"/>
    <x v="25"/>
    <s v="Act 1999-035"/>
    <d v="1999-12-28T00:00:00"/>
    <n v="1000000"/>
    <n v="0"/>
  </r>
  <r>
    <s v="0156-00"/>
    <s v="Erie Cruise &amp; Ferry Terminal"/>
    <n v="3000000"/>
    <x v="25"/>
    <s v="Act 2000-027"/>
    <d v="2001-05-23T00:00:00"/>
    <n v="3000000"/>
    <n v="0"/>
  </r>
  <r>
    <s v="0184-00"/>
    <s v="Erie Childrens Library"/>
    <n v="500000"/>
    <x v="25"/>
    <s v="Act 1997- 47"/>
    <d v="1999-07-29T00:00:00"/>
    <n v="500000"/>
    <n v="0"/>
  </r>
  <r>
    <s v="0185-00"/>
    <s v="Gertrude Barber Center"/>
    <n v="2000000"/>
    <x v="25"/>
    <s v="Act 1999-035"/>
    <d v="2000-04-24T00:00:00"/>
    <n v="2000000"/>
    <n v="0"/>
  </r>
  <r>
    <s v="0192-00"/>
    <s v="Asbury Woods"/>
    <n v="1691000"/>
    <x v="25"/>
    <s v="Act 1999-035"/>
    <d v="2002-01-25T00:00:00"/>
    <n v="1691000"/>
    <n v="0"/>
  </r>
  <r>
    <s v="0193-00"/>
    <s v="Erie Port KOZ"/>
    <n v="1500000"/>
    <x v="25"/>
    <s v="Act 1999-035"/>
    <d v="2001-09-26T00:00:00"/>
    <n v="1500000"/>
    <n v="0"/>
  </r>
  <r>
    <s v="0203-00"/>
    <s v="Erie Childrens Zoo"/>
    <n v="3200000"/>
    <x v="25"/>
    <s v="Act 1999-035"/>
    <d v="2001-10-02T00:00:00"/>
    <n v="3200000"/>
    <n v="0"/>
  </r>
  <r>
    <s v="0208-00"/>
    <s v="Lake Erie College of Osteopathic Medicine"/>
    <n v="2000000"/>
    <x v="25"/>
    <s v="Act 1999-035"/>
    <d v="2002-04-05T00:00:00"/>
    <n v="2000000"/>
    <n v="0"/>
  </r>
  <r>
    <s v="0228-01"/>
    <s v="Erie Convention Center"/>
    <n v="32000000"/>
    <x v="25"/>
    <s v="Act 1999-035"/>
    <d v="2001-04-20T00:00:00"/>
    <n v="32000000"/>
    <n v="0"/>
  </r>
  <r>
    <s v="0228-02"/>
    <s v="Erie Convention Center Supplement"/>
    <n v="8000000"/>
    <x v="25"/>
    <s v="Act 1999-035"/>
    <d v="2003-04-09T00:00:00"/>
    <n v="8000000"/>
    <n v="0"/>
  </r>
  <r>
    <s v="0228-03"/>
    <s v="Erie Convention Center Supplement II"/>
    <n v="4000000"/>
    <x v="25"/>
    <s v="Act 2000-027"/>
    <d v="2005-04-26T00:00:00"/>
    <n v="4000000"/>
    <n v="0"/>
  </r>
  <r>
    <s v="0228-04"/>
    <s v="Erie Convention Center Supplement III"/>
    <n v="6500000"/>
    <x v="25"/>
    <s v="Act 2000-027"/>
    <d v="2006-09-25T00:00:00"/>
    <n v="6500000"/>
    <n v="0"/>
  </r>
  <r>
    <s v="0228-05"/>
    <s v="Erie Convention Center Supplement IV"/>
    <n v="3000000"/>
    <x v="25"/>
    <s v="Act 2004-040"/>
    <d v="2008-02-26T00:00:00"/>
    <n v="3000000"/>
    <n v="0"/>
  </r>
  <r>
    <s v="0228-06"/>
    <s v="Erie County Convention Center Expansion"/>
    <n v="3000000"/>
    <x v="25"/>
    <s v="Act 2004-040"/>
    <d v="2010-07-15T00:00:00"/>
    <n v="3000000"/>
    <n v="0"/>
  </r>
  <r>
    <s v="0228-07"/>
    <s v="Erie County Convention Center Expansion II"/>
    <n v="7000000"/>
    <x v="25"/>
    <s v="Act 2004-040"/>
    <d v="2010-08-30T00:00:00"/>
    <n v="0"/>
    <n v="7000000"/>
  </r>
  <r>
    <s v="0233-00"/>
    <s v="Bayfront Maritime Studies"/>
    <n v="1500000"/>
    <x v="25"/>
    <s v="Act 2002-131"/>
    <d v="2002-11-21T00:00:00"/>
    <n v="1500000"/>
    <n v="0"/>
  </r>
  <r>
    <s v="0236-00"/>
    <s v="Fenestra Freight Facility (Tom Ridge Field)"/>
    <n v="1000000"/>
    <x v="25"/>
    <s v="Act 1999-035"/>
    <d v="2001-09-26T00:00:00"/>
    <n v="1000000"/>
    <n v="0"/>
  </r>
  <r>
    <s v="0242-00"/>
    <s v="Mercyhurst College Health &amp; Safety Buidling"/>
    <n v="2000000"/>
    <x v="25"/>
    <s v="Act 2002-131"/>
    <d v="2002-11-21T00:00:00"/>
    <n v="2000000.0000000002"/>
    <n v="0"/>
  </r>
  <r>
    <s v="0262-00"/>
    <s v="Metro Machine"/>
    <n v="1000000"/>
    <x v="25"/>
    <s v="Act 2002-131"/>
    <d v="2003-05-28T00:00:00"/>
    <n v="1000000"/>
    <n v="0"/>
  </r>
  <r>
    <s v="0262-01"/>
    <s v="Metro Machine II"/>
    <n v="2000000"/>
    <x v="25"/>
    <s v="Act 2002-131"/>
    <d v="2004-04-21T00:00:00"/>
    <n v="2000000"/>
    <n v="0"/>
  </r>
  <r>
    <s v="0390-00"/>
    <s v="Parade Street Plaza"/>
    <n v="0"/>
    <x v="25"/>
    <s v="Act 2002-131"/>
    <d v="2003-01-16T00:00:00"/>
    <n v="0"/>
    <n v="0"/>
  </r>
  <r>
    <s v="0439-00"/>
    <s v="International Paper Site Reuse"/>
    <n v="3000000"/>
    <x v="25"/>
    <s v="Act 2002-131"/>
    <d v="2005-06-21T00:00:00"/>
    <n v="3000000"/>
    <n v="0"/>
  </r>
  <r>
    <s v="0489-00"/>
    <s v="Shades Beach Park Development"/>
    <n v="250000"/>
    <x v="25"/>
    <s v="Act 2002-131"/>
    <d v="2006-05-04T00:00:00"/>
    <n v="250000"/>
    <n v="0"/>
  </r>
  <r>
    <s v="0489-01"/>
    <s v="Shades Beach Park Development"/>
    <n v="250000"/>
    <x v="25"/>
    <s v="Act 2002-131"/>
    <d v="2006-05-04T00:00:00"/>
    <n v="250000"/>
    <n v="0"/>
  </r>
  <r>
    <s v="0489-02"/>
    <s v="Shades Beach III"/>
    <n v="250000"/>
    <x v="25"/>
    <s v="Act 2002-131"/>
    <d v="2006-09-25T00:00:00"/>
    <n v="250000"/>
    <n v="0"/>
  </r>
  <r>
    <s v="0523-00"/>
    <s v="Port of Erie Drydock and Shipyard-Robotic Arm"/>
    <n v="2500000"/>
    <x v="25"/>
    <s v="Act 2002-131"/>
    <d v="2006-12-11T00:00:00"/>
    <n v="2100413"/>
    <n v="399587"/>
  </r>
  <r>
    <s v="0531-00"/>
    <s v="Gannon University Technology Incubator"/>
    <n v="4000000"/>
    <x v="25"/>
    <s v="Act 2004-040"/>
    <d v="2006-09-25T00:00:00"/>
    <n v="4000000"/>
    <n v="0"/>
  </r>
  <r>
    <s v="0560-00"/>
    <s v="Erie Art Museum Phase 2"/>
    <n v="1500000"/>
    <x v="25"/>
    <s v="Act 2006-083"/>
    <d v="2006-09-25T00:00:00"/>
    <n v="1500000"/>
    <n v="0"/>
  </r>
  <r>
    <s v="0560-01"/>
    <s v="Erie Art Museum Phase 2 II"/>
    <n v="500000"/>
    <x v="25"/>
    <s v="Act 2006-083"/>
    <d v="2006-09-25T00:00:00"/>
    <n v="500000"/>
    <n v="0"/>
  </r>
  <r>
    <s v="0560-02"/>
    <s v="Erie Art Museum Phase 2 III"/>
    <n v="1500000"/>
    <x v="25"/>
    <s v="Act 2006-083"/>
    <d v="2008-08-28T00:00:00"/>
    <n v="1500000"/>
    <n v="0"/>
  </r>
  <r>
    <s v="0564-00"/>
    <s v="Lake Erie Arboretum"/>
    <n v="750000"/>
    <x v="25"/>
    <s v="Act 2002-131"/>
    <d v="2006-05-15T00:00:00"/>
    <n v="0"/>
    <n v="750000"/>
  </r>
  <r>
    <s v="0694-00"/>
    <s v="Union Square Revitalization-Erie"/>
    <n v="3800000"/>
    <x v="25"/>
    <s v="Act 2002-131"/>
    <d v="2008-08-28T00:00:00"/>
    <n v="831595"/>
    <n v="2968405"/>
  </r>
  <r>
    <s v="0827-00"/>
    <s v="GE Transportation-Clean Diesel Testing Facility"/>
    <n v="500000"/>
    <x v="25"/>
    <s v="Act 2008-041"/>
    <d v="2009-04-27T00:00:00"/>
    <n v="500000"/>
    <n v="0"/>
  </r>
  <r>
    <s v="0827-01"/>
    <s v="GE Transportation-Clean Diesel Testing Facility II"/>
    <n v="3000000"/>
    <x v="25"/>
    <s v="Act 2008-041"/>
    <d v="2009-07-31T00:00:00"/>
    <n v="2912500"/>
    <n v="87500"/>
  </r>
  <r>
    <s v="0853-00"/>
    <s v="Corry Memorial Hospital"/>
    <n v="1500000"/>
    <x v="25"/>
    <s v="Act 2008-041"/>
    <d v="2009-02-12T00:00:00"/>
    <n v="1350000"/>
    <n v="150000"/>
  </r>
  <r>
    <s v="0919-00"/>
    <s v="Rexam Warehouse Facility Expansion"/>
    <n v="2000000"/>
    <x v="25"/>
    <s v="Act 2010-047"/>
    <d v="2010-08-11T00:00:00"/>
    <n v="0"/>
    <n v="2000000"/>
  </r>
  <r>
    <s v="1048-00"/>
    <s v="Mercyhurst College"/>
    <n v="3500000"/>
    <x v="25"/>
    <s v="Act 2010-082"/>
    <d v="2010-11-05T00:00:00"/>
    <n v="3099293"/>
    <n v="400707"/>
  </r>
  <r>
    <s v="3027-00"/>
    <s v="International Trade Center-Erie Airport"/>
    <n v="0"/>
    <x v="25"/>
    <s v="Act 2004-040"/>
    <d v="2006-08-17T00:00:00"/>
    <n v="0"/>
    <n v="0"/>
  </r>
  <r>
    <s v="3482-00"/>
    <s v="Lake Erie College of Osteopathic Medicine II"/>
    <n v="1000000"/>
    <x v="25"/>
    <s v="Act 2004-040"/>
    <d v="2010-06-17T00:00:00"/>
    <n v="0"/>
    <n v="1000000"/>
  </r>
  <r>
    <s v="3482-01"/>
    <s v="Lake Erie College of Osteopathic Medicine III"/>
    <n v="1000000"/>
    <x v="25"/>
    <s v="Act 2010-082"/>
    <d v="2010-11-18T00:00:00"/>
    <n v="0"/>
    <n v="1000000"/>
  </r>
  <r>
    <s v="3907-00"/>
    <s v="West Slip Sheet Pile Dock Repair"/>
    <n v="5000000"/>
    <x v="25"/>
    <s v="Act 2010-082"/>
    <d v="2013-02-11T00:00:00"/>
    <n v="0"/>
    <n v="5000000"/>
  </r>
  <r>
    <s v="8051-00"/>
    <s v="Koehler Brewery Square"/>
    <n v="0"/>
    <x v="25"/>
    <s v="Act 2002-131"/>
    <d v="2004-08-13T00:00:00"/>
    <n v="0"/>
    <n v="0"/>
  </r>
  <r>
    <s v="8071-00"/>
    <s v="Erie County Community College"/>
    <n v="0"/>
    <x v="25"/>
    <s v="Act 2008-041"/>
    <d v="2010-08-30T00:00:00"/>
    <n v="0"/>
    <n v="0"/>
  </r>
  <r>
    <s v="0045-00"/>
    <s v="National Road/Brownsville Flatiron"/>
    <n v="969300"/>
    <x v="26"/>
    <s v="Act 1993- 47"/>
    <d v="1993-07-01T00:00:00"/>
    <n v="969299.99999999988"/>
    <n v="0"/>
  </r>
  <r>
    <s v="0063-00"/>
    <s v="CSX Rail Line - SW PA"/>
    <n v="900000"/>
    <x v="26"/>
    <s v="Act 1994- 74"/>
    <d v="1993-07-01T00:00:00"/>
    <n v="900000"/>
    <n v="0"/>
  </r>
  <r>
    <s v="0103-00"/>
    <s v="Fayette Technology Park"/>
    <n v="2000000"/>
    <x v="26"/>
    <s v="Act 1997- 47"/>
    <d v="1998-06-12T00:00:00"/>
    <n v="2000000"/>
    <n v="0"/>
  </r>
  <r>
    <s v="0134-00"/>
    <s v="Fallingwater"/>
    <n v="3500000"/>
    <x v="26"/>
    <s v="Act 1999-035"/>
    <d v="2000-03-23T00:00:00"/>
    <n v="3500000"/>
    <n v="0"/>
  </r>
  <r>
    <s v="0169-00"/>
    <s v="Fort Necessity"/>
    <n v="4500000"/>
    <x v="26"/>
    <s v="Act 1997- 47"/>
    <d v="2001-04-05T00:00:00"/>
    <n v="4500000"/>
    <n v="0"/>
  </r>
  <r>
    <s v="0327-00"/>
    <s v="Uniontown Parking Garage"/>
    <n v="1650000"/>
    <x v="26"/>
    <s v="Act 2002-131"/>
    <d v="2004-04-19T00:00:00"/>
    <n v="1650000"/>
    <n v="0"/>
  </r>
  <r>
    <s v="0327-01"/>
    <s v="Uniontown Downtown Revitalization"/>
    <n v="1500000"/>
    <x v="26"/>
    <s v="Act 2002-131"/>
    <d v="2004-04-19T00:00:00"/>
    <n v="1500000"/>
    <n v="0"/>
  </r>
  <r>
    <s v="0406-00"/>
    <s v="Fayette County Business Park Phase III"/>
    <n v="2000000"/>
    <x v="26"/>
    <s v="Act 2002-131"/>
    <d v="2004-08-16T00:00:00"/>
    <n v="1979446"/>
    <n v="20554"/>
  </r>
  <r>
    <s v="0406-01"/>
    <s v="Fayette County Business Park"/>
    <n v="2000000"/>
    <x v="26"/>
    <s v="Act 2002-131"/>
    <d v="2010-11-15T00:00:00"/>
    <n v="0"/>
    <n v="2000000"/>
  </r>
  <r>
    <s v="0434-00"/>
    <s v="Uniontown Downtown Redevelopment-FCCAA"/>
    <n v="1500000"/>
    <x v="26"/>
    <s v="Act 2004-040"/>
    <d v="2004-08-16T00:00:00"/>
    <n v="1500000"/>
    <n v="0"/>
  </r>
  <r>
    <s v="0574-00"/>
    <s v="Fayette County Fairgrounds"/>
    <n v="450000"/>
    <x v="26"/>
    <s v="Act 2006-083"/>
    <d v="2006-09-26T00:00:00"/>
    <n v="399598"/>
    <n v="50402"/>
  </r>
  <r>
    <s v="0733-00"/>
    <s v="Fallingwater II"/>
    <n v="1000000"/>
    <x v="26"/>
    <s v="Act 2006-083"/>
    <d v="2008-10-30T00:00:00"/>
    <n v="760880"/>
    <n v="239120"/>
  </r>
  <r>
    <s v="0829-00"/>
    <s v="Connellsville Airport Runway Extension"/>
    <n v="1000000"/>
    <x v="26"/>
    <s v="Act 2008-041"/>
    <d v="2008-10-15T00:00:00"/>
    <n v="711348"/>
    <n v="288652"/>
  </r>
  <r>
    <s v="0829-01"/>
    <s v="Connellsville Airport Hangars"/>
    <n v="1000000"/>
    <x v="26"/>
    <s v="Act 2010-082"/>
    <d v="2010-11-22T00:00:00"/>
    <n v="0"/>
    <n v="1000000"/>
  </r>
  <r>
    <s v="0878-00"/>
    <s v="Uniontown Hospital"/>
    <n v="1000000"/>
    <x v="26"/>
    <s v="Act 2008-041"/>
    <d v="2010-02-08T00:00:00"/>
    <n v="1000000"/>
    <n v="0"/>
  </r>
  <r>
    <s v="1068-00"/>
    <s v="North Union Township Recreation Center"/>
    <n v="750000"/>
    <x v="26"/>
    <s v="Act 2008-041"/>
    <d v="2010-10-21T00:00:00"/>
    <n v="0"/>
    <n v="750000"/>
  </r>
  <r>
    <s v="3908-00"/>
    <s v="Dunbar Township Business Park Development"/>
    <n v="1000000"/>
    <x v="26"/>
    <s v="Act 2010-082"/>
    <d v="2013-02-11T00:00:00"/>
    <n v="0"/>
    <n v="1000000"/>
  </r>
  <r>
    <s v="8073-00"/>
    <s v="Downtown Connellsville Revitalization"/>
    <n v="0"/>
    <x v="26"/>
    <s v="Act 2010-082"/>
    <d v="2010-11-22T00:00:00"/>
    <n v="0"/>
    <n v="0"/>
  </r>
  <r>
    <s v="0399-00"/>
    <s v="Hunting &amp; Fishing Museum"/>
    <n v="0"/>
    <x v="27"/>
    <s v="Act 2002-131"/>
    <d v="2003-05-28T00:00:00"/>
    <n v="0"/>
    <n v="0"/>
  </r>
  <r>
    <s v="0399-01"/>
    <s v="Hunting &amp; Fishing Museum II"/>
    <n v="0"/>
    <x v="27"/>
    <s v="Act 2002-131"/>
    <d v="2006-05-12T00:00:00"/>
    <n v="0"/>
    <n v="0"/>
  </r>
  <r>
    <s v="1148-00"/>
    <s v="Antrim Commons Business Park"/>
    <n v="500000"/>
    <x v="28"/>
    <s v="Act 2010-082"/>
    <d v="2010-11-17T00:00:00"/>
    <n v="56665"/>
    <n v="443335"/>
  </r>
  <r>
    <s v="1148-01"/>
    <s v="Antrim Commons Business Park II"/>
    <n v="500000"/>
    <x v="28"/>
    <s v="Act 2010-082"/>
    <d v="2010-11-17T00:00:00"/>
    <n v="0"/>
    <n v="500000"/>
  </r>
  <r>
    <s v="1149-00"/>
    <s v="Shippensburg Industrial Facility"/>
    <n v="1500000"/>
    <x v="28"/>
    <s v="Act 2010-082"/>
    <d v="2010-12-07T00:00:00"/>
    <n v="0"/>
    <n v="1500000"/>
  </r>
  <r>
    <s v="3879-00"/>
    <s v="Manitowoc Crane"/>
    <n v="2000000"/>
    <x v="28"/>
    <s v="Act 2010-047"/>
    <d v="2011-01-14T00:00:00"/>
    <n v="0"/>
    <n v="2000000"/>
  </r>
  <r>
    <s v="3909-00"/>
    <s v="Borough of Chambersburg CNG Refueling Station"/>
    <n v="500000"/>
    <x v="28"/>
    <s v="Act 2010-082"/>
    <d v="2013-02-11T00:00:00"/>
    <n v="0"/>
    <n v="500000"/>
  </r>
  <r>
    <s v="0357-00"/>
    <s v="Fulton County Medical Center"/>
    <n v="3000000"/>
    <x v="29"/>
    <s v="Act 2002-131"/>
    <d v="2004-10-01T00:00:00"/>
    <n v="3000000"/>
    <n v="0"/>
  </r>
  <r>
    <s v="0087-00"/>
    <s v="Meadow Ridge Industrial Park"/>
    <n v="500000"/>
    <x v="30"/>
    <s v="Act 1997- 47"/>
    <d v="1998-06-12T00:00:00"/>
    <n v="500000"/>
    <n v="0"/>
  </r>
  <r>
    <s v="0165-00"/>
    <s v="Meadow Ridge Industrial Park II"/>
    <n v="700000"/>
    <x v="30"/>
    <s v="Act 1999-035"/>
    <d v="2000-12-18T00:00:00"/>
    <n v="700000"/>
    <n v="0"/>
  </r>
  <r>
    <s v="0362-00"/>
    <s v="Ever Greene Technology Park"/>
    <n v="2500000"/>
    <x v="30"/>
    <s v="Act 2002-131"/>
    <d v="2004-10-04T00:00:00"/>
    <n v="2356520"/>
    <n v="143480"/>
  </r>
  <r>
    <s v="0453-00"/>
    <s v="Greene County Swimming Pool &amp; Community Center"/>
    <n v="950000"/>
    <x v="30"/>
    <s v="Act 2004-040"/>
    <d v="2005-05-20T00:00:00"/>
    <n v="950000"/>
    <n v="0"/>
  </r>
  <r>
    <s v="0453-01"/>
    <s v="Greene County Swimming Pool II &amp; Community Center"/>
    <n v="800000"/>
    <x v="30"/>
    <s v="Act 2004-040"/>
    <d v="2006-06-09T00:00:00"/>
    <n v="800000"/>
    <n v="0"/>
  </r>
  <r>
    <s v="0635-00"/>
    <s v="UMWA Career Center"/>
    <n v="4300000"/>
    <x v="30"/>
    <s v="Act 2006-083"/>
    <d v="2007-03-27T00:00:00"/>
    <n v="4038678"/>
    <n v="261322"/>
  </r>
  <r>
    <s v="0707-00"/>
    <s v="Southwest Regional Medical Center"/>
    <n v="1500000"/>
    <x v="30"/>
    <s v="Act 2008-041"/>
    <d v="2008-10-29T00:00:00"/>
    <n v="1500000"/>
    <n v="0"/>
  </r>
  <r>
    <s v="0707-01"/>
    <s v="Southwest Regional Medical Center II"/>
    <n v="500000"/>
    <x v="30"/>
    <s v="Act 2010-082"/>
    <d v="2011-01-03T00:00:00"/>
    <n v="0"/>
    <n v="500000"/>
  </r>
  <r>
    <s v="0886-00"/>
    <s v="Shaft Drillers"/>
    <n v="2000000"/>
    <x v="30"/>
    <s v="Act 2008-041"/>
    <d v="2010-03-23T00:00:00"/>
    <n v="1938583"/>
    <n v="61417"/>
  </r>
  <r>
    <s v="1232-00"/>
    <s v="Greene County Airport Business Park"/>
    <n v="250000"/>
    <x v="30"/>
    <s v="Act 2010-082"/>
    <d v="2010-12-20T00:00:00"/>
    <n v="0"/>
    <n v="250000"/>
  </r>
  <r>
    <s v="3784-00"/>
    <s v="Greene County Transitional Housing Facility"/>
    <n v="0"/>
    <x v="30"/>
    <s v="Act 2010-082"/>
    <d v="2010-12-20T00:00:00"/>
    <n v="0"/>
    <n v="0"/>
  </r>
  <r>
    <s v="8067-00"/>
    <s v="RJ Lee Tire Recycling Center"/>
    <n v="0"/>
    <x v="30"/>
    <s v="Act 2008-041"/>
    <d v="2008-11-20T00:00:00"/>
    <n v="0"/>
    <n v="0"/>
  </r>
  <r>
    <s v="8067-02"/>
    <s v="RJ Lee Tire Recycling Center III"/>
    <n v="0"/>
    <x v="30"/>
    <s v="Act 2008-041"/>
    <d v="2008-11-20T00:00:00"/>
    <n v="0"/>
    <n v="0"/>
  </r>
  <r>
    <s v="8086-00"/>
    <s v="Greene County ARC"/>
    <n v="0"/>
    <x v="30"/>
    <s v="Act 2008-041"/>
    <d v="2010-07-15T00:00:00"/>
    <n v="0"/>
    <n v="0"/>
  </r>
  <r>
    <s v="8088-00"/>
    <s v="RJ Lee Tire Recycling Center II"/>
    <n v="0"/>
    <x v="30"/>
    <s v="Act 2008-041"/>
    <d v="2008-11-20T00:00:00"/>
    <n v="0"/>
    <n v="0"/>
  </r>
  <r>
    <s v="1157-00"/>
    <s v="East Broad Top Preservation Project"/>
    <n v="1000000"/>
    <x v="31"/>
    <s v="Act 2010-082"/>
    <d v="2010-12-20T00:00:00"/>
    <n v="0"/>
    <n v="1000000"/>
  </r>
  <r>
    <s v="1267-00"/>
    <s v="JC Blair Memorial Hospital"/>
    <n v="1000000"/>
    <x v="31"/>
    <s v="Act 2010-082"/>
    <d v="2011-01-03T00:00:00"/>
    <n v="0"/>
    <n v="1000000"/>
  </r>
  <r>
    <s v="8046-00"/>
    <s v="Huntingdon Parking Garage"/>
    <n v="0"/>
    <x v="31"/>
    <s v="Act 2002-131"/>
    <d v="2004-10-01T00:00:00"/>
    <n v="0"/>
    <n v="0"/>
  </r>
  <r>
    <s v="0167-00"/>
    <s v="Indian Springs Business Facility"/>
    <n v="550000"/>
    <x v="32"/>
    <s v="Act 2000-027"/>
    <d v="2000-12-18T00:00:00"/>
    <n v="550000"/>
    <n v="0"/>
  </r>
  <r>
    <s v="0405-00"/>
    <s v="Indian Springs Multi-Tenant Facility"/>
    <n v="1250000"/>
    <x v="32"/>
    <s v="Act 2002-131"/>
    <d v="2002-11-27T00:00:00"/>
    <n v="1250000"/>
    <n v="0"/>
  </r>
  <r>
    <s v="0405-01"/>
    <s v="Indiana County Multi-Tenant Facility"/>
    <n v="750000"/>
    <x v="32"/>
    <s v="Act 2004-040"/>
    <d v="2005-07-19T00:00:00"/>
    <n v="750000"/>
    <n v="0"/>
  </r>
  <r>
    <s v="0409-00"/>
    <s v="Indiana Corporate Campus Multi-Tenant Facility"/>
    <n v="1500000"/>
    <x v="32"/>
    <s v="Act 1999-035"/>
    <d v="2002-11-27T00:00:00"/>
    <n v="1500000"/>
    <n v="0"/>
  </r>
  <r>
    <s v="0512-00"/>
    <s v="Indiana County Commerce Park"/>
    <n v="1000000"/>
    <x v="32"/>
    <s v="Act 2004-040"/>
    <d v="2005-07-19T00:00:00"/>
    <n v="1000000"/>
    <n v="0"/>
  </r>
  <r>
    <s v="0536-00"/>
    <s v="Indiana Regional Medical Center"/>
    <n v="500000"/>
    <x v="32"/>
    <s v="Act 2004-040"/>
    <d v="2005-07-19T00:00:00"/>
    <n v="0"/>
    <n v="500000"/>
  </r>
  <r>
    <s v="0536-01"/>
    <s v="Indiana Regional Medical Center"/>
    <n v="1250000"/>
    <x v="32"/>
    <s v="Act 2010-082"/>
    <d v="2011-01-03T00:00:00"/>
    <n v="0"/>
    <n v="1250000"/>
  </r>
  <r>
    <s v="0657-00"/>
    <s v="Rt. 22 Corridor Improvements-Indiana"/>
    <n v="500000"/>
    <x v="32"/>
    <s v="Act 2004-040"/>
    <d v="2007-09-24T00:00:00"/>
    <n v="487500"/>
    <n v="12500"/>
  </r>
  <r>
    <s v="0693-00"/>
    <s v="Rt 119 Business Park"/>
    <n v="750000"/>
    <x v="32"/>
    <s v="Act 2002-131"/>
    <d v="2006-06-21T00:00:00"/>
    <n v="0"/>
    <n v="750000"/>
  </r>
  <r>
    <s v="0750-00"/>
    <s v="Jimmy Stewart Airport Runway Extension"/>
    <n v="2000000"/>
    <x v="32"/>
    <s v="Act 2006-083"/>
    <d v="2008-10-30T00:00:00"/>
    <n v="0"/>
    <n v="2000000"/>
  </r>
  <r>
    <s v="0750-01"/>
    <s v="Jimmy Stewart Airport Business Park"/>
    <n v="1376000"/>
    <x v="32"/>
    <s v="Act 2004-040"/>
    <d v="2008-08-28T00:00:00"/>
    <n v="0"/>
    <n v="1376000"/>
  </r>
  <r>
    <s v="0750-02"/>
    <s v="Jimmy Stewart Airport Business Park II"/>
    <n v="250000"/>
    <x v="32"/>
    <s v="Act 2004-040"/>
    <d v="2010-03-23T00:00:00"/>
    <n v="0"/>
    <n v="250000"/>
  </r>
  <r>
    <s v="0755-00"/>
    <s v="Windy Ridge Business and Technology Park"/>
    <n v="2000000"/>
    <x v="32"/>
    <s v="Act 2004-040"/>
    <d v="2008-08-28T00:00:00"/>
    <n v="0"/>
    <n v="2000000"/>
  </r>
  <r>
    <s v="0755-01"/>
    <s v="Windy Ridge Business and Technology Park II"/>
    <n v="1250000"/>
    <x v="32"/>
    <s v="Act 2008-041"/>
    <d v="2010-12-20T00:00:00"/>
    <n v="0"/>
    <n v="1250000"/>
  </r>
  <r>
    <s v="0755-02"/>
    <s v="Windy Ridge Business and Technology Park III"/>
    <n v="500000"/>
    <x v="32"/>
    <s v="Act 2008-041"/>
    <d v="2011-01-03T00:00:00"/>
    <n v="0"/>
    <n v="500000"/>
  </r>
  <r>
    <s v="0792-00"/>
    <s v="Indiana County Fire Academy"/>
    <n v="500000"/>
    <x v="32"/>
    <s v="Act 2006-083"/>
    <d v="2007-09-17T00:00:00"/>
    <n v="500000"/>
    <n v="0"/>
  </r>
  <r>
    <s v="1112-00"/>
    <s v="Blairsville Riverfront Village"/>
    <n v="1000000"/>
    <x v="32"/>
    <s v="Act 2008-041"/>
    <d v="2010-10-12T00:00:00"/>
    <n v="0"/>
    <n v="1000000"/>
  </r>
  <r>
    <s v="1143-00"/>
    <s v="Indiana County Multi-Tenant II"/>
    <n v="1250000"/>
    <x v="32"/>
    <s v="Act 2008-041"/>
    <d v="2010-03-23T00:00:00"/>
    <n v="0"/>
    <n v="1250000"/>
  </r>
  <r>
    <s v="1206-00"/>
    <s v="Indian Springs Road Development"/>
    <n v="500000"/>
    <x v="32"/>
    <s v="Act 2010-082"/>
    <d v="2011-01-03T00:00:00"/>
    <n v="0"/>
    <n v="500000"/>
  </r>
  <r>
    <s v="3165-00"/>
    <s v="Indiana County Convocation Center"/>
    <n v="1000000"/>
    <x v="32"/>
    <s v="Act 2002-131"/>
    <d v="2006-08-17T00:00:00"/>
    <n v="0"/>
    <n v="1000000"/>
  </r>
  <r>
    <s v="3910-00"/>
    <s v="Indiana Economic Development Project Segment C"/>
    <n v="3250000"/>
    <x v="32"/>
    <s v="Act 2008-041"/>
    <d v="2013-02-11T00:00:00"/>
    <n v="0"/>
    <n v="3250000"/>
  </r>
  <r>
    <s v="0230-00"/>
    <s v="Jefferson County Vocational Center - Goodwill"/>
    <n v="1000000"/>
    <x v="33"/>
    <s v="Act 2002-131"/>
    <d v="2003-01-16T00:00:00"/>
    <n v="1000000"/>
    <n v="0"/>
  </r>
  <r>
    <s v="0253-05"/>
    <s v="Northcentral KOZ-DuBois-Jefferson Airpark"/>
    <n v="279000"/>
    <x v="33"/>
    <s v="Act 2000-027"/>
    <d v="2002-11-22T00:00:00"/>
    <n v="279000"/>
    <n v="0"/>
  </r>
  <r>
    <s v="0253-06"/>
    <s v="Northcentral KOZ-Falls Creek Industrial Park"/>
    <n v="30000"/>
    <x v="33"/>
    <s v="Act 2000-027"/>
    <d v="2002-11-22T00:00:00"/>
    <n v="30000"/>
    <n v="0"/>
  </r>
  <r>
    <s v="0253-10"/>
    <s v="Northcentral KOZ-Punxsutawney Industrial Park"/>
    <n v="500000"/>
    <x v="33"/>
    <s v="Act 2000-027"/>
    <d v="2002-11-22T00:00:00"/>
    <n v="500000"/>
    <n v="0"/>
  </r>
  <r>
    <s v="0699-00"/>
    <s v="Punxsutawney-JB Eberhart Building"/>
    <n v="500000"/>
    <x v="33"/>
    <s v="Act 2002-131"/>
    <d v="2004-07-16T00:00:00"/>
    <n v="500000"/>
    <n v="0"/>
  </r>
  <r>
    <s v="0699-01"/>
    <s v="JB Eberhard Renovation II"/>
    <n v="1500000"/>
    <x v="33"/>
    <s v="Act 2006-083"/>
    <d v="2006-08-15T00:00:00"/>
    <n v="1450000"/>
    <n v="50000"/>
  </r>
  <r>
    <s v="1235-00"/>
    <s v="Jefferson County Business Park"/>
    <n v="2000000"/>
    <x v="33"/>
    <s v="Act 2010-082"/>
    <d v="2010-12-07T00:00:00"/>
    <n v="0"/>
    <n v="2000000"/>
  </r>
  <r>
    <s v="1296-00"/>
    <s v="Brockway Technical Training Center"/>
    <n v="3000000"/>
    <x v="33"/>
    <s v="Act 2010-082"/>
    <d v="2010-12-08T00:00:00"/>
    <n v="0"/>
    <n v="3000000"/>
  </r>
  <r>
    <s v="3911-00"/>
    <s v="Punxsutawney FQHC-Anchored Multi-Service Facility"/>
    <n v="2000000"/>
    <x v="33"/>
    <s v="Act 2010-082"/>
    <d v="2013-02-11T00:00:00"/>
    <n v="0"/>
    <n v="2000000"/>
  </r>
  <r>
    <s v="0302-00"/>
    <s v="Empire Kosher Poultry"/>
    <n v="3000000"/>
    <x v="34"/>
    <s v="Act 2004-040"/>
    <d v="2004-09-27T00:00:00"/>
    <n v="2985000"/>
    <n v="15000"/>
  </r>
  <r>
    <s v="0000-21"/>
    <s v="Multi-purpose stadium (DCA)"/>
    <n v="11000000"/>
    <x v="35"/>
    <s v="Act 1988-113"/>
    <m/>
    <n v="11000000"/>
    <n v="0"/>
  </r>
  <r>
    <s v="0042-00"/>
    <s v="Lackawanna Trolley Museum"/>
    <n v="1750000"/>
    <x v="35"/>
    <s v="Act 1993- 47"/>
    <d v="1993-07-01T00:00:00"/>
    <n v="1750000"/>
    <n v="0"/>
  </r>
  <r>
    <s v="0044-00"/>
    <s v="National Institute for Env. Renewal"/>
    <n v="4400000"/>
    <x v="35"/>
    <s v="Act 1993- 47"/>
    <d v="1993-07-01T00:00:00"/>
    <n v="4400000"/>
    <n v="0"/>
  </r>
  <r>
    <s v="0050-00"/>
    <s v="Lackawanna Jr College"/>
    <n v="2200000"/>
    <x v="35"/>
    <s v="Act 1988-113"/>
    <d v="1993-07-01T00:00:00"/>
    <n v="2200000"/>
    <n v="0"/>
  </r>
  <r>
    <s v="0055-00"/>
    <s v="Lackawanna Montage Trolley Excursion"/>
    <n v="1750000"/>
    <x v="35"/>
    <s v="Act 1993- 47"/>
    <d v="1993-07-01T00:00:00"/>
    <n v="1750000"/>
    <n v="0"/>
  </r>
  <r>
    <s v="0056-00"/>
    <s v="Hotel Casey/Convention Ctr"/>
    <n v="10000000"/>
    <x v="35"/>
    <s v="Act 1993- 47"/>
    <d v="1993-07-01T00:00:00"/>
    <n v="10000000"/>
    <n v="0"/>
  </r>
  <r>
    <s v="0060-00"/>
    <s v="Lackawanna Visitor Center"/>
    <n v="1000000"/>
    <x v="35"/>
    <s v="Act 1993- 47"/>
    <d v="1993-07-01T00:00:00"/>
    <n v="1000000"/>
    <n v="0"/>
  </r>
  <r>
    <s v="0112-00"/>
    <s v="Lackawanna Stadium"/>
    <n v="1000000"/>
    <x v="35"/>
    <s v="Act 1999-035"/>
    <d v="1999-11-05T00:00:00"/>
    <n v="1000000"/>
    <n v="0"/>
  </r>
  <r>
    <s v="0112-01"/>
    <s v="Lackawanna Stadium II"/>
    <n v="500000"/>
    <x v="35"/>
    <s v="Act 2002-131"/>
    <d v="2003-11-17T00:00:00"/>
    <n v="299919"/>
    <n v="200081"/>
  </r>
  <r>
    <s v="0112-02"/>
    <s v="Lackawanna Stadium III"/>
    <n v="0"/>
    <x v="35"/>
    <s v="Act 1999-035"/>
    <d v="2005-02-25T00:00:00"/>
    <n v="0"/>
    <n v="0"/>
  </r>
  <r>
    <s v="0124-00"/>
    <s v="Valley View Business Park"/>
    <n v="3000000"/>
    <x v="35"/>
    <s v="Act 1999-035"/>
    <d v="2000-02-23T00:00:00"/>
    <n v="3000000"/>
    <n v="0"/>
  </r>
  <r>
    <s v="0132-00"/>
    <s v="Lackawanna Performing Arts Center"/>
    <n v="1500000"/>
    <x v="35"/>
    <s v="Act 1997- 47"/>
    <d v="2000-06-21T00:00:00"/>
    <n v="1500000"/>
    <n v="0"/>
  </r>
  <r>
    <s v="0155-00"/>
    <s v="Scranton Mulberry Corridor"/>
    <n v="0"/>
    <x v="35"/>
    <s v="Act 1997- 47"/>
    <d v="1998-05-04T00:00:00"/>
    <n v="0"/>
    <n v="0"/>
  </r>
  <r>
    <s v="0250-00"/>
    <s v="Scranton Enterprise Center"/>
    <n v="1700000"/>
    <x v="35"/>
    <s v="Act 2002-131"/>
    <d v="2003-01-08T00:00:00"/>
    <n v="1700000"/>
    <n v="0"/>
  </r>
  <r>
    <s v="0294-00"/>
    <s v="Lackawanna Montage Trolley Excursion II"/>
    <n v="1000000"/>
    <x v="35"/>
    <s v="Act 2002-131"/>
    <d v="2003-11-17T00:00:00"/>
    <n v="1000000"/>
    <n v="0"/>
  </r>
  <r>
    <s v="0329-00"/>
    <s v="Carbondale Revitalization"/>
    <n v="650000"/>
    <x v="35"/>
    <s v="Act 2004-040"/>
    <d v="2004-08-31T00:00:00"/>
    <n v="650000"/>
    <n v="0"/>
  </r>
  <r>
    <s v="0414-00"/>
    <s v="Scranton Medallion Parking Garage"/>
    <n v="4000000"/>
    <x v="35"/>
    <s v="Act 2002-131"/>
    <d v="2004-04-24T00:00:00"/>
    <n v="4000000"/>
    <n v="0"/>
  </r>
  <r>
    <s v="0455-00"/>
    <s v="North Scranton-Goodwill Industries"/>
    <n v="4000000"/>
    <x v="35"/>
    <s v="Act 2004-040"/>
    <d v="2005-04-01T00:00:00"/>
    <n v="0"/>
    <n v="4000000"/>
  </r>
  <r>
    <s v="0457-00"/>
    <s v="Marywood University/Robert J. Mellow Center"/>
    <n v="1964000"/>
    <x v="35"/>
    <s v="Act 2004-040"/>
    <d v="2005-04-01T00:00:00"/>
    <n v="1964000"/>
    <n v="0"/>
  </r>
  <r>
    <s v="0566-00"/>
    <s v="Lackawanna Ave Redevelopment Project"/>
    <n v="9000000"/>
    <x v="35"/>
    <s v="Act 2004-040"/>
    <d v="2004-08-31T00:00:00"/>
    <n v="9000000"/>
    <n v="0"/>
  </r>
  <r>
    <s v="0594-00"/>
    <s v="Carbondale Parking Garage"/>
    <n v="2000000"/>
    <x v="35"/>
    <s v="Act 2006-083"/>
    <d v="2006-09-14T00:00:00"/>
    <n v="2000000"/>
    <n v="0"/>
  </r>
  <r>
    <s v="0594-01"/>
    <s v="Carbondale Parking Garage II"/>
    <n v="1000000"/>
    <x v="35"/>
    <s v="Act 2006-083"/>
    <d v="2006-09-14T00:00:00"/>
    <n v="86731"/>
    <n v="913269"/>
  </r>
  <r>
    <s v="0595-00"/>
    <s v="Lackawanna College Expansion"/>
    <n v="2500000"/>
    <x v="35"/>
    <s v="Act 2006-083"/>
    <d v="2007-06-20T00:00:00"/>
    <n v="2500000"/>
    <n v="0"/>
  </r>
  <r>
    <s v="0636-00"/>
    <s v="Scranton Medical School"/>
    <n v="35000000"/>
    <x v="35"/>
    <s v="Act 2006-083"/>
    <d v="2008-08-18T00:00:00"/>
    <n v="34500000"/>
    <n v="500000"/>
  </r>
  <r>
    <s v="0639-00"/>
    <s v="Greater Carbondale YMCA"/>
    <n v="500000"/>
    <x v="35"/>
    <s v="Act 2006-083"/>
    <d v="2007-03-08T00:00:00"/>
    <n v="500000"/>
    <n v="0"/>
  </r>
  <r>
    <s v="0639-01"/>
    <s v="Greater Carbondale YMCA II"/>
    <n v="1000000"/>
    <x v="35"/>
    <s v="Act 2006-083"/>
    <d v="2007-09-04T00:00:00"/>
    <n v="1000000"/>
    <n v="0"/>
  </r>
  <r>
    <s v="0639-02"/>
    <s v="Greater Carbondale YMCA III"/>
    <n v="500000"/>
    <x v="35"/>
    <s v="Act 2006-083"/>
    <d v="2007-11-08T00:00:00"/>
    <n v="500000"/>
    <n v="0"/>
  </r>
  <r>
    <s v="0680-00"/>
    <s v="Connell Building Rehabilitation-Scranton"/>
    <n v="4000000"/>
    <x v="35"/>
    <s v="Act 2004-040"/>
    <d v="2006-08-17T00:00:00"/>
    <n v="4000000"/>
    <n v="0"/>
  </r>
  <r>
    <s v="0736-00"/>
    <s v="Old Forge Community Center"/>
    <n v="500000"/>
    <x v="35"/>
    <s v="Act 2008-041"/>
    <d v="2008-11-20T00:00:00"/>
    <n v="424893"/>
    <n v="75107"/>
  </r>
  <r>
    <s v="0801-00"/>
    <s v="Marywood University II"/>
    <n v="2500000"/>
    <x v="35"/>
    <s v="Act 2006-083"/>
    <d v="2009-03-25T00:00:00"/>
    <n v="2450000"/>
    <n v="50000"/>
  </r>
  <r>
    <s v="0801-01"/>
    <s v="Marywood University Knowledge Commons"/>
    <n v="4000000"/>
    <x v="35"/>
    <s v="Act 2010-082"/>
    <d v="2013-02-11T00:00:00"/>
    <n v="0"/>
    <n v="4000000"/>
  </r>
  <r>
    <s v="0802-00"/>
    <s v="University of Scranton Science Building"/>
    <n v="5000000"/>
    <x v="35"/>
    <s v="Act 2008-041"/>
    <d v="2009-03-18T00:00:00"/>
    <n v="5000000"/>
    <n v="0"/>
  </r>
  <r>
    <s v="0802-01"/>
    <s v="University of Scranton Science Building II"/>
    <n v="5000000"/>
    <x v="35"/>
    <s v="Act 2008-041"/>
    <d v="2010-08-03T00:00:00"/>
    <n v="3250388.25"/>
    <n v="1749611.75"/>
  </r>
  <r>
    <s v="0896-00"/>
    <s v="Lackawanna College-Hawley Silk Mill"/>
    <n v="1000000"/>
    <x v="35"/>
    <s v="Act 2008-041"/>
    <d v="2010-02-25T00:00:00"/>
    <n v="1000000"/>
    <n v="0"/>
  </r>
  <r>
    <s v="0896-01"/>
    <s v="Lackawanna College-Hawley Silk Mill II"/>
    <n v="500000"/>
    <x v="35"/>
    <s v="Act 2008-041"/>
    <d v="2010-04-21T00:00:00"/>
    <n v="462500"/>
    <n v="37500"/>
  </r>
  <r>
    <s v="0904-00"/>
    <s v="Mulberry Street Corridor-2010"/>
    <n v="1000000"/>
    <x v="35"/>
    <s v="Act 2008-041"/>
    <d v="2010-02-04T00:00:00"/>
    <n v="0"/>
    <n v="1000000"/>
  </r>
  <r>
    <s v="0944-00"/>
    <s v="Valley View Technology Incubator"/>
    <n v="2000000"/>
    <x v="35"/>
    <s v="Act 2008-041"/>
    <d v="2010-02-08T00:00:00"/>
    <n v="0"/>
    <n v="2000000"/>
  </r>
  <r>
    <s v="0944-01"/>
    <s v="Valley View Business Park-TMG Health"/>
    <n v="4500000"/>
    <x v="35"/>
    <s v="Act 2004-040"/>
    <d v="2010-11-16T00:00:00"/>
    <n v="4336686"/>
    <n v="163314"/>
  </r>
  <r>
    <s v="0980-00"/>
    <s v="Laceworks Redevelopment"/>
    <n v="4500000"/>
    <x v="35"/>
    <s v="Act 2006-083"/>
    <d v="2008-08-28T00:00:00"/>
    <n v="0"/>
    <n v="4500000"/>
  </r>
  <r>
    <s v="1013-00"/>
    <s v="Madison School Redevelopment"/>
    <n v="3000000"/>
    <x v="35"/>
    <s v="Act 2010-047"/>
    <d v="2010-09-15T00:00:00"/>
    <n v="0"/>
    <n v="3000000"/>
  </r>
  <r>
    <s v="1028-00"/>
    <s v="Lackawanna County Baseball Stadium"/>
    <n v="20000000"/>
    <x v="35"/>
    <s v="Act 2008-041"/>
    <d v="2010-11-05T00:00:00"/>
    <n v="9840288"/>
    <n v="10159712"/>
  </r>
  <r>
    <s v="1029-00"/>
    <s v="Lackawanna County Courthouse Renovations"/>
    <n v="3000000"/>
    <x v="35"/>
    <s v="Act 2004-040"/>
    <d v="2010-11-05T00:00:00"/>
    <n v="0"/>
    <n v="3000000"/>
  </r>
  <r>
    <s v="1030-00"/>
    <s v="Lackawanna Heritage Trail"/>
    <n v="2300000"/>
    <x v="35"/>
    <s v="Act 2006-083"/>
    <d v="2010-09-15T00:00:00"/>
    <n v="0"/>
    <n v="2300000"/>
  </r>
  <r>
    <s v="1042-00"/>
    <s v="Johnson College"/>
    <n v="1500000"/>
    <x v="35"/>
    <s v="Act 2008-041"/>
    <d v="2010-09-15T00:00:00"/>
    <n v="1462500"/>
    <n v="37500"/>
  </r>
  <r>
    <s v="1063-00"/>
    <s v="Abington Community Park"/>
    <n v="900000"/>
    <x v="35"/>
    <s v="Act 2008-041"/>
    <d v="2010-09-15T00:00:00"/>
    <n v="0"/>
    <n v="900000"/>
  </r>
  <r>
    <s v="1082-00"/>
    <s v="Mulberry Plaza"/>
    <n v="3500000"/>
    <x v="35"/>
    <s v="Act 2006-083"/>
    <d v="2010-11-15T00:00:00"/>
    <n v="0"/>
    <n v="3500000"/>
  </r>
  <r>
    <s v="1172-00"/>
    <s v="Career Technology Center of Lackawanna County"/>
    <n v="1000000"/>
    <x v="35"/>
    <s v="Act 2008-041"/>
    <d v="2011-01-03T00:00:00"/>
    <n v="0"/>
    <n v="1000000"/>
  </r>
  <r>
    <s v="1282-00"/>
    <s v="Wright Center for Primary Care"/>
    <n v="2500000"/>
    <x v="35"/>
    <s v="Act 2010-082"/>
    <d v="2010-12-20T00:00:00"/>
    <n v="0"/>
    <n v="2500000"/>
  </r>
  <r>
    <s v="1303-00"/>
    <s v="Nay Aug Park Improvements"/>
    <n v="500000"/>
    <x v="35"/>
    <s v="Act 2002-131"/>
    <d v="2011-01-03T00:00:00"/>
    <n v="0"/>
    <n v="500000"/>
  </r>
  <r>
    <s v="1304-00"/>
    <s v="Moscow Borough Safe Route and Revitalization"/>
    <n v="500000"/>
    <x v="35"/>
    <s v="Act 2010-082"/>
    <d v="2011-01-03T00:00:00"/>
    <n v="0"/>
    <n v="500000"/>
  </r>
  <r>
    <s v="1305-00"/>
    <s v="North Pocono Public Library"/>
    <n v="250000"/>
    <x v="35"/>
    <s v="Act 2010-082"/>
    <d v="2011-01-03T00:00:00"/>
    <n v="0"/>
    <n v="250000"/>
  </r>
  <r>
    <s v="3370-00"/>
    <s v="Allied Terrace Assisted Living"/>
    <n v="0"/>
    <x v="35"/>
    <s v="Act 2008-048"/>
    <d v="2009-04-27T00:00:00"/>
    <n v="0"/>
    <n v="0"/>
  </r>
  <r>
    <s v="8039-00"/>
    <s v="Allied Services Bridge Facility"/>
    <n v="0"/>
    <x v="35"/>
    <s v="Act 2004-040"/>
    <d v="2010-02-08T00:00:00"/>
    <n v="0"/>
    <n v="0"/>
  </r>
  <r>
    <s v="8058-00"/>
    <s v="Northeast Regional Autism Center"/>
    <n v="0"/>
    <x v="35"/>
    <s v="Act 2008-041"/>
    <d v="2009-04-27T00:00:00"/>
    <n v="0"/>
    <n v="0"/>
  </r>
  <r>
    <s v="8062-00"/>
    <s v="Scranton-Central NJ Train Station Renovation"/>
    <n v="0"/>
    <x v="35"/>
    <s v="Act 2004-040"/>
    <d v="2006-12-11T00:00:00"/>
    <n v="0"/>
    <n v="0"/>
  </r>
  <r>
    <s v="8062-01"/>
    <s v="Scranton-Central NJ Train Station Renovation II"/>
    <n v="0"/>
    <x v="35"/>
    <s v="Act 2004-040"/>
    <d v="2006-12-11T00:00:00"/>
    <n v="0"/>
    <n v="0"/>
  </r>
  <r>
    <s v="0002-00"/>
    <s v="Fulton Opera House (Lancaster)"/>
    <n v="3000000"/>
    <x v="36"/>
    <s v="Act 1993- 47"/>
    <d v="1993-07-01T00:00:00"/>
    <n v="3000000"/>
    <n v="0"/>
  </r>
  <r>
    <s v="0126-00"/>
    <s v="Elizabethtown Library"/>
    <n v="1600000"/>
    <x v="36"/>
    <s v="Act 1999-035"/>
    <d v="1999-07-08T00:00:00"/>
    <n v="1600000"/>
    <n v="0"/>
  </r>
  <r>
    <s v="0213-00"/>
    <s v="Lancaster Convention Center"/>
    <n v="15000000"/>
    <x v="36"/>
    <s v="Act 1986-118"/>
    <d v="1999-11-04T00:00:00"/>
    <n v="15000000"/>
    <n v="0"/>
  </r>
  <r>
    <s v="0213-01"/>
    <s v="Lancaster Convention Center"/>
    <n v="1000000"/>
    <x v="36"/>
    <s v="Act 2004-040"/>
    <d v="2008-09-19T00:00:00"/>
    <n v="1000000"/>
    <n v="0"/>
  </r>
  <r>
    <s v="0218-00"/>
    <s v="Ephrata Mountain Springs Hotel"/>
    <n v="2600000"/>
    <x v="36"/>
    <s v="Act 1999-035"/>
    <d v="2002-10-24T00:00:00"/>
    <n v="2600000"/>
    <n v="0"/>
  </r>
  <r>
    <s v="0249-00"/>
    <s v="PA Academy of Music"/>
    <n v="6000000"/>
    <x v="36"/>
    <s v="Act 1999-035"/>
    <d v="2002-11-19T00:00:00"/>
    <n v="6000000"/>
    <n v="0"/>
  </r>
  <r>
    <s v="0249-01"/>
    <s v="PA Academy of Music Expansion-2006"/>
    <n v="2000000"/>
    <x v="36"/>
    <s v="Act 2004-040"/>
    <d v="2006-03-09T00:00:00"/>
    <n v="2000000"/>
    <n v="0"/>
  </r>
  <r>
    <s v="0249-02"/>
    <s v="PA Academy of Music Expansion-2006"/>
    <n v="500000"/>
    <x v="36"/>
    <s v="Act 2004-040"/>
    <d v="2006-03-09T00:00:00"/>
    <n v="500000"/>
    <n v="0"/>
  </r>
  <r>
    <s v="0261-00"/>
    <s v="South Duke Street Gateway Corridor"/>
    <n v="400000"/>
    <x v="36"/>
    <s v="Act 1999-035"/>
    <d v="2002-12-09T00:00:00"/>
    <n v="390000"/>
    <n v="10000"/>
  </r>
  <r>
    <s v="0282-00"/>
    <s v="Lancaster Baseball Stadium"/>
    <n v="10000000"/>
    <x v="36"/>
    <s v="Act 1999-035"/>
    <d v="2003-04-30T00:00:00"/>
    <n v="10000000"/>
    <n v="0"/>
  </r>
  <r>
    <s v="0282-01"/>
    <s v="Lancaster Baseball Stadium II"/>
    <n v="2000000"/>
    <x v="36"/>
    <s v="Act 2004-040"/>
    <d v="2006-05-15T00:00:00"/>
    <n v="2000000"/>
    <n v="0"/>
  </r>
  <r>
    <s v="0296-00"/>
    <s v="Ephrata Playhouse"/>
    <n v="500000"/>
    <x v="36"/>
    <s v="Act 2002-131"/>
    <d v="2004-04-05T00:00:00"/>
    <n v="500000"/>
    <n v="0"/>
  </r>
  <r>
    <s v="0340-00"/>
    <s v="F&amp;M Life Science Building"/>
    <n v="10000000"/>
    <x v="36"/>
    <s v="Act 2002-131"/>
    <d v="2004-08-17T00:00:00"/>
    <n v="10000000"/>
    <n v="0"/>
  </r>
  <r>
    <s v="0419-00"/>
    <s v="Lancaster Quilt &amp; Textile Museum"/>
    <n v="1000000"/>
    <x v="36"/>
    <s v="Act 2002-131"/>
    <d v="2004-08-17T00:00:00"/>
    <n v="1000000"/>
    <n v="0"/>
  </r>
  <r>
    <s v="0425-00"/>
    <s v="Lancaster Convention Center Site Prep-Watt &amp; Shand"/>
    <n v="2000000"/>
    <x v="36"/>
    <s v="Act 2004-040"/>
    <d v="2004-12-16T00:00:00"/>
    <n v="2000000"/>
    <n v="0"/>
  </r>
  <r>
    <s v="0425-01"/>
    <s v="Lancaster Convention Center Site Prep"/>
    <n v="3000000"/>
    <x v="36"/>
    <s v="Act 2004-040"/>
    <d v="2005-02-02T00:00:00"/>
    <n v="3000000"/>
    <n v="0"/>
  </r>
  <r>
    <s v="0425-02"/>
    <s v="Lancaster Convention Center Site Prep Supplemental"/>
    <n v="1500000"/>
    <x v="36"/>
    <s v="Act 2004-040"/>
    <d v="2006-09-20T00:00:00"/>
    <n v="1500000"/>
    <n v="0"/>
  </r>
  <r>
    <s v="0425-03"/>
    <s v="Lancaster Convention Center Supplemental"/>
    <n v="7000000"/>
    <x v="36"/>
    <s v="Act 2004-040"/>
    <d v="2006-01-30T00:00:00"/>
    <n v="7000000"/>
    <n v="0"/>
  </r>
  <r>
    <s v="0472-00"/>
    <s v="Downtown Elizabethtown Redevelopment"/>
    <n v="1000000"/>
    <x v="36"/>
    <s v="Act 2004-040"/>
    <d v="2006-01-30T00:00:00"/>
    <n v="369128"/>
    <n v="630872"/>
  </r>
  <r>
    <s v="0516-00"/>
    <s v="Elizabethtown College-Thompson Gym"/>
    <n v="500000"/>
    <x v="36"/>
    <s v="Act 2002-131"/>
    <d v="2006-06-05T00:00:00"/>
    <n v="500000"/>
    <n v="0"/>
  </r>
  <r>
    <s v="0516-01"/>
    <s v="Elizabethtown College-Thompson Gym"/>
    <n v="500000"/>
    <x v="36"/>
    <s v="Act 2002-131"/>
    <d v="2006-06-05T00:00:00"/>
    <n v="311695"/>
    <n v="188305"/>
  </r>
  <r>
    <s v="0516-02"/>
    <s v="Elizabethtown College Dam"/>
    <n v="1500000"/>
    <x v="36"/>
    <s v="Act 2008-041"/>
    <d v="2010-09-15T00:00:00"/>
    <n v="0"/>
    <n v="1500000"/>
  </r>
  <r>
    <s v="0527-00"/>
    <s v="F&amp;M Gateway-Armstrong Project"/>
    <n v="500000"/>
    <x v="36"/>
    <s v="Act 2004-040"/>
    <d v="2006-06-06T00:00:00"/>
    <n v="500000"/>
    <n v="0"/>
  </r>
  <r>
    <s v="0603-00"/>
    <s v="Spanish American Civic Center-Lancaster"/>
    <n v="300000"/>
    <x v="36"/>
    <s v="Act 2006-083"/>
    <d v="2007-03-08T00:00:00"/>
    <n v="0"/>
    <n v="300000"/>
  </r>
  <r>
    <s v="0630-00"/>
    <s v="New Holland Recreation Center"/>
    <n v="2100000"/>
    <x v="36"/>
    <s v="Act 2006-083"/>
    <d v="2006-12-11T00:00:00"/>
    <n v="2100000"/>
    <n v="0"/>
  </r>
  <r>
    <s v="0669-00"/>
    <s v="Lampeter-Strasburg Recreation Center"/>
    <n v="2000000"/>
    <x v="36"/>
    <s v="Act 2004-040"/>
    <d v="2006-02-09T00:00:00"/>
    <n v="2000000"/>
    <n v="0"/>
  </r>
  <r>
    <s v="0679-00"/>
    <s v="Stevens &amp; Smith Historic Façade Restoration"/>
    <n v="3000000"/>
    <x v="36"/>
    <s v="Act 2002-131"/>
    <d v="2008-08-28T00:00:00"/>
    <n v="3000000"/>
    <n v="0"/>
  </r>
  <r>
    <s v="0705-00"/>
    <s v="Lancaster Central Market"/>
    <n v="3500000"/>
    <x v="36"/>
    <s v="Act 2004-040"/>
    <d v="2008-08-28T00:00:00"/>
    <n v="2413511"/>
    <n v="1086489"/>
  </r>
  <r>
    <s v="0713-00"/>
    <s v="Millersville Borough Building"/>
    <n v="500000"/>
    <x v="36"/>
    <s v="Act 2004-040"/>
    <d v="2008-09-26T00:00:00"/>
    <n v="500000"/>
    <n v="0"/>
  </r>
  <r>
    <s v="0717-00"/>
    <s v="F&amp;M Northwest Gateway Norfolk Southern Project"/>
    <n v="10000000"/>
    <x v="36"/>
    <s v="Act 2008-041"/>
    <d v="2008-10-14T00:00:00"/>
    <n v="9023835"/>
    <n v="976165"/>
  </r>
  <r>
    <s v="0717-01"/>
    <s v="F&amp;M Northwest Gateway Norfolk Southern Project II"/>
    <n v="3000000"/>
    <x v="36"/>
    <s v="Act 2010-082"/>
    <d v="2011-01-14T00:00:00"/>
    <n v="0"/>
    <n v="3000000"/>
  </r>
  <r>
    <s v="0762-00"/>
    <s v="Lancaster Northern Gateway-Stockyards"/>
    <n v="2000000"/>
    <x v="36"/>
    <s v="Act 2008-041"/>
    <d v="2009-03-18T00:00:00"/>
    <n v="2000000"/>
    <n v="0"/>
  </r>
  <r>
    <s v="0762-01"/>
    <s v="Lancaster Northern Gateway II"/>
    <n v="750000"/>
    <x v="36"/>
    <s v="Act 2008-041"/>
    <d v="2009-12-16T00:00:00"/>
    <n v="695000"/>
    <n v="55000"/>
  </r>
  <r>
    <s v="0766-00"/>
    <s v="Ashley &amp; Bailey Silk Mill Renovation"/>
    <n v="1000000"/>
    <x v="36"/>
    <s v="Act 2008-041"/>
    <d v="2008-12-11T00:00:00"/>
    <n v="1000000"/>
    <n v="0"/>
  </r>
  <r>
    <s v="0898-00"/>
    <s v="Lancaster General Hospital-Community Health Center"/>
    <n v="2000000"/>
    <x v="36"/>
    <s v="Act 2008-041"/>
    <d v="2010-04-21T00:00:00"/>
    <n v="0"/>
    <n v="2000000"/>
  </r>
  <r>
    <s v="0898-01"/>
    <s v="Lancaster General Hospital II"/>
    <n v="1000000"/>
    <x v="36"/>
    <s v="Act 2010-082"/>
    <d v="2010-12-07T00:00:00"/>
    <n v="0"/>
    <n v="1000000"/>
  </r>
  <r>
    <s v="0898-02"/>
    <s v="Lancaster General Health Cancer Center"/>
    <n v="1500000"/>
    <x v="36"/>
    <s v="Act 2010-082"/>
    <d v="2011-01-03T00:00:00"/>
    <n v="0"/>
    <n v="1500000"/>
  </r>
  <r>
    <s v="0898-03"/>
    <s v="Lancaster General Hospital IV"/>
    <n v="250000"/>
    <x v="36"/>
    <s v="Act 2010-082"/>
    <d v="2007-03-08T00:00:00"/>
    <n v="0"/>
    <n v="250000"/>
  </r>
  <r>
    <s v="0971-00"/>
    <s v="Lancaster Revitalization"/>
    <n v="1000000"/>
    <x v="36"/>
    <s v="Act 2006-083"/>
    <d v="2010-06-17T00:00:00"/>
    <n v="0"/>
    <n v="1000000"/>
  </r>
  <r>
    <s v="0971-01"/>
    <s v="Lancaster Press Building &amp; Parking Garage"/>
    <n v="2000000"/>
    <x v="36"/>
    <s v="Act 2006-083"/>
    <d v="2010-12-07T00:00:00"/>
    <n v="0"/>
    <n v="2000000"/>
  </r>
  <r>
    <s v="0999-00"/>
    <s v="Lancaster History.org"/>
    <n v="1500000"/>
    <x v="36"/>
    <s v="Act 2008-041"/>
    <d v="2010-08-03T00:00:00"/>
    <n v="1500000"/>
    <n v="0"/>
  </r>
  <r>
    <s v="0999-01"/>
    <s v="Lancaster History.org II"/>
    <n v="500000"/>
    <x v="36"/>
    <s v="Act 2008-041"/>
    <d v="2010-08-03T00:00:00"/>
    <n v="500000"/>
    <n v="0"/>
  </r>
  <r>
    <s v="0999-02"/>
    <s v="Lancaster History.org III"/>
    <n v="750000"/>
    <x v="36"/>
    <s v="Act 2008-041"/>
    <d v="2010-09-28T00:00:00"/>
    <n v="750000"/>
    <n v="0"/>
  </r>
  <r>
    <s v="0999-03"/>
    <s v="Lancaster History.org IV"/>
    <n v="500000"/>
    <x v="36"/>
    <s v="Act 2008-041"/>
    <d v="2010-09-28T00:00:00"/>
    <n v="500000"/>
    <n v="0"/>
  </r>
  <r>
    <s v="0999-04"/>
    <s v="Lancaster History.org V"/>
    <n v="750000"/>
    <x v="36"/>
    <s v="Act 2008-041"/>
    <d v="2010-09-29T00:00:00"/>
    <n v="482481"/>
    <n v="267519"/>
  </r>
  <r>
    <s v="1035-00"/>
    <s v="Lancaster City Hall Renovation"/>
    <n v="5000000"/>
    <x v="36"/>
    <s v="Act 2010-082"/>
    <d v="2010-11-15T00:00:00"/>
    <n v="0"/>
    <n v="5000000"/>
  </r>
  <r>
    <s v="1087-00"/>
    <s v="Neighborhood Recreation and Revitalization Project"/>
    <n v="1500000"/>
    <x v="36"/>
    <s v="Act 2010-082"/>
    <d v="2010-12-20T00:00:00"/>
    <n v="0"/>
    <n v="1500000"/>
  </r>
  <r>
    <s v="1106-00"/>
    <s v="SACA Workforce Training Center"/>
    <n v="500000"/>
    <x v="36"/>
    <s v="Act 2010-082"/>
    <d v="2010-11-18T00:00:00"/>
    <n v="0"/>
    <n v="500000"/>
  </r>
  <r>
    <s v="1106-01"/>
    <s v="Lancaster Workforce Training Center"/>
    <n v="500000"/>
    <x v="36"/>
    <s v="Act 2010-082"/>
    <d v="2010-12-07T00:00:00"/>
    <n v="0"/>
    <n v="500000"/>
  </r>
  <r>
    <s v="1110-00"/>
    <s v="Ephrata Community Hospital"/>
    <n v="1000000"/>
    <x v="36"/>
    <s v="Act 2004-040"/>
    <d v="2010-09-15T00:00:00"/>
    <n v="882961"/>
    <n v="117039"/>
  </r>
  <r>
    <s v="1135-00"/>
    <s v="Arbor Place Community Center"/>
    <n v="500000"/>
    <x v="36"/>
    <s v="Act 2010-082"/>
    <d v="2010-12-20T00:00:00"/>
    <n v="487500"/>
    <n v="12500"/>
  </r>
  <r>
    <s v="1207-00"/>
    <s v="Agricultural Support Facility-Perdue"/>
    <n v="5000000"/>
    <x v="36"/>
    <s v="Act 2010-082"/>
    <d v="2011-01-13T00:00:00"/>
    <n v="0"/>
    <n v="5000000"/>
  </r>
  <r>
    <s v="1207-01"/>
    <s v="Agricultural Support Facility-Perdue II"/>
    <n v="1250000"/>
    <x v="36"/>
    <s v="Act 2010-082"/>
    <d v="2011-01-14T00:00:00"/>
    <n v="0"/>
    <n v="1250000"/>
  </r>
  <r>
    <s v="1207-02"/>
    <s v="Agricultural Support Facility-Perdue III"/>
    <n v="2500000"/>
    <x v="36"/>
    <s v="Act 2010-082"/>
    <d v="2011-01-14T00:00:00"/>
    <n v="0"/>
    <n v="2500000"/>
  </r>
  <r>
    <s v="1211-00"/>
    <s v="Keystone Solar"/>
    <n v="1750000"/>
    <x v="36"/>
    <s v="Act 2010-082"/>
    <d v="2011-01-10T00:00:00"/>
    <n v="0"/>
    <n v="1750000"/>
  </r>
  <r>
    <s v="1256-00"/>
    <s v="Montgomery House Restoration"/>
    <n v="500000"/>
    <x v="36"/>
    <s v="Act 2010-082"/>
    <d v="2011-01-03T00:00:00"/>
    <n v="0"/>
    <n v="500000"/>
  </r>
  <r>
    <s v="3073-00"/>
    <s v="Mount Joy Train Station"/>
    <n v="0"/>
    <x v="36"/>
    <s v="Act 2002-131"/>
    <d v="2006-12-11T00:00:00"/>
    <n v="0"/>
    <n v="0"/>
  </r>
  <r>
    <s v="8087-00"/>
    <s v="Puerto Rican Cultural Center-Lancaster"/>
    <n v="0"/>
    <x v="36"/>
    <s v="Act 2006-083"/>
    <d v="2007-03-08T00:00:00"/>
    <n v="0"/>
    <n v="0"/>
  </r>
  <r>
    <s v="0000-27"/>
    <s v="Johnson Bronze (DCA)"/>
    <n v="760000"/>
    <x v="37"/>
    <s v="Act 1988-113"/>
    <m/>
    <n v="760000"/>
    <n v="0"/>
  </r>
  <r>
    <s v="0090-00"/>
    <s v="Riverview Commerce Park"/>
    <n v="1000000"/>
    <x v="37"/>
    <s v="Act 1997- 47"/>
    <d v="1998-06-12T00:00:00"/>
    <n v="1000000"/>
    <n v="0"/>
  </r>
  <r>
    <s v="0100-00"/>
    <s v="Ellwood City School District"/>
    <n v="500000"/>
    <x v="37"/>
    <s v="Act 1997- 47"/>
    <d v="1999-09-17T00:00:00"/>
    <n v="500000"/>
    <n v="0"/>
  </r>
  <r>
    <s v="0145-00"/>
    <s v="New Castle Downtown Revitalization"/>
    <n v="5000000"/>
    <x v="37"/>
    <s v="Act 1997- 47"/>
    <d v="2000-12-05T00:00:00"/>
    <n v="5000000"/>
    <n v="0"/>
  </r>
  <r>
    <s v="0145-01"/>
    <s v="New Castle Downtown Revitalization II"/>
    <n v="2100000"/>
    <x v="37"/>
    <s v="Act 1999-035"/>
    <d v="2004-08-15T00:00:00"/>
    <n v="2100000"/>
    <n v="0"/>
  </r>
  <r>
    <s v="0145-02"/>
    <s v="New Castle Downtown Revitalization III"/>
    <n v="100000"/>
    <x v="37"/>
    <s v="Act 1999-035"/>
    <d v="2005-10-18T00:00:00"/>
    <n v="100000"/>
    <n v="0"/>
  </r>
  <r>
    <s v="0245-00"/>
    <s v="Western PA Cultural Arts Center (Westminster)"/>
    <n v="1700000"/>
    <x v="37"/>
    <s v="Act 2002-131"/>
    <d v="2002-11-21T00:00:00"/>
    <n v="1700000"/>
    <n v="0"/>
  </r>
  <r>
    <s v="0300-00"/>
    <s v="Millennium Technology Park"/>
    <n v="4000000"/>
    <x v="37"/>
    <s v="Act 2002-131"/>
    <d v="2003-04-11T00:00:00"/>
    <n v="2158946"/>
    <n v="1841054"/>
  </r>
  <r>
    <s v="0565-00"/>
    <s v="Ellwood City Hospital Expansion"/>
    <n v="500000"/>
    <x v="37"/>
    <s v="Act 2006-083"/>
    <d v="2006-09-25T00:00:00"/>
    <n v="0"/>
    <n v="500000"/>
  </r>
  <r>
    <s v="0771-00"/>
    <s v="New Castle Riverplex Phase II"/>
    <n v="5000000"/>
    <x v="37"/>
    <s v="Act 2008-041"/>
    <d v="2008-08-28T00:00:00"/>
    <n v="2690190"/>
    <n v="2309810"/>
  </r>
  <r>
    <s v="0837-00"/>
    <s v="Jameson Hospital ER"/>
    <n v="500000"/>
    <x v="37"/>
    <s v="Act 2006-083"/>
    <d v="2008-12-11T00:00:00"/>
    <n v="500000"/>
    <n v="0"/>
  </r>
  <r>
    <s v="0837-01"/>
    <s v="Jameson Hospital ER II"/>
    <n v="500000"/>
    <x v="37"/>
    <s v="Act 2006-083"/>
    <d v="2009-07-17T00:00:00"/>
    <n v="500000"/>
    <n v="0"/>
  </r>
  <r>
    <s v="0837-02"/>
    <s v="Jameson Hospital III"/>
    <n v="1000000"/>
    <x v="37"/>
    <s v="Act 2006-083"/>
    <d v="2010-05-27T00:00:00"/>
    <n v="1000000"/>
    <n v="0"/>
  </r>
  <r>
    <s v="0837-03"/>
    <s v="Jameson Hospital IV"/>
    <n v="3000000"/>
    <x v="37"/>
    <s v="Act 2006-083"/>
    <d v="2010-10-25T00:00:00"/>
    <n v="3000000"/>
    <n v="0"/>
  </r>
  <r>
    <s v="0837-04"/>
    <s v="Jameson Hospital V"/>
    <n v="1000000"/>
    <x v="37"/>
    <s v="Act 2010-082"/>
    <d v="2010-11-17T00:00:00"/>
    <n v="617819"/>
    <n v="382181"/>
  </r>
  <r>
    <s v="1034-00"/>
    <s v="Ellwood City Community Plaza"/>
    <n v="500000"/>
    <x v="37"/>
    <s v="Act 2008-041"/>
    <d v="2010-09-15T00:00:00"/>
    <n v="193121"/>
    <n v="306879"/>
  </r>
  <r>
    <s v="1132-00"/>
    <s v="Dairy Farmers of America"/>
    <n v="2500000"/>
    <x v="37"/>
    <s v="Act 2010-082"/>
    <d v="2010-11-15T00:00:00"/>
    <n v="0"/>
    <n v="2500000"/>
  </r>
  <r>
    <s v="3520-00"/>
    <s v="Riverview Commerce Park II"/>
    <n v="500000"/>
    <x v="37"/>
    <s v="Act 2004-040"/>
    <d v="2005-10-18T00:00:00"/>
    <n v="0"/>
    <n v="500000"/>
  </r>
  <r>
    <s v="0177-00"/>
    <s v="Annville Streetscape"/>
    <n v="1200000"/>
    <x v="38"/>
    <s v="Act 1999-035"/>
    <d v="2001-10-05T00:00:00"/>
    <n v="1200000"/>
    <n v="0"/>
  </r>
  <r>
    <s v="0325-00"/>
    <s v="Market House Revitalization"/>
    <n v="1700000"/>
    <x v="38"/>
    <s v="Act 2004-040"/>
    <d v="2004-08-17T00:00:00"/>
    <n v="1700000"/>
    <n v="0"/>
  </r>
  <r>
    <s v="0325-01"/>
    <s v="Market House Revitalization II"/>
    <n v="500000"/>
    <x v="38"/>
    <s v="Act 2004-040"/>
    <d v="2006-12-11T00:00:00"/>
    <n v="500000"/>
    <n v="0"/>
  </r>
  <r>
    <s v="0350-00"/>
    <s v="Aspens-Hanford Business Park"/>
    <n v="2000000"/>
    <x v="38"/>
    <s v="Act 2004-040"/>
    <d v="2004-08-17T00:00:00"/>
    <n v="2000000"/>
    <n v="0"/>
  </r>
  <r>
    <s v="0647-00"/>
    <s v="Annville Streetscape II"/>
    <n v="1000000"/>
    <x v="38"/>
    <s v="Act 1999-035"/>
    <d v="2006-06-05T00:00:00"/>
    <n v="504424"/>
    <n v="495576"/>
  </r>
  <r>
    <s v="0958-00"/>
    <s v="Lebanon Blueprint Project"/>
    <n v="3000000"/>
    <x v="38"/>
    <s v="Act 2006-083"/>
    <d v="2010-08-30T00:00:00"/>
    <n v="0"/>
    <n v="3000000"/>
  </r>
  <r>
    <s v="1217-00"/>
    <s v="South Lebanon Township Municipal Facility"/>
    <n v="750000"/>
    <x v="38"/>
    <s v="Act 2010-082"/>
    <d v="2010-12-07T00:00:00"/>
    <n v="630162"/>
    <n v="119838"/>
  </r>
  <r>
    <s v="1248-00"/>
    <s v="Philhaven Hospital Renovations"/>
    <n v="750000"/>
    <x v="38"/>
    <s v="Act 2010-082"/>
    <d v="2010-12-07T00:00:00"/>
    <n v="0"/>
    <n v="750000"/>
  </r>
  <r>
    <s v="1262-00"/>
    <s v="PA Dutch Market"/>
    <n v="900000"/>
    <x v="38"/>
    <s v="Act 2010-082"/>
    <d v="2011-01-14T00:00:00"/>
    <n v="0"/>
    <n v="900000"/>
  </r>
  <r>
    <s v="0084-00"/>
    <s v="Allentown Symphony Hall"/>
    <n v="1500000"/>
    <x v="39"/>
    <s v="Act 1992-188"/>
    <d v="1998-07-15T00:00:00"/>
    <n v="1500000"/>
    <n v="0"/>
  </r>
  <r>
    <s v="0107-00"/>
    <s v="Lehigh Landing"/>
    <n v="7000000"/>
    <x v="39"/>
    <s v="Act 1994- 74"/>
    <d v="1998-04-24T00:00:00"/>
    <n v="7000000"/>
    <n v="0"/>
  </r>
  <r>
    <s v="0160-00"/>
    <s v="Rodale Aquatics Center"/>
    <n v="2000000"/>
    <x v="39"/>
    <s v="Act 1997- 47"/>
    <d v="1999-12-20T00:00:00"/>
    <n v="2000000"/>
    <n v="0"/>
  </r>
  <r>
    <s v="0160-01"/>
    <s v="Rodale Aquatics Center Supplement"/>
    <n v="400000"/>
    <x v="39"/>
    <s v="Act 1997- 47"/>
    <d v="2001-10-04T00:00:00"/>
    <n v="400000"/>
    <n v="0"/>
  </r>
  <r>
    <s v="0186-00"/>
    <s v="Lehigh Community Services for Children"/>
    <n v="2000000"/>
    <x v="39"/>
    <s v="Act 1999-035"/>
    <d v="2001-11-29T00:00:00"/>
    <n v="2000000"/>
    <n v="0"/>
  </r>
  <r>
    <s v="0234-00"/>
    <s v="Lehigh Valley Heritage Center"/>
    <n v="3000000"/>
    <x v="39"/>
    <s v="Act 1999-035"/>
    <d v="2000-05-18T00:00:00"/>
    <n v="3000000"/>
    <n v="0"/>
  </r>
  <r>
    <s v="0260-00"/>
    <s v="Da Vinci Discovery Center"/>
    <n v="1000000"/>
    <x v="39"/>
    <s v="Act 2002-131"/>
    <d v="2002-12-20T00:00:00"/>
    <n v="1000000"/>
    <n v="0"/>
  </r>
  <r>
    <s v="0260-01"/>
    <s v="Discovery Center-Da Vinci II"/>
    <n v="250000"/>
    <x v="39"/>
    <s v="Act 2002-131"/>
    <d v="2005-11-21T00:00:00"/>
    <n v="250000"/>
    <n v="0"/>
  </r>
  <r>
    <s v="0266-00"/>
    <s v="Sacred Heart Hospital"/>
    <n v="2000000"/>
    <x v="39"/>
    <s v="Act 2002-131"/>
    <d v="2003-04-09T00:00:00"/>
    <n v="2000000"/>
    <n v="0"/>
  </r>
  <r>
    <s v="0284-00"/>
    <s v="Good Sheperd Hospital"/>
    <n v="5000000"/>
    <x v="39"/>
    <s v="Act 2002-131"/>
    <d v="2002-12-20T00:00:00"/>
    <n v="5000000"/>
    <n v="0"/>
  </r>
  <r>
    <s v="0284-01"/>
    <s v="Good Shepherd Rehabilitation Hospital"/>
    <n v="2000000"/>
    <x v="39"/>
    <s v="Act 2002-131"/>
    <d v="2006-04-27T00:00:00"/>
    <n v="2000000"/>
    <n v="0"/>
  </r>
  <r>
    <s v="0312-00"/>
    <s v="Allentown Arts Walk 1"/>
    <n v="2000000"/>
    <x v="39"/>
    <s v="Act 2002-131"/>
    <d v="2003-04-09T00:00:00"/>
    <n v="2000000"/>
    <n v="0"/>
  </r>
  <r>
    <s v="0312-01"/>
    <s v="Allentown Arts Walk 2"/>
    <n v="1000000"/>
    <x v="39"/>
    <s v="Act 2002-131"/>
    <d v="2004-04-24T00:00:00"/>
    <n v="274186"/>
    <n v="725814"/>
  </r>
  <r>
    <s v="0355-00"/>
    <s v="Lehigh/Carbon Regional Public Safety Training Cnt"/>
    <n v="5000000"/>
    <x v="39"/>
    <s v="Act 2002-131"/>
    <d v="2002-12-10T00:00:00"/>
    <n v="4990000"/>
    <n v="10000"/>
  </r>
  <r>
    <s v="0427-00"/>
    <s v="Hamilton-Brew Works"/>
    <n v="2500000"/>
    <x v="39"/>
    <s v="Act 2004-040"/>
    <d v="2004-08-20T00:00:00"/>
    <n v="2500000"/>
    <n v="0"/>
  </r>
  <r>
    <s v="0437-00"/>
    <s v="DeSales University Conference Center"/>
    <n v="1000000"/>
    <x v="39"/>
    <s v="Act 2004-040"/>
    <d v="2005-06-21T00:00:00"/>
    <n v="1000000"/>
    <n v="0"/>
  </r>
  <r>
    <s v="0437-01"/>
    <s v="DeSales University Conference Center II"/>
    <n v="2000000"/>
    <x v="39"/>
    <s v="Act 2004-040"/>
    <d v="2005-09-28T00:00:00"/>
    <n v="2000000"/>
    <n v="0"/>
  </r>
  <r>
    <s v="0468-00"/>
    <s v="Lehigh Valley Baseball Stadium"/>
    <n v="12000000"/>
    <x v="39"/>
    <s v="Act 2004-040"/>
    <d v="2004-12-20T00:00:00"/>
    <n v="12000000"/>
    <n v="0"/>
  </r>
  <r>
    <s v="0468-01"/>
    <s v="Lehigh Valley Baseball Stadium"/>
    <n v="1000000"/>
    <x v="39"/>
    <s v="Act 2004-040"/>
    <d v="2006-03-30T00:00:00"/>
    <n v="1000000"/>
    <n v="0"/>
  </r>
  <r>
    <s v="0468-02"/>
    <s v="Lehigh Valley Baseball Stadium"/>
    <n v="1000000"/>
    <x v="39"/>
    <s v="Act 2004-040"/>
    <d v="2006-03-30T00:00:00"/>
    <n v="1000000"/>
    <n v="0"/>
  </r>
  <r>
    <s v="0469-00"/>
    <s v="KidsPeace Broadway Campus"/>
    <n v="1000000"/>
    <x v="39"/>
    <s v="Act 2004-040"/>
    <d v="2005-02-25T00:00:00"/>
    <n v="1000000"/>
    <n v="0"/>
  </r>
  <r>
    <s v="0469-01"/>
    <s v="Kidspeace Broadway Campus II"/>
    <n v="100000"/>
    <x v="39"/>
    <s v="Act 2004-040"/>
    <d v="2009-03-18T00:00:00"/>
    <n v="100000"/>
    <n v="0"/>
  </r>
  <r>
    <s v="0469-02"/>
    <s v="Kidspeace Broadway Campus III"/>
    <n v="75000"/>
    <x v="39"/>
    <s v="Act 2004-040"/>
    <d v="2009-06-23T00:00:00"/>
    <n v="45625"/>
    <n v="29375"/>
  </r>
  <r>
    <s v="0469-03"/>
    <s v="Kidspeace Broadway Campus IV"/>
    <n v="250000"/>
    <x v="39"/>
    <s v="Act 2010-082"/>
    <d v="2011-01-10T00:00:00"/>
    <n v="0"/>
    <n v="250000"/>
  </r>
  <r>
    <s v="0579-00"/>
    <s v="Valley Youth House-Camp Fowler"/>
    <n v="250000"/>
    <x v="39"/>
    <s v="Act 2006-083"/>
    <d v="2006-12-11T00:00:00"/>
    <n v="250000"/>
    <n v="0"/>
  </r>
  <r>
    <s v="0579-01"/>
    <s v="Valley Youth House-Camp Fowler II"/>
    <n v="250000"/>
    <x v="39"/>
    <s v="Act 2006-083"/>
    <d v="2007-03-29T00:00:00"/>
    <n v="250000"/>
    <n v="0"/>
  </r>
  <r>
    <s v="0579-02"/>
    <s v="Valley View House-Camp Fowler III"/>
    <n v="250000"/>
    <x v="39"/>
    <s v="Act 2002-131"/>
    <d v="2007-11-08T00:00:00"/>
    <n v="250000"/>
    <n v="0"/>
  </r>
  <r>
    <s v="0617-00"/>
    <s v=" Hanover Acres"/>
    <n v="1000000"/>
    <x v="39"/>
    <s v="Act 2006-083"/>
    <d v="2006-09-14T00:00:00"/>
    <n v="1000000"/>
    <n v="0"/>
  </r>
  <r>
    <s v="0621-00"/>
    <s v="B. Braun_Allentown Manufacturing Facility"/>
    <n v="4000000"/>
    <x v="39"/>
    <s v="Act 2006-083"/>
    <d v="2006-12-11T00:00:00"/>
    <n v="4000000"/>
    <n v="0"/>
  </r>
  <r>
    <s v="0664-00"/>
    <s v="Muhlenberg College Science Facilties"/>
    <n v="500000"/>
    <x v="39"/>
    <s v="Act 2006-083"/>
    <d v="2006-09-25T00:00:00"/>
    <n v="500000"/>
    <n v="0"/>
  </r>
  <r>
    <s v="0664-01"/>
    <s v="Muhlenberg College Science Facilities II"/>
    <n v="500000"/>
    <x v="39"/>
    <s v="Act 2006-083"/>
    <d v="2007-11-08T00:00:00"/>
    <n v="500000"/>
    <n v="0"/>
  </r>
  <r>
    <s v="0664-02"/>
    <s v="Muhlenberg Collge Science Facilties III"/>
    <n v="200000"/>
    <x v="39"/>
    <s v="Act 2006-083"/>
    <d v="2008-11-20T00:00:00"/>
    <n v="200000"/>
    <n v="0"/>
  </r>
  <r>
    <s v="0687-00"/>
    <s v="Allentown Art Museum"/>
    <n v="500000"/>
    <x v="39"/>
    <s v="Act 2004-040"/>
    <d v="2006-04-03T00:00:00"/>
    <n v="500000"/>
    <n v="0"/>
  </r>
  <r>
    <s v="0687-01"/>
    <s v="Allentown Art Museum II"/>
    <n v="500000"/>
    <x v="39"/>
    <s v="Act 2004-040"/>
    <d v="2006-04-27T00:00:00"/>
    <n v="500000"/>
    <n v="0"/>
  </r>
  <r>
    <s v="0687-02"/>
    <s v="Allentown Art Museum III"/>
    <n v="5000000"/>
    <x v="39"/>
    <s v="Act 2004-040"/>
    <d v="2006-12-04T00:00:00"/>
    <n v="5000000"/>
    <n v="0"/>
  </r>
  <r>
    <s v="0687-03"/>
    <s v="Allentown Art Museum IV"/>
    <n v="250000"/>
    <x v="39"/>
    <s v="Act 2004-040"/>
    <d v="2009-03-18T00:00:00"/>
    <n v="250000"/>
    <n v="0"/>
  </r>
  <r>
    <s v="0687-04"/>
    <s v="Allentown Art Museum V"/>
    <n v="250000"/>
    <x v="39"/>
    <s v="Act 2004-040"/>
    <d v="2009-06-23T00:00:00"/>
    <n v="120000"/>
    <n v="130000"/>
  </r>
  <r>
    <s v="0701-00"/>
    <s v="Lehigh Landing Riverfront Revitalization"/>
    <n v="5000000"/>
    <x v="39"/>
    <s v="Act 2006-083"/>
    <d v="2008-08-28T00:00:00"/>
    <n v="0"/>
    <n v="5000000"/>
  </r>
  <r>
    <s v="0701-01"/>
    <s v="Lehigh Landing Riverfront Revitalization II"/>
    <n v="5000000"/>
    <x v="39"/>
    <s v="Act 2010-082"/>
    <d v="2010-11-15T00:00:00"/>
    <n v="0"/>
    <n v="5000000"/>
  </r>
  <r>
    <s v="0711-00"/>
    <s v="Allentown Fairgrounds"/>
    <n v="1500000"/>
    <x v="39"/>
    <s v="Act 2008-041"/>
    <d v="2008-08-28T00:00:00"/>
    <n v="0"/>
    <n v="1500000"/>
  </r>
  <r>
    <s v="0718-00"/>
    <s v="Lehigh Carbon Community College Athletic Fields"/>
    <n v="250000"/>
    <x v="39"/>
    <s v="Act 2008-041"/>
    <d v="2008-10-15T00:00:00"/>
    <n v="195933"/>
    <n v="54067"/>
  </r>
  <r>
    <s v="0721-04"/>
    <s v="Steel Stax Performing Arts Center V"/>
    <n v="1000000"/>
    <x v="39"/>
    <s v="Act 2008-041"/>
    <d v="2008-11-20T00:00:00"/>
    <n v="1000000"/>
    <n v="0"/>
  </r>
  <r>
    <s v="0726-00"/>
    <s v="Martin Towers"/>
    <n v="1250000"/>
    <x v="39"/>
    <s v="Act 2008-041"/>
    <d v="2008-09-26T00:00:00"/>
    <n v="0"/>
    <n v="1250000"/>
  </r>
  <r>
    <s v="0726-01"/>
    <s v="Martin Towers II"/>
    <n v="1000000"/>
    <x v="39"/>
    <s v="Act 2008-041"/>
    <d v="2009-05-12T00:00:00"/>
    <n v="0"/>
    <n v="1000000"/>
  </r>
  <r>
    <s v="0726-02"/>
    <s v="Martin Towers III"/>
    <n v="500000"/>
    <x v="39"/>
    <s v="Act 2008-041"/>
    <d v="2009-06-23T00:00:00"/>
    <n v="0"/>
    <n v="500000"/>
  </r>
  <r>
    <s v="0726-03"/>
    <s v="Martin Towers IV"/>
    <n v="75000"/>
    <x v="39"/>
    <s v="Act 2008-041"/>
    <d v="2009-06-23T00:00:00"/>
    <n v="0"/>
    <n v="75000"/>
  </r>
  <r>
    <s v="0726-04"/>
    <s v="Martin Towers V"/>
    <n v="5000000"/>
    <x v="39"/>
    <s v="Act 2008-041"/>
    <d v="2010-08-24T00:00:00"/>
    <n v="0"/>
    <n v="5000000"/>
  </r>
  <r>
    <s v="0726-05"/>
    <s v="Martin Towers VI"/>
    <n v="750000"/>
    <x v="39"/>
    <s v="Act 2008-041"/>
    <d v="2010-10-12T00:00:00"/>
    <n v="0"/>
    <n v="750000"/>
  </r>
  <r>
    <s v="0726-06"/>
    <s v="Martin Towers VII"/>
    <n v="250000"/>
    <x v="39"/>
    <s v="Act 2008-041"/>
    <d v="2010-11-18T00:00:00"/>
    <n v="0"/>
    <n v="250000"/>
  </r>
  <r>
    <s v="0726-07"/>
    <s v="Martin Tower VIII"/>
    <n v="250000"/>
    <x v="39"/>
    <s v="Act 2008-041"/>
    <d v="2010-12-07T00:00:00"/>
    <n v="0"/>
    <n v="250000"/>
  </r>
  <r>
    <s v="0743-00"/>
    <s v="Lehigh Valley Hospital"/>
    <n v="500000"/>
    <x v="39"/>
    <s v="Act 2008-041"/>
    <d v="2008-12-11T00:00:00"/>
    <n v="474197"/>
    <n v="25803"/>
  </r>
  <r>
    <s v="0743-01"/>
    <s v="Lehigh Valley Hospital II"/>
    <n v="200000"/>
    <x v="39"/>
    <s v="Act 2008-041"/>
    <d v="2009-06-23T00:00:00"/>
    <n v="0"/>
    <n v="200000"/>
  </r>
  <r>
    <s v="0743-02"/>
    <s v="Lehigh Valley Health Network-17th &amp; Chew Pediatric"/>
    <n v="250000"/>
    <x v="39"/>
    <s v="Act 2010-082"/>
    <d v="2010-11-17T00:00:00"/>
    <n v="0"/>
    <n v="250000"/>
  </r>
  <r>
    <s v="0743-03"/>
    <s v="Lehigh Valley Health Network-17th &amp; Chew Ped. II"/>
    <n v="250000"/>
    <x v="39"/>
    <s v="Act 2010-082"/>
    <d v="2010-11-17T00:00:00"/>
    <n v="0"/>
    <n v="250000"/>
  </r>
  <r>
    <s v="0743-04"/>
    <s v="Lehigh Valley Health Network-17th &amp; Chew Ped. III"/>
    <n v="500000"/>
    <x v="39"/>
    <s v="Act 2010-082"/>
    <d v="2010-11-17T00:00:00"/>
    <n v="0"/>
    <n v="500000"/>
  </r>
  <r>
    <s v="0835-00"/>
    <s v="DeSales University-Gambet Center"/>
    <n v="500000"/>
    <x v="39"/>
    <s v="Act 2006-083"/>
    <d v="2009-05-28T00:00:00"/>
    <n v="500000"/>
    <n v="0"/>
  </r>
  <r>
    <s v="0835-01"/>
    <s v="DeSales University-Gambet Center II"/>
    <n v="500000"/>
    <x v="39"/>
    <s v="Act 2008-041"/>
    <d v="2009-08-31T00:00:00"/>
    <n v="500000"/>
    <n v="0"/>
  </r>
  <r>
    <s v="0835-02"/>
    <s v="DeSales University-Gambet Center III"/>
    <n v="6000000"/>
    <x v="39"/>
    <s v="Act 2006-083"/>
    <d v="2010-09-15T00:00:00"/>
    <n v="4499382"/>
    <n v="1500618"/>
  </r>
  <r>
    <s v="0848-00"/>
    <s v="Downtown Allentown Hotel"/>
    <n v="1500000"/>
    <x v="39"/>
    <s v="Act 2004-040"/>
    <d v="2007-11-08T00:00:00"/>
    <n v="0"/>
    <n v="1500000"/>
  </r>
  <r>
    <s v="0870-00"/>
    <s v="Butz Corporate Center"/>
    <n v="350000"/>
    <x v="39"/>
    <s v="Act 2008-041"/>
    <d v="2009-04-27T00:00:00"/>
    <n v="341250"/>
    <n v="8750"/>
  </r>
  <r>
    <s v="0881-00"/>
    <s v="Overlook Park"/>
    <n v="250000"/>
    <x v="39"/>
    <s v="Act 2008-041"/>
    <d v="2010-02-04T00:00:00"/>
    <n v="0"/>
    <n v="250000"/>
  </r>
  <r>
    <s v="0881-01"/>
    <s v="Homes at Overlook Park"/>
    <n v="500000"/>
    <x v="39"/>
    <s v="Act 2008-041"/>
    <d v="2010-05-27T00:00:00"/>
    <n v="0"/>
    <n v="500000"/>
  </r>
  <r>
    <s v="0883-00"/>
    <s v="Old Allentown Preservation Association"/>
    <n v="250000"/>
    <x v="39"/>
    <s v="Act 2008-041"/>
    <d v="2010-02-04T00:00:00"/>
    <n v="0"/>
    <n v="250000"/>
  </r>
  <r>
    <s v="0883-01"/>
    <s v="Old Allentown Preservation Association II"/>
    <n v="500000"/>
    <x v="39"/>
    <s v="Act 2008-041"/>
    <d v="2010-05-27T00:00:00"/>
    <n v="0"/>
    <n v="500000"/>
  </r>
  <r>
    <s v="0905-00"/>
    <s v="Parkland Community Library"/>
    <n v="300000"/>
    <x v="39"/>
    <s v="Act 2004-040"/>
    <d v="2010-02-08T00:00:00"/>
    <n v="0"/>
    <n v="300000"/>
  </r>
  <r>
    <s v="0928-00"/>
    <s v="Allentown Waste-to-Energy Facility"/>
    <n v="2000000"/>
    <x v="39"/>
    <s v="Act 2010-047"/>
    <d v="2010-08-24T00:00:00"/>
    <n v="0"/>
    <n v="2000000"/>
  </r>
  <r>
    <s v="0928-01"/>
    <s v="Allentown Waste-to-Energy II"/>
    <n v="500000"/>
    <x v="39"/>
    <s v="Act 2010-047"/>
    <d v="2010-09-10T00:00:00"/>
    <n v="0"/>
    <n v="500000"/>
  </r>
  <r>
    <s v="0945-00"/>
    <s v="St. Luke's Hospital-Allentown Parking Deck"/>
    <n v="7000000"/>
    <x v="39"/>
    <s v="Act 2006-083"/>
    <d v="2010-08-03T00:00:00"/>
    <n v="0"/>
    <n v="7000000"/>
  </r>
  <r>
    <s v="0992-00"/>
    <s v="Old Allentown Streetscape"/>
    <n v="500000"/>
    <x v="39"/>
    <s v="Act 2008-041"/>
    <d v="2010-08-24T00:00:00"/>
    <n v="0"/>
    <n v="500000"/>
  </r>
  <r>
    <s v="1001-00"/>
    <s v="Cityplace-Schoens Building Renovation II"/>
    <n v="500000"/>
    <x v="39"/>
    <s v="Act 2008-041"/>
    <d v="2010-02-04T00:00:00"/>
    <n v="0"/>
    <n v="500000"/>
  </r>
  <r>
    <s v="1022-00"/>
    <s v="Cumberland Gardens"/>
    <n v="250000"/>
    <x v="39"/>
    <s v="Act 2010-082"/>
    <d v="2010-11-05T00:00:00"/>
    <n v="0"/>
    <n v="250000"/>
  </r>
  <r>
    <s v="1022-01"/>
    <s v="Cumberland Gardens II"/>
    <n v="1250000"/>
    <x v="39"/>
    <s v="Act 2010-082"/>
    <d v="2010-11-05T00:00:00"/>
    <n v="0"/>
    <n v="1250000"/>
  </r>
  <r>
    <s v="1032-00"/>
    <s v="Avantor"/>
    <n v="3000000"/>
    <x v="39"/>
    <s v="Act 2010-082"/>
    <d v="2010-11-17T00:00:00"/>
    <n v="2925000"/>
    <n v="75000"/>
  </r>
  <r>
    <s v="1049-00"/>
    <s v="Microdistillery Manufacturing Center"/>
    <n v="250000"/>
    <x v="39"/>
    <s v="Act 2010-082"/>
    <d v="2010-11-18T00:00:00"/>
    <n v="0"/>
    <n v="250000"/>
  </r>
  <r>
    <s v="1089-00"/>
    <s v="Lofts at Center Square"/>
    <n v="2000000"/>
    <x v="39"/>
    <s v="Act 2008-041"/>
    <d v="2010-10-12T00:00:00"/>
    <n v="0"/>
    <n v="2000000"/>
  </r>
  <r>
    <s v="1089-01"/>
    <s v="Redevelopment of Former Corporate Plaza Site"/>
    <n v="250000"/>
    <x v="39"/>
    <s v="Act 2010-082"/>
    <d v="2010-11-18T00:00:00"/>
    <n v="0"/>
    <n v="250000"/>
  </r>
  <r>
    <s v="1096-00"/>
    <s v="Cetronia Ambulance Corps"/>
    <n v="250000"/>
    <x v="39"/>
    <s v="Act 2008-041"/>
    <d v="2010-11-01T00:00:00"/>
    <n v="0"/>
    <n v="250000"/>
  </r>
  <r>
    <s v="1096-01"/>
    <s v="Cetronia Ambulance Corps II"/>
    <n v="500000"/>
    <x v="39"/>
    <s v="Act 2008-041"/>
    <d v="2010-12-07T00:00:00"/>
    <n v="0"/>
    <n v="500000"/>
  </r>
  <r>
    <s v="1096-02"/>
    <s v="Cetronia Ambulance Corps III"/>
    <n v="250000"/>
    <x v="39"/>
    <s v="Act 2008-041"/>
    <d v="2011-01-03T00:00:00"/>
    <n v="0"/>
    <n v="250000"/>
  </r>
  <r>
    <s v="1096-03"/>
    <s v="Cetronia Ambulance Corps IV"/>
    <n v="750000"/>
    <x v="39"/>
    <s v="Act 2008-041"/>
    <d v="2011-01-10T00:00:00"/>
    <n v="0"/>
    <n v="750000"/>
  </r>
  <r>
    <s v="1097-00"/>
    <s v="New Casa Guadalupe Center"/>
    <n v="500000"/>
    <x v="39"/>
    <s v="Act 2008-041"/>
    <d v="2010-11-18T00:00:00"/>
    <n v="0"/>
    <n v="500000"/>
  </r>
  <r>
    <s v="1107-00"/>
    <s v="Haven House"/>
    <n v="200000"/>
    <x v="39"/>
    <s v="Act 2010-082"/>
    <d v="2010-11-17T00:00:00"/>
    <n v="0"/>
    <n v="200000"/>
  </r>
  <r>
    <s v="1107-01"/>
    <s v="Haven House II"/>
    <n v="300000"/>
    <x v="39"/>
    <s v="Act 2010-082"/>
    <d v="2010-11-17T00:00:00"/>
    <n v="0"/>
    <n v="300000"/>
  </r>
  <r>
    <s v="1107-02"/>
    <s v="Haven House III"/>
    <n v="500000"/>
    <x v="39"/>
    <s v="Act 2010-082"/>
    <d v="2010-11-17T00:00:00"/>
    <n v="0"/>
    <n v="500000"/>
  </r>
  <r>
    <s v="1108-00"/>
    <s v="Allentown Symphony Hall II"/>
    <n v="250000"/>
    <x v="39"/>
    <s v="Act 2008-041"/>
    <d v="2010-11-18T00:00:00"/>
    <n v="0"/>
    <n v="250000"/>
  </r>
  <r>
    <s v="1108-01"/>
    <s v="Allentown Symphony Hall III"/>
    <n v="250000"/>
    <x v="39"/>
    <s v="Act 2008-041"/>
    <d v="2010-12-07T00:00:00"/>
    <n v="0"/>
    <n v="250000"/>
  </r>
  <r>
    <s v="1108-02"/>
    <s v="Allentown Symphony Hall IV"/>
    <n v="250000"/>
    <x v="39"/>
    <s v="Act 2010-082"/>
    <d v="2011-01-03T00:00:00"/>
    <n v="0"/>
    <n v="250000"/>
  </r>
  <r>
    <s v="1111-00"/>
    <s v="Community Services for Children SafeStart Program"/>
    <n v="250000"/>
    <x v="39"/>
    <s v="Act 2010-082"/>
    <d v="2010-11-01T00:00:00"/>
    <n v="250000"/>
    <n v="0"/>
  </r>
  <r>
    <s v="1111-01"/>
    <s v="Community Services for Children SafeStart Prog II"/>
    <n v="125000"/>
    <x v="39"/>
    <s v="Act 2010-082"/>
    <d v="2010-12-03T00:00:00"/>
    <n v="125000"/>
    <n v="0"/>
  </r>
  <r>
    <s v="1111-02"/>
    <s v="Community Services for Children SafeStart Prog III"/>
    <n v="250000"/>
    <x v="39"/>
    <s v="Act 2010-082"/>
    <d v="2010-12-07T00:00:00"/>
    <n v="250000"/>
    <n v="0"/>
  </r>
  <r>
    <s v="1111-03"/>
    <s v="Community Services for Children SafeStart Prog IV"/>
    <n v="250000"/>
    <x v="39"/>
    <s v="Act 2010-082"/>
    <d v="2011-01-10T00:00:00"/>
    <n v="228125"/>
    <n v="21875"/>
  </r>
  <r>
    <s v="1117-00"/>
    <s v="Butz Center Phase II"/>
    <n v="1000000"/>
    <x v="39"/>
    <s v="Act 2008-041"/>
    <d v="2010-09-15T00:00:00"/>
    <n v="715069"/>
    <n v="284931"/>
  </r>
  <r>
    <s v="1117-01"/>
    <s v="Butz Center Phase III"/>
    <n v="2000000"/>
    <x v="39"/>
    <s v="Act 2010-082"/>
    <d v="2010-10-20T00:00:00"/>
    <n v="0"/>
    <n v="2000000"/>
  </r>
  <r>
    <s v="1120-00"/>
    <s v="Donnelly College &amp; Career Access Network"/>
    <n v="1000000"/>
    <x v="39"/>
    <s v="Act 2010-082"/>
    <d v="2010-11-17T00:00:00"/>
    <n v="0"/>
    <n v="1000000"/>
  </r>
  <r>
    <s v="1120-01"/>
    <s v="Donnelly College &amp; Career Access Network II"/>
    <n v="2750000"/>
    <x v="39"/>
    <s v="Act 2010-082"/>
    <d v="2010-11-17T00:00:00"/>
    <n v="0"/>
    <n v="2750000"/>
  </r>
  <r>
    <s v="1134-00"/>
    <s v="Townes at Trexler Square"/>
    <n v="500000"/>
    <x v="39"/>
    <s v="Act 2008-041"/>
    <d v="2010-10-21T00:00:00"/>
    <n v="0"/>
    <n v="500000"/>
  </r>
  <r>
    <s v="1147-00"/>
    <s v="Lehigh Valley Health Network-Muhlenberg Hos III"/>
    <n v="500000"/>
    <x v="39"/>
    <s v="Act 2010-082"/>
    <d v="2010-12-03T00:00:00"/>
    <n v="0"/>
    <n v="500000"/>
  </r>
  <r>
    <s v="1147-01"/>
    <s v="Lehigh Valley Health Network-Muhlenberg Hos IV"/>
    <n v="1000000"/>
    <x v="39"/>
    <s v="Act 2010-082"/>
    <d v="2011-01-10T00:00:00"/>
    <n v="0"/>
    <n v="1000000"/>
  </r>
  <r>
    <s v="1189-00"/>
    <s v="Emmaus Main Street Program"/>
    <n v="500000"/>
    <x v="39"/>
    <s v="Act 2010-082"/>
    <d v="2011-01-10T00:00:00"/>
    <n v="0"/>
    <n v="500000"/>
  </r>
  <r>
    <s v="1191-00"/>
    <s v="LaFarge Cement"/>
    <n v="300000"/>
    <x v="39"/>
    <s v="Act 2010-082"/>
    <d v="2010-12-20T00:00:00"/>
    <n v="289500"/>
    <n v="10500"/>
  </r>
  <r>
    <s v="1195-00"/>
    <s v="Hamilton Crossing"/>
    <n v="250000"/>
    <x v="39"/>
    <s v="Act 2010-082"/>
    <d v="2011-01-10T00:00:00"/>
    <n v="0"/>
    <n v="250000"/>
  </r>
  <r>
    <s v="1195-01"/>
    <s v="Hamilton Crossings II"/>
    <n v="2500000"/>
    <x v="39"/>
    <s v="Act 2010-082"/>
    <d v="2013-02-11T00:00:00"/>
    <n v="0"/>
    <n v="2500000"/>
  </r>
  <r>
    <s v="1242-00"/>
    <s v="Camp Olympic Park"/>
    <n v="250000"/>
    <x v="39"/>
    <s v="Act 2010-082"/>
    <d v="2011-01-10T00:00:00"/>
    <n v="0"/>
    <n v="250000"/>
  </r>
  <r>
    <s v="1271-00"/>
    <s v="The Bistro"/>
    <n v="500000"/>
    <x v="39"/>
    <s v="Act 2008-041"/>
    <d v="2010-10-25T00:00:00"/>
    <n v="0"/>
    <n v="500000"/>
  </r>
  <r>
    <s v="1290-00"/>
    <s v="Diakon Lutheran Social Ministries Health Center"/>
    <n v="250000"/>
    <x v="39"/>
    <s v="Act 2010-082"/>
    <d v="2011-01-03T00:00:00"/>
    <n v="0"/>
    <n v="250000"/>
  </r>
  <r>
    <s v="3137-00"/>
    <s v="East Side Youth Center-Allentown"/>
    <n v="0"/>
    <x v="39"/>
    <s v="Act 2006-083"/>
    <d v="2007-03-29T00:00:00"/>
    <n v="0"/>
    <n v="0"/>
  </r>
  <r>
    <s v="3382-00"/>
    <s v="Westminster Village"/>
    <n v="0"/>
    <x v="39"/>
    <s v="Act 2006-083"/>
    <d v="2009-05-12T00:00:00"/>
    <n v="0"/>
    <n v="0"/>
  </r>
  <r>
    <s v="3609-00"/>
    <s v="Lehigh Valley Health Network-Muhlenberg Hospital"/>
    <n v="0"/>
    <x v="39"/>
    <s v="Act 2010-082"/>
    <d v="2010-11-01T00:00:00"/>
    <n v="0"/>
    <n v="0"/>
  </r>
  <r>
    <s v="3703-00"/>
    <s v="Da Vinci Discovery Center of Science"/>
    <n v="250000"/>
    <x v="39"/>
    <s v="Act 2010-082"/>
    <d v="2010-12-07T00:00:00"/>
    <n v="0"/>
    <n v="250000"/>
  </r>
  <r>
    <s v="3703-01"/>
    <s v="Air Side"/>
    <n v="250000"/>
    <x v="39"/>
    <s v="Act 2010-082"/>
    <d v="2011-01-10T00:00:00"/>
    <n v="0"/>
    <n v="250000"/>
  </r>
  <r>
    <s v="3912-00"/>
    <s v="6th Tower Patient Floor Renovation (Sacred Heart)"/>
    <n v="500000"/>
    <x v="39"/>
    <s v="Act 2006-083"/>
    <d v="2013-02-11T00:00:00"/>
    <n v="0"/>
    <n v="500000"/>
  </r>
  <r>
    <s v="8029-00"/>
    <s v="Cityplace-Schoens Building Renovation"/>
    <n v="0"/>
    <x v="39"/>
    <s v="Act 2008-041"/>
    <d v="2008-11-20T00:00:00"/>
    <n v="0"/>
    <n v="0"/>
  </r>
  <r>
    <s v="8040-00"/>
    <s v="Air Products IV"/>
    <n v="0"/>
    <x v="39"/>
    <s v="Act 2010-082"/>
    <d v="2011-01-10T00:00:00"/>
    <n v="0"/>
    <n v="0"/>
  </r>
  <r>
    <s v="8040-01"/>
    <s v="Air Products III"/>
    <n v="0"/>
    <x v="39"/>
    <s v="Act 2010-082"/>
    <d v="2011-01-10T00:00:00"/>
    <n v="0"/>
    <n v="0"/>
  </r>
  <r>
    <s v="8078-00"/>
    <s v="Lehigh Valley Zoo"/>
    <n v="0"/>
    <x v="39"/>
    <s v="Act 2010-082"/>
    <d v="2011-01-10T00:00:00"/>
    <n v="0"/>
    <n v="0"/>
  </r>
  <r>
    <s v="0017-00"/>
    <s v="Northeastern Pa Civic Ctr "/>
    <n v="19200000"/>
    <x v="40"/>
    <s v="Act 1994- 74"/>
    <d v="1993-07-01T00:00:00"/>
    <n v="19200000"/>
    <n v="0"/>
  </r>
  <r>
    <s v="0017-01"/>
    <s v="Northeastern Pa Civic Ctr Supplemental"/>
    <n v="2000000"/>
    <x v="40"/>
    <s v="Act 1994- 74"/>
    <d v="1999-05-03T00:00:00"/>
    <n v="2000000"/>
    <n v="0"/>
  </r>
  <r>
    <s v="0158-00"/>
    <s v="Park N Lock North"/>
    <n v="2500000"/>
    <x v="40"/>
    <s v="Act 1999-035"/>
    <d v="2000-08-24T00:00:00"/>
    <n v="2500000"/>
    <n v="0"/>
  </r>
  <r>
    <s v="0190-00"/>
    <s v="Markle Building"/>
    <n v="1500000"/>
    <x v="40"/>
    <s v="Act 2000-027"/>
    <d v="2001-12-17T00:00:00"/>
    <n v="1500000"/>
    <n v="0"/>
  </r>
  <r>
    <s v="0204-00"/>
    <s v="Hanover Crossing"/>
    <n v="1000000"/>
    <x v="40"/>
    <s v="Act 1999-035"/>
    <d v="2002-04-24T00:00:00"/>
    <n v="1000000"/>
    <n v="0"/>
  </r>
  <r>
    <s v="0290-00"/>
    <s v="Wilkes Barre Parking Garage-South Main Street"/>
    <n v="5870000"/>
    <x v="40"/>
    <s v="Act 2004-040"/>
    <d v="2004-04-23T00:00:00"/>
    <n v="5870000"/>
    <n v="0"/>
  </r>
  <r>
    <s v="0290-01"/>
    <s v="South Main Street Augmentation"/>
    <n v="1500000"/>
    <x v="40"/>
    <s v="Act 2004-040"/>
    <d v="2004-08-31T00:00:00"/>
    <n v="1500000"/>
    <n v="0"/>
  </r>
  <r>
    <s v="0290-02"/>
    <s v="South Main Street Development III"/>
    <n v="500000"/>
    <x v="40"/>
    <s v="Act 2004-040"/>
    <d v="2006-06-05T00:00:00"/>
    <n v="500000"/>
    <n v="0"/>
  </r>
  <r>
    <s v="0417-00"/>
    <s v="Hazelton Intermodal Center"/>
    <n v="1500000"/>
    <x v="40"/>
    <s v="Act 2000-027"/>
    <d v="2004-04-23T00:00:00"/>
    <n v="1500000"/>
    <n v="0"/>
  </r>
  <r>
    <s v="0423-00"/>
    <s v="Wilkes Barre Irem Masonic Temple"/>
    <n v="500000"/>
    <x v="40"/>
    <s v="Act 2004-040"/>
    <d v="2004-12-17T00:00:00"/>
    <n v="500000"/>
    <n v="0"/>
  </r>
  <r>
    <s v="0431-00"/>
    <s v="South Washington St Garage-Wilkes Barre"/>
    <n v="2500000"/>
    <x v="40"/>
    <s v="Act 2004-040"/>
    <d v="2004-08-31T00:00:00"/>
    <n v="2500000"/>
    <n v="0"/>
  </r>
  <r>
    <s v="0431-01"/>
    <s v="South Wash-Northampton St Garage-Wilkes Barre"/>
    <n v="500000"/>
    <x v="40"/>
    <s v="Act 2004-040"/>
    <d v="2004-08-31T00:00:00"/>
    <n v="500000"/>
    <n v="0"/>
  </r>
  <r>
    <s v="0431-02"/>
    <s v="South Washington St Garage-Wilkes Barre"/>
    <n v="3000000"/>
    <x v="40"/>
    <s v="Act 2004-040"/>
    <m/>
    <n v="3000000"/>
    <n v="0"/>
  </r>
  <r>
    <s v="0431-03"/>
    <s v="Wilkes Barre Downtown Parking Garage"/>
    <n v="4000000"/>
    <x v="40"/>
    <s v="Act 2006-083"/>
    <d v="2007-10-12T00:00:00"/>
    <n v="4000000"/>
    <n v="0"/>
  </r>
  <r>
    <s v="0431-04"/>
    <s v="South Washington Street Parking Garage IV"/>
    <n v="1500000"/>
    <x v="40"/>
    <s v="Act 2004-040"/>
    <d v="2010-11-15T00:00:00"/>
    <n v="1270000"/>
    <n v="230000"/>
  </r>
  <r>
    <s v="0433-00"/>
    <s v="Cranberry Creek Gateway Park"/>
    <n v="500000"/>
    <x v="40"/>
    <s v="Act 2004-040"/>
    <d v="2005-04-21T00:00:00"/>
    <n v="500000"/>
    <n v="0"/>
  </r>
  <r>
    <s v="0506-00"/>
    <s v="Luzerne Public Safety Training Center"/>
    <n v="500000"/>
    <x v="40"/>
    <s v="Act 2004-040"/>
    <d v="2006-06-06T00:00:00"/>
    <n v="500000"/>
    <n v="0"/>
  </r>
  <r>
    <s v="0562-00"/>
    <s v="Misericordia Assistive Technology Research Center"/>
    <n v="1250000"/>
    <x v="40"/>
    <s v="Act 2006-083"/>
    <d v="2006-09-25T00:00:00"/>
    <n v="1250000"/>
    <n v="0"/>
  </r>
  <r>
    <s v="0562-01"/>
    <s v="Misericordia Assistive Technology Research II"/>
    <n v="1250000"/>
    <x v="40"/>
    <s v="Act 2006-083"/>
    <d v="2006-09-25T00:00:00"/>
    <n v="1187500"/>
    <n v="62500"/>
  </r>
  <r>
    <s v="0571-00"/>
    <s v="Wilkes Barre Riverfront and River Commons"/>
    <n v="2500000"/>
    <x v="40"/>
    <s v="Act 2006-083"/>
    <d v="2006-12-11T00:00:00"/>
    <n v="2500000"/>
    <n v="0"/>
  </r>
  <r>
    <s v="0571-01"/>
    <s v="Wilkes Barre Riverfront and River Commons"/>
    <n v="1000000"/>
    <x v="40"/>
    <s v="Act 2004-040"/>
    <d v="2006-08-17T00:00:00"/>
    <n v="690179"/>
    <n v="309821"/>
  </r>
  <r>
    <s v="0572-00"/>
    <s v="WVIA Public Television Upgrade"/>
    <n v="500000"/>
    <x v="40"/>
    <s v="Act 2006-083"/>
    <d v="2006-09-25T00:00:00"/>
    <n v="500000"/>
    <n v="0"/>
  </r>
  <r>
    <s v="0642-00"/>
    <s v="Penguin Park-Coal Street Park"/>
    <n v="4500000"/>
    <x v="40"/>
    <s v="Act 2006-083"/>
    <d v="2007-08-17T00:00:00"/>
    <n v="4500000"/>
    <n v="0"/>
  </r>
  <r>
    <s v="0642-01"/>
    <s v="Penguin Park- Coal Street Park II"/>
    <n v="1500000"/>
    <x v="40"/>
    <s v="Act 2006-083"/>
    <d v="2009-04-27T00:00:00"/>
    <n v="1500000"/>
    <n v="0"/>
  </r>
  <r>
    <s v="0642-02"/>
    <s v="Coal Street Park III"/>
    <n v="500000"/>
    <x v="40"/>
    <s v="Act 2006-083"/>
    <d v="2010-08-30T00:00:00"/>
    <n v="337500"/>
    <n v="162500"/>
  </r>
  <r>
    <s v="0663-00"/>
    <s v="Redevelopment of Kaminski Bros Land"/>
    <n v="1500000"/>
    <x v="40"/>
    <s v="Act 2004-040"/>
    <d v="2006-06-05T00:00:00"/>
    <n v="1462500"/>
    <n v="37500"/>
  </r>
  <r>
    <s v="0677-00"/>
    <s v="Butler Township Senior Center"/>
    <n v="1500000"/>
    <x v="40"/>
    <s v="Act 2004-040"/>
    <d v="2006-12-11T00:00:00"/>
    <n v="1462500"/>
    <n v="37500"/>
  </r>
  <r>
    <s v="0728-00"/>
    <s v="Luzerne County Community College Culinary Arts"/>
    <n v="2000000"/>
    <x v="40"/>
    <s v="Act 2008-041"/>
    <d v="2008-09-26T00:00:00"/>
    <n v="2000000"/>
    <n v="0"/>
  </r>
  <r>
    <s v="0728-01"/>
    <s v="Luzerne County Community College Culinary Arts II"/>
    <n v="500000"/>
    <x v="40"/>
    <s v="Act 2008-041"/>
    <d v="2010-08-30T00:00:00"/>
    <n v="500000"/>
    <n v="0"/>
  </r>
  <r>
    <s v="0749-00"/>
    <s v="Stegmaier Lofts"/>
    <n v="4000000"/>
    <x v="40"/>
    <s v="Act 2008-041"/>
    <d v="2008-08-28T00:00:00"/>
    <n v="0"/>
    <n v="4000000"/>
  </r>
  <r>
    <s v="0815-00"/>
    <s v="Lands at Hillside Farms"/>
    <n v="1000000"/>
    <x v="40"/>
    <s v="Act 2008-041"/>
    <d v="2008-10-30T00:00:00"/>
    <n v="1000000"/>
    <n v="0"/>
  </r>
  <r>
    <s v="0815-01"/>
    <s v="Lands at Hillside Farms II"/>
    <n v="500000"/>
    <x v="40"/>
    <s v="Act 2008-041"/>
    <d v="2010-09-15T00:00:00"/>
    <n v="188780"/>
    <n v="311220"/>
  </r>
  <r>
    <s v="0839-00"/>
    <s v="Misericordia University Health Science"/>
    <n v="1500000"/>
    <x v="40"/>
    <s v="Act 2008-041"/>
    <d v="2009-05-12T00:00:00"/>
    <n v="1500000"/>
    <n v="0"/>
  </r>
  <r>
    <s v="0839-01"/>
    <s v="Misericordia University Health Science II"/>
    <n v="250000"/>
    <x v="40"/>
    <s v="Act 2008-041"/>
    <d v="2009-05-12T00:00:00"/>
    <n v="250000"/>
    <n v="0"/>
  </r>
  <r>
    <s v="0839-02"/>
    <s v="Misericordia University Health Science III"/>
    <n v="500000"/>
    <x v="40"/>
    <s v="Act 2008-041"/>
    <d v="2009-05-12T00:00:00"/>
    <n v="443750"/>
    <n v="56250"/>
  </r>
  <r>
    <s v="0911-00"/>
    <s v="Castle Auditorium"/>
    <n v="1000000"/>
    <x v="40"/>
    <s v="Act 2008-041"/>
    <d v="2010-02-25T00:00:00"/>
    <n v="0"/>
    <n v="1000000"/>
  </r>
  <r>
    <s v="0961-00"/>
    <s v="King's College Recreation Center"/>
    <n v="3000000"/>
    <x v="40"/>
    <s v="Act 2010-047"/>
    <d v="2010-08-30T00:00:00"/>
    <n v="2756506"/>
    <n v="243494"/>
  </r>
  <r>
    <s v="0962-00"/>
    <s v="Northampton Corners"/>
    <n v="5000000"/>
    <x v="40"/>
    <s v="Act 2008-041"/>
    <d v="2010-10-12T00:00:00"/>
    <n v="3730904"/>
    <n v="1269096"/>
  </r>
  <r>
    <s v="0998-00"/>
    <s v="Misericordia University Mixed Use Development"/>
    <n v="3000000"/>
    <x v="40"/>
    <s v="Act 2006-083"/>
    <d v="2010-10-12T00:00:00"/>
    <n v="2599765"/>
    <n v="400235"/>
  </r>
  <r>
    <s v="1016-00"/>
    <s v="West Pittston Library"/>
    <n v="1000000"/>
    <x v="40"/>
    <s v="Act 2010-082"/>
    <d v="2010-10-20T00:00:00"/>
    <n v="0"/>
    <n v="1000000"/>
  </r>
  <r>
    <s v="1017-00"/>
    <s v="Pittston Riverfront Development"/>
    <n v="1000000"/>
    <x v="40"/>
    <s v="Act 2006-083"/>
    <d v="2010-02-08T00:00:00"/>
    <n v="0"/>
    <n v="1000000"/>
  </r>
  <r>
    <s v="1017-01"/>
    <s v="Pittston Riverfront Redevelopment II"/>
    <n v="750000"/>
    <x v="40"/>
    <s v="Act 2008-041"/>
    <d v="2010-02-23T00:00:00"/>
    <n v="0"/>
    <n v="750000"/>
  </r>
  <r>
    <s v="1017-02"/>
    <s v="Pittston Riverfront Redevelopment III"/>
    <n v="750000"/>
    <x v="40"/>
    <s v="Act 2008-041"/>
    <d v="2010-02-25T00:00:00"/>
    <n v="0"/>
    <n v="750000"/>
  </r>
  <r>
    <s v="1062-00"/>
    <s v="Pittston Main Street Redevelopment"/>
    <n v="1500000"/>
    <x v="40"/>
    <s v="Act 2004-040"/>
    <d v="2010-10-21T00:00:00"/>
    <n v="0"/>
    <n v="1500000"/>
  </r>
  <r>
    <s v="1062-01"/>
    <s v="Pittston Main Street Redevelopment II"/>
    <n v="1500000"/>
    <x v="40"/>
    <s v="Act 2004-040"/>
    <d v="2010-11-22T00:00:00"/>
    <n v="0"/>
    <n v="1500000"/>
  </r>
  <r>
    <s v="1081-00"/>
    <s v="Wilkes-Barre Downtown Streetscape"/>
    <n v="600000"/>
    <x v="40"/>
    <s v="Act 2008-041"/>
    <d v="2010-11-15T00:00:00"/>
    <n v="0"/>
    <n v="600000"/>
  </r>
  <r>
    <s v="1151-00"/>
    <s v="TJX Solar Photovoltaic Project"/>
    <n v="750000"/>
    <x v="40"/>
    <s v="Act 2010-082"/>
    <d v="2010-11-29T00:00:00"/>
    <n v="0"/>
    <n v="750000"/>
  </r>
  <r>
    <s v="1163-00"/>
    <s v="Wilkes University Science Building"/>
    <n v="1000000"/>
    <x v="40"/>
    <s v="Act 2008-041"/>
    <d v="2010-10-21T00:00:00"/>
    <n v="0"/>
    <n v="1000000"/>
  </r>
  <r>
    <s v="1203-00"/>
    <s v="20 Mega Watt Frequency Regulation Plant"/>
    <n v="5000000"/>
    <x v="40"/>
    <s v="Act 2010-047"/>
    <d v="2010-12-20T00:00:00"/>
    <n v="0"/>
    <n v="5000000"/>
  </r>
  <r>
    <s v="1241-00"/>
    <s v="MMI Preparatory School"/>
    <n v="1000000"/>
    <x v="40"/>
    <s v="Act 2010-082"/>
    <d v="2011-01-03T00:00:00"/>
    <n v="907102"/>
    <n v="92898"/>
  </r>
  <r>
    <s v="1288-00"/>
    <s v="Weinberg Northeast Regional Food Bank"/>
    <n v="500000"/>
    <x v="40"/>
    <s v="Act 2010-082"/>
    <d v="2011-01-03T00:00:00"/>
    <n v="0"/>
    <n v="500000"/>
  </r>
  <r>
    <s v="1288-01"/>
    <s v="Weinberg Northeast Regional Food Bank II"/>
    <n v="500000"/>
    <x v="40"/>
    <s v="Act 2010-082"/>
    <d v="2011-01-03T00:00:00"/>
    <n v="0"/>
    <n v="500000"/>
  </r>
  <r>
    <s v="1314-00"/>
    <s v="Wyoming Valley West Community Center"/>
    <n v="250000"/>
    <x v="40"/>
    <s v="Act 2010-082"/>
    <d v="2011-01-03T00:00:00"/>
    <n v="0"/>
    <n v="250000"/>
  </r>
  <r>
    <s v="3101-00"/>
    <s v="Clear Brook Detoxification Center"/>
    <n v="0"/>
    <x v="40"/>
    <s v="Act 2006-083"/>
    <d v="2006-12-21T00:00:00"/>
    <n v="0"/>
    <n v="0"/>
  </r>
  <r>
    <s v="3836-00"/>
    <s v="Nanticoke Downtown Redevelopment"/>
    <n v="250000"/>
    <x v="40"/>
    <s v="Act 2010-082"/>
    <d v="2011-01-03T00:00:00"/>
    <n v="0"/>
    <n v="250000"/>
  </r>
  <r>
    <s v="3836-01"/>
    <s v="Market Street Redevelopment-Nanticoke"/>
    <n v="250000"/>
    <x v="40"/>
    <s v="Act 2010-082"/>
    <d v="2011-01-03T00:00:00"/>
    <n v="0"/>
    <n v="250000"/>
  </r>
  <r>
    <s v="3853-00"/>
    <s v="Ready Rubber"/>
    <n v="500000"/>
    <x v="40"/>
    <s v="Act 2010-082"/>
    <d v="2011-01-03T00:00:00"/>
    <n v="0"/>
    <n v="500000"/>
  </r>
  <r>
    <s v="3913-00"/>
    <s v="Hayden Tower at The Markle Building"/>
    <n v="750000"/>
    <x v="40"/>
    <s v="Act 2002-131"/>
    <d v="2013-02-11T00:00:00"/>
    <n v="0"/>
    <n v="750000"/>
  </r>
  <r>
    <s v="8015-00"/>
    <s v="Wilkes-Barre Parking Garage 2"/>
    <n v="0"/>
    <x v="40"/>
    <s v="Act 1999-035"/>
    <d v="2001-09-28T00:00:00"/>
    <n v="0"/>
    <n v="0"/>
  </r>
  <r>
    <s v="8022-00"/>
    <s v="Pittston Main Street Redevelopment"/>
    <n v="0"/>
    <x v="40"/>
    <s v="Act 2006-083"/>
    <d v="2010-02-03T00:00:00"/>
    <n v="0"/>
    <n v="0"/>
  </r>
  <r>
    <s v="8026-00"/>
    <s v="Dallas Township Mixed Use Redevelopment"/>
    <n v="0"/>
    <x v="40"/>
    <s v="Act 2010-047"/>
    <d v="2010-09-10T00:00:00"/>
    <n v="0"/>
    <n v="0"/>
  </r>
  <r>
    <s v="8027-00"/>
    <s v="Wilkes University Law School"/>
    <n v="0"/>
    <x v="40"/>
    <s v="Act 2008-041"/>
    <d v="2008-10-30T00:00:00"/>
    <n v="0"/>
    <n v="0"/>
  </r>
  <r>
    <s v="8034-03"/>
    <s v="South Main Street Development"/>
    <n v="0"/>
    <x v="40"/>
    <s v="Act 2004-040"/>
    <d v="2005-10-18T00:00:00"/>
    <n v="0"/>
    <n v="0"/>
  </r>
  <r>
    <s v="8037-00"/>
    <s v="Wood Street Development-Wilkes Barre"/>
    <n v="0"/>
    <x v="40"/>
    <s v="Act 2004-040"/>
    <d v="2006-08-17T00:00:00"/>
    <n v="0"/>
    <n v="0"/>
  </r>
  <r>
    <s v="8047-00"/>
    <s v="Hotel Sterling"/>
    <n v="0"/>
    <x v="40"/>
    <s v="Act 2004-040"/>
    <d v="2004-08-31T00:00:00"/>
    <n v="0"/>
    <n v="0"/>
  </r>
  <r>
    <s v="8059-00"/>
    <s v="Hazard Wire Rope (Sinewa) Murray Complexca"/>
    <n v="0"/>
    <x v="40"/>
    <s v="Act 2008-041"/>
    <d v="2008-08-20T00:00:00"/>
    <n v="0"/>
    <n v="0"/>
  </r>
  <r>
    <s v="8079-00"/>
    <s v="Serento Gardens"/>
    <n v="0"/>
    <x v="40"/>
    <s v="Act 2010-082"/>
    <d v="2011-01-14T00:00:00"/>
    <n v="0"/>
    <n v="0"/>
  </r>
  <r>
    <s v="0102-00"/>
    <s v="Little League Baseball"/>
    <n v="3000000"/>
    <x v="41"/>
    <s v="Act 1999-035"/>
    <d v="1999-09-13T00:00:00"/>
    <n v="3000000"/>
    <n v="0"/>
  </r>
  <r>
    <s v="0105-00"/>
    <s v="Bowman Field Restoration"/>
    <n v="750000"/>
    <x v="41"/>
    <s v="Act 1997- 47"/>
    <d v="1998-07-17T00:00:00"/>
    <n v="749325"/>
    <n v="675"/>
  </r>
  <r>
    <s v="0195-00"/>
    <s v="Williamsport Streetscape"/>
    <n v="1400000"/>
    <x v="41"/>
    <s v="Act 2000-027"/>
    <d v="2000-10-16T00:00:00"/>
    <n v="1400000"/>
    <n v="0"/>
  </r>
  <r>
    <s v="0415-00"/>
    <s v="Williamsport Conference Center"/>
    <n v="4500000"/>
    <x v="41"/>
    <s v="Act 2002-131"/>
    <d v="2004-04-23T00:00:00"/>
    <n v="4387500"/>
    <n v="112500"/>
  </r>
  <r>
    <s v="0415-01"/>
    <s v="Kohls Department Store"/>
    <n v="500000"/>
    <x v="41"/>
    <s v="Act 2010-082"/>
    <d v="2010-11-01T00:00:00"/>
    <n v="0"/>
    <n v="500000"/>
  </r>
  <r>
    <s v="0416-00"/>
    <s v="Williamsport Cultural District"/>
    <n v="1500000"/>
    <x v="41"/>
    <s v="Act 2002-131"/>
    <d v="2004-04-23T00:00:00"/>
    <n v="1500000"/>
    <n v="0"/>
  </r>
  <r>
    <s v="0461-00"/>
    <s v="Williamsport YMCA/Eastern Lycoming YMCA Comm Ctr"/>
    <n v="3000000"/>
    <x v="41"/>
    <s v="Act 2004-040"/>
    <d v="2004-09-08T00:00:00"/>
    <n v="3000000"/>
    <n v="0"/>
  </r>
  <r>
    <s v="0518-00"/>
    <s v="Hope Enterprises"/>
    <n v="2000000"/>
    <x v="41"/>
    <s v="Act 2006-083"/>
    <d v="2006-08-31T00:00:00"/>
    <n v="2000000"/>
    <n v="0"/>
  </r>
  <r>
    <s v="0528-00"/>
    <s v="PA College of Technology-Business and Workforce"/>
    <n v="1000000"/>
    <x v="41"/>
    <s v="Act 2006-083"/>
    <d v="2006-10-13T00:00:00"/>
    <n v="1000000"/>
    <n v="0"/>
  </r>
  <r>
    <s v="0537-00"/>
    <s v="James Brown Library-Williamsport"/>
    <n v="2000000"/>
    <x v="41"/>
    <s v="Act 2002-131"/>
    <d v="2006-07-07T00:00:00"/>
    <n v="2000000"/>
    <n v="0"/>
  </r>
  <r>
    <s v="0781-00"/>
    <s v="Textron Facility"/>
    <n v="1500000"/>
    <x v="41"/>
    <s v="Act 2008-041"/>
    <d v="2008-10-30T00:00:00"/>
    <n v="1500000"/>
    <n v="0"/>
  </r>
  <r>
    <s v="0781-01"/>
    <s v="Lycoming Engines-Textron Facility II"/>
    <n v="1000000"/>
    <x v="41"/>
    <s v="Act 2008-041"/>
    <d v="2010-11-01T00:00:00"/>
    <n v="1000000"/>
    <n v="0"/>
  </r>
  <r>
    <s v="0986-00"/>
    <s v="Williamsport Regional Medical Center"/>
    <n v="2500000"/>
    <x v="41"/>
    <s v="Act 2006-083"/>
    <d v="2010-06-17T00:00:00"/>
    <n v="2500000"/>
    <n v="0"/>
  </r>
  <r>
    <s v="0986-01"/>
    <s v="Williamsport Regional Medical Center II"/>
    <n v="1500000"/>
    <x v="41"/>
    <s v="Act 2006-083"/>
    <d v="2010-09-15T00:00:00"/>
    <n v="1500000"/>
    <n v="0"/>
  </r>
  <r>
    <s v="0986-02"/>
    <s v="Williamsport Regional Medical Center III"/>
    <n v="1500000"/>
    <x v="41"/>
    <s v="Act 2006-083"/>
    <d v="2010-11-01T00:00:00"/>
    <n v="1362500"/>
    <n v="137500"/>
  </r>
  <r>
    <s v="1155-00"/>
    <s v="Lycoming county Emergency Communications Tower"/>
    <n v="400000"/>
    <x v="41"/>
    <s v="Act 2010-082"/>
    <d v="2010-12-08T00:00:00"/>
    <n v="0"/>
    <n v="400000"/>
  </r>
  <r>
    <s v="3042-00"/>
    <s v="Jersey Shore Hospital"/>
    <n v="0"/>
    <x v="41"/>
    <s v="Act 2006-083"/>
    <d v="2006-09-14T00:00:00"/>
    <n v="0"/>
    <n v="0"/>
  </r>
  <r>
    <s v="3933-00"/>
    <s v="Williamsport Regional Airport Terminal"/>
    <n v="2000000"/>
    <x v="41"/>
    <s v="Act 2010-082"/>
    <d v="2013-02-11T00:00:00"/>
    <n v="0"/>
    <n v="2000000"/>
  </r>
  <r>
    <s v="0194-00"/>
    <s v="Bradford Old City Hall"/>
    <n v="1300000"/>
    <x v="42"/>
    <s v="Act 1999-035"/>
    <d v="2001-09-24T00:00:00"/>
    <n v="1300000"/>
    <n v="0"/>
  </r>
  <r>
    <s v="0194-01"/>
    <s v="Bradford Old City Hall II"/>
    <n v="1000000"/>
    <x v="42"/>
    <s v="Act 1999-035"/>
    <d v="2005-02-17T00:00:00"/>
    <n v="999999.99999999988"/>
    <n v="0"/>
  </r>
  <r>
    <s v="0194-02"/>
    <s v="Bradford Regional Medical Center"/>
    <n v="1500000"/>
    <x v="42"/>
    <s v="Act 2004-040"/>
    <d v="2004-12-16T00:00:00"/>
    <n v="1500000"/>
    <n v="0"/>
  </r>
  <r>
    <s v="0194-03"/>
    <s v="Bradford Regional Medical Center"/>
    <n v="1500000"/>
    <x v="42"/>
    <s v="Act 2004-040"/>
    <d v="2005-02-17T00:00:00"/>
    <n v="1500000"/>
    <n v="0"/>
  </r>
  <r>
    <s v="0253-08"/>
    <s v="Northcentral KOZ-Lafferty Hollow Industrial Park"/>
    <n v="1510000"/>
    <x v="42"/>
    <s v="Act 2000-027"/>
    <d v="2002-11-22T00:00:00"/>
    <n v="1510000"/>
    <n v="0"/>
  </r>
  <r>
    <s v="0253-09"/>
    <s v="Northcentral KOZ-Northwest Business Park"/>
    <n v="477000"/>
    <x v="42"/>
    <s v="Act 2000-027"/>
    <d v="2002-11-22T00:00:00"/>
    <n v="477000"/>
    <n v="0"/>
  </r>
  <r>
    <s v="0253-11"/>
    <s v="Northcentral KOZ-Swanson Property Redevelopment"/>
    <n v="250000"/>
    <x v="42"/>
    <s v="Act 2000-027"/>
    <d v="2002-11-22T00:00:00"/>
    <n v="250000"/>
    <n v="0"/>
  </r>
  <r>
    <s v="0937-00"/>
    <s v="Lafferty Hollow Industrial Park"/>
    <n v="300000"/>
    <x v="42"/>
    <s v="Act 2008-041"/>
    <d v="2010-03-10T00:00:00"/>
    <n v="300000"/>
    <n v="0"/>
  </r>
  <r>
    <s v="0937-01"/>
    <s v="Lafferty Hollow Industrial Park II"/>
    <n v="300000"/>
    <x v="42"/>
    <s v="Act 2008-041"/>
    <d v="2010-10-12T00:00:00"/>
    <n v="300000"/>
    <n v="0"/>
  </r>
  <r>
    <s v="0937-02"/>
    <s v="Lafferty Hollow Industrial Park III"/>
    <n v="600000"/>
    <x v="42"/>
    <s v="Act 2008-041"/>
    <d v="2010-10-25T00:00:00"/>
    <n v="45607"/>
    <n v="554393"/>
  </r>
  <r>
    <s v="0938-00"/>
    <s v="McKean County Multi-Tenant Facility"/>
    <n v="400000"/>
    <x v="42"/>
    <s v="Act 2008-041"/>
    <d v="2010-07-15T00:00:00"/>
    <n v="390000"/>
    <n v="10000"/>
  </r>
  <r>
    <s v="0942-00"/>
    <s v="Kessel Athletic Complex"/>
    <n v="1500000"/>
    <x v="42"/>
    <s v="Act 2008-041"/>
    <d v="2010-05-27T00:00:00"/>
    <n v="1500000"/>
    <n v="0"/>
  </r>
  <r>
    <s v="0942-01"/>
    <s v="Kessel Athletic Complex II"/>
    <n v="500000"/>
    <x v="42"/>
    <s v="Act 2008-041"/>
    <d v="2010-07-15T00:00:00"/>
    <n v="500000"/>
    <n v="0"/>
  </r>
  <r>
    <s v="0942-02"/>
    <s v="Kessel Athletic Complex III"/>
    <n v="1000000"/>
    <x v="42"/>
    <s v="Act 2008-041"/>
    <d v="2010-10-21T00:00:00"/>
    <n v="500000"/>
    <n v="500000"/>
  </r>
  <r>
    <s v="0116-00"/>
    <s v="Greenville Borough Recreation Center"/>
    <n v="2200000"/>
    <x v="43"/>
    <s v="Act 1999-035"/>
    <d v="1999-07-06T00:00:00"/>
    <n v="2200000"/>
    <n v="0"/>
  </r>
  <r>
    <s v="0157-00"/>
    <s v="CBS Westinghouse Site"/>
    <n v="0"/>
    <x v="43"/>
    <s v="Act 1999-035"/>
    <d v="2000-05-18T00:00:00"/>
    <n v="0"/>
    <n v="0"/>
  </r>
  <r>
    <s v="0174-00"/>
    <s v="Gateway Commerce Park"/>
    <n v="2500000"/>
    <x v="43"/>
    <s v="Act 2000-027"/>
    <d v="2001-09-13T00:00:00"/>
    <n v="2500000"/>
    <n v="0"/>
  </r>
  <r>
    <s v="0219-00"/>
    <s v="Farrell Redevelopment"/>
    <n v="500000"/>
    <x v="43"/>
    <s v="Act 1999-035"/>
    <d v="2000-05-18T00:00:00"/>
    <n v="490000"/>
    <n v="10000"/>
  </r>
  <r>
    <s v="0246-00"/>
    <s v="Shenango Valley Library"/>
    <n v="625000"/>
    <x v="43"/>
    <s v="Act 2002-131"/>
    <d v="2002-12-20T00:00:00"/>
    <n v="579965.75"/>
    <n v="45034.25"/>
  </r>
  <r>
    <s v="0308-00"/>
    <s v="Winner Industrial Park"/>
    <n v="10000000"/>
    <x v="43"/>
    <s v="Act 2004-040"/>
    <d v="2004-08-14T00:00:00"/>
    <n v="10000000"/>
    <n v="0"/>
  </r>
  <r>
    <s v="0328-00"/>
    <s v="Sharon Downtown Redevelopment"/>
    <n v="1500000"/>
    <x v="43"/>
    <s v="Act 2004-040"/>
    <d v="2004-08-14T00:00:00"/>
    <n v="968196"/>
    <n v="531804"/>
  </r>
  <r>
    <s v="0328-01"/>
    <s v="Sharon Downtown Redevelopment II"/>
    <n v="3000000"/>
    <x v="43"/>
    <s v="Act 2008-041"/>
    <d v="2008-08-28T00:00:00"/>
    <n v="0"/>
    <n v="3000000"/>
  </r>
  <r>
    <s v="0836-00"/>
    <s v="Hermitage Technology and Innovation Center"/>
    <n v="1250000"/>
    <x v="43"/>
    <s v="Act 2006-083"/>
    <d v="2008-08-28T00:00:00"/>
    <n v="1250000"/>
    <n v="0"/>
  </r>
  <r>
    <s v="0836-01"/>
    <s v="Hermitage Technology and Innovation Center II"/>
    <n v="1000000"/>
    <x v="43"/>
    <s v="Act 2006-083"/>
    <d v="2010-05-27T00:00:00"/>
    <n v="1000000"/>
    <n v="0"/>
  </r>
  <r>
    <s v="0836-02"/>
    <s v="Linden Point-Hermitage Technology Center III"/>
    <n v="1800000"/>
    <x v="43"/>
    <s v="Act 2010-047"/>
    <d v="2010-11-15T00:00:00"/>
    <n v="0"/>
    <n v="1800000"/>
  </r>
  <r>
    <s v="0863-00"/>
    <s v="Buhl Park Community Center"/>
    <n v="500000"/>
    <x v="43"/>
    <s v="Act 2008-041"/>
    <d v="2009-01-15T00:00:00"/>
    <n v="500000"/>
    <n v="0"/>
  </r>
  <r>
    <s v="1026-00"/>
    <s v="Reznor Industrial Expansion-Thomas and Betts"/>
    <n v="2500000"/>
    <x v="43"/>
    <s v="Act 2004-040"/>
    <d v="2010-11-15T00:00:00"/>
    <n v="1967100"/>
    <n v="532900"/>
  </r>
  <r>
    <s v="1054-00"/>
    <s v="Ellwood Crankshaft"/>
    <n v="2000000"/>
    <x v="43"/>
    <s v="Act 2006-083"/>
    <d v="2010-10-12T00:00:00"/>
    <n v="0"/>
    <n v="2000000"/>
  </r>
  <r>
    <s v="1113-00"/>
    <s v="Joy Cone Expansion Access"/>
    <n v="1200000"/>
    <x v="43"/>
    <s v="Act 2010-047"/>
    <d v="2010-11-15T00:00:00"/>
    <n v="0"/>
    <n v="1200000"/>
  </r>
  <r>
    <s v="3890-00"/>
    <s v="Wendell August Forge Manufacturing Facility"/>
    <n v="4000000"/>
    <x v="43"/>
    <s v="Act 2006-083"/>
    <d v="2012-10-19T00:00:00"/>
    <n v="0"/>
    <n v="4000000"/>
  </r>
  <r>
    <s v="8002-00"/>
    <s v="Legacy Commons"/>
    <n v="0"/>
    <x v="43"/>
    <s v="Act 1999-035"/>
    <d v="2002-11-21T00:00:00"/>
    <n v="0"/>
    <n v="0"/>
  </r>
  <r>
    <s v="8004-00"/>
    <s v="Duferco Farrell"/>
    <n v="0"/>
    <x v="43"/>
    <s v="Act 2002-131"/>
    <d v="2002-12-20T00:00:00"/>
    <n v="0"/>
    <n v="0"/>
  </r>
  <r>
    <s v="8014-00"/>
    <s v="Premier Hydraulics"/>
    <n v="0"/>
    <x v="43"/>
    <s v="Act 2004-040"/>
    <d v="2005-06-02T00:00:00"/>
    <n v="0"/>
    <n v="0"/>
  </r>
  <r>
    <s v="8057-00"/>
    <s v="Sharon Regional Medical Center"/>
    <n v="0"/>
    <x v="43"/>
    <s v="Act 2010-047"/>
    <d v="2010-08-30T00:00:00"/>
    <n v="0"/>
    <n v="0"/>
  </r>
  <r>
    <s v="0188-00"/>
    <s v="Mifflin County Courthouse"/>
    <n v="926000"/>
    <x v="44"/>
    <s v="Act 2000-027"/>
    <d v="2001-10-05T00:00:00"/>
    <n v="926000"/>
    <n v="0"/>
  </r>
  <r>
    <s v="0789-00"/>
    <s v="Burnham Interchange Development"/>
    <n v="2000000"/>
    <x v="44"/>
    <s v="Act 2008-041"/>
    <d v="2009-04-27T00:00:00"/>
    <n v="1433646"/>
    <n v="566354"/>
  </r>
  <r>
    <s v="1243-00"/>
    <s v="First Quality-Mifflin County"/>
    <n v="1500000"/>
    <x v="44"/>
    <s v="Act 2004-040"/>
    <d v="2006-07-14T00:00:00"/>
    <n v="0"/>
    <n v="1500000"/>
  </r>
  <r>
    <s v="0067-00"/>
    <s v="Pocono Mt. Corporate Center"/>
    <n v="2500000"/>
    <x v="45"/>
    <s v="Act 1994- 74"/>
    <d v="1997-11-01T00:00:00"/>
    <n v="2500000"/>
    <n v="0"/>
  </r>
  <r>
    <s v="0238-00"/>
    <s v="Stroudsburg Parking Garage"/>
    <n v="2000000"/>
    <x v="45"/>
    <s v="Act 2000-027"/>
    <d v="2002-12-23T00:00:00"/>
    <n v="1593750"/>
    <n v="406250"/>
  </r>
  <r>
    <s v="0289-00"/>
    <s v="Walmart Distribution Center"/>
    <n v="3700000"/>
    <x v="45"/>
    <s v="Act 1994- 74"/>
    <d v="2003-12-31T00:00:00"/>
    <n v="3700000"/>
    <n v="0"/>
  </r>
  <r>
    <s v="0314-00"/>
    <s v="ESU Center for Research"/>
    <n v="2500000"/>
    <x v="45"/>
    <s v="Act 2002-131"/>
    <d v="2003-01-16T00:00:00"/>
    <n v="2500000"/>
    <n v="0"/>
  </r>
  <r>
    <s v="0682-00"/>
    <s v="Penn Regional Business Center"/>
    <n v="5000000"/>
    <x v="45"/>
    <s v="Act 2006-083"/>
    <d v="2008-10-30T00:00:00"/>
    <n v="0"/>
    <n v="5000000"/>
  </r>
  <r>
    <s v="0682-01"/>
    <s v="Penn Regional Business Center II"/>
    <n v="0"/>
    <x v="45"/>
    <s v="Act 2006-083"/>
    <d v="2010-10-25T00:00:00"/>
    <n v="0"/>
    <n v="0"/>
  </r>
  <r>
    <s v="1000-00"/>
    <s v="Smithfield Township Municipal Complex"/>
    <n v="250000"/>
    <x v="45"/>
    <s v="Act 2008-041"/>
    <d v="2010-10-12T00:00:00"/>
    <n v="0"/>
    <n v="250000"/>
  </r>
  <r>
    <s v="1204-00"/>
    <s v="Route 611 Gas Corridor"/>
    <n v="2000000"/>
    <x v="45"/>
    <s v="Act 2010-082"/>
    <d v="2011-01-10T00:00:00"/>
    <n v="0"/>
    <n v="2000000"/>
  </r>
  <r>
    <s v="1204-01"/>
    <s v="Route 611 Gas Corridor II"/>
    <n v="1000000"/>
    <x v="45"/>
    <s v="Act 2010-082"/>
    <d v="2011-01-10T00:00:00"/>
    <n v="0"/>
    <n v="1000000"/>
  </r>
  <r>
    <s v="1279-00"/>
    <s v="Fine Arts Discovery Series-Sherman Theatre"/>
    <n v="125000"/>
    <x v="45"/>
    <s v="Act 2008-041"/>
    <d v="2010-12-03T00:00:00"/>
    <n v="0"/>
    <n v="125000"/>
  </r>
  <r>
    <s v="1279-01"/>
    <s v="Fine Arts Discovery Series-Sherman Theatre II"/>
    <n v="250000"/>
    <x v="45"/>
    <s v="Act 2008-041"/>
    <d v="2011-01-10T00:00:00"/>
    <n v="0"/>
    <n v="250000"/>
  </r>
  <r>
    <s v="3914-00"/>
    <s v="Route 611 Corridor Gas Line II"/>
    <n v="5000000"/>
    <x v="45"/>
    <s v="Act 2010-082"/>
    <d v="2013-02-11T00:00:00"/>
    <n v="0"/>
    <n v="5000000"/>
  </r>
  <r>
    <s v="3915-00"/>
    <s v="PMC Medical Home"/>
    <n v="3000000"/>
    <x v="45"/>
    <s v="Act 2010-082"/>
    <d v="2013-02-11T00:00:00"/>
    <n v="0"/>
    <n v="3000000"/>
  </r>
  <r>
    <s v="3916-00"/>
    <s v="CBK Lodge"/>
    <n v="3000000"/>
    <x v="45"/>
    <s v="Act 2010-082"/>
    <d v="2013-02-11T00:00:00"/>
    <n v="0"/>
    <n v="3000000"/>
  </r>
  <r>
    <s v="3917-00"/>
    <s v="Arcadia New Ventures"/>
    <n v="1500000"/>
    <x v="45"/>
    <s v="Act 2010-082"/>
    <d v="2013-02-11T00:00:00"/>
    <n v="0"/>
    <n v="1500000"/>
  </r>
  <r>
    <s v="0166-00"/>
    <s v="Millenium Business Park"/>
    <n v="0"/>
    <x v="46"/>
    <s v="Act 2000-027"/>
    <d v="2001-09-28T00:00:00"/>
    <n v="0"/>
    <n v="0"/>
  </r>
  <r>
    <s v="0229-00"/>
    <s v="Indian Valley Family YMCA"/>
    <n v="1000000"/>
    <x v="46"/>
    <s v="Act 2002-131"/>
    <d v="2003-02-02T00:00:00"/>
    <n v="973565"/>
    <n v="26435"/>
  </r>
  <r>
    <s v="0293-00"/>
    <s v="PA College of Optometry"/>
    <n v="3000000"/>
    <x v="46"/>
    <s v="Act 1999-035"/>
    <d v="2003-02-04T00:00:00"/>
    <n v="3000000"/>
    <n v="0"/>
  </r>
  <r>
    <s v="0343-00"/>
    <s v="Abington Arts Center"/>
    <n v="500000"/>
    <x v="46"/>
    <s v="Act 2004-040"/>
    <d v="2004-10-13T00:00:00"/>
    <n v="487500"/>
    <n v="12500"/>
  </r>
  <r>
    <s v="0351-00"/>
    <s v="GSI Commerce"/>
    <n v="3000000"/>
    <x v="46"/>
    <s v="Act 2004-040"/>
    <d v="2004-12-22T00:00:00"/>
    <n v="3000000"/>
    <n v="0"/>
  </r>
  <r>
    <s v="0358-00"/>
    <s v="Jenkintown Theatre"/>
    <n v="805000"/>
    <x v="46"/>
    <s v="Act 2004-040"/>
    <d v="2004-10-13T00:00:00"/>
    <n v="805000"/>
    <n v="0"/>
  </r>
  <r>
    <s v="0385-00"/>
    <s v="Pottstown Business Park-Gateway Commons"/>
    <n v="1125000"/>
    <x v="46"/>
    <s v="Act 2004-040"/>
    <d v="2004-11-19T00:00:00"/>
    <n v="1125000"/>
    <n v="0"/>
  </r>
  <r>
    <s v="0389-00"/>
    <s v="Souderton Boys and Girls"/>
    <n v="2000000"/>
    <x v="46"/>
    <s v="Act 2004-040"/>
    <d v="2004-09-14T00:00:00"/>
    <n v="759440"/>
    <n v="1240560"/>
  </r>
  <r>
    <s v="0458-00"/>
    <s v="Norristown Parking Garage"/>
    <n v="1500000"/>
    <x v="46"/>
    <s v="Act 2002-131"/>
    <d v="2004-04-26T00:00:00"/>
    <n v="1500000"/>
    <n v="0"/>
  </r>
  <r>
    <s v="0458-01"/>
    <s v="Norristown Parking Garage II"/>
    <n v="2500000"/>
    <x v="46"/>
    <s v="Act 2004-040"/>
    <d v="2004-08-27T00:00:00"/>
    <n v="2500000"/>
    <n v="0"/>
  </r>
  <r>
    <s v="0462-00"/>
    <s v="Ursinus College"/>
    <n v="5000000"/>
    <x v="46"/>
    <s v="Act 2002-131"/>
    <d v="2004-08-27T00:00:00"/>
    <n v="5000000"/>
    <n v="0"/>
  </r>
  <r>
    <s v="0465-00"/>
    <s v="Mercy Suburban Hospital"/>
    <n v="1500000"/>
    <x v="46"/>
    <s v="Act 2002-131"/>
    <d v="2005-11-21T00:00:00"/>
    <n v="1500000"/>
    <n v="0"/>
  </r>
  <r>
    <s v="0467-00"/>
    <s v="Black Horse Inn"/>
    <n v="500000"/>
    <x v="46"/>
    <s v="Act 2004-040"/>
    <d v="2005-10-18T00:00:00"/>
    <n v="487500"/>
    <n v="12500"/>
  </r>
  <r>
    <s v="0467-01"/>
    <s v="Black Horse Inn II"/>
    <n v="0"/>
    <x v="46"/>
    <s v="Act 2004-040"/>
    <d v="2007-07-14T00:00:00"/>
    <n v="0"/>
    <n v="0"/>
  </r>
  <r>
    <s v="0474-00"/>
    <s v="Upper Merion Middle School Recreation"/>
    <n v="1500000"/>
    <x v="46"/>
    <s v="Act 2006-083"/>
    <d v="2007-02-05T00:00:00"/>
    <n v="1500000"/>
    <n v="0"/>
  </r>
  <r>
    <s v="0479-00"/>
    <s v="Keystone House Project Phase II"/>
    <n v="500000"/>
    <x v="46"/>
    <s v="Act 2004-040"/>
    <d v="2006-01-04T00:00:00"/>
    <n v="500000"/>
    <n v="0"/>
  </r>
  <r>
    <s v="0514-00"/>
    <s v="Lansdale Performing Arts Center"/>
    <n v="500000"/>
    <x v="46"/>
    <s v="Act 2006-083"/>
    <d v="2006-12-11T00:00:00"/>
    <n v="500000"/>
    <n v="0"/>
  </r>
  <r>
    <s v="0539-00"/>
    <s v="Ambler Theatre Restoration"/>
    <n v="500000"/>
    <x v="46"/>
    <s v="Act 2006-083"/>
    <d v="2006-09-25T00:00:00"/>
    <n v="500000"/>
    <n v="0"/>
  </r>
  <r>
    <s v="0558-00"/>
    <s v="Holy Redeemer Health System"/>
    <n v="500000"/>
    <x v="46"/>
    <s v="Act 2006-083"/>
    <d v="2006-12-11T00:00:00"/>
    <n v="500000"/>
    <n v="0"/>
  </r>
  <r>
    <s v="0558-01"/>
    <s v="Holy Redeemer Health System II"/>
    <n v="500000"/>
    <x v="46"/>
    <s v="Act 2006-083"/>
    <d v="2006-12-11T00:00:00"/>
    <n v="500000"/>
    <n v="0"/>
  </r>
  <r>
    <s v="0583-00"/>
    <s v="Montgomery County Community College-Satellite Camp"/>
    <n v="500000"/>
    <x v="46"/>
    <s v="Act 2004-040"/>
    <d v="2006-09-25T00:00:00"/>
    <n v="500000"/>
    <n v="0"/>
  </r>
  <r>
    <s v="0583-01"/>
    <s v="Montgomery County Community College West Campus"/>
    <n v="250000"/>
    <x v="46"/>
    <s v="Act 2010-082"/>
    <d v="2011-01-03T00:00:00"/>
    <n v="231250"/>
    <n v="18750"/>
  </r>
  <r>
    <s v="0590-00"/>
    <s v="St. Luke's Hospital-Pennsburg Borough"/>
    <n v="0"/>
    <x v="46"/>
    <s v="Act 2006-083"/>
    <d v="2007-02-05T00:00:00"/>
    <n v="0"/>
    <n v="0"/>
  </r>
  <r>
    <s v="0649-00"/>
    <s v="Conshohocken Central Business District"/>
    <n v="5000000"/>
    <x v="46"/>
    <s v="Act 2004-040"/>
    <d v="2006-06-06T00:00:00"/>
    <n v="5000000"/>
    <n v="0"/>
  </r>
  <r>
    <s v="0652-00"/>
    <s v="National Center for the American Revolution"/>
    <n v="0"/>
    <x v="46"/>
    <s v="Act 1999-035"/>
    <d v="2002-12-19T00:00:00"/>
    <n v="0"/>
    <n v="0"/>
  </r>
  <r>
    <s v="0653-00"/>
    <s v="Whitemarsh Center"/>
    <n v="500000"/>
    <x v="46"/>
    <s v="Act 2006-083"/>
    <d v="2006-12-11T00:00:00"/>
    <n v="0"/>
    <n v="500000"/>
  </r>
  <r>
    <s v="0676-00"/>
    <s v="Upper Dublin Junior Athletic Football Field"/>
    <n v="500000"/>
    <x v="46"/>
    <s v="Act 2006-083"/>
    <d v="2007-03-08T00:00:00"/>
    <n v="500000"/>
    <n v="0"/>
  </r>
  <r>
    <s v="0678-00"/>
    <s v="Hatboro Firehouse"/>
    <n v="500000"/>
    <x v="46"/>
    <s v="Act 2006-083"/>
    <d v="2006-12-11T00:00:00"/>
    <n v="0"/>
    <n v="500000"/>
  </r>
  <r>
    <s v="0700-00"/>
    <s v="Bryn Mawr Film Studio"/>
    <n v="2500000"/>
    <x v="46"/>
    <s v="Act 2006-083"/>
    <d v="2008-08-28T00:00:00"/>
    <n v="0"/>
    <n v="2500000"/>
  </r>
  <r>
    <s v="0702-00"/>
    <s v="Arcadia University"/>
    <n v="1000000"/>
    <x v="46"/>
    <s v="Act 2008-041"/>
    <d v="2008-09-26T00:00:00"/>
    <n v="0"/>
    <n v="1000000"/>
  </r>
  <r>
    <s v="0702-01"/>
    <s v="Arcadia University II"/>
    <n v="500000"/>
    <x v="46"/>
    <s v="Act 2008-041"/>
    <d v="2010-11-22T00:00:00"/>
    <n v="0"/>
    <n v="500000"/>
  </r>
  <r>
    <s v="0704-00"/>
    <s v="Logan Square Film Studio"/>
    <n v="7000000"/>
    <x v="46"/>
    <s v="Act 2008-041"/>
    <d v="2008-08-28T00:00:00"/>
    <n v="6860000"/>
    <n v="140000"/>
  </r>
  <r>
    <s v="0722-00"/>
    <s v="Settlement Music School"/>
    <n v="3000000"/>
    <x v="46"/>
    <s v="Act 2008-041"/>
    <d v="2008-08-28T00:00:00"/>
    <n v="3000000"/>
    <n v="0"/>
  </r>
  <r>
    <s v="0724-00"/>
    <s v="Ardmore Station"/>
    <n v="6000000"/>
    <x v="46"/>
    <s v="Act 2008-041"/>
    <d v="2008-08-28T00:00:00"/>
    <n v="0"/>
    <n v="6000000"/>
  </r>
  <r>
    <s v="0724-01"/>
    <s v="Ardmore Station II"/>
    <n v="9000000"/>
    <x v="46"/>
    <s v="Act 2008-041"/>
    <d v="2010-08-03T00:00:00"/>
    <n v="0"/>
    <n v="9000000"/>
  </r>
  <r>
    <s v="0724-02"/>
    <s v="Ardmore Station III"/>
    <n v="500000"/>
    <x v="46"/>
    <s v="Act 2010-082"/>
    <d v="2010-12-20T00:00:00"/>
    <n v="0"/>
    <n v="500000"/>
  </r>
  <r>
    <s v="0753-00"/>
    <s v="Lower Gwynedd-Bethlehem Pike Project"/>
    <n v="500000"/>
    <x v="46"/>
    <s v="Act 2008-041"/>
    <d v="2008-12-11T00:00:00"/>
    <n v="475000"/>
    <n v="25000"/>
  </r>
  <r>
    <s v="0795-00"/>
    <s v="PEAK Center"/>
    <n v="1500000"/>
    <x v="46"/>
    <s v="Act 2008-041"/>
    <d v="2009-02-12T00:00:00"/>
    <n v="0"/>
    <n v="1500000"/>
  </r>
  <r>
    <s v="0811-00"/>
    <s v="Crossings at Ambler"/>
    <n v="4000000"/>
    <x v="46"/>
    <s v="Act 2008-041"/>
    <d v="2008-08-28T00:00:00"/>
    <n v="2000000"/>
    <n v="2000000"/>
  </r>
  <r>
    <s v="0811-01"/>
    <s v="Crossings at Ambler II"/>
    <n v="1000000"/>
    <x v="46"/>
    <s v="Act 2008-041"/>
    <d v="2008-10-15T00:00:00"/>
    <n v="0"/>
    <n v="1000000"/>
  </r>
  <r>
    <s v="0811-02"/>
    <s v="Crossings at Ambler III"/>
    <n v="1000000"/>
    <x v="46"/>
    <s v="Act 2008-041"/>
    <d v="2008-10-30T00:00:00"/>
    <n v="0"/>
    <n v="1000000"/>
  </r>
  <r>
    <s v="0811-03"/>
    <s v="Crossings at Ambler IV"/>
    <n v="1000000"/>
    <x v="46"/>
    <s v="Act 2008-041"/>
    <d v="2008-12-11T00:00:00"/>
    <n v="0"/>
    <n v="1000000"/>
  </r>
  <r>
    <s v="0833-00"/>
    <s v="Almac-Frets and Wamhold Development"/>
    <n v="3000000"/>
    <x v="46"/>
    <s v="Act 2006-083"/>
    <d v="2008-09-08T00:00:00"/>
    <n v="2925000"/>
    <n v="75000"/>
  </r>
  <r>
    <s v="0847-00"/>
    <s v="Norristown Cultural Arts Center"/>
    <n v="500000"/>
    <x v="46"/>
    <s v="Act 2008-041"/>
    <d v="2008-10-15T00:00:00"/>
    <n v="487500"/>
    <n v="12500"/>
  </r>
  <r>
    <s v="0851-00"/>
    <s v="Jenkintown Boro Southern Gateway Parking Garage"/>
    <n v="500000"/>
    <x v="46"/>
    <s v="Act 2008-041"/>
    <d v="2009-02-12T00:00:00"/>
    <n v="500000"/>
    <n v="0"/>
  </r>
  <r>
    <s v="0851-01"/>
    <s v="Jenkintown Boro Southern Gateway Parking Garage II"/>
    <n v="500000"/>
    <x v="46"/>
    <s v="Act 2008-041"/>
    <d v="2009-02-12T00:00:00"/>
    <n v="384717"/>
    <n v="115283"/>
  </r>
  <r>
    <s v="0859-00"/>
    <s v="Elmwood Park Zoo"/>
    <n v="350000"/>
    <x v="46"/>
    <s v="Act 2004-040"/>
    <d v="2009-04-27T00:00:00"/>
    <n v="0"/>
    <n v="350000"/>
  </r>
  <r>
    <s v="0873-00"/>
    <s v="Stony Creek Development"/>
    <n v="500000"/>
    <x v="46"/>
    <s v="Act 2008-041"/>
    <d v="2009-04-27T00:00:00"/>
    <n v="475000"/>
    <n v="25000"/>
  </r>
  <r>
    <s v="0882-00"/>
    <s v="Cheltenham Shop Rite Remodel"/>
    <n v="5000000"/>
    <x v="46"/>
    <s v="Act 2008-041"/>
    <d v="2010-02-17T00:00:00"/>
    <n v="5000000"/>
    <n v="0"/>
  </r>
  <r>
    <s v="0882-01"/>
    <s v="Shop Rite"/>
    <n v="500000"/>
    <x v="46"/>
    <s v="Act 2008-041"/>
    <d v="2010-11-01T00:00:00"/>
    <n v="362500"/>
    <n v="137500"/>
  </r>
  <r>
    <s v="0887-00"/>
    <s v="Sunnybrook Ballroom and Convention Center"/>
    <n v="500000"/>
    <x v="46"/>
    <s v="Act 2008-041"/>
    <d v="2010-02-04T00:00:00"/>
    <n v="0"/>
    <n v="500000"/>
  </r>
  <r>
    <s v="0889-00"/>
    <s v="City Avenue Streetscape"/>
    <n v="250000"/>
    <x v="46"/>
    <s v="Act 2006-152"/>
    <d v="2009-04-27T00:00:00"/>
    <n v="0"/>
    <n v="250000"/>
  </r>
  <r>
    <s v="0889-01"/>
    <s v="City Avenue Streetscape II"/>
    <n v="500000"/>
    <x v="46"/>
    <s v="Act 2006-152"/>
    <d v="2010-02-04T00:00:00"/>
    <n v="0"/>
    <n v="500000"/>
  </r>
  <r>
    <s v="0889-02"/>
    <s v="City Avenue Streetscape III"/>
    <n v="250000"/>
    <x v="46"/>
    <s v="Act 2006-083"/>
    <d v="2010-05-27T00:00:00"/>
    <n v="0"/>
    <n v="250000"/>
  </r>
  <r>
    <s v="0889-03"/>
    <s v="City Avenue Streetscape IV"/>
    <n v="250000"/>
    <x v="46"/>
    <s v="Act 2006-152"/>
    <d v="2010-11-22T00:00:00"/>
    <n v="0"/>
    <n v="250000"/>
  </r>
  <r>
    <s v="0952-00"/>
    <s v="Gwynedd Mercy College"/>
    <n v="4000000"/>
    <x v="46"/>
    <s v="Act 2006-083"/>
    <d v="2010-06-16T00:00:00"/>
    <n v="697325"/>
    <n v="3302675"/>
  </r>
  <r>
    <s v="0952-01"/>
    <s v="Gwynedd Mercy College II"/>
    <n v="500000"/>
    <x v="46"/>
    <s v="Act 2006-083"/>
    <d v="2010-06-16T00:00:00"/>
    <n v="0"/>
    <n v="500000"/>
  </r>
  <r>
    <s v="0952-02"/>
    <s v="Gwynedd Mercy College III"/>
    <n v="500000"/>
    <x v="46"/>
    <s v="Act 2006-083"/>
    <d v="2010-06-17T00:00:00"/>
    <n v="0"/>
    <n v="500000"/>
  </r>
  <r>
    <s v="0952-03"/>
    <s v="Gwynedd Mercy College IV"/>
    <n v="3000000"/>
    <x v="46"/>
    <s v="Act 2006-083"/>
    <d v="2010-11-15T00:00:00"/>
    <n v="0"/>
    <n v="3000000"/>
  </r>
  <r>
    <s v="0959-00"/>
    <s v="Hatboro YMCA"/>
    <n v="500000"/>
    <x v="46"/>
    <s v="Act 2006-083"/>
    <d v="2010-06-17T00:00:00"/>
    <n v="487500"/>
    <n v="12500"/>
  </r>
  <r>
    <s v="0960-00"/>
    <s v="Ambler YMCA"/>
    <n v="500000"/>
    <x v="46"/>
    <s v="Act 2006-083"/>
    <d v="2010-06-17T00:00:00"/>
    <n v="487500"/>
    <n v="12500"/>
  </r>
  <r>
    <s v="0969-00"/>
    <s v="John James Audubon Center"/>
    <n v="4000000"/>
    <x v="46"/>
    <s v="Act 2008-041"/>
    <d v="2010-05-27T00:00:00"/>
    <n v="0"/>
    <n v="4000000"/>
  </r>
  <r>
    <s v="0969-01"/>
    <s v="John James Audubon Center II"/>
    <n v="2000000"/>
    <x v="46"/>
    <s v="Act 2008-041"/>
    <d v="2010-08-24T00:00:00"/>
    <n v="0"/>
    <n v="2000000"/>
  </r>
  <r>
    <s v="1158-00"/>
    <s v="Eagleville Hospital"/>
    <n v="500000"/>
    <x v="46"/>
    <s v="Act 2008-041"/>
    <d v="2010-12-07T00:00:00"/>
    <n v="201839"/>
    <n v="298161"/>
  </r>
  <r>
    <s v="1193-00"/>
    <s v="Academy in Manayunk"/>
    <n v="1500000"/>
    <x v="46"/>
    <s v="Act 2008-041"/>
    <d v="2011-01-12T00:00:00"/>
    <n v="0"/>
    <n v="1500000"/>
  </r>
  <r>
    <s v="1197-00"/>
    <s v="Souderton Train Station Restoration"/>
    <n v="1000000"/>
    <x v="46"/>
    <s v="Act 2010-082"/>
    <d v="2010-12-20T00:00:00"/>
    <n v="0"/>
    <n v="1000000"/>
  </r>
  <r>
    <s v="1201-00"/>
    <s v="Holy Redeemer Health System III Maternity &amp; NICU"/>
    <n v="500000"/>
    <x v="46"/>
    <s v="Act 2010-082"/>
    <d v="2010-12-20T00:00:00"/>
    <n v="0"/>
    <n v="500000"/>
  </r>
  <r>
    <s v="1201-01"/>
    <s v="Holy Redeemer Health System IV Maternity &amp; NICU"/>
    <n v="250000"/>
    <x v="46"/>
    <s v="Act 2010-082"/>
    <d v="2011-01-10T00:00:00"/>
    <n v="0"/>
    <n v="250000"/>
  </r>
  <r>
    <s v="1201-02"/>
    <s v="Holy Redeemer Health System V Maternity &amp; NICU"/>
    <n v="250000"/>
    <x v="46"/>
    <s v="Act 2010-082"/>
    <d v="2011-01-10T00:00:00"/>
    <n v="0"/>
    <n v="250000"/>
  </r>
  <r>
    <s v="1218-00"/>
    <s v="Valley Forge Corporate Center Revitalization"/>
    <n v="2000000"/>
    <x v="46"/>
    <s v="Act 2010-082"/>
    <d v="2010-12-07T00:00:00"/>
    <n v="1950000"/>
    <n v="50000"/>
  </r>
  <r>
    <s v="1220-00"/>
    <s v="Millennium Business Park II"/>
    <n v="2500000"/>
    <x v="46"/>
    <s v="Act 2000-027"/>
    <d v="2011-01-14T00:00:00"/>
    <n v="2437500"/>
    <n v="62500"/>
  </r>
  <r>
    <s v="1263-00"/>
    <s v="Riverbend Environmental Education Center"/>
    <n v="300000"/>
    <x v="46"/>
    <s v="Act 2010-047"/>
    <d v="2010-12-20T00:00:00"/>
    <n v="0"/>
    <n v="300000"/>
  </r>
  <r>
    <s v="1273-00"/>
    <s v="Heuser Park and Valley Forge Park Trail"/>
    <n v="500000"/>
    <x v="46"/>
    <s v="Act 2010-082"/>
    <d v="2010-12-20T00:00:00"/>
    <n v="0"/>
    <n v="500000"/>
  </r>
  <r>
    <s v="1275-00"/>
    <s v="Whitpain Township Emergency Services"/>
    <n v="250000"/>
    <x v="46"/>
    <s v="Act 2010-082"/>
    <d v="2010-12-07T00:00:00"/>
    <n v="0"/>
    <n v="250000"/>
  </r>
  <r>
    <s v="1275-01"/>
    <s v="Whitpain Township Emergency Services II"/>
    <n v="250000"/>
    <x v="46"/>
    <s v="Act 2010-082"/>
    <d v="2011-01-13T00:00:00"/>
    <n v="0"/>
    <n v="250000"/>
  </r>
  <r>
    <s v="1281-00"/>
    <s v="Abington Memorial Hospital NICU"/>
    <n v="500000"/>
    <x v="46"/>
    <s v="Act 2010-082"/>
    <d v="2010-12-20T00:00:00"/>
    <n v="0"/>
    <n v="500000"/>
  </r>
  <r>
    <s v="1292-00"/>
    <s v="North Wales Water Authority"/>
    <n v="500000"/>
    <x v="46"/>
    <s v="Act 2010-082"/>
    <d v="2011-01-03T00:00:00"/>
    <n v="0"/>
    <n v="500000"/>
  </r>
  <r>
    <s v="3070-00"/>
    <s v="St. Mary's Villa for Children Home"/>
    <n v="0"/>
    <x v="46"/>
    <s v="Act 2006-083"/>
    <d v="2006-12-11T00:00:00"/>
    <n v="0"/>
    <n v="0"/>
  </r>
  <r>
    <s v="3277-00"/>
    <s v="Nicolet Complex"/>
    <n v="0"/>
    <x v="46"/>
    <s v="Act 2008-041"/>
    <d v="2008-12-11T00:00:00"/>
    <n v="0"/>
    <n v="0"/>
  </r>
  <r>
    <s v="3367-00"/>
    <s v="Norristown Riverfront Development"/>
    <n v="500000"/>
    <x v="46"/>
    <s v="Act 2008-041"/>
    <d v="2009-04-27T00:00:00"/>
    <n v="0"/>
    <n v="500000"/>
  </r>
  <r>
    <s v="3367-01"/>
    <s v="Norristown Central Business Redevelopment"/>
    <n v="350000"/>
    <x v="46"/>
    <s v="Act 2010-047"/>
    <d v="2010-12-20T00:00:00"/>
    <n v="0"/>
    <n v="350000"/>
  </r>
  <r>
    <s v="3758-00"/>
    <s v="Mission Kids Center"/>
    <n v="250000"/>
    <x v="46"/>
    <s v="Act 2010-047"/>
    <d v="2010-12-20T00:00:00"/>
    <n v="0"/>
    <n v="250000"/>
  </r>
  <r>
    <s v="3918-00"/>
    <s v="Lankenau Hospital Pew 4 SW Renovation"/>
    <n v="2500000"/>
    <x v="46"/>
    <s v="Act 2010-082"/>
    <d v="2013-02-11T00:00:00"/>
    <n v="0"/>
    <n v="2500000"/>
  </r>
  <r>
    <s v="3919-00"/>
    <s v="Madison Avenue Parking Lot Redevelopment"/>
    <n v="2500000"/>
    <x v="46"/>
    <s v="Act 2006-083"/>
    <d v="2013-02-11T00:00:00"/>
    <n v="0"/>
    <n v="2500000"/>
  </r>
  <r>
    <s v="8010-00"/>
    <s v="Lower Moreland Township Redevelopment"/>
    <n v="0"/>
    <x v="46"/>
    <s v="Act 2004-040"/>
    <d v="2005-03-15T00:00:00"/>
    <n v="0"/>
    <n v="0"/>
  </r>
  <r>
    <s v="8024-00"/>
    <s v="Souder Hill Town Center"/>
    <n v="0"/>
    <x v="46"/>
    <s v="Act 2010-047"/>
    <d v="2010-08-03T00:00:00"/>
    <n v="0"/>
    <n v="0"/>
  </r>
  <r>
    <s v="8033-00"/>
    <s v="Stern Academy Community Center"/>
    <n v="0"/>
    <x v="46"/>
    <s v="Act 2010-082"/>
    <d v="2010-12-20T00:00:00"/>
    <n v="0"/>
    <n v="0"/>
  </r>
  <r>
    <s v="8061-00"/>
    <s v="Cheltenham Mall-Ogontz Avenue Project"/>
    <n v="0"/>
    <x v="46"/>
    <s v="Act 2008-041"/>
    <d v="2010-05-18T00:00:00"/>
    <n v="0"/>
    <n v="0"/>
  </r>
  <r>
    <s v="8077-00"/>
    <s v="Springfield Bus Garage"/>
    <n v="0"/>
    <x v="46"/>
    <s v="Act 2010-082"/>
    <d v="2011-01-03T00:00:00"/>
    <n v="0"/>
    <n v="0"/>
  </r>
  <r>
    <s v="8081-00"/>
    <s v="Roslyn Center"/>
    <n v="0"/>
    <x v="46"/>
    <s v="Act 2008-041"/>
    <d v="2010-06-16T00:00:00"/>
    <n v="0"/>
    <n v="0"/>
  </r>
  <r>
    <s v="8081-01"/>
    <s v="Roslyn Center II"/>
    <n v="0"/>
    <x v="46"/>
    <s v="Act 2008-041"/>
    <d v="2010-09-15T00:00:00"/>
    <n v="0"/>
    <n v="0"/>
  </r>
  <r>
    <s v="8083-00"/>
    <s v="Lower Moreland Township Infrastructure Improvement"/>
    <n v="0"/>
    <x v="46"/>
    <s v="Act 2010-082"/>
    <d v="2011-01-03T00:00:00"/>
    <n v="0"/>
    <n v="0"/>
  </r>
  <r>
    <s v="1265-00"/>
    <s v="Irontown Commerce Center Rail Facility"/>
    <n v="750000"/>
    <x v="47"/>
    <s v="Act 2010-082"/>
    <d v="2011-01-03T00:00:00"/>
    <n v="0"/>
    <n v="750000"/>
  </r>
  <r>
    <s v="3920-00"/>
    <s v="Geisinger Hospital for Advanced Medicine"/>
    <n v="2400000"/>
    <x v="47"/>
    <s v="Act 2010-082"/>
    <d v="2013-02-11T00:00:00"/>
    <n v="0"/>
    <n v="2400000"/>
  </r>
  <r>
    <s v="0000-26"/>
    <s v="Homer Research Lab (DCA)"/>
    <n v="10000000"/>
    <x v="48"/>
    <s v="Act 1986-118"/>
    <m/>
    <n v="10000000"/>
    <n v="0"/>
  </r>
  <r>
    <s v="0003-00"/>
    <s v="Lehigh University Performing Arts Center"/>
    <n v="5000000"/>
    <x v="48"/>
    <s v="Act 1992-188"/>
    <d v="1993-07-01T00:00:00"/>
    <n v="5000000"/>
    <n v="0"/>
  </r>
  <r>
    <s v="0021-00"/>
    <s v="Easton Two Rivers Landing"/>
    <n v="2850000"/>
    <x v="48"/>
    <s v="Act 1993- 47"/>
    <d v="1993-07-01T00:00:00"/>
    <n v="2850000"/>
    <n v="0"/>
  </r>
  <r>
    <s v="0073-00"/>
    <s v="Northampton Ballyard-Lehigh Valley Multi-Purp Stad"/>
    <n v="0"/>
    <x v="48"/>
    <s v="Act 1994- 74"/>
    <d v="1993-07-01T00:00:00"/>
    <n v="0"/>
    <n v="0"/>
  </r>
  <r>
    <s v="0144-00"/>
    <s v="National Museum of Industrial History"/>
    <n v="4500000"/>
    <x v="48"/>
    <s v="Act 1999-035"/>
    <d v="1999-12-16T00:00:00"/>
    <n v="1406885"/>
    <n v="3093115"/>
  </r>
  <r>
    <s v="0316-00"/>
    <s v="Bushkill Creek/Easton"/>
    <n v="3000000"/>
    <x v="48"/>
    <s v="Act 2004-040"/>
    <d v="2004-08-20T00:00:00"/>
    <n v="3000000"/>
    <n v="0"/>
  </r>
  <r>
    <s v="0316-01"/>
    <s v="Lafeyette College/Bushkill Creek"/>
    <n v="3000000"/>
    <x v="48"/>
    <s v="Act 2004-040"/>
    <d v="2004-08-20T00:00:00"/>
    <n v="2754932"/>
    <n v="245068"/>
  </r>
  <r>
    <s v="0316-02"/>
    <s v="Simon Silk Mill"/>
    <n v="3000000"/>
    <x v="48"/>
    <s v="Act 2004-040"/>
    <d v="2004-08-20T00:00:00"/>
    <n v="1744120"/>
    <n v="1255880"/>
  </r>
  <r>
    <s v="0316-03"/>
    <s v="Simon Silk Mill II"/>
    <n v="2000000"/>
    <x v="48"/>
    <s v="Act 2004-040"/>
    <d v="2010-10-21T00:00:00"/>
    <n v="0"/>
    <n v="2000000"/>
  </r>
  <r>
    <s v="0317-00"/>
    <s v="State Theatre-Easton"/>
    <n v="1000000"/>
    <x v="48"/>
    <s v="Act 1999-035"/>
    <d v="2003-05-05T00:00:00"/>
    <n v="1000000"/>
    <n v="0"/>
  </r>
  <r>
    <s v="0317-01"/>
    <s v="State Theatre-Easton II"/>
    <n v="1000000"/>
    <x v="48"/>
    <s v="Act 1999-035"/>
    <d v="2004-04-24T00:00:00"/>
    <n v="1000000"/>
    <n v="0"/>
  </r>
  <r>
    <s v="0317-02"/>
    <s v="State Theatre-Easton III"/>
    <n v="250000"/>
    <x v="48"/>
    <s v="Act 2010-082"/>
    <d v="2011-01-10T00:00:00"/>
    <n v="193750"/>
    <n v="56250"/>
  </r>
  <r>
    <s v="0320-00"/>
    <s v="Bethlehem Riverport Parking Garage"/>
    <n v="2500000"/>
    <x v="48"/>
    <s v="Act 2004-040"/>
    <d v="2004-08-20T00:00:00"/>
    <n v="2500000"/>
    <n v="0"/>
  </r>
  <r>
    <s v="0320-01"/>
    <s v="Bethlehem Riverport Parking Garage II"/>
    <n v="0"/>
    <x v="48"/>
    <s v="Act 2004-040"/>
    <d v="2007-03-29T00:00:00"/>
    <n v="0"/>
    <n v="0"/>
  </r>
  <r>
    <s v="0353-00"/>
    <s v="Hugh Moore Park-National Canal Museum"/>
    <n v="1800000"/>
    <x v="48"/>
    <s v="Act 2004-040"/>
    <d v="2005-03-10T00:00:00"/>
    <n v="1800000"/>
    <n v="0"/>
  </r>
  <r>
    <s v="0422-00"/>
    <s v="Northampton Museum-Sigal's Bridal Store"/>
    <n v="2000000"/>
    <x v="48"/>
    <s v="Act 2004-040"/>
    <d v="2005-03-10T00:00:00"/>
    <n v="2000000"/>
    <n v="0"/>
  </r>
  <r>
    <s v="0422-01"/>
    <s v="Northampton County Historical Society"/>
    <n v="200000"/>
    <x v="48"/>
    <s v="Act 2008-041"/>
    <d v="2008-10-15T00:00:00"/>
    <n v="200000"/>
    <n v="0"/>
  </r>
  <r>
    <s v="0422-02"/>
    <s v="Northampton County Historical Society II"/>
    <n v="100000"/>
    <x v="48"/>
    <s v="Act 2008-041"/>
    <d v="2008-12-11T00:00:00"/>
    <n v="100000"/>
    <n v="0"/>
  </r>
  <r>
    <s v="0422-03"/>
    <s v="Northampton County Historical Society III"/>
    <n v="200000"/>
    <x v="48"/>
    <s v="Act 2008-041"/>
    <d v="2010-02-04T00:00:00"/>
    <n v="200000"/>
    <n v="0"/>
  </r>
  <r>
    <s v="0464-00"/>
    <s v="Hotel Easton Parking Garage/Easton riverw-intermo"/>
    <n v="2000000"/>
    <x v="48"/>
    <s v="Act 1999-035"/>
    <d v="2003-04-16T00:00:00"/>
    <n v="0"/>
    <n v="2000000"/>
  </r>
  <r>
    <s v="0464-01"/>
    <s v="Hotel Easton II"/>
    <n v="200000"/>
    <x v="48"/>
    <s v="Act 1999-035"/>
    <d v="2009-04-27T00:00:00"/>
    <n v="0"/>
    <n v="200000"/>
  </r>
  <r>
    <s v="0464-02"/>
    <s v="Hotel Easton III"/>
    <n v="500000"/>
    <x v="48"/>
    <s v="Act 1999-035"/>
    <d v="2009-04-27T00:00:00"/>
    <n v="0"/>
    <n v="500000"/>
  </r>
  <r>
    <s v="0464-03"/>
    <s v="Easton Intermodal Visitor Center"/>
    <n v="2000000"/>
    <x v="48"/>
    <s v="Act 1999-035"/>
    <d v="2010-08-11T00:00:00"/>
    <n v="0"/>
    <n v="2000000"/>
  </r>
  <r>
    <s v="0477-00"/>
    <s v="Project Literacy-Easton"/>
    <n v="500000"/>
    <x v="48"/>
    <s v="Act 2002-131"/>
    <d v="2006-05-05T00:00:00"/>
    <n v="500000"/>
    <n v="0"/>
  </r>
  <r>
    <s v="0578-00"/>
    <s v="Historic Bethlehem Partnership I"/>
    <n v="2500000"/>
    <x v="48"/>
    <s v="Act 2006-083"/>
    <d v="2007-01-15T00:00:00"/>
    <n v="0"/>
    <n v="2500000"/>
  </r>
  <r>
    <s v="0578-01"/>
    <s v="Historic Bethlehem Partnership II"/>
    <n v="500000"/>
    <x v="48"/>
    <s v="Act 2006-083"/>
    <d v="2007-06-13T00:00:00"/>
    <n v="0"/>
    <n v="500000"/>
  </r>
  <r>
    <s v="0604-00"/>
    <s v="Northampton Community College-Southside Beth I"/>
    <n v="1000000"/>
    <x v="48"/>
    <s v="Act 2004-040"/>
    <d v="2006-03-15T00:00:00"/>
    <n v="1000000"/>
    <n v="0"/>
  </r>
  <r>
    <s v="0604-01"/>
    <s v="Northampton Community Coll-Southside Bethlehem II"/>
    <n v="1000000"/>
    <x v="48"/>
    <s v="Act 2004-040"/>
    <d v="2006-08-15T00:00:00"/>
    <n v="1000000"/>
    <n v="0"/>
  </r>
  <r>
    <s v="0604-02"/>
    <s v="Northampton Commuinty Coll Southside Beth III"/>
    <n v="1000000"/>
    <x v="48"/>
    <s v="Act 2004-040"/>
    <d v="2006-09-14T00:00:00"/>
    <n v="1000000"/>
    <n v="0"/>
  </r>
  <r>
    <s v="0604-03"/>
    <s v="Northampton Community College Southside Beth IV"/>
    <n v="2000000"/>
    <x v="48"/>
    <s v="Act 2004-040"/>
    <d v="2006-12-11T00:00:00"/>
    <n v="2000000"/>
    <n v="0"/>
  </r>
  <r>
    <s v="0604-04"/>
    <s v="Northampton Community College Southside Beth V"/>
    <n v="100000"/>
    <x v="48"/>
    <s v="Act 2004-040"/>
    <d v="2009-05-12T00:00:00"/>
    <n v="0"/>
    <n v="100000"/>
  </r>
  <r>
    <s v="0604-05"/>
    <s v="Northampton Community College Southside Beth VI"/>
    <n v="250000"/>
    <x v="48"/>
    <s v="Act 2010-082"/>
    <d v="2011-01-10T00:00:00"/>
    <n v="0"/>
    <n v="250000"/>
  </r>
  <r>
    <s v="0618-00"/>
    <s v="St. Luke's Riverfront Health Campus"/>
    <n v="2000000"/>
    <x v="48"/>
    <s v="Act 2006-083"/>
    <d v="2007-01-15T00:00:00"/>
    <n v="2000000"/>
    <n v="0"/>
  </r>
  <r>
    <s v="0618-01"/>
    <s v="St. Lukes Riverfront Hospital II"/>
    <n v="1250000"/>
    <x v="48"/>
    <s v="Act 2006-083"/>
    <d v="2008-10-15T00:00:00"/>
    <n v="1250000"/>
    <n v="0"/>
  </r>
  <r>
    <s v="0618-02"/>
    <s v="St. Lukes Riverfront Health Campus III"/>
    <n v="1000000"/>
    <x v="48"/>
    <s v="Act 2006-083"/>
    <d v="2009-02-12T00:00:00"/>
    <n v="1000000"/>
    <n v="0"/>
  </r>
  <r>
    <s v="0618-03"/>
    <s v="St. Lukes Riverfront Health Campus IV"/>
    <n v="200000"/>
    <x v="48"/>
    <s v="Act 2008-041"/>
    <d v="2010-02-04T00:00:00"/>
    <n v="200000"/>
    <n v="0"/>
  </r>
  <r>
    <s v="0618-04"/>
    <s v="St. Luke's Riverfront Health Campus"/>
    <n v="500000"/>
    <x v="48"/>
    <m/>
    <m/>
    <n v="500000"/>
    <n v="0"/>
  </r>
  <r>
    <s v="0721-00"/>
    <s v="Steel Stax Arts and Education Center"/>
    <n v="5000000"/>
    <x v="48"/>
    <s v="Act 2002-131"/>
    <d v="2006-12-11T00:00:00"/>
    <n v="5000000"/>
    <n v="0"/>
  </r>
  <r>
    <s v="0721-01"/>
    <s v="Steel Stax Performing Arts Center II"/>
    <n v="5000000"/>
    <x v="48"/>
    <s v="Act 2008-041"/>
    <d v="2008-08-28T00:00:00"/>
    <n v="5000000"/>
    <n v="0"/>
  </r>
  <r>
    <s v="0721-02"/>
    <s v="Steel Stax Performing Arts Center III"/>
    <n v="500000"/>
    <x v="48"/>
    <s v="Act 2008-041"/>
    <d v="2008-09-26T00:00:00"/>
    <n v="500000"/>
    <n v="0"/>
  </r>
  <r>
    <s v="0721-03"/>
    <s v="Steel Stax Performing Arts Center IV"/>
    <n v="500000"/>
    <x v="48"/>
    <s v="Act 2008-041"/>
    <d v="2008-09-26T00:00:00"/>
    <n v="500000"/>
    <n v="0"/>
  </r>
  <r>
    <s v="0721-05"/>
    <s v="Steel Stax Performing Arts Cente VI"/>
    <n v="250000"/>
    <x v="48"/>
    <s v="Act 2008-041"/>
    <d v="2009-04-27T00:00:00"/>
    <n v="186026"/>
    <n v="63974"/>
  </r>
  <r>
    <s v="0721-06"/>
    <s v="Steel Stax Performing Arts VII"/>
    <n v="750000"/>
    <x v="48"/>
    <s v="Act 2002-131"/>
    <d v="2010-03-23T00:00:00"/>
    <n v="683974"/>
    <n v="66026"/>
  </r>
  <r>
    <s v="0721-08"/>
    <s v="Steel Stax Arts &amp; Education Center"/>
    <n v="500000"/>
    <x v="48"/>
    <s v="Act 2010-082"/>
    <d v="2010-11-15T00:00:00"/>
    <n v="0"/>
    <n v="500000"/>
  </r>
  <r>
    <s v="0742-00"/>
    <s v="South Main Street Parking Garage-Bethlehem"/>
    <n v="1022083"/>
    <x v="48"/>
    <s v="Act 2008-041"/>
    <d v="2008-08-28T00:00:00"/>
    <n v="1022083"/>
    <n v="0"/>
  </r>
  <r>
    <s v="0742-01"/>
    <s v="South Main Street Parking Garage-Bethlehem II"/>
    <n v="0"/>
    <x v="48"/>
    <s v="Act 2008-041"/>
    <d v="2009-06-23T00:00:00"/>
    <n v="0"/>
    <n v="0"/>
  </r>
  <r>
    <s v="0764-00"/>
    <s v="Delaware Terrace Redevelopment"/>
    <n v="200000"/>
    <x v="48"/>
    <s v="Act 2008-041"/>
    <d v="2008-12-11T00:00:00"/>
    <n v="200000"/>
    <n v="0"/>
  </r>
  <r>
    <s v="0764-01"/>
    <s v="Delaware Terrace Redevelopment II"/>
    <n v="200000"/>
    <x v="48"/>
    <s v="Act 2008-041"/>
    <d v="2009-06-23T00:00:00"/>
    <n v="200000"/>
    <n v="0"/>
  </r>
  <r>
    <s v="0764-02"/>
    <s v="Delaware Terrace Redevelopment III"/>
    <n v="1000000"/>
    <x v="48"/>
    <s v="Act 2008-041"/>
    <d v="2010-04-21T00:00:00"/>
    <n v="965000"/>
    <n v="35000"/>
  </r>
  <r>
    <s v="0785-00"/>
    <s v="Ben Franklin Technology Ventures Incubator"/>
    <n v="2000000"/>
    <x v="48"/>
    <s v="Act 2008-041"/>
    <d v="2009-02-12T00:00:00"/>
    <n v="2000000"/>
    <n v="0"/>
  </r>
  <r>
    <s v="0785-01"/>
    <s v="Ben Franklin Tech Ventures Incubator II"/>
    <n v="800000"/>
    <x v="48"/>
    <s v="Act 2008-041"/>
    <d v="2009-03-18T00:00:00"/>
    <n v="800000"/>
    <n v="0"/>
  </r>
  <r>
    <s v="0785-02"/>
    <s v="Ben Franklin Tech Incubators III"/>
    <n v="250000"/>
    <x v="48"/>
    <s v="Act 2008-041"/>
    <d v="2009-06-23T00:00:00"/>
    <n v="250000"/>
    <n v="0"/>
  </r>
  <r>
    <s v="0785-03"/>
    <s v="Ben Franklin Tech Ventures IV"/>
    <n v="400000"/>
    <x v="48"/>
    <s v="Act 2008-041"/>
    <d v="2010-02-08T00:00:00"/>
    <n v="400000"/>
    <n v="0"/>
  </r>
  <r>
    <s v="0785-04"/>
    <s v="Ben Franklin Technology Ventures Incubator V"/>
    <n v="500000"/>
    <x v="48"/>
    <s v="Act 2004-040"/>
    <d v="2010-05-27T00:00:00"/>
    <n v="500000"/>
    <n v="0"/>
  </r>
  <r>
    <s v="0785-05"/>
    <s v="Ben Franklin Technology Incubators VI"/>
    <n v="2000000"/>
    <x v="48"/>
    <s v="Act 2008-041"/>
    <d v="2010-07-15T00:00:00"/>
    <n v="1851250"/>
    <n v="148750"/>
  </r>
  <r>
    <s v="0812-00"/>
    <s v="Majestic Realty-Bethlehem"/>
    <n v="500000"/>
    <x v="48"/>
    <s v="Act 2008-041"/>
    <d v="2008-10-15T00:00:00"/>
    <n v="500000"/>
    <n v="0"/>
  </r>
  <r>
    <s v="0812-01"/>
    <s v="Majestic Realty-Bethlehem II"/>
    <n v="250000"/>
    <x v="48"/>
    <s v="Act 2008-048"/>
    <d v="2009-05-12T00:00:00"/>
    <n v="250000"/>
    <n v="0"/>
  </r>
  <r>
    <s v="0812-02"/>
    <s v="Majestic Realty-Bethlehem III"/>
    <n v="250000"/>
    <x v="48"/>
    <s v="Act 2008-041"/>
    <d v="2009-08-31T00:00:00"/>
    <n v="250000"/>
    <n v="0"/>
  </r>
  <r>
    <s v="0812-03"/>
    <s v="Majestic Realty IV"/>
    <n v="250000"/>
    <x v="48"/>
    <s v="Act 2008-041"/>
    <d v="2010-02-25T00:00:00"/>
    <n v="250000"/>
    <n v="0"/>
  </r>
  <r>
    <s v="0812-04"/>
    <s v="Majestic Realty-Bethlehem V"/>
    <n v="500000"/>
    <x v="48"/>
    <s v="Act 2008-041"/>
    <d v="2010-06-17T00:00:00"/>
    <n v="500000"/>
    <n v="0"/>
  </r>
  <r>
    <s v="0812-05"/>
    <s v="Majestic Realty-Bethlehem VI"/>
    <n v="7500000"/>
    <x v="48"/>
    <s v="Act 2008-041"/>
    <d v="2010-08-24T00:00:00"/>
    <n v="7407500"/>
    <n v="92500"/>
  </r>
  <r>
    <s v="0812-06"/>
    <s v="Majestic Bethlehem Center-Commerce Center  VII"/>
    <n v="10000000"/>
    <x v="48"/>
    <s v="Act 2008-041"/>
    <d v="2013-02-11T00:00:00"/>
    <n v="0"/>
    <n v="10000000"/>
  </r>
  <r>
    <s v="0852-00"/>
    <s v="Northampton Street Corridor-Easton-Pomeroys"/>
    <n v="1649000"/>
    <x v="48"/>
    <s v="Act 2004-040"/>
    <d v="2006-05-19T00:00:00"/>
    <n v="1649000"/>
    <n v="0"/>
  </r>
  <r>
    <s v="0852-01"/>
    <s v="Northampton Street Corridor/Pomeroys II"/>
    <n v="200000"/>
    <x v="48"/>
    <s v="Act 2004-040"/>
    <d v="2010-05-18T00:00:00"/>
    <n v="153775"/>
    <n v="46225"/>
  </r>
  <r>
    <s v="0855-00"/>
    <s v="Lehigh University Science Building"/>
    <n v="500000"/>
    <x v="48"/>
    <s v="Act 2008-041"/>
    <d v="2008-12-11T00:00:00"/>
    <n v="0"/>
    <n v="500000"/>
  </r>
  <r>
    <s v="0855-01"/>
    <s v="Lehigh University Science Building II"/>
    <n v="500000"/>
    <x v="48"/>
    <s v="Act 2008-041"/>
    <d v="2009-06-23T00:00:00"/>
    <n v="0"/>
    <n v="500000"/>
  </r>
  <r>
    <s v="0855-02"/>
    <s v="Lehigh University Science Building III"/>
    <n v="500000"/>
    <x v="48"/>
    <s v="Act 2008-041"/>
    <d v="2010-11-22T00:00:00"/>
    <n v="0"/>
    <n v="500000"/>
  </r>
  <r>
    <s v="0855-03"/>
    <s v="Lehigh University Science Building IV"/>
    <n v="250000"/>
    <x v="48"/>
    <s v="Act 2008-041"/>
    <d v="2010-12-07T00:00:00"/>
    <n v="0"/>
    <n v="250000"/>
  </r>
  <r>
    <s v="0861-00"/>
    <s v="Farr Building Redevelopment"/>
    <n v="300000"/>
    <x v="48"/>
    <s v="Act 2008-041"/>
    <d v="2008-09-26T00:00:00"/>
    <n v="0"/>
    <n v="300000"/>
  </r>
  <r>
    <s v="0861-01"/>
    <s v="Farr Building Redevelopment II"/>
    <n v="300000"/>
    <x v="48"/>
    <s v="Act 2008-041"/>
    <d v="2010-10-12T00:00:00"/>
    <n v="0"/>
    <n v="300000"/>
  </r>
  <r>
    <s v="1086-00"/>
    <s v="Southside Parking Structure"/>
    <n v="2750000"/>
    <x v="48"/>
    <s v="Act 2010-082"/>
    <d v="2010-11-15T00:00:00"/>
    <n v="0"/>
    <n v="2750000"/>
  </r>
  <r>
    <s v="1086-01"/>
    <s v="Southside Parking Structure"/>
    <n v="2477917"/>
    <x v="48"/>
    <s v="Act 2010-082"/>
    <d v="2012-11-21T00:00:00"/>
    <n v="0"/>
    <n v="2477917"/>
  </r>
  <r>
    <s v="1136-00"/>
    <s v="Festival Center at Steel Stacks"/>
    <n v="1500000"/>
    <x v="48"/>
    <s v="Act 2010-082"/>
    <d v="2010-11-15T00:00:00"/>
    <n v="0"/>
    <n v="1500000"/>
  </r>
  <r>
    <s v="1225-00"/>
    <s v="St. Luke's Wind Gap Medical Center"/>
    <n v="1000000"/>
    <x v="48"/>
    <s v="Act 2010-082"/>
    <d v="2011-01-10T00:00:00"/>
    <n v="0"/>
    <n v="1000000"/>
  </r>
  <r>
    <s v="1230-00"/>
    <s v="Slate Belt YMCA"/>
    <n v="250000"/>
    <x v="48"/>
    <s v="Act 2010-082"/>
    <d v="2010-12-07T00:00:00"/>
    <n v="0"/>
    <n v="250000"/>
  </r>
  <r>
    <s v="1230-01"/>
    <s v="Slate Belt YMCA II"/>
    <n v="500000"/>
    <x v="48"/>
    <s v="Act 2010-082"/>
    <d v="2011-01-03T00:00:00"/>
    <n v="0"/>
    <n v="500000"/>
  </r>
  <r>
    <s v="1230-02"/>
    <s v="Slate Belt YMCA III"/>
    <n v="250000"/>
    <x v="48"/>
    <s v="Act 2010-082"/>
    <d v="2011-01-10T00:00:00"/>
    <n v="0"/>
    <n v="250000"/>
  </r>
  <r>
    <s v="1231-00"/>
    <s v="Route 33 Interchange Development"/>
    <n v="500000"/>
    <x v="48"/>
    <s v="Act 2004-040"/>
    <d v="2010-12-03T00:00:00"/>
    <n v="0"/>
    <n v="500000"/>
  </r>
  <r>
    <s v="1297-00"/>
    <s v="Lower Nazareth Commercial Park"/>
    <n v="250000"/>
    <x v="48"/>
    <s v="Act 2010-082"/>
    <d v="2011-01-03T00:00:00"/>
    <n v="0"/>
    <n v="250000"/>
  </r>
  <r>
    <s v="1307-00"/>
    <s v="Route 512 Industrial Park"/>
    <n v="500000"/>
    <x v="48"/>
    <s v="Act 2004-040"/>
    <d v="2011-01-03T00:00:00"/>
    <n v="0"/>
    <n v="500000"/>
  </r>
  <r>
    <s v="1308-00"/>
    <s v="Equi-Librium, Inc"/>
    <n v="250000"/>
    <x v="48"/>
    <s v="Act 2010-082"/>
    <d v="2011-01-10T00:00:00"/>
    <n v="0"/>
    <n v="250000"/>
  </r>
  <r>
    <s v="3107-00"/>
    <s v="Easton Riverwalk Parking Garage"/>
    <n v="0"/>
    <x v="48"/>
    <s v="Act 2004-040"/>
    <d v="2007-02-05T00:00:00"/>
    <n v="0"/>
    <n v="0"/>
  </r>
  <r>
    <s v="3921-00"/>
    <s v="Lehigh Valley Charter HS for the Performing Arts"/>
    <n v="3000000"/>
    <x v="48"/>
    <s v="Act 2010-082"/>
    <d v="2013-02-11T00:00:00"/>
    <n v="0"/>
    <n v="3000000"/>
  </r>
  <r>
    <s v="0403-00"/>
    <s v="Sunbury Amphitheatre and Riverbank"/>
    <n v="1000000"/>
    <x v="49"/>
    <s v="Act 2002-131"/>
    <d v="2004-08-18T00:00:00"/>
    <n v="1000000"/>
    <n v="0"/>
  </r>
  <r>
    <s v="0403-01"/>
    <s v="Sunbury Amphitheatre and Riverbank"/>
    <n v="1800000"/>
    <x v="49"/>
    <s v="Act 2002-131"/>
    <d v="2004-08-18T00:00:00"/>
    <n v="1428298"/>
    <n v="371702"/>
  </r>
  <r>
    <s v="0418-00"/>
    <s v="Coal Township SEEDCO Industrial Park"/>
    <n v="1000000"/>
    <x v="49"/>
    <s v="Act 2004-040"/>
    <d v="2005-03-10T00:00:00"/>
    <n v="1000000"/>
    <n v="0"/>
  </r>
  <r>
    <s v="0418-01"/>
    <s v="Coal Township-SEEDCO Industrial Park II"/>
    <n v="600000"/>
    <x v="49"/>
    <s v="Act 2004-040"/>
    <d v="2007-03-08T00:00:00"/>
    <n v="600000"/>
    <n v="0"/>
  </r>
  <r>
    <s v="0686-00"/>
    <s v="Shamokin Area Hospital"/>
    <n v="600000"/>
    <x v="49"/>
    <s v="Act 2006-083"/>
    <d v="2007-10-03T00:00:00"/>
    <n v="0"/>
    <n v="600000"/>
  </r>
  <r>
    <s v="1057-00"/>
    <s v="Milton Public Library"/>
    <n v="1000000"/>
    <x v="49"/>
    <s v="Act 2008-041"/>
    <d v="2010-09-15T00:00:00"/>
    <n v="898691"/>
    <n v="101309"/>
  </r>
  <r>
    <s v="3404-00"/>
    <s v="Shamokin Downtown Redevelopment"/>
    <n v="0"/>
    <x v="49"/>
    <s v="Act 2004-040"/>
    <d v="2004-08-18T00:00:00"/>
    <n v="0"/>
    <n v="0"/>
  </r>
  <r>
    <s v="3832-00"/>
    <s v="Rehabilitation of former Fleetwood Facility"/>
    <n v="1000000"/>
    <x v="49"/>
    <s v="Act 2010-082"/>
    <d v="2011-01-03T00:00:00"/>
    <n v="0"/>
    <n v="1000000"/>
  </r>
  <r>
    <s v="3832-01"/>
    <s v="Rehabilitation of former Fleetwood Facility II"/>
    <n v="500000"/>
    <x v="49"/>
    <s v="Act 2010-082"/>
    <d v="2011-01-10T00:00:00"/>
    <n v="0"/>
    <n v="500000"/>
  </r>
  <r>
    <s v="0212-00"/>
    <s v="Perry County Business Campus One"/>
    <n v="1500000"/>
    <x v="50"/>
    <s v="Act 1999-035"/>
    <d v="2002-05-08T00:00:00"/>
    <n v="1500000"/>
    <n v="0"/>
  </r>
  <r>
    <s v="3863-00"/>
    <s v="National Audubon Society Hawk Watch"/>
    <n v="275000"/>
    <x v="50"/>
    <s v="Act 2008-041"/>
    <d v="2011-01-10T00:00:00"/>
    <n v="0"/>
    <n v="275000"/>
  </r>
  <r>
    <s v="0000-01"/>
    <s v="Franklin Institute (DCA)"/>
    <n v="10000000"/>
    <x v="51"/>
    <s v="Act 1986-118"/>
    <m/>
    <n v="10000000"/>
    <n v="0"/>
  </r>
  <r>
    <s v="0000-03"/>
    <s v="Convention Center (DCA)"/>
    <n v="185000000"/>
    <x v="51"/>
    <s v="Act 1984- 62"/>
    <m/>
    <n v="185000000"/>
    <n v="0"/>
  </r>
  <r>
    <s v="0000-04"/>
    <s v="St. Christopher's Hospital (DCA)"/>
    <n v="23800000"/>
    <x v="51"/>
    <s v="Act 1986-118"/>
    <m/>
    <n v="23800000"/>
    <n v="0"/>
  </r>
  <r>
    <s v="0000-05"/>
    <s v="Amtrak Train Station (DCA)"/>
    <n v="212000"/>
    <x v="51"/>
    <s v="Act 1988-113"/>
    <m/>
    <n v="212000"/>
    <n v="0"/>
  </r>
  <r>
    <s v="0000-06"/>
    <s v="Univ. of Penn. Technology Center (DCA)"/>
    <n v="1000000"/>
    <x v="51"/>
    <s v="Act 1990-223"/>
    <m/>
    <n v="1000000"/>
    <n v="0"/>
  </r>
  <r>
    <s v="0000-07"/>
    <s v="Spectrum II Parking (DCA)"/>
    <n v="2000000"/>
    <x v="51"/>
    <s v="Act 1992-188"/>
    <m/>
    <n v="2000000"/>
    <n v="0"/>
  </r>
  <r>
    <s v="0006-00"/>
    <s v="Wilma Theater"/>
    <n v="1500000"/>
    <x v="51"/>
    <s v="Act 1992-188"/>
    <d v="1993-07-01T00:00:00"/>
    <n v="1500000"/>
    <n v="0"/>
  </r>
  <r>
    <s v="0007-00"/>
    <s v="South Broad Street Streetscape"/>
    <n v="1400000"/>
    <x v="51"/>
    <s v="Act 1993- 47"/>
    <d v="1993-07-01T00:00:00"/>
    <n v="1399999.9999999998"/>
    <n v="0"/>
  </r>
  <r>
    <s v="0008-00"/>
    <s v="Clef Club"/>
    <n v="1000000"/>
    <x v="51"/>
    <s v="Act 1992-188"/>
    <d v="1993-07-01T00:00:00"/>
    <n v="1000000"/>
    <n v="0"/>
  </r>
  <r>
    <s v="0010-00"/>
    <s v="Spectrum II"/>
    <n v="8000000"/>
    <x v="51"/>
    <s v="Act 1994- 74"/>
    <d v="1993-07-01T00:00:00"/>
    <n v="8000000"/>
    <n v="0"/>
  </r>
  <r>
    <s v="0011-00"/>
    <s v=" Workshop"/>
    <n v="2265000"/>
    <x v="51"/>
    <s v="Act 1992-188"/>
    <d v="1993-07-01T00:00:00"/>
    <n v="2265000"/>
    <n v="0"/>
  </r>
  <r>
    <s v="0013-00"/>
    <s v="Phila Maritime Museum"/>
    <n v="2200000"/>
    <x v="51"/>
    <s v="Act 1993- 47"/>
    <d v="1993-07-01T00:00:00"/>
    <n v="2198102"/>
    <n v="1898"/>
  </r>
  <r>
    <s v="0014-01"/>
    <s v="Joint Theater Project"/>
    <n v="4400000"/>
    <x v="51"/>
    <s v="Act 1992-188"/>
    <d v="1993-07-01T00:00:00"/>
    <n v="4400000"/>
    <n v="0"/>
  </r>
  <r>
    <s v="0014-02"/>
    <s v="Recital Hall"/>
    <n v="4000000"/>
    <x v="51"/>
    <s v="Act 1992-188"/>
    <d v="1993-07-01T00:00:00"/>
    <n v="4000000"/>
    <n v="0"/>
  </r>
  <r>
    <s v="0015-00"/>
    <s v="New Concert Hall"/>
    <n v="35000000"/>
    <x v="51"/>
    <s v="Act 1992-188"/>
    <d v="1993-07-01T00:00:00"/>
    <n v="35000000"/>
    <n v="0"/>
  </r>
  <r>
    <s v="0016-00"/>
    <s v="New Freedom Theater"/>
    <n v="1550000"/>
    <x v="51"/>
    <s v="Act 1992-188"/>
    <d v="1993-07-01T00:00:00"/>
    <n v="1550000"/>
    <n v="0"/>
  </r>
  <r>
    <s v="0018-00"/>
    <s v="Cobbs Creek "/>
    <n v="500000"/>
    <x v="51"/>
    <s v="Act 1993- 47"/>
    <d v="1993-07-01T00:00:00"/>
    <n v="500000"/>
    <n v="0"/>
  </r>
  <r>
    <s v="0018-01"/>
    <s v="Cobbs Creek II"/>
    <n v="500000"/>
    <x v="51"/>
    <s v="Act 1999-035"/>
    <d v="2000-07-12T00:00:00"/>
    <n v="500000"/>
    <n v="0"/>
  </r>
  <r>
    <s v="0019-00"/>
    <s v="Urban Education Development Research and Retreat C"/>
    <n v="3500000"/>
    <x v="51"/>
    <s v="Act 1993- 47"/>
    <d v="1993-07-01T00:00:00"/>
    <n v="3499999.9999999995"/>
    <n v="0"/>
  </r>
  <r>
    <s v="0020-00"/>
    <s v="North Philadelphia Station"/>
    <n v="1000000"/>
    <x v="51"/>
    <s v="Act 1992-188"/>
    <d v="1993-07-01T00:00:00"/>
    <n v="1000000"/>
    <n v="0"/>
  </r>
  <r>
    <s v="0023-00"/>
    <s v="Simons Recreation Center"/>
    <n v="2177000"/>
    <x v="51"/>
    <s v="Act 1994- 74"/>
    <d v="1993-07-01T00:00:00"/>
    <n v="2177000"/>
    <n v="0"/>
  </r>
  <r>
    <s v="0025-00"/>
    <s v="Southeastern PA Employment/Training Ctr."/>
    <n v="3250000"/>
    <x v="51"/>
    <s v="Act 1994- 74"/>
    <d v="1993-07-01T00:00:00"/>
    <n v="3250000.0000000005"/>
    <n v="0"/>
  </r>
  <r>
    <s v="0026-00"/>
    <s v="Beech Corporation - CB Moore Ave"/>
    <n v="1100000"/>
    <x v="51"/>
    <s v="Act 1992-188"/>
    <d v="1993-07-01T00:00:00"/>
    <n v="1098761.3999999999"/>
    <n v="1238.5999999999999"/>
  </r>
  <r>
    <s v="0027-00"/>
    <s v="Fairmount Park"/>
    <n v="3700000"/>
    <x v="51"/>
    <s v="Act 1993- 47"/>
    <d v="1993-07-01T00:00:00"/>
    <n v="3700000"/>
    <n v="0"/>
  </r>
  <r>
    <s v="0036-00"/>
    <s v="North Broad Street Streetscape (OLD)"/>
    <n v="0"/>
    <x v="51"/>
    <s v="Act 1993- 47"/>
    <d v="1993-07-01T00:00:00"/>
    <n v="0"/>
    <n v="0"/>
  </r>
  <r>
    <s v="0037-00"/>
    <s v="Walnut Street Theater"/>
    <n v="507000"/>
    <x v="51"/>
    <s v="Act 1988-113"/>
    <d v="1993-07-01T00:00:00"/>
    <n v="507000"/>
    <n v="0"/>
  </r>
  <r>
    <s v="0038-00"/>
    <s v="Blue Horizon 1"/>
    <n v="0"/>
    <x v="51"/>
    <s v="Act 1992-188"/>
    <d v="1993-07-01T00:00:00"/>
    <n v="0"/>
    <n v="0"/>
  </r>
  <r>
    <s v="0039-00"/>
    <s v="Ridgway Library"/>
    <n v="6000000"/>
    <x v="51"/>
    <s v="Act 1992-188"/>
    <d v="1993-07-01T00:00:00"/>
    <n v="6000000"/>
    <n v="0"/>
  </r>
  <r>
    <s v="0046-00"/>
    <s v="Greek Row"/>
    <n v="0"/>
    <x v="51"/>
    <s v="Act 1992-188"/>
    <d v="1993-07-01T00:00:00"/>
    <n v="0"/>
    <n v="0"/>
  </r>
  <r>
    <s v="0047-00"/>
    <s v="North Broad Street Joint Venture"/>
    <n v="1000000"/>
    <x v="51"/>
    <s v="Act 1992-188"/>
    <d v="1993-07-01T00:00:00"/>
    <n v="848503.64"/>
    <n v="151496.35999999999"/>
  </r>
  <r>
    <s v="0075-00"/>
    <s v="Philadelphia Zoo - Primate House"/>
    <n v="2500000"/>
    <x v="51"/>
    <s v="Act 1997- 47"/>
    <d v="1998-01-22T00:00:00"/>
    <n v="2500000"/>
    <n v="0"/>
  </r>
  <r>
    <s v="0094-00"/>
    <s v="Gateway Visitor Center"/>
    <n v="10000000"/>
    <x v="51"/>
    <s v="Act 1997- 47"/>
    <d v="1997-11-13T00:00:00"/>
    <n v="10000000.000000002"/>
    <n v="0"/>
  </r>
  <r>
    <s v="0095-00"/>
    <s v="Regional Performing Arts Center"/>
    <n v="20000000"/>
    <x v="51"/>
    <s v="Act 1997- 47"/>
    <d v="1999-07-08T00:00:00"/>
    <n v="20000000"/>
    <n v="0"/>
  </r>
  <r>
    <s v="0095-01"/>
    <s v="Kimmel Center (RPAC)"/>
    <n v="4500000"/>
    <x v="51"/>
    <s v="Act 1988-113"/>
    <d v="2003-04-09T00:00:00"/>
    <n v="4500000"/>
    <n v="0"/>
  </r>
  <r>
    <s v="0101-00"/>
    <s v="Congresso de Latino Community Center"/>
    <n v="2500000"/>
    <x v="51"/>
    <s v="Act 1997- 47"/>
    <d v="1998-07-20T00:00:00"/>
    <n v="2500000"/>
    <n v="0"/>
  </r>
  <r>
    <s v="0109-00"/>
    <s v="Rock School Ballet"/>
    <n v="1000000"/>
    <x v="51"/>
    <s v="Act 1997- 47"/>
    <d v="1998-01-22T00:00:00"/>
    <n v="1000000"/>
    <n v="0"/>
  </r>
  <r>
    <s v="0110-00"/>
    <s v="Lonnie Young Recreation Center"/>
    <n v="1000000"/>
    <x v="51"/>
    <s v="Act 1997- 47"/>
    <d v="1998-01-22T00:00:00"/>
    <n v="1000000"/>
    <n v="0"/>
  </r>
  <r>
    <s v="0121-00"/>
    <s v="Nueva Esperanza"/>
    <n v="2640733"/>
    <x v="51"/>
    <s v="Act 1999-035"/>
    <d v="2000-07-12T00:00:00"/>
    <n v="2640733"/>
    <n v="0"/>
  </r>
  <r>
    <s v="0122-00"/>
    <s v="Franklin Institute"/>
    <n v="17500000"/>
    <x v="51"/>
    <s v="Act 1997- 47"/>
    <d v="1999-04-28T00:00:00"/>
    <n v="17500000.000000004"/>
    <n v="0"/>
  </r>
  <r>
    <s v="0122-01"/>
    <s v="Franklin Institute, Phase II"/>
    <n v="7000000"/>
    <x v="51"/>
    <s v="Act 2002-131"/>
    <d v="2002-11-19T00:00:00"/>
    <n v="7000000"/>
    <n v="0"/>
  </r>
  <r>
    <s v="0123-00"/>
    <s v="WHYY"/>
    <n v="2500000"/>
    <x v="51"/>
    <s v="Act 1999-035"/>
    <d v="2000-02-22T00:00:00"/>
    <n v="2500000"/>
    <n v="0"/>
  </r>
  <r>
    <s v="0127-00"/>
    <s v="Phila Football Practice Facility - 2nd Supplement"/>
    <n v="2500000"/>
    <x v="51"/>
    <s v="Act 1997- 47"/>
    <d v="2001-10-25T00:00:00"/>
    <n v="2500000"/>
    <n v="0"/>
  </r>
  <r>
    <s v="0127-01"/>
    <s v="Phila Football Practice Facility - 3rd Supplement"/>
    <n v="2000000"/>
    <x v="51"/>
    <s v="Act 1997- 47"/>
    <d v="2001-10-25T00:00:00"/>
    <n v="2000000"/>
    <n v="0"/>
  </r>
  <r>
    <s v="0129-00"/>
    <s v="Port of Technology"/>
    <n v="5000000"/>
    <x v="51"/>
    <s v="Act 1999-035"/>
    <d v="2000-07-24T00:00:00"/>
    <n v="4998897"/>
    <n v="1103"/>
  </r>
  <r>
    <s v="0138-00"/>
    <s v="Philabundance"/>
    <n v="227800"/>
    <x v="51"/>
    <s v="Act 1997- 47"/>
    <d v="2000-07-12T00:00:00"/>
    <n v="227800"/>
    <n v="0"/>
  </r>
  <r>
    <s v="0139-00"/>
    <s v="Philadelphia Football Stadium"/>
    <n v="85000000"/>
    <x v="51"/>
    <s v="Act 1997- 47"/>
    <d v="2001-02-12T00:00:00"/>
    <n v="85000000"/>
    <n v="0"/>
  </r>
  <r>
    <s v="0140-00"/>
    <s v="Philadelphia Baseball Stadium"/>
    <n v="85000000"/>
    <x v="51"/>
    <s v="Act 1997- 47"/>
    <d v="2001-02-12T00:00:00"/>
    <n v="85000000"/>
    <n v="0"/>
  </r>
  <r>
    <s v="0143-00"/>
    <s v="South Philadelphia Parking (Stadium Supplement)"/>
    <n v="10000000"/>
    <x v="51"/>
    <s v="Act 1997- 47"/>
    <d v="2000-12-21T00:00:00"/>
    <n v="10000000"/>
    <n v="0"/>
  </r>
  <r>
    <s v="0146-00"/>
    <s v="National Constitution Center"/>
    <n v="22500000"/>
    <x v="51"/>
    <s v="Act 1997- 47"/>
    <d v="2000-09-07T00:00:00"/>
    <n v="22499999.530000001"/>
    <n v="0.47"/>
  </r>
  <r>
    <s v="0147-00"/>
    <s v="Manayunk Canal"/>
    <n v="2000000"/>
    <x v="51"/>
    <s v="Act 1999-035"/>
    <d v="1999-11-05T00:00:00"/>
    <n v="1975460"/>
    <n v="24540"/>
  </r>
  <r>
    <s v="0148-00"/>
    <s v="Peoples Emergency Center"/>
    <n v="1800000"/>
    <x v="51"/>
    <s v="Act 1999-035"/>
    <d v="2000-07-12T00:00:00"/>
    <n v="1800000"/>
    <n v="0"/>
  </r>
  <r>
    <s v="0151-00"/>
    <s v="PA Academy of Fine Arts"/>
    <n v="15000000"/>
    <x v="51"/>
    <s v="Act 1999-035"/>
    <d v="2000-09-26T00:00:00"/>
    <n v="15000000"/>
    <n v="0"/>
  </r>
  <r>
    <s v="0153-00"/>
    <s v="International House"/>
    <n v="2700000"/>
    <x v="51"/>
    <s v="Act 1994- 74"/>
    <d v="2000-07-12T00:00:00"/>
    <n v="2700000"/>
    <n v="0"/>
  </r>
  <r>
    <s v="0154-00"/>
    <s v="Prince Music Center"/>
    <n v="2500000"/>
    <x v="51"/>
    <s v="Act 2000-027"/>
    <d v="2001-02-12T00:00:00"/>
    <n v="2500000"/>
    <n v="0"/>
  </r>
  <r>
    <s v="0159-00"/>
    <s v="Blue Horizon 2"/>
    <n v="1000000"/>
    <x v="51"/>
    <s v="Act 1992-188"/>
    <d v="2000-01-24T00:00:00"/>
    <n v="748578"/>
    <n v="251422"/>
  </r>
  <r>
    <s v="0164-00"/>
    <s v="North Broad Street Streetscape"/>
    <n v="3150000"/>
    <x v="51"/>
    <s v="Act 1993- 47"/>
    <d v="2000-01-24T00:00:00"/>
    <n v="3150000"/>
    <n v="0"/>
  </r>
  <r>
    <s v="0168-00"/>
    <s v="PENN Cancer Center - Civic Center Demo"/>
    <n v="4000000"/>
    <x v="51"/>
    <s v="Act 1997- 47"/>
    <d v="1999-03-17T00:00:00"/>
    <n v="4000000"/>
    <n v="0"/>
  </r>
  <r>
    <s v="0182-00"/>
    <s v="Please Touch Museum"/>
    <n v="5000000"/>
    <x v="51"/>
    <s v="Act 1997- 47"/>
    <d v="1998-07-20T00:00:00"/>
    <n v="5000000"/>
    <n v="0"/>
  </r>
  <r>
    <s v="0182-01"/>
    <s v="Please Touch Museum Supplement"/>
    <n v="5000000"/>
    <x v="51"/>
    <s v="Act 1999-035"/>
    <d v="2001-12-19T00:00:00"/>
    <n v="5000000"/>
    <n v="0"/>
  </r>
  <r>
    <s v="0182-02"/>
    <s v="Please Touch Museum Supplement #2"/>
    <n v="2500000"/>
    <x v="51"/>
    <s v="Act 1999-035"/>
    <d v="2001-12-19T00:00:00"/>
    <n v="2500000"/>
    <n v="0"/>
  </r>
  <r>
    <s v="0182-03"/>
    <s v="Please Touch Museum III"/>
    <n v="5000000"/>
    <x v="51"/>
    <s v="Act 2004-040"/>
    <d v="2004-09-14T00:00:00"/>
    <n v="5000000"/>
    <n v="0"/>
  </r>
  <r>
    <s v="0182-04"/>
    <s v="Please Touch Museum IV"/>
    <n v="500000"/>
    <x v="51"/>
    <s v="Act 2004-040"/>
    <d v="2006-06-08T00:00:00"/>
    <n v="500000"/>
    <n v="0"/>
  </r>
  <r>
    <s v="0182-05"/>
    <s v="Please Touch Museum V"/>
    <n v="500000"/>
    <x v="51"/>
    <s v="Act 2004-040"/>
    <d v="2006-07-18T00:00:00"/>
    <n v="500000"/>
    <n v="0"/>
  </r>
  <r>
    <s v="0182-06"/>
    <s v="Please Touch Museum VI"/>
    <n v="250000"/>
    <x v="51"/>
    <s v="Act 2004-040"/>
    <d v="2007-02-05T00:00:00"/>
    <n v="250000"/>
    <n v="0"/>
  </r>
  <r>
    <s v="0182-07"/>
    <s v="Please Touch Museum VII"/>
    <n v="1000000"/>
    <x v="51"/>
    <s v="Act 2004-040"/>
    <d v="2008-07-22T00:00:00"/>
    <n v="1000000"/>
    <n v="0"/>
  </r>
  <r>
    <s v="0182-08"/>
    <s v="Please Touch Museum VIII"/>
    <n v="250000"/>
    <x v="51"/>
    <s v="Act 2004-040"/>
    <d v="2008-11-20T00:00:00"/>
    <n v="250000"/>
    <n v="0"/>
  </r>
  <r>
    <s v="0182-09"/>
    <s v="Please Touch Museum IX"/>
    <n v="250000"/>
    <x v="51"/>
    <s v="Act 2004-040"/>
    <d v="2010-05-27T00:00:00"/>
    <n v="250000"/>
    <n v="0"/>
  </r>
  <r>
    <s v="0182-10"/>
    <s v="Please Touch Museum  X"/>
    <n v="1000000"/>
    <x v="51"/>
    <s v="Act 2004-040"/>
    <d v="2010-08-17T00:00:00"/>
    <n v="1000000"/>
    <n v="0"/>
  </r>
  <r>
    <s v="0196-00"/>
    <s v="AMLA Performing Arts Center"/>
    <n v="0"/>
    <x v="51"/>
    <s v="Act 1997- 47"/>
    <d v="1998-07-20T00:00:00"/>
    <n v="0"/>
    <n v="0"/>
  </r>
  <r>
    <s v="0197-00"/>
    <s v="60th Street Business District"/>
    <n v="500000"/>
    <x v="51"/>
    <s v="Act 1997- 47"/>
    <d v="1999-05-02T00:00:00"/>
    <n v="418334"/>
    <n v="81666"/>
  </r>
  <r>
    <s v="0198-00"/>
    <s v="Christian Street YMCA"/>
    <n v="750000"/>
    <x v="51"/>
    <s v="Act 1999-035"/>
    <d v="2000-07-12T00:00:00"/>
    <n v="750000"/>
    <n v="0"/>
  </r>
  <r>
    <s v="0198-01"/>
    <s v="Christian Street YMCA II"/>
    <n v="250000"/>
    <x v="51"/>
    <s v="Act 2008-041"/>
    <d v="2009-05-12T00:00:00"/>
    <n v="250000"/>
    <n v="0"/>
  </r>
  <r>
    <s v="0199-00"/>
    <s v="West Philadelphia YMCA Annex"/>
    <n v="2000000"/>
    <x v="51"/>
    <s v="Act 1997- 47"/>
    <d v="2000-07-12T00:00:00"/>
    <n v="2000000"/>
    <n v="0"/>
  </r>
  <r>
    <s v="0200-00"/>
    <s v="Dorothy Emmanuel Rec Center"/>
    <n v="1500000"/>
    <x v="51"/>
    <s v="Act 1999-035"/>
    <d v="2000-07-12T00:00:00"/>
    <n v="1500000"/>
    <n v="0"/>
  </r>
  <r>
    <s v="0201-00"/>
    <s v="Northeast Neighborhood Community Center"/>
    <n v="1000000"/>
    <x v="51"/>
    <s v="Act 1999-035"/>
    <d v="2001-06-29T00:00:00"/>
    <n v="0"/>
    <n v="1000000"/>
  </r>
  <r>
    <s v="0202-00"/>
    <s v="Association of Puerto Ricans on the March"/>
    <n v="0"/>
    <x v="51"/>
    <s v="Act 1999-035"/>
    <d v="2000-07-12T00:00:00"/>
    <n v="0"/>
    <n v="0"/>
  </r>
  <r>
    <s v="0216-00"/>
    <s v="Drexel University"/>
    <n v="8000000"/>
    <x v="51"/>
    <s v="Act 1999-035"/>
    <d v="2002-12-23T00:00:00"/>
    <n v="8000000"/>
    <n v="0"/>
  </r>
  <r>
    <s v="0221-00"/>
    <s v="CORA Services"/>
    <n v="3742000"/>
    <x v="51"/>
    <s v="Act 1999-035"/>
    <d v="2002-12-18T00:00:00"/>
    <n v="3742000"/>
    <n v="0"/>
  </r>
  <r>
    <s v="0222-00"/>
    <s v="Universal Homes Commercial Development"/>
    <n v="4500000"/>
    <x v="51"/>
    <s v="Act 2000-027"/>
    <d v="2003-05-19T00:00:00"/>
    <n v="4500000"/>
    <n v="0"/>
  </r>
  <r>
    <s v="0223-00"/>
    <s v="Settlement School of Music"/>
    <n v="1250000"/>
    <x v="51"/>
    <s v="Act 1999-035"/>
    <d v="2002-11-19T00:00:00"/>
    <n v="1250000"/>
    <n v="0"/>
  </r>
  <r>
    <s v="0224-00"/>
    <s v="Woodmere Art Museum"/>
    <n v="0"/>
    <x v="51"/>
    <s v="Act 2002-131"/>
    <d v="2002-11-19T00:00:00"/>
    <n v="0"/>
    <n v="0"/>
  </r>
  <r>
    <s v="0239-00"/>
    <s v="Southeastern PA Red Cross"/>
    <n v="2300000"/>
    <x v="51"/>
    <s v="Act 2000-027"/>
    <d v="2002-12-05T00:00:00"/>
    <n v="2300000"/>
    <n v="0"/>
  </r>
  <r>
    <s v="0240-00"/>
    <s v="Philadelphia Zoo - Carnivore House"/>
    <n v="5800000"/>
    <x v="51"/>
    <s v="Act 2002-131"/>
    <d v="2002-12-07T00:00:00"/>
    <n v="5800000"/>
    <n v="0"/>
  </r>
  <r>
    <s v="0247-00"/>
    <s v="House of Umoja"/>
    <n v="850000"/>
    <x v="51"/>
    <s v="Act 1999-035"/>
    <d v="2000-07-12T00:00:00"/>
    <n v="0"/>
    <n v="850000"/>
  </r>
  <r>
    <s v="0252-00"/>
    <s v="PENN Vet School"/>
    <n v="18000000"/>
    <x v="51"/>
    <s v="Act 1999-035"/>
    <d v="2000-06-08T00:00:00"/>
    <n v="18000000"/>
    <n v="0"/>
  </r>
  <r>
    <s v="0258-00"/>
    <s v="Moore College of Art"/>
    <n v="5000000"/>
    <x v="51"/>
    <s v="Act 2000-027"/>
    <d v="2002-11-19T00:00:00"/>
    <n v="5000000"/>
    <n v="0"/>
  </r>
  <r>
    <s v="0258-01"/>
    <s v="Moore College of Art II"/>
    <n v="500000"/>
    <x v="51"/>
    <s v="Act 2004-040"/>
    <d v="2005-03-17T00:00:00"/>
    <n v="500000"/>
    <n v="0"/>
  </r>
  <r>
    <s v="0258-02"/>
    <s v="Moore College of Art III"/>
    <n v="1000000"/>
    <x v="51"/>
    <s v="Act 2004-040"/>
    <d v="2006-09-25T00:00:00"/>
    <n v="1000000"/>
    <n v="0"/>
  </r>
  <r>
    <s v="0258-03"/>
    <s v="Moore College of Art IV"/>
    <n v="1925000"/>
    <x v="51"/>
    <s v="Act 2004-040"/>
    <d v="2006-09-25T00:00:00"/>
    <n v="1925000"/>
    <n v="0"/>
  </r>
  <r>
    <s v="0258-04"/>
    <s v="Moore College of Art V"/>
    <n v="1250000"/>
    <x v="51"/>
    <s v="Act 2004-040"/>
    <d v="2008-10-30T00:00:00"/>
    <n v="1250000"/>
    <n v="0"/>
  </r>
  <r>
    <s v="0258-05"/>
    <s v="Moore College of Art VI"/>
    <n v="250000"/>
    <x v="51"/>
    <s v="Act 2000-027"/>
    <d v="2010-12-20T00:00:00"/>
    <n v="0"/>
    <n v="250000"/>
  </r>
  <r>
    <s v="0267-00"/>
    <s v="New Courtland Elder Services"/>
    <n v="1000000"/>
    <x v="51"/>
    <s v="Act 2002-131"/>
    <d v="2002-12-23T00:00:00"/>
    <n v="1000000"/>
    <n v="0"/>
  </r>
  <r>
    <s v="0269-00"/>
    <s v="Irish Memorial"/>
    <n v="350000"/>
    <x v="51"/>
    <s v="Act 2002-131"/>
    <d v="2003-04-14T00:00:00"/>
    <n v="350000"/>
    <n v="0"/>
  </r>
  <r>
    <s v="0270-00"/>
    <s v="Children's Hospital of Philadelphia"/>
    <n v="5000000"/>
    <x v="51"/>
    <s v="Act 2002-131"/>
    <d v="2002-12-19T00:00:00"/>
    <n v="5000000"/>
    <n v="0"/>
  </r>
  <r>
    <s v="0274-00"/>
    <s v="Philadelphia Museum of Art"/>
    <n v="12500000"/>
    <x v="51"/>
    <s v="Act 1999-035"/>
    <d v="2002-10-04T00:00:00"/>
    <n v="12500000"/>
    <n v="0"/>
  </r>
  <r>
    <s v="0274-01"/>
    <s v="Philadelphia Museum of Art"/>
    <n v="12500000"/>
    <x v="51"/>
    <s v="Act 2002-131"/>
    <d v="2002-11-19T00:00:00"/>
    <n v="12500000"/>
    <n v="0"/>
  </r>
  <r>
    <s v="0274-02"/>
    <s v="Philadelphia Museum of Art III"/>
    <n v="25000000"/>
    <x v="51"/>
    <s v="Act 2004-040"/>
    <d v="2006-06-13T00:00:00"/>
    <n v="25000000"/>
    <n v="0"/>
  </r>
  <r>
    <s v="0274-03"/>
    <s v="Philadelphia Museum of Art IV"/>
    <n v="15000000"/>
    <x v="51"/>
    <s v="Act 2004-040"/>
    <d v="2009-02-12T00:00:00"/>
    <n v="15000000"/>
    <n v="0"/>
  </r>
  <r>
    <s v="0274-04"/>
    <s v="Philadelphia Museum of Art V"/>
    <n v="10000000"/>
    <x v="51"/>
    <s v="Act 2002-131"/>
    <d v="2010-08-24T00:00:00"/>
    <n v="8145747"/>
    <n v="1854253"/>
  </r>
  <r>
    <s v="0274-05"/>
    <s v="Philadelphia Museum of Art VI - Art Handling Fac."/>
    <n v="5000000"/>
    <x v="51"/>
    <s v="Act 2004-040"/>
    <d v="2013-02-11T00:00:00"/>
    <n v="0"/>
    <n v="5000000"/>
  </r>
  <r>
    <s v="0275-00"/>
    <s v="Independence Park Institute"/>
    <n v="1000000"/>
    <x v="51"/>
    <s v="Act 2002-131"/>
    <d v="2002-12-23T00:00:00"/>
    <n v="1000000"/>
    <n v="0"/>
  </r>
  <r>
    <s v="0279-00"/>
    <s v="Project HOME"/>
    <n v="1000000"/>
    <x v="51"/>
    <s v="Act 2002-131"/>
    <d v="2002-12-23T00:00:00"/>
    <n v="1000000"/>
    <n v="0"/>
  </r>
  <r>
    <s v="0279-01"/>
    <s v="Project HOME II"/>
    <n v="575000"/>
    <x v="51"/>
    <s v="Act 2002-131"/>
    <d v="2005-08-24T00:00:00"/>
    <n v="575000"/>
    <n v="0"/>
  </r>
  <r>
    <s v="0287-00"/>
    <s v="Chel/Wayne Development"/>
    <n v="1000000"/>
    <x v="51"/>
    <s v="Act 1999-035"/>
    <d v="2000-07-12T00:00:00"/>
    <n v="975000"/>
    <n v="25000"/>
  </r>
  <r>
    <s v="0299-00"/>
    <s v="Mann Center for the Performing Arts"/>
    <n v="3500000"/>
    <x v="51"/>
    <s v="Act 2000-027"/>
    <d v="2002-11-19T00:00:00"/>
    <n v="3500000"/>
    <n v="0"/>
  </r>
  <r>
    <s v="0299-01"/>
    <s v="Mann Center for the Performing Arts II"/>
    <n v="500000"/>
    <x v="51"/>
    <s v="Act 2004-040"/>
    <d v="2006-02-09T00:00:00"/>
    <n v="500000"/>
    <n v="0"/>
  </r>
  <r>
    <s v="0299-02"/>
    <s v="Mann Center for the Performing Arts III"/>
    <n v="500000"/>
    <x v="51"/>
    <s v="Act 2004-040"/>
    <d v="2006-02-09T00:00:00"/>
    <n v="500000"/>
    <n v="0"/>
  </r>
  <r>
    <s v="0299-03"/>
    <s v="Mann Center for the Performing Arts IV"/>
    <n v="500000"/>
    <x v="51"/>
    <s v="Act 2004-040"/>
    <d v="2006-02-09T00:00:00"/>
    <n v="500000"/>
    <n v="0"/>
  </r>
  <r>
    <s v="0299-04"/>
    <s v="Robinhood Dell East &amp; Mann Music Center II"/>
    <n v="500000"/>
    <x v="51"/>
    <s v="Act 1988-113"/>
    <d v="2006-07-14T00:00:00"/>
    <n v="500000"/>
    <n v="0"/>
  </r>
  <r>
    <s v="0299-05"/>
    <s v="Robin Hood Dell East III"/>
    <n v="3000000"/>
    <x v="51"/>
    <s v="Act 2008-041"/>
    <d v="2009-03-18T00:00:00"/>
    <n v="0"/>
    <n v="3000000"/>
  </r>
  <r>
    <s v="0315-00"/>
    <s v="Holy Family College"/>
    <n v="2500000"/>
    <x v="51"/>
    <s v="Act 2002-131"/>
    <d v="2003-04-11T00:00:00"/>
    <n v="2500000"/>
    <n v="0"/>
  </r>
  <r>
    <s v="0315-01"/>
    <s v="Holy Family College II"/>
    <n v="2500000"/>
    <x v="51"/>
    <s v="Act 2002-131"/>
    <d v="2006-03-15T00:00:00"/>
    <n v="2500000"/>
    <n v="0"/>
  </r>
  <r>
    <s v="0315-02"/>
    <s v="Holy Family University Business School"/>
    <n v="1500000"/>
    <x v="51"/>
    <s v="Act 2004-040"/>
    <d v="2006-05-03T00:00:00"/>
    <n v="400000"/>
    <n v="1100000"/>
  </r>
  <r>
    <s v="0315-03"/>
    <s v="Holy Family College Business School II"/>
    <n v="1300000"/>
    <x v="51"/>
    <s v="Act 2006-083"/>
    <d v="2010-05-27T00:00:00"/>
    <n v="0"/>
    <n v="1300000"/>
  </r>
  <r>
    <s v="0326-00"/>
    <s v="Mt. Airy Commercial Museum"/>
    <n v="1000000"/>
    <x v="51"/>
    <s v="Act 2002-131"/>
    <d v="2004-09-14T00:00:00"/>
    <n v="1000000"/>
    <n v="0"/>
  </r>
  <r>
    <s v="0335-00"/>
    <s v="Simons Recreation Center II"/>
    <n v="2000000"/>
    <x v="51"/>
    <s v="Act 1994- 74"/>
    <d v="2005-02-23T00:00:00"/>
    <n v="0"/>
    <n v="2000000"/>
  </r>
  <r>
    <s v="0363-00"/>
    <s v="Comcast Center-One Pennsylvania Place"/>
    <n v="30000000"/>
    <x v="51"/>
    <s v="Act 2004-040"/>
    <d v="2004-12-01T00:00:00"/>
    <n v="30000000"/>
    <n v="0"/>
  </r>
  <r>
    <s v="0364-00"/>
    <s v="Beech Corporation II-Avenue North"/>
    <n v="2000000"/>
    <x v="51"/>
    <s v="Act 2004-040"/>
    <d v="2004-09-14T00:00:00"/>
    <n v="2000000"/>
    <n v="0"/>
  </r>
  <r>
    <s v="0365-00"/>
    <s v="Heritage Tourism Experience/Once Upon a Nation"/>
    <n v="5000000"/>
    <x v="51"/>
    <s v="Act 2004-040"/>
    <d v="2004-09-14T00:00:00"/>
    <n v="5000000"/>
    <n v="0"/>
  </r>
  <r>
    <s v="0366-00"/>
    <s v="Point Breeze Revitalization-DCS"/>
    <n v="800000"/>
    <x v="51"/>
    <s v="Act 2004-040"/>
    <d v="2004-09-14T00:00:00"/>
    <n v="800000"/>
    <n v="0"/>
  </r>
  <r>
    <s v="0366-01"/>
    <s v="Point Breeze Revitalization II"/>
    <n v="400000"/>
    <x v="51"/>
    <s v="Act 2004-040"/>
    <d v="2006-06-05T00:00:00"/>
    <n v="400000"/>
    <n v="0"/>
  </r>
  <r>
    <s v="0367-00"/>
    <s v="Independence Mall Streetscape"/>
    <n v="6000000"/>
    <x v="51"/>
    <s v="Act 2004-040"/>
    <d v="2004-09-14T00:00:00"/>
    <n v="5850000"/>
    <n v="150000"/>
  </r>
  <r>
    <s v="0368-00"/>
    <s v="Girard Avenue Streetscape"/>
    <n v="1100000"/>
    <x v="51"/>
    <s v="Act 2004-040"/>
    <d v="2004-09-14T00:00:00"/>
    <n v="1100000"/>
    <n v="0"/>
  </r>
  <r>
    <s v="0369-00"/>
    <s v="Penn Teacher Professional Developmnt Ctr/Leadershp"/>
    <n v="2000000"/>
    <x v="51"/>
    <s v="Act 2002-131"/>
    <d v="2004-07-19T00:00:00"/>
    <n v="2000000"/>
    <n v="0"/>
  </r>
  <r>
    <s v="0372-00"/>
    <s v="Arthur Ashe Youth Tennis Center"/>
    <n v="1000000"/>
    <x v="51"/>
    <s v="Act 2002- 40"/>
    <d v="2004-10-13T00:00:00"/>
    <n v="1000000"/>
    <n v="0"/>
  </r>
  <r>
    <s v="0372-01"/>
    <s v="Arthur Ashe Youth Tennis Center"/>
    <n v="500000"/>
    <x v="51"/>
    <s v="Act 2002- 40"/>
    <d v="2004-10-13T00:00:00"/>
    <n v="500000"/>
    <n v="0"/>
  </r>
  <r>
    <s v="0372-02"/>
    <s v="Arthur Ashe Youth Tennis Center"/>
    <n v="500000"/>
    <x v="51"/>
    <s v="Act 2002- 40"/>
    <d v="2004-10-13T00:00:00"/>
    <n v="500000"/>
    <n v="0"/>
  </r>
  <r>
    <s v="0373-00"/>
    <s v="PENN Center for Advanced Medicine"/>
    <n v="10000000"/>
    <x v="51"/>
    <s v="Act 2004-040"/>
    <d v="2004-07-19T00:00:00"/>
    <n v="10000000"/>
    <n v="0"/>
  </r>
  <r>
    <s v="0374-00"/>
    <s v="Mill Creek Development"/>
    <n v="5000000"/>
    <x v="51"/>
    <s v="Act 2004-040"/>
    <d v="2004-12-17T00:00:00"/>
    <n v="5000000"/>
    <n v="0"/>
  </r>
  <r>
    <s v="0374-01"/>
    <s v="Mill Creek Development"/>
    <n v="1000000"/>
    <x v="51"/>
    <s v="Act 2004-040"/>
    <d v="2004-12-17T00:00:00"/>
    <n v="1000000"/>
    <n v="0"/>
  </r>
  <r>
    <s v="0375-00"/>
    <s v="Center For Human Advancement"/>
    <n v="1500000"/>
    <x v="51"/>
    <s v="Act 2000-027"/>
    <d v="2002-12-23T00:00:00"/>
    <n v="1057396"/>
    <n v="442604"/>
  </r>
  <r>
    <s v="0375-01"/>
    <s v="Center For Human Advancement II"/>
    <n v="400000"/>
    <x v="51"/>
    <s v="Act 2008-041"/>
    <d v="2009-02-12T00:00:00"/>
    <n v="0"/>
    <n v="400000"/>
  </r>
  <r>
    <s v="0377-00"/>
    <s v="Philadelphia University"/>
    <n v="5000000"/>
    <x v="51"/>
    <s v="Act 2002-131"/>
    <d v="2002-12-19T00:00:00"/>
    <n v="5000000"/>
    <n v="0"/>
  </r>
  <r>
    <s v="0381-00"/>
    <s v="Philadelphia Theatre Company"/>
    <n v="5000000"/>
    <x v="51"/>
    <s v="Act 2004-040"/>
    <d v="2004-09-14T00:00:00"/>
    <n v="5000000"/>
    <n v="0"/>
  </r>
  <r>
    <s v="0383-00"/>
    <s v="Schuylkill Riverfront Park"/>
    <n v="2620000"/>
    <x v="51"/>
    <s v="Act 2004-040"/>
    <d v="2004-09-14T00:00:00"/>
    <n v="0"/>
    <n v="2620000"/>
  </r>
  <r>
    <s v="0384-00"/>
    <s v="Roxborough YMCA"/>
    <n v="500000"/>
    <x v="51"/>
    <s v="Act 2002-131"/>
    <d v="2005-02-25T00:00:00"/>
    <n v="500000"/>
    <n v="0"/>
  </r>
  <r>
    <s v="0387-00"/>
    <s v="Walnut Street Theatre II"/>
    <n v="0"/>
    <x v="51"/>
    <s v="Act 2002-131"/>
    <d v="2002-11-19T00:00:00"/>
    <n v="0"/>
    <n v="0"/>
  </r>
  <r>
    <s v="0392-00"/>
    <s v="Centro De Oro Business and Cultural District"/>
    <n v="1500000"/>
    <x v="51"/>
    <s v="Act 2002-131"/>
    <d v="2003-04-11T00:00:00"/>
    <n v="1500000"/>
    <n v="0"/>
  </r>
  <r>
    <s v="0392-01"/>
    <s v="Centro De Oro II"/>
    <n v="500000"/>
    <x v="51"/>
    <s v="Act 2000-027"/>
    <d v="2004-09-14T00:00:00"/>
    <n v="195339"/>
    <n v="304661"/>
  </r>
  <r>
    <s v="0393-00"/>
    <s v="Rock School Ballet II"/>
    <n v="1000000"/>
    <x v="51"/>
    <s v="Act 2002-131"/>
    <d v="2005-01-28T00:00:00"/>
    <n v="874802"/>
    <n v="125198"/>
  </r>
  <r>
    <s v="0394-00"/>
    <s v="Children's Hospital of Philadelphia II"/>
    <n v="10000000"/>
    <x v="51"/>
    <s v="Act 2004-040"/>
    <d v="2004-09-14T00:00:00"/>
    <n v="10000000"/>
    <n v="0"/>
  </r>
  <r>
    <s v="0394-01"/>
    <s v="Children's Hospital of Philadelphia III"/>
    <n v="500000"/>
    <x v="51"/>
    <s v="Act 2008-041"/>
    <d v="2008-10-30T00:00:00"/>
    <n v="0"/>
    <n v="500000"/>
  </r>
  <r>
    <s v="0394-02"/>
    <s v="Children's Hospital of Philadelphia IV"/>
    <n v="1000000"/>
    <x v="51"/>
    <s v="Act 2008-041"/>
    <d v="2009-03-18T00:00:00"/>
    <n v="0"/>
    <n v="1000000"/>
  </r>
  <r>
    <s v="0394-03"/>
    <s v="Children's Hospital of Philadelphia V"/>
    <n v="2000000"/>
    <x v="51"/>
    <s v="Act 2008-041"/>
    <d v="2009-05-28T00:00:00"/>
    <n v="0"/>
    <n v="2000000"/>
  </r>
  <r>
    <s v="0394-04"/>
    <s v="Children's Hospital of Philadelphia VI"/>
    <n v="2000000"/>
    <x v="51"/>
    <s v="Act 2008-041"/>
    <d v="2009-06-15T00:00:00"/>
    <n v="0"/>
    <n v="2000000"/>
  </r>
  <r>
    <s v="0394-05"/>
    <s v="Children's Hospital of Philadelphia VII"/>
    <n v="6000000"/>
    <x v="51"/>
    <s v="Act 2008-041"/>
    <d v="2010-08-24T00:00:00"/>
    <n v="0"/>
    <n v="6000000"/>
  </r>
  <r>
    <s v="0394-06"/>
    <s v="Children's Hospital of Philadelphia VIII"/>
    <n v="2000000"/>
    <x v="51"/>
    <s v="Act 2008-041"/>
    <d v="2010-10-25T00:00:00"/>
    <n v="0"/>
    <n v="2000000"/>
  </r>
  <r>
    <s v="0394-07"/>
    <s v="Children's Hospital of Philadelphia IX"/>
    <n v="1200000"/>
    <x v="51"/>
    <s v="Act 2008-041"/>
    <d v="2010-12-20T00:00:00"/>
    <n v="0"/>
    <n v="1200000"/>
  </r>
  <r>
    <s v="0444-00"/>
    <s v="Pleasant Hill Park"/>
    <n v="500000"/>
    <x v="51"/>
    <s v="Act 2004-040"/>
    <d v="2005-03-17T00:00:00"/>
    <n v="500000"/>
    <n v="0"/>
  </r>
  <r>
    <s v="0459-00"/>
    <s v="Nazareth Hospital-Mercy"/>
    <n v="2500000"/>
    <x v="51"/>
    <s v="Act 2004-040"/>
    <d v="2005-01-26T00:00:00"/>
    <n v="2500000"/>
    <n v="0"/>
  </r>
  <r>
    <s v="0463-00"/>
    <s v="Fox Chase Cancer Center"/>
    <n v="10000000"/>
    <x v="51"/>
    <s v="Act 2004-040"/>
    <d v="2004-09-14T00:00:00"/>
    <n v="10000000"/>
    <n v="0"/>
  </r>
  <r>
    <s v="0463-01"/>
    <s v="Fox Chase Cancer Center II"/>
    <n v="2000000"/>
    <x v="51"/>
    <s v="Act 2004-040"/>
    <d v="2009-04-27T00:00:00"/>
    <n v="2000000"/>
    <n v="0"/>
  </r>
  <r>
    <s v="0463-02"/>
    <s v="Fox Chase Cancer Center III"/>
    <n v="1000000"/>
    <x v="51"/>
    <s v="Act 2004-040"/>
    <d v="2010-11-05T00:00:00"/>
    <n v="1000000"/>
    <n v="0"/>
  </r>
  <r>
    <s v="0463-03"/>
    <s v="Fox Chase Cancer Center IV"/>
    <n v="7000000"/>
    <x v="51"/>
    <s v="Act 2004-040"/>
    <d v="2010-11-05T00:00:00"/>
    <n v="7000000"/>
    <n v="0"/>
  </r>
  <r>
    <s v="0471-00"/>
    <s v="Impact Services"/>
    <n v="500000"/>
    <x v="51"/>
    <s v="Act 2004-040"/>
    <d v="2005-09-06T00:00:00"/>
    <n v="500000"/>
    <n v="0"/>
  </r>
  <r>
    <s v="0473-00"/>
    <s v="Maria Santo Clinic"/>
    <n v="1000000"/>
    <x v="51"/>
    <s v="Act 2002-131"/>
    <d v="2006-01-30T00:00:00"/>
    <n v="1000000"/>
    <n v="0"/>
  </r>
  <r>
    <s v="0473-01"/>
    <s v="Maria de los Santos Health Center II"/>
    <n v="1000000"/>
    <x v="51"/>
    <s v="Act 2006-083"/>
    <d v="2009-02-12T00:00:00"/>
    <n v="1000000"/>
    <n v="0"/>
  </r>
  <r>
    <s v="0475-00"/>
    <s v="City Wide Youth Mini Mall"/>
    <n v="0"/>
    <x v="51"/>
    <s v="Act 2002-131"/>
    <d v="2006-03-15T00:00:00"/>
    <n v="0"/>
    <n v="0"/>
  </r>
  <r>
    <s v="0481-00"/>
    <s v="Lutheran Theological Seminary"/>
    <n v="500000"/>
    <x v="51"/>
    <s v="Act 2004-040"/>
    <d v="2006-03-09T00:00:00"/>
    <n v="500000"/>
    <n v="0"/>
  </r>
  <r>
    <s v="0481-01"/>
    <s v="Lutheran Theological Seminary II"/>
    <n v="500000"/>
    <x v="51"/>
    <s v="Act 2004-040"/>
    <d v="2006-05-04T00:00:00"/>
    <n v="500000"/>
    <n v="0"/>
  </r>
  <r>
    <s v="0481-02"/>
    <s v="Lutheran Theological Seminary III"/>
    <n v="500000"/>
    <x v="51"/>
    <s v="Act 2004-040"/>
    <d v="2006-08-15T00:00:00"/>
    <n v="500000"/>
    <n v="0"/>
  </r>
  <r>
    <s v="0481-03"/>
    <s v="Lutheran Theological Seminary IV"/>
    <n v="500000"/>
    <x v="51"/>
    <s v="Act 2004-040"/>
    <d v="2006-09-25T00:00:00"/>
    <n v="500000"/>
    <n v="0"/>
  </r>
  <r>
    <s v="0481-04"/>
    <s v="Lutheran Theological Seminary V"/>
    <n v="500000"/>
    <x v="51"/>
    <s v="Act 2004-040"/>
    <d v="2008-09-26T00:00:00"/>
    <n v="500000"/>
    <n v="0"/>
  </r>
  <r>
    <s v="0481-05"/>
    <s v="Lutheran Theological Seminary VI"/>
    <n v="500000"/>
    <x v="51"/>
    <s v="Act 2004-040"/>
    <d v="2010-11-18T00:00:00"/>
    <n v="500000"/>
    <n v="0"/>
  </r>
  <r>
    <s v="0481-06"/>
    <s v="Lutheran Theological Seminary VII"/>
    <n v="250000"/>
    <x v="51"/>
    <s v="Act 2004-040"/>
    <d v="2010-11-22T00:00:00"/>
    <n v="250000"/>
    <n v="0"/>
  </r>
  <r>
    <s v="0481-07"/>
    <s v="Lutheran Theological Seminary VIII"/>
    <n v="250000"/>
    <x v="51"/>
    <s v="Act 2004-040"/>
    <d v="2011-01-03T00:00:00"/>
    <n v="250000"/>
    <n v="0"/>
  </r>
  <r>
    <s v="0481-08"/>
    <s v="Lutheran Theological Seminary IX"/>
    <n v="250000"/>
    <x v="51"/>
    <s v="Act 2004-040"/>
    <d v="2011-01-10T00:00:00"/>
    <n v="250000"/>
    <n v="0"/>
  </r>
  <r>
    <s v="0482-00"/>
    <s v="Sound Stage-Phila Naval Business Center"/>
    <n v="750000"/>
    <x v="51"/>
    <s v="Act 2004-040"/>
    <d v="2004-09-14T00:00:00"/>
    <n v="750000"/>
    <n v="0"/>
  </r>
  <r>
    <s v="0491-00"/>
    <s v="Allens Lane Art Center Facility Development"/>
    <n v="1000000"/>
    <x v="51"/>
    <s v="Act 2004-040"/>
    <d v="2006-07-18T00:00:00"/>
    <n v="1000000"/>
    <n v="0"/>
  </r>
  <r>
    <s v="0491-01"/>
    <s v="Allens Lane Art Center II"/>
    <n v="250000"/>
    <x v="51"/>
    <s v="Act 2006-152"/>
    <d v="2007-03-08T00:00:00"/>
    <n v="250000"/>
    <n v="0"/>
  </r>
  <r>
    <s v="0495-00"/>
    <s v="Northern Home"/>
    <n v="500000"/>
    <x v="51"/>
    <s v="Act 2002-131"/>
    <d v="2006-05-19T00:00:00"/>
    <n v="500000"/>
    <n v="0"/>
  </r>
  <r>
    <s v="0495-01"/>
    <s v="Northern Home II"/>
    <n v="500000"/>
    <x v="51"/>
    <s v="Act 2002-131"/>
    <d v="2006-07-07T00:00:00"/>
    <n v="500000"/>
    <n v="0"/>
  </r>
  <r>
    <s v="0496-00"/>
    <s v="Old Met Retail &amp; Commercial Center"/>
    <n v="500000"/>
    <x v="51"/>
    <s v="Act 2004-040"/>
    <d v="2006-05-04T00:00:00"/>
    <n v="0"/>
    <n v="500000"/>
  </r>
  <r>
    <s v="0496-01"/>
    <s v="Old Met Retail &amp; Commercial Center II"/>
    <n v="500000"/>
    <x v="51"/>
    <s v="Act 2004-040"/>
    <d v="2006-06-09T00:00:00"/>
    <n v="0"/>
    <n v="500000"/>
  </r>
  <r>
    <s v="0496-02"/>
    <s v="Old Met Retail and Commercial Center III"/>
    <n v="500000"/>
    <x v="51"/>
    <s v="Act 2004-040"/>
    <d v="2007-02-05T00:00:00"/>
    <n v="0"/>
    <n v="500000"/>
  </r>
  <r>
    <s v="0497-00"/>
    <s v="St. Agnes Hospital Conversion"/>
    <n v="3000000"/>
    <x v="51"/>
    <s v="Act 2004-040"/>
    <d v="2006-03-15T00:00:00"/>
    <n v="2802377"/>
    <n v="197623"/>
  </r>
  <r>
    <s v="0499-00"/>
    <s v="Progress Plaza I"/>
    <n v="1000000"/>
    <x v="51"/>
    <s v="Act 2004-040"/>
    <d v="2006-03-30T00:00:00"/>
    <n v="1000000"/>
    <n v="0"/>
  </r>
  <r>
    <s v="0499-01"/>
    <s v="Progress Plaza II"/>
    <n v="1000000"/>
    <x v="51"/>
    <s v="Act 2004-040"/>
    <d v="2006-03-30T00:00:00"/>
    <n v="1000000"/>
    <n v="0"/>
  </r>
  <r>
    <s v="0499-02"/>
    <s v="Progress Plaza III (Phase 2)"/>
    <n v="3000000"/>
    <x v="51"/>
    <s v="Act 2004-040"/>
    <d v="2006-04-05T00:00:00"/>
    <n v="3000000"/>
    <n v="0"/>
  </r>
  <r>
    <s v="0499-03"/>
    <s v="Progress Plaza IV (Phase 1)"/>
    <n v="750000"/>
    <x v="51"/>
    <s v="Act 1992-188"/>
    <d v="2009-05-28T00:00:00"/>
    <n v="750000"/>
    <n v="0"/>
  </r>
  <r>
    <s v="0499-04"/>
    <s v="Progress Trust-Fresh Grocer V"/>
    <n v="200000"/>
    <x v="51"/>
    <s v="Act 1992-188"/>
    <d v="2009-08-31T00:00:00"/>
    <n v="200000"/>
    <n v="0"/>
  </r>
  <r>
    <s v="0499-05"/>
    <s v="Progress Trust Fresh Grocer IV"/>
    <n v="500000"/>
    <x v="51"/>
    <s v="Act 1992-188"/>
    <d v="2010-03-10T00:00:00"/>
    <n v="500000"/>
    <n v="0"/>
  </r>
  <r>
    <s v="0500-00"/>
    <s v="Philadelphia University Ctr for Community Fitness"/>
    <n v="500000"/>
    <x v="51"/>
    <s v="Act 2004-040"/>
    <d v="2006-05-03T00:00:00"/>
    <n v="500000"/>
    <n v="0"/>
  </r>
  <r>
    <s v="0500-01"/>
    <s v="Philadelphia University Ctr for Comm Fitness II"/>
    <n v="1000000"/>
    <x v="51"/>
    <s v="Act 2004-040"/>
    <d v="2007-04-23T00:00:00"/>
    <n v="1000000"/>
    <n v="0"/>
  </r>
  <r>
    <s v="0508-00"/>
    <s v="Mural Arts Center"/>
    <n v="500000"/>
    <x v="51"/>
    <s v="Act 2002-131"/>
    <d v="2005-11-23T00:00:00"/>
    <n v="500000"/>
    <n v="0"/>
  </r>
  <r>
    <s v="0517-00"/>
    <s v="Jewish History Museum"/>
    <n v="2000000"/>
    <x v="51"/>
    <s v="Act 2002-131"/>
    <d v="2002-11-19T00:00:00"/>
    <n v="2000000"/>
    <n v="0"/>
  </r>
  <r>
    <s v="0517-01"/>
    <s v="Jewish History Museum II"/>
    <n v="5000000"/>
    <x v="51"/>
    <s v="Act 2004-040"/>
    <d v="2004-09-14T00:00:00"/>
    <n v="5000000"/>
    <n v="0"/>
  </r>
  <r>
    <s v="0517-02"/>
    <s v="National Museum of Jewish History III"/>
    <n v="10000000"/>
    <x v="51"/>
    <s v="Act 2004-040"/>
    <d v="2009-02-12T00:00:00"/>
    <n v="10000000"/>
    <n v="0"/>
  </r>
  <r>
    <s v="0517-03"/>
    <s v="National Museum of Jewish History IV"/>
    <n v="2000000"/>
    <x v="51"/>
    <s v="Act 2004-040"/>
    <d v="2010-09-10T00:00:00"/>
    <n v="2000000"/>
    <n v="0"/>
  </r>
  <r>
    <s v="0517-04"/>
    <s v="National Museum of Jewish History V"/>
    <n v="2000000"/>
    <x v="51"/>
    <s v="Act 2004-040"/>
    <d v="2010-11-17T00:00:00"/>
    <n v="2000000"/>
    <n v="0"/>
  </r>
  <r>
    <s v="0524-00"/>
    <s v="Automobile Education Center, Museum and Archive"/>
    <n v="2000000"/>
    <x v="51"/>
    <s v="Act 2006-083"/>
    <d v="2006-07-14T00:00:00"/>
    <n v="2000000"/>
    <n v="0"/>
  </r>
  <r>
    <s v="0525-00"/>
    <s v="Jewish Employment and Vocational Services"/>
    <n v="300000"/>
    <x v="51"/>
    <s v="Act 2002-131"/>
    <d v="2006-05-04T00:00:00"/>
    <n v="300000"/>
    <n v="0"/>
  </r>
  <r>
    <s v="0525-01"/>
    <s v="Jewish Employment and Vocational Services II"/>
    <n v="300000"/>
    <x v="51"/>
    <s v="Act 2002-131"/>
    <d v="2006-05-04T00:00:00"/>
    <n v="300000"/>
    <n v="0"/>
  </r>
  <r>
    <s v="0541-00"/>
    <s v="Germantown YWCA Rehabilitation"/>
    <n v="0"/>
    <x v="51"/>
    <s v="Act 2004-040"/>
    <d v="2006-03-30T00:00:00"/>
    <n v="0"/>
    <n v="0"/>
  </r>
  <r>
    <s v="0542-00"/>
    <s v="North Philadelphia Health System"/>
    <n v="500000"/>
    <x v="51"/>
    <s v="Act 2004-040"/>
    <d v="2006-03-09T00:00:00"/>
    <n v="500000"/>
    <n v="0"/>
  </r>
  <r>
    <s v="0542-01"/>
    <s v="North Philadelphia Health System II"/>
    <n v="500000"/>
    <x v="51"/>
    <s v="Act 2004-040"/>
    <d v="2006-03-09T00:00:00"/>
    <n v="500000"/>
    <n v="0"/>
  </r>
  <r>
    <s v="0542-02"/>
    <s v="North Philadelphia Health System III"/>
    <n v="500000"/>
    <x v="51"/>
    <s v="Act 2004-040"/>
    <d v="2006-12-11T00:00:00"/>
    <n v="500000"/>
    <n v="0"/>
  </r>
  <r>
    <s v="0543-00"/>
    <s v="Jefferson Hospital for Neuroscience"/>
    <n v="500000"/>
    <x v="51"/>
    <s v="Act 2002-131"/>
    <d v="2006-08-15T00:00:00"/>
    <n v="500000"/>
    <n v="0"/>
  </r>
  <r>
    <s v="0543-01"/>
    <s v="Jefferson Hospital for Neuroscience II"/>
    <n v="500000"/>
    <x v="51"/>
    <s v="Act 2002-131"/>
    <d v="2006-08-15T00:00:00"/>
    <n v="500000"/>
    <n v="0"/>
  </r>
  <r>
    <s v="0543-02"/>
    <s v="Jefferson Hospital for Neuroscience III"/>
    <n v="500000"/>
    <x v="51"/>
    <s v="Act 2002-131"/>
    <d v="2006-08-15T00:00:00"/>
    <n v="500000"/>
    <n v="0"/>
  </r>
  <r>
    <s v="0543-03"/>
    <s v="Thomas Jefferson Hospital-Wills Eye"/>
    <n v="1500000"/>
    <x v="51"/>
    <s v="Act 2002-131"/>
    <d v="2009-03-09T00:00:00"/>
    <n v="1500000"/>
    <n v="0"/>
  </r>
  <r>
    <s v="0544-00"/>
    <s v="Smith Memorial Playground Renovation &amp; Restoration"/>
    <n v="500000"/>
    <x v="51"/>
    <s v="Act 2006-083"/>
    <d v="2006-12-11T00:00:00"/>
    <n v="500000"/>
    <n v="0"/>
  </r>
  <r>
    <s v="0544-01"/>
    <s v="Smith Memorial Playground II"/>
    <n v="1000000"/>
    <x v="51"/>
    <s v="Act 2008-041"/>
    <d v="2010-02-23T00:00:00"/>
    <n v="1000000"/>
    <n v="0"/>
  </r>
  <r>
    <s v="0546-00"/>
    <s v="Roosevelt Boulevard Redevelopment/Frederick"/>
    <n v="1400000"/>
    <x v="51"/>
    <s v="Act 2006-083"/>
    <d v="2006-09-25T00:00:00"/>
    <n v="1400000"/>
    <n v="0"/>
  </r>
  <r>
    <s v="0548-00"/>
    <s v="Nueva Esperanza II"/>
    <n v="2359267"/>
    <x v="51"/>
    <s v="Act 2004-040"/>
    <d v="2006-10-31T00:00:00"/>
    <n v="2359267"/>
    <n v="0"/>
  </r>
  <r>
    <s v="0548-01"/>
    <s v="Nueva Esperanza III"/>
    <n v="500000"/>
    <x v="51"/>
    <s v="Act 2004-040"/>
    <d v="2007-03-27T00:00:00"/>
    <n v="297221"/>
    <n v="202779"/>
  </r>
  <r>
    <s v="0548-02"/>
    <s v="Nueva Esperanza IV"/>
    <n v="1000000"/>
    <x v="51"/>
    <s v="Act 2008-041"/>
    <d v="2009-04-27T00:00:00"/>
    <n v="0"/>
    <n v="1000000"/>
  </r>
  <r>
    <s v="0548-03"/>
    <s v="Nueva Esperanza V"/>
    <n v="1000000"/>
    <x v="51"/>
    <s v="Act 2002-131"/>
    <d v="2009-05-28T00:00:00"/>
    <n v="0"/>
    <n v="1000000"/>
  </r>
  <r>
    <s v="0548-04"/>
    <s v="Nueva Esperanza VI"/>
    <n v="750000"/>
    <x v="51"/>
    <s v="Act 2002-131"/>
    <d v="2010-02-04T00:00:00"/>
    <n v="0"/>
    <n v="750000"/>
  </r>
  <r>
    <s v="0548-05"/>
    <s v="Nueva Esperanza VII"/>
    <n v="1670000"/>
    <x v="51"/>
    <s v="Act 2002-131"/>
    <d v="2010-08-17T00:00:00"/>
    <n v="0"/>
    <n v="1670000"/>
  </r>
  <r>
    <s v="0548-06"/>
    <s v="Esperanza Campus VIII"/>
    <n v="2000000"/>
    <x v="51"/>
    <s v="Act 2008-041"/>
    <d v="2009-02-12T00:00:00"/>
    <n v="0"/>
    <n v="2000000"/>
  </r>
  <r>
    <s v="0548-07"/>
    <s v="Nueva Esperanza IX"/>
    <n v="2000000"/>
    <x v="51"/>
    <s v="Act 1997- 47"/>
    <m/>
    <n v="0"/>
    <n v="2000000"/>
  </r>
  <r>
    <s v="0553-00"/>
    <s v="Pilgrim Gardens"/>
    <n v="0"/>
    <x v="51"/>
    <s v="Act 2004-040"/>
    <d v="2006-09-14T00:00:00"/>
    <n v="0"/>
    <n v="0"/>
  </r>
  <r>
    <s v="0557-00"/>
    <s v="Woodlands Botanical Gardens"/>
    <n v="1000000"/>
    <x v="51"/>
    <s v="Act 2002-131"/>
    <d v="2006-05-15T00:00:00"/>
    <n v="0"/>
    <n v="1000000"/>
  </r>
  <r>
    <s v="0561-00"/>
    <s v="LaSalle University Science and Technology Center"/>
    <n v="1000000"/>
    <x v="51"/>
    <s v="Act 2004-040"/>
    <d v="2005-10-27T00:00:00"/>
    <n v="1000000"/>
    <n v="0"/>
  </r>
  <r>
    <s v="0561-01"/>
    <s v="LaSalle University Science and Technology Cent II"/>
    <n v="1000000"/>
    <x v="51"/>
    <s v="Act 2004-040"/>
    <d v="2006-05-19T00:00:00"/>
    <n v="1000000"/>
    <n v="0"/>
  </r>
  <r>
    <s v="0561-02"/>
    <s v="LaSalle University Science and Technology Cen III"/>
    <n v="1000000"/>
    <x v="51"/>
    <s v="Act 2004-040"/>
    <d v="2006-06-05T00:00:00"/>
    <n v="1000000"/>
    <n v="0"/>
  </r>
  <r>
    <s v="0563-00"/>
    <s v="MANNA Kitchen Renovations"/>
    <n v="500000"/>
    <x v="51"/>
    <s v="Act 2006-083"/>
    <d v="2007-03-27T00:00:00"/>
    <n v="500000"/>
    <n v="0"/>
  </r>
  <r>
    <s v="0569-00"/>
    <s v="Robinhood Dell East"/>
    <n v="0"/>
    <x v="51"/>
    <s v="Act 1988-113"/>
    <d v="2006-03-30T00:00:00"/>
    <n v="0"/>
    <n v="0"/>
  </r>
  <r>
    <s v="0570-00"/>
    <s v="Chestnut Hill College Student Center"/>
    <n v="1500000"/>
    <x v="51"/>
    <s v="Act 2006-083"/>
    <d v="2006-09-14T00:00:00"/>
    <n v="1500000"/>
    <n v="0"/>
  </r>
  <r>
    <s v="0570-01"/>
    <s v="Chestnut Hill College Student Center II"/>
    <n v="1000000"/>
    <x v="51"/>
    <s v="Act 2006-083"/>
    <d v="2009-02-12T00:00:00"/>
    <n v="1000000"/>
    <n v="0"/>
  </r>
  <r>
    <s v="0570-02"/>
    <s v="Chestnut Hill College Student Center III"/>
    <n v="1500000"/>
    <x v="51"/>
    <s v="Act 2006-083"/>
    <d v="2010-08-17T00:00:00"/>
    <n v="1500000"/>
    <n v="0"/>
  </r>
  <r>
    <s v="0570-03"/>
    <s v="Chestnut Hill College Elevator Renovations"/>
    <n v="500000"/>
    <x v="51"/>
    <s v="Act 2010-082"/>
    <d v="2010-12-20T00:00:00"/>
    <n v="0"/>
    <n v="500000"/>
  </r>
  <r>
    <s v="0582-00"/>
    <s v="Lancaster Avenue Revitalization"/>
    <n v="500000"/>
    <x v="51"/>
    <s v="Act 1994- 74"/>
    <d v="2006-04-28T00:00:00"/>
    <n v="500000"/>
    <n v="0"/>
  </r>
  <r>
    <s v="0582-01"/>
    <s v="Lancaster Avenue Revitalization II"/>
    <n v="1000000"/>
    <x v="51"/>
    <s v="Act 1994- 74"/>
    <d v="2006-04-28T00:00:00"/>
    <n v="829421"/>
    <n v="170579"/>
  </r>
  <r>
    <s v="0600-00"/>
    <s v="ASPIRA Building"/>
    <n v="2500000"/>
    <x v="51"/>
    <s v="Act 2006-083"/>
    <d v="2007-08-31T00:00:00"/>
    <n v="2500000"/>
    <n v="0"/>
  </r>
  <r>
    <s v="0600-01"/>
    <s v="ASPIRA II"/>
    <n v="5000000"/>
    <x v="51"/>
    <s v="Act 2010-047"/>
    <d v="2010-08-17T00:00:00"/>
    <n v="0"/>
    <n v="5000000"/>
  </r>
  <r>
    <s v="0607-00"/>
    <s v="IATSE Local #8 Training Center-Philadelphia"/>
    <n v="500000"/>
    <x v="51"/>
    <s v="Act 2006-083"/>
    <d v="2006-12-11T00:00:00"/>
    <n v="500000"/>
    <n v="0"/>
  </r>
  <r>
    <s v="0607-01"/>
    <s v="IATSE Local # 8 Training Center II-Philadelphia"/>
    <n v="1000000"/>
    <x v="51"/>
    <s v="Act 2006-083"/>
    <d v="2007-07-03T00:00:00"/>
    <n v="1000000"/>
    <n v="0"/>
  </r>
  <r>
    <s v="0607-02"/>
    <s v="IATSE Local #8 Training Center III-Philadelphia"/>
    <n v="1000000"/>
    <x v="51"/>
    <s v="Act 2006-083"/>
    <d v="2007-07-03T00:00:00"/>
    <n v="1000000"/>
    <n v="0"/>
  </r>
  <r>
    <s v="0610-00"/>
    <s v="Shoppes at LaSalle"/>
    <n v="2000000"/>
    <x v="51"/>
    <s v="Act 1992-188"/>
    <d v="2007-05-02T00:00:00"/>
    <n v="2000000"/>
    <n v="0"/>
  </r>
  <r>
    <s v="0612-00"/>
    <s v="Family Practice and Counseling Network"/>
    <n v="250000"/>
    <x v="51"/>
    <s v="Act 2004-040"/>
    <d v="2005-11-21T00:00:00"/>
    <n v="250000"/>
    <n v="0"/>
  </r>
  <r>
    <s v="0614-00"/>
    <s v="Morris Arboretum"/>
    <n v="4650000"/>
    <x v="51"/>
    <s v="Act 2002-131"/>
    <d v="2006-05-15T00:00:00"/>
    <n v="4650000"/>
    <n v="0"/>
  </r>
  <r>
    <s v="0616-00"/>
    <s v="Salvation Army-Philadelphia"/>
    <n v="1000000"/>
    <x v="51"/>
    <s v="Act 2006-083"/>
    <d v="2007-06-15T00:00:00"/>
    <n v="1000000"/>
    <n v="0"/>
  </r>
  <r>
    <s v="0616-01"/>
    <s v="Salvation Army-Philadelphia II"/>
    <n v="500000"/>
    <x v="51"/>
    <s v="Act 2006-083"/>
    <d v="2007-11-28T00:00:00"/>
    <n v="500000"/>
    <n v="0"/>
  </r>
  <r>
    <s v="0616-02"/>
    <s v="Salvation Army-Philadelphia III"/>
    <n v="3000000"/>
    <x v="51"/>
    <s v="Act 2006-083"/>
    <d v="2008-11-20T00:00:00"/>
    <n v="3000000"/>
    <n v="0"/>
  </r>
  <r>
    <s v="0616-03"/>
    <s v="Salvation Army-Philadelphia IV"/>
    <n v="450000"/>
    <x v="51"/>
    <s v="Act 2006-083"/>
    <d v="2008-11-20T00:00:00"/>
    <n v="450000"/>
    <n v="0"/>
  </r>
  <r>
    <s v="0616-04"/>
    <s v="Salvation Army Philadelphia V"/>
    <n v="1000000"/>
    <x v="51"/>
    <s v="Act 2008-041"/>
    <d v="2010-08-17T00:00:00"/>
    <n v="1000000"/>
    <n v="0"/>
  </r>
  <r>
    <s v="0616-05"/>
    <s v="Salvation Army-Philadelphia VI"/>
    <n v="200000"/>
    <x v="51"/>
    <s v="Act 2006-083"/>
    <d v="2010-11-22T00:00:00"/>
    <n v="46250"/>
    <n v="153750"/>
  </r>
  <r>
    <s v="0623-00"/>
    <s v="Brandywine Workshop Plaza"/>
    <n v="250000"/>
    <x v="51"/>
    <s v="Act 2006-083"/>
    <d v="2007-06-13T00:00:00"/>
    <n v="250000"/>
    <n v="0"/>
  </r>
  <r>
    <s v="0626-00"/>
    <s v="Science Center-Philadelphia"/>
    <n v="2200000"/>
    <x v="51"/>
    <s v="Act 2006-083"/>
    <d v="2006-12-11T00:00:00"/>
    <n v="2200000"/>
    <n v="0"/>
  </r>
  <r>
    <s v="0626-01"/>
    <s v="University City Science Center"/>
    <n v="500000"/>
    <x v="51"/>
    <s v="Act 2004-040"/>
    <d v="2010-09-15T00:00:00"/>
    <n v="500000"/>
    <n v="0"/>
  </r>
  <r>
    <s v="0626-02"/>
    <s v="University City Science Center II"/>
    <n v="300000"/>
    <x v="51"/>
    <s v="Act 2004-040"/>
    <d v="2010-10-12T00:00:00"/>
    <n v="300000"/>
    <n v="0"/>
  </r>
  <r>
    <s v="0626-03"/>
    <s v="Sbarro Health Research Organization II"/>
    <n v="1000000"/>
    <x v="51"/>
    <s v="Act 2008-041"/>
    <d v="2010-12-08T00:00:00"/>
    <n v="185109"/>
    <n v="814891"/>
  </r>
  <r>
    <s v="0626-04"/>
    <s v="3737 Market Street"/>
    <n v="5000000"/>
    <x v="51"/>
    <s v="Act 2010-082"/>
    <d v="2013-02-11T00:00:00"/>
    <n v="0"/>
    <n v="5000000"/>
  </r>
  <r>
    <s v="0627-00"/>
    <s v="Lenfest Youth Recreation Center"/>
    <n v="1000000"/>
    <x v="51"/>
    <s v="Act 2006-083"/>
    <d v="2007-05-11T00:00:00"/>
    <n v="1000000"/>
    <n v="0"/>
  </r>
  <r>
    <s v="0627-01"/>
    <s v="Lenfest Recreation Center II"/>
    <n v="2000000"/>
    <x v="51"/>
    <s v="Act 2006-083"/>
    <d v="2009-02-12T00:00:00"/>
    <n v="2000000"/>
    <n v="0"/>
  </r>
  <r>
    <s v="0628-00"/>
    <s v="Shoppes at LaSalle University II-Fresh Grocer"/>
    <n v="2000000"/>
    <x v="51"/>
    <s v="Act 1992-188"/>
    <d v="2007-06-05T00:00:00"/>
    <n v="2000000"/>
    <n v="0"/>
  </r>
  <r>
    <s v="0628-01"/>
    <s v="Fresh Grocer"/>
    <n v="1000000"/>
    <x v="51"/>
    <s v="Act 1992-188"/>
    <d v="2008-09-11T00:00:00"/>
    <n v="1000000"/>
    <n v="0"/>
  </r>
  <r>
    <s v="0629-00"/>
    <s v="Liddonfield Redevelopment"/>
    <n v="2000000"/>
    <x v="51"/>
    <s v="Act 2004-040"/>
    <d v="2006-07-07T00:00:00"/>
    <n v="2000000"/>
    <n v="0"/>
  </r>
  <r>
    <s v="0629-01"/>
    <s v="Liddonfield Redevelopment II"/>
    <n v="1000000"/>
    <x v="51"/>
    <s v="Act 2004-040"/>
    <d v="2006-07-07T00:00:00"/>
    <n v="1000000"/>
    <n v="0"/>
  </r>
  <r>
    <s v="0629-02"/>
    <s v="Liddonfield Redevelopment III"/>
    <n v="500000"/>
    <x v="51"/>
    <s v="Act 2004-040"/>
    <d v="2006-07-07T00:00:00"/>
    <n v="500000"/>
    <n v="0"/>
  </r>
  <r>
    <s v="0643-00"/>
    <s v="Spring Garden Area Improvement Project"/>
    <n v="2000000"/>
    <x v="51"/>
    <s v="Act 2004-040"/>
    <d v="2006-10-18T00:00:00"/>
    <n v="2000000"/>
    <n v="0"/>
  </r>
  <r>
    <s v="0644-00"/>
    <s v="Barnes Museum"/>
    <n v="25000000"/>
    <x v="51"/>
    <s v="Act 2002-131"/>
    <d v="2006-05-15T00:00:00"/>
    <n v="25000000"/>
    <n v="0"/>
  </r>
  <r>
    <s v="0644-01"/>
    <s v="Barnes Museum II"/>
    <n v="5000000"/>
    <x v="51"/>
    <s v="Act 2002-131"/>
    <d v="2008-10-14T00:00:00"/>
    <n v="5000000"/>
    <n v="0"/>
  </r>
  <r>
    <s v="0644-02"/>
    <s v="Barnes Museum III"/>
    <n v="2000000"/>
    <x v="51"/>
    <s v="Act 2002-131"/>
    <d v="2010-02-23T00:00:00"/>
    <n v="2000000"/>
    <n v="0"/>
  </r>
  <r>
    <s v="0644-03"/>
    <s v="Barnes Museum IV"/>
    <n v="2000000"/>
    <x v="51"/>
    <s v="Act 2002-131"/>
    <d v="2010-05-27T00:00:00"/>
    <n v="2000000"/>
    <n v="0"/>
  </r>
  <r>
    <s v="0644-04"/>
    <s v="Barnes Museum V"/>
    <n v="2000000"/>
    <x v="51"/>
    <s v="Act 2002-131"/>
    <d v="2010-07-15T00:00:00"/>
    <n v="2000000"/>
    <n v="0"/>
  </r>
  <r>
    <s v="0644-05"/>
    <s v="Barnes Museum VI"/>
    <n v="1000000"/>
    <x v="51"/>
    <s v="Act 2002-131"/>
    <d v="2010-11-17T00:00:00"/>
    <n v="1000000"/>
    <n v="0"/>
  </r>
  <r>
    <s v="0644-06"/>
    <s v="Barnes Museum VII"/>
    <n v="10000000"/>
    <x v="51"/>
    <s v="Act 2002-131"/>
    <d v="2010-11-17T00:00:00"/>
    <n v="9501000"/>
    <n v="499000"/>
  </r>
  <r>
    <s v="0644-07"/>
    <s v="Barnes Museum VII"/>
    <n v="450000"/>
    <x v="51"/>
    <s v="Act 2002-131"/>
    <d v="2011-01-03T00:00:00"/>
    <n v="0"/>
    <n v="450000"/>
  </r>
  <r>
    <s v="0655-00"/>
    <s v="Cancer Treatment Centers of America"/>
    <n v="1500000"/>
    <x v="51"/>
    <s v="Act 2004-040"/>
    <d v="2005-09-06T00:00:00"/>
    <n v="0"/>
    <n v="1500000"/>
  </r>
  <r>
    <s v="0656-00"/>
    <s v="Lutheran Settlement House"/>
    <n v="500000"/>
    <x v="51"/>
    <s v="Act 2004-040"/>
    <d v="2006-06-05T00:00:00"/>
    <n v="0"/>
    <n v="500000"/>
  </r>
  <r>
    <s v="0666-00"/>
    <s v="Biberman Building Redevelopment"/>
    <n v="1000000"/>
    <x v="51"/>
    <s v="Act 1992-188"/>
    <d v="2007-11-08T00:00:00"/>
    <n v="1000000"/>
    <n v="0"/>
  </r>
  <r>
    <s v="0666-01"/>
    <s v="Biberman Building Renovation II"/>
    <n v="1000000"/>
    <x v="51"/>
    <s v="Act 1992-188"/>
    <d v="2009-10-14T00:00:00"/>
    <n v="1000000"/>
    <n v="0"/>
  </r>
  <r>
    <s v="0668-00"/>
    <s v="Sbarro Health Research Organization"/>
    <n v="1500000"/>
    <x v="51"/>
    <s v="Act 2006-083"/>
    <d v="2006-12-11T00:00:00"/>
    <n v="1263909"/>
    <n v="236091"/>
  </r>
  <r>
    <s v="0670-00"/>
    <s v="Worshipful Prince Hall Grand Lodge of PA"/>
    <n v="500000"/>
    <x v="51"/>
    <s v="Act 2006-083"/>
    <d v="2007-03-21T00:00:00"/>
    <n v="500000"/>
    <n v="0"/>
  </r>
  <r>
    <s v="0672-00"/>
    <s v="Temple University Hospital-Episcopal Campus"/>
    <n v="1000000"/>
    <x v="51"/>
    <s v="Act 2006-083"/>
    <d v="2007-06-13T00:00:00"/>
    <n v="1000000"/>
    <n v="0"/>
  </r>
  <r>
    <s v="0672-01"/>
    <s v="Temple University Hospital"/>
    <n v="1500000"/>
    <x v="51"/>
    <s v="Act 2004-040"/>
    <d v="2010-09-15T00:00:00"/>
    <n v="1500000"/>
    <n v="0"/>
  </r>
  <r>
    <s v="0672-02"/>
    <s v="Temple University Hospital II"/>
    <n v="1000000"/>
    <x v="51"/>
    <s v="Act 2004-040"/>
    <d v="2010-10-12T00:00:00"/>
    <n v="1000000"/>
    <n v="0"/>
  </r>
  <r>
    <s v="0672-03"/>
    <s v="Temple University Hospital III"/>
    <n v="1000000"/>
    <x v="51"/>
    <s v="Act 2010-082"/>
    <d v="2010-11-18T00:00:00"/>
    <n v="490248"/>
    <n v="509752"/>
  </r>
  <r>
    <s v="0672-04"/>
    <s v="Temple University Hospital IV"/>
    <n v="1000000"/>
    <x v="51"/>
    <s v="Act 2010-082"/>
    <d v="2010-12-20T00:00:00"/>
    <n v="0"/>
    <n v="1000000"/>
  </r>
  <r>
    <s v="0672-05"/>
    <s v="Temple University Hospital V"/>
    <n v="500000"/>
    <x v="51"/>
    <s v="Act 2010-082"/>
    <d v="2011-01-03T00:00:00"/>
    <n v="0"/>
    <n v="500000"/>
  </r>
  <r>
    <s v="0675-00"/>
    <s v="Magee Rehabilitation Hospital-Philadelphia"/>
    <n v="1000000"/>
    <x v="51"/>
    <s v="Act 2006-083"/>
    <d v="2007-07-14T00:00:00"/>
    <n v="968460"/>
    <n v="31540"/>
  </r>
  <r>
    <s v="0675-01"/>
    <s v="Magee Rehabilitation Hospital-Philadelphia II"/>
    <n v="500000"/>
    <x v="51"/>
    <s v="Act 2010-082"/>
    <d v="2010-12-20T00:00:00"/>
    <n v="0"/>
    <n v="500000"/>
  </r>
  <r>
    <s v="0684-00"/>
    <s v="Penrose Recreation Center"/>
    <n v="500000"/>
    <x v="51"/>
    <s v="Act 2004-040"/>
    <d v="2007-09-04T00:00:00"/>
    <n v="0"/>
    <n v="500000"/>
  </r>
  <r>
    <s v="0689-00"/>
    <s v="University of the Arts-Skyline Performing Arts"/>
    <n v="1500000"/>
    <x v="51"/>
    <s v="Act 2004-040"/>
    <d v="2007-09-04T00:00:00"/>
    <n v="1466594"/>
    <n v="33406"/>
  </r>
  <r>
    <s v="0720-00"/>
    <s v="Eastern State Penitentiary Renovations"/>
    <n v="2000000"/>
    <x v="51"/>
    <s v="Act 2004-040"/>
    <d v="2007-03-27T00:00:00"/>
    <n v="2000000"/>
    <n v="0"/>
  </r>
  <r>
    <s v="0720-01"/>
    <s v="Eastern State Penitentiary Renovations"/>
    <n v="1000000"/>
    <x v="51"/>
    <s v="Act 2004-040"/>
    <d v="2010-08-24T00:00:00"/>
    <n v="536120"/>
    <n v="463880"/>
  </r>
  <r>
    <s v="0729-00"/>
    <s v="Mantua Revitalization"/>
    <n v="2000000"/>
    <x v="51"/>
    <s v="Act 2006-083"/>
    <d v="2008-09-29T00:00:00"/>
    <n v="0"/>
    <n v="2000000"/>
  </r>
  <r>
    <s v="0732-00"/>
    <s v="Devon Theatre Performing Arts Center"/>
    <n v="900000"/>
    <x v="51"/>
    <s v="Act 2008-041"/>
    <d v="2008-11-20T00:00:00"/>
    <n v="900000"/>
    <n v="0"/>
  </r>
  <r>
    <s v="0738-00"/>
    <s v="Ogontz Avenue Streetscape"/>
    <n v="1300000"/>
    <x v="51"/>
    <s v="Act 2008-041"/>
    <d v="2008-12-11T00:00:00"/>
    <n v="1300000"/>
    <n v="0"/>
  </r>
  <r>
    <s v="0738-01"/>
    <s v="Stenton Avenue Redevelopment"/>
    <n v="1000000"/>
    <x v="51"/>
    <s v="Act 2008-041"/>
    <d v="2010-09-14T00:00:00"/>
    <n v="0"/>
    <n v="1000000"/>
  </r>
  <r>
    <s v="0745-00"/>
    <s v="Methodist Family Services"/>
    <n v="450000"/>
    <x v="51"/>
    <s v="Act 2006-083"/>
    <d v="2008-11-20T00:00:00"/>
    <n v="450000"/>
    <n v="0"/>
  </r>
  <r>
    <s v="0747-00"/>
    <s v="People's Emergency Center II"/>
    <n v="400000"/>
    <x v="51"/>
    <s v="Act 2008-041"/>
    <d v="2008-11-20T00:00:00"/>
    <n v="0"/>
    <n v="400000"/>
  </r>
  <r>
    <s v="0752-00"/>
    <s v="Curtis Institute for Music"/>
    <n v="13500000"/>
    <x v="51"/>
    <s v="Act 2008-041"/>
    <d v="2008-12-11T00:00:00"/>
    <n v="13500000"/>
    <n v="0"/>
  </r>
  <r>
    <s v="0752-01"/>
    <s v="Curtis Institute II"/>
    <n v="1000000"/>
    <x v="51"/>
    <s v="Act 2008-041"/>
    <d v="2009-02-12T00:00:00"/>
    <n v="1000000"/>
    <n v="0"/>
  </r>
  <r>
    <s v="0752-02"/>
    <s v="Curtis Institute of Music III"/>
    <n v="500000"/>
    <x v="51"/>
    <s v="Act 2008-041"/>
    <d v="2009-02-12T00:00:00"/>
    <n v="425000"/>
    <n v="75000"/>
  </r>
  <r>
    <s v="0759-00"/>
    <s v="Tasty Baking"/>
    <n v="500000"/>
    <x v="51"/>
    <s v="Act 2004-040"/>
    <d v="2007-06-12T00:00:00"/>
    <n v="500000"/>
    <n v="0"/>
  </r>
  <r>
    <s v="0759-01"/>
    <s v="Tasty Baking II"/>
    <n v="500000"/>
    <x v="51"/>
    <s v="Act 2002-131"/>
    <d v="2007-07-14T00:00:00"/>
    <n v="500000"/>
    <n v="0"/>
  </r>
  <r>
    <s v="0759-02"/>
    <s v="Tasty Baking III"/>
    <n v="500000"/>
    <x v="51"/>
    <s v="Act 2002-131"/>
    <d v="2007-07-14T00:00:00"/>
    <n v="500000"/>
    <n v="0"/>
  </r>
  <r>
    <s v="0759-03"/>
    <s v="Tasty Baking IV"/>
    <n v="1500000"/>
    <x v="51"/>
    <s v="Act 2004-040"/>
    <d v="2009-02-12T00:00:00"/>
    <n v="1500000"/>
    <n v="0"/>
  </r>
  <r>
    <s v="0761-00"/>
    <s v="Philabundance II"/>
    <n v="250000"/>
    <x v="51"/>
    <s v="Act 2004-040"/>
    <d v="2008-12-11T00:00:00"/>
    <n v="250000"/>
    <n v="0"/>
  </r>
  <r>
    <s v="0763-00"/>
    <s v="Franklin Institute III"/>
    <n v="2000000"/>
    <x v="51"/>
    <s v="Act 2008-041"/>
    <d v="2008-12-11T00:00:00"/>
    <n v="2000000"/>
    <n v="0"/>
  </r>
  <r>
    <s v="0763-01"/>
    <s v="Franklin Institute IV"/>
    <n v="500000"/>
    <x v="51"/>
    <s v="Act 2008-041"/>
    <d v="2009-05-12T00:00:00"/>
    <n v="180392"/>
    <n v="319608"/>
  </r>
  <r>
    <s v="0763-02"/>
    <s v="Franklin Institute V"/>
    <n v="1500000"/>
    <x v="51"/>
    <s v="Act 2008-041"/>
    <d v="2010-10-12T00:00:00"/>
    <n v="0"/>
    <n v="1500000"/>
  </r>
  <r>
    <s v="0763-03"/>
    <s v="Franklin Institute VI"/>
    <n v="5000000"/>
    <x v="51"/>
    <s v="Act 2008-041"/>
    <d v="2010-11-17T00:00:00"/>
    <n v="0"/>
    <n v="5000000"/>
  </r>
  <r>
    <s v="0763-04"/>
    <s v="Franklin Institute VII"/>
    <n v="2000000"/>
    <x v="51"/>
    <s v="Act 2008-041"/>
    <d v="2011-01-03T00:00:00"/>
    <n v="0"/>
    <n v="2000000"/>
  </r>
  <r>
    <s v="0763-05"/>
    <s v="Franklin Institute Inspire Science Facility"/>
    <n v="750000"/>
    <x v="51"/>
    <s v="Act 2008-041"/>
    <d v="2011-01-03T00:00:00"/>
    <n v="0"/>
    <n v="750000"/>
  </r>
  <r>
    <s v="0768-00"/>
    <s v="Community College of Philadelphia"/>
    <n v="1000000"/>
    <x v="51"/>
    <s v="Act 2008-041"/>
    <d v="2008-12-11T00:00:00"/>
    <n v="515413"/>
    <n v="484587"/>
  </r>
  <r>
    <s v="0779-00"/>
    <s v="Weaver's Way Co-Op Expansion"/>
    <n v="900000"/>
    <x v="51"/>
    <s v="Act 2008-041"/>
    <d v="2009-01-15T00:00:00"/>
    <n v="900000"/>
    <n v="0"/>
  </r>
  <r>
    <s v="0780-00"/>
    <s v="Pilgrim Gardens II"/>
    <n v="1000000"/>
    <x v="51"/>
    <s v="Act 2004-040"/>
    <d v="2009-04-27T00:00:00"/>
    <n v="1000000"/>
    <n v="0"/>
  </r>
  <r>
    <s v="0787-00"/>
    <s v="WHYY II"/>
    <n v="1000000"/>
    <x v="51"/>
    <s v="Act 1999-035"/>
    <d v="2003-01-16T00:00:00"/>
    <n v="1000000"/>
    <n v="0"/>
  </r>
  <r>
    <s v="0787-01"/>
    <s v="WHYY III Learning Labs"/>
    <n v="1000000"/>
    <x v="51"/>
    <s v="Act 2004-040"/>
    <d v="2006-03-15T00:00:00"/>
    <n v="1000000"/>
    <n v="0"/>
  </r>
  <r>
    <s v="0787-02"/>
    <s v="WHYY III Learning Labs"/>
    <n v="500000"/>
    <x v="51"/>
    <s v="Act 2004-040"/>
    <d v="2006-03-15T00:00:00"/>
    <n v="500000"/>
    <n v="0"/>
  </r>
  <r>
    <s v="0787-03"/>
    <s v="WHYY III Learning Labs"/>
    <n v="500000"/>
    <x v="51"/>
    <s v="Act 2004-040"/>
    <d v="2006-03-15T00:00:00"/>
    <n v="425000"/>
    <n v="75000"/>
  </r>
  <r>
    <s v="0790-00"/>
    <s v="Robinhood Dell East"/>
    <n v="3000000"/>
    <x v="51"/>
    <s v="Act 1988-113"/>
    <d v="2009-10-20T00:00:00"/>
    <n v="0"/>
    <n v="3000000"/>
  </r>
  <r>
    <s v="0791-00"/>
    <s v="Frankford Arsenal"/>
    <n v="2500000"/>
    <x v="51"/>
    <s v="Act 2008-041"/>
    <d v="2009-03-26T00:00:00"/>
    <n v="2030825"/>
    <n v="469175"/>
  </r>
  <r>
    <s v="0796-00"/>
    <s v="Sister Cities Plaza at Logan Square"/>
    <n v="500000"/>
    <x v="51"/>
    <s v="Act 2004-040"/>
    <d v="2009-02-12T00:00:00"/>
    <n v="487500"/>
    <n v="12500"/>
  </r>
  <r>
    <s v="0799-00"/>
    <s v="Philadelphia Zoo-Children's Zoo"/>
    <n v="1500000"/>
    <x v="51"/>
    <s v="Act 2008-041"/>
    <d v="2009-03-18T00:00:00"/>
    <n v="1493489"/>
    <n v="6511"/>
  </r>
  <r>
    <s v="0799-01"/>
    <s v="Philadelphia Zoo-Aviary"/>
    <n v="1500000"/>
    <x v="51"/>
    <s v="Act 2008-041"/>
    <d v="2009-03-18T00:00:00"/>
    <n v="1500000"/>
    <n v="0"/>
  </r>
  <r>
    <s v="0799-02"/>
    <s v="Philadelphia Zoo-Children's Zoo II"/>
    <n v="1000000"/>
    <x v="51"/>
    <s v="Act 2002-131"/>
    <d v="2010-08-17T00:00:00"/>
    <n v="0"/>
    <n v="1000000"/>
  </r>
  <r>
    <s v="0799-03"/>
    <s v="Philadelphia Zoo-Intermodal Project"/>
    <n v="7500000"/>
    <x v="51"/>
    <s v="Act 2010-082"/>
    <d v="2010-11-17T00:00:00"/>
    <n v="3048374"/>
    <n v="4451626"/>
  </r>
  <r>
    <s v="0799-04"/>
    <s v="Philadelphia Zoo-Intermodal Project II"/>
    <n v="500000"/>
    <x v="51"/>
    <s v="Act 2010-082"/>
    <d v="2011-01-03T00:00:00"/>
    <n v="0"/>
    <n v="500000"/>
  </r>
  <r>
    <s v="0799-05"/>
    <s v="Philadelphia Zoo-Intermodal Project III"/>
    <n v="250000"/>
    <x v="51"/>
    <s v="Act 2010-082"/>
    <d v="2011-01-03T00:00:00"/>
    <n v="0"/>
    <n v="250000"/>
  </r>
  <r>
    <s v="0799-06"/>
    <s v="HFC's Zoo &amp; Faris Family Education Center"/>
    <n v="1300000"/>
    <x v="51"/>
    <s v="Act 2008-041"/>
    <d v="2013-02-11T00:00:00"/>
    <n v="0"/>
    <n v="1300000"/>
  </r>
  <r>
    <s v="0819-00"/>
    <s v="Albert Einstein Hospital"/>
    <n v="2500000"/>
    <x v="51"/>
    <s v="Act 2006-083"/>
    <d v="2009-03-18T00:00:00"/>
    <n v="2500000"/>
    <n v="0"/>
  </r>
  <r>
    <s v="0819-01"/>
    <s v="Albert Einstein Hospital II"/>
    <n v="1500000"/>
    <x v="51"/>
    <s v="Act 2006-083"/>
    <d v="2010-02-23T00:00:00"/>
    <n v="721570"/>
    <n v="778430"/>
  </r>
  <r>
    <s v="0820-00"/>
    <s v="Asian Arts Initiative-Shared Arts Facility"/>
    <n v="1000000"/>
    <x v="51"/>
    <s v="Act 2006-083"/>
    <d v="2009-05-28T00:00:00"/>
    <n v="1000000"/>
    <n v="0"/>
  </r>
  <r>
    <s v="0820-01"/>
    <s v="Asian Arts Initiative-Shared Arts Facility"/>
    <n v="500000"/>
    <x v="51"/>
    <s v="Act 2006-083"/>
    <d v="2009-09-15T00:00:00"/>
    <n v="500000"/>
    <n v="0"/>
  </r>
  <r>
    <s v="0820-02"/>
    <s v="Asian Arts Share Facility III"/>
    <n v="500000"/>
    <x v="51"/>
    <s v="Act 2006-083"/>
    <d v="2010-02-08T00:00:00"/>
    <n v="460000"/>
    <n v="40000"/>
  </r>
  <r>
    <s v="0822-00"/>
    <s v="Boys Latin Charter School"/>
    <n v="300000"/>
    <x v="51"/>
    <s v="Act 2008-041"/>
    <d v="2009-03-18T00:00:00"/>
    <n v="0"/>
    <n v="300000"/>
  </r>
  <r>
    <s v="0825-00"/>
    <s v="St. Joseph's University"/>
    <n v="1000000"/>
    <x v="51"/>
    <s v="Act 2008-041"/>
    <d v="2009-02-12T00:00:00"/>
    <n v="1000000"/>
    <n v="0"/>
  </r>
  <r>
    <s v="0825-01"/>
    <s v="St. Joseph's University II"/>
    <n v="250000"/>
    <x v="51"/>
    <s v="Act 2008-041"/>
    <d v="2009-03-18T00:00:00"/>
    <n v="250000"/>
    <n v="0"/>
  </r>
  <r>
    <s v="0825-02"/>
    <s v="St. Joseph's University III"/>
    <n v="250000"/>
    <x v="51"/>
    <s v="Act 2008-041"/>
    <d v="2009-03-25T00:00:00"/>
    <n v="250000"/>
    <n v="0"/>
  </r>
  <r>
    <s v="0825-03"/>
    <s v="St. Joseph's University IV"/>
    <n v="1000000"/>
    <x v="51"/>
    <s v="Act 2006-083"/>
    <d v="2010-08-11T00:00:00"/>
    <n v="1000000"/>
    <n v="0"/>
  </r>
  <r>
    <s v="0825-04"/>
    <s v="St. Joseph's University-Merion Hall"/>
    <n v="1500000"/>
    <x v="51"/>
    <s v="Act 2008-041"/>
    <d v="2010-08-17T00:00:00"/>
    <n v="500000"/>
    <n v="1000000"/>
  </r>
  <r>
    <s v="0834-00"/>
    <s v="Lights of Liberty"/>
    <n v="5000000"/>
    <x v="51"/>
    <s v="Act 2008-041"/>
    <d v="2009-02-12T00:00:00"/>
    <n v="3770000"/>
    <n v="1230000"/>
  </r>
  <r>
    <s v="0842-00"/>
    <s v="Atwater Kent Museum"/>
    <n v="1000000"/>
    <x v="51"/>
    <s v="Act 2008-041"/>
    <d v="2009-03-18T00:00:00"/>
    <n v="950000"/>
    <n v="50000"/>
  </r>
  <r>
    <s v="0844-00"/>
    <s v="Paine's Park"/>
    <n v="2500000"/>
    <x v="51"/>
    <s v="Act 2008-041"/>
    <d v="2008-07-30T00:00:00"/>
    <n v="0"/>
    <n v="2500000"/>
  </r>
  <r>
    <s v="0846-00"/>
    <s v="Hickman Senior Housing"/>
    <n v="350000"/>
    <x v="51"/>
    <s v="Act 2008-041"/>
    <d v="2009-03-18T00:00:00"/>
    <n v="350000"/>
    <n v="0"/>
  </r>
  <r>
    <s v="0849-00"/>
    <s v="International House II"/>
    <n v="250000"/>
    <x v="51"/>
    <s v="Act 2008-041"/>
    <d v="2009-04-27T00:00:00"/>
    <n v="250000"/>
    <n v="0"/>
  </r>
  <r>
    <s v="0849-01"/>
    <s v="International House III"/>
    <n v="250000"/>
    <x v="51"/>
    <s v="Act 2008-041"/>
    <d v="2010-02-08T00:00:00"/>
    <n v="236500"/>
    <n v="13500"/>
  </r>
  <r>
    <s v="0849-02"/>
    <s v="International House IV"/>
    <n v="500000"/>
    <x v="51"/>
    <s v="Act 2008-041"/>
    <d v="2010-09-15T00:00:00"/>
    <n v="0"/>
    <n v="500000"/>
  </r>
  <r>
    <s v="0849-03"/>
    <s v="International House V"/>
    <n v="300000"/>
    <x v="51"/>
    <s v="Act 2010-082"/>
    <d v="2011-01-03T00:00:00"/>
    <n v="0"/>
    <n v="300000"/>
  </r>
  <r>
    <s v="0856-02"/>
    <s v="Pleasant Playground II"/>
    <n v="500000"/>
    <x v="51"/>
    <s v="Act 2008-041"/>
    <d v="2009-04-27T00:00:00"/>
    <n v="0"/>
    <n v="500000"/>
  </r>
  <r>
    <s v="0856-03"/>
    <s v="Pleasant Playground III"/>
    <n v="1000000"/>
    <x v="51"/>
    <s v="Act 2000-027"/>
    <d v="2009-08-31T00:00:00"/>
    <n v="0"/>
    <n v="1000000"/>
  </r>
  <r>
    <s v="0856-04"/>
    <s v="Pleasant Playground IV"/>
    <n v="500000"/>
    <x v="51"/>
    <s v="Act 2000-027"/>
    <d v="2009-08-31T00:00:00"/>
    <n v="0"/>
    <n v="500000"/>
  </r>
  <r>
    <s v="0857-00"/>
    <s v="Free Library of Philadelphia"/>
    <n v="7500000"/>
    <x v="51"/>
    <s v="Act 2004-040"/>
    <d v="2006-09-25T00:00:00"/>
    <n v="0"/>
    <n v="7500000"/>
  </r>
  <r>
    <s v="0857-01"/>
    <s v="Free Library of Philadelphia II"/>
    <n v="2000000"/>
    <x v="51"/>
    <s v="Act 2004-040"/>
    <d v="2006-09-25T00:00:00"/>
    <n v="0"/>
    <n v="2000000"/>
  </r>
  <r>
    <s v="0865-00"/>
    <s v="Wellness Community of Philadelphia"/>
    <n v="250000"/>
    <x v="51"/>
    <s v="Act 2008-041"/>
    <d v="2009-04-27T00:00:00"/>
    <n v="250000"/>
    <n v="0"/>
  </r>
  <r>
    <s v="0865-01"/>
    <s v="Wellness Community of Philadelphia II"/>
    <n v="250000"/>
    <x v="51"/>
    <s v="Act 2008-041"/>
    <d v="2009-05-28T00:00:00"/>
    <n v="225000"/>
    <n v="25000"/>
  </r>
  <r>
    <s v="0869-00"/>
    <s v="Enterprise Heights"/>
    <n v="550000"/>
    <x v="51"/>
    <s v="Act 2008-041"/>
    <d v="2009-03-18T00:00:00"/>
    <n v="0"/>
    <n v="550000"/>
  </r>
  <r>
    <s v="0869-01"/>
    <s v="Enterprise Heights II"/>
    <n v="550000"/>
    <x v="51"/>
    <s v="Act 2008-041"/>
    <d v="2010-02-04T00:00:00"/>
    <n v="0"/>
    <n v="550000"/>
  </r>
  <r>
    <s v="0871-00"/>
    <s v="Kimmel Center II (RPAC)"/>
    <n v="5500000"/>
    <x v="51"/>
    <s v="Act 2006-083"/>
    <d v="2008-10-30T00:00:00"/>
    <n v="4828020"/>
    <n v="671980"/>
  </r>
  <r>
    <s v="0871-01"/>
    <s v="Kimmel Center III"/>
    <n v="1500000"/>
    <x v="51"/>
    <s v="Act 2006-083"/>
    <d v="2010-08-17T00:00:00"/>
    <n v="0"/>
    <n v="1500000"/>
  </r>
  <r>
    <s v="0874-00"/>
    <s v="Franklin Court Museum"/>
    <n v="2000000"/>
    <x v="51"/>
    <s v="Act 2004-040"/>
    <d v="2009-03-18T00:00:00"/>
    <n v="0"/>
    <n v="2000000"/>
  </r>
  <r>
    <s v="0875-00"/>
    <s v="Cranaleith Center"/>
    <n v="500000"/>
    <x v="51"/>
    <s v="Act 2008-041"/>
    <d v="2010-02-08T00:00:00"/>
    <n v="500000"/>
    <n v="0"/>
  </r>
  <r>
    <s v="0875-01"/>
    <s v="Cranaleith Center II"/>
    <n v="500000"/>
    <x v="51"/>
    <s v="Act 2008-041"/>
    <d v="2010-02-08T00:00:00"/>
    <n v="475000"/>
    <n v="25000"/>
  </r>
  <r>
    <s v="0879-00"/>
    <s v="AWHS Belmont Mansion"/>
    <n v="1000000"/>
    <x v="51"/>
    <s v="Act 2006-083"/>
    <d v="2008-09-26T00:00:00"/>
    <n v="0"/>
    <n v="1000000"/>
  </r>
  <r>
    <s v="0880-00"/>
    <s v="West Oak Lane Plaza"/>
    <n v="3250000"/>
    <x v="51"/>
    <s v="Act 2004-040"/>
    <d v="2008-12-11T00:00:00"/>
    <n v="3250000"/>
    <n v="0"/>
  </r>
  <r>
    <s v="0880-01"/>
    <s v="West Oak Lane Plaza II"/>
    <n v="1100000"/>
    <x v="51"/>
    <s v="Act 2008-041"/>
    <d v="2010-05-18T00:00:00"/>
    <n v="883578"/>
    <n v="216422"/>
  </r>
  <r>
    <s v="0884-00"/>
    <s v="West Cheltenham Avenue Redevelopment Project"/>
    <n v="1200000"/>
    <x v="51"/>
    <s v="Act 2008-041"/>
    <d v="2010-02-17T00:00:00"/>
    <n v="1139698"/>
    <n v="60302"/>
  </r>
  <r>
    <s v="0888-00"/>
    <s v="Congreso de Latinos II-Education Building"/>
    <n v="2000000"/>
    <x v="51"/>
    <s v="Act 2008-041"/>
    <d v="2010-02-23T00:00:00"/>
    <n v="2000000"/>
    <n v="0"/>
  </r>
  <r>
    <s v="0888-01"/>
    <s v="Congreso de Latinos Unitos Education Center II"/>
    <n v="1000000"/>
    <x v="51"/>
    <s v="Act 2008-041"/>
    <d v="2010-12-20T00:00:00"/>
    <n v="886855"/>
    <n v="113145"/>
  </r>
  <r>
    <s v="0891-00"/>
    <s v="Association of Puerto Ricans on the March 2009"/>
    <n v="2000000"/>
    <x v="51"/>
    <s v="Act 2008-041"/>
    <d v="2009-05-28T00:00:00"/>
    <n v="0"/>
    <n v="2000000"/>
  </r>
  <r>
    <s v="0891-01"/>
    <s v="APM Wellness Center"/>
    <n v="2000000"/>
    <x v="51"/>
    <s v="Act 2008-041"/>
    <d v="2010-08-17T00:00:00"/>
    <n v="0"/>
    <n v="2000000"/>
  </r>
  <r>
    <s v="0891-02"/>
    <s v="Association of Puerto Ricans on the March"/>
    <n v="1500000"/>
    <x v="51"/>
    <s v="Act 1999-035"/>
    <d v="2000-07-12T00:00:00"/>
    <n v="0"/>
    <n v="1500000"/>
  </r>
  <r>
    <s v="0892-00"/>
    <s v="Thomas Jefferson Hospital-Kimmel Cancer Center"/>
    <n v="1000000"/>
    <x v="51"/>
    <s v="Act 2004-040"/>
    <d v="2010-02-23T00:00:00"/>
    <n v="1000000"/>
    <n v="0"/>
  </r>
  <r>
    <s v="0892-01"/>
    <s v="Thomas Jefferson Hospital Kimmel Cancer Center II"/>
    <n v="500000"/>
    <x v="51"/>
    <s v="Act 2004-040"/>
    <d v="2010-05-27T00:00:00"/>
    <n v="500000"/>
    <n v="0"/>
  </r>
  <r>
    <s v="0893-00"/>
    <s v="Uptown Theatre"/>
    <n v="500000"/>
    <x v="51"/>
    <s v="Act 2008-041"/>
    <d v="2010-02-08T00:00:00"/>
    <n v="0"/>
    <n v="500000"/>
  </r>
  <r>
    <s v="0894-00"/>
    <s v="Wesley Enhanced Living at Evangelical Manor"/>
    <n v="500000"/>
    <x v="51"/>
    <s v="Act 2006-083"/>
    <d v="2010-02-25T00:00:00"/>
    <n v="500000"/>
    <n v="0"/>
  </r>
  <r>
    <s v="0894-01"/>
    <s v="Wesley Enhanced Living Evangelical Manor II"/>
    <n v="250000"/>
    <x v="51"/>
    <s v="Act 2006-083"/>
    <d v="2010-10-12T00:00:00"/>
    <n v="250000"/>
    <n v="0"/>
  </r>
  <r>
    <s v="0895-00"/>
    <s v="Heritage Center-Union League"/>
    <n v="250000"/>
    <x v="51"/>
    <s v="Act 2008-041"/>
    <d v="2010-02-08T00:00:00"/>
    <n v="250000"/>
    <n v="0"/>
  </r>
  <r>
    <s v="0902-00"/>
    <s v="Nicetown Court"/>
    <n v="500000"/>
    <x v="51"/>
    <s v="Act 2008-041"/>
    <d v="2010-02-08T00:00:00"/>
    <n v="0"/>
    <n v="500000"/>
  </r>
  <r>
    <s v="0903-00"/>
    <s v="Drexel University Papadakis Science Building"/>
    <n v="10000000"/>
    <x v="51"/>
    <s v="Act 2010-047"/>
    <d v="2010-08-04T00:00:00"/>
    <n v="9438476"/>
    <n v="561524"/>
  </r>
  <r>
    <s v="0903-01"/>
    <s v="Drexel University LeBow College of Business"/>
    <n v="9500000"/>
    <x v="51"/>
    <s v="Act 2010-082"/>
    <d v="2010-11-29T00:00:00"/>
    <n v="0"/>
    <n v="9500000"/>
  </r>
  <r>
    <s v="0906-00"/>
    <s v="Chelten and Pulaski Revitalization"/>
    <n v="3000000"/>
    <x v="51"/>
    <s v="Act 2008-041"/>
    <d v="2010-03-10T00:00:00"/>
    <n v="2611918"/>
    <n v="388082"/>
  </r>
  <r>
    <s v="0908-00"/>
    <s v="Franklin Towne Charter School"/>
    <n v="200000"/>
    <x v="51"/>
    <s v="Act 2008-041"/>
    <d v="2010-02-25T00:00:00"/>
    <n v="185000"/>
    <n v="15000"/>
  </r>
  <r>
    <s v="0912-00"/>
    <s v="Urban Youth Baseball"/>
    <n v="1000000"/>
    <x v="51"/>
    <s v="Act 2008-041"/>
    <d v="2010-08-17T00:00:00"/>
    <n v="0"/>
    <n v="1000000"/>
  </r>
  <r>
    <s v="0913-00"/>
    <s v="Sultan Jihad Ahmad Community Center"/>
    <n v="500000"/>
    <x v="51"/>
    <s v="Act 2008-041"/>
    <d v="2010-02-08T00:00:00"/>
    <n v="0"/>
    <n v="500000"/>
  </r>
  <r>
    <s v="0914-00"/>
    <s v="University City Hotel"/>
    <n v="5000000"/>
    <x v="51"/>
    <s v="Act 2008-041"/>
    <d v="2010-08-04T00:00:00"/>
    <n v="4413939"/>
    <n v="586061"/>
  </r>
  <r>
    <s v="0916-00"/>
    <s v="Wanamaker School"/>
    <n v="1500000"/>
    <x v="51"/>
    <s v="Act 2008-041"/>
    <d v="2010-08-03T00:00:00"/>
    <n v="1500000"/>
    <n v="0"/>
  </r>
  <r>
    <s v="0916-01"/>
    <s v="Wanamaker School II"/>
    <n v="4500000"/>
    <x v="51"/>
    <s v="Act 2008-041"/>
    <d v="2010-08-03T00:00:00"/>
    <n v="3891771"/>
    <n v="608229"/>
  </r>
  <r>
    <s v="0917-00"/>
    <s v="Gift of Life Facility"/>
    <n v="2000000"/>
    <x v="51"/>
    <s v="Act 2004-040"/>
    <d v="2010-08-24T00:00:00"/>
    <n v="1950000"/>
    <n v="50000"/>
  </r>
  <r>
    <s v="0924-00"/>
    <s v="Philadelphia College of Osteopathic Medicine"/>
    <n v="750000"/>
    <x v="51"/>
    <s v="Act 2010-047"/>
    <d v="2010-08-17T00:00:00"/>
    <n v="750000"/>
    <n v="0"/>
  </r>
  <r>
    <s v="0925-00"/>
    <s v="Tasty Baking-Old Site Reuse"/>
    <n v="12000000"/>
    <x v="51"/>
    <s v="Act 2010-047"/>
    <d v="2010-07-26T00:00:00"/>
    <n v="4424756"/>
    <n v="7575244"/>
  </r>
  <r>
    <s v="0926-00"/>
    <s v="Dilworth Plaza"/>
    <n v="15500000"/>
    <x v="51"/>
    <s v="Act 2008-041"/>
    <d v="2010-08-17T00:00:00"/>
    <n v="2956128"/>
    <n v="12543872"/>
  </r>
  <r>
    <s v="0927-00"/>
    <s v="Convention Center Hotel"/>
    <n v="500000"/>
    <x v="51"/>
    <s v="Act 2008-041"/>
    <d v="2010-08-03T00:00:00"/>
    <n v="500000"/>
    <n v="0"/>
  </r>
  <r>
    <s v="0927-01"/>
    <s v="Convention Center Hotel II"/>
    <n v="250000"/>
    <x v="51"/>
    <s v="Act 2008-041"/>
    <d v="2010-08-03T00:00:00"/>
    <n v="147931"/>
    <n v="102069"/>
  </r>
  <r>
    <s v="0927-02"/>
    <s v="Convention Center Hotel III"/>
    <n v="1750000"/>
    <x v="51"/>
    <s v="Act 2008-041"/>
    <d v="2010-08-03T00:00:00"/>
    <n v="0"/>
    <n v="1750000"/>
  </r>
  <r>
    <s v="0927-03"/>
    <s v="Convention Center Hotel IV"/>
    <n v="250000"/>
    <x v="51"/>
    <s v="Act 2008-041"/>
    <d v="2011-01-03T00:00:00"/>
    <n v="0"/>
    <n v="250000"/>
  </r>
  <r>
    <s v="0929-00"/>
    <s v="Franklin Place Hotel-401 Race Street"/>
    <n v="7000000"/>
    <x v="51"/>
    <s v="Act 2010-047"/>
    <d v="2010-08-04T00:00:00"/>
    <n v="0"/>
    <n v="7000000"/>
  </r>
  <r>
    <s v="0930-00"/>
    <s v="Boyd Theatre"/>
    <n v="1000000"/>
    <x v="51"/>
    <s v="Act 2008-041"/>
    <d v="2010-02-08T00:00:00"/>
    <n v="0"/>
    <n v="1000000"/>
  </r>
  <r>
    <s v="0930-01"/>
    <s v="Boyd Theatre II"/>
    <n v="1000000"/>
    <x v="51"/>
    <s v="Act 2008-041"/>
    <d v="2010-08-11T00:00:00"/>
    <n v="0"/>
    <n v="1000000"/>
  </r>
  <r>
    <s v="0949-00"/>
    <s v="Settlement School of Music III"/>
    <n v="1000000"/>
    <x v="51"/>
    <s v="Act 2002-131"/>
    <d v="2010-08-17T00:00:00"/>
    <n v="0"/>
    <n v="1000000"/>
  </r>
  <r>
    <s v="0951-00"/>
    <s v="Taller Puertorriqueno"/>
    <n v="2500000"/>
    <x v="51"/>
    <s v="Act 2008-041"/>
    <d v="2009-05-28T00:00:00"/>
    <n v="0"/>
    <n v="2500000"/>
  </r>
  <r>
    <s v="0951-01"/>
    <s v="Taller Puertorriqueno II"/>
    <n v="2500000"/>
    <x v="51"/>
    <s v="Act 2008-041"/>
    <d v="2010-08-17T00:00:00"/>
    <n v="0"/>
    <n v="2500000"/>
  </r>
  <r>
    <s v="0953-00"/>
    <s v="Thomas Jefferson University Research Building"/>
    <n v="10000000"/>
    <x v="51"/>
    <s v="Act 2006-083"/>
    <d v="2010-08-04T00:00:00"/>
    <n v="5019886"/>
    <n v="4980114"/>
  </r>
  <r>
    <s v="0955-00"/>
    <s v="Ed Snider Youth Hockey Foundation"/>
    <n v="1000000"/>
    <x v="51"/>
    <s v="Act 2008-041"/>
    <d v="2010-02-23T00:00:00"/>
    <n v="1000000"/>
    <n v="0"/>
  </r>
  <r>
    <s v="0955-01"/>
    <s v="Ed Snider Youth Hockey Foundation II"/>
    <n v="4000000"/>
    <x v="51"/>
    <s v="Act 2008-041"/>
    <d v="2010-06-16T00:00:00"/>
    <n v="4000000"/>
    <n v="0"/>
  </r>
  <r>
    <s v="0955-02"/>
    <s v="Ed Snider Youth Hockey Foundation III-Simons Rec"/>
    <n v="1000000"/>
    <x v="51"/>
    <s v="Act 2008-041"/>
    <d v="2010-08-30T00:00:00"/>
    <n v="1000000"/>
    <n v="0"/>
  </r>
  <r>
    <s v="0955-03"/>
    <s v="Ed Snider Youth Hockey III"/>
    <n v="500000"/>
    <x v="51"/>
    <s v="Act 2008-041"/>
    <d v="2010-10-21T00:00:00"/>
    <n v="400000"/>
    <n v="100000"/>
  </r>
  <r>
    <s v="0956-00"/>
    <s v="Norris Square Civic Association"/>
    <n v="5000000"/>
    <x v="51"/>
    <s v="Act 2010-047"/>
    <d v="2010-08-17T00:00:00"/>
    <n v="0"/>
    <n v="5000000"/>
  </r>
  <r>
    <s v="0963-00"/>
    <s v="American Revolution Center"/>
    <n v="30000000"/>
    <x v="51"/>
    <s v="Act 2002-131"/>
    <d v="2010-09-10T00:00:00"/>
    <n v="0"/>
    <n v="30000000"/>
  </r>
  <r>
    <s v="0964-00"/>
    <s v="Historical Society of Pennsylvania"/>
    <n v="2500000"/>
    <x v="51"/>
    <s v="Act 2008-041"/>
    <d v="2010-08-24T00:00:00"/>
    <n v="0"/>
    <n v="2500000"/>
  </r>
  <r>
    <s v="0966-00"/>
    <s v="Beech International Complex"/>
    <n v="1000000"/>
    <x v="51"/>
    <s v="Act 2004-040"/>
    <d v="2010-06-16T00:00:00"/>
    <n v="1000000"/>
    <n v="0"/>
  </r>
  <r>
    <s v="0966-01"/>
    <s v="Beech International Complex II"/>
    <n v="500000"/>
    <x v="51"/>
    <s v="Act 2008-041"/>
    <d v="2009-05-28T00:00:00"/>
    <n v="500000"/>
    <n v="0"/>
  </r>
  <r>
    <s v="0966-02"/>
    <s v="Beech International Complex III"/>
    <n v="500000"/>
    <x v="51"/>
    <s v="Act 2008-041"/>
    <d v="2009-05-28T00:00:00"/>
    <n v="500000"/>
    <n v="0"/>
  </r>
  <r>
    <s v="0966-03"/>
    <s v="Beech International Complex IV"/>
    <n v="500000"/>
    <x v="51"/>
    <s v="Act 2008-041"/>
    <d v="2010-05-27T00:00:00"/>
    <n v="450000"/>
    <n v="50000"/>
  </r>
  <r>
    <s v="0967-00"/>
    <s v="Academy of Natural Sciences"/>
    <n v="1500000"/>
    <x v="51"/>
    <s v="Act 2008-041"/>
    <d v="2010-07-15T00:00:00"/>
    <n v="0"/>
    <n v="1500000"/>
  </r>
  <r>
    <s v="0970-00"/>
    <s v="Wills Eye Institute II"/>
    <n v="1000000"/>
    <x v="51"/>
    <s v="Act 2010-047"/>
    <d v="2010-08-24T00:00:00"/>
    <n v="0"/>
    <n v="1000000"/>
  </r>
  <r>
    <s v="0987-00"/>
    <s v="Mann Music Center VI"/>
    <n v="1875000"/>
    <x v="51"/>
    <s v="Act 2006-083"/>
    <d v="2010-08-24T00:00:00"/>
    <n v="0"/>
    <n v="1875000"/>
  </r>
  <r>
    <s v="0987-01"/>
    <s v="Mann Music Center VII"/>
    <n v="625000"/>
    <x v="51"/>
    <s v="Act 2006-083"/>
    <d v="2010-10-12T00:00:00"/>
    <n v="0"/>
    <n v="625000"/>
  </r>
  <r>
    <s v="0988-00"/>
    <s v="Academy of Music"/>
    <n v="1000000"/>
    <x v="51"/>
    <s v="Act 2004-040"/>
    <d v="2010-08-17T00:00:00"/>
    <n v="734554"/>
    <n v="265446"/>
  </r>
  <r>
    <s v="0991-00"/>
    <s v="Haddington Health Center"/>
    <n v="1000000"/>
    <x v="51"/>
    <s v="Act 2008-041"/>
    <d v="2010-04-12T00:00:00"/>
    <n v="0"/>
    <n v="1000000"/>
  </r>
  <r>
    <s v="0991-01"/>
    <s v="Haddington Health Center II"/>
    <n v="700000"/>
    <x v="51"/>
    <s v="Act 2008-041"/>
    <d v="2010-10-12T00:00:00"/>
    <n v="0"/>
    <n v="700000"/>
  </r>
  <r>
    <s v="0997-00"/>
    <s v="Pennsylvania Ballet"/>
    <n v="500000"/>
    <x v="51"/>
    <s v="Act 2004-040"/>
    <d v="2010-02-08T00:00:00"/>
    <n v="500000"/>
    <n v="0"/>
  </r>
  <r>
    <s v="0997-01"/>
    <s v="Pennsylvania Ballet II"/>
    <n v="1750000"/>
    <x v="51"/>
    <s v="Act 2006-083"/>
    <d v="2010-08-17T00:00:00"/>
    <n v="1073587"/>
    <n v="676413"/>
  </r>
  <r>
    <s v="0997-02"/>
    <s v="Pennsylvania Ballet III"/>
    <n v="250000"/>
    <x v="51"/>
    <s v="Act 2006-083"/>
    <d v="2010-09-15T00:00:00"/>
    <n v="0"/>
    <n v="250000"/>
  </r>
  <r>
    <s v="1002-00"/>
    <s v="Gray's Ferry Corridor"/>
    <n v="5000000"/>
    <x v="51"/>
    <s v="Act 2010-047"/>
    <d v="2010-09-27T00:00:00"/>
    <n v="0"/>
    <n v="5000000"/>
  </r>
  <r>
    <s v="1008-00"/>
    <s v="Community Legal Services"/>
    <n v="750000"/>
    <x v="51"/>
    <s v="Act 2006-083"/>
    <d v="2010-10-12T00:00:00"/>
    <n v="750000"/>
    <n v="0"/>
  </r>
  <r>
    <s v="1008-01"/>
    <s v="Community Legal Services II"/>
    <n v="750000"/>
    <x v="51"/>
    <s v="Act 2006-083"/>
    <d v="2010-10-12T00:00:00"/>
    <n v="750000"/>
    <n v="0"/>
  </r>
  <r>
    <s v="1008-02"/>
    <s v="Community Legal Services III"/>
    <n v="2300000"/>
    <x v="51"/>
    <s v="Act 2006-083"/>
    <d v="2010-10-12T00:00:00"/>
    <n v="1239540"/>
    <n v="1060460"/>
  </r>
  <r>
    <s v="1011-00"/>
    <s v="University of Pennsylvania School of Vet Medicine"/>
    <n v="1000000"/>
    <x v="51"/>
    <s v="Act 2008-041"/>
    <d v="2010-09-15T00:00:00"/>
    <n v="0"/>
    <n v="1000000"/>
  </r>
  <r>
    <s v="1015-00"/>
    <s v="Wistar Institute"/>
    <n v="5000000"/>
    <x v="51"/>
    <s v="Act 2002-131"/>
    <d v="2009-04-27T00:00:00"/>
    <n v="3339580"/>
    <n v="1660420"/>
  </r>
  <r>
    <s v="1015-01"/>
    <s v="Wistar Institute II"/>
    <n v="13000000"/>
    <x v="51"/>
    <s v="Act 2002-131"/>
    <d v="2010-08-17T00:00:00"/>
    <n v="0"/>
    <n v="13000000"/>
  </r>
  <r>
    <s v="1019-00"/>
    <s v="Waterfront Arts Center"/>
    <n v="1000000"/>
    <x v="51"/>
    <s v="Act 2010-082"/>
    <d v="2010-10-20T00:00:00"/>
    <n v="0"/>
    <n v="1000000"/>
  </r>
  <r>
    <s v="1036-00"/>
    <s v="Audubon Center at Strawberry Mansion"/>
    <n v="1250000"/>
    <x v="51"/>
    <s v="Act 2008-041"/>
    <d v="2010-11-05T00:00:00"/>
    <n v="0"/>
    <n v="1250000"/>
  </r>
  <r>
    <s v="1036-01"/>
    <s v="Audubon Center at Strawberry Mansion II"/>
    <n v="1250000"/>
    <x v="51"/>
    <s v="Act 2008-041"/>
    <d v="2010-11-05T00:00:00"/>
    <n v="0"/>
    <n v="1250000"/>
  </r>
  <r>
    <s v="1037-00"/>
    <s v="Philadelphia School"/>
    <n v="1000000"/>
    <x v="51"/>
    <s v="Act 2010-082"/>
    <d v="2010-11-17T00:00:00"/>
    <n v="956609"/>
    <n v="43391"/>
  </r>
  <r>
    <s v="1038-00"/>
    <s v="Janney Montgomery Scott LLC Corporate HQ"/>
    <n v="10000000"/>
    <x v="51"/>
    <s v="Act 2010-082"/>
    <d v="2010-11-17T00:00:00"/>
    <n v="513067"/>
    <n v="9486933"/>
  </r>
  <r>
    <s v="1039-00"/>
    <s v="Renovation of the Blue Horizon"/>
    <n v="5000000"/>
    <x v="51"/>
    <s v="Act 2002-131"/>
    <d v="2010-12-07T00:00:00"/>
    <n v="0"/>
    <n v="5000000"/>
  </r>
  <r>
    <s v="1039-01"/>
    <s v="Renovation of the Blue Horizon II"/>
    <n v="1000000"/>
    <x v="51"/>
    <s v="Act 2002-131"/>
    <d v="2010-12-07T00:00:00"/>
    <n v="0"/>
    <n v="1000000"/>
  </r>
  <r>
    <s v="1041-00"/>
    <s v="Mt. Airy Transit Village"/>
    <n v="2500000"/>
    <x v="51"/>
    <s v="Act 2008-041"/>
    <d v="2010-10-21T00:00:00"/>
    <n v="0"/>
    <n v="2500000"/>
  </r>
  <r>
    <s v="1043-00"/>
    <s v="Paschall Homes Redevelopment"/>
    <n v="2000000"/>
    <x v="51"/>
    <s v="Act 2008-041"/>
    <d v="2010-04-21T00:00:00"/>
    <n v="0"/>
    <n v="2000000"/>
  </r>
  <r>
    <s v="1045-00"/>
    <s v="Cobbs Creek II"/>
    <n v="1000000"/>
    <x v="51"/>
    <s v="Act 2010-082"/>
    <d v="2010-11-22T00:00:00"/>
    <n v="0"/>
    <n v="1000000"/>
  </r>
  <r>
    <s v="1045-01"/>
    <s v="Cobbs Creek II Fresh Grocer"/>
    <n v="1000000"/>
    <x v="51"/>
    <s v="Act 2010-082"/>
    <d v="2010-11-18T00:00:00"/>
    <n v="0"/>
    <n v="1000000"/>
  </r>
  <r>
    <s v="1050-00"/>
    <s v="Teva Pharmaceuticals"/>
    <n v="2500000"/>
    <x v="51"/>
    <s v="Act 2010-082"/>
    <d v="2010-11-17T00:00:00"/>
    <n v="0"/>
    <n v="2500000"/>
  </r>
  <r>
    <s v="1053-00"/>
    <s v="Navy Yard Infrastructure"/>
    <n v="7500000"/>
    <x v="51"/>
    <s v="Act 2010-047"/>
    <d v="2010-11-16T00:00:00"/>
    <n v="0"/>
    <n v="7500000"/>
  </r>
  <r>
    <s v="1058-00"/>
    <s v="Frankford Friends School"/>
    <n v="500000"/>
    <x v="51"/>
    <s v="Act 2010-082"/>
    <d v="2010-11-01T00:00:00"/>
    <n v="405463"/>
    <n v="94537"/>
  </r>
  <r>
    <s v="1065-00"/>
    <s v="Pavilion at Market East"/>
    <n v="7500000"/>
    <x v="51"/>
    <s v="Act 2010-082"/>
    <d v="2010-11-29T00:00:00"/>
    <n v="0"/>
    <n v="7500000"/>
  </r>
  <r>
    <s v="1078-00"/>
    <s v="Piazza at Schmidt's"/>
    <n v="2000000"/>
    <x v="51"/>
    <s v="Act 2010-082"/>
    <d v="2010-11-29T00:00:00"/>
    <n v="0"/>
    <n v="2000000"/>
  </r>
  <r>
    <s v="1079-00"/>
    <s v="2116 Chestnut Street Project"/>
    <n v="10000000"/>
    <x v="51"/>
    <s v="Act 2010-082"/>
    <d v="2010-11-29T00:00:00"/>
    <n v="4855169"/>
    <n v="5144831"/>
  </r>
  <r>
    <s v="1080-00"/>
    <s v="Christ Church Neighborhood Center"/>
    <n v="1100000"/>
    <x v="51"/>
    <s v="Act 2006-083"/>
    <d v="2010-11-16T00:00:00"/>
    <n v="0"/>
    <n v="1100000"/>
  </r>
  <r>
    <s v="1084-00"/>
    <s v="William Way LGBT Senior Housing Center"/>
    <n v="3000000"/>
    <x v="51"/>
    <s v="Act 2010-082"/>
    <d v="2010-10-20T00:00:00"/>
    <n v="0"/>
    <n v="3000000"/>
  </r>
  <r>
    <s v="1084-01"/>
    <s v="William Way LGBT Senior Housing Center II"/>
    <n v="1400000"/>
    <x v="51"/>
    <s v="Act 2010-082"/>
    <d v="2010-10-20T00:00:00"/>
    <n v="0"/>
    <n v="1400000"/>
  </r>
  <r>
    <s v="1084-02"/>
    <s v="William Way LGBT Senior Housing Center III"/>
    <n v="1000000"/>
    <x v="51"/>
    <s v="Act 2010-082"/>
    <d v="2010-10-20T00:00:00"/>
    <n v="0"/>
    <n v="1000000"/>
  </r>
  <r>
    <s v="1084-03"/>
    <s v="William Way LGBT Senior Housing Center IV"/>
    <n v="600000"/>
    <x v="51"/>
    <s v="Act 2010-082"/>
    <d v="2010-10-21T00:00:00"/>
    <n v="0"/>
    <n v="600000"/>
  </r>
  <r>
    <s v="1088-00"/>
    <s v="National Constitution Center 2010"/>
    <n v="5000000"/>
    <x v="51"/>
    <s v="Act 2010-082"/>
    <d v="2010-12-20T00:00:00"/>
    <n v="0"/>
    <n v="5000000"/>
  </r>
  <r>
    <s v="1090-00"/>
    <s v="Independence Visitor Center"/>
    <n v="1000000"/>
    <x v="51"/>
    <s v="Act 2010-047"/>
    <d v="2010-11-16T00:00:00"/>
    <n v="0"/>
    <n v="1000000"/>
  </r>
  <r>
    <s v="1094-00"/>
    <s v="Associated Services for the Blind Headquarters"/>
    <n v="250000"/>
    <x v="51"/>
    <s v="Act 2010-082"/>
    <d v="2010-11-22T00:00:00"/>
    <n v="0"/>
    <n v="250000"/>
  </r>
  <r>
    <s v="1100-00"/>
    <s v="Library Company of Philadelphia"/>
    <n v="1000000"/>
    <x v="51"/>
    <s v="Act 2010-082"/>
    <d v="2010-12-08T00:00:00"/>
    <n v="0"/>
    <n v="1000000"/>
  </r>
  <r>
    <s v="1101-00"/>
    <s v="Race Street Pier"/>
    <n v="2000000"/>
    <x v="51"/>
    <s v="Act 2010-082"/>
    <d v="2010-11-29T00:00:00"/>
    <n v="1950000"/>
    <n v="50000"/>
  </r>
  <r>
    <s v="1115-00"/>
    <s v="Women Against Abuse Sojourner House"/>
    <n v="750000"/>
    <x v="51"/>
    <s v="Act 2010-082"/>
    <d v="2010-11-22T00:00:00"/>
    <n v="386681"/>
    <n v="363319"/>
  </r>
  <r>
    <s v="1118-00"/>
    <s v="1220 North Broad Street"/>
    <n v="1000000"/>
    <x v="51"/>
    <s v="Act 2010-082"/>
    <d v="2010-11-29T00:00:00"/>
    <n v="0"/>
    <n v="1000000"/>
  </r>
  <r>
    <s v="1121-00"/>
    <s v="Arden Theatre Company"/>
    <n v="1000000"/>
    <x v="51"/>
    <s v="Act 2010-082"/>
    <d v="2010-11-17T00:00:00"/>
    <n v="0"/>
    <n v="1000000"/>
  </r>
  <r>
    <s v="1124-00"/>
    <s v="New Courtland LIFE Center"/>
    <n v="1000000"/>
    <x v="51"/>
    <s v="Act 2010-082"/>
    <d v="2010-12-20T00:00:00"/>
    <n v="0"/>
    <n v="1000000"/>
  </r>
  <r>
    <s v="1125-00"/>
    <s v="St. Maron Senior Residence"/>
    <n v="250000"/>
    <x v="51"/>
    <s v="Act 2010-082"/>
    <d v="2010-11-22T00:00:00"/>
    <n v="158783"/>
    <n v="91217"/>
  </r>
  <r>
    <s v="1131-00"/>
    <s v="St. Monica Manor Expansion"/>
    <n v="250000"/>
    <x v="51"/>
    <s v="Act 2010-082"/>
    <d v="2010-12-03T00:00:00"/>
    <n v="0"/>
    <n v="250000"/>
  </r>
  <r>
    <s v="1142-00"/>
    <s v="Royal Theatre &amp; Universal Commercial Corridor"/>
    <n v="250000"/>
    <x v="51"/>
    <s v="Act 2010-082"/>
    <d v="2011-01-03T00:00:00"/>
    <n v="0"/>
    <n v="250000"/>
  </r>
  <r>
    <s v="1142-01"/>
    <s v="Royal Theatre &amp; Universal Commercial Corridor II"/>
    <n v="2000000"/>
    <x v="51"/>
    <s v="Act 2010-082"/>
    <d v="2011-01-03T00:00:00"/>
    <n v="0"/>
    <n v="2000000"/>
  </r>
  <r>
    <s v="1144-00"/>
    <s v="Eye Institute at Salus University"/>
    <n v="500000"/>
    <x v="51"/>
    <s v="Act 2006-083"/>
    <d v="2009-02-12T00:00:00"/>
    <n v="0"/>
    <n v="500000"/>
  </r>
  <r>
    <s v="1144-01"/>
    <s v="Eye Institute at Salus University II"/>
    <n v="500000"/>
    <x v="51"/>
    <s v="Act 2006-083"/>
    <d v="2010-09-15T00:00:00"/>
    <n v="0"/>
    <n v="500000"/>
  </r>
  <r>
    <s v="1144-02"/>
    <s v="Eye Institute at PA College of Optometry at Salus"/>
    <n v="250000"/>
    <x v="51"/>
    <s v="Act 2006-083"/>
    <d v="2010-10-12T00:00:00"/>
    <n v="0"/>
    <n v="250000"/>
  </r>
  <r>
    <s v="1145-00"/>
    <s v="St. Christopher's Hospital"/>
    <n v="1500000"/>
    <x v="51"/>
    <s v="Act 2008-041"/>
    <d v="2010-10-12T00:00:00"/>
    <n v="1440204"/>
    <n v="59796"/>
  </r>
  <r>
    <s v="1161-00"/>
    <s v="Hunting Park Revitalization"/>
    <n v="750000"/>
    <x v="51"/>
    <s v="Act 2006-083"/>
    <d v="2010-11-01T00:00:00"/>
    <n v="750000"/>
    <n v="0"/>
  </r>
  <r>
    <s v="1161-01"/>
    <s v="Hunting Park Revitalization II"/>
    <n v="750000"/>
    <x v="51"/>
    <s v="Act 2004-040"/>
    <d v="2010-12-20T00:00:00"/>
    <n v="199"/>
    <n v="749801"/>
  </r>
  <r>
    <s v="1166-00"/>
    <s v="HUB 3939 Project"/>
    <n v="1000000"/>
    <x v="51"/>
    <s v="Act 2010-082"/>
    <d v="2010-12-20T00:00:00"/>
    <n v="0"/>
    <n v="1000000"/>
  </r>
  <r>
    <s v="1166-01"/>
    <s v="HUB 3939 Project II"/>
    <n v="400000"/>
    <x v="51"/>
    <s v="Act 2010-082"/>
    <d v="2011-01-03T00:00:00"/>
    <n v="0"/>
    <n v="400000"/>
  </r>
  <r>
    <s v="1168-00"/>
    <s v="Aria Health Torresdale Campus"/>
    <n v="2000000"/>
    <x v="51"/>
    <s v="Act 2010-082"/>
    <d v="2011-01-10T00:00:00"/>
    <n v="0"/>
    <n v="2000000"/>
  </r>
  <r>
    <s v="1168-01"/>
    <s v="Aria Health Torresdale Campus II"/>
    <n v="1000000"/>
    <x v="51"/>
    <s v="Act 2010-082"/>
    <d v="2011-01-10T00:00:00"/>
    <n v="0"/>
    <n v="1000000"/>
  </r>
  <r>
    <s v="1168-02"/>
    <s v="Aria Health Frankford Campus ER Expansion"/>
    <n v="500000"/>
    <x v="51"/>
    <s v="Act 2010-082"/>
    <d v="2011-01-03T00:00:00"/>
    <n v="0"/>
    <n v="500000"/>
  </r>
  <r>
    <s v="1173-00"/>
    <s v="Philadelphia University-SEED Center"/>
    <n v="2000000"/>
    <x v="51"/>
    <s v="Act 2008-041"/>
    <d v="2010-08-17T00:00:00"/>
    <n v="627157"/>
    <n v="1372843"/>
  </r>
  <r>
    <s v="1173-01"/>
    <s v="Philadelphia University-Arlen Specter Library"/>
    <n v="1970000"/>
    <x v="51"/>
    <s v="Act 2010-047"/>
    <d v="2010-08-17T00:00:00"/>
    <n v="0"/>
    <n v="1970000"/>
  </r>
  <r>
    <s v="1183-00"/>
    <s v="Avenue of the Arts Streetscape"/>
    <n v="900000"/>
    <x v="51"/>
    <s v="Act 2008-041"/>
    <d v="2010-12-20T00:00:00"/>
    <n v="0"/>
    <n v="900000"/>
  </r>
  <r>
    <s v="1183-01"/>
    <s v="Avenue of the Arts Streetscape II"/>
    <n v="1000000"/>
    <x v="51"/>
    <s v="Act 2006-083"/>
    <d v="2010-12-20T00:00:00"/>
    <n v="0"/>
    <n v="1000000"/>
  </r>
  <r>
    <s v="1183-02"/>
    <s v="Avenue of the Arts Streetscape III"/>
    <n v="2000000"/>
    <x v="51"/>
    <s v="Act 2008-041"/>
    <d v="2011-01-03T00:00:00"/>
    <n v="0"/>
    <n v="2000000"/>
  </r>
  <r>
    <s v="1184-00"/>
    <s v="2055 Richmond Street Live Entertainment Venue"/>
    <n v="450000"/>
    <x v="51"/>
    <s v="Act 2010-082"/>
    <d v="2011-01-03T00:00:00"/>
    <n v="0"/>
    <n v="450000"/>
  </r>
  <r>
    <s v="1185-00"/>
    <s v="Laborers District Council Union Office Building"/>
    <n v="2000000"/>
    <x v="51"/>
    <s v="Act 2010-082"/>
    <d v="2010-11-01T00:00:00"/>
    <n v="1228103"/>
    <n v="771897"/>
  </r>
  <r>
    <s v="1215-00"/>
    <s v="Juniper Hotel"/>
    <n v="500000"/>
    <x v="51"/>
    <s v="Act 2010-082"/>
    <d v="2011-01-03T00:00:00"/>
    <n v="0"/>
    <n v="500000"/>
  </r>
  <r>
    <s v="1215-01"/>
    <s v="Juniper Hotel II"/>
    <n v="2000000"/>
    <x v="51"/>
    <s v="Act 2010-082"/>
    <d v="2011-01-03T00:00:00"/>
    <n v="0"/>
    <n v="2000000"/>
  </r>
  <r>
    <s v="1215-02"/>
    <s v="Juniper Hotel III"/>
    <n v="250000"/>
    <x v="51"/>
    <s v="Act 2010-082"/>
    <d v="2011-01-13T00:00:00"/>
    <n v="0"/>
    <n v="250000"/>
  </r>
  <r>
    <s v="1221-00"/>
    <s v="Mantua Supermarket"/>
    <n v="2750000"/>
    <x v="51"/>
    <s v="Act 2010-082"/>
    <d v="2011-01-14T00:00:00"/>
    <n v="0"/>
    <n v="2750000"/>
  </r>
  <r>
    <s v="1229-00"/>
    <s v="Trail at Bartram's Garden"/>
    <n v="1000000"/>
    <x v="51"/>
    <s v="Act 2010-082"/>
    <d v="2011-01-03T00:00:00"/>
    <n v="0"/>
    <n v="1000000"/>
  </r>
  <r>
    <s v="1253-00"/>
    <s v="Gallery at Market East"/>
    <n v="9000000"/>
    <x v="51"/>
    <s v="Act 2008-041"/>
    <d v="2010-11-17T00:00:00"/>
    <n v="2506853"/>
    <n v="6493147"/>
  </r>
  <r>
    <s v="1253-01"/>
    <s v="Gallery at Market East II"/>
    <n v="1500000"/>
    <x v="51"/>
    <s v="Act 2008-041"/>
    <d v="2011-11-04T00:00:00"/>
    <n v="0"/>
    <n v="1500000"/>
  </r>
  <r>
    <s v="1253-02"/>
    <s v="Gallery at Market East - Phase II"/>
    <n v="3000000"/>
    <x v="51"/>
    <s v="Act 2008-041"/>
    <d v="2013-02-11T00:00:00"/>
    <n v="0"/>
    <n v="3000000"/>
  </r>
  <r>
    <s v="1277-00"/>
    <s v="University City Gateway"/>
    <n v="2000000"/>
    <x v="51"/>
    <s v="Act 2008-041"/>
    <d v="2010-12-07T00:00:00"/>
    <n v="0"/>
    <n v="2000000"/>
  </r>
  <r>
    <s v="1277-01"/>
    <s v="University City Gateway II"/>
    <n v="1000000"/>
    <x v="51"/>
    <s v="Act 2008-041"/>
    <d v="2010-12-07T00:00:00"/>
    <n v="0"/>
    <n v="1000000"/>
  </r>
  <r>
    <s v="1277-02"/>
    <s v="University City Gateway III"/>
    <n v="250000"/>
    <x v="51"/>
    <s v="Act 2008-041"/>
    <d v="2010-12-20T00:00:00"/>
    <n v="0"/>
    <n v="250000"/>
  </r>
  <r>
    <s v="1277-03"/>
    <s v="University City Gateway IV"/>
    <n v="250000"/>
    <x v="51"/>
    <s v="Act 2008-041"/>
    <d v="2011-01-03T00:00:00"/>
    <n v="0"/>
    <n v="250000"/>
  </r>
  <r>
    <s v="1277-04"/>
    <s v="University City Gateway V"/>
    <n v="400000"/>
    <x v="51"/>
    <s v="Act 2008-041"/>
    <d v="2011-01-03T00:00:00"/>
    <n v="0"/>
    <n v="400000"/>
  </r>
  <r>
    <s v="1278-00"/>
    <s v="Jewish Community Services-Philadelphia"/>
    <n v="500000"/>
    <x v="51"/>
    <s v="Act 2006-083"/>
    <d v="2010-12-03T00:00:00"/>
    <n v="487500"/>
    <n v="12500"/>
  </r>
  <r>
    <s v="1285-00"/>
    <s v="Impact Veterans Services"/>
    <n v="500000"/>
    <x v="51"/>
    <s v="Act 2006-083"/>
    <d v="2010-12-20T00:00:00"/>
    <n v="0"/>
    <n v="500000"/>
  </r>
  <r>
    <s v="1287-00"/>
    <s v="New Freedom Theatre 2010"/>
    <n v="500000"/>
    <x v="51"/>
    <s v="Act 2010-082"/>
    <d v="2010-12-20T00:00:00"/>
    <n v="0"/>
    <n v="500000"/>
  </r>
  <r>
    <s v="1294-00"/>
    <s v="Paul's Run Retirement Community"/>
    <n v="250000"/>
    <x v="51"/>
    <s v="Act 2010-082"/>
    <d v="2011-01-03T00:00:00"/>
    <n v="0"/>
    <n v="250000"/>
  </r>
  <r>
    <s v="1298-00"/>
    <s v="West Parkside Revitalization"/>
    <n v="400000"/>
    <x v="51"/>
    <s v="Act 2008-041"/>
    <d v="2011-01-03T00:00:00"/>
    <n v="0"/>
    <n v="400000"/>
  </r>
  <r>
    <s v="1302-00"/>
    <s v="Self Help Movement"/>
    <n v="500000"/>
    <x v="51"/>
    <s v="Act 2010-082"/>
    <d v="2011-01-03T00:00:00"/>
    <n v="0"/>
    <n v="500000"/>
  </r>
  <r>
    <s v="3124-00"/>
    <s v="Holocaust Memorial-Benjamin Franklin Parkway"/>
    <n v="1500000"/>
    <x v="51"/>
    <s v="Act 2004-040"/>
    <d v="2007-03-27T00:00:00"/>
    <n v="0"/>
    <n v="1500000"/>
  </r>
  <r>
    <s v="3273-00"/>
    <s v="West Parkside Building"/>
    <n v="0"/>
    <x v="51"/>
    <s v="Act 2008-041"/>
    <d v="2008-11-20T00:00:00"/>
    <n v="0"/>
    <n v="0"/>
  </r>
  <r>
    <s v="3300-00"/>
    <s v="Phila Football Practice Facility - 1st Supplement"/>
    <n v="0"/>
    <x v="51"/>
    <s v="Act 1997- 47"/>
    <d v="2000-06-08T00:00:00"/>
    <n v="0"/>
    <n v="0"/>
  </r>
  <r>
    <s v="3302-00"/>
    <s v="Visiting Nurses Association Building Renovation"/>
    <n v="0"/>
    <x v="51"/>
    <s v="Act 2008-041"/>
    <d v="2009-02-12T00:00:00"/>
    <n v="0"/>
    <n v="0"/>
  </r>
  <r>
    <s v="3331-00"/>
    <s v="Men &amp; Women for Human Excellence"/>
    <n v="0"/>
    <x v="51"/>
    <s v="Act 2008-041"/>
    <d v="2009-03-18T00:00:00"/>
    <n v="0"/>
    <n v="0"/>
  </r>
  <r>
    <s v="3396-00"/>
    <s v="Congreso de Latinos Unidos II"/>
    <n v="0"/>
    <x v="51"/>
    <s v="Act 2008-041"/>
    <d v="2009-05-28T00:00:00"/>
    <n v="0"/>
    <n v="0"/>
  </r>
  <r>
    <s v="3403-00"/>
    <s v="Point Breeze Performing Arts"/>
    <n v="0"/>
    <x v="51"/>
    <s v="Act 1997- 47"/>
    <d v="1998-07-09T00:00:00"/>
    <n v="0"/>
    <n v="0"/>
  </r>
  <r>
    <s v="3431-00"/>
    <s v="Cheltenham-Ogontz Bus Loop Improvements"/>
    <n v="0"/>
    <x v="51"/>
    <s v="Act 2008-041"/>
    <d v="2010-02-17T00:00:00"/>
    <n v="0"/>
    <n v="0"/>
  </r>
  <r>
    <s v="3922-00"/>
    <s v="Philadelphia Energy Solutions Catalytic Cracker"/>
    <n v="15000000"/>
    <x v="51"/>
    <s v="Act 2006-083"/>
    <d v="2013-02-11T00:00:00"/>
    <n v="0"/>
    <n v="15000000"/>
  </r>
  <r>
    <s v="3923-00"/>
    <s v="Central Green Project"/>
    <n v="4000000"/>
    <x v="51"/>
    <s v="Act 2010-082"/>
    <d v="2013-02-11T00:00:00"/>
    <n v="0"/>
    <n v="4000000"/>
  </r>
  <r>
    <s v="3924-00"/>
    <s v="Ambulatory Care Center and Parking Garage"/>
    <n v="3000000"/>
    <x v="51"/>
    <s v="Act 2010-082"/>
    <d v="2013-02-11T00:00:00"/>
    <n v="0"/>
    <n v="3000000"/>
  </r>
  <r>
    <s v="3925-00"/>
    <s v="McNeil Science and Technology Center - Phase II"/>
    <n v="2500000"/>
    <x v="51"/>
    <s v="Act 2008-041"/>
    <d v="2013-02-11T00:00:00"/>
    <n v="0"/>
    <n v="2500000"/>
  </r>
  <r>
    <s v="3926-00"/>
    <s v="PCOM Clinical Learning and Assessment Center"/>
    <n v="1000000"/>
    <x v="51"/>
    <s v="Act 2010-082"/>
    <d v="2013-02-11T00:00:00"/>
    <n v="0"/>
    <n v="1000000"/>
  </r>
  <r>
    <s v="3927-00"/>
    <s v="Center for Culinary Enterprises"/>
    <n v="500000"/>
    <x v="51"/>
    <s v="Act 2010-082"/>
    <d v="2013-02-11T00:00:00"/>
    <n v="0"/>
    <n v="500000"/>
  </r>
  <r>
    <s v="3934-00"/>
    <s v="Project H.O.M.E Wellness Center"/>
    <n v="3000000"/>
    <x v="51"/>
    <s v="Act 2004-040"/>
    <d v="2013-02-11T00:00:00"/>
    <n v="0"/>
    <n v="3000000"/>
  </r>
  <r>
    <s v="3935-00"/>
    <s v="North Philadelphia Regional Transit Center"/>
    <n v="1500000"/>
    <x v="51"/>
    <s v="Act 2010-082"/>
    <d v="2013-02-11T00:00:00"/>
    <n v="0"/>
    <n v="1500000"/>
  </r>
  <r>
    <s v="8001-00"/>
    <s v="Calder Museum"/>
    <n v="0"/>
    <x v="51"/>
    <s v="Act 2004-040"/>
    <d v="2004-09-14T00:00:00"/>
    <n v="0"/>
    <n v="0"/>
  </r>
  <r>
    <s v="8016-00"/>
    <s v="Haven Peniel Senior Citizens Residence"/>
    <n v="0"/>
    <x v="51"/>
    <s v="Act 2008-041"/>
    <d v="2009-03-18T00:00:00"/>
    <n v="0"/>
    <n v="0"/>
  </r>
  <r>
    <s v="8018-00"/>
    <s v="Pleasant Playground"/>
    <n v="0"/>
    <x v="51"/>
    <s v="Act 2000-027"/>
    <d v="2006-03-15T00:00:00"/>
    <n v="0"/>
    <n v="0"/>
  </r>
  <r>
    <s v="8018-01"/>
    <s v="Pleasant Playground II"/>
    <n v="0"/>
    <x v="51"/>
    <s v="Act 2004-040"/>
    <d v="2006-07-14T00:00:00"/>
    <n v="0"/>
    <n v="0"/>
  </r>
  <r>
    <s v="8020-00"/>
    <s v="Lawndale Revitalization"/>
    <n v="0"/>
    <x v="51"/>
    <s v="Act 2002-131"/>
    <d v="2006-05-19T00:00:00"/>
    <n v="0"/>
    <n v="0"/>
  </r>
  <r>
    <s v="8023-00"/>
    <s v="Brooklyn Heights Housing Project"/>
    <n v="0"/>
    <x v="51"/>
    <s v="Act 2008-041"/>
    <d v="2008-10-15T00:00:00"/>
    <n v="0"/>
    <n v="0"/>
  </r>
  <r>
    <s v="8028-00"/>
    <s v="Kinsessing Heights Revitalization"/>
    <n v="0"/>
    <x v="51"/>
    <s v="Act 2008-041"/>
    <d v="2009-05-12T00:00:00"/>
    <n v="0"/>
    <n v="0"/>
  </r>
  <r>
    <s v="8035-01"/>
    <s v="Chelten and Pulaski Revitalization II"/>
    <n v="0"/>
    <x v="51"/>
    <s v="Act 2008-041"/>
    <d v="2010-11-29T00:00:00"/>
    <n v="0"/>
    <n v="0"/>
  </r>
  <r>
    <s v="8045-00"/>
    <s v="Jewish Community Center-Philadelphia"/>
    <n v="0"/>
    <x v="51"/>
    <s v="Act 2006-083"/>
    <d v="2006-09-14T00:00:00"/>
    <n v="0"/>
    <n v="0"/>
  </r>
  <r>
    <s v="8049-00"/>
    <s v="413 Hope Mission-Billy Penn Warehouse"/>
    <n v="0"/>
    <x v="51"/>
    <s v="Act 2002-131"/>
    <d v="2003-04-11T00:00:00"/>
    <n v="0"/>
    <n v="0"/>
  </r>
  <r>
    <s v="8060-02"/>
    <s v="Ogontz Plaza Redevelopment"/>
    <n v="0"/>
    <x v="51"/>
    <s v="Act 2008-041"/>
    <d v="2010-09-15T00:00:00"/>
    <n v="0"/>
    <n v="0"/>
  </r>
  <r>
    <s v="8060-03"/>
    <s v="West Oak Lane Plaza III"/>
    <n v="0"/>
    <x v="51"/>
    <s v="Act 2008-041"/>
    <d v="2010-12-20T00:00:00"/>
    <n v="0"/>
    <n v="0"/>
  </r>
  <r>
    <s v="8065-00"/>
    <s v="Morning Star Community Center"/>
    <n v="0"/>
    <x v="51"/>
    <s v="Act 2004-040"/>
    <d v="2007-11-28T00:00:00"/>
    <n v="0"/>
    <n v="0"/>
  </r>
  <r>
    <s v="8066-00"/>
    <s v="Susquehanna Commercial Corridor Revitalization"/>
    <n v="0"/>
    <x v="51"/>
    <s v="Act 2006-083"/>
    <d v="2008-03-12T00:00:00"/>
    <n v="0"/>
    <n v="0"/>
  </r>
  <r>
    <s v="8068-00"/>
    <s v="New Jerusalem Project"/>
    <n v="0"/>
    <x v="51"/>
    <s v="Act 2008-041"/>
    <d v="2009-03-18T00:00:00"/>
    <n v="0"/>
    <n v="0"/>
  </r>
  <r>
    <s v="8069-00"/>
    <s v="Germantown Revitalization"/>
    <n v="0"/>
    <x v="51"/>
    <s v="Act 2008-041"/>
    <d v="2009-03-25T00:00:00"/>
    <n v="0"/>
    <n v="0"/>
  </r>
  <r>
    <s v="8075-00"/>
    <s v="Porter's Community Expansion"/>
    <n v="0"/>
    <x v="51"/>
    <s v="Act 2010-082"/>
    <d v="2010-12-20T00:00:00"/>
    <n v="0"/>
    <n v="0"/>
  </r>
  <r>
    <s v="8076-00"/>
    <s v="Intercultural Family Services Inc."/>
    <n v="0"/>
    <x v="51"/>
    <s v="Act 2010-082"/>
    <d v="2011-01-03T00:00:00"/>
    <n v="0"/>
    <n v="0"/>
  </r>
  <r>
    <s v="8085-00"/>
    <s v="Roxborough Memorial Hospital"/>
    <n v="0"/>
    <x v="51"/>
    <s v="Act 2010-082"/>
    <d v="2010-12-03T00:00:00"/>
    <n v="0"/>
    <n v="0"/>
  </r>
  <r>
    <s v="0128-00"/>
    <s v="Wallenpaupack Education Center"/>
    <n v="500000"/>
    <x v="52"/>
    <s v="Act 1999-035"/>
    <d v="2000-04-13T00:00:00"/>
    <n v="500000"/>
    <n v="0"/>
  </r>
  <r>
    <s v="0181-00"/>
    <s v="Mt Laurel Center for the Performing Arts"/>
    <n v="15000000"/>
    <x v="52"/>
    <s v="Act 1999-035"/>
    <d v="2001-10-03T00:00:00"/>
    <n v="15000000"/>
    <n v="0"/>
  </r>
  <r>
    <s v="0237-00"/>
    <s v="Grey Towers"/>
    <n v="2000000"/>
    <x v="52"/>
    <s v="Act 1999-035"/>
    <d v="2002-10-03T00:00:00"/>
    <n v="2000000"/>
    <n v="0"/>
  </r>
  <r>
    <s v="0480-00"/>
    <s v="Pocono Environmental Education Center"/>
    <n v="500000"/>
    <x v="52"/>
    <s v="Act 2002-131"/>
    <d v="2006-01-30T00:00:00"/>
    <n v="500000"/>
    <n v="0"/>
  </r>
  <r>
    <s v="0723-00"/>
    <s v="Pike County Library System"/>
    <n v="1000000"/>
    <x v="52"/>
    <s v="Act 2006-083"/>
    <d v="2008-09-11T00:00:00"/>
    <n v="0"/>
    <n v="1000000"/>
  </r>
  <r>
    <s v="0253-02"/>
    <s v="Northcentral KOZ-Chattanooga Labeling - Telcov"/>
    <n v="300000"/>
    <x v="53"/>
    <s v="Act 2000-027"/>
    <d v="2002-11-22T00:00:00"/>
    <n v="300000"/>
    <n v="0"/>
  </r>
  <r>
    <s v="0253-03"/>
    <s v="Northcentral KOZ-Coudersport Industrial Park"/>
    <n v="100000"/>
    <x v="53"/>
    <s v="Act 2000-027"/>
    <d v="2002-11-22T00:00:00"/>
    <n v="100000"/>
    <n v="0"/>
  </r>
  <r>
    <s v="1188-00"/>
    <s v="Charles Cole Memorial Hospital"/>
    <n v="1000000"/>
    <x v="53"/>
    <s v="Act 2010-082"/>
    <d v="2011-01-03T00:00:00"/>
    <n v="556535"/>
    <n v="443465"/>
  </r>
  <r>
    <s v="0217-00"/>
    <s v="Tidewood East Industrial Park"/>
    <n v="500000"/>
    <x v="54"/>
    <s v="Act 1999-035"/>
    <d v="2000-12-12T00:00:00"/>
    <n v="500000"/>
    <n v="0"/>
  </r>
  <r>
    <s v="0268-00"/>
    <s v="Tamaqua Education and Workforce Training Center"/>
    <n v="5000000"/>
    <x v="54"/>
    <s v="Act 2002-131"/>
    <d v="2002-12-10T00:00:00"/>
    <n v="5000000"/>
    <n v="0"/>
  </r>
  <r>
    <s v="0319-00"/>
    <s v="Air Products"/>
    <n v="600000"/>
    <x v="54"/>
    <s v="Act 2004-040"/>
    <d v="2004-11-19T00:00:00"/>
    <n v="600000"/>
    <n v="0"/>
  </r>
  <r>
    <s v="0319-01"/>
    <s v="Air Products II"/>
    <n v="600000"/>
    <x v="54"/>
    <s v="Act 2004-040"/>
    <d v="2004-11-19T00:00:00"/>
    <n v="600000"/>
    <n v="0"/>
  </r>
  <r>
    <s v="0692-00"/>
    <s v="Schuylkill Women in Crisis"/>
    <n v="1000000"/>
    <x v="54"/>
    <s v="Act 2008-041"/>
    <d v="2008-08-25T00:00:00"/>
    <n v="1000000"/>
    <n v="0"/>
  </r>
  <r>
    <s v="0832-00"/>
    <s v="Pottsville Intermodal Center"/>
    <n v="3000000"/>
    <x v="54"/>
    <s v="Act 2006-083"/>
    <d v="2009-05-28T00:00:00"/>
    <n v="2925000"/>
    <n v="75000"/>
  </r>
  <r>
    <s v="0995-00"/>
    <s v="Schuylkill County Children and Youth Building"/>
    <n v="500000"/>
    <x v="54"/>
    <s v="Act 2004-040"/>
    <d v="2008-08-25T00:00:00"/>
    <n v="0"/>
    <n v="500000"/>
  </r>
  <r>
    <s v="1226-00"/>
    <s v="St. Luke's Miners Memorial Hospital"/>
    <n v="250000"/>
    <x v="54"/>
    <s v="Act 2006-083"/>
    <d v="2010-12-07T00:00:00"/>
    <n v="0"/>
    <n v="250000"/>
  </r>
  <r>
    <s v="1226-01"/>
    <s v="St. Luke's Miners Memorial Hospital II"/>
    <n v="500000"/>
    <x v="54"/>
    <s v="Act 2006-083"/>
    <d v="2011-01-03T00:00:00"/>
    <n v="0"/>
    <n v="500000"/>
  </r>
  <r>
    <s v="1226-02"/>
    <s v="St. Luke's Miners Surgical Center"/>
    <n v="750000"/>
    <x v="54"/>
    <s v="Act 2006-083"/>
    <d v="2013-02-11T00:00:00"/>
    <n v="0"/>
    <n v="750000"/>
  </r>
  <r>
    <s v="1239-00"/>
    <s v="Schuylkill Medical Center"/>
    <n v="500000"/>
    <x v="54"/>
    <s v="Act 2010-082"/>
    <d v="2011-01-03T00:00:00"/>
    <n v="0"/>
    <n v="500000"/>
  </r>
  <r>
    <s v="1260-00"/>
    <s v="Tamaqua Historical Society Museum"/>
    <n v="250000"/>
    <x v="54"/>
    <s v="Act 2008-041"/>
    <d v="2011-01-03T00:00:00"/>
    <n v="0"/>
    <n v="250000"/>
  </r>
  <r>
    <s v="1260-01"/>
    <s v="Tamaqua Historical Society Museum II"/>
    <n v="250000"/>
    <x v="54"/>
    <s v="Act 2006-083"/>
    <d v="2011-01-03T00:00:00"/>
    <n v="0"/>
    <n v="250000"/>
  </r>
  <r>
    <s v="1289-00"/>
    <s v="Highridge Business Park"/>
    <n v="500000"/>
    <x v="54"/>
    <s v="Act 2010-082"/>
    <d v="2011-01-03T00:00:00"/>
    <n v="0"/>
    <n v="500000"/>
  </r>
  <r>
    <s v="0774-00"/>
    <s v="Susquehanna University Science Facility"/>
    <n v="4000000"/>
    <x v="55"/>
    <s v="Act 2008-041"/>
    <d v="2008-08-28T00:00:00"/>
    <n v="4000000"/>
    <n v="0"/>
  </r>
  <r>
    <s v="0774-01"/>
    <s v="Susquehanna University Science Facility II"/>
    <n v="500000"/>
    <x v="55"/>
    <s v="Act 2008-041"/>
    <d v="2008-09-08T00:00:00"/>
    <n v="387500"/>
    <n v="112500"/>
  </r>
  <r>
    <s v="0774-02"/>
    <s v="Susquehanna University Science Center III"/>
    <n v="0"/>
    <x v="55"/>
    <s v="Act 2008-041"/>
    <d v="2009-02-12T00:00:00"/>
    <n v="0"/>
    <n v="0"/>
  </r>
  <r>
    <s v="1266-00"/>
    <s v="Selinsgrove Borough Community Building"/>
    <n v="1250000"/>
    <x v="55"/>
    <s v="Act 2010-082"/>
    <d v="2011-01-03T00:00:00"/>
    <n v="1045598"/>
    <n v="204402"/>
  </r>
  <r>
    <s v="0041-00"/>
    <s v="Arcadia Theater"/>
    <n v="2682000"/>
    <x v="56"/>
    <s v="Act 1993- 47"/>
    <d v="1993-07-01T00:00:00"/>
    <n v="2682000.0000000005"/>
    <n v="0"/>
  </r>
  <r>
    <s v="0278-00"/>
    <s v="Windber Biotech"/>
    <n v="2000000"/>
    <x v="56"/>
    <s v="Act 2002-131"/>
    <d v="2003-04-11T00:00:00"/>
    <n v="2000000"/>
    <n v="0"/>
  </r>
  <r>
    <s v="0278-01"/>
    <s v="Windber Biotech II"/>
    <n v="1000000"/>
    <x v="56"/>
    <s v="Act 2004-040"/>
    <d v="2006-03-15T00:00:00"/>
    <n v="1000000"/>
    <n v="0"/>
  </r>
  <r>
    <s v="0575-00"/>
    <s v="Somerset county Redevelopment-Bakersville"/>
    <n v="1000000"/>
    <x v="56"/>
    <s v="Act 2006-083"/>
    <d v="2006-07-14T00:00:00"/>
    <n v="1000000"/>
    <n v="0"/>
  </r>
  <r>
    <s v="0710-00"/>
    <s v="Somerset Hospital"/>
    <n v="500000"/>
    <x v="56"/>
    <s v="Act 2006-083"/>
    <d v="2008-09-26T00:00:00"/>
    <n v="500000"/>
    <n v="0"/>
  </r>
  <r>
    <s v="0710-01"/>
    <s v="Somerset Hospital II"/>
    <n v="1250000"/>
    <x v="56"/>
    <s v="Act 2010-082"/>
    <d v="2010-11-22T00:00:00"/>
    <n v="277044"/>
    <n v="972956"/>
  </r>
  <r>
    <s v="0866-00"/>
    <s v="Flight 93 National Memorial"/>
    <n v="10000000"/>
    <x v="56"/>
    <s v="Act 2006-083"/>
    <d v="2006-09-11T00:00:00"/>
    <n v="10000000"/>
    <n v="0"/>
  </r>
  <r>
    <s v="1091-00"/>
    <s v="Windber Medical Center ER"/>
    <n v="500000"/>
    <x v="56"/>
    <s v="Act 2010-082"/>
    <d v="2010-11-01T00:00:00"/>
    <n v="0"/>
    <n v="500000"/>
  </r>
  <r>
    <s v="1202-00"/>
    <s v="Allegany College of Maryland-Somerset Campus"/>
    <n v="1500000"/>
    <x v="56"/>
    <s v="Act 2010-082"/>
    <d v="2010-12-03T00:00:00"/>
    <n v="0"/>
    <n v="1500000"/>
  </r>
  <r>
    <s v="3928-00"/>
    <s v="Myersdale Medical Office"/>
    <n v="1000000"/>
    <x v="56"/>
    <s v="Act 2010-082"/>
    <d v="2013-02-11T00:00:00"/>
    <n v="0"/>
    <n v="1000000"/>
  </r>
  <r>
    <s v="0330-00"/>
    <s v="Eagles Mere"/>
    <n v="1000000"/>
    <x v="57"/>
    <s v="Act 2004-040"/>
    <d v="2004-10-08T00:00:00"/>
    <n v="1000000"/>
    <n v="0"/>
  </r>
  <r>
    <s v="0862-00"/>
    <s v="Endless Mountains Health System"/>
    <n v="1000000"/>
    <x v="58"/>
    <s v="Act 2006-083"/>
    <d v="2009-05-28T00:00:00"/>
    <n v="1000000"/>
    <n v="0"/>
  </r>
  <r>
    <s v="0862-01"/>
    <s v="Endless Mountains Health System II"/>
    <n v="1000000"/>
    <x v="58"/>
    <s v="Act 2006-083"/>
    <d v="2009-05-28T00:00:00"/>
    <n v="166222"/>
    <n v="833778"/>
  </r>
  <r>
    <s v="0862-02"/>
    <s v="Endless Mountains Health System III"/>
    <n v="1000000"/>
    <x v="58"/>
    <s v="Act 2006-083"/>
    <d v="2010-12-07T00:00:00"/>
    <n v="0"/>
    <n v="1000000"/>
  </r>
  <r>
    <s v="0862-03"/>
    <s v="Endless Mountains Health System IV"/>
    <n v="1000000"/>
    <x v="58"/>
    <s v="Act 2006-083"/>
    <d v="2010-12-08T00:00:00"/>
    <n v="0"/>
    <n v="1000000"/>
  </r>
  <r>
    <s v="0133-00"/>
    <s v="Mansfield Pool"/>
    <n v="600000"/>
    <x v="59"/>
    <s v="Act 1999-035"/>
    <d v="2000-05-06T00:00:00"/>
    <n v="600000"/>
    <n v="0"/>
  </r>
  <r>
    <s v="0840-00"/>
    <s v="Soldiers and Sailors Memorial Hospital"/>
    <n v="3000000"/>
    <x v="59"/>
    <s v="Act 2006-083"/>
    <d v="2009-05-28T00:00:00"/>
    <n v="2925000"/>
    <n v="75000"/>
  </r>
  <r>
    <s v="1170-00"/>
    <s v="Mansfield Central Business District Revitalization"/>
    <n v="3000000"/>
    <x v="59"/>
    <s v="Act 2010-082"/>
    <d v="2010-11-15T00:00:00"/>
    <n v="0"/>
    <n v="3000000"/>
  </r>
  <r>
    <s v="3825-00"/>
    <s v="Hydraulic Stimulation Fluid Manufacturing Facility"/>
    <n v="500000"/>
    <x v="59"/>
    <s v="Act 2010-082"/>
    <d v="2011-01-03T00:00:00"/>
    <n v="0"/>
    <n v="500000"/>
  </r>
  <r>
    <s v="8036-00"/>
    <s v="Wellsboro &amp; Corning Rail Yard Improvements"/>
    <n v="0"/>
    <x v="59"/>
    <s v="Act 2010-082"/>
    <d v="2010-12-07T00:00:00"/>
    <n v="0"/>
    <n v="0"/>
  </r>
  <r>
    <s v="0178-00"/>
    <s v="Great Streams Commons "/>
    <n v="3350000"/>
    <x v="60"/>
    <s v="Act 1999-035"/>
    <d v="2001-01-22T00:00:00"/>
    <n v="3350000"/>
    <n v="0"/>
  </r>
  <r>
    <s v="0818-00"/>
    <s v="Bucknell University-Bull Run Gateway Project"/>
    <n v="9000000"/>
    <x v="60"/>
    <s v="Act 2008-041"/>
    <d v="2008-08-28T00:00:00"/>
    <n v="9000000"/>
    <n v="0"/>
  </r>
  <r>
    <s v="0818-01"/>
    <s v="Bucknell University-Bull Run Gateway II"/>
    <n v="1000000"/>
    <x v="60"/>
    <s v="Act 2008-041"/>
    <d v="2010-08-03T00:00:00"/>
    <n v="1000000"/>
    <n v="0"/>
  </r>
  <r>
    <s v="0818-02"/>
    <s v="Bucknell Innovation Center"/>
    <n v="500000"/>
    <x v="60"/>
    <s v="Act 2004-040"/>
    <d v="2008-04-01T00:00:00"/>
    <n v="237500"/>
    <n v="262500"/>
  </r>
  <r>
    <s v="0921-00"/>
    <s v="Evangelical Community Hospital-Lewisburg"/>
    <n v="1000000"/>
    <x v="60"/>
    <s v="Act 2008-041"/>
    <d v="2010-02-23T00:00:00"/>
    <n v="873503"/>
    <n v="126497"/>
  </r>
  <r>
    <s v="0950-00"/>
    <s v="Penn Commons"/>
    <n v="1500000"/>
    <x v="60"/>
    <s v="Act 2006-083"/>
    <d v="2010-08-24T00:00:00"/>
    <n v="0"/>
    <n v="1500000"/>
  </r>
  <r>
    <s v="3158-00"/>
    <s v="Evangelical Community Hospital-Lewisburg"/>
    <n v="0"/>
    <x v="60"/>
    <s v="Act 2004-040"/>
    <d v="2007-08-27T00:00:00"/>
    <n v="0"/>
    <n v="0"/>
  </r>
  <r>
    <s v="0191-00"/>
    <s v="Barkeyville Industrial Park"/>
    <n v="900000"/>
    <x v="61"/>
    <s v="Act 1999-035"/>
    <d v="2000-05-18T00:00:00"/>
    <n v="900000"/>
    <n v="0"/>
  </r>
  <r>
    <s v="0826-00"/>
    <s v="Sandycreek Industrial Park"/>
    <n v="500000"/>
    <x v="61"/>
    <s v="Act 2008-041"/>
    <d v="2009-05-28T00:00:00"/>
    <n v="0"/>
    <n v="500000"/>
  </r>
  <r>
    <s v="8009-00"/>
    <s v="Venango Two Mile Run Park"/>
    <n v="0"/>
    <x v="61"/>
    <s v="Act 2004-040"/>
    <d v="2004-08-14T00:00:00"/>
    <n v="0"/>
    <n v="0"/>
  </r>
  <r>
    <s v="0072-00"/>
    <s v="Warren County War Memorial Field"/>
    <n v="1500000"/>
    <x v="62"/>
    <s v="Act 1997- 47"/>
    <d v="1998-04-13T00:00:00"/>
    <n v="1482780.9799999997"/>
    <n v="17219.02"/>
  </r>
  <r>
    <s v="0119-00"/>
    <s v="Warren County Technology Center"/>
    <n v="1000000"/>
    <x v="62"/>
    <s v="Act 1999-035"/>
    <d v="2000-01-20T00:00:00"/>
    <n v="964649"/>
    <n v="35351"/>
  </r>
  <r>
    <s v="0304-00"/>
    <s v="Warren Parking Garage"/>
    <n v="3200000"/>
    <x v="62"/>
    <s v="Act 2002-131"/>
    <d v="2003-04-09T00:00:00"/>
    <n v="3200000.0000000005"/>
    <n v="0"/>
  </r>
  <r>
    <s v="0304-01"/>
    <s v="Warren Parking Garage II"/>
    <n v="4750000"/>
    <x v="62"/>
    <s v="Act 2002-131"/>
    <d v="2004-08-14T00:00:00"/>
    <n v="4750000"/>
    <n v="0"/>
  </r>
  <r>
    <s v="0605-00"/>
    <s v="Warren General Hospital-Pine Grove"/>
    <n v="1000000"/>
    <x v="62"/>
    <s v="Act 2006-083"/>
    <d v="2007-07-14T00:00:00"/>
    <n v="1000000"/>
    <n v="0"/>
  </r>
  <r>
    <s v="0741-00"/>
    <s v="Blair LLC Call Center"/>
    <n v="1400000"/>
    <x v="62"/>
    <s v="Act 2008-041"/>
    <d v="2009-03-26T00:00:00"/>
    <n v="1400000"/>
    <n v="0"/>
  </r>
  <r>
    <s v="0741-01"/>
    <s v="Blair LLC Call Center"/>
    <n v="500000"/>
    <x v="62"/>
    <s v="Act 2008-041"/>
    <d v="2010-02-03T00:00:00"/>
    <n v="0"/>
    <n v="500000"/>
  </r>
  <r>
    <s v="0741-02"/>
    <s v="Blair LLC Call Center III"/>
    <n v="250000"/>
    <x v="62"/>
    <s v="Act 2008-041"/>
    <d v="2010-02-03T00:00:00"/>
    <n v="0"/>
    <n v="250000"/>
  </r>
  <r>
    <s v="1077-00"/>
    <s v="Innovate Warren"/>
    <n v="2500000"/>
    <x v="62"/>
    <s v="Act 2008-041"/>
    <d v="2010-11-15T00:00:00"/>
    <n v="0"/>
    <n v="2500000"/>
  </r>
  <r>
    <s v="8080-00"/>
    <s v="BVK Inc. Warren Project"/>
    <n v="0"/>
    <x v="62"/>
    <s v="Act 2010-082"/>
    <d v="2011-01-03T00:00:00"/>
    <n v="0"/>
    <n v="0"/>
  </r>
  <r>
    <s v="8080-01"/>
    <s v="BVK Inc. Warren Project II"/>
    <n v="0"/>
    <x v="62"/>
    <s v="Act 2006-083"/>
    <d v="2011-01-10T00:00:00"/>
    <n v="0"/>
    <n v="0"/>
  </r>
  <r>
    <s v="0000-28"/>
    <s v="Malden Park (DCA)"/>
    <n v="1000000"/>
    <x v="63"/>
    <s v="Act 1986-118"/>
    <m/>
    <n v="1000000"/>
    <n v="0"/>
  </r>
  <r>
    <s v="0079-00"/>
    <s v="Southpointe Expansion"/>
    <n v="1350000"/>
    <x v="63"/>
    <s v="Act 1997- 47"/>
    <d v="1998-06-12T00:00:00"/>
    <n v="1350000"/>
    <n v="0"/>
  </r>
  <r>
    <s v="0135-00"/>
    <s v="PONY Baseball"/>
    <n v="1750000"/>
    <x v="63"/>
    <s v="Act 2000-027"/>
    <d v="2000-11-20T00:00:00"/>
    <n v="1750000"/>
    <n v="0"/>
  </r>
  <r>
    <s v="0183-00"/>
    <s v="Starpointe (Star Lake) Industrial Park"/>
    <n v="2400000"/>
    <x v="63"/>
    <s v="Act 1997- 47"/>
    <d v="2000-12-18T00:00:00"/>
    <n v="2400000"/>
    <n v="0"/>
  </r>
  <r>
    <s v="0183-01"/>
    <s v="Starpointe II"/>
    <n v="1000000"/>
    <x v="63"/>
    <s v="Act 2002-131"/>
    <d v="2004-08-16T00:00:00"/>
    <n v="1000000"/>
    <n v="0"/>
  </r>
  <r>
    <s v="0235-00"/>
    <s v="Peters Township Recreation Center"/>
    <n v="750000"/>
    <x v="63"/>
    <s v="Act 2002-131"/>
    <d v="2002-12-23T00:00:00"/>
    <n v="750000"/>
    <n v="0"/>
  </r>
  <r>
    <s v="0322-00"/>
    <s v="Southpointe II - Western Center"/>
    <n v="1000000"/>
    <x v="63"/>
    <s v="Act 2002-131"/>
    <d v="2004-08-16T00:00:00"/>
    <n v="1000000"/>
    <n v="0"/>
  </r>
  <r>
    <s v="0334-00"/>
    <s v="Washington Crossroads"/>
    <n v="9000000"/>
    <x v="63"/>
    <s v="Act 2004-040"/>
    <d v="2004-08-16T00:00:00"/>
    <n v="9000000"/>
    <n v="0"/>
  </r>
  <r>
    <s v="0337-00"/>
    <s v="Alta Vista-MIDI"/>
    <n v="1000000"/>
    <x v="63"/>
    <s v="Act 2004-040"/>
    <d v="2004-08-16T00:00:00"/>
    <n v="1000000"/>
    <n v="0"/>
  </r>
  <r>
    <s v="0407-00"/>
    <s v="Canonsburg Hospital"/>
    <n v="1000000"/>
    <x v="63"/>
    <s v="Act 2004-040"/>
    <d v="2005-05-20T00:00:00"/>
    <n v="1000000"/>
    <n v="0"/>
  </r>
  <r>
    <s v="0407-01"/>
    <s v="Canonsburg Hospital"/>
    <n v="750000"/>
    <x v="63"/>
    <s v="Act 2004-040"/>
    <d v="2005-05-20T00:00:00"/>
    <n v="750000"/>
    <n v="0"/>
  </r>
  <r>
    <s v="0407-02"/>
    <s v="Canonsburg Hospital"/>
    <n v="750000"/>
    <x v="63"/>
    <s v="Act 2004-040"/>
    <d v="2005-05-20T00:00:00"/>
    <n v="750000"/>
    <n v="0"/>
  </r>
  <r>
    <s v="0483-00"/>
    <s v="Meadowcroft Rockshelter"/>
    <n v="500000"/>
    <x v="63"/>
    <s v="Act 2002-131"/>
    <d v="2006-01-04T00:00:00"/>
    <n v="500000"/>
    <n v="0"/>
  </r>
  <r>
    <s v="0483-01"/>
    <s v="Meadowcroft Rock Shelter II"/>
    <n v="250000"/>
    <x v="63"/>
    <s v="Act 2002-131"/>
    <d v="2006-01-30T00:00:00"/>
    <n v="250000"/>
    <n v="0"/>
  </r>
  <r>
    <s v="0483-02"/>
    <s v="Meadowcroft Rockshelter III"/>
    <n v="1250000"/>
    <x v="63"/>
    <s v="Act 2002-131"/>
    <d v="2007-08-27T00:00:00"/>
    <n v="1200000"/>
    <n v="50000"/>
  </r>
  <r>
    <s v="0634-00"/>
    <s v="Canonsburg Library"/>
    <n v="500000"/>
    <x v="63"/>
    <s v="Act 2004-040"/>
    <d v="2007-01-15T00:00:00"/>
    <n v="500000"/>
    <n v="0"/>
  </r>
  <r>
    <s v="0634-01"/>
    <s v="Canonsburg Library II"/>
    <n v="250000"/>
    <x v="63"/>
    <s v="Act 2004-040"/>
    <d v="2007-02-05T00:00:00"/>
    <n v="250000"/>
    <n v="0"/>
  </r>
  <r>
    <s v="0634-02"/>
    <s v="Canonsburg Library III"/>
    <n v="250000"/>
    <x v="63"/>
    <s v="Act 2004-040"/>
    <d v="2007-11-08T00:00:00"/>
    <n v="250000"/>
    <n v="0"/>
  </r>
  <r>
    <s v="0634-03"/>
    <s v="Canonsburg Library IV"/>
    <n v="500000"/>
    <x v="63"/>
    <s v="Act 2008-041"/>
    <d v="2011-01-03T00:00:00"/>
    <n v="500000"/>
    <n v="0"/>
  </r>
  <r>
    <s v="0688-00"/>
    <s v="Starpointe Business Park III-1B"/>
    <n v="2000000"/>
    <x v="63"/>
    <s v="Act 2006-083"/>
    <d v="2008-08-28T00:00:00"/>
    <n v="0"/>
    <n v="2000000"/>
  </r>
  <r>
    <s v="0688-01"/>
    <s v="Starpointe Business Park IV-1B"/>
    <n v="250000"/>
    <x v="63"/>
    <s v="Act 2010-082"/>
    <d v="2010-12-20T00:00:00"/>
    <n v="0"/>
    <n v="250000"/>
  </r>
  <r>
    <s v="0735-00"/>
    <s v="Washington Hospital Expansion"/>
    <n v="1000000"/>
    <x v="63"/>
    <s v="Act 2008-041"/>
    <d v="2008-10-14T00:00:00"/>
    <n v="1000000"/>
    <n v="0"/>
  </r>
  <r>
    <s v="0735-01"/>
    <s v="Washington Hospital Expansion II"/>
    <n v="500000"/>
    <x v="63"/>
    <s v="Act 2008-041"/>
    <d v="2008-10-30T00:00:00"/>
    <n v="500000"/>
    <n v="0"/>
  </r>
  <r>
    <s v="0775-00"/>
    <s v="Washington Wild Things Stadium"/>
    <n v="500000"/>
    <x v="63"/>
    <s v="Act 2004-040"/>
    <d v="2009-03-09T00:00:00"/>
    <n v="484701"/>
    <n v="15299"/>
  </r>
  <r>
    <s v="0784-00"/>
    <s v="PA Trolley Museum"/>
    <n v="250000"/>
    <x v="63"/>
    <s v="Act 2008-041"/>
    <d v="2009-02-12T00:00:00"/>
    <n v="0"/>
    <n v="250000"/>
  </r>
  <r>
    <s v="0823-00"/>
    <s v="United Cerebral Palsy of SW PA"/>
    <n v="500000"/>
    <x v="63"/>
    <s v="Act 2006-083"/>
    <d v="2009-02-12T00:00:00"/>
    <n v="500000"/>
    <n v="0"/>
  </r>
  <r>
    <s v="0823-01"/>
    <s v="United Ceberal Palsy of SW PA II"/>
    <n v="250000"/>
    <x v="63"/>
    <s v="Act 2006-083"/>
    <d v="2009-03-25T00:00:00"/>
    <n v="250000"/>
    <n v="0"/>
  </r>
  <r>
    <s v="0824-00"/>
    <s v="Centerville Clinics"/>
    <n v="500000"/>
    <x v="63"/>
    <s v="Act 2004-040"/>
    <d v="2009-02-12T00:00:00"/>
    <n v="487500"/>
    <n v="12500"/>
  </r>
  <r>
    <s v="0900-00"/>
    <s v="Southpointe II"/>
    <n v="500000"/>
    <x v="63"/>
    <s v="Act 2008-041"/>
    <d v="2010-02-08T00:00:00"/>
    <n v="500000"/>
    <n v="0"/>
  </r>
  <r>
    <s v="0900-01"/>
    <s v="Southpointe III"/>
    <n v="600000"/>
    <x v="63"/>
    <s v="Act 2010-082"/>
    <d v="2010-12-20T00:00:00"/>
    <n v="550500"/>
    <n v="49500"/>
  </r>
  <r>
    <s v="0946-00"/>
    <s v="Washington County Hotel-California University"/>
    <n v="5000000"/>
    <x v="63"/>
    <s v="Act 2010-047"/>
    <d v="2010-08-30T00:00:00"/>
    <n v="1500000"/>
    <n v="3500000"/>
  </r>
  <r>
    <s v="1059-00"/>
    <s v="Greater Washington County Food Bank"/>
    <n v="500000"/>
    <x v="63"/>
    <s v="Act 2006-083"/>
    <d v="2010-10-12T00:00:00"/>
    <n v="0"/>
    <n v="500000"/>
  </r>
  <r>
    <s v="1060-00"/>
    <s v="Washington Park"/>
    <n v="350000"/>
    <x v="63"/>
    <s v="Act 2008-041"/>
    <d v="2010-10-12T00:00:00"/>
    <n v="0"/>
    <n v="350000"/>
  </r>
  <r>
    <s v="1093-00"/>
    <s v="Community Networks Solar Park"/>
    <n v="350000"/>
    <x v="63"/>
    <s v="Act 2010-082"/>
    <d v="2010-11-22T00:00:00"/>
    <n v="343000"/>
    <n v="7000"/>
  </r>
  <r>
    <s v="1098-00"/>
    <s v="Washington &amp; Jefferson College Dieter-Porter Reno"/>
    <n v="1000000"/>
    <x v="63"/>
    <s v="Act 2004-040"/>
    <d v="2010-11-15T00:00:00"/>
    <n v="507070"/>
    <n v="492930"/>
  </r>
  <r>
    <s v="1123-00"/>
    <s v="Chartiers Township Community Center"/>
    <n v="500000"/>
    <x v="63"/>
    <s v="Act 2008-041"/>
    <d v="2010-10-21T00:00:00"/>
    <n v="0"/>
    <n v="500000"/>
  </r>
  <r>
    <s v="1192-00"/>
    <s v="Canonsburg Armory"/>
    <n v="650000"/>
    <x v="63"/>
    <s v="Act 2010-082"/>
    <d v="2011-01-03T00:00:00"/>
    <n v="0"/>
    <n v="650000"/>
  </r>
  <r>
    <s v="1283-00"/>
    <s v="Bentleyville Multipurpose Community Library"/>
    <n v="400000"/>
    <x v="63"/>
    <s v="Act 2010-082"/>
    <d v="2010-12-20T00:00:00"/>
    <n v="0"/>
    <n v="400000"/>
  </r>
  <r>
    <s v="1284-00"/>
    <s v="Alta Vista II"/>
    <n v="250000"/>
    <x v="63"/>
    <s v="Act 2010-082"/>
    <d v="2010-12-20T00:00:00"/>
    <n v="0"/>
    <n v="250000"/>
  </r>
  <r>
    <s v="3929-00"/>
    <s v="Starpointe Business Park Phase 1-B Infrastructure"/>
    <n v="1500000"/>
    <x v="63"/>
    <s v="Act 2010-082"/>
    <d v="2013-02-11T00:00:00"/>
    <n v="0"/>
    <n v="1500000"/>
  </r>
  <r>
    <s v="8063-00"/>
    <s v="Mel Blount Youth Home"/>
    <n v="0"/>
    <x v="63"/>
    <s v="Act 2004-040"/>
    <d v="2007-03-29T00:00:00"/>
    <n v="0"/>
    <n v="0"/>
  </r>
  <r>
    <s v="0907-00"/>
    <s v="Western Wayne School District Athletic Fields"/>
    <n v="250000"/>
    <x v="64"/>
    <s v="Act 2008-041"/>
    <d v="2009-10-14T00:00:00"/>
    <n v="0"/>
    <n v="250000"/>
  </r>
  <r>
    <s v="0000-22"/>
    <s v="Alcoa (DCA)"/>
    <n v="2521560"/>
    <x v="65"/>
    <s v="Act 1988-113"/>
    <m/>
    <n v="2521560"/>
    <n v="0"/>
  </r>
  <r>
    <s v="0000-23"/>
    <s v="Volkswagen/Sony (DCA)"/>
    <n v="2169240"/>
    <x v="65"/>
    <s v="Act 1988-113"/>
    <m/>
    <n v="2169240"/>
    <n v="0"/>
  </r>
  <r>
    <s v="0000-24"/>
    <s v="Western Westmoreland (DCA)"/>
    <n v="1167500"/>
    <x v="65"/>
    <s v="Act 1988-113"/>
    <m/>
    <n v="1167500"/>
    <n v="0"/>
  </r>
  <r>
    <s v="0000-25"/>
    <s v="Fitz Henry (DCA)"/>
    <n v="1300000"/>
    <x v="65"/>
    <s v="Act 1988-113"/>
    <m/>
    <n v="1300000"/>
    <n v="0"/>
  </r>
  <r>
    <s v="0051-00"/>
    <s v="Monessen Riverfront"/>
    <n v="3500000"/>
    <x v="65"/>
    <s v="Act 1992-188"/>
    <d v="1993-07-01T00:00:00"/>
    <n v="3500000"/>
    <n v="0"/>
  </r>
  <r>
    <s v="0062-00"/>
    <s v="Greensburg Train Station/Palace Theater"/>
    <n v="3000000"/>
    <x v="65"/>
    <s v="Act 1994- 74"/>
    <d v="1993-07-01T00:00:00"/>
    <n v="3000000"/>
    <n v="0"/>
  </r>
  <r>
    <s v="0076-00"/>
    <s v="South Greensburg Commons"/>
    <n v="1000000"/>
    <x v="65"/>
    <s v="Act 1997- 47"/>
    <d v="1998-06-12T00:00:00"/>
    <n v="1000000"/>
    <n v="0"/>
  </r>
  <r>
    <s v="0078-00"/>
    <s v="Seton Hill College Women's Business Center"/>
    <n v="3000000"/>
    <x v="65"/>
    <s v="Act 1997- 47"/>
    <d v="1998-07-09T00:00:00"/>
    <n v="3000000"/>
    <n v="0"/>
  </r>
  <r>
    <s v="0081-00"/>
    <s v="Westmoreland County Airpark"/>
    <n v="2500000"/>
    <x v="65"/>
    <s v="Act 1997- 47"/>
    <d v="1998-06-12T00:00:00"/>
    <n v="2500000"/>
    <n v="0"/>
  </r>
  <r>
    <s v="0082-00"/>
    <s v="Westmoreland Distribution Center"/>
    <n v="1125000"/>
    <x v="65"/>
    <s v="Act 1997- 47"/>
    <d v="1998-06-12T00:00:00"/>
    <n v="1125000"/>
    <n v="0"/>
  </r>
  <r>
    <s v="0150-00"/>
    <s v="Jeannette Industrial Park"/>
    <n v="2000000"/>
    <x v="65"/>
    <s v="Act 1997- 47"/>
    <d v="2000-12-18T00:00:00"/>
    <n v="2000000"/>
    <n v="0"/>
  </r>
  <r>
    <s v="0172-00"/>
    <s v="Palace, James and Stark Buildings"/>
    <n v="3000000"/>
    <x v="65"/>
    <s v="Act 1994- 74"/>
    <d v="2000-12-05T00:00:00"/>
    <n v="2988229"/>
    <n v="11771"/>
  </r>
  <r>
    <s v="0307-00"/>
    <s v="Seton Hill College University Center"/>
    <n v="5000000"/>
    <x v="65"/>
    <s v="Act 2002-131"/>
    <d v="2004-04-22T00:00:00"/>
    <n v="5000000"/>
    <n v="0"/>
  </r>
  <r>
    <s v="0307-01"/>
    <s v="Seton Hill College Theatre Arts II"/>
    <n v="1000000"/>
    <x v="65"/>
    <s v="Act 2004-040"/>
    <d v="2006-08-17T00:00:00"/>
    <n v="1000000"/>
    <n v="0"/>
  </r>
  <r>
    <s v="0307-02"/>
    <s v="Seton Hill Harrison Avenue Project"/>
    <n v="500000"/>
    <x v="65"/>
    <s v="Act 2006-083"/>
    <d v="2006-12-11T00:00:00"/>
    <n v="500000"/>
    <n v="0"/>
  </r>
  <r>
    <s v="0333-00"/>
    <s v="Westmoreland Technology Park"/>
    <n v="500000"/>
    <x v="65"/>
    <s v="Act 2004-040"/>
    <d v="2004-08-16T00:00:00"/>
    <n v="500000"/>
    <n v="0"/>
  </r>
  <r>
    <s v="0342-00"/>
    <s v="Monessen Riverfront Industrial Park"/>
    <n v="5000000"/>
    <x v="65"/>
    <s v="Act 2004-040"/>
    <d v="2004-08-16T00:00:00"/>
    <n v="5000000"/>
    <n v="0"/>
  </r>
  <r>
    <s v="0352-00"/>
    <s v="Fred Rogers Center for Early Learning"/>
    <n v="5000000"/>
    <x v="65"/>
    <s v="Act 2004-040"/>
    <d v="2004-10-13T00:00:00"/>
    <n v="5000000"/>
    <n v="0"/>
  </r>
  <r>
    <s v="0352-01"/>
    <s v="Fred Rogers Center for Early Learning II"/>
    <n v="1000000"/>
    <x v="65"/>
    <s v="Act 2004-040"/>
    <d v="2007-03-29T00:00:00"/>
    <n v="1000000"/>
    <n v="0"/>
  </r>
  <r>
    <s v="0424-00"/>
    <s v="New Kensington 5th Avenue Project"/>
    <n v="500000"/>
    <x v="65"/>
    <s v="Act 2004-040"/>
    <d v="2004-08-16T00:00:00"/>
    <n v="500000"/>
    <n v="0"/>
  </r>
  <r>
    <s v="0426-00"/>
    <s v="Arnold Redevelopment"/>
    <n v="500000"/>
    <x v="65"/>
    <s v="Act 2004-040"/>
    <d v="2004-08-16T00:00:00"/>
    <n v="500000"/>
    <n v="0"/>
  </r>
  <r>
    <s v="0429-00"/>
    <s v="Jeannette Downtown Redevelopment"/>
    <n v="750000"/>
    <x v="65"/>
    <s v="Act 2004-040"/>
    <d v="2004-08-16T00:00:00"/>
    <n v="527661"/>
    <n v="222339"/>
  </r>
  <r>
    <s v="0440-00"/>
    <s v="Westmoreland Distribution Center  II-Parcel B"/>
    <n v="1000000"/>
    <x v="65"/>
    <s v="Act 2004-040"/>
    <d v="2004-08-16T00:00:00"/>
    <n v="1000000"/>
    <n v="0"/>
  </r>
  <r>
    <s v="0581-00"/>
    <s v="Jeannette South Sixth Street Revitalization"/>
    <n v="500000"/>
    <x v="65"/>
    <s v="Act 2006-083"/>
    <d v="2006-12-11T00:00:00"/>
    <n v="0"/>
    <n v="500000"/>
  </r>
  <r>
    <s v="0608-00"/>
    <s v="Latrobe Area Hospital-Emergency Room"/>
    <n v="500000"/>
    <x v="65"/>
    <s v="Act 2004-040"/>
    <d v="2007-02-05T00:00:00"/>
    <n v="500000"/>
    <n v="0"/>
  </r>
  <r>
    <s v="0608-01"/>
    <s v="Latrobe Area Hospital Emergency Room II"/>
    <n v="100000"/>
    <x v="65"/>
    <s v="Act 2004-040"/>
    <d v="2007-03-08T00:00:00"/>
    <n v="100000"/>
    <n v="0"/>
  </r>
  <r>
    <s v="0608-02"/>
    <s v="Latrobe Are Hospital Emergency Room III"/>
    <n v="100000"/>
    <x v="65"/>
    <s v="Act 2004-040"/>
    <d v="2007-03-08T00:00:00"/>
    <n v="100000"/>
    <n v="0"/>
  </r>
  <r>
    <s v="0608-03"/>
    <s v="Latrobe Area Hospital-Emergency Room IV"/>
    <n v="500000"/>
    <x v="65"/>
    <s v="Act 2004-040"/>
    <d v="2007-03-29T00:00:00"/>
    <n v="500000"/>
    <n v="0"/>
  </r>
  <r>
    <s v="0615-00"/>
    <s v="Hempfield Township Recreation Center"/>
    <n v="500000"/>
    <x v="65"/>
    <s v="Act 2006-083"/>
    <d v="2007-03-29T00:00:00"/>
    <n v="487500"/>
    <n v="12500"/>
  </r>
  <r>
    <s v="0770-00"/>
    <s v="Monessen Memorial Stadium"/>
    <n v="500000"/>
    <x v="65"/>
    <s v="Act 2004-040"/>
    <d v="2009-05-12T00:00:00"/>
    <n v="416855"/>
    <n v="83145"/>
  </r>
  <r>
    <s v="0804-00"/>
    <s v="St. Vincent College"/>
    <n v="500000"/>
    <x v="65"/>
    <s v="Act 2008-041"/>
    <d v="2009-04-27T00:00:00"/>
    <n v="500000"/>
    <n v="0"/>
  </r>
  <r>
    <s v="0804-01"/>
    <s v="St. Vincent College II"/>
    <n v="500000"/>
    <x v="65"/>
    <s v="Act 2008-041"/>
    <d v="2009-05-12T00:00:00"/>
    <n v="500000"/>
    <n v="0"/>
  </r>
  <r>
    <s v="0804-02"/>
    <s v="St. Vincent College III"/>
    <n v="500000"/>
    <x v="65"/>
    <s v="Act 2008-041"/>
    <d v="2009-06-23T00:00:00"/>
    <n v="500000"/>
    <n v="0"/>
  </r>
  <r>
    <s v="0804-03"/>
    <s v="St. Vincent College IV"/>
    <n v="3000000"/>
    <x v="65"/>
    <s v="Act 2008-041"/>
    <d v="2010-02-17T00:00:00"/>
    <n v="3000000"/>
    <n v="0"/>
  </r>
  <r>
    <s v="0828-00"/>
    <s v="Palace Theatre-2009"/>
    <n v="250000"/>
    <x v="65"/>
    <s v="Act 2004-040"/>
    <d v="2009-05-12T00:00:00"/>
    <n v="250000"/>
    <n v="0"/>
  </r>
  <r>
    <s v="0828-01"/>
    <s v="Palace Theatre 2009 II"/>
    <n v="150000"/>
    <x v="65"/>
    <s v="Act 2004-040"/>
    <d v="2009-06-23T00:00:00"/>
    <n v="150000"/>
    <n v="0"/>
  </r>
  <r>
    <s v="0828-02"/>
    <s v="Palace Theatre 2009 III"/>
    <n v="500000"/>
    <x v="65"/>
    <s v="Act 2004-040"/>
    <d v="2009-07-31T00:00:00"/>
    <n v="147049"/>
    <n v="352951"/>
  </r>
  <r>
    <s v="0885-00"/>
    <s v="Monessen Public Library"/>
    <n v="500000"/>
    <x v="65"/>
    <s v="Act 2002-131"/>
    <d v="2010-05-18T00:00:00"/>
    <n v="153706"/>
    <n v="346294"/>
  </r>
  <r>
    <s v="0910-00"/>
    <s v="Monessen Public Safety Building"/>
    <n v="500000"/>
    <x v="65"/>
    <s v="Act 2002-131"/>
    <d v="2010-05-27T00:00:00"/>
    <n v="485500"/>
    <n v="14500"/>
  </r>
  <r>
    <s v="0931-00"/>
    <s v="Westmoreland County Community College"/>
    <n v="1000000"/>
    <x v="65"/>
    <s v="Act 2008-041"/>
    <d v="2010-08-11T00:00:00"/>
    <n v="0"/>
    <n v="1000000"/>
  </r>
  <r>
    <s v="0931-01"/>
    <s v="Westmoreland Cty Comm.College-Former Sony Plant"/>
    <n v="10000000"/>
    <x v="65"/>
    <s v="Act 2010-082"/>
    <d v="2011-01-03T00:00:00"/>
    <n v="0"/>
    <n v="10000000"/>
  </r>
  <r>
    <s v="1025-00"/>
    <s v="Seton Hill University Center for the Visual Arts"/>
    <n v="6000000"/>
    <x v="65"/>
    <s v="Act 2008-041"/>
    <d v="2010-09-15T00:00:00"/>
    <n v="0"/>
    <n v="6000000"/>
  </r>
  <r>
    <s v="1300-00"/>
    <s v="Operating Engineers Training Building"/>
    <n v="250000"/>
    <x v="65"/>
    <s v="Act 2010-082"/>
    <d v="2011-01-14T00:00:00"/>
    <n v="0"/>
    <n v="250000"/>
  </r>
  <r>
    <s v="1300-01"/>
    <s v="Operating Engineers Training Building II"/>
    <n v="250000"/>
    <x v="65"/>
    <s v="Act 2010-082"/>
    <d v="2011-01-14T00:00:00"/>
    <n v="0"/>
    <n v="250000"/>
  </r>
  <r>
    <s v="1300-02"/>
    <s v="Western PA Operating Engineers III"/>
    <n v="500000"/>
    <x v="65"/>
    <s v="Act 2010-082"/>
    <d v="2013-02-11T00:00:00"/>
    <n v="0"/>
    <n v="500000"/>
  </r>
  <r>
    <s v="3849-00"/>
    <s v="Redevelopment of former ALCOA site"/>
    <n v="375000"/>
    <x v="65"/>
    <s v="Act 2010-082"/>
    <d v="2011-01-03T00:00:00"/>
    <n v="0"/>
    <n v="375000"/>
  </r>
  <r>
    <s v="3930-00"/>
    <s v="City of Latrobe Parking Garage Rehab"/>
    <n v="1000000"/>
    <x v="65"/>
    <s v="Act 2010-082"/>
    <d v="2013-02-11T00:00:00"/>
    <n v="0"/>
    <n v="1000000"/>
  </r>
  <r>
    <s v="3931-00"/>
    <s v="Westmoreland County Airpark - Phase II"/>
    <n v="1000000"/>
    <x v="65"/>
    <s v="Act 2008-041"/>
    <d v="2013-02-11T00:00:00"/>
    <n v="0"/>
    <n v="1000000"/>
  </r>
  <r>
    <s v="8007-00"/>
    <s v="Monesson Public Safety"/>
    <n v="0"/>
    <x v="65"/>
    <s v="Act 2000-027"/>
    <d v="2003-04-09T00:00:00"/>
    <n v="0"/>
    <n v="0"/>
  </r>
  <r>
    <s v="0805-00"/>
    <s v="Keystone College"/>
    <n v="1000000"/>
    <x v="66"/>
    <s v="Act 2008-041"/>
    <d v="2009-03-25T00:00:00"/>
    <n v="975000"/>
    <n v="25000"/>
  </r>
  <r>
    <s v="0805-01"/>
    <s v="Keystone College II"/>
    <n v="500000"/>
    <x v="66"/>
    <s v="Act 2008-041"/>
    <d v="2011-01-03T00:00:00"/>
    <n v="0"/>
    <n v="500000"/>
  </r>
  <r>
    <s v="0981-00"/>
    <s v="Mercy Tyler Hospital"/>
    <n v="1500000"/>
    <x v="66"/>
    <s v="Act 2008-041"/>
    <d v="2010-06-17T00:00:00"/>
    <n v="0"/>
    <n v="1500000"/>
  </r>
  <r>
    <s v="0028-00"/>
    <s v="George Street Revitalization"/>
    <n v="1642000"/>
    <x v="67"/>
    <s v="Act 1993- 47"/>
    <d v="1993-07-01T00:00:00"/>
    <n v="1642000"/>
    <n v="0"/>
  </r>
  <r>
    <s v="0030-00"/>
    <s v="Memorial Park Ice Rink"/>
    <n v="1200000"/>
    <x v="67"/>
    <s v="Act 1993- 47"/>
    <d v="1993-07-01T00:00:00"/>
    <n v="1200000"/>
    <n v="0"/>
  </r>
  <r>
    <s v="0179-00"/>
    <s v="Strand Performing Arts Center"/>
    <n v="4000000"/>
    <x v="67"/>
    <s v="Act 1999-035"/>
    <d v="2001-02-07T00:00:00"/>
    <n v="4000000"/>
    <n v="0"/>
  </r>
  <r>
    <s v="0205-00"/>
    <s v="York Exposition Center"/>
    <n v="3500000"/>
    <x v="67"/>
    <s v="Act 1999-035"/>
    <d v="2001-10-10T00:00:00"/>
    <n v="3500000"/>
    <n v="0"/>
  </r>
  <r>
    <s v="0251-00"/>
    <s v="York Stadium"/>
    <n v="12000000"/>
    <x v="67"/>
    <s v="Act 1999-035"/>
    <d v="2002-10-29T00:00:00"/>
    <n v="12000000"/>
    <n v="0"/>
  </r>
  <r>
    <s v="0251-01"/>
    <s v="York Stadium II"/>
    <n v="1500000"/>
    <x v="67"/>
    <s v="Act 2004-040"/>
    <d v="2006-03-14T00:00:00"/>
    <n v="1500000"/>
    <n v="0"/>
  </r>
  <r>
    <s v="0254-00"/>
    <s v="Hanover Library"/>
    <n v="500000"/>
    <x v="67"/>
    <s v="Act 2002-131"/>
    <d v="2002-12-20T00:00:00"/>
    <n v="500000"/>
    <n v="0"/>
  </r>
  <r>
    <s v="0321-00"/>
    <s v="Dallmeyer Building"/>
    <n v="5000000"/>
    <x v="67"/>
    <s v="Act 2004-040"/>
    <d v="2004-08-17T00:00:00"/>
    <n v="5000000"/>
    <n v="0"/>
  </r>
  <r>
    <s v="0346-00"/>
    <s v="Glatfelter Equipment Upgrades"/>
    <n v="6000000"/>
    <x v="67"/>
    <s v="Act 2004-040"/>
    <d v="2004-09-29T00:00:00"/>
    <n v="6000000"/>
    <n v="0"/>
  </r>
  <r>
    <s v="0591-00"/>
    <s v="Northwest York Triangle"/>
    <n v="7000000"/>
    <x v="67"/>
    <s v="Act 2004-040"/>
    <d v="2006-09-14T00:00:00"/>
    <n v="4622425.96"/>
    <n v="2377574.04"/>
  </r>
  <r>
    <s v="0651-00"/>
    <s v="Crispus Attucks Learning Center"/>
    <n v="250000"/>
    <x v="67"/>
    <s v="Act 2006-083"/>
    <d v="2007-06-12T00:00:00"/>
    <n v="250000"/>
    <n v="0"/>
  </r>
  <r>
    <s v="0651-01"/>
    <s v="Crispus Attucks Early Learning Center II"/>
    <n v="2500000"/>
    <x v="67"/>
    <s v="Act 2008-041"/>
    <d v="2008-08-28T00:00:00"/>
    <n v="2500000"/>
    <n v="0"/>
  </r>
  <r>
    <s v="0714-00"/>
    <s v="York College-Smurfit-Stone Property Development"/>
    <n v="2500000"/>
    <x v="67"/>
    <s v="Act 2008-041"/>
    <d v="2008-08-28T00:00:00"/>
    <n v="2500000"/>
    <n v="0"/>
  </r>
  <r>
    <s v="0714-01"/>
    <s v="York College II"/>
    <n v="1200000"/>
    <x v="67"/>
    <s v="Act 2008-048"/>
    <d v="2009-04-27T00:00:00"/>
    <n v="1200000"/>
    <n v="0"/>
  </r>
  <r>
    <s v="0714-02"/>
    <s v="York College III"/>
    <n v="150000"/>
    <x v="67"/>
    <s v="Act 2008-041"/>
    <d v="2010-02-04T00:00:00"/>
    <n v="150000"/>
    <n v="0"/>
  </r>
  <r>
    <s v="0714-03"/>
    <s v="York College IV"/>
    <n v="150000"/>
    <x v="67"/>
    <s v="Act 2008-041"/>
    <d v="2010-02-08T00:00:00"/>
    <n v="150000"/>
    <n v="0"/>
  </r>
  <r>
    <s v="0798-00"/>
    <s v="York County Fire School"/>
    <n v="1500000"/>
    <x v="67"/>
    <s v="Act 2006-083"/>
    <d v="2008-02-19T00:00:00"/>
    <n v="0"/>
    <n v="1500000"/>
  </r>
  <r>
    <s v="0809-00"/>
    <s v="Leg Up Farm"/>
    <n v="1000000"/>
    <x v="67"/>
    <s v="Act 2000-027"/>
    <d v="2009-04-27T00:00:00"/>
    <n v="1000000"/>
    <n v="0"/>
  </r>
  <r>
    <s v="0899-00"/>
    <s v="Harley Davidson-York County Commerce Park"/>
    <n v="14000000"/>
    <x v="67"/>
    <s v="Act 2002-131"/>
    <d v="2010-03-23T00:00:00"/>
    <n v="13860000"/>
    <n v="140000"/>
  </r>
  <r>
    <s v="0985-00"/>
    <s v="York Downtown Market Revitalization"/>
    <n v="1000000"/>
    <x v="67"/>
    <s v="Act 2008-041"/>
    <d v="2010-08-03T00:00:00"/>
    <n v="1000000"/>
    <n v="0"/>
  </r>
  <r>
    <s v="0985-01"/>
    <s v="York Downtown Market Revitalization II"/>
    <n v="1000000"/>
    <x v="67"/>
    <s v="Act 2008-041"/>
    <d v="2010-08-03T00:00:00"/>
    <n v="1000000"/>
    <n v="0"/>
  </r>
  <r>
    <s v="0985-02"/>
    <s v="York Downtown Market Revitalization III"/>
    <n v="1370000"/>
    <x v="67"/>
    <s v="Act 2008-041"/>
    <d v="2010-08-03T00:00:00"/>
    <n v="301073"/>
    <n v="1068927"/>
  </r>
  <r>
    <s v="1031-00"/>
    <s v="Downtown York Historic Preservation"/>
    <n v="5000000"/>
    <x v="67"/>
    <s v="Act 2008-041"/>
    <d v="2010-11-05T00:00:00"/>
    <n v="0"/>
    <n v="5000000"/>
  </r>
  <r>
    <s v="3176-00"/>
    <s v="Penn and Farquhar Park-York"/>
    <n v="250000"/>
    <x v="67"/>
    <s v="Act 2002-131"/>
    <d v="2007-11-28T00:00:00"/>
    <n v="0"/>
    <n v="250000"/>
  </r>
  <r>
    <s v="3724-00"/>
    <s v="Lake Marburg Dam Renovation"/>
    <n v="250000"/>
    <x v="67"/>
    <s v="Act 2010-082"/>
    <d v="2010-12-07T00:00:00"/>
    <n v="0"/>
    <n v="250000"/>
  </r>
  <r>
    <s v="3724-01"/>
    <s v="Lake Marburg Dam Renovation II"/>
    <n v="250000"/>
    <x v="67"/>
    <s v="Act 2010-082"/>
    <d v="2011-01-03T00:00:00"/>
    <n v="0"/>
    <n v="250000"/>
  </r>
  <r>
    <s v="3724-02"/>
    <s v="Glatfelter Industrial Park"/>
    <n v="250000"/>
    <x v="67"/>
    <s v="Act 2010-082"/>
    <d v="2010-12-07T00:00:00"/>
    <n v="0"/>
    <n v="250000"/>
  </r>
  <r>
    <s v="3724-03"/>
    <s v="Glatfelter Industrial Park II"/>
    <n v="250000"/>
    <x v="67"/>
    <s v="Act 2010-082"/>
    <d v="2011-01-03T00:00:00"/>
    <n v="0"/>
    <n v="250000"/>
  </r>
  <r>
    <s v="8064-00"/>
    <s v="York YMCA"/>
    <n v="0"/>
    <x v="67"/>
    <s v="Act 2006-083"/>
    <d v="2010-02-03T00:00: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4117" applyNumberFormats="1" applyBorderFormats="1" applyFontFormats="1" applyPatternFormats="1" applyAlignmentFormats="1" applyWidthHeightFormats="1" dataCaption="Data" updatedVersion="3" asteriskTotals="1" showItems="0" showMultipleLabel="0" showMemberPropertyTips="0" useAutoFormatting="1" itemPrintTitles="1" indent="0" compact="0" compactData="0" gridDropZones="1">
  <location ref="A6:E75" firstHeaderRow="0" firstDataRow="1" firstDataCol="1"/>
  <pivotFields count="9">
    <pivotField dataField="1" compact="0" outline="0" subtotalTop="0" showAll="0" includeNewItemsInFilter="1"/>
    <pivotField compact="0" outline="0" subtotalTop="0" showAll="0" includeNewItemsInFilter="1"/>
    <pivotField dataField="1" compact="0" numFmtId="164" outline="0" subtotalTop="0" showAll="0" includeNewItemsInFilter="1"/>
    <pivotField axis="axisRow" compact="0" outline="0" subtotalTop="0" showAll="0" includeNewItemsInFilter="1" sortType="ascending" rankBy="0">
      <items count="78">
        <item x="1"/>
        <item x="2"/>
        <item x="3"/>
        <item x="4"/>
        <item x="5"/>
        <item x="6"/>
        <item m="1" x="71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76"/>
        <item x="24"/>
        <item x="25"/>
        <item x="26"/>
        <item x="27"/>
        <item x="28"/>
        <item x="29"/>
        <item x="30"/>
        <item x="31"/>
        <item m="1" x="74"/>
        <item x="32"/>
        <item x="33"/>
        <item x="34"/>
        <item x="35"/>
        <item x="36"/>
        <item x="37"/>
        <item x="38"/>
        <item m="1" x="68"/>
        <item x="39"/>
        <item x="40"/>
        <item m="1" x="73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70"/>
        <item m="1" x="72"/>
        <item x="52"/>
        <item x="53"/>
        <item x="54"/>
        <item x="55"/>
        <item x="56"/>
        <item x="57"/>
        <item x="58"/>
        <item x="59"/>
        <item x="60"/>
        <item x="61"/>
        <item m="1" x="69"/>
        <item x="62"/>
        <item x="63"/>
        <item x="64"/>
        <item x="65"/>
        <item x="66"/>
        <item m="1" x="75"/>
        <item x="67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numFmtId="39" outline="0" subtotalTop="0" showAll="0" includeNewItemsInFilter="1"/>
    <pivotField dataField="1" compact="0" numFmtId="39" outline="0" subtotalTop="0" showAll="0" includeNewItemsInFilter="1"/>
    <pivotField compact="0" outline="0" subtotalTop="0" dragToRow="0" dragToCol="0" dragToPage="0" showAll="0" includeNewItemsInFilter="1" defaultSubtotal="0"/>
  </pivotFields>
  <rowFields count="1">
    <field x="3"/>
  </rowFields>
  <rowItems count="69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5"/>
    </i>
    <i>
      <x v="7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LEASE AMOUNT" fld="2" baseField="0" baseItem="0" numFmtId="165"/>
    <dataField name="PAYMENTS" fld="6" baseField="0" baseItem="0" numFmtId="165"/>
    <dataField name="BALANCE" fld="7" baseField="0" baseItem="0" numFmtId="165"/>
    <dataField name="Count of ME #" fld="0" subtotal="count" baseField="0" baseItem="0" numFmtId="3"/>
  </dataFields>
  <formats count="5">
    <format dxfId="4">
      <pivotArea outline="0" fieldPosition="0">
        <references count="1">
          <reference field="4294967294" count="1" selected="0">
            <x v="3"/>
          </reference>
        </references>
      </pivotArea>
    </format>
    <format dxfId="3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">
      <pivotArea field="3" type="button" dataOnly="0" labelOnly="1" outline="0" axis="axisRow" fieldPosition="0"/>
    </format>
    <format dxfId="1">
      <pivotArea field="3" type="button" dataOnly="0" labelOnly="1" outline="0" axis="axisRow" fieldPosition="0"/>
    </format>
    <format dxfId="0">
      <pivotArea field="3" type="button" dataOnly="0" labelOnly="1" outline="0" axis="axisRow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98"/>
  <sheetViews>
    <sheetView tabSelected="1" zoomScale="90" zoomScaleNormal="90" workbookViewId="0">
      <pane ySplit="6" topLeftCell="A927" activePane="bottomLeft" state="frozenSplit"/>
      <selection pane="bottomLeft" activeCell="M947" sqref="M947"/>
    </sheetView>
  </sheetViews>
  <sheetFormatPr defaultRowHeight="12.75" x14ac:dyDescent="0.2"/>
  <cols>
    <col min="1" max="1" width="8.85546875" customWidth="1"/>
    <col min="2" max="2" width="51.28515625" style="1" customWidth="1"/>
    <col min="3" max="3" width="24.28515625" style="11" customWidth="1"/>
    <col min="4" max="4" width="15" customWidth="1"/>
    <col min="5" max="5" width="20.85546875" customWidth="1"/>
    <col min="6" max="6" width="18.7109375" style="4" customWidth="1"/>
    <col min="7" max="8" width="18.7109375" style="11" bestFit="1" customWidth="1"/>
  </cols>
  <sheetData>
    <row r="1" spans="1:8" s="8" customFormat="1" ht="19.5" x14ac:dyDescent="0.25">
      <c r="A1" s="24" t="s">
        <v>4629</v>
      </c>
      <c r="B1" s="24"/>
      <c r="C1" s="24"/>
      <c r="D1" s="24"/>
      <c r="E1" s="24"/>
      <c r="F1" s="24"/>
      <c r="G1" s="24"/>
      <c r="H1" s="24"/>
    </row>
    <row r="2" spans="1:8" s="22" customFormat="1" ht="18" x14ac:dyDescent="0.25">
      <c r="A2" s="25" t="s">
        <v>4630</v>
      </c>
      <c r="B2" s="25"/>
      <c r="C2" s="25"/>
      <c r="D2" s="25"/>
      <c r="E2" s="25"/>
      <c r="F2" s="25"/>
      <c r="G2" s="25"/>
      <c r="H2" s="25"/>
    </row>
    <row r="3" spans="1:8" s="23" customFormat="1" ht="18" x14ac:dyDescent="0.25">
      <c r="A3" s="25" t="s">
        <v>4637</v>
      </c>
      <c r="B3" s="25"/>
      <c r="C3" s="25"/>
      <c r="D3" s="25"/>
      <c r="E3" s="25"/>
      <c r="F3" s="25"/>
      <c r="G3" s="25"/>
      <c r="H3" s="25"/>
    </row>
    <row r="4" spans="1:8" s="22" customFormat="1" ht="18" x14ac:dyDescent="0.25">
      <c r="A4" s="26" t="s">
        <v>4632</v>
      </c>
      <c r="B4" s="26"/>
      <c r="C4" s="26"/>
      <c r="D4" s="26"/>
      <c r="E4" s="26"/>
      <c r="F4" s="26"/>
      <c r="G4" s="26"/>
      <c r="H4" s="26"/>
    </row>
    <row r="5" spans="1:8" x14ac:dyDescent="0.2">
      <c r="B5" s="2"/>
    </row>
    <row r="6" spans="1:8" x14ac:dyDescent="0.2">
      <c r="A6" t="s">
        <v>1554</v>
      </c>
      <c r="B6" t="s">
        <v>1555</v>
      </c>
      <c r="C6" s="16" t="s">
        <v>4633</v>
      </c>
      <c r="D6" s="14" t="s">
        <v>1556</v>
      </c>
      <c r="E6" t="s">
        <v>1557</v>
      </c>
      <c r="F6" s="13" t="s">
        <v>4634</v>
      </c>
      <c r="G6" s="16" t="s">
        <v>4635</v>
      </c>
      <c r="H6" s="16" t="s">
        <v>4636</v>
      </c>
    </row>
    <row r="7" spans="1:8" x14ac:dyDescent="0.2">
      <c r="A7" t="s">
        <v>1422</v>
      </c>
      <c r="B7" t="s">
        <v>1423</v>
      </c>
      <c r="C7" s="11">
        <v>5280000</v>
      </c>
      <c r="G7" s="11">
        <v>0</v>
      </c>
      <c r="H7" s="11">
        <v>5280000</v>
      </c>
    </row>
    <row r="8" spans="1:8" x14ac:dyDescent="0.2">
      <c r="A8" t="s">
        <v>1424</v>
      </c>
      <c r="B8" t="s">
        <v>1425</v>
      </c>
      <c r="C8" s="11">
        <v>4080000</v>
      </c>
      <c r="G8" s="11">
        <v>0</v>
      </c>
      <c r="H8" s="11">
        <v>4080000</v>
      </c>
    </row>
    <row r="9" spans="1:8" x14ac:dyDescent="0.2">
      <c r="A9" t="s">
        <v>1426</v>
      </c>
      <c r="B9" t="s">
        <v>1427</v>
      </c>
      <c r="C9" s="11">
        <v>4800000</v>
      </c>
      <c r="G9" s="11">
        <v>0</v>
      </c>
      <c r="H9" s="11">
        <v>4800000</v>
      </c>
    </row>
    <row r="10" spans="1:8" x14ac:dyDescent="0.2">
      <c r="A10" t="s">
        <v>2806</v>
      </c>
      <c r="B10" t="s">
        <v>2807</v>
      </c>
      <c r="C10" s="11">
        <v>3200000</v>
      </c>
      <c r="G10" s="11">
        <v>0</v>
      </c>
      <c r="H10" s="11">
        <v>3200000</v>
      </c>
    </row>
    <row r="11" spans="1:8" x14ac:dyDescent="0.2">
      <c r="A11" t="s">
        <v>525</v>
      </c>
      <c r="B11" t="s">
        <v>526</v>
      </c>
      <c r="C11" s="11">
        <v>600000</v>
      </c>
      <c r="G11" s="11">
        <v>0</v>
      </c>
      <c r="H11" s="11">
        <v>600000</v>
      </c>
    </row>
    <row r="12" spans="1:8" x14ac:dyDescent="0.2">
      <c r="A12" t="s">
        <v>527</v>
      </c>
      <c r="B12" t="s">
        <v>528</v>
      </c>
      <c r="C12" s="11">
        <v>480000</v>
      </c>
      <c r="G12" s="11">
        <v>0</v>
      </c>
      <c r="H12" s="11">
        <v>480000</v>
      </c>
    </row>
    <row r="13" spans="1:8" x14ac:dyDescent="0.2">
      <c r="A13" t="s">
        <v>529</v>
      </c>
      <c r="B13" t="s">
        <v>530</v>
      </c>
      <c r="C13" s="11">
        <v>1200000</v>
      </c>
      <c r="G13" s="11">
        <v>0</v>
      </c>
      <c r="H13" s="11">
        <v>1200000</v>
      </c>
    </row>
    <row r="14" spans="1:8" x14ac:dyDescent="0.2">
      <c r="A14" t="s">
        <v>2808</v>
      </c>
      <c r="B14" t="s">
        <v>2809</v>
      </c>
      <c r="C14" s="11">
        <v>900000</v>
      </c>
      <c r="G14" s="11">
        <v>0</v>
      </c>
      <c r="H14" s="11">
        <v>900000</v>
      </c>
    </row>
    <row r="15" spans="1:8" x14ac:dyDescent="0.2">
      <c r="A15" t="s">
        <v>531</v>
      </c>
      <c r="B15" t="s">
        <v>532</v>
      </c>
      <c r="C15" s="11">
        <v>600000</v>
      </c>
      <c r="G15" s="11">
        <v>0</v>
      </c>
      <c r="H15" s="11">
        <v>600000</v>
      </c>
    </row>
    <row r="16" spans="1:8" x14ac:dyDescent="0.2">
      <c r="A16" t="s">
        <v>533</v>
      </c>
      <c r="B16" t="s">
        <v>534</v>
      </c>
      <c r="C16" s="11">
        <v>480000</v>
      </c>
      <c r="G16" s="11">
        <v>0</v>
      </c>
      <c r="H16" s="11">
        <v>480000</v>
      </c>
    </row>
    <row r="17" spans="1:8" x14ac:dyDescent="0.2">
      <c r="A17" t="s">
        <v>535</v>
      </c>
      <c r="B17" t="s">
        <v>536</v>
      </c>
      <c r="C17" s="11">
        <v>1200000</v>
      </c>
      <c r="G17" s="11">
        <v>0</v>
      </c>
      <c r="H17" s="11">
        <v>1200000</v>
      </c>
    </row>
    <row r="18" spans="1:8" x14ac:dyDescent="0.2">
      <c r="A18" t="s">
        <v>2810</v>
      </c>
      <c r="B18" t="s">
        <v>2811</v>
      </c>
      <c r="C18" s="11">
        <v>900000</v>
      </c>
      <c r="G18" s="11">
        <v>0</v>
      </c>
      <c r="H18" s="11">
        <v>900000</v>
      </c>
    </row>
    <row r="19" spans="1:8" x14ac:dyDescent="0.2">
      <c r="A19" t="s">
        <v>537</v>
      </c>
      <c r="B19" t="s">
        <v>538</v>
      </c>
      <c r="C19" s="11">
        <v>600000</v>
      </c>
      <c r="G19" s="11">
        <v>0</v>
      </c>
      <c r="H19" s="11">
        <v>600000</v>
      </c>
    </row>
    <row r="20" spans="1:8" x14ac:dyDescent="0.2">
      <c r="A20" t="s">
        <v>539</v>
      </c>
      <c r="B20" t="s">
        <v>540</v>
      </c>
      <c r="C20" s="11">
        <v>480000</v>
      </c>
      <c r="G20" s="11">
        <v>0</v>
      </c>
      <c r="H20" s="11">
        <v>480000</v>
      </c>
    </row>
    <row r="21" spans="1:8" x14ac:dyDescent="0.2">
      <c r="A21" t="s">
        <v>541</v>
      </c>
      <c r="B21" t="s">
        <v>542</v>
      </c>
      <c r="C21" s="11">
        <v>1200000</v>
      </c>
      <c r="G21" s="11">
        <v>0</v>
      </c>
      <c r="H21" s="11">
        <v>1200000</v>
      </c>
    </row>
    <row r="22" spans="1:8" x14ac:dyDescent="0.2">
      <c r="A22" t="s">
        <v>2812</v>
      </c>
      <c r="B22" t="s">
        <v>2813</v>
      </c>
      <c r="C22" s="11">
        <v>900000</v>
      </c>
      <c r="G22" s="11">
        <v>0</v>
      </c>
      <c r="H22" s="11">
        <v>900000</v>
      </c>
    </row>
    <row r="23" spans="1:8" x14ac:dyDescent="0.2">
      <c r="A23" t="s">
        <v>543</v>
      </c>
      <c r="B23" t="s">
        <v>544</v>
      </c>
      <c r="C23" s="11">
        <v>600000</v>
      </c>
      <c r="G23" s="11">
        <v>0</v>
      </c>
      <c r="H23" s="11">
        <v>600000</v>
      </c>
    </row>
    <row r="24" spans="1:8" x14ac:dyDescent="0.2">
      <c r="A24" t="s">
        <v>545</v>
      </c>
      <c r="B24" t="s">
        <v>546</v>
      </c>
      <c r="C24" s="11">
        <v>480000</v>
      </c>
      <c r="G24" s="11">
        <v>0</v>
      </c>
      <c r="H24" s="11">
        <v>480000</v>
      </c>
    </row>
    <row r="25" spans="1:8" x14ac:dyDescent="0.2">
      <c r="A25" t="s">
        <v>547</v>
      </c>
      <c r="B25" t="s">
        <v>2257</v>
      </c>
      <c r="C25" s="11">
        <v>1200000</v>
      </c>
      <c r="G25" s="11">
        <v>0</v>
      </c>
      <c r="H25" s="11">
        <v>1200000</v>
      </c>
    </row>
    <row r="26" spans="1:8" x14ac:dyDescent="0.2">
      <c r="A26" t="s">
        <v>2814</v>
      </c>
      <c r="B26" t="s">
        <v>2815</v>
      </c>
      <c r="C26" s="11">
        <v>900000</v>
      </c>
      <c r="G26" s="11">
        <v>0</v>
      </c>
      <c r="H26" s="11">
        <v>900000</v>
      </c>
    </row>
    <row r="27" spans="1:8" x14ac:dyDescent="0.2">
      <c r="A27" t="s">
        <v>2018</v>
      </c>
      <c r="B27" t="s">
        <v>2019</v>
      </c>
      <c r="C27" s="11">
        <v>3000000</v>
      </c>
      <c r="D27" t="s">
        <v>2020</v>
      </c>
      <c r="E27" t="s">
        <v>1710</v>
      </c>
      <c r="F27" s="4">
        <v>36507</v>
      </c>
      <c r="G27" s="11">
        <v>3000000</v>
      </c>
      <c r="H27" s="11">
        <v>0</v>
      </c>
    </row>
    <row r="28" spans="1:8" x14ac:dyDescent="0.2">
      <c r="A28" t="s">
        <v>2383</v>
      </c>
      <c r="B28" t="s">
        <v>2384</v>
      </c>
      <c r="C28" s="11">
        <v>2500000</v>
      </c>
      <c r="D28" t="s">
        <v>2020</v>
      </c>
      <c r="E28" t="s">
        <v>969</v>
      </c>
      <c r="F28" s="4">
        <v>37497</v>
      </c>
      <c r="G28" s="11">
        <v>2500000</v>
      </c>
      <c r="H28" s="11">
        <v>0</v>
      </c>
    </row>
    <row r="29" spans="1:8" x14ac:dyDescent="0.2">
      <c r="A29" t="s">
        <v>424</v>
      </c>
      <c r="B29" t="s">
        <v>425</v>
      </c>
      <c r="C29" s="11">
        <v>6000000</v>
      </c>
      <c r="D29" t="s">
        <v>2020</v>
      </c>
      <c r="E29" t="s">
        <v>969</v>
      </c>
      <c r="F29" s="4">
        <v>38216</v>
      </c>
      <c r="G29" s="11">
        <v>6000000</v>
      </c>
      <c r="H29" s="11">
        <v>0</v>
      </c>
    </row>
    <row r="30" spans="1:8" x14ac:dyDescent="0.2">
      <c r="A30" t="s">
        <v>2390</v>
      </c>
      <c r="B30" t="s">
        <v>2391</v>
      </c>
      <c r="C30" s="11">
        <v>10000000</v>
      </c>
      <c r="D30" t="s">
        <v>2020</v>
      </c>
      <c r="E30" t="s">
        <v>516</v>
      </c>
      <c r="F30" s="4">
        <v>37609</v>
      </c>
      <c r="G30" s="11">
        <v>10000000</v>
      </c>
      <c r="H30" s="11">
        <v>0</v>
      </c>
    </row>
    <row r="31" spans="1:8" x14ac:dyDescent="0.2">
      <c r="A31" t="s">
        <v>1359</v>
      </c>
      <c r="B31" t="s">
        <v>229</v>
      </c>
      <c r="C31" s="11">
        <v>10000000</v>
      </c>
      <c r="D31" t="s">
        <v>2020</v>
      </c>
      <c r="E31" t="s">
        <v>885</v>
      </c>
      <c r="F31" s="4">
        <v>38216</v>
      </c>
      <c r="G31" s="11">
        <v>10000000</v>
      </c>
      <c r="H31" s="11">
        <v>0</v>
      </c>
    </row>
    <row r="32" spans="1:8" x14ac:dyDescent="0.2">
      <c r="A32" t="s">
        <v>2127</v>
      </c>
      <c r="B32" t="s">
        <v>4471</v>
      </c>
      <c r="C32" s="11">
        <v>1000000</v>
      </c>
      <c r="D32" t="s">
        <v>2020</v>
      </c>
      <c r="E32" t="s">
        <v>885</v>
      </c>
      <c r="F32" s="4">
        <v>38832</v>
      </c>
      <c r="G32" s="11">
        <v>0</v>
      </c>
      <c r="H32" s="11">
        <v>1000000</v>
      </c>
    </row>
    <row r="33" spans="1:8" x14ac:dyDescent="0.2">
      <c r="A33" t="s">
        <v>3393</v>
      </c>
      <c r="B33" t="s">
        <v>2980</v>
      </c>
      <c r="C33" s="11">
        <v>2000000</v>
      </c>
      <c r="D33" t="s">
        <v>2020</v>
      </c>
      <c r="E33" t="s">
        <v>888</v>
      </c>
      <c r="F33" s="4">
        <v>40325</v>
      </c>
      <c r="G33" s="11">
        <v>2000000</v>
      </c>
      <c r="H33" s="11">
        <v>0</v>
      </c>
    </row>
    <row r="34" spans="1:8" x14ac:dyDescent="0.2">
      <c r="A34" t="s">
        <v>3394</v>
      </c>
      <c r="B34" t="s">
        <v>2817</v>
      </c>
      <c r="C34" s="11">
        <v>2000000</v>
      </c>
      <c r="D34" t="s">
        <v>2020</v>
      </c>
      <c r="E34" t="s">
        <v>888</v>
      </c>
      <c r="F34" s="4">
        <v>40325</v>
      </c>
      <c r="G34" s="11">
        <v>740443</v>
      </c>
      <c r="H34" s="11">
        <v>1259557</v>
      </c>
    </row>
    <row r="35" spans="1:8" x14ac:dyDescent="0.2">
      <c r="A35" t="s">
        <v>3395</v>
      </c>
      <c r="B35" t="s">
        <v>2816</v>
      </c>
      <c r="C35" s="11">
        <v>500000</v>
      </c>
      <c r="D35" t="s">
        <v>2020</v>
      </c>
      <c r="E35" t="s">
        <v>888</v>
      </c>
      <c r="F35" s="4">
        <v>40325</v>
      </c>
      <c r="G35" s="11">
        <v>0</v>
      </c>
      <c r="H35" s="11">
        <v>500000</v>
      </c>
    </row>
    <row r="36" spans="1:8" x14ac:dyDescent="0.2">
      <c r="A36" t="s">
        <v>4349</v>
      </c>
      <c r="B36" t="s">
        <v>3613</v>
      </c>
      <c r="C36" s="11">
        <v>500000</v>
      </c>
      <c r="D36" t="s">
        <v>2020</v>
      </c>
      <c r="E36" t="s">
        <v>3031</v>
      </c>
      <c r="F36" s="4">
        <v>40546</v>
      </c>
      <c r="G36" s="11">
        <v>356345</v>
      </c>
      <c r="H36" s="11">
        <v>143655</v>
      </c>
    </row>
    <row r="37" spans="1:8" x14ac:dyDescent="0.2">
      <c r="A37" t="s">
        <v>590</v>
      </c>
      <c r="B37" t="s">
        <v>1223</v>
      </c>
      <c r="C37" s="11">
        <v>0</v>
      </c>
      <c r="D37" t="s">
        <v>2020</v>
      </c>
      <c r="E37" t="s">
        <v>888</v>
      </c>
      <c r="F37" s="4">
        <v>39772</v>
      </c>
      <c r="G37" s="11">
        <v>0</v>
      </c>
      <c r="H37" s="11">
        <v>0</v>
      </c>
    </row>
    <row r="38" spans="1:8" x14ac:dyDescent="0.2">
      <c r="A38" t="s">
        <v>4559</v>
      </c>
      <c r="B38" t="s">
        <v>4560</v>
      </c>
      <c r="C38" s="11">
        <v>3250000</v>
      </c>
      <c r="D38" t="s">
        <v>2020</v>
      </c>
      <c r="E38" t="s">
        <v>3031</v>
      </c>
      <c r="F38" s="4">
        <v>41316</v>
      </c>
      <c r="G38" s="11">
        <v>0</v>
      </c>
      <c r="H38" s="11">
        <v>3250000</v>
      </c>
    </row>
    <row r="39" spans="1:8" x14ac:dyDescent="0.2">
      <c r="A39" t="s">
        <v>1561</v>
      </c>
      <c r="B39" t="s">
        <v>1562</v>
      </c>
      <c r="C39" s="11">
        <v>3870000</v>
      </c>
      <c r="D39" t="s">
        <v>1563</v>
      </c>
      <c r="E39" t="s">
        <v>1564</v>
      </c>
      <c r="G39" s="11">
        <v>3870000</v>
      </c>
      <c r="H39" s="11">
        <v>0</v>
      </c>
    </row>
    <row r="40" spans="1:8" x14ac:dyDescent="0.2">
      <c r="A40" t="s">
        <v>1578</v>
      </c>
      <c r="B40" t="s">
        <v>1579</v>
      </c>
      <c r="C40" s="11">
        <v>895051</v>
      </c>
      <c r="D40" t="s">
        <v>1563</v>
      </c>
      <c r="E40" t="s">
        <v>1560</v>
      </c>
      <c r="G40" s="11">
        <v>895051</v>
      </c>
      <c r="H40" s="11">
        <v>0</v>
      </c>
    </row>
    <row r="41" spans="1:8" x14ac:dyDescent="0.2">
      <c r="A41" t="s">
        <v>1580</v>
      </c>
      <c r="B41" t="s">
        <v>1581</v>
      </c>
      <c r="C41" s="11">
        <v>3000000</v>
      </c>
      <c r="D41" t="s">
        <v>1563</v>
      </c>
      <c r="E41" t="s">
        <v>1564</v>
      </c>
      <c r="G41" s="11">
        <v>3000000</v>
      </c>
      <c r="H41" s="11">
        <v>0</v>
      </c>
    </row>
    <row r="42" spans="1:8" x14ac:dyDescent="0.2">
      <c r="A42" t="s">
        <v>1582</v>
      </c>
      <c r="B42" t="s">
        <v>1583</v>
      </c>
      <c r="C42" s="11">
        <v>550000</v>
      </c>
      <c r="D42" t="s">
        <v>1563</v>
      </c>
      <c r="E42" t="s">
        <v>1560</v>
      </c>
      <c r="G42" s="11">
        <v>550000</v>
      </c>
      <c r="H42" s="11">
        <v>0</v>
      </c>
    </row>
    <row r="43" spans="1:8" x14ac:dyDescent="0.2">
      <c r="A43" t="s">
        <v>1584</v>
      </c>
      <c r="B43" t="s">
        <v>1585</v>
      </c>
      <c r="C43" s="11">
        <v>2600000</v>
      </c>
      <c r="D43" t="s">
        <v>1563</v>
      </c>
      <c r="E43" t="s">
        <v>1560</v>
      </c>
      <c r="G43" s="11">
        <v>2600000</v>
      </c>
      <c r="H43" s="11">
        <v>0</v>
      </c>
    </row>
    <row r="44" spans="1:8" x14ac:dyDescent="0.2">
      <c r="A44" t="s">
        <v>1586</v>
      </c>
      <c r="B44" t="s">
        <v>1587</v>
      </c>
      <c r="C44" s="11">
        <v>7600432</v>
      </c>
      <c r="D44" t="s">
        <v>1563</v>
      </c>
      <c r="E44" t="s">
        <v>1560</v>
      </c>
      <c r="G44" s="11">
        <v>7600432</v>
      </c>
      <c r="H44" s="11">
        <v>0</v>
      </c>
    </row>
    <row r="45" spans="1:8" x14ac:dyDescent="0.2">
      <c r="A45" t="s">
        <v>1588</v>
      </c>
      <c r="B45" t="s">
        <v>1589</v>
      </c>
      <c r="C45" s="11">
        <v>1600000</v>
      </c>
      <c r="D45" t="s">
        <v>1563</v>
      </c>
      <c r="E45" t="s">
        <v>1564</v>
      </c>
      <c r="G45" s="11">
        <v>1600000</v>
      </c>
      <c r="H45" s="11">
        <v>0</v>
      </c>
    </row>
    <row r="46" spans="1:8" x14ac:dyDescent="0.2">
      <c r="A46" t="s">
        <v>1590</v>
      </c>
      <c r="B46" t="s">
        <v>1591</v>
      </c>
      <c r="C46" s="11">
        <v>4000000</v>
      </c>
      <c r="D46" t="s">
        <v>1563</v>
      </c>
      <c r="E46" t="s">
        <v>1564</v>
      </c>
      <c r="G46" s="11">
        <v>4000000</v>
      </c>
      <c r="H46" s="11">
        <v>0</v>
      </c>
    </row>
    <row r="47" spans="1:8" x14ac:dyDescent="0.2">
      <c r="A47" t="s">
        <v>1592</v>
      </c>
      <c r="B47" t="s">
        <v>1593</v>
      </c>
      <c r="C47" s="11">
        <v>3000000</v>
      </c>
      <c r="D47" t="s">
        <v>1563</v>
      </c>
      <c r="E47" t="s">
        <v>1564</v>
      </c>
      <c r="G47" s="11">
        <v>3000000</v>
      </c>
      <c r="H47" s="11">
        <v>0</v>
      </c>
    </row>
    <row r="48" spans="1:8" x14ac:dyDescent="0.2">
      <c r="A48" t="s">
        <v>1594</v>
      </c>
      <c r="B48" t="s">
        <v>1595</v>
      </c>
      <c r="C48" s="11">
        <v>699568</v>
      </c>
      <c r="D48" t="s">
        <v>1563</v>
      </c>
      <c r="E48" t="s">
        <v>1560</v>
      </c>
      <c r="G48" s="11">
        <v>699568</v>
      </c>
      <c r="H48" s="11">
        <v>0</v>
      </c>
    </row>
    <row r="49" spans="1:8" x14ac:dyDescent="0.2">
      <c r="A49" t="s">
        <v>1596</v>
      </c>
      <c r="B49" t="s">
        <v>1597</v>
      </c>
      <c r="C49" s="11">
        <v>16107144</v>
      </c>
      <c r="D49" t="s">
        <v>1563</v>
      </c>
      <c r="E49" t="s">
        <v>1560</v>
      </c>
      <c r="G49" s="11">
        <v>16107144</v>
      </c>
      <c r="H49" s="11">
        <v>0</v>
      </c>
    </row>
    <row r="50" spans="1:8" x14ac:dyDescent="0.2">
      <c r="A50" t="s">
        <v>1598</v>
      </c>
      <c r="B50" t="s">
        <v>1599</v>
      </c>
      <c r="C50" s="11">
        <v>2000000</v>
      </c>
      <c r="D50" t="s">
        <v>1563</v>
      </c>
      <c r="E50" t="s">
        <v>1564</v>
      </c>
      <c r="G50" s="11">
        <v>2000000</v>
      </c>
      <c r="H50" s="11">
        <v>0</v>
      </c>
    </row>
    <row r="51" spans="1:8" x14ac:dyDescent="0.2">
      <c r="A51" t="s">
        <v>1600</v>
      </c>
      <c r="B51" t="s">
        <v>252</v>
      </c>
      <c r="C51" s="11">
        <v>13800000</v>
      </c>
      <c r="D51" t="s">
        <v>1563</v>
      </c>
      <c r="E51" t="s">
        <v>1560</v>
      </c>
      <c r="G51" s="11">
        <v>13800000</v>
      </c>
      <c r="H51" s="11">
        <v>0</v>
      </c>
    </row>
    <row r="52" spans="1:8" x14ac:dyDescent="0.2">
      <c r="A52" t="s">
        <v>253</v>
      </c>
      <c r="B52" t="s">
        <v>254</v>
      </c>
      <c r="C52" s="11">
        <v>85000000</v>
      </c>
      <c r="D52" t="s">
        <v>1563</v>
      </c>
      <c r="E52" t="s">
        <v>1560</v>
      </c>
      <c r="G52" s="11">
        <v>85000000</v>
      </c>
      <c r="H52" s="11">
        <v>0</v>
      </c>
    </row>
    <row r="53" spans="1:8" x14ac:dyDescent="0.2">
      <c r="A53" t="s">
        <v>285</v>
      </c>
      <c r="B53" t="s">
        <v>286</v>
      </c>
      <c r="C53" s="11">
        <v>6000000</v>
      </c>
      <c r="D53" t="s">
        <v>1563</v>
      </c>
      <c r="E53" t="s">
        <v>1577</v>
      </c>
      <c r="F53" s="4">
        <v>34151</v>
      </c>
      <c r="G53" s="11">
        <v>6000000</v>
      </c>
      <c r="H53" s="11">
        <v>0</v>
      </c>
    </row>
    <row r="54" spans="1:8" x14ac:dyDescent="0.2">
      <c r="A54" t="s">
        <v>315</v>
      </c>
      <c r="B54" t="s">
        <v>316</v>
      </c>
      <c r="C54" s="11">
        <v>7000000</v>
      </c>
      <c r="D54" t="s">
        <v>1563</v>
      </c>
      <c r="E54" t="s">
        <v>1577</v>
      </c>
      <c r="F54" s="4">
        <v>34151</v>
      </c>
      <c r="G54" s="11">
        <v>7000000</v>
      </c>
      <c r="H54" s="11">
        <v>0</v>
      </c>
    </row>
    <row r="55" spans="1:8" x14ac:dyDescent="0.2">
      <c r="A55" t="s">
        <v>342</v>
      </c>
      <c r="B55" t="s">
        <v>343</v>
      </c>
      <c r="C55" s="11">
        <v>1000000</v>
      </c>
      <c r="D55" t="s">
        <v>1563</v>
      </c>
      <c r="E55" t="s">
        <v>1577</v>
      </c>
      <c r="F55" s="4">
        <v>34151</v>
      </c>
      <c r="G55" s="11">
        <v>999999.99999999988</v>
      </c>
      <c r="H55" s="11">
        <v>0</v>
      </c>
    </row>
    <row r="56" spans="1:8" x14ac:dyDescent="0.2">
      <c r="A56" t="s">
        <v>358</v>
      </c>
      <c r="B56" t="s">
        <v>359</v>
      </c>
      <c r="C56" s="11">
        <v>2100000</v>
      </c>
      <c r="D56" t="s">
        <v>1563</v>
      </c>
      <c r="E56" t="s">
        <v>1577</v>
      </c>
      <c r="F56" s="4">
        <v>34151</v>
      </c>
      <c r="G56" s="11">
        <v>2100000</v>
      </c>
      <c r="H56" s="11">
        <v>0</v>
      </c>
    </row>
    <row r="57" spans="1:8" x14ac:dyDescent="0.2">
      <c r="A57" t="s">
        <v>362</v>
      </c>
      <c r="B57" t="s">
        <v>426</v>
      </c>
      <c r="C57" s="11">
        <v>1463700</v>
      </c>
      <c r="D57" t="s">
        <v>1563</v>
      </c>
      <c r="E57" t="s">
        <v>1577</v>
      </c>
      <c r="F57" s="4">
        <v>34151</v>
      </c>
      <c r="G57" s="11">
        <v>1463227.55</v>
      </c>
      <c r="H57" s="11">
        <v>472.45</v>
      </c>
    </row>
    <row r="58" spans="1:8" x14ac:dyDescent="0.2">
      <c r="A58" t="s">
        <v>364</v>
      </c>
      <c r="B58" t="s">
        <v>365</v>
      </c>
      <c r="C58" s="11">
        <v>2021300</v>
      </c>
      <c r="D58" t="s">
        <v>1563</v>
      </c>
      <c r="E58" t="s">
        <v>1577</v>
      </c>
      <c r="F58" s="4">
        <v>34151</v>
      </c>
      <c r="G58" s="11">
        <v>1920232.0000000002</v>
      </c>
      <c r="H58" s="11">
        <v>101068</v>
      </c>
    </row>
    <row r="59" spans="1:8" x14ac:dyDescent="0.2">
      <c r="A59" t="s">
        <v>366</v>
      </c>
      <c r="B59" t="s">
        <v>367</v>
      </c>
      <c r="C59" s="11">
        <v>3000000</v>
      </c>
      <c r="D59" t="s">
        <v>1563</v>
      </c>
      <c r="E59" t="s">
        <v>1577</v>
      </c>
      <c r="F59" s="4">
        <v>34151</v>
      </c>
      <c r="G59" s="11">
        <v>3000000</v>
      </c>
      <c r="H59" s="11">
        <v>0</v>
      </c>
    </row>
    <row r="60" spans="1:8" x14ac:dyDescent="0.2">
      <c r="A60" t="s">
        <v>1706</v>
      </c>
      <c r="B60" t="s">
        <v>1707</v>
      </c>
      <c r="C60" s="11">
        <v>17750000</v>
      </c>
      <c r="D60" t="s">
        <v>1563</v>
      </c>
      <c r="E60" t="s">
        <v>1577</v>
      </c>
      <c r="F60" s="4">
        <v>34151</v>
      </c>
      <c r="G60" s="11">
        <v>17749910.189999998</v>
      </c>
      <c r="H60" s="11">
        <v>89.81</v>
      </c>
    </row>
    <row r="61" spans="1:8" x14ac:dyDescent="0.2">
      <c r="A61" t="s">
        <v>1708</v>
      </c>
      <c r="B61" t="s">
        <v>1709</v>
      </c>
      <c r="C61" s="11">
        <v>3500000</v>
      </c>
      <c r="D61" t="s">
        <v>1563</v>
      </c>
      <c r="E61" t="s">
        <v>1710</v>
      </c>
      <c r="F61" s="4">
        <v>36004</v>
      </c>
      <c r="G61" s="11">
        <v>3485362.36</v>
      </c>
      <c r="H61" s="11">
        <v>14637.64</v>
      </c>
    </row>
    <row r="62" spans="1:8" x14ac:dyDescent="0.2">
      <c r="A62" t="s">
        <v>1711</v>
      </c>
      <c r="B62" t="s">
        <v>1712</v>
      </c>
      <c r="C62" s="11">
        <v>1373505</v>
      </c>
      <c r="D62" t="s">
        <v>1563</v>
      </c>
      <c r="E62" t="s">
        <v>1710</v>
      </c>
      <c r="F62" s="4">
        <v>36004</v>
      </c>
      <c r="G62" s="11">
        <v>1339545</v>
      </c>
      <c r="H62" s="11">
        <v>33960</v>
      </c>
    </row>
    <row r="63" spans="1:8" x14ac:dyDescent="0.2">
      <c r="A63" t="s">
        <v>1728</v>
      </c>
      <c r="B63" t="s">
        <v>1729</v>
      </c>
      <c r="C63" s="11">
        <v>6500000</v>
      </c>
      <c r="D63" t="s">
        <v>1563</v>
      </c>
      <c r="E63" t="s">
        <v>313</v>
      </c>
      <c r="F63" s="4">
        <v>34151</v>
      </c>
      <c r="G63" s="11">
        <v>6500000</v>
      </c>
      <c r="H63" s="11">
        <v>0</v>
      </c>
    </row>
    <row r="64" spans="1:8" x14ac:dyDescent="0.2">
      <c r="A64" t="s">
        <v>1730</v>
      </c>
      <c r="B64" t="s">
        <v>1731</v>
      </c>
      <c r="C64" s="11">
        <v>1800000</v>
      </c>
      <c r="D64" t="s">
        <v>1563</v>
      </c>
      <c r="E64" t="s">
        <v>290</v>
      </c>
      <c r="F64" s="4">
        <v>34151</v>
      </c>
      <c r="G64" s="11">
        <v>1800000</v>
      </c>
      <c r="H64" s="11">
        <v>0</v>
      </c>
    </row>
    <row r="65" spans="1:8" x14ac:dyDescent="0.2">
      <c r="A65" t="s">
        <v>1736</v>
      </c>
      <c r="B65" t="s">
        <v>1737</v>
      </c>
      <c r="C65" s="11">
        <v>2500000</v>
      </c>
      <c r="D65" t="s">
        <v>1563</v>
      </c>
      <c r="E65" t="s">
        <v>1564</v>
      </c>
      <c r="F65" s="4">
        <v>34151</v>
      </c>
      <c r="G65" s="11">
        <v>2500000</v>
      </c>
      <c r="H65" s="11">
        <v>0</v>
      </c>
    </row>
    <row r="66" spans="1:8" x14ac:dyDescent="0.2">
      <c r="A66" t="s">
        <v>1738</v>
      </c>
      <c r="B66" t="s">
        <v>1739</v>
      </c>
      <c r="C66" s="11">
        <v>2000000</v>
      </c>
      <c r="D66" t="s">
        <v>1563</v>
      </c>
      <c r="E66" t="s">
        <v>290</v>
      </c>
      <c r="F66" s="4">
        <v>34905</v>
      </c>
      <c r="G66" s="11">
        <v>2000000</v>
      </c>
      <c r="H66" s="11">
        <v>0</v>
      </c>
    </row>
    <row r="67" spans="1:8" x14ac:dyDescent="0.2">
      <c r="A67" t="s">
        <v>1744</v>
      </c>
      <c r="B67" t="s">
        <v>1745</v>
      </c>
      <c r="C67" s="11">
        <v>9112222</v>
      </c>
      <c r="D67" t="s">
        <v>1563</v>
      </c>
      <c r="E67" t="s">
        <v>1564</v>
      </c>
      <c r="F67" s="4">
        <v>34151</v>
      </c>
      <c r="G67" s="11">
        <v>9112222</v>
      </c>
      <c r="H67" s="11">
        <v>0</v>
      </c>
    </row>
    <row r="68" spans="1:8" x14ac:dyDescent="0.2">
      <c r="A68" t="s">
        <v>1750</v>
      </c>
      <c r="B68" t="s">
        <v>1751</v>
      </c>
      <c r="C68" s="11">
        <v>2000000</v>
      </c>
      <c r="D68" t="s">
        <v>1563</v>
      </c>
      <c r="E68" t="s">
        <v>1752</v>
      </c>
      <c r="F68" s="4">
        <v>34151</v>
      </c>
      <c r="G68" s="11">
        <v>2000000</v>
      </c>
      <c r="H68" s="11">
        <v>0</v>
      </c>
    </row>
    <row r="69" spans="1:8" x14ac:dyDescent="0.2">
      <c r="A69" t="s">
        <v>1753</v>
      </c>
      <c r="B69" t="s">
        <v>1754</v>
      </c>
      <c r="C69" s="11">
        <v>1500000</v>
      </c>
      <c r="D69" t="s">
        <v>1563</v>
      </c>
      <c r="E69" t="s">
        <v>1755</v>
      </c>
      <c r="F69" s="4">
        <v>35612</v>
      </c>
      <c r="G69" s="11">
        <v>1500000</v>
      </c>
      <c r="H69" s="11">
        <v>0</v>
      </c>
    </row>
    <row r="70" spans="1:8" x14ac:dyDescent="0.2">
      <c r="A70" t="s">
        <v>1756</v>
      </c>
      <c r="B70" t="s">
        <v>1757</v>
      </c>
      <c r="C70" s="11">
        <v>2500000</v>
      </c>
      <c r="D70" t="s">
        <v>1563</v>
      </c>
      <c r="E70" t="s">
        <v>1560</v>
      </c>
      <c r="F70" s="4">
        <v>35643</v>
      </c>
      <c r="G70" s="11">
        <v>2500000</v>
      </c>
      <c r="H70" s="11">
        <v>0</v>
      </c>
    </row>
    <row r="71" spans="1:8" x14ac:dyDescent="0.2">
      <c r="A71" t="s">
        <v>1761</v>
      </c>
      <c r="B71" t="s">
        <v>1762</v>
      </c>
      <c r="C71" s="11">
        <v>1000000</v>
      </c>
      <c r="D71" t="s">
        <v>1563</v>
      </c>
      <c r="E71" t="s">
        <v>1755</v>
      </c>
      <c r="F71" s="4">
        <v>35476</v>
      </c>
      <c r="G71" s="11">
        <v>1000000</v>
      </c>
      <c r="H71" s="11">
        <v>0</v>
      </c>
    </row>
    <row r="72" spans="1:8" x14ac:dyDescent="0.2">
      <c r="A72" t="s">
        <v>1763</v>
      </c>
      <c r="B72" t="s">
        <v>1764</v>
      </c>
      <c r="C72" s="11">
        <v>4387778</v>
      </c>
      <c r="D72" t="s">
        <v>1563</v>
      </c>
      <c r="E72" t="s">
        <v>1564</v>
      </c>
      <c r="F72" s="4">
        <v>34151</v>
      </c>
      <c r="G72" s="11">
        <v>4387778</v>
      </c>
      <c r="H72" s="11">
        <v>0</v>
      </c>
    </row>
    <row r="73" spans="1:8" x14ac:dyDescent="0.2">
      <c r="A73" t="s">
        <v>1781</v>
      </c>
      <c r="B73" t="s">
        <v>1782</v>
      </c>
      <c r="C73" s="11">
        <v>2500000</v>
      </c>
      <c r="D73" t="s">
        <v>1563</v>
      </c>
      <c r="E73" t="s">
        <v>1710</v>
      </c>
      <c r="F73" s="4">
        <v>35958</v>
      </c>
      <c r="G73" s="11">
        <v>2500000.0000000005</v>
      </c>
      <c r="H73" s="11">
        <v>0</v>
      </c>
    </row>
    <row r="74" spans="1:8" x14ac:dyDescent="0.2">
      <c r="A74" t="s">
        <v>1800</v>
      </c>
      <c r="B74" t="s">
        <v>1801</v>
      </c>
      <c r="C74" s="11">
        <v>4500000</v>
      </c>
      <c r="D74" t="s">
        <v>1563</v>
      </c>
      <c r="E74" t="s">
        <v>1710</v>
      </c>
      <c r="F74" s="4">
        <v>35958</v>
      </c>
      <c r="G74" s="11">
        <v>4500000</v>
      </c>
      <c r="H74" s="11">
        <v>0</v>
      </c>
    </row>
    <row r="75" spans="1:8" x14ac:dyDescent="0.2">
      <c r="A75" t="s">
        <v>1802</v>
      </c>
      <c r="B75" t="s">
        <v>1803</v>
      </c>
      <c r="C75" s="11">
        <v>1800000</v>
      </c>
      <c r="D75" t="s">
        <v>1563</v>
      </c>
      <c r="E75" t="s">
        <v>1710</v>
      </c>
      <c r="F75" s="4">
        <v>35958</v>
      </c>
      <c r="G75" s="11">
        <v>1797388.28</v>
      </c>
      <c r="H75" s="11">
        <v>2611.7199999999998</v>
      </c>
    </row>
    <row r="76" spans="1:8" x14ac:dyDescent="0.2">
      <c r="A76" t="s">
        <v>1804</v>
      </c>
      <c r="B76" t="s">
        <v>1805</v>
      </c>
      <c r="C76" s="11">
        <v>7000000</v>
      </c>
      <c r="D76" t="s">
        <v>1563</v>
      </c>
      <c r="E76" t="s">
        <v>1710</v>
      </c>
      <c r="F76" s="4">
        <v>36145</v>
      </c>
      <c r="G76" s="11">
        <v>7000000</v>
      </c>
      <c r="H76" s="11">
        <v>0</v>
      </c>
    </row>
    <row r="77" spans="1:8" x14ac:dyDescent="0.2">
      <c r="A77" t="s">
        <v>1809</v>
      </c>
      <c r="B77" t="s">
        <v>1810</v>
      </c>
      <c r="C77" s="11">
        <v>1300000</v>
      </c>
      <c r="D77" t="s">
        <v>1563</v>
      </c>
      <c r="E77" t="s">
        <v>1710</v>
      </c>
      <c r="F77" s="4">
        <v>35997</v>
      </c>
      <c r="G77" s="11">
        <v>1300000</v>
      </c>
      <c r="H77" s="11">
        <v>0</v>
      </c>
    </row>
    <row r="78" spans="1:8" x14ac:dyDescent="0.2">
      <c r="A78" t="s">
        <v>1811</v>
      </c>
      <c r="B78" t="s">
        <v>1812</v>
      </c>
      <c r="C78" s="11">
        <v>500000</v>
      </c>
      <c r="D78" t="s">
        <v>1563</v>
      </c>
      <c r="E78" t="s">
        <v>1710</v>
      </c>
      <c r="F78" s="4">
        <v>35958</v>
      </c>
      <c r="G78" s="11">
        <v>500000</v>
      </c>
      <c r="H78" s="11">
        <v>0</v>
      </c>
    </row>
    <row r="79" spans="1:8" x14ac:dyDescent="0.2">
      <c r="A79" t="s">
        <v>1815</v>
      </c>
      <c r="B79" t="s">
        <v>1816</v>
      </c>
      <c r="C79" s="11">
        <v>75000000</v>
      </c>
      <c r="D79" t="s">
        <v>1563</v>
      </c>
      <c r="E79" t="s">
        <v>1710</v>
      </c>
      <c r="F79" s="4">
        <v>36241</v>
      </c>
      <c r="G79" s="11">
        <v>75000000</v>
      </c>
      <c r="H79" s="11">
        <v>0</v>
      </c>
    </row>
    <row r="80" spans="1:8" x14ac:dyDescent="0.2">
      <c r="A80" t="s">
        <v>1817</v>
      </c>
      <c r="B80" t="s">
        <v>1818</v>
      </c>
      <c r="C80" s="11">
        <v>75000000</v>
      </c>
      <c r="D80" t="s">
        <v>1563</v>
      </c>
      <c r="E80" t="s">
        <v>1710</v>
      </c>
      <c r="F80" s="4">
        <v>36241</v>
      </c>
      <c r="G80" s="11">
        <v>75000000</v>
      </c>
      <c r="H80" s="11">
        <v>0</v>
      </c>
    </row>
    <row r="81" spans="1:8" x14ac:dyDescent="0.2">
      <c r="A81" t="s">
        <v>491</v>
      </c>
      <c r="B81" t="s">
        <v>492</v>
      </c>
      <c r="C81" s="11">
        <v>0</v>
      </c>
      <c r="D81" t="s">
        <v>1563</v>
      </c>
      <c r="E81" t="s">
        <v>1710</v>
      </c>
      <c r="F81" s="4">
        <v>36004</v>
      </c>
      <c r="G81" s="11">
        <v>0</v>
      </c>
      <c r="H81" s="11">
        <v>0</v>
      </c>
    </row>
    <row r="82" spans="1:8" x14ac:dyDescent="0.2">
      <c r="A82" t="s">
        <v>495</v>
      </c>
      <c r="B82" t="s">
        <v>496</v>
      </c>
      <c r="C82" s="11">
        <v>1200000</v>
      </c>
      <c r="D82" t="s">
        <v>1563</v>
      </c>
      <c r="E82" t="s">
        <v>1710</v>
      </c>
      <c r="F82" s="4">
        <v>36370</v>
      </c>
      <c r="G82" s="11">
        <v>1200000</v>
      </c>
      <c r="H82" s="11">
        <v>0</v>
      </c>
    </row>
    <row r="83" spans="1:8" x14ac:dyDescent="0.2">
      <c r="A83" t="s">
        <v>506</v>
      </c>
      <c r="B83" t="s">
        <v>507</v>
      </c>
      <c r="C83" s="11">
        <v>3000000</v>
      </c>
      <c r="D83" t="s">
        <v>1563</v>
      </c>
      <c r="E83" t="s">
        <v>1710</v>
      </c>
      <c r="F83" s="4">
        <v>35958</v>
      </c>
      <c r="G83" s="11">
        <v>3000000.0000000005</v>
      </c>
      <c r="H83" s="11">
        <v>0</v>
      </c>
    </row>
    <row r="84" spans="1:8" x14ac:dyDescent="0.2">
      <c r="A84" t="s">
        <v>510</v>
      </c>
      <c r="B84" t="s">
        <v>511</v>
      </c>
      <c r="C84" s="11">
        <v>3500000</v>
      </c>
      <c r="D84" t="s">
        <v>1563</v>
      </c>
      <c r="E84" t="s">
        <v>1710</v>
      </c>
      <c r="F84" s="4">
        <v>36708</v>
      </c>
      <c r="G84" s="11">
        <v>3500000</v>
      </c>
      <c r="H84" s="11">
        <v>0</v>
      </c>
    </row>
    <row r="85" spans="1:8" x14ac:dyDescent="0.2">
      <c r="A85" t="s">
        <v>512</v>
      </c>
      <c r="B85" t="s">
        <v>513</v>
      </c>
      <c r="C85" s="11">
        <v>4000000</v>
      </c>
      <c r="D85" t="s">
        <v>1563</v>
      </c>
      <c r="E85" t="s">
        <v>1710</v>
      </c>
      <c r="F85" s="4">
        <v>36818</v>
      </c>
      <c r="G85" s="11">
        <v>4000000</v>
      </c>
      <c r="H85" s="11">
        <v>0</v>
      </c>
    </row>
    <row r="86" spans="1:8" x14ac:dyDescent="0.2">
      <c r="A86" t="s">
        <v>514</v>
      </c>
      <c r="B86" t="s">
        <v>515</v>
      </c>
      <c r="C86" s="11">
        <v>5000000</v>
      </c>
      <c r="D86" t="s">
        <v>1563</v>
      </c>
      <c r="E86" t="s">
        <v>516</v>
      </c>
      <c r="F86" s="4">
        <v>38218</v>
      </c>
      <c r="G86" s="11">
        <v>5000000</v>
      </c>
      <c r="H86" s="11">
        <v>0</v>
      </c>
    </row>
    <row r="87" spans="1:8" x14ac:dyDescent="0.2">
      <c r="A87" t="s">
        <v>30</v>
      </c>
      <c r="B87" t="s">
        <v>31</v>
      </c>
      <c r="C87" s="11">
        <v>5000000</v>
      </c>
      <c r="D87" t="s">
        <v>1563</v>
      </c>
      <c r="E87" t="s">
        <v>516</v>
      </c>
      <c r="F87" s="4">
        <v>38852</v>
      </c>
      <c r="G87" s="11">
        <v>5000000</v>
      </c>
      <c r="H87" s="11">
        <v>0</v>
      </c>
    </row>
    <row r="88" spans="1:8" x14ac:dyDescent="0.2">
      <c r="A88" t="s">
        <v>564</v>
      </c>
      <c r="B88" t="s">
        <v>565</v>
      </c>
      <c r="C88" s="11">
        <v>1300000</v>
      </c>
      <c r="D88" t="s">
        <v>1563</v>
      </c>
      <c r="E88" t="s">
        <v>1710</v>
      </c>
      <c r="F88" s="4">
        <v>36440</v>
      </c>
      <c r="G88" s="11">
        <v>1300000</v>
      </c>
      <c r="H88" s="11">
        <v>0</v>
      </c>
    </row>
    <row r="89" spans="1:8" x14ac:dyDescent="0.2">
      <c r="A89" t="s">
        <v>1991</v>
      </c>
      <c r="B89" t="s">
        <v>1992</v>
      </c>
      <c r="C89" s="11">
        <v>2000000</v>
      </c>
      <c r="D89" t="s">
        <v>1563</v>
      </c>
      <c r="E89" t="s">
        <v>969</v>
      </c>
      <c r="F89" s="4">
        <v>36818</v>
      </c>
      <c r="G89" s="11">
        <v>1506576</v>
      </c>
      <c r="H89" s="11">
        <v>493424</v>
      </c>
    </row>
    <row r="90" spans="1:8" x14ac:dyDescent="0.2">
      <c r="A90" t="s">
        <v>2001</v>
      </c>
      <c r="B90" t="s">
        <v>2002</v>
      </c>
      <c r="C90" s="11">
        <v>10000000</v>
      </c>
      <c r="D90" t="s">
        <v>1563</v>
      </c>
      <c r="E90" t="s">
        <v>969</v>
      </c>
      <c r="F90" s="4">
        <v>36935</v>
      </c>
      <c r="G90" s="11">
        <v>10000000</v>
      </c>
      <c r="H90" s="11">
        <v>0</v>
      </c>
    </row>
    <row r="91" spans="1:8" x14ac:dyDescent="0.2">
      <c r="A91" t="s">
        <v>2025</v>
      </c>
      <c r="B91" t="s">
        <v>2026</v>
      </c>
      <c r="C91" s="11">
        <v>5000000</v>
      </c>
      <c r="D91" t="s">
        <v>1563</v>
      </c>
      <c r="E91" t="s">
        <v>969</v>
      </c>
      <c r="F91" s="4">
        <v>36907</v>
      </c>
      <c r="G91" s="11">
        <v>5000000</v>
      </c>
      <c r="H91" s="11">
        <v>0</v>
      </c>
    </row>
    <row r="92" spans="1:8" x14ac:dyDescent="0.2">
      <c r="A92" t="s">
        <v>693</v>
      </c>
      <c r="B92" t="s">
        <v>694</v>
      </c>
      <c r="C92" s="11">
        <v>3000000</v>
      </c>
      <c r="D92" t="s">
        <v>1563</v>
      </c>
      <c r="E92" t="s">
        <v>1710</v>
      </c>
      <c r="F92" s="4">
        <v>36944</v>
      </c>
      <c r="G92" s="11">
        <v>2953169</v>
      </c>
      <c r="H92" s="11">
        <v>46831</v>
      </c>
    </row>
    <row r="93" spans="1:8" x14ac:dyDescent="0.2">
      <c r="A93" t="s">
        <v>835</v>
      </c>
      <c r="B93" t="s">
        <v>836</v>
      </c>
      <c r="C93" s="11">
        <v>5000000</v>
      </c>
      <c r="D93" t="s">
        <v>1563</v>
      </c>
      <c r="E93" t="s">
        <v>2107</v>
      </c>
      <c r="F93" s="4">
        <v>37176</v>
      </c>
      <c r="G93" s="11">
        <v>5000000</v>
      </c>
      <c r="H93" s="11">
        <v>0</v>
      </c>
    </row>
    <row r="94" spans="1:8" x14ac:dyDescent="0.2">
      <c r="A94" t="s">
        <v>840</v>
      </c>
      <c r="B94" t="s">
        <v>841</v>
      </c>
      <c r="C94" s="11">
        <v>5000000</v>
      </c>
      <c r="D94" t="s">
        <v>1563</v>
      </c>
      <c r="E94" t="s">
        <v>2107</v>
      </c>
      <c r="F94" s="4">
        <v>37169</v>
      </c>
      <c r="G94" s="11">
        <v>1944407.82</v>
      </c>
      <c r="H94" s="11">
        <v>3055592.18</v>
      </c>
    </row>
    <row r="95" spans="1:8" x14ac:dyDescent="0.2">
      <c r="A95" t="s">
        <v>2228</v>
      </c>
      <c r="B95" t="s">
        <v>2229</v>
      </c>
      <c r="C95" s="11">
        <v>9000000</v>
      </c>
      <c r="D95" t="s">
        <v>1563</v>
      </c>
      <c r="E95" t="s">
        <v>516</v>
      </c>
      <c r="F95" s="4">
        <v>37581</v>
      </c>
      <c r="G95" s="11">
        <v>9000000</v>
      </c>
      <c r="H95" s="11">
        <v>0</v>
      </c>
    </row>
    <row r="96" spans="1:8" x14ac:dyDescent="0.2">
      <c r="A96" t="s">
        <v>2239</v>
      </c>
      <c r="B96" t="s">
        <v>2240</v>
      </c>
      <c r="C96" s="11">
        <v>8000000</v>
      </c>
      <c r="D96" t="s">
        <v>1563</v>
      </c>
      <c r="E96" t="s">
        <v>969</v>
      </c>
      <c r="F96" s="4">
        <v>37581</v>
      </c>
      <c r="G96" s="11">
        <v>7999999.9999999991</v>
      </c>
      <c r="H96" s="11">
        <v>0</v>
      </c>
    </row>
    <row r="97" spans="1:8" x14ac:dyDescent="0.2">
      <c r="A97" t="s">
        <v>427</v>
      </c>
      <c r="B97" t="s">
        <v>246</v>
      </c>
      <c r="C97" s="11">
        <v>1000000</v>
      </c>
      <c r="D97" t="s">
        <v>1563</v>
      </c>
      <c r="E97" t="s">
        <v>969</v>
      </c>
      <c r="F97" s="4">
        <v>38286</v>
      </c>
      <c r="G97" s="11">
        <v>1000000.0000000001</v>
      </c>
      <c r="H97" s="11">
        <v>0</v>
      </c>
    </row>
    <row r="98" spans="1:8" x14ac:dyDescent="0.2">
      <c r="A98" t="s">
        <v>428</v>
      </c>
      <c r="B98" t="s">
        <v>429</v>
      </c>
      <c r="C98" s="11">
        <v>5125000</v>
      </c>
      <c r="D98" t="s">
        <v>1563</v>
      </c>
      <c r="E98" t="s">
        <v>969</v>
      </c>
      <c r="F98" s="4">
        <v>37581</v>
      </c>
      <c r="G98" s="11">
        <v>5125000</v>
      </c>
      <c r="H98" s="11">
        <v>0</v>
      </c>
    </row>
    <row r="99" spans="1:8" x14ac:dyDescent="0.2">
      <c r="A99" t="s">
        <v>1625</v>
      </c>
      <c r="B99" t="s">
        <v>1626</v>
      </c>
      <c r="C99" s="11">
        <v>500000</v>
      </c>
      <c r="D99" t="s">
        <v>1563</v>
      </c>
      <c r="E99" t="s">
        <v>885</v>
      </c>
      <c r="F99" s="4">
        <v>38974</v>
      </c>
      <c r="G99" s="11">
        <v>500000</v>
      </c>
      <c r="H99" s="11">
        <v>0</v>
      </c>
    </row>
    <row r="100" spans="1:8" x14ac:dyDescent="0.2">
      <c r="A100" t="s">
        <v>1881</v>
      </c>
      <c r="B100" t="s">
        <v>1882</v>
      </c>
      <c r="C100" s="11">
        <v>250000</v>
      </c>
      <c r="D100" t="s">
        <v>1563</v>
      </c>
      <c r="E100" t="s">
        <v>885</v>
      </c>
      <c r="F100" s="4">
        <v>39122</v>
      </c>
      <c r="G100" s="11">
        <v>250000</v>
      </c>
      <c r="H100" s="11">
        <v>0</v>
      </c>
    </row>
    <row r="101" spans="1:8" x14ac:dyDescent="0.2">
      <c r="A101" t="s">
        <v>1883</v>
      </c>
      <c r="B101" t="s">
        <v>1884</v>
      </c>
      <c r="C101" s="11">
        <v>250000</v>
      </c>
      <c r="D101" t="s">
        <v>1563</v>
      </c>
      <c r="E101" t="s">
        <v>885</v>
      </c>
      <c r="F101" s="4">
        <v>39122</v>
      </c>
      <c r="G101" s="11">
        <v>250000</v>
      </c>
      <c r="H101" s="11">
        <v>0</v>
      </c>
    </row>
    <row r="102" spans="1:8" x14ac:dyDescent="0.2">
      <c r="A102" t="s">
        <v>430</v>
      </c>
      <c r="B102" t="s">
        <v>431</v>
      </c>
      <c r="C102" s="11">
        <v>15000000</v>
      </c>
      <c r="D102" t="s">
        <v>1563</v>
      </c>
      <c r="E102" t="s">
        <v>516</v>
      </c>
      <c r="F102" s="4">
        <v>37581</v>
      </c>
      <c r="G102" s="11">
        <v>15000000</v>
      </c>
      <c r="H102" s="11">
        <v>0</v>
      </c>
    </row>
    <row r="103" spans="1:8" x14ac:dyDescent="0.2">
      <c r="A103" t="s">
        <v>2289</v>
      </c>
      <c r="B103" t="s">
        <v>2290</v>
      </c>
      <c r="C103" s="11">
        <v>1000000</v>
      </c>
      <c r="D103" t="s">
        <v>1563</v>
      </c>
      <c r="E103" t="s">
        <v>2107</v>
      </c>
      <c r="F103" s="4">
        <v>37720</v>
      </c>
      <c r="G103" s="11">
        <v>1000000</v>
      </c>
      <c r="H103" s="11">
        <v>0</v>
      </c>
    </row>
    <row r="104" spans="1:8" x14ac:dyDescent="0.2">
      <c r="A104" t="s">
        <v>32</v>
      </c>
      <c r="B104" t="s">
        <v>33</v>
      </c>
      <c r="C104" s="11">
        <v>2000000</v>
      </c>
      <c r="D104" t="s">
        <v>1563</v>
      </c>
      <c r="E104" t="s">
        <v>885</v>
      </c>
      <c r="F104" s="4">
        <v>38834</v>
      </c>
      <c r="G104" s="11">
        <v>2000000</v>
      </c>
      <c r="H104" s="11">
        <v>0</v>
      </c>
    </row>
    <row r="105" spans="1:8" x14ac:dyDescent="0.2">
      <c r="A105" t="s">
        <v>2378</v>
      </c>
      <c r="B105" t="s">
        <v>1387</v>
      </c>
      <c r="C105" s="11">
        <v>1500000</v>
      </c>
      <c r="D105" t="s">
        <v>1563</v>
      </c>
      <c r="E105" t="s">
        <v>2107</v>
      </c>
      <c r="F105" s="4">
        <v>37581</v>
      </c>
      <c r="G105" s="11">
        <v>1500000</v>
      </c>
      <c r="H105" s="11">
        <v>0</v>
      </c>
    </row>
    <row r="106" spans="1:8" x14ac:dyDescent="0.2">
      <c r="A106" t="s">
        <v>2428</v>
      </c>
      <c r="B106" t="s">
        <v>2429</v>
      </c>
      <c r="C106" s="11">
        <v>3300000</v>
      </c>
      <c r="D106" t="s">
        <v>1563</v>
      </c>
      <c r="E106" t="s">
        <v>885</v>
      </c>
      <c r="F106" s="4">
        <v>38218</v>
      </c>
      <c r="G106" s="11">
        <v>3300000</v>
      </c>
      <c r="H106" s="11">
        <v>0</v>
      </c>
    </row>
    <row r="107" spans="1:8" x14ac:dyDescent="0.2">
      <c r="A107" t="s">
        <v>2450</v>
      </c>
      <c r="B107" t="s">
        <v>2451</v>
      </c>
      <c r="C107" s="11">
        <v>5000000</v>
      </c>
      <c r="D107" t="s">
        <v>1563</v>
      </c>
      <c r="E107" t="s">
        <v>516</v>
      </c>
      <c r="F107" s="4">
        <v>38096</v>
      </c>
      <c r="G107" s="11">
        <v>5000000.0000000009</v>
      </c>
      <c r="H107" s="11">
        <v>0</v>
      </c>
    </row>
    <row r="108" spans="1:8" x14ac:dyDescent="0.2">
      <c r="A108" t="s">
        <v>2473</v>
      </c>
      <c r="B108" t="s">
        <v>2474</v>
      </c>
      <c r="C108" s="11">
        <v>5000000</v>
      </c>
      <c r="D108" t="s">
        <v>1563</v>
      </c>
      <c r="E108" t="s">
        <v>885</v>
      </c>
      <c r="F108" s="4">
        <v>38334</v>
      </c>
      <c r="G108" s="11">
        <v>5000000</v>
      </c>
      <c r="H108" s="11">
        <v>0</v>
      </c>
    </row>
    <row r="109" spans="1:8" x14ac:dyDescent="0.2">
      <c r="A109" t="s">
        <v>432</v>
      </c>
      <c r="B109" t="s">
        <v>433</v>
      </c>
      <c r="C109" s="11">
        <v>750000</v>
      </c>
      <c r="D109" t="s">
        <v>1563</v>
      </c>
      <c r="E109" t="s">
        <v>885</v>
      </c>
      <c r="F109" s="4">
        <v>38218</v>
      </c>
      <c r="G109" s="11">
        <v>750000</v>
      </c>
      <c r="H109" s="11">
        <v>0</v>
      </c>
    </row>
    <row r="110" spans="1:8" x14ac:dyDescent="0.2">
      <c r="A110" t="s">
        <v>896</v>
      </c>
      <c r="B110" t="s">
        <v>897</v>
      </c>
      <c r="C110" s="11">
        <v>500000</v>
      </c>
      <c r="D110" t="s">
        <v>1563</v>
      </c>
      <c r="E110" t="s">
        <v>885</v>
      </c>
      <c r="F110" s="4">
        <v>39772</v>
      </c>
      <c r="G110" s="11">
        <v>500000</v>
      </c>
      <c r="H110" s="11">
        <v>0</v>
      </c>
    </row>
    <row r="111" spans="1:8" x14ac:dyDescent="0.2">
      <c r="A111" t="s">
        <v>2500</v>
      </c>
      <c r="B111" t="s">
        <v>434</v>
      </c>
      <c r="C111" s="11">
        <v>7500000</v>
      </c>
      <c r="D111" t="s">
        <v>1563</v>
      </c>
      <c r="E111" t="s">
        <v>885</v>
      </c>
      <c r="F111" s="4">
        <v>38218</v>
      </c>
      <c r="G111" s="11">
        <v>7500000</v>
      </c>
      <c r="H111" s="11">
        <v>0</v>
      </c>
    </row>
    <row r="112" spans="1:8" x14ac:dyDescent="0.2">
      <c r="A112" t="s">
        <v>2501</v>
      </c>
      <c r="B112" t="s">
        <v>2502</v>
      </c>
      <c r="C112" s="11">
        <v>2000000</v>
      </c>
      <c r="D112" t="s">
        <v>1563</v>
      </c>
      <c r="E112" t="s">
        <v>885</v>
      </c>
      <c r="F112" s="4">
        <v>38218</v>
      </c>
      <c r="G112" s="11">
        <v>2000000</v>
      </c>
      <c r="H112" s="11">
        <v>0</v>
      </c>
    </row>
    <row r="113" spans="1:8" x14ac:dyDescent="0.2">
      <c r="A113" t="s">
        <v>2505</v>
      </c>
      <c r="B113" t="s">
        <v>2506</v>
      </c>
      <c r="C113" s="11">
        <v>4000000</v>
      </c>
      <c r="D113" t="s">
        <v>1563</v>
      </c>
      <c r="E113" t="s">
        <v>885</v>
      </c>
      <c r="F113" s="4">
        <v>38218</v>
      </c>
      <c r="G113" s="11">
        <v>0</v>
      </c>
      <c r="H113" s="11">
        <v>4000000</v>
      </c>
    </row>
    <row r="114" spans="1:8" x14ac:dyDescent="0.2">
      <c r="A114" t="s">
        <v>2518</v>
      </c>
      <c r="B114" t="s">
        <v>2519</v>
      </c>
      <c r="C114" s="11">
        <v>3000000</v>
      </c>
      <c r="D114" t="s">
        <v>1563</v>
      </c>
      <c r="E114" t="s">
        <v>516</v>
      </c>
      <c r="F114" s="4">
        <v>38218</v>
      </c>
      <c r="G114" s="11">
        <v>3000000</v>
      </c>
      <c r="H114" s="11">
        <v>0</v>
      </c>
    </row>
    <row r="115" spans="1:8" x14ac:dyDescent="0.2">
      <c r="A115" t="s">
        <v>3614</v>
      </c>
      <c r="B115" t="s">
        <v>3029</v>
      </c>
      <c r="C115" s="11">
        <v>5000000</v>
      </c>
      <c r="D115" t="s">
        <v>1563</v>
      </c>
      <c r="E115" t="s">
        <v>885</v>
      </c>
      <c r="F115" s="4">
        <v>40487</v>
      </c>
      <c r="G115" s="11">
        <v>739878</v>
      </c>
      <c r="H115" s="11">
        <v>4260122</v>
      </c>
    </row>
    <row r="116" spans="1:8" x14ac:dyDescent="0.2">
      <c r="A116" t="s">
        <v>2520</v>
      </c>
      <c r="B116" t="s">
        <v>363</v>
      </c>
      <c r="C116" s="11">
        <v>1500000</v>
      </c>
      <c r="D116" t="s">
        <v>1563</v>
      </c>
      <c r="E116" t="s">
        <v>885</v>
      </c>
      <c r="F116" s="4">
        <v>38218</v>
      </c>
      <c r="G116" s="11">
        <v>1500000</v>
      </c>
      <c r="H116" s="11">
        <v>0</v>
      </c>
    </row>
    <row r="117" spans="1:8" x14ac:dyDescent="0.2">
      <c r="A117" t="s">
        <v>3615</v>
      </c>
      <c r="B117" t="s">
        <v>3030</v>
      </c>
      <c r="C117" s="11">
        <v>5000000</v>
      </c>
      <c r="D117" t="s">
        <v>1563</v>
      </c>
      <c r="E117" t="s">
        <v>3031</v>
      </c>
      <c r="F117" s="4">
        <v>40487</v>
      </c>
      <c r="G117" s="11">
        <v>403565</v>
      </c>
      <c r="H117" s="11">
        <v>4596435</v>
      </c>
    </row>
    <row r="118" spans="1:8" x14ac:dyDescent="0.2">
      <c r="A118" t="s">
        <v>2529</v>
      </c>
      <c r="B118" t="s">
        <v>2530</v>
      </c>
      <c r="C118" s="11">
        <v>941554</v>
      </c>
      <c r="D118" t="s">
        <v>1563</v>
      </c>
      <c r="E118" t="s">
        <v>516</v>
      </c>
      <c r="F118" s="4">
        <v>38218</v>
      </c>
      <c r="G118" s="11">
        <v>941554</v>
      </c>
      <c r="H118" s="11">
        <v>0</v>
      </c>
    </row>
    <row r="119" spans="1:8" x14ac:dyDescent="0.2">
      <c r="A119" t="s">
        <v>2595</v>
      </c>
      <c r="B119" t="s">
        <v>2596</v>
      </c>
      <c r="C119" s="11">
        <v>3000000</v>
      </c>
      <c r="D119" t="s">
        <v>1563</v>
      </c>
      <c r="E119" t="s">
        <v>885</v>
      </c>
      <c r="F119" s="4">
        <v>38218</v>
      </c>
      <c r="G119" s="11">
        <v>3000000</v>
      </c>
      <c r="H119" s="11">
        <v>0</v>
      </c>
    </row>
    <row r="120" spans="1:8" x14ac:dyDescent="0.2">
      <c r="A120" t="s">
        <v>2627</v>
      </c>
      <c r="B120" t="s">
        <v>2628</v>
      </c>
      <c r="C120" s="11">
        <v>2000000</v>
      </c>
      <c r="D120" t="s">
        <v>1563</v>
      </c>
      <c r="E120" t="s">
        <v>885</v>
      </c>
      <c r="F120" s="4">
        <v>38218</v>
      </c>
      <c r="G120" s="11">
        <v>883419.86</v>
      </c>
      <c r="H120" s="11">
        <v>1116580.1399999999</v>
      </c>
    </row>
    <row r="121" spans="1:8" x14ac:dyDescent="0.2">
      <c r="A121" t="s">
        <v>2631</v>
      </c>
      <c r="B121" t="s">
        <v>232</v>
      </c>
      <c r="C121" s="11">
        <v>3700000</v>
      </c>
      <c r="D121" t="s">
        <v>1563</v>
      </c>
      <c r="E121" t="s">
        <v>885</v>
      </c>
      <c r="F121" s="4">
        <v>38218</v>
      </c>
      <c r="G121" s="11">
        <v>0</v>
      </c>
      <c r="H121" s="11">
        <v>3700000</v>
      </c>
    </row>
    <row r="122" spans="1:8" x14ac:dyDescent="0.2">
      <c r="A122" t="s">
        <v>2632</v>
      </c>
      <c r="B122" t="s">
        <v>2633</v>
      </c>
      <c r="C122" s="11">
        <v>6000000</v>
      </c>
      <c r="D122" t="s">
        <v>1563</v>
      </c>
      <c r="E122" t="s">
        <v>885</v>
      </c>
      <c r="F122" s="4">
        <v>38218</v>
      </c>
      <c r="G122" s="11">
        <v>4005393</v>
      </c>
      <c r="H122" s="11">
        <v>1994607</v>
      </c>
    </row>
    <row r="123" spans="1:8" x14ac:dyDescent="0.2">
      <c r="A123" t="s">
        <v>1642</v>
      </c>
      <c r="B123" t="s">
        <v>1643</v>
      </c>
      <c r="C123" s="11">
        <v>250000</v>
      </c>
      <c r="D123" t="s">
        <v>1563</v>
      </c>
      <c r="E123" t="s">
        <v>885</v>
      </c>
      <c r="F123" s="4">
        <v>38916</v>
      </c>
      <c r="G123" s="11">
        <v>0</v>
      </c>
      <c r="H123" s="11">
        <v>250000</v>
      </c>
    </row>
    <row r="124" spans="1:8" x14ac:dyDescent="0.2">
      <c r="A124" t="s">
        <v>3616</v>
      </c>
      <c r="B124" t="s">
        <v>3016</v>
      </c>
      <c r="C124" s="11">
        <v>5000000</v>
      </c>
      <c r="D124" t="s">
        <v>1563</v>
      </c>
      <c r="E124" t="s">
        <v>885</v>
      </c>
      <c r="F124" s="4">
        <v>40420</v>
      </c>
      <c r="G124" s="11">
        <v>0</v>
      </c>
      <c r="H124" s="11">
        <v>5000000</v>
      </c>
    </row>
    <row r="125" spans="1:8" x14ac:dyDescent="0.2">
      <c r="A125" t="s">
        <v>2670</v>
      </c>
      <c r="B125" t="s">
        <v>2671</v>
      </c>
      <c r="C125" s="11">
        <v>2000000</v>
      </c>
      <c r="D125" t="s">
        <v>1563</v>
      </c>
      <c r="E125" t="s">
        <v>516</v>
      </c>
      <c r="F125" s="4">
        <v>38420</v>
      </c>
      <c r="G125" s="11">
        <v>2000000</v>
      </c>
      <c r="H125" s="11">
        <v>0</v>
      </c>
    </row>
    <row r="126" spans="1:8" x14ac:dyDescent="0.2">
      <c r="A126" t="s">
        <v>2677</v>
      </c>
      <c r="B126" t="s">
        <v>2678</v>
      </c>
      <c r="C126" s="11">
        <v>5000000</v>
      </c>
      <c r="D126" t="s">
        <v>1563</v>
      </c>
      <c r="E126" t="s">
        <v>885</v>
      </c>
      <c r="F126" s="4">
        <v>38218</v>
      </c>
      <c r="G126" s="11">
        <v>5000000</v>
      </c>
      <c r="H126" s="11">
        <v>0</v>
      </c>
    </row>
    <row r="127" spans="1:8" x14ac:dyDescent="0.2">
      <c r="A127" t="s">
        <v>731</v>
      </c>
      <c r="B127" t="s">
        <v>670</v>
      </c>
      <c r="C127" s="11">
        <v>4000000</v>
      </c>
      <c r="D127" t="s">
        <v>1563</v>
      </c>
      <c r="E127" t="s">
        <v>444</v>
      </c>
      <c r="F127" s="4">
        <v>38985</v>
      </c>
      <c r="G127" s="11">
        <v>4000000</v>
      </c>
      <c r="H127" s="11">
        <v>0</v>
      </c>
    </row>
    <row r="128" spans="1:8" x14ac:dyDescent="0.2">
      <c r="A128" t="s">
        <v>2697</v>
      </c>
      <c r="B128" t="s">
        <v>160</v>
      </c>
      <c r="C128" s="11">
        <v>2000000</v>
      </c>
      <c r="D128" t="s">
        <v>1563</v>
      </c>
      <c r="E128" t="s">
        <v>2620</v>
      </c>
      <c r="F128" s="4">
        <v>38378</v>
      </c>
      <c r="G128" s="11">
        <v>1950000</v>
      </c>
      <c r="H128" s="11">
        <v>50000</v>
      </c>
    </row>
    <row r="129" spans="1:8" x14ac:dyDescent="0.2">
      <c r="A129" t="s">
        <v>1644</v>
      </c>
      <c r="B129" t="s">
        <v>1645</v>
      </c>
      <c r="C129" s="11">
        <v>1000000</v>
      </c>
      <c r="D129" t="s">
        <v>1563</v>
      </c>
      <c r="E129" t="s">
        <v>444</v>
      </c>
      <c r="F129" s="4">
        <v>38974</v>
      </c>
      <c r="G129" s="11">
        <v>613389</v>
      </c>
      <c r="H129" s="11">
        <v>386611</v>
      </c>
    </row>
    <row r="130" spans="1:8" x14ac:dyDescent="0.2">
      <c r="A130" t="s">
        <v>717</v>
      </c>
      <c r="B130" t="s">
        <v>718</v>
      </c>
      <c r="C130" s="11">
        <v>1000000</v>
      </c>
      <c r="D130" t="s">
        <v>1563</v>
      </c>
      <c r="E130" t="s">
        <v>444</v>
      </c>
      <c r="F130" s="4">
        <v>39455</v>
      </c>
      <c r="G130" s="11">
        <v>0</v>
      </c>
      <c r="H130" s="11">
        <v>1000000</v>
      </c>
    </row>
    <row r="131" spans="1:8" x14ac:dyDescent="0.2">
      <c r="A131" t="s">
        <v>34</v>
      </c>
      <c r="B131" t="s">
        <v>231</v>
      </c>
      <c r="C131" s="11">
        <v>10000000</v>
      </c>
      <c r="D131" t="s">
        <v>1563</v>
      </c>
      <c r="E131" t="s">
        <v>885</v>
      </c>
      <c r="F131" s="4">
        <v>38218</v>
      </c>
      <c r="G131" s="11">
        <v>10000000</v>
      </c>
      <c r="H131" s="11">
        <v>0</v>
      </c>
    </row>
    <row r="132" spans="1:8" x14ac:dyDescent="0.2">
      <c r="A132" t="s">
        <v>2818</v>
      </c>
      <c r="B132" t="s">
        <v>2819</v>
      </c>
      <c r="C132" s="11">
        <v>500000</v>
      </c>
      <c r="D132" t="s">
        <v>1563</v>
      </c>
      <c r="E132" t="s">
        <v>888</v>
      </c>
      <c r="F132" s="4">
        <v>40325</v>
      </c>
      <c r="G132" s="11">
        <v>500000</v>
      </c>
      <c r="H132" s="11">
        <v>0</v>
      </c>
    </row>
    <row r="133" spans="1:8" x14ac:dyDescent="0.2">
      <c r="A133" t="s">
        <v>436</v>
      </c>
      <c r="B133" t="s">
        <v>244</v>
      </c>
      <c r="C133" s="11">
        <v>700000</v>
      </c>
      <c r="D133" t="s">
        <v>1563</v>
      </c>
      <c r="E133" t="s">
        <v>516</v>
      </c>
      <c r="F133" s="4">
        <v>38264</v>
      </c>
      <c r="G133" s="11">
        <v>700000</v>
      </c>
      <c r="H133" s="11">
        <v>0</v>
      </c>
    </row>
    <row r="134" spans="1:8" x14ac:dyDescent="0.2">
      <c r="A134" t="s">
        <v>35</v>
      </c>
      <c r="B134" t="s">
        <v>193</v>
      </c>
      <c r="C134" s="11">
        <v>2500000</v>
      </c>
      <c r="D134" t="s">
        <v>1563</v>
      </c>
      <c r="E134" t="s">
        <v>885</v>
      </c>
      <c r="F134" s="4">
        <v>38813</v>
      </c>
      <c r="G134" s="11">
        <v>2500000</v>
      </c>
      <c r="H134" s="11">
        <v>0</v>
      </c>
    </row>
    <row r="135" spans="1:8" x14ac:dyDescent="0.2">
      <c r="A135" t="s">
        <v>56</v>
      </c>
      <c r="B135" t="s">
        <v>423</v>
      </c>
      <c r="C135" s="11">
        <v>4000000</v>
      </c>
      <c r="D135" t="s">
        <v>1563</v>
      </c>
      <c r="E135" t="s">
        <v>885</v>
      </c>
      <c r="F135" s="4">
        <v>38757</v>
      </c>
      <c r="G135" s="11">
        <v>4000000</v>
      </c>
      <c r="H135" s="11">
        <v>0</v>
      </c>
    </row>
    <row r="136" spans="1:8" x14ac:dyDescent="0.2">
      <c r="A136" t="s">
        <v>1649</v>
      </c>
      <c r="B136" t="s">
        <v>1650</v>
      </c>
      <c r="C136" s="11">
        <v>500000</v>
      </c>
      <c r="D136" t="s">
        <v>1563</v>
      </c>
      <c r="E136" t="s">
        <v>885</v>
      </c>
      <c r="F136" s="4">
        <v>38944</v>
      </c>
      <c r="G136" s="11">
        <v>500000</v>
      </c>
      <c r="H136" s="11">
        <v>0</v>
      </c>
    </row>
    <row r="137" spans="1:8" x14ac:dyDescent="0.2">
      <c r="A137" t="s">
        <v>1651</v>
      </c>
      <c r="B137" t="s">
        <v>1652</v>
      </c>
      <c r="C137" s="11">
        <v>500000</v>
      </c>
      <c r="D137" t="s">
        <v>1563</v>
      </c>
      <c r="E137" t="s">
        <v>3617</v>
      </c>
      <c r="F137" s="4">
        <v>39062</v>
      </c>
      <c r="G137" s="11">
        <v>500000</v>
      </c>
      <c r="H137" s="11">
        <v>0</v>
      </c>
    </row>
    <row r="138" spans="1:8" x14ac:dyDescent="0.2">
      <c r="A138" t="s">
        <v>390</v>
      </c>
      <c r="B138" t="s">
        <v>391</v>
      </c>
      <c r="C138" s="11">
        <v>500000</v>
      </c>
      <c r="D138" t="s">
        <v>1563</v>
      </c>
      <c r="E138" t="s">
        <v>885</v>
      </c>
      <c r="F138" s="4">
        <v>39329</v>
      </c>
      <c r="G138" s="11">
        <v>500000</v>
      </c>
      <c r="H138" s="11">
        <v>0</v>
      </c>
    </row>
    <row r="139" spans="1:8" x14ac:dyDescent="0.2">
      <c r="A139" t="s">
        <v>461</v>
      </c>
      <c r="B139" t="s">
        <v>1402</v>
      </c>
      <c r="C139" s="11">
        <v>1000000</v>
      </c>
      <c r="D139" t="s">
        <v>1563</v>
      </c>
      <c r="E139" t="s">
        <v>885</v>
      </c>
      <c r="F139" s="4">
        <v>38450</v>
      </c>
      <c r="G139" s="11">
        <v>1000000</v>
      </c>
      <c r="H139" s="11">
        <v>0</v>
      </c>
    </row>
    <row r="140" spans="1:8" x14ac:dyDescent="0.2">
      <c r="A140" t="s">
        <v>440</v>
      </c>
      <c r="B140" t="s">
        <v>441</v>
      </c>
      <c r="C140" s="11">
        <v>9200000</v>
      </c>
      <c r="D140" t="s">
        <v>1563</v>
      </c>
      <c r="E140" t="s">
        <v>516</v>
      </c>
      <c r="F140" s="4">
        <v>39003</v>
      </c>
      <c r="G140" s="11">
        <v>9200000</v>
      </c>
      <c r="H140" s="11">
        <v>0</v>
      </c>
    </row>
    <row r="141" spans="1:8" x14ac:dyDescent="0.2">
      <c r="A141" t="s">
        <v>1891</v>
      </c>
      <c r="B141" t="s">
        <v>1892</v>
      </c>
      <c r="C141" s="11">
        <v>10500000</v>
      </c>
      <c r="D141" t="s">
        <v>1563</v>
      </c>
      <c r="E141" t="s">
        <v>516</v>
      </c>
      <c r="F141" s="4">
        <v>39174</v>
      </c>
      <c r="G141" s="11">
        <v>10500000</v>
      </c>
      <c r="H141" s="11">
        <v>0</v>
      </c>
    </row>
    <row r="142" spans="1:8" x14ac:dyDescent="0.2">
      <c r="A142" t="s">
        <v>69</v>
      </c>
      <c r="B142" t="s">
        <v>70</v>
      </c>
      <c r="C142" s="11">
        <v>100000</v>
      </c>
      <c r="D142" t="s">
        <v>1563</v>
      </c>
      <c r="E142" t="s">
        <v>888</v>
      </c>
      <c r="F142" s="4">
        <v>40217</v>
      </c>
      <c r="G142" s="11">
        <v>100000</v>
      </c>
      <c r="H142" s="11">
        <v>0</v>
      </c>
    </row>
    <row r="143" spans="1:8" x14ac:dyDescent="0.2">
      <c r="A143" t="s">
        <v>71</v>
      </c>
      <c r="B143" t="s">
        <v>72</v>
      </c>
      <c r="C143" s="11">
        <v>10000000</v>
      </c>
      <c r="D143" t="s">
        <v>1563</v>
      </c>
      <c r="E143" t="s">
        <v>516</v>
      </c>
      <c r="F143" s="4">
        <v>40226</v>
      </c>
      <c r="G143" s="11">
        <v>10000000</v>
      </c>
      <c r="H143" s="11">
        <v>0</v>
      </c>
    </row>
    <row r="144" spans="1:8" x14ac:dyDescent="0.2">
      <c r="A144" t="s">
        <v>851</v>
      </c>
      <c r="B144" t="s">
        <v>1406</v>
      </c>
      <c r="C144" s="11">
        <v>1400000</v>
      </c>
      <c r="D144" t="s">
        <v>1563</v>
      </c>
      <c r="E144" t="s">
        <v>885</v>
      </c>
      <c r="F144" s="4">
        <v>38492</v>
      </c>
      <c r="G144" s="11">
        <v>1400000</v>
      </c>
      <c r="H144" s="11">
        <v>0</v>
      </c>
    </row>
    <row r="145" spans="1:8" x14ac:dyDescent="0.2">
      <c r="A145" t="s">
        <v>73</v>
      </c>
      <c r="B145" t="s">
        <v>1406</v>
      </c>
      <c r="C145" s="11">
        <v>420000</v>
      </c>
      <c r="D145" t="s">
        <v>1563</v>
      </c>
      <c r="E145" t="s">
        <v>885</v>
      </c>
      <c r="F145" s="4">
        <v>39930</v>
      </c>
      <c r="G145" s="11">
        <v>420000</v>
      </c>
      <c r="H145" s="11">
        <v>0</v>
      </c>
    </row>
    <row r="146" spans="1:8" x14ac:dyDescent="0.2">
      <c r="A146" t="s">
        <v>1834</v>
      </c>
      <c r="B146" t="s">
        <v>1435</v>
      </c>
      <c r="C146" s="11">
        <v>500000</v>
      </c>
      <c r="D146" t="s">
        <v>1563</v>
      </c>
      <c r="E146" t="s">
        <v>885</v>
      </c>
      <c r="F146" s="4">
        <v>38677</v>
      </c>
      <c r="G146" s="11">
        <v>500000</v>
      </c>
      <c r="H146" s="11">
        <v>0</v>
      </c>
    </row>
    <row r="147" spans="1:8" x14ac:dyDescent="0.2">
      <c r="A147" t="s">
        <v>1835</v>
      </c>
      <c r="B147" t="s">
        <v>1435</v>
      </c>
      <c r="C147" s="11">
        <v>500000</v>
      </c>
      <c r="D147" t="s">
        <v>1563</v>
      </c>
      <c r="E147" t="s">
        <v>885</v>
      </c>
      <c r="F147" s="4">
        <v>38699</v>
      </c>
      <c r="G147" s="11">
        <v>500000</v>
      </c>
      <c r="H147" s="11">
        <v>0</v>
      </c>
    </row>
    <row r="148" spans="1:8" x14ac:dyDescent="0.2">
      <c r="A148" t="s">
        <v>1357</v>
      </c>
      <c r="B148" t="s">
        <v>1658</v>
      </c>
      <c r="C148" s="11">
        <v>1500000</v>
      </c>
      <c r="D148" t="s">
        <v>1563</v>
      </c>
      <c r="E148" t="s">
        <v>444</v>
      </c>
      <c r="F148" s="4">
        <v>38985</v>
      </c>
      <c r="G148" s="11">
        <v>1437500</v>
      </c>
      <c r="H148" s="11">
        <v>62500</v>
      </c>
    </row>
    <row r="149" spans="1:8" x14ac:dyDescent="0.2">
      <c r="A149" t="s">
        <v>1839</v>
      </c>
      <c r="B149" t="s">
        <v>1616</v>
      </c>
      <c r="C149" s="11">
        <v>500000</v>
      </c>
      <c r="D149" t="s">
        <v>1563</v>
      </c>
      <c r="E149" t="s">
        <v>516</v>
      </c>
      <c r="F149" s="4">
        <v>38813</v>
      </c>
      <c r="G149" s="11">
        <v>500000</v>
      </c>
      <c r="H149" s="11">
        <v>0</v>
      </c>
    </row>
    <row r="150" spans="1:8" x14ac:dyDescent="0.2">
      <c r="A150" t="s">
        <v>1840</v>
      </c>
      <c r="B150" t="s">
        <v>1291</v>
      </c>
      <c r="C150" s="11">
        <v>500000</v>
      </c>
      <c r="D150" t="s">
        <v>1563</v>
      </c>
      <c r="E150" t="s">
        <v>516</v>
      </c>
      <c r="F150" s="4">
        <v>38813</v>
      </c>
      <c r="G150" s="11">
        <v>500000</v>
      </c>
      <c r="H150" s="11">
        <v>0</v>
      </c>
    </row>
    <row r="151" spans="1:8" x14ac:dyDescent="0.2">
      <c r="A151" t="s">
        <v>1841</v>
      </c>
      <c r="B151" t="s">
        <v>36</v>
      </c>
      <c r="C151" s="11">
        <v>500000</v>
      </c>
      <c r="D151" t="s">
        <v>1563</v>
      </c>
      <c r="E151" t="s">
        <v>516</v>
      </c>
      <c r="F151" s="4">
        <v>38834</v>
      </c>
      <c r="G151" s="11">
        <v>500000</v>
      </c>
      <c r="H151" s="11">
        <v>0</v>
      </c>
    </row>
    <row r="152" spans="1:8" x14ac:dyDescent="0.2">
      <c r="A152" t="s">
        <v>1893</v>
      </c>
      <c r="B152" t="s">
        <v>1663</v>
      </c>
      <c r="C152" s="11">
        <v>3000000</v>
      </c>
      <c r="D152" t="s">
        <v>1563</v>
      </c>
      <c r="E152" t="s">
        <v>516</v>
      </c>
      <c r="F152" s="4">
        <v>38917</v>
      </c>
      <c r="G152" s="11">
        <v>3000000</v>
      </c>
      <c r="H152" s="11">
        <v>0</v>
      </c>
    </row>
    <row r="153" spans="1:8" x14ac:dyDescent="0.2">
      <c r="A153" t="s">
        <v>1894</v>
      </c>
      <c r="B153" t="s">
        <v>445</v>
      </c>
      <c r="C153" s="11">
        <v>500000</v>
      </c>
      <c r="D153" t="s">
        <v>1563</v>
      </c>
      <c r="E153" t="s">
        <v>516</v>
      </c>
      <c r="F153" s="4">
        <v>38985</v>
      </c>
      <c r="G153" s="11">
        <v>500000</v>
      </c>
      <c r="H153" s="11">
        <v>0</v>
      </c>
    </row>
    <row r="154" spans="1:8" x14ac:dyDescent="0.2">
      <c r="A154" t="s">
        <v>1857</v>
      </c>
      <c r="B154" t="s">
        <v>1434</v>
      </c>
      <c r="C154" s="11">
        <v>1000000</v>
      </c>
      <c r="D154" t="s">
        <v>1563</v>
      </c>
      <c r="E154" t="s">
        <v>885</v>
      </c>
      <c r="F154" s="4">
        <v>38677</v>
      </c>
      <c r="G154" s="11">
        <v>0</v>
      </c>
      <c r="H154" s="11">
        <v>1000000</v>
      </c>
    </row>
    <row r="155" spans="1:8" x14ac:dyDescent="0.2">
      <c r="A155" t="s">
        <v>1858</v>
      </c>
      <c r="B155" t="s">
        <v>437</v>
      </c>
      <c r="C155" s="11">
        <v>250000</v>
      </c>
      <c r="D155" t="s">
        <v>1563</v>
      </c>
      <c r="E155" t="s">
        <v>885</v>
      </c>
      <c r="F155" s="4">
        <v>38790</v>
      </c>
      <c r="G155" s="11">
        <v>0</v>
      </c>
      <c r="H155" s="11">
        <v>250000</v>
      </c>
    </row>
    <row r="156" spans="1:8" x14ac:dyDescent="0.2">
      <c r="A156" t="s">
        <v>2981</v>
      </c>
      <c r="B156" t="s">
        <v>438</v>
      </c>
      <c r="C156" s="11">
        <v>250000</v>
      </c>
      <c r="D156" t="s">
        <v>1563</v>
      </c>
      <c r="E156" t="s">
        <v>885</v>
      </c>
      <c r="F156" s="4">
        <v>38791</v>
      </c>
      <c r="G156" s="11">
        <v>0</v>
      </c>
      <c r="H156" s="11">
        <v>250000</v>
      </c>
    </row>
    <row r="157" spans="1:8" x14ac:dyDescent="0.2">
      <c r="A157" t="s">
        <v>1859</v>
      </c>
      <c r="B157" t="s">
        <v>1615</v>
      </c>
      <c r="C157" s="11">
        <v>5000000</v>
      </c>
      <c r="D157" t="s">
        <v>1563</v>
      </c>
      <c r="E157" t="s">
        <v>2107</v>
      </c>
      <c r="F157" s="4">
        <v>38791</v>
      </c>
      <c r="G157" s="11">
        <v>5000000</v>
      </c>
      <c r="H157" s="11">
        <v>0</v>
      </c>
    </row>
    <row r="158" spans="1:8" x14ac:dyDescent="0.2">
      <c r="A158" t="s">
        <v>1860</v>
      </c>
      <c r="B158" t="s">
        <v>1290</v>
      </c>
      <c r="C158" s="11">
        <v>1000000</v>
      </c>
      <c r="D158" t="s">
        <v>1563</v>
      </c>
      <c r="E158" t="s">
        <v>2107</v>
      </c>
      <c r="F158" s="4">
        <v>38791</v>
      </c>
      <c r="G158" s="11">
        <v>1000000</v>
      </c>
      <c r="H158" s="11">
        <v>0</v>
      </c>
    </row>
    <row r="159" spans="1:8" x14ac:dyDescent="0.2">
      <c r="A159" t="s">
        <v>1861</v>
      </c>
      <c r="B159" t="s">
        <v>1290</v>
      </c>
      <c r="C159" s="11">
        <v>500000</v>
      </c>
      <c r="D159" t="s">
        <v>1563</v>
      </c>
      <c r="E159" t="s">
        <v>2107</v>
      </c>
      <c r="F159" s="4">
        <v>38791</v>
      </c>
      <c r="G159" s="11">
        <v>500000</v>
      </c>
      <c r="H159" s="11">
        <v>0</v>
      </c>
    </row>
    <row r="160" spans="1:8" x14ac:dyDescent="0.2">
      <c r="A160" t="s">
        <v>909</v>
      </c>
      <c r="B160" t="s">
        <v>910</v>
      </c>
      <c r="C160" s="11">
        <v>500000</v>
      </c>
      <c r="D160" t="s">
        <v>1563</v>
      </c>
      <c r="E160" t="s">
        <v>444</v>
      </c>
      <c r="F160" s="4">
        <v>39702</v>
      </c>
      <c r="G160" s="11">
        <v>500000</v>
      </c>
      <c r="H160" s="11">
        <v>0</v>
      </c>
    </row>
    <row r="161" spans="1:8" x14ac:dyDescent="0.2">
      <c r="A161" t="s">
        <v>2536</v>
      </c>
      <c r="B161" t="s">
        <v>2537</v>
      </c>
      <c r="C161" s="11">
        <v>600000</v>
      </c>
      <c r="D161" t="s">
        <v>1563</v>
      </c>
      <c r="E161" t="s">
        <v>444</v>
      </c>
      <c r="F161" s="4">
        <v>39793</v>
      </c>
      <c r="G161" s="11">
        <v>600000</v>
      </c>
      <c r="H161" s="11">
        <v>0</v>
      </c>
    </row>
    <row r="162" spans="1:8" x14ac:dyDescent="0.2">
      <c r="A162" t="s">
        <v>754</v>
      </c>
      <c r="B162" t="s">
        <v>755</v>
      </c>
      <c r="C162" s="11">
        <v>350000</v>
      </c>
      <c r="D162" t="s">
        <v>1563</v>
      </c>
      <c r="E162" t="s">
        <v>444</v>
      </c>
      <c r="F162" s="4">
        <v>39856</v>
      </c>
      <c r="G162" s="11">
        <v>350000</v>
      </c>
      <c r="H162" s="11">
        <v>0</v>
      </c>
    </row>
    <row r="163" spans="1:8" x14ac:dyDescent="0.2">
      <c r="A163" t="s">
        <v>972</v>
      </c>
      <c r="B163" t="s">
        <v>973</v>
      </c>
      <c r="C163" s="11">
        <v>1500000</v>
      </c>
      <c r="D163" t="s">
        <v>1563</v>
      </c>
      <c r="E163" t="s">
        <v>444</v>
      </c>
      <c r="F163" s="4">
        <v>39890</v>
      </c>
      <c r="G163" s="11">
        <v>1500000</v>
      </c>
      <c r="H163" s="11">
        <v>0</v>
      </c>
    </row>
    <row r="164" spans="1:8" x14ac:dyDescent="0.2">
      <c r="A164" t="s">
        <v>1864</v>
      </c>
      <c r="B164" t="s">
        <v>1437</v>
      </c>
      <c r="C164" s="11">
        <v>400000</v>
      </c>
      <c r="D164" t="s">
        <v>1563</v>
      </c>
      <c r="E164" t="s">
        <v>885</v>
      </c>
      <c r="F164" s="4">
        <v>38688</v>
      </c>
      <c r="G164" s="11">
        <v>400000</v>
      </c>
      <c r="H164" s="11">
        <v>0</v>
      </c>
    </row>
    <row r="165" spans="1:8" x14ac:dyDescent="0.2">
      <c r="A165" t="s">
        <v>1869</v>
      </c>
      <c r="B165" t="s">
        <v>421</v>
      </c>
      <c r="C165" s="11">
        <v>2000000</v>
      </c>
      <c r="D165" t="s">
        <v>1563</v>
      </c>
      <c r="E165" t="s">
        <v>516</v>
      </c>
      <c r="F165" s="4">
        <v>38757</v>
      </c>
      <c r="G165" s="11">
        <v>2000000</v>
      </c>
      <c r="H165" s="11">
        <v>0</v>
      </c>
    </row>
    <row r="166" spans="1:8" x14ac:dyDescent="0.2">
      <c r="A166" t="s">
        <v>1830</v>
      </c>
      <c r="B166" t="s">
        <v>1407</v>
      </c>
      <c r="C166" s="11">
        <v>350000</v>
      </c>
      <c r="D166" t="s">
        <v>1563</v>
      </c>
      <c r="E166" t="s">
        <v>885</v>
      </c>
      <c r="F166" s="4">
        <v>38492</v>
      </c>
      <c r="G166" s="11">
        <v>350000</v>
      </c>
      <c r="H166" s="11">
        <v>0</v>
      </c>
    </row>
    <row r="167" spans="1:8" x14ac:dyDescent="0.2">
      <c r="A167" t="s">
        <v>1347</v>
      </c>
      <c r="B167" t="s">
        <v>1404</v>
      </c>
      <c r="C167" s="11">
        <v>250000</v>
      </c>
      <c r="D167" t="s">
        <v>1563</v>
      </c>
      <c r="E167" t="s">
        <v>885</v>
      </c>
      <c r="F167" s="4">
        <v>38492</v>
      </c>
      <c r="G167" s="11">
        <v>250000</v>
      </c>
      <c r="H167" s="11">
        <v>0</v>
      </c>
    </row>
    <row r="168" spans="1:8" x14ac:dyDescent="0.2">
      <c r="A168" t="s">
        <v>1354</v>
      </c>
      <c r="B168" t="s">
        <v>40</v>
      </c>
      <c r="C168" s="11">
        <v>7500000</v>
      </c>
      <c r="D168" t="s">
        <v>1563</v>
      </c>
      <c r="E168" t="s">
        <v>516</v>
      </c>
      <c r="F168" s="4">
        <v>38874</v>
      </c>
      <c r="G168" s="11">
        <v>7500000</v>
      </c>
      <c r="H168" s="11">
        <v>0</v>
      </c>
    </row>
    <row r="169" spans="1:8" x14ac:dyDescent="0.2">
      <c r="A169" t="s">
        <v>591</v>
      </c>
      <c r="B169" t="s">
        <v>1032</v>
      </c>
      <c r="C169" s="11">
        <v>500000</v>
      </c>
      <c r="D169" t="s">
        <v>1563</v>
      </c>
      <c r="E169" t="s">
        <v>444</v>
      </c>
      <c r="F169" s="4">
        <v>39961</v>
      </c>
      <c r="G169" s="11">
        <v>103008</v>
      </c>
      <c r="H169" s="11">
        <v>396992</v>
      </c>
    </row>
    <row r="170" spans="1:8" x14ac:dyDescent="0.2">
      <c r="A170" t="s">
        <v>74</v>
      </c>
      <c r="B170" t="s">
        <v>75</v>
      </c>
      <c r="C170" s="11">
        <v>250000</v>
      </c>
      <c r="D170" t="s">
        <v>1563</v>
      </c>
      <c r="E170" t="s">
        <v>444</v>
      </c>
      <c r="F170" s="4">
        <v>40217</v>
      </c>
      <c r="G170" s="11">
        <v>0</v>
      </c>
      <c r="H170" s="11">
        <v>250000</v>
      </c>
    </row>
    <row r="171" spans="1:8" x14ac:dyDescent="0.2">
      <c r="A171" t="s">
        <v>1871</v>
      </c>
      <c r="B171" t="s">
        <v>2982</v>
      </c>
      <c r="C171" s="11">
        <v>0</v>
      </c>
      <c r="D171" t="s">
        <v>1563</v>
      </c>
      <c r="E171" t="s">
        <v>885</v>
      </c>
      <c r="F171" s="4">
        <v>38832</v>
      </c>
      <c r="G171" s="11">
        <v>0</v>
      </c>
      <c r="H171" s="11">
        <v>0</v>
      </c>
    </row>
    <row r="172" spans="1:8" x14ac:dyDescent="0.2">
      <c r="A172" t="s">
        <v>1356</v>
      </c>
      <c r="B172" t="s">
        <v>39</v>
      </c>
      <c r="C172" s="11">
        <v>5000000</v>
      </c>
      <c r="D172" t="s">
        <v>1563</v>
      </c>
      <c r="E172" t="s">
        <v>516</v>
      </c>
      <c r="F172" s="4">
        <v>38852</v>
      </c>
      <c r="G172" s="11">
        <v>0</v>
      </c>
      <c r="H172" s="11">
        <v>5000000</v>
      </c>
    </row>
    <row r="173" spans="1:8" x14ac:dyDescent="0.2">
      <c r="A173" t="s">
        <v>1365</v>
      </c>
      <c r="B173" t="s">
        <v>641</v>
      </c>
      <c r="C173" s="11">
        <v>500000</v>
      </c>
      <c r="D173" t="s">
        <v>1563</v>
      </c>
      <c r="E173" t="s">
        <v>444</v>
      </c>
      <c r="F173" s="4">
        <v>38946</v>
      </c>
      <c r="G173" s="11">
        <v>500000</v>
      </c>
      <c r="H173" s="11">
        <v>0</v>
      </c>
    </row>
    <row r="174" spans="1:8" x14ac:dyDescent="0.2">
      <c r="A174" t="s">
        <v>1366</v>
      </c>
      <c r="B174" t="s">
        <v>1922</v>
      </c>
      <c r="C174" s="11">
        <v>750000</v>
      </c>
      <c r="D174" t="s">
        <v>1563</v>
      </c>
      <c r="E174" t="s">
        <v>444</v>
      </c>
      <c r="F174" s="4">
        <v>39062</v>
      </c>
      <c r="G174" s="11">
        <v>750000</v>
      </c>
      <c r="H174" s="11">
        <v>0</v>
      </c>
    </row>
    <row r="175" spans="1:8" x14ac:dyDescent="0.2">
      <c r="A175" t="s">
        <v>1472</v>
      </c>
      <c r="B175" t="s">
        <v>1273</v>
      </c>
      <c r="C175" s="11">
        <v>500000</v>
      </c>
      <c r="D175" t="s">
        <v>1563</v>
      </c>
      <c r="E175" t="s">
        <v>444</v>
      </c>
      <c r="F175" s="4">
        <v>39062</v>
      </c>
      <c r="G175" s="11">
        <v>500000</v>
      </c>
      <c r="H175" s="11">
        <v>0</v>
      </c>
    </row>
    <row r="176" spans="1:8" x14ac:dyDescent="0.2">
      <c r="A176" t="s">
        <v>1478</v>
      </c>
      <c r="B176" t="s">
        <v>668</v>
      </c>
      <c r="C176" s="11">
        <v>7000000</v>
      </c>
      <c r="D176" t="s">
        <v>1563</v>
      </c>
      <c r="E176" t="s">
        <v>444</v>
      </c>
      <c r="F176" s="4">
        <v>38985</v>
      </c>
      <c r="G176" s="11">
        <v>7000000</v>
      </c>
      <c r="H176" s="11">
        <v>0</v>
      </c>
    </row>
    <row r="177" spans="1:8" x14ac:dyDescent="0.2">
      <c r="A177" t="s">
        <v>1480</v>
      </c>
      <c r="B177" t="s">
        <v>680</v>
      </c>
      <c r="C177" s="11">
        <v>2000000</v>
      </c>
      <c r="D177" t="s">
        <v>1563</v>
      </c>
      <c r="E177" t="s">
        <v>444</v>
      </c>
      <c r="F177" s="4">
        <v>39020</v>
      </c>
      <c r="G177" s="11">
        <v>2000000</v>
      </c>
      <c r="H177" s="11">
        <v>0</v>
      </c>
    </row>
    <row r="178" spans="1:8" x14ac:dyDescent="0.2">
      <c r="A178" t="s">
        <v>858</v>
      </c>
      <c r="B178" t="s">
        <v>681</v>
      </c>
      <c r="C178" s="11">
        <v>500000</v>
      </c>
      <c r="D178" t="s">
        <v>1563</v>
      </c>
      <c r="E178" t="s">
        <v>444</v>
      </c>
      <c r="F178" s="4">
        <v>39020</v>
      </c>
      <c r="G178" s="11">
        <v>500000</v>
      </c>
      <c r="H178" s="11">
        <v>0</v>
      </c>
    </row>
    <row r="179" spans="1:8" x14ac:dyDescent="0.2">
      <c r="A179" t="s">
        <v>1486</v>
      </c>
      <c r="B179" t="s">
        <v>1275</v>
      </c>
      <c r="C179" s="11">
        <v>350000</v>
      </c>
      <c r="D179" t="s">
        <v>1563</v>
      </c>
      <c r="E179" t="s">
        <v>444</v>
      </c>
      <c r="F179" s="4">
        <v>39062</v>
      </c>
      <c r="G179" s="11">
        <v>350000</v>
      </c>
      <c r="H179" s="11">
        <v>0</v>
      </c>
    </row>
    <row r="180" spans="1:8" x14ac:dyDescent="0.2">
      <c r="A180" t="s">
        <v>1488</v>
      </c>
      <c r="B180" t="s">
        <v>1231</v>
      </c>
      <c r="C180" s="11">
        <v>500000</v>
      </c>
      <c r="D180" t="s">
        <v>1563</v>
      </c>
      <c r="E180" t="s">
        <v>444</v>
      </c>
      <c r="F180" s="4">
        <v>39122</v>
      </c>
      <c r="G180" s="11">
        <v>500000</v>
      </c>
      <c r="H180" s="11">
        <v>0</v>
      </c>
    </row>
    <row r="181" spans="1:8" x14ac:dyDescent="0.2">
      <c r="A181" t="s">
        <v>1492</v>
      </c>
      <c r="B181" t="s">
        <v>1276</v>
      </c>
      <c r="C181" s="11">
        <v>400000</v>
      </c>
      <c r="D181" t="s">
        <v>1563</v>
      </c>
      <c r="E181" t="s">
        <v>444</v>
      </c>
      <c r="F181" s="4">
        <v>39062</v>
      </c>
      <c r="G181" s="11">
        <v>0</v>
      </c>
      <c r="H181" s="11">
        <v>400000</v>
      </c>
    </row>
    <row r="182" spans="1:8" x14ac:dyDescent="0.2">
      <c r="A182" t="s">
        <v>861</v>
      </c>
      <c r="B182" t="s">
        <v>1230</v>
      </c>
      <c r="C182" s="11">
        <v>500000</v>
      </c>
      <c r="D182" t="s">
        <v>1563</v>
      </c>
      <c r="E182" t="s">
        <v>1904</v>
      </c>
      <c r="F182" s="4">
        <v>39118</v>
      </c>
      <c r="G182" s="11">
        <v>0</v>
      </c>
      <c r="H182" s="11">
        <v>500000</v>
      </c>
    </row>
    <row r="183" spans="1:8" x14ac:dyDescent="0.2">
      <c r="A183" t="s">
        <v>1305</v>
      </c>
      <c r="B183" t="s">
        <v>669</v>
      </c>
      <c r="C183" s="11">
        <v>4000000</v>
      </c>
      <c r="D183" t="s">
        <v>1563</v>
      </c>
      <c r="E183" t="s">
        <v>444</v>
      </c>
      <c r="F183" s="4">
        <v>38985</v>
      </c>
      <c r="G183" s="11">
        <v>4000000</v>
      </c>
      <c r="H183" s="11">
        <v>0</v>
      </c>
    </row>
    <row r="184" spans="1:8" x14ac:dyDescent="0.2">
      <c r="A184" t="s">
        <v>1306</v>
      </c>
      <c r="B184" t="s">
        <v>1918</v>
      </c>
      <c r="C184" s="11">
        <v>1400000</v>
      </c>
      <c r="D184" t="s">
        <v>1563</v>
      </c>
      <c r="E184" t="s">
        <v>444</v>
      </c>
      <c r="F184" s="4">
        <v>39122</v>
      </c>
      <c r="G184" s="11">
        <v>1400000</v>
      </c>
      <c r="H184" s="11">
        <v>0</v>
      </c>
    </row>
    <row r="185" spans="1:8" x14ac:dyDescent="0.2">
      <c r="A185" t="s">
        <v>719</v>
      </c>
      <c r="B185" t="s">
        <v>656</v>
      </c>
      <c r="C185" s="11">
        <v>2000000</v>
      </c>
      <c r="D185" t="s">
        <v>1563</v>
      </c>
      <c r="E185" t="s">
        <v>444</v>
      </c>
      <c r="F185" s="4">
        <v>38974</v>
      </c>
      <c r="G185" s="11">
        <v>2000000</v>
      </c>
      <c r="H185" s="11">
        <v>0</v>
      </c>
    </row>
    <row r="186" spans="1:8" x14ac:dyDescent="0.2">
      <c r="A186" t="s">
        <v>720</v>
      </c>
      <c r="B186" t="s">
        <v>657</v>
      </c>
      <c r="C186" s="11">
        <v>750000</v>
      </c>
      <c r="D186" t="s">
        <v>1563</v>
      </c>
      <c r="E186" t="s">
        <v>444</v>
      </c>
      <c r="F186" s="4">
        <v>38985</v>
      </c>
      <c r="G186" s="11">
        <v>750000</v>
      </c>
      <c r="H186" s="11">
        <v>0</v>
      </c>
    </row>
    <row r="187" spans="1:8" x14ac:dyDescent="0.2">
      <c r="A187" t="s">
        <v>721</v>
      </c>
      <c r="B187" t="s">
        <v>1916</v>
      </c>
      <c r="C187" s="11">
        <v>250000</v>
      </c>
      <c r="D187" t="s">
        <v>1563</v>
      </c>
      <c r="E187" t="s">
        <v>444</v>
      </c>
      <c r="F187" s="4">
        <v>39118</v>
      </c>
      <c r="G187" s="11">
        <v>250000</v>
      </c>
      <c r="H187" s="11">
        <v>0</v>
      </c>
    </row>
    <row r="188" spans="1:8" x14ac:dyDescent="0.2">
      <c r="A188" t="s">
        <v>722</v>
      </c>
      <c r="B188" t="s">
        <v>1917</v>
      </c>
      <c r="C188" s="11">
        <v>250000</v>
      </c>
      <c r="D188" t="s">
        <v>1563</v>
      </c>
      <c r="E188" t="s">
        <v>444</v>
      </c>
      <c r="F188" s="4">
        <v>39118</v>
      </c>
      <c r="G188" s="11">
        <v>250000</v>
      </c>
      <c r="H188" s="11">
        <v>0</v>
      </c>
    </row>
    <row r="189" spans="1:8" x14ac:dyDescent="0.2">
      <c r="A189" t="s">
        <v>723</v>
      </c>
      <c r="B189" t="s">
        <v>1393</v>
      </c>
      <c r="C189" s="11">
        <v>500000</v>
      </c>
      <c r="D189" t="s">
        <v>1563</v>
      </c>
      <c r="E189" t="s">
        <v>444</v>
      </c>
      <c r="F189" s="4">
        <v>39414</v>
      </c>
      <c r="G189" s="11">
        <v>500000</v>
      </c>
      <c r="H189" s="11">
        <v>0</v>
      </c>
    </row>
    <row r="190" spans="1:8" x14ac:dyDescent="0.2">
      <c r="A190" t="s">
        <v>724</v>
      </c>
      <c r="B190" t="s">
        <v>63</v>
      </c>
      <c r="C190" s="11">
        <v>0</v>
      </c>
      <c r="D190" t="s">
        <v>1563</v>
      </c>
      <c r="E190" t="s">
        <v>444</v>
      </c>
      <c r="F190" s="4">
        <v>39069</v>
      </c>
      <c r="G190" s="11">
        <v>0</v>
      </c>
      <c r="H190" s="11">
        <v>0</v>
      </c>
    </row>
    <row r="191" spans="1:8" x14ac:dyDescent="0.2">
      <c r="A191" t="s">
        <v>1391</v>
      </c>
      <c r="B191" t="s">
        <v>1251</v>
      </c>
      <c r="C191" s="11">
        <v>500000</v>
      </c>
      <c r="D191" t="s">
        <v>1563</v>
      </c>
      <c r="E191" t="s">
        <v>444</v>
      </c>
      <c r="F191" s="4">
        <v>39170</v>
      </c>
      <c r="G191" s="11">
        <v>500000</v>
      </c>
      <c r="H191" s="11">
        <v>0</v>
      </c>
    </row>
    <row r="192" spans="1:8" x14ac:dyDescent="0.2">
      <c r="A192" t="s">
        <v>2258</v>
      </c>
      <c r="B192" t="s">
        <v>2075</v>
      </c>
      <c r="C192" s="11">
        <v>2500000</v>
      </c>
      <c r="D192" t="s">
        <v>1563</v>
      </c>
      <c r="E192" t="s">
        <v>444</v>
      </c>
      <c r="F192" s="4">
        <v>39898</v>
      </c>
      <c r="G192" s="11">
        <v>2500000</v>
      </c>
      <c r="H192" s="11">
        <v>0</v>
      </c>
    </row>
    <row r="193" spans="1:8" x14ac:dyDescent="0.2">
      <c r="A193" t="s">
        <v>1392</v>
      </c>
      <c r="B193" t="s">
        <v>1263</v>
      </c>
      <c r="C193" s="11">
        <v>400000</v>
      </c>
      <c r="D193" t="s">
        <v>1563</v>
      </c>
      <c r="E193" t="s">
        <v>444</v>
      </c>
      <c r="F193" s="4">
        <v>39062</v>
      </c>
      <c r="G193" s="11">
        <v>400000</v>
      </c>
      <c r="H193" s="11">
        <v>0</v>
      </c>
    </row>
    <row r="194" spans="1:8" x14ac:dyDescent="0.2">
      <c r="A194" t="s">
        <v>725</v>
      </c>
      <c r="B194" t="s">
        <v>1249</v>
      </c>
      <c r="C194" s="11">
        <v>400000</v>
      </c>
      <c r="D194" t="s">
        <v>1563</v>
      </c>
      <c r="E194" t="s">
        <v>444</v>
      </c>
      <c r="F194" s="4">
        <v>39170</v>
      </c>
      <c r="G194" s="11">
        <v>400000</v>
      </c>
      <c r="H194" s="11">
        <v>0</v>
      </c>
    </row>
    <row r="195" spans="1:8" x14ac:dyDescent="0.2">
      <c r="A195" t="s">
        <v>788</v>
      </c>
      <c r="B195" t="s">
        <v>1678</v>
      </c>
      <c r="C195" s="11">
        <v>500000</v>
      </c>
      <c r="D195" t="s">
        <v>1563</v>
      </c>
      <c r="E195" t="s">
        <v>444</v>
      </c>
      <c r="F195" s="4">
        <v>38912</v>
      </c>
      <c r="G195" s="11">
        <v>500000</v>
      </c>
      <c r="H195" s="11">
        <v>0</v>
      </c>
    </row>
    <row r="196" spans="1:8" x14ac:dyDescent="0.2">
      <c r="A196" t="s">
        <v>2682</v>
      </c>
      <c r="B196" t="s">
        <v>1679</v>
      </c>
      <c r="C196" s="11">
        <v>500000</v>
      </c>
      <c r="D196" t="s">
        <v>1563</v>
      </c>
      <c r="E196" t="s">
        <v>444</v>
      </c>
      <c r="F196" s="4">
        <v>38974</v>
      </c>
      <c r="G196" s="11">
        <v>500000</v>
      </c>
      <c r="H196" s="11">
        <v>0</v>
      </c>
    </row>
    <row r="197" spans="1:8" x14ac:dyDescent="0.2">
      <c r="A197" t="s">
        <v>789</v>
      </c>
      <c r="B197" t="s">
        <v>1248</v>
      </c>
      <c r="C197" s="11">
        <v>500000</v>
      </c>
      <c r="D197" t="s">
        <v>1563</v>
      </c>
      <c r="E197" t="s">
        <v>516</v>
      </c>
      <c r="F197" s="4">
        <v>39168</v>
      </c>
      <c r="G197" s="11">
        <v>500000</v>
      </c>
      <c r="H197" s="11">
        <v>0</v>
      </c>
    </row>
    <row r="198" spans="1:8" x14ac:dyDescent="0.2">
      <c r="A198" t="s">
        <v>211</v>
      </c>
      <c r="B198" t="s">
        <v>403</v>
      </c>
      <c r="C198" s="11">
        <v>3000000</v>
      </c>
      <c r="D198" t="s">
        <v>1563</v>
      </c>
      <c r="E198" t="s">
        <v>444</v>
      </c>
      <c r="F198" s="4">
        <v>39321</v>
      </c>
      <c r="G198" s="11">
        <v>0</v>
      </c>
      <c r="H198" s="11">
        <v>3000000</v>
      </c>
    </row>
    <row r="199" spans="1:8" x14ac:dyDescent="0.2">
      <c r="A199" t="s">
        <v>1315</v>
      </c>
      <c r="B199" t="s">
        <v>400</v>
      </c>
      <c r="C199" s="11">
        <v>0</v>
      </c>
      <c r="D199" t="s">
        <v>1563</v>
      </c>
      <c r="E199" t="s">
        <v>444</v>
      </c>
      <c r="F199" s="4">
        <v>39277</v>
      </c>
      <c r="G199" s="11">
        <v>0</v>
      </c>
      <c r="H199" s="11">
        <v>0</v>
      </c>
    </row>
    <row r="200" spans="1:8" x14ac:dyDescent="0.2">
      <c r="A200" t="s">
        <v>548</v>
      </c>
      <c r="B200" t="s">
        <v>549</v>
      </c>
      <c r="C200" s="11">
        <v>16000000</v>
      </c>
      <c r="D200" t="s">
        <v>1563</v>
      </c>
      <c r="E200" t="s">
        <v>313</v>
      </c>
      <c r="F200" s="4">
        <v>38757</v>
      </c>
      <c r="G200" s="11">
        <v>16000000</v>
      </c>
      <c r="H200" s="11">
        <v>0</v>
      </c>
    </row>
    <row r="201" spans="1:8" x14ac:dyDescent="0.2">
      <c r="A201" t="s">
        <v>866</v>
      </c>
      <c r="B201" t="s">
        <v>938</v>
      </c>
      <c r="C201" s="11">
        <v>600000</v>
      </c>
      <c r="D201" t="s">
        <v>1563</v>
      </c>
      <c r="E201" t="s">
        <v>444</v>
      </c>
      <c r="F201" s="4">
        <v>39245</v>
      </c>
      <c r="G201" s="11">
        <v>600000</v>
      </c>
      <c r="H201" s="11">
        <v>0</v>
      </c>
    </row>
    <row r="202" spans="1:8" x14ac:dyDescent="0.2">
      <c r="A202" t="s">
        <v>921</v>
      </c>
      <c r="B202" t="s">
        <v>922</v>
      </c>
      <c r="C202" s="11">
        <v>5000000</v>
      </c>
      <c r="D202" t="s">
        <v>1563</v>
      </c>
      <c r="E202" t="s">
        <v>444</v>
      </c>
      <c r="F202" s="4">
        <v>39707</v>
      </c>
      <c r="G202" s="11">
        <v>5000000</v>
      </c>
      <c r="H202" s="11">
        <v>0</v>
      </c>
    </row>
    <row r="203" spans="1:8" x14ac:dyDescent="0.2">
      <c r="A203" t="s">
        <v>872</v>
      </c>
      <c r="B203" t="s">
        <v>873</v>
      </c>
      <c r="C203" s="11">
        <v>500000</v>
      </c>
      <c r="D203" t="s">
        <v>1563</v>
      </c>
      <c r="E203" t="s">
        <v>885</v>
      </c>
      <c r="F203" s="4">
        <v>39118</v>
      </c>
      <c r="G203" s="11">
        <v>0</v>
      </c>
      <c r="H203" s="11">
        <v>500000</v>
      </c>
    </row>
    <row r="204" spans="1:8" x14ac:dyDescent="0.2">
      <c r="A204" t="s">
        <v>879</v>
      </c>
      <c r="B204" t="s">
        <v>212</v>
      </c>
      <c r="C204" s="11">
        <v>500000</v>
      </c>
      <c r="D204" t="s">
        <v>1563</v>
      </c>
      <c r="E204" t="s">
        <v>1577</v>
      </c>
      <c r="F204" s="4">
        <v>39566</v>
      </c>
      <c r="G204" s="11">
        <v>500000</v>
      </c>
      <c r="H204" s="11">
        <v>0</v>
      </c>
    </row>
    <row r="205" spans="1:8" x14ac:dyDescent="0.2">
      <c r="A205" t="s">
        <v>2538</v>
      </c>
      <c r="B205" t="s">
        <v>1139</v>
      </c>
      <c r="C205" s="11">
        <v>4000000</v>
      </c>
      <c r="D205" t="s">
        <v>1563</v>
      </c>
      <c r="E205" t="s">
        <v>888</v>
      </c>
      <c r="F205" s="4">
        <v>39688</v>
      </c>
      <c r="G205" s="11">
        <v>4000000</v>
      </c>
      <c r="H205" s="11">
        <v>0</v>
      </c>
    </row>
    <row r="206" spans="1:8" x14ac:dyDescent="0.2">
      <c r="A206" t="s">
        <v>728</v>
      </c>
      <c r="B206" t="s">
        <v>37</v>
      </c>
      <c r="C206" s="11">
        <v>625000</v>
      </c>
      <c r="D206" t="s">
        <v>1563</v>
      </c>
      <c r="E206" t="s">
        <v>516</v>
      </c>
      <c r="F206" s="4">
        <v>38834</v>
      </c>
      <c r="G206" s="11">
        <v>625000</v>
      </c>
      <c r="H206" s="11">
        <v>0</v>
      </c>
    </row>
    <row r="207" spans="1:8" x14ac:dyDescent="0.2">
      <c r="A207" t="s">
        <v>729</v>
      </c>
      <c r="B207" t="s">
        <v>38</v>
      </c>
      <c r="C207" s="11">
        <v>500000</v>
      </c>
      <c r="D207" t="s">
        <v>1563</v>
      </c>
      <c r="E207" t="s">
        <v>516</v>
      </c>
      <c r="F207" s="4">
        <v>38873</v>
      </c>
      <c r="G207" s="11">
        <v>500000</v>
      </c>
      <c r="H207" s="11">
        <v>0</v>
      </c>
    </row>
    <row r="208" spans="1:8" x14ac:dyDescent="0.2">
      <c r="A208" t="s">
        <v>765</v>
      </c>
      <c r="B208" t="s">
        <v>2539</v>
      </c>
      <c r="C208" s="11">
        <v>250000</v>
      </c>
      <c r="D208" t="s">
        <v>1563</v>
      </c>
      <c r="E208" t="s">
        <v>888</v>
      </c>
      <c r="F208" s="4">
        <v>39793</v>
      </c>
      <c r="G208" s="11">
        <v>250000</v>
      </c>
      <c r="H208" s="11">
        <v>0</v>
      </c>
    </row>
    <row r="209" spans="1:8" x14ac:dyDescent="0.2">
      <c r="A209" t="s">
        <v>766</v>
      </c>
      <c r="B209" t="s">
        <v>2540</v>
      </c>
      <c r="C209" s="11">
        <v>250000</v>
      </c>
      <c r="D209" t="s">
        <v>1563</v>
      </c>
      <c r="E209" t="s">
        <v>888</v>
      </c>
      <c r="F209" s="4">
        <v>39793</v>
      </c>
      <c r="G209" s="11">
        <v>250000</v>
      </c>
      <c r="H209" s="11">
        <v>0</v>
      </c>
    </row>
    <row r="210" spans="1:8" x14ac:dyDescent="0.2">
      <c r="A210" t="s">
        <v>2259</v>
      </c>
      <c r="B210" t="s">
        <v>2260</v>
      </c>
      <c r="C210" s="11">
        <v>1000000</v>
      </c>
      <c r="D210" t="s">
        <v>1563</v>
      </c>
      <c r="E210" t="s">
        <v>888</v>
      </c>
      <c r="F210" s="4">
        <v>40056</v>
      </c>
      <c r="G210" s="11">
        <v>1000000</v>
      </c>
      <c r="H210" s="11">
        <v>0</v>
      </c>
    </row>
    <row r="211" spans="1:8" x14ac:dyDescent="0.2">
      <c r="A211" t="s">
        <v>738</v>
      </c>
      <c r="B211" t="s">
        <v>625</v>
      </c>
      <c r="C211" s="11">
        <v>625000</v>
      </c>
      <c r="D211" t="s">
        <v>1563</v>
      </c>
      <c r="E211" t="s">
        <v>444</v>
      </c>
      <c r="F211" s="4">
        <v>38912</v>
      </c>
      <c r="G211" s="11">
        <v>625000</v>
      </c>
      <c r="H211" s="11">
        <v>0</v>
      </c>
    </row>
    <row r="212" spans="1:8" x14ac:dyDescent="0.2">
      <c r="A212" t="s">
        <v>739</v>
      </c>
      <c r="B212" t="s">
        <v>1254</v>
      </c>
      <c r="C212" s="11">
        <v>250000</v>
      </c>
      <c r="D212" t="s">
        <v>1563</v>
      </c>
      <c r="E212" t="s">
        <v>444</v>
      </c>
      <c r="F212" s="4">
        <v>39170</v>
      </c>
      <c r="G212" s="11">
        <v>250000</v>
      </c>
      <c r="H212" s="11">
        <v>0</v>
      </c>
    </row>
    <row r="213" spans="1:8" x14ac:dyDescent="0.2">
      <c r="A213" t="s">
        <v>767</v>
      </c>
      <c r="B213" t="s">
        <v>2541</v>
      </c>
      <c r="C213" s="11">
        <v>250000</v>
      </c>
      <c r="D213" t="s">
        <v>1563</v>
      </c>
      <c r="E213" t="s">
        <v>444</v>
      </c>
      <c r="F213" s="4">
        <v>39793</v>
      </c>
      <c r="G213" s="11">
        <v>250000</v>
      </c>
      <c r="H213" s="11">
        <v>0</v>
      </c>
    </row>
    <row r="214" spans="1:8" x14ac:dyDescent="0.2">
      <c r="A214" t="s">
        <v>768</v>
      </c>
      <c r="B214" t="s">
        <v>2542</v>
      </c>
      <c r="C214" s="11">
        <v>125000</v>
      </c>
      <c r="D214" t="s">
        <v>1563</v>
      </c>
      <c r="E214" t="s">
        <v>444</v>
      </c>
      <c r="F214" s="4">
        <v>39793</v>
      </c>
      <c r="G214" s="11">
        <v>125000</v>
      </c>
      <c r="H214" s="11">
        <v>0</v>
      </c>
    </row>
    <row r="215" spans="1:8" x14ac:dyDescent="0.2">
      <c r="A215" t="s">
        <v>2820</v>
      </c>
      <c r="B215" t="s">
        <v>2821</v>
      </c>
      <c r="C215" s="11">
        <v>500000</v>
      </c>
      <c r="D215" t="s">
        <v>1563</v>
      </c>
      <c r="E215" t="s">
        <v>444</v>
      </c>
      <c r="F215" s="4">
        <v>40325</v>
      </c>
      <c r="G215" s="11">
        <v>500000</v>
      </c>
      <c r="H215" s="11">
        <v>0</v>
      </c>
    </row>
    <row r="216" spans="1:8" x14ac:dyDescent="0.2">
      <c r="A216" t="s">
        <v>2822</v>
      </c>
      <c r="B216" t="s">
        <v>2823</v>
      </c>
      <c r="C216" s="11">
        <v>250000</v>
      </c>
      <c r="D216" t="s">
        <v>1563</v>
      </c>
      <c r="E216" t="s">
        <v>444</v>
      </c>
      <c r="F216" s="4">
        <v>40325</v>
      </c>
      <c r="G216" s="11">
        <v>250000</v>
      </c>
      <c r="H216" s="11">
        <v>0</v>
      </c>
    </row>
    <row r="217" spans="1:8" x14ac:dyDescent="0.2">
      <c r="A217" t="s">
        <v>3618</v>
      </c>
      <c r="B217" t="s">
        <v>3619</v>
      </c>
      <c r="C217" s="11">
        <v>275000</v>
      </c>
      <c r="D217" t="s">
        <v>1563</v>
      </c>
      <c r="E217" t="s">
        <v>444</v>
      </c>
      <c r="F217" s="4">
        <v>40515</v>
      </c>
      <c r="G217" s="11">
        <v>218125</v>
      </c>
      <c r="H217" s="11">
        <v>56875</v>
      </c>
    </row>
    <row r="218" spans="1:8" x14ac:dyDescent="0.2">
      <c r="A218" t="s">
        <v>745</v>
      </c>
      <c r="B218" t="s">
        <v>413</v>
      </c>
      <c r="C218" s="11">
        <v>500000</v>
      </c>
      <c r="D218" t="s">
        <v>1563</v>
      </c>
      <c r="E218" t="s">
        <v>516</v>
      </c>
      <c r="F218" s="4">
        <v>39380</v>
      </c>
      <c r="G218" s="11">
        <v>0</v>
      </c>
      <c r="H218" s="11">
        <v>500000</v>
      </c>
    </row>
    <row r="219" spans="1:8" x14ac:dyDescent="0.2">
      <c r="A219" t="s">
        <v>2984</v>
      </c>
      <c r="B219" t="s">
        <v>2985</v>
      </c>
      <c r="C219" s="11">
        <v>250000</v>
      </c>
      <c r="D219" t="s">
        <v>1563</v>
      </c>
      <c r="E219" t="s">
        <v>888</v>
      </c>
      <c r="F219" s="4">
        <v>40401</v>
      </c>
      <c r="G219" s="11">
        <v>0</v>
      </c>
      <c r="H219" s="11">
        <v>250000</v>
      </c>
    </row>
    <row r="220" spans="1:8" x14ac:dyDescent="0.2">
      <c r="A220" t="s">
        <v>934</v>
      </c>
      <c r="B220" t="s">
        <v>61</v>
      </c>
      <c r="C220" s="11">
        <v>1000000</v>
      </c>
      <c r="D220" t="s">
        <v>1563</v>
      </c>
      <c r="E220" t="s">
        <v>885</v>
      </c>
      <c r="F220" s="4">
        <v>38840</v>
      </c>
      <c r="G220" s="11">
        <v>0</v>
      </c>
      <c r="H220" s="11">
        <v>1000000</v>
      </c>
    </row>
    <row r="221" spans="1:8" x14ac:dyDescent="0.2">
      <c r="A221" t="s">
        <v>984</v>
      </c>
      <c r="B221" t="s">
        <v>1137</v>
      </c>
      <c r="C221" s="11">
        <v>200000</v>
      </c>
      <c r="D221" t="s">
        <v>1563</v>
      </c>
      <c r="E221" t="s">
        <v>888</v>
      </c>
      <c r="F221" s="4">
        <v>39685</v>
      </c>
      <c r="G221" s="11">
        <v>0</v>
      </c>
      <c r="H221" s="11">
        <v>200000</v>
      </c>
    </row>
    <row r="222" spans="1:8" x14ac:dyDescent="0.2">
      <c r="A222" t="s">
        <v>992</v>
      </c>
      <c r="B222" t="s">
        <v>1167</v>
      </c>
      <c r="C222" s="11">
        <v>3000000</v>
      </c>
      <c r="D222" t="s">
        <v>1563</v>
      </c>
      <c r="E222" t="s">
        <v>888</v>
      </c>
      <c r="F222" s="4">
        <v>39702</v>
      </c>
      <c r="G222" s="11">
        <v>3000000</v>
      </c>
      <c r="H222" s="11">
        <v>0</v>
      </c>
    </row>
    <row r="223" spans="1:8" x14ac:dyDescent="0.2">
      <c r="A223" t="s">
        <v>2261</v>
      </c>
      <c r="B223" t="s">
        <v>2543</v>
      </c>
      <c r="C223" s="11">
        <v>1000000</v>
      </c>
      <c r="D223" t="s">
        <v>1563</v>
      </c>
      <c r="E223" t="s">
        <v>888</v>
      </c>
      <c r="F223" s="4">
        <v>39793</v>
      </c>
      <c r="G223" s="11">
        <v>1000000</v>
      </c>
      <c r="H223" s="11">
        <v>0</v>
      </c>
    </row>
    <row r="224" spans="1:8" x14ac:dyDescent="0.2">
      <c r="A224" t="s">
        <v>2262</v>
      </c>
      <c r="B224" t="s">
        <v>592</v>
      </c>
      <c r="C224" s="11">
        <v>275000</v>
      </c>
      <c r="D224" t="s">
        <v>1563</v>
      </c>
      <c r="E224" t="s">
        <v>888</v>
      </c>
      <c r="F224" s="4">
        <v>39979</v>
      </c>
      <c r="G224" s="11">
        <v>275000</v>
      </c>
      <c r="H224" s="11">
        <v>0</v>
      </c>
    </row>
    <row r="225" spans="1:8" x14ac:dyDescent="0.2">
      <c r="A225" t="s">
        <v>1005</v>
      </c>
      <c r="B225" t="s">
        <v>1220</v>
      </c>
      <c r="C225" s="11">
        <v>500000</v>
      </c>
      <c r="D225" t="s">
        <v>1563</v>
      </c>
      <c r="E225" t="s">
        <v>888</v>
      </c>
      <c r="F225" s="4">
        <v>39772</v>
      </c>
      <c r="G225" s="11">
        <v>500000</v>
      </c>
      <c r="H225" s="11">
        <v>0</v>
      </c>
    </row>
    <row r="226" spans="1:8" x14ac:dyDescent="0.2">
      <c r="A226" t="s">
        <v>1006</v>
      </c>
      <c r="B226" t="s">
        <v>2546</v>
      </c>
      <c r="C226" s="11">
        <v>2000000</v>
      </c>
      <c r="D226" t="s">
        <v>1563</v>
      </c>
      <c r="E226" t="s">
        <v>516</v>
      </c>
      <c r="F226" s="4">
        <v>39772</v>
      </c>
      <c r="G226" s="11">
        <v>1850955</v>
      </c>
      <c r="H226" s="11">
        <v>149045</v>
      </c>
    </row>
    <row r="227" spans="1:8" x14ac:dyDescent="0.2">
      <c r="A227" t="s">
        <v>1007</v>
      </c>
      <c r="B227" t="s">
        <v>1195</v>
      </c>
      <c r="C227" s="11">
        <v>250000</v>
      </c>
      <c r="D227" t="s">
        <v>1563</v>
      </c>
      <c r="E227" t="s">
        <v>444</v>
      </c>
      <c r="F227" s="4">
        <v>39736</v>
      </c>
      <c r="G227" s="11">
        <v>0</v>
      </c>
      <c r="H227" s="11">
        <v>250000</v>
      </c>
    </row>
    <row r="228" spans="1:8" x14ac:dyDescent="0.2">
      <c r="A228" t="s">
        <v>1008</v>
      </c>
      <c r="B228" t="s">
        <v>2544</v>
      </c>
      <c r="C228" s="11">
        <v>500000</v>
      </c>
      <c r="D228" t="s">
        <v>1563</v>
      </c>
      <c r="E228" t="s">
        <v>444</v>
      </c>
      <c r="F228" s="4">
        <v>39793</v>
      </c>
      <c r="G228" s="11">
        <v>0</v>
      </c>
      <c r="H228" s="11">
        <v>500000</v>
      </c>
    </row>
    <row r="229" spans="1:8" x14ac:dyDescent="0.2">
      <c r="A229" t="s">
        <v>1009</v>
      </c>
      <c r="B229" t="s">
        <v>1001</v>
      </c>
      <c r="C229" s="11">
        <v>500000</v>
      </c>
      <c r="D229" t="s">
        <v>1563</v>
      </c>
      <c r="E229" t="s">
        <v>444</v>
      </c>
      <c r="F229" s="4">
        <v>39930</v>
      </c>
      <c r="G229" s="11">
        <v>0</v>
      </c>
      <c r="H229" s="11">
        <v>500000</v>
      </c>
    </row>
    <row r="230" spans="1:8" x14ac:dyDescent="0.2">
      <c r="A230" t="s">
        <v>1010</v>
      </c>
      <c r="B230" t="s">
        <v>1011</v>
      </c>
      <c r="C230" s="11">
        <v>500000</v>
      </c>
      <c r="D230" t="s">
        <v>1563</v>
      </c>
      <c r="E230" t="s">
        <v>444</v>
      </c>
      <c r="F230" s="4">
        <v>39945</v>
      </c>
      <c r="G230" s="11">
        <v>0</v>
      </c>
      <c r="H230" s="11">
        <v>500000</v>
      </c>
    </row>
    <row r="231" spans="1:8" x14ac:dyDescent="0.2">
      <c r="A231" t="s">
        <v>1012</v>
      </c>
      <c r="B231" t="s">
        <v>1189</v>
      </c>
      <c r="C231" s="11">
        <v>500000</v>
      </c>
      <c r="D231" t="s">
        <v>1563</v>
      </c>
      <c r="E231" t="s">
        <v>885</v>
      </c>
      <c r="F231" s="4">
        <v>39717</v>
      </c>
      <c r="G231" s="11">
        <v>490000</v>
      </c>
      <c r="H231" s="11">
        <v>10000</v>
      </c>
    </row>
    <row r="232" spans="1:8" x14ac:dyDescent="0.2">
      <c r="A232" t="s">
        <v>1013</v>
      </c>
      <c r="B232" t="s">
        <v>206</v>
      </c>
      <c r="C232" s="11">
        <v>1000000</v>
      </c>
      <c r="D232" t="s">
        <v>1563</v>
      </c>
      <c r="E232" t="s">
        <v>516</v>
      </c>
      <c r="F232" s="4">
        <v>38699</v>
      </c>
      <c r="G232" s="11">
        <v>0</v>
      </c>
      <c r="H232" s="11">
        <v>1000000</v>
      </c>
    </row>
    <row r="233" spans="1:8" x14ac:dyDescent="0.2">
      <c r="A233" t="s">
        <v>1014</v>
      </c>
      <c r="B233" t="s">
        <v>1217</v>
      </c>
      <c r="C233" s="11">
        <v>500000</v>
      </c>
      <c r="D233" t="s">
        <v>1563</v>
      </c>
      <c r="E233" t="s">
        <v>888</v>
      </c>
      <c r="F233" s="4">
        <v>39772</v>
      </c>
      <c r="G233" s="11">
        <v>0</v>
      </c>
      <c r="H233" s="11">
        <v>500000</v>
      </c>
    </row>
    <row r="234" spans="1:8" x14ac:dyDescent="0.2">
      <c r="A234" t="s">
        <v>1015</v>
      </c>
      <c r="B234" t="s">
        <v>783</v>
      </c>
      <c r="C234" s="11">
        <v>1000000</v>
      </c>
      <c r="D234" t="s">
        <v>1563</v>
      </c>
      <c r="E234" t="s">
        <v>444</v>
      </c>
      <c r="F234" s="4">
        <v>39881</v>
      </c>
      <c r="G234" s="11">
        <v>0</v>
      </c>
      <c r="H234" s="11">
        <v>1000000</v>
      </c>
    </row>
    <row r="235" spans="1:8" x14ac:dyDescent="0.2">
      <c r="A235" t="s">
        <v>1016</v>
      </c>
      <c r="B235" t="s">
        <v>2548</v>
      </c>
      <c r="C235" s="11">
        <v>500000</v>
      </c>
      <c r="D235" t="s">
        <v>1563</v>
      </c>
      <c r="E235" t="s">
        <v>888</v>
      </c>
      <c r="F235" s="4">
        <v>39793</v>
      </c>
      <c r="G235" s="11">
        <v>500000</v>
      </c>
      <c r="H235" s="11">
        <v>0</v>
      </c>
    </row>
    <row r="236" spans="1:8" x14ac:dyDescent="0.2">
      <c r="A236" t="s">
        <v>1017</v>
      </c>
      <c r="B236" t="s">
        <v>1198</v>
      </c>
      <c r="C236" s="11">
        <v>500000</v>
      </c>
      <c r="D236" t="s">
        <v>1563</v>
      </c>
      <c r="E236" t="s">
        <v>444</v>
      </c>
      <c r="F236" s="4">
        <v>39736</v>
      </c>
      <c r="G236" s="11">
        <v>500000</v>
      </c>
      <c r="H236" s="11">
        <v>0</v>
      </c>
    </row>
    <row r="237" spans="1:8" x14ac:dyDescent="0.2">
      <c r="A237" t="s">
        <v>1018</v>
      </c>
      <c r="B237" t="s">
        <v>2545</v>
      </c>
      <c r="C237" s="11">
        <v>250000</v>
      </c>
      <c r="D237" t="s">
        <v>1563</v>
      </c>
      <c r="E237" t="s">
        <v>444</v>
      </c>
      <c r="F237" s="4">
        <v>39793</v>
      </c>
      <c r="G237" s="11">
        <v>250000</v>
      </c>
      <c r="H237" s="11">
        <v>0</v>
      </c>
    </row>
    <row r="238" spans="1:8" x14ac:dyDescent="0.2">
      <c r="A238" t="s">
        <v>1019</v>
      </c>
      <c r="B238" t="s">
        <v>1002</v>
      </c>
      <c r="C238" s="11">
        <v>250000</v>
      </c>
      <c r="D238" t="s">
        <v>1563</v>
      </c>
      <c r="E238" t="s">
        <v>888</v>
      </c>
      <c r="F238" s="4">
        <v>39890</v>
      </c>
      <c r="G238" s="11">
        <v>250000</v>
      </c>
      <c r="H238" s="11">
        <v>0</v>
      </c>
    </row>
    <row r="239" spans="1:8" x14ac:dyDescent="0.2">
      <c r="A239" t="s">
        <v>1020</v>
      </c>
      <c r="B239" t="s">
        <v>1003</v>
      </c>
      <c r="C239" s="11">
        <v>1000000</v>
      </c>
      <c r="D239" t="s">
        <v>1563</v>
      </c>
      <c r="E239" t="s">
        <v>888</v>
      </c>
      <c r="F239" s="4">
        <v>39930</v>
      </c>
      <c r="G239" s="11">
        <v>1000000</v>
      </c>
      <c r="H239" s="11">
        <v>0</v>
      </c>
    </row>
    <row r="240" spans="1:8" x14ac:dyDescent="0.2">
      <c r="A240" t="s">
        <v>1021</v>
      </c>
      <c r="B240" t="s">
        <v>1022</v>
      </c>
      <c r="C240" s="11">
        <v>250000</v>
      </c>
      <c r="D240" t="s">
        <v>1563</v>
      </c>
      <c r="E240" t="s">
        <v>888</v>
      </c>
      <c r="F240" s="4">
        <v>39961</v>
      </c>
      <c r="G240" s="11">
        <v>250000</v>
      </c>
      <c r="H240" s="11">
        <v>0</v>
      </c>
    </row>
    <row r="241" spans="1:8" x14ac:dyDescent="0.2">
      <c r="A241" t="s">
        <v>1023</v>
      </c>
      <c r="B241" t="s">
        <v>2547</v>
      </c>
      <c r="C241" s="11">
        <v>250000</v>
      </c>
      <c r="D241" t="s">
        <v>1563</v>
      </c>
      <c r="E241" t="s">
        <v>888</v>
      </c>
      <c r="F241" s="4">
        <v>39793</v>
      </c>
      <c r="G241" s="11">
        <v>250000</v>
      </c>
      <c r="H241" s="11">
        <v>0</v>
      </c>
    </row>
    <row r="242" spans="1:8" x14ac:dyDescent="0.2">
      <c r="A242" t="s">
        <v>2824</v>
      </c>
      <c r="B242" t="s">
        <v>2825</v>
      </c>
      <c r="C242" s="11">
        <v>250000</v>
      </c>
      <c r="D242" t="s">
        <v>1563</v>
      </c>
      <c r="E242" t="s">
        <v>888</v>
      </c>
      <c r="F242" s="4">
        <v>40325</v>
      </c>
      <c r="G242" s="11">
        <v>250000</v>
      </c>
      <c r="H242" s="11">
        <v>0</v>
      </c>
    </row>
    <row r="243" spans="1:8" x14ac:dyDescent="0.2">
      <c r="A243" t="s">
        <v>2986</v>
      </c>
      <c r="B243" t="s">
        <v>2987</v>
      </c>
      <c r="C243" s="11">
        <v>250000</v>
      </c>
      <c r="D243" t="s">
        <v>1563</v>
      </c>
      <c r="E243" t="s">
        <v>888</v>
      </c>
      <c r="F243" s="4">
        <v>40472</v>
      </c>
      <c r="G243" s="11">
        <v>231250</v>
      </c>
      <c r="H243" s="11">
        <v>18750</v>
      </c>
    </row>
    <row r="244" spans="1:8" x14ac:dyDescent="0.2">
      <c r="A244" t="s">
        <v>4496</v>
      </c>
      <c r="B244" t="s">
        <v>4497</v>
      </c>
      <c r="C244" s="11">
        <v>750000</v>
      </c>
      <c r="D244" t="s">
        <v>1563</v>
      </c>
      <c r="E244" t="s">
        <v>3031</v>
      </c>
      <c r="F244" s="4">
        <v>41316</v>
      </c>
      <c r="G244" s="11">
        <v>0</v>
      </c>
      <c r="H244" s="11">
        <v>750000</v>
      </c>
    </row>
    <row r="245" spans="1:8" x14ac:dyDescent="0.2">
      <c r="A245" t="s">
        <v>1024</v>
      </c>
      <c r="B245" t="s">
        <v>1218</v>
      </c>
      <c r="C245" s="11">
        <v>1500000</v>
      </c>
      <c r="D245" t="s">
        <v>1563</v>
      </c>
      <c r="E245" t="s">
        <v>444</v>
      </c>
      <c r="F245" s="4">
        <v>39772</v>
      </c>
      <c r="G245" s="11">
        <v>1470000</v>
      </c>
      <c r="H245" s="11">
        <v>30000</v>
      </c>
    </row>
    <row r="246" spans="1:8" x14ac:dyDescent="0.2">
      <c r="A246" t="s">
        <v>2128</v>
      </c>
      <c r="B246" t="s">
        <v>2550</v>
      </c>
      <c r="C246" s="11">
        <v>500000</v>
      </c>
      <c r="D246" t="s">
        <v>1563</v>
      </c>
      <c r="E246" t="s">
        <v>516</v>
      </c>
      <c r="F246" s="4">
        <v>39793</v>
      </c>
      <c r="G246" s="11">
        <v>0</v>
      </c>
      <c r="H246" s="11">
        <v>500000</v>
      </c>
    </row>
    <row r="247" spans="1:8" x14ac:dyDescent="0.2">
      <c r="A247" t="s">
        <v>2129</v>
      </c>
      <c r="B247" t="s">
        <v>1025</v>
      </c>
      <c r="C247" s="11">
        <v>500000</v>
      </c>
      <c r="D247" t="s">
        <v>1563</v>
      </c>
      <c r="E247" t="s">
        <v>516</v>
      </c>
      <c r="F247" s="4">
        <v>39945</v>
      </c>
      <c r="G247" s="11">
        <v>0</v>
      </c>
      <c r="H247" s="11">
        <v>500000</v>
      </c>
    </row>
    <row r="248" spans="1:8" x14ac:dyDescent="0.2">
      <c r="A248" t="s">
        <v>2130</v>
      </c>
      <c r="B248" t="s">
        <v>2121</v>
      </c>
      <c r="C248" s="11">
        <v>2000000</v>
      </c>
      <c r="D248" t="s">
        <v>1563</v>
      </c>
      <c r="E248" t="s">
        <v>888</v>
      </c>
      <c r="F248" s="4">
        <v>39930</v>
      </c>
      <c r="G248" s="11">
        <v>1960000</v>
      </c>
      <c r="H248" s="11">
        <v>40000</v>
      </c>
    </row>
    <row r="249" spans="1:8" x14ac:dyDescent="0.2">
      <c r="A249" t="s">
        <v>2131</v>
      </c>
      <c r="B249" t="s">
        <v>1187</v>
      </c>
      <c r="C249" s="11">
        <v>500000</v>
      </c>
      <c r="D249" t="s">
        <v>1563</v>
      </c>
      <c r="E249" t="s">
        <v>888</v>
      </c>
      <c r="F249" s="4">
        <v>39717</v>
      </c>
      <c r="G249" s="11">
        <v>500000</v>
      </c>
      <c r="H249" s="11">
        <v>0</v>
      </c>
    </row>
    <row r="250" spans="1:8" x14ac:dyDescent="0.2">
      <c r="A250" t="s">
        <v>593</v>
      </c>
      <c r="B250" t="s">
        <v>1188</v>
      </c>
      <c r="C250" s="11">
        <v>500000</v>
      </c>
      <c r="D250" t="s">
        <v>1563</v>
      </c>
      <c r="E250" t="s">
        <v>888</v>
      </c>
      <c r="F250" s="4">
        <v>39751</v>
      </c>
      <c r="G250" s="11">
        <v>267521</v>
      </c>
      <c r="H250" s="11">
        <v>232479</v>
      </c>
    </row>
    <row r="251" spans="1:8" x14ac:dyDescent="0.2">
      <c r="A251" t="s">
        <v>2132</v>
      </c>
      <c r="B251" t="s">
        <v>1258</v>
      </c>
      <c r="C251" s="11">
        <v>0</v>
      </c>
      <c r="D251" t="s">
        <v>1563</v>
      </c>
      <c r="E251" t="s">
        <v>444</v>
      </c>
      <c r="F251" s="4">
        <v>39195</v>
      </c>
      <c r="G251" s="11">
        <v>0</v>
      </c>
      <c r="H251" s="11">
        <v>0</v>
      </c>
    </row>
    <row r="252" spans="1:8" x14ac:dyDescent="0.2">
      <c r="A252" t="s">
        <v>2133</v>
      </c>
      <c r="B252" t="s">
        <v>2134</v>
      </c>
      <c r="C252" s="11">
        <v>300000</v>
      </c>
      <c r="D252" t="s">
        <v>1563</v>
      </c>
      <c r="E252" t="s">
        <v>444</v>
      </c>
      <c r="F252" s="4">
        <v>39979</v>
      </c>
      <c r="G252" s="11">
        <v>300000</v>
      </c>
      <c r="H252" s="11">
        <v>0</v>
      </c>
    </row>
    <row r="253" spans="1:8" x14ac:dyDescent="0.2">
      <c r="A253" t="s">
        <v>76</v>
      </c>
      <c r="B253" t="s">
        <v>1205</v>
      </c>
      <c r="C253" s="11">
        <v>2500000</v>
      </c>
      <c r="D253" t="s">
        <v>1563</v>
      </c>
      <c r="E253" t="s">
        <v>885</v>
      </c>
      <c r="F253" s="4">
        <v>39751</v>
      </c>
      <c r="G253" s="11">
        <v>2500000</v>
      </c>
      <c r="H253" s="11">
        <v>0</v>
      </c>
    </row>
    <row r="254" spans="1:8" x14ac:dyDescent="0.2">
      <c r="A254" t="s">
        <v>1931</v>
      </c>
      <c r="B254" t="s">
        <v>2553</v>
      </c>
      <c r="C254" s="11">
        <v>250000</v>
      </c>
      <c r="D254" t="s">
        <v>1563</v>
      </c>
      <c r="E254" t="s">
        <v>888</v>
      </c>
      <c r="F254" s="4">
        <v>39793</v>
      </c>
      <c r="G254" s="11">
        <v>250000</v>
      </c>
      <c r="H254" s="11">
        <v>0</v>
      </c>
    </row>
    <row r="255" spans="1:8" x14ac:dyDescent="0.2">
      <c r="A255" t="s">
        <v>2950</v>
      </c>
      <c r="B255" t="s">
        <v>2115</v>
      </c>
      <c r="C255" s="11">
        <v>500000</v>
      </c>
      <c r="D255" t="s">
        <v>1563</v>
      </c>
      <c r="E255" t="s">
        <v>888</v>
      </c>
      <c r="F255" s="4">
        <v>39930</v>
      </c>
      <c r="G255" s="11">
        <v>257244</v>
      </c>
      <c r="H255" s="11">
        <v>242756</v>
      </c>
    </row>
    <row r="256" spans="1:8" x14ac:dyDescent="0.2">
      <c r="A256" t="s">
        <v>2826</v>
      </c>
      <c r="B256" t="s">
        <v>2827</v>
      </c>
      <c r="C256" s="11">
        <v>1000000</v>
      </c>
      <c r="D256" t="s">
        <v>1563</v>
      </c>
      <c r="E256" t="s">
        <v>888</v>
      </c>
      <c r="F256" s="4">
        <v>39856</v>
      </c>
      <c r="G256" s="11">
        <v>0</v>
      </c>
      <c r="H256" s="11">
        <v>1000000</v>
      </c>
    </row>
    <row r="257" spans="1:8" x14ac:dyDescent="0.2">
      <c r="A257" t="s">
        <v>2988</v>
      </c>
      <c r="B257" t="s">
        <v>1026</v>
      </c>
      <c r="C257" s="11">
        <v>500000</v>
      </c>
      <c r="D257" t="s">
        <v>1563</v>
      </c>
      <c r="E257" t="s">
        <v>888</v>
      </c>
      <c r="F257" s="4">
        <v>39961</v>
      </c>
      <c r="G257" s="11">
        <v>0</v>
      </c>
      <c r="H257" s="11">
        <v>500000</v>
      </c>
    </row>
    <row r="258" spans="1:8" x14ac:dyDescent="0.2">
      <c r="A258" t="s">
        <v>77</v>
      </c>
      <c r="B258" t="s">
        <v>2090</v>
      </c>
      <c r="C258" s="11">
        <v>150000</v>
      </c>
      <c r="D258" t="s">
        <v>1563</v>
      </c>
      <c r="E258" t="s">
        <v>444</v>
      </c>
      <c r="F258" s="4">
        <v>39890</v>
      </c>
      <c r="G258" s="11">
        <v>150000</v>
      </c>
      <c r="H258" s="11">
        <v>0</v>
      </c>
    </row>
    <row r="259" spans="1:8" x14ac:dyDescent="0.2">
      <c r="A259" t="s">
        <v>78</v>
      </c>
      <c r="B259" t="s">
        <v>2124</v>
      </c>
      <c r="C259" s="11">
        <v>2500000</v>
      </c>
      <c r="D259" t="s">
        <v>1563</v>
      </c>
      <c r="E259" t="s">
        <v>888</v>
      </c>
      <c r="F259" s="4">
        <v>39930</v>
      </c>
      <c r="G259" s="11">
        <v>0</v>
      </c>
      <c r="H259" s="11">
        <v>2500000</v>
      </c>
    </row>
    <row r="260" spans="1:8" x14ac:dyDescent="0.2">
      <c r="A260" t="s">
        <v>852</v>
      </c>
      <c r="B260" t="s">
        <v>2123</v>
      </c>
      <c r="C260" s="11">
        <v>2000000</v>
      </c>
      <c r="D260" t="s">
        <v>1563</v>
      </c>
      <c r="E260" t="s">
        <v>888</v>
      </c>
      <c r="F260" s="4">
        <v>39930</v>
      </c>
      <c r="G260" s="11">
        <v>0</v>
      </c>
      <c r="H260" s="11">
        <v>2000000</v>
      </c>
    </row>
    <row r="261" spans="1:8" x14ac:dyDescent="0.2">
      <c r="A261" t="s">
        <v>79</v>
      </c>
      <c r="B261" t="s">
        <v>1034</v>
      </c>
      <c r="C261" s="11">
        <v>3000000</v>
      </c>
      <c r="D261" t="s">
        <v>1563</v>
      </c>
      <c r="E261" t="s">
        <v>888</v>
      </c>
      <c r="F261" s="4">
        <v>40011</v>
      </c>
      <c r="G261" s="11">
        <v>0</v>
      </c>
      <c r="H261" s="11">
        <v>3000000</v>
      </c>
    </row>
    <row r="262" spans="1:8" x14ac:dyDescent="0.2">
      <c r="A262" t="s">
        <v>3396</v>
      </c>
      <c r="B262" t="s">
        <v>3032</v>
      </c>
      <c r="C262" s="11">
        <v>3000000</v>
      </c>
      <c r="D262" t="s">
        <v>1563</v>
      </c>
      <c r="E262" t="s">
        <v>3031</v>
      </c>
      <c r="F262" s="4">
        <v>40487</v>
      </c>
      <c r="G262" s="11">
        <v>0</v>
      </c>
      <c r="H262" s="11">
        <v>3000000</v>
      </c>
    </row>
    <row r="263" spans="1:8" x14ac:dyDescent="0.2">
      <c r="A263" t="s">
        <v>2828</v>
      </c>
      <c r="B263" t="s">
        <v>2073</v>
      </c>
      <c r="C263" s="11">
        <v>5000000</v>
      </c>
      <c r="D263" t="s">
        <v>1563</v>
      </c>
      <c r="E263" t="s">
        <v>888</v>
      </c>
      <c r="F263" s="4">
        <v>39898</v>
      </c>
      <c r="G263" s="11">
        <v>5000000</v>
      </c>
      <c r="H263" s="11">
        <v>0</v>
      </c>
    </row>
    <row r="264" spans="1:8" x14ac:dyDescent="0.2">
      <c r="A264" t="s">
        <v>80</v>
      </c>
      <c r="B264" t="s">
        <v>2072</v>
      </c>
      <c r="C264" s="11">
        <v>2000000</v>
      </c>
      <c r="D264" t="s">
        <v>1563</v>
      </c>
      <c r="E264" t="s">
        <v>888</v>
      </c>
      <c r="F264" s="4">
        <v>39898</v>
      </c>
      <c r="G264" s="11">
        <v>1950000</v>
      </c>
      <c r="H264" s="11">
        <v>50000</v>
      </c>
    </row>
    <row r="265" spans="1:8" x14ac:dyDescent="0.2">
      <c r="A265" t="s">
        <v>81</v>
      </c>
      <c r="B265" t="s">
        <v>2074</v>
      </c>
      <c r="C265" s="11">
        <v>18000000</v>
      </c>
      <c r="D265" t="s">
        <v>1563</v>
      </c>
      <c r="E265" t="s">
        <v>888</v>
      </c>
      <c r="F265" s="4">
        <v>39898</v>
      </c>
      <c r="G265" s="11">
        <v>18000000</v>
      </c>
      <c r="H265" s="11">
        <v>0</v>
      </c>
    </row>
    <row r="266" spans="1:8" x14ac:dyDescent="0.2">
      <c r="A266" t="s">
        <v>82</v>
      </c>
      <c r="B266" t="s">
        <v>1029</v>
      </c>
      <c r="C266" s="11">
        <v>500000</v>
      </c>
      <c r="D266" t="s">
        <v>1563</v>
      </c>
      <c r="E266" t="s">
        <v>888</v>
      </c>
      <c r="F266" s="4">
        <v>39945</v>
      </c>
      <c r="G266" s="11">
        <v>500000</v>
      </c>
      <c r="H266" s="11">
        <v>0</v>
      </c>
    </row>
    <row r="267" spans="1:8" x14ac:dyDescent="0.2">
      <c r="A267" t="s">
        <v>83</v>
      </c>
      <c r="B267" t="s">
        <v>1030</v>
      </c>
      <c r="C267" s="11">
        <v>250000</v>
      </c>
      <c r="D267" t="s">
        <v>1563</v>
      </c>
      <c r="E267" t="s">
        <v>888</v>
      </c>
      <c r="F267" s="4">
        <v>39961</v>
      </c>
      <c r="G267" s="11">
        <v>250000</v>
      </c>
      <c r="H267" s="11">
        <v>0</v>
      </c>
    </row>
    <row r="268" spans="1:8" x14ac:dyDescent="0.2">
      <c r="A268" t="s">
        <v>2829</v>
      </c>
      <c r="B268" t="s">
        <v>2830</v>
      </c>
      <c r="C268" s="11">
        <v>500000</v>
      </c>
      <c r="D268" t="s">
        <v>1563</v>
      </c>
      <c r="E268" t="s">
        <v>885</v>
      </c>
      <c r="F268" s="4">
        <v>40325</v>
      </c>
      <c r="G268" s="11">
        <v>487500</v>
      </c>
      <c r="H268" s="11">
        <v>12500</v>
      </c>
    </row>
    <row r="269" spans="1:8" x14ac:dyDescent="0.2">
      <c r="A269" t="s">
        <v>2698</v>
      </c>
      <c r="B269" t="s">
        <v>2125</v>
      </c>
      <c r="C269" s="11">
        <v>3000000</v>
      </c>
      <c r="D269" t="s">
        <v>1563</v>
      </c>
      <c r="E269" t="s">
        <v>888</v>
      </c>
      <c r="F269" s="4">
        <v>39930</v>
      </c>
      <c r="G269" s="11">
        <v>2925000</v>
      </c>
      <c r="H269" s="11">
        <v>75000</v>
      </c>
    </row>
    <row r="270" spans="1:8" x14ac:dyDescent="0.2">
      <c r="A270" t="s">
        <v>84</v>
      </c>
      <c r="B270" t="s">
        <v>85</v>
      </c>
      <c r="C270" s="11">
        <v>2000000</v>
      </c>
      <c r="D270" t="s">
        <v>1563</v>
      </c>
      <c r="E270" t="s">
        <v>888</v>
      </c>
      <c r="F270" s="4">
        <v>39930</v>
      </c>
      <c r="G270" s="11">
        <v>1257405</v>
      </c>
      <c r="H270" s="11">
        <v>742595</v>
      </c>
    </row>
    <row r="271" spans="1:8" x14ac:dyDescent="0.2">
      <c r="A271" t="s">
        <v>2989</v>
      </c>
      <c r="B271" t="s">
        <v>2077</v>
      </c>
      <c r="C271" s="11">
        <v>250000</v>
      </c>
      <c r="D271" t="s">
        <v>1563</v>
      </c>
      <c r="E271" t="s">
        <v>888</v>
      </c>
      <c r="F271" s="4">
        <v>39890</v>
      </c>
      <c r="G271" s="11">
        <v>250000</v>
      </c>
      <c r="H271" s="11">
        <v>0</v>
      </c>
    </row>
    <row r="272" spans="1:8" x14ac:dyDescent="0.2">
      <c r="A272" t="s">
        <v>2990</v>
      </c>
      <c r="B272" t="s">
        <v>1027</v>
      </c>
      <c r="C272" s="11">
        <v>250000</v>
      </c>
      <c r="D272" t="s">
        <v>1563</v>
      </c>
      <c r="E272" t="s">
        <v>888</v>
      </c>
      <c r="F272" s="4">
        <v>39961</v>
      </c>
      <c r="G272" s="11">
        <v>250000</v>
      </c>
      <c r="H272" s="11">
        <v>0</v>
      </c>
    </row>
    <row r="273" spans="1:8" x14ac:dyDescent="0.2">
      <c r="A273" t="s">
        <v>2991</v>
      </c>
      <c r="B273" t="s">
        <v>2834</v>
      </c>
      <c r="C273" s="11">
        <v>250000</v>
      </c>
      <c r="D273" t="s">
        <v>1563</v>
      </c>
      <c r="E273" t="s">
        <v>888</v>
      </c>
      <c r="F273" s="4">
        <v>40346</v>
      </c>
      <c r="G273" s="11">
        <v>250000</v>
      </c>
      <c r="H273" s="11">
        <v>0</v>
      </c>
    </row>
    <row r="274" spans="1:8" x14ac:dyDescent="0.2">
      <c r="A274" t="s">
        <v>2992</v>
      </c>
      <c r="B274" t="s">
        <v>2993</v>
      </c>
      <c r="C274" s="11">
        <v>2500000</v>
      </c>
      <c r="D274" t="s">
        <v>1563</v>
      </c>
      <c r="E274" t="s">
        <v>888</v>
      </c>
      <c r="F274" s="4">
        <v>40401</v>
      </c>
      <c r="G274" s="11">
        <v>2418750</v>
      </c>
      <c r="H274" s="11">
        <v>81250</v>
      </c>
    </row>
    <row r="275" spans="1:8" x14ac:dyDescent="0.2">
      <c r="A275" t="s">
        <v>4153</v>
      </c>
      <c r="B275" t="s">
        <v>2122</v>
      </c>
      <c r="C275" s="11">
        <v>3000000</v>
      </c>
      <c r="D275" t="s">
        <v>1563</v>
      </c>
      <c r="E275" t="s">
        <v>888</v>
      </c>
      <c r="F275" s="4">
        <v>39930</v>
      </c>
      <c r="G275" s="11">
        <v>0</v>
      </c>
      <c r="H275" s="11">
        <v>3000000</v>
      </c>
    </row>
    <row r="276" spans="1:8" x14ac:dyDescent="0.2">
      <c r="A276" t="s">
        <v>2699</v>
      </c>
      <c r="B276" t="s">
        <v>1033</v>
      </c>
      <c r="C276" s="11">
        <v>250000</v>
      </c>
      <c r="D276" t="s">
        <v>1563</v>
      </c>
      <c r="E276" t="s">
        <v>885</v>
      </c>
      <c r="F276" s="4">
        <v>39961</v>
      </c>
      <c r="G276" s="11">
        <v>250000</v>
      </c>
      <c r="H276" s="11">
        <v>0</v>
      </c>
    </row>
    <row r="277" spans="1:8" x14ac:dyDescent="0.2">
      <c r="A277" t="s">
        <v>2700</v>
      </c>
      <c r="B277" t="s">
        <v>889</v>
      </c>
      <c r="C277" s="11">
        <v>300000</v>
      </c>
      <c r="D277" t="s">
        <v>1563</v>
      </c>
      <c r="E277" t="s">
        <v>444</v>
      </c>
      <c r="F277" s="4">
        <v>39659</v>
      </c>
      <c r="G277" s="11">
        <v>0</v>
      </c>
      <c r="H277" s="11">
        <v>300000</v>
      </c>
    </row>
    <row r="278" spans="1:8" x14ac:dyDescent="0.2">
      <c r="A278" t="s">
        <v>3397</v>
      </c>
      <c r="B278" t="s">
        <v>86</v>
      </c>
      <c r="C278" s="11">
        <v>4000000</v>
      </c>
      <c r="D278" t="s">
        <v>1563</v>
      </c>
      <c r="E278" t="s">
        <v>444</v>
      </c>
      <c r="F278" s="4">
        <v>39881</v>
      </c>
      <c r="G278" s="11">
        <v>0</v>
      </c>
      <c r="H278" s="11">
        <v>4000000</v>
      </c>
    </row>
    <row r="279" spans="1:8" x14ac:dyDescent="0.2">
      <c r="A279" t="s">
        <v>3398</v>
      </c>
      <c r="B279" t="s">
        <v>87</v>
      </c>
      <c r="C279" s="11">
        <v>500000</v>
      </c>
      <c r="D279" t="s">
        <v>1563</v>
      </c>
      <c r="E279" t="s">
        <v>888</v>
      </c>
      <c r="F279" s="4">
        <v>40213</v>
      </c>
      <c r="G279" s="11">
        <v>0</v>
      </c>
      <c r="H279" s="11">
        <v>500000</v>
      </c>
    </row>
    <row r="280" spans="1:8" x14ac:dyDescent="0.2">
      <c r="A280" t="s">
        <v>2701</v>
      </c>
      <c r="B280" t="s">
        <v>2110</v>
      </c>
      <c r="C280" s="11">
        <v>200000</v>
      </c>
      <c r="D280" t="s">
        <v>1563</v>
      </c>
      <c r="E280" t="s">
        <v>888</v>
      </c>
      <c r="F280" s="4">
        <v>39930</v>
      </c>
      <c r="G280" s="11">
        <v>200000</v>
      </c>
      <c r="H280" s="11">
        <v>0</v>
      </c>
    </row>
    <row r="281" spans="1:8" x14ac:dyDescent="0.2">
      <c r="A281" t="s">
        <v>2951</v>
      </c>
      <c r="B281" t="s">
        <v>2111</v>
      </c>
      <c r="C281" s="11">
        <v>1000000</v>
      </c>
      <c r="D281" t="s">
        <v>1563</v>
      </c>
      <c r="E281" t="s">
        <v>888</v>
      </c>
      <c r="F281" s="4">
        <v>39930</v>
      </c>
      <c r="G281" s="11">
        <v>1000000</v>
      </c>
      <c r="H281" s="11">
        <v>0</v>
      </c>
    </row>
    <row r="282" spans="1:8" x14ac:dyDescent="0.2">
      <c r="A282" t="s">
        <v>2952</v>
      </c>
      <c r="B282" t="s">
        <v>1028</v>
      </c>
      <c r="C282" s="11">
        <v>200000</v>
      </c>
      <c r="D282" t="s">
        <v>1563</v>
      </c>
      <c r="E282" t="s">
        <v>888</v>
      </c>
      <c r="F282" s="4">
        <v>39945</v>
      </c>
      <c r="G282" s="11">
        <v>200000</v>
      </c>
      <c r="H282" s="11">
        <v>0</v>
      </c>
    </row>
    <row r="283" spans="1:8" x14ac:dyDescent="0.2">
      <c r="A283" t="s">
        <v>2994</v>
      </c>
      <c r="B283" t="s">
        <v>2995</v>
      </c>
      <c r="C283" s="11">
        <v>250000</v>
      </c>
      <c r="D283" t="s">
        <v>1563</v>
      </c>
      <c r="E283" t="s">
        <v>888</v>
      </c>
      <c r="F283" s="4">
        <v>40463</v>
      </c>
      <c r="G283" s="11">
        <v>0</v>
      </c>
      <c r="H283" s="11">
        <v>250000</v>
      </c>
    </row>
    <row r="284" spans="1:8" x14ac:dyDescent="0.2">
      <c r="A284" t="s">
        <v>2996</v>
      </c>
      <c r="B284" t="s">
        <v>2997</v>
      </c>
      <c r="C284" s="11">
        <v>250000</v>
      </c>
      <c r="D284" t="s">
        <v>1563</v>
      </c>
      <c r="E284" t="s">
        <v>888</v>
      </c>
      <c r="F284" s="4">
        <v>40472</v>
      </c>
      <c r="G284" s="11">
        <v>0</v>
      </c>
      <c r="H284" s="11">
        <v>250000</v>
      </c>
    </row>
    <row r="285" spans="1:8" x14ac:dyDescent="0.2">
      <c r="A285" t="s">
        <v>3399</v>
      </c>
      <c r="B285" t="s">
        <v>3400</v>
      </c>
      <c r="C285" s="11">
        <v>250000</v>
      </c>
      <c r="D285" t="s">
        <v>1563</v>
      </c>
      <c r="E285" t="s">
        <v>888</v>
      </c>
      <c r="F285" s="4">
        <v>40499</v>
      </c>
      <c r="G285" s="11">
        <v>0</v>
      </c>
      <c r="H285" s="11">
        <v>250000</v>
      </c>
    </row>
    <row r="286" spans="1:8" x14ac:dyDescent="0.2">
      <c r="A286" t="s">
        <v>3620</v>
      </c>
      <c r="B286" t="s">
        <v>3621</v>
      </c>
      <c r="C286" s="11">
        <v>250000</v>
      </c>
      <c r="D286" t="s">
        <v>1563</v>
      </c>
      <c r="E286" t="s">
        <v>888</v>
      </c>
      <c r="F286" s="4">
        <v>40532</v>
      </c>
      <c r="G286" s="11">
        <v>0</v>
      </c>
      <c r="H286" s="11">
        <v>250000</v>
      </c>
    </row>
    <row r="287" spans="1:8" x14ac:dyDescent="0.2">
      <c r="A287" t="s">
        <v>2831</v>
      </c>
      <c r="B287" t="s">
        <v>1031</v>
      </c>
      <c r="C287" s="11">
        <v>250000</v>
      </c>
      <c r="D287" t="s">
        <v>1563</v>
      </c>
      <c r="E287" t="s">
        <v>444</v>
      </c>
      <c r="F287" s="4">
        <v>39961</v>
      </c>
      <c r="G287" s="11">
        <v>135267</v>
      </c>
      <c r="H287" s="11">
        <v>114733</v>
      </c>
    </row>
    <row r="288" spans="1:8" x14ac:dyDescent="0.2">
      <c r="A288" t="s">
        <v>2832</v>
      </c>
      <c r="B288" t="s">
        <v>2833</v>
      </c>
      <c r="C288" s="11">
        <v>250000</v>
      </c>
      <c r="D288" t="s">
        <v>1563</v>
      </c>
      <c r="E288" t="s">
        <v>444</v>
      </c>
      <c r="F288" s="4">
        <v>40325</v>
      </c>
      <c r="G288" s="11">
        <v>0</v>
      </c>
      <c r="H288" s="11">
        <v>250000</v>
      </c>
    </row>
    <row r="289" spans="1:8" x14ac:dyDescent="0.2">
      <c r="A289" t="s">
        <v>2998</v>
      </c>
      <c r="B289" t="s">
        <v>2705</v>
      </c>
      <c r="C289" s="11">
        <v>500000</v>
      </c>
      <c r="D289" t="s">
        <v>1563</v>
      </c>
      <c r="E289" t="s">
        <v>444</v>
      </c>
      <c r="F289" s="4">
        <v>40232</v>
      </c>
      <c r="G289" s="11">
        <v>487500</v>
      </c>
      <c r="H289" s="11">
        <v>12500</v>
      </c>
    </row>
    <row r="290" spans="1:8" x14ac:dyDescent="0.2">
      <c r="A290" t="s">
        <v>2999</v>
      </c>
      <c r="B290" t="s">
        <v>3000</v>
      </c>
      <c r="C290" s="11">
        <v>10000000</v>
      </c>
      <c r="D290" t="s">
        <v>1563</v>
      </c>
      <c r="E290" t="s">
        <v>2107</v>
      </c>
      <c r="F290" s="4">
        <v>40420</v>
      </c>
      <c r="G290" s="11">
        <v>0</v>
      </c>
      <c r="H290" s="11">
        <v>10000000</v>
      </c>
    </row>
    <row r="291" spans="1:8" x14ac:dyDescent="0.2">
      <c r="A291" t="s">
        <v>3001</v>
      </c>
      <c r="B291" t="s">
        <v>3002</v>
      </c>
      <c r="C291" s="11">
        <v>5000000</v>
      </c>
      <c r="D291" t="s">
        <v>1563</v>
      </c>
      <c r="E291" t="s">
        <v>2107</v>
      </c>
      <c r="F291" s="4">
        <v>40420</v>
      </c>
      <c r="G291" s="11">
        <v>0</v>
      </c>
      <c r="H291" s="11">
        <v>5000000</v>
      </c>
    </row>
    <row r="292" spans="1:8" x14ac:dyDescent="0.2">
      <c r="A292" t="s">
        <v>3003</v>
      </c>
      <c r="B292" t="s">
        <v>3004</v>
      </c>
      <c r="C292" s="11">
        <v>500000</v>
      </c>
      <c r="D292" t="s">
        <v>1563</v>
      </c>
      <c r="E292" t="s">
        <v>888</v>
      </c>
      <c r="F292" s="4">
        <v>40325</v>
      </c>
      <c r="G292" s="11">
        <v>500000</v>
      </c>
      <c r="H292" s="11">
        <v>0</v>
      </c>
    </row>
    <row r="293" spans="1:8" x14ac:dyDescent="0.2">
      <c r="A293" t="s">
        <v>3622</v>
      </c>
      <c r="B293" t="s">
        <v>3009</v>
      </c>
      <c r="C293" s="11">
        <v>2000000</v>
      </c>
      <c r="D293" t="s">
        <v>1563</v>
      </c>
      <c r="E293" t="s">
        <v>888</v>
      </c>
      <c r="F293" s="4">
        <v>40420</v>
      </c>
      <c r="G293" s="11">
        <v>2000000</v>
      </c>
      <c r="H293" s="11">
        <v>0</v>
      </c>
    </row>
    <row r="294" spans="1:8" x14ac:dyDescent="0.2">
      <c r="A294" t="s">
        <v>3623</v>
      </c>
      <c r="B294" t="s">
        <v>3010</v>
      </c>
      <c r="C294" s="11">
        <v>500000</v>
      </c>
      <c r="D294" t="s">
        <v>1563</v>
      </c>
      <c r="E294" t="s">
        <v>888</v>
      </c>
      <c r="F294" s="4">
        <v>40436</v>
      </c>
      <c r="G294" s="11">
        <v>410719</v>
      </c>
      <c r="H294" s="11">
        <v>89281</v>
      </c>
    </row>
    <row r="295" spans="1:8" x14ac:dyDescent="0.2">
      <c r="A295" t="s">
        <v>3401</v>
      </c>
      <c r="B295" t="s">
        <v>3013</v>
      </c>
      <c r="C295" s="11">
        <v>250000</v>
      </c>
      <c r="D295" t="s">
        <v>1563</v>
      </c>
      <c r="E295" t="s">
        <v>444</v>
      </c>
      <c r="F295" s="4">
        <v>40401</v>
      </c>
      <c r="G295" s="11">
        <v>0</v>
      </c>
      <c r="H295" s="11">
        <v>250000</v>
      </c>
    </row>
    <row r="296" spans="1:8" x14ac:dyDescent="0.2">
      <c r="A296" t="s">
        <v>3402</v>
      </c>
      <c r="B296" t="s">
        <v>2836</v>
      </c>
      <c r="C296" s="11">
        <v>2080000</v>
      </c>
      <c r="D296" t="s">
        <v>1563</v>
      </c>
      <c r="E296" t="s">
        <v>444</v>
      </c>
      <c r="F296" s="4">
        <v>40325</v>
      </c>
      <c r="G296" s="11">
        <v>0</v>
      </c>
      <c r="H296" s="11">
        <v>2080000</v>
      </c>
    </row>
    <row r="297" spans="1:8" x14ac:dyDescent="0.2">
      <c r="A297" t="s">
        <v>3403</v>
      </c>
      <c r="B297" t="s">
        <v>2836</v>
      </c>
      <c r="C297" s="11">
        <v>1920000</v>
      </c>
      <c r="D297" t="s">
        <v>1563</v>
      </c>
      <c r="E297" t="s">
        <v>444</v>
      </c>
      <c r="F297" s="4">
        <v>40345</v>
      </c>
      <c r="G297" s="11">
        <v>0</v>
      </c>
      <c r="H297" s="11">
        <v>1920000</v>
      </c>
    </row>
    <row r="298" spans="1:8" x14ac:dyDescent="0.2">
      <c r="A298" t="s">
        <v>3404</v>
      </c>
      <c r="B298" t="s">
        <v>3007</v>
      </c>
      <c r="C298" s="11">
        <v>8000000</v>
      </c>
      <c r="D298" t="s">
        <v>1563</v>
      </c>
      <c r="E298" t="s">
        <v>3008</v>
      </c>
      <c r="F298" s="4">
        <v>40393</v>
      </c>
      <c r="G298" s="11">
        <v>0</v>
      </c>
      <c r="H298" s="11">
        <v>8000000</v>
      </c>
    </row>
    <row r="299" spans="1:8" x14ac:dyDescent="0.2">
      <c r="A299" t="s">
        <v>3405</v>
      </c>
      <c r="B299" t="s">
        <v>2835</v>
      </c>
      <c r="C299" s="11">
        <v>500000</v>
      </c>
      <c r="D299" t="s">
        <v>1563</v>
      </c>
      <c r="E299" t="s">
        <v>444</v>
      </c>
      <c r="F299" s="4">
        <v>40316</v>
      </c>
      <c r="G299" s="11">
        <v>0</v>
      </c>
      <c r="H299" s="11">
        <v>500000</v>
      </c>
    </row>
    <row r="300" spans="1:8" x14ac:dyDescent="0.2">
      <c r="A300" t="s">
        <v>3406</v>
      </c>
      <c r="B300" t="s">
        <v>3005</v>
      </c>
      <c r="C300" s="11">
        <v>250000</v>
      </c>
      <c r="D300" t="s">
        <v>1563</v>
      </c>
      <c r="E300" t="s">
        <v>888</v>
      </c>
      <c r="F300" s="4">
        <v>40217</v>
      </c>
      <c r="G300" s="11">
        <v>0</v>
      </c>
      <c r="H300" s="11">
        <v>250000</v>
      </c>
    </row>
    <row r="301" spans="1:8" x14ac:dyDescent="0.2">
      <c r="A301" t="s">
        <v>3407</v>
      </c>
      <c r="B301" t="s">
        <v>3006</v>
      </c>
      <c r="C301" s="11">
        <v>1900000</v>
      </c>
      <c r="D301" t="s">
        <v>1563</v>
      </c>
      <c r="E301" t="s">
        <v>444</v>
      </c>
      <c r="F301" s="4">
        <v>40463</v>
      </c>
      <c r="G301" s="11">
        <v>0</v>
      </c>
      <c r="H301" s="11">
        <v>1900000</v>
      </c>
    </row>
    <row r="302" spans="1:8" x14ac:dyDescent="0.2">
      <c r="A302" t="s">
        <v>3408</v>
      </c>
      <c r="B302" t="s">
        <v>2838</v>
      </c>
      <c r="C302" s="11">
        <v>250000</v>
      </c>
      <c r="D302" t="s">
        <v>1563</v>
      </c>
      <c r="E302" t="s">
        <v>885</v>
      </c>
      <c r="F302" s="4">
        <v>40346</v>
      </c>
      <c r="G302" s="11">
        <v>242500</v>
      </c>
      <c r="H302" s="11">
        <v>7500</v>
      </c>
    </row>
    <row r="303" spans="1:8" x14ac:dyDescent="0.2">
      <c r="A303" t="s">
        <v>3409</v>
      </c>
      <c r="B303" t="s">
        <v>3021</v>
      </c>
      <c r="C303" s="11">
        <v>4000000</v>
      </c>
      <c r="D303" t="s">
        <v>1563</v>
      </c>
      <c r="E303" t="s">
        <v>516</v>
      </c>
      <c r="F303" s="4">
        <v>40448</v>
      </c>
      <c r="G303" s="11">
        <v>0</v>
      </c>
      <c r="H303" s="11">
        <v>4000000</v>
      </c>
    </row>
    <row r="304" spans="1:8" x14ac:dyDescent="0.2">
      <c r="A304" t="s">
        <v>3410</v>
      </c>
      <c r="B304" t="s">
        <v>3012</v>
      </c>
      <c r="C304" s="11">
        <v>4500000</v>
      </c>
      <c r="D304" t="s">
        <v>1563</v>
      </c>
      <c r="E304" t="s">
        <v>888</v>
      </c>
      <c r="F304" s="4">
        <v>40401</v>
      </c>
      <c r="G304" s="11">
        <v>0</v>
      </c>
      <c r="H304" s="11">
        <v>4500000</v>
      </c>
    </row>
    <row r="305" spans="1:8" x14ac:dyDescent="0.2">
      <c r="A305" t="s">
        <v>3411</v>
      </c>
      <c r="B305" t="s">
        <v>3015</v>
      </c>
      <c r="C305" s="11">
        <v>1000000</v>
      </c>
      <c r="D305" t="s">
        <v>1563</v>
      </c>
      <c r="E305" t="s">
        <v>888</v>
      </c>
      <c r="F305" s="4">
        <v>40414</v>
      </c>
      <c r="G305" s="11">
        <v>0</v>
      </c>
      <c r="H305" s="11">
        <v>1000000</v>
      </c>
    </row>
    <row r="306" spans="1:8" x14ac:dyDescent="0.2">
      <c r="A306" t="s">
        <v>3412</v>
      </c>
      <c r="B306" t="s">
        <v>3020</v>
      </c>
      <c r="C306" s="11">
        <v>15000000</v>
      </c>
      <c r="D306" t="s">
        <v>1563</v>
      </c>
      <c r="E306" t="s">
        <v>444</v>
      </c>
      <c r="F306" s="4">
        <v>40448</v>
      </c>
      <c r="G306" s="11">
        <v>0</v>
      </c>
      <c r="H306" s="11">
        <v>15000000</v>
      </c>
    </row>
    <row r="307" spans="1:8" x14ac:dyDescent="0.2">
      <c r="A307" t="s">
        <v>3413</v>
      </c>
      <c r="B307" t="s">
        <v>3011</v>
      </c>
      <c r="C307" s="11">
        <v>5000000</v>
      </c>
      <c r="D307" t="s">
        <v>1563</v>
      </c>
      <c r="E307" t="s">
        <v>444</v>
      </c>
      <c r="F307" s="4">
        <v>40401</v>
      </c>
      <c r="G307" s="11">
        <v>2729505</v>
      </c>
      <c r="H307" s="11">
        <v>2270495</v>
      </c>
    </row>
    <row r="308" spans="1:8" x14ac:dyDescent="0.2">
      <c r="A308" t="s">
        <v>3624</v>
      </c>
      <c r="B308" t="s">
        <v>3625</v>
      </c>
      <c r="C308" s="11">
        <v>500000</v>
      </c>
      <c r="D308" t="s">
        <v>1563</v>
      </c>
      <c r="E308" t="s">
        <v>3031</v>
      </c>
      <c r="F308" s="4">
        <v>40532</v>
      </c>
      <c r="G308" s="11">
        <v>0</v>
      </c>
      <c r="H308" s="11">
        <v>500000</v>
      </c>
    </row>
    <row r="309" spans="1:8" x14ac:dyDescent="0.2">
      <c r="A309" t="s">
        <v>3626</v>
      </c>
      <c r="B309" t="s">
        <v>3028</v>
      </c>
      <c r="C309" s="11">
        <v>250000</v>
      </c>
      <c r="D309" t="s">
        <v>1563</v>
      </c>
      <c r="E309" t="s">
        <v>444</v>
      </c>
      <c r="F309" s="4">
        <v>40463</v>
      </c>
      <c r="G309" s="11">
        <v>0</v>
      </c>
      <c r="H309" s="11">
        <v>250000</v>
      </c>
    </row>
    <row r="310" spans="1:8" x14ac:dyDescent="0.2">
      <c r="A310" t="s">
        <v>3627</v>
      </c>
      <c r="B310" t="s">
        <v>3027</v>
      </c>
      <c r="C310" s="11">
        <v>250000</v>
      </c>
      <c r="D310" t="s">
        <v>1563</v>
      </c>
      <c r="E310" t="s">
        <v>516</v>
      </c>
      <c r="F310" s="4">
        <v>40463</v>
      </c>
      <c r="G310" s="11">
        <v>0</v>
      </c>
      <c r="H310" s="11">
        <v>250000</v>
      </c>
    </row>
    <row r="311" spans="1:8" x14ac:dyDescent="0.2">
      <c r="A311" t="s">
        <v>3628</v>
      </c>
      <c r="B311" t="s">
        <v>3419</v>
      </c>
      <c r="C311" s="11">
        <v>250000</v>
      </c>
      <c r="D311" t="s">
        <v>1563</v>
      </c>
      <c r="E311" t="s">
        <v>516</v>
      </c>
      <c r="F311" s="4">
        <v>40504</v>
      </c>
      <c r="G311" s="11">
        <v>0</v>
      </c>
      <c r="H311" s="11">
        <v>250000</v>
      </c>
    </row>
    <row r="312" spans="1:8" x14ac:dyDescent="0.2">
      <c r="A312" t="s">
        <v>3629</v>
      </c>
      <c r="B312" t="s">
        <v>3630</v>
      </c>
      <c r="C312" s="11">
        <v>250000</v>
      </c>
      <c r="D312" t="s">
        <v>1563</v>
      </c>
      <c r="E312" t="s">
        <v>516</v>
      </c>
      <c r="F312" s="4">
        <v>40546</v>
      </c>
      <c r="G312" s="11">
        <v>0</v>
      </c>
      <c r="H312" s="11">
        <v>250000</v>
      </c>
    </row>
    <row r="313" spans="1:8" x14ac:dyDescent="0.2">
      <c r="A313" t="s">
        <v>4498</v>
      </c>
      <c r="B313" t="s">
        <v>4499</v>
      </c>
      <c r="C313" s="11">
        <v>1000000</v>
      </c>
      <c r="D313" t="s">
        <v>1563</v>
      </c>
      <c r="E313" t="s">
        <v>3031</v>
      </c>
      <c r="F313" s="4">
        <v>41316</v>
      </c>
      <c r="G313" s="11">
        <v>0</v>
      </c>
      <c r="H313" s="11">
        <v>1000000</v>
      </c>
    </row>
    <row r="314" spans="1:8" x14ac:dyDescent="0.2">
      <c r="A314" t="s">
        <v>3631</v>
      </c>
      <c r="B314" t="s">
        <v>3026</v>
      </c>
      <c r="C314" s="11">
        <v>500000</v>
      </c>
      <c r="D314" t="s">
        <v>1563</v>
      </c>
      <c r="E314" t="s">
        <v>444</v>
      </c>
      <c r="F314" s="4">
        <v>40463</v>
      </c>
      <c r="G314" s="11">
        <v>487500</v>
      </c>
      <c r="H314" s="11">
        <v>12500</v>
      </c>
    </row>
    <row r="315" spans="1:8" x14ac:dyDescent="0.2">
      <c r="A315" t="s">
        <v>3414</v>
      </c>
      <c r="B315" t="s">
        <v>3019</v>
      </c>
      <c r="C315" s="11">
        <v>250000</v>
      </c>
      <c r="D315" t="s">
        <v>1563</v>
      </c>
      <c r="E315" t="s">
        <v>885</v>
      </c>
      <c r="F315" s="4">
        <v>40436</v>
      </c>
      <c r="G315" s="11">
        <v>0</v>
      </c>
      <c r="H315" s="11">
        <v>250000</v>
      </c>
    </row>
    <row r="316" spans="1:8" x14ac:dyDescent="0.2">
      <c r="A316" t="s">
        <v>3632</v>
      </c>
      <c r="B316" t="s">
        <v>3633</v>
      </c>
      <c r="C316" s="11">
        <v>250000</v>
      </c>
      <c r="D316" t="s">
        <v>1563</v>
      </c>
      <c r="E316" t="s">
        <v>885</v>
      </c>
      <c r="F316" s="4">
        <v>40532</v>
      </c>
      <c r="G316" s="11">
        <v>0</v>
      </c>
      <c r="H316" s="11">
        <v>250000</v>
      </c>
    </row>
    <row r="317" spans="1:8" x14ac:dyDescent="0.2">
      <c r="A317" t="s">
        <v>3415</v>
      </c>
      <c r="B317" t="s">
        <v>3035</v>
      </c>
      <c r="C317" s="11">
        <v>5000000</v>
      </c>
      <c r="D317" t="s">
        <v>1563</v>
      </c>
      <c r="E317" t="s">
        <v>3031</v>
      </c>
      <c r="F317" s="4">
        <v>40487</v>
      </c>
      <c r="G317" s="11">
        <v>0</v>
      </c>
      <c r="H317" s="11">
        <v>5000000</v>
      </c>
    </row>
    <row r="318" spans="1:8" x14ac:dyDescent="0.2">
      <c r="A318" t="s">
        <v>3416</v>
      </c>
      <c r="B318" t="s">
        <v>3034</v>
      </c>
      <c r="C318" s="11">
        <v>5000000</v>
      </c>
      <c r="D318" t="s">
        <v>1563</v>
      </c>
      <c r="E318" t="s">
        <v>3031</v>
      </c>
      <c r="F318" s="4">
        <v>40487</v>
      </c>
      <c r="G318" s="11">
        <v>4875000</v>
      </c>
      <c r="H318" s="11">
        <v>125000</v>
      </c>
    </row>
    <row r="319" spans="1:8" x14ac:dyDescent="0.2">
      <c r="A319" t="s">
        <v>3417</v>
      </c>
      <c r="B319" t="s">
        <v>3017</v>
      </c>
      <c r="C319" s="11">
        <v>500000</v>
      </c>
      <c r="D319" t="s">
        <v>1563</v>
      </c>
      <c r="E319" t="s">
        <v>888</v>
      </c>
      <c r="F319" s="4">
        <v>40436</v>
      </c>
      <c r="G319" s="11">
        <v>0</v>
      </c>
      <c r="H319" s="11">
        <v>500000</v>
      </c>
    </row>
    <row r="320" spans="1:8" x14ac:dyDescent="0.2">
      <c r="A320" t="s">
        <v>3418</v>
      </c>
      <c r="B320" t="s">
        <v>3022</v>
      </c>
      <c r="C320" s="11">
        <v>250000</v>
      </c>
      <c r="D320" t="s">
        <v>1563</v>
      </c>
      <c r="E320" t="s">
        <v>444</v>
      </c>
      <c r="F320" s="4">
        <v>40463</v>
      </c>
      <c r="G320" s="11">
        <v>0</v>
      </c>
      <c r="H320" s="11">
        <v>250000</v>
      </c>
    </row>
    <row r="321" spans="1:8" x14ac:dyDescent="0.2">
      <c r="A321" t="s">
        <v>4062</v>
      </c>
      <c r="B321" t="s">
        <v>3023</v>
      </c>
      <c r="C321" s="11">
        <v>250000</v>
      </c>
      <c r="D321" t="s">
        <v>1563</v>
      </c>
      <c r="E321" t="s">
        <v>444</v>
      </c>
      <c r="F321" s="4">
        <v>40463</v>
      </c>
      <c r="G321" s="11">
        <v>0</v>
      </c>
      <c r="H321" s="11">
        <v>250000</v>
      </c>
    </row>
    <row r="322" spans="1:8" x14ac:dyDescent="0.2">
      <c r="A322" t="s">
        <v>4328</v>
      </c>
      <c r="B322" t="s">
        <v>3024</v>
      </c>
      <c r="C322" s="11">
        <v>500000</v>
      </c>
      <c r="D322" t="s">
        <v>1563</v>
      </c>
      <c r="E322" t="s">
        <v>888</v>
      </c>
      <c r="F322" s="4">
        <v>40463</v>
      </c>
      <c r="G322" s="11">
        <v>0</v>
      </c>
      <c r="H322" s="11">
        <v>500000</v>
      </c>
    </row>
    <row r="323" spans="1:8" x14ac:dyDescent="0.2">
      <c r="A323" t="s">
        <v>4247</v>
      </c>
      <c r="B323" t="s">
        <v>3018</v>
      </c>
      <c r="C323" s="11">
        <v>250000</v>
      </c>
      <c r="D323" t="s">
        <v>1563</v>
      </c>
      <c r="E323" t="s">
        <v>444</v>
      </c>
      <c r="F323" s="4">
        <v>40436</v>
      </c>
      <c r="G323" s="11">
        <v>0</v>
      </c>
      <c r="H323" s="11">
        <v>250000</v>
      </c>
    </row>
    <row r="324" spans="1:8" x14ac:dyDescent="0.2">
      <c r="A324" t="s">
        <v>4248</v>
      </c>
      <c r="B324" t="s">
        <v>2837</v>
      </c>
      <c r="C324" s="11">
        <v>250000</v>
      </c>
      <c r="D324" t="s">
        <v>1563</v>
      </c>
      <c r="E324" t="s">
        <v>888</v>
      </c>
      <c r="F324" s="4">
        <v>40325</v>
      </c>
      <c r="G324" s="11">
        <v>0</v>
      </c>
      <c r="H324" s="11">
        <v>250000</v>
      </c>
    </row>
    <row r="325" spans="1:8" x14ac:dyDescent="0.2">
      <c r="A325" t="s">
        <v>4249</v>
      </c>
      <c r="B325" t="s">
        <v>3036</v>
      </c>
      <c r="C325" s="11">
        <v>250000</v>
      </c>
      <c r="D325" t="s">
        <v>1563</v>
      </c>
      <c r="E325" t="s">
        <v>888</v>
      </c>
      <c r="F325" s="4">
        <v>40472</v>
      </c>
      <c r="G325" s="11">
        <v>436420</v>
      </c>
      <c r="H325" s="11">
        <v>-186420</v>
      </c>
    </row>
    <row r="326" spans="1:8" x14ac:dyDescent="0.2">
      <c r="A326" t="s">
        <v>4250</v>
      </c>
      <c r="B326" t="s">
        <v>3634</v>
      </c>
      <c r="C326" s="11">
        <v>250000</v>
      </c>
      <c r="D326" t="s">
        <v>1563</v>
      </c>
      <c r="E326" t="s">
        <v>888</v>
      </c>
      <c r="F326" s="4">
        <v>40532</v>
      </c>
      <c r="G326" s="11">
        <v>0</v>
      </c>
      <c r="H326" s="11">
        <v>250000</v>
      </c>
    </row>
    <row r="327" spans="1:8" x14ac:dyDescent="0.2">
      <c r="A327" t="s">
        <v>4251</v>
      </c>
      <c r="B327" t="s">
        <v>3037</v>
      </c>
      <c r="C327" s="11">
        <v>500000</v>
      </c>
      <c r="D327" t="s">
        <v>1563</v>
      </c>
      <c r="E327" t="s">
        <v>516</v>
      </c>
      <c r="F327" s="4">
        <v>40472</v>
      </c>
      <c r="G327" s="11">
        <v>487500</v>
      </c>
      <c r="H327" s="11">
        <v>12500</v>
      </c>
    </row>
    <row r="328" spans="1:8" x14ac:dyDescent="0.2">
      <c r="A328" t="s">
        <v>4154</v>
      </c>
      <c r="B328" t="s">
        <v>3420</v>
      </c>
      <c r="C328" s="11">
        <v>500000</v>
      </c>
      <c r="D328" t="s">
        <v>1563</v>
      </c>
      <c r="E328" t="s">
        <v>3031</v>
      </c>
      <c r="F328" s="4">
        <v>40504</v>
      </c>
      <c r="G328" s="11">
        <v>0</v>
      </c>
      <c r="H328" s="11">
        <v>500000</v>
      </c>
    </row>
    <row r="329" spans="1:8" x14ac:dyDescent="0.2">
      <c r="A329" t="s">
        <v>4098</v>
      </c>
      <c r="B329" t="s">
        <v>3421</v>
      </c>
      <c r="C329" s="11">
        <v>2000000</v>
      </c>
      <c r="D329" t="s">
        <v>1563</v>
      </c>
      <c r="E329" t="s">
        <v>3031</v>
      </c>
      <c r="F329" s="4">
        <v>40504</v>
      </c>
      <c r="G329" s="11">
        <v>0</v>
      </c>
      <c r="H329" s="11">
        <v>2000000</v>
      </c>
    </row>
    <row r="330" spans="1:8" x14ac:dyDescent="0.2">
      <c r="A330" t="s">
        <v>4329</v>
      </c>
      <c r="B330" t="s">
        <v>3033</v>
      </c>
      <c r="C330" s="11">
        <v>3000000</v>
      </c>
      <c r="D330" t="s">
        <v>1563</v>
      </c>
      <c r="E330" t="s">
        <v>3031</v>
      </c>
      <c r="F330" s="4">
        <v>40487</v>
      </c>
      <c r="G330" s="11">
        <v>259857</v>
      </c>
      <c r="H330" s="11">
        <v>2740143</v>
      </c>
    </row>
    <row r="331" spans="1:8" x14ac:dyDescent="0.2">
      <c r="A331" t="s">
        <v>4330</v>
      </c>
      <c r="B331" t="s">
        <v>2103</v>
      </c>
      <c r="C331" s="11">
        <v>250000</v>
      </c>
      <c r="D331" t="s">
        <v>1563</v>
      </c>
      <c r="E331" t="s">
        <v>444</v>
      </c>
      <c r="F331" s="4">
        <v>39930</v>
      </c>
      <c r="G331" s="11">
        <v>0</v>
      </c>
      <c r="H331" s="11">
        <v>250000</v>
      </c>
    </row>
    <row r="332" spans="1:8" x14ac:dyDescent="0.2">
      <c r="A332" t="s">
        <v>4252</v>
      </c>
      <c r="B332" t="s">
        <v>3636</v>
      </c>
      <c r="C332" s="11">
        <v>3000000</v>
      </c>
      <c r="D332" t="s">
        <v>1563</v>
      </c>
      <c r="E332" t="s">
        <v>3031</v>
      </c>
      <c r="F332" s="4">
        <v>40511</v>
      </c>
      <c r="G332" s="11">
        <v>0</v>
      </c>
      <c r="H332" s="11">
        <v>3000000</v>
      </c>
    </row>
    <row r="333" spans="1:8" x14ac:dyDescent="0.2">
      <c r="A333" t="s">
        <v>4155</v>
      </c>
      <c r="B333" t="s">
        <v>3648</v>
      </c>
      <c r="C333" s="11">
        <v>750000</v>
      </c>
      <c r="D333" t="s">
        <v>1563</v>
      </c>
      <c r="E333" t="s">
        <v>888</v>
      </c>
      <c r="F333" s="4">
        <v>40532</v>
      </c>
      <c r="G333" s="11">
        <v>0</v>
      </c>
      <c r="H333" s="11">
        <v>750000</v>
      </c>
    </row>
    <row r="334" spans="1:8" x14ac:dyDescent="0.2">
      <c r="A334" t="s">
        <v>4156</v>
      </c>
      <c r="B334" t="s">
        <v>3025</v>
      </c>
      <c r="C334" s="11">
        <v>250000</v>
      </c>
      <c r="D334" t="s">
        <v>1563</v>
      </c>
      <c r="E334" t="s">
        <v>2107</v>
      </c>
      <c r="F334" s="4">
        <v>40463</v>
      </c>
      <c r="G334" s="11">
        <v>0</v>
      </c>
      <c r="H334" s="11">
        <v>250000</v>
      </c>
    </row>
    <row r="335" spans="1:8" x14ac:dyDescent="0.2">
      <c r="A335" t="s">
        <v>4099</v>
      </c>
      <c r="B335" t="s">
        <v>3643</v>
      </c>
      <c r="C335" s="11">
        <v>250000</v>
      </c>
      <c r="D335" t="s">
        <v>1563</v>
      </c>
      <c r="E335" t="s">
        <v>3031</v>
      </c>
      <c r="F335" s="4">
        <v>40515</v>
      </c>
      <c r="G335" s="11">
        <v>0</v>
      </c>
      <c r="H335" s="11">
        <v>250000</v>
      </c>
    </row>
    <row r="336" spans="1:8" x14ac:dyDescent="0.2">
      <c r="A336" t="s">
        <v>4253</v>
      </c>
      <c r="B336" t="s">
        <v>3646</v>
      </c>
      <c r="C336" s="11">
        <v>500000</v>
      </c>
      <c r="D336" t="s">
        <v>1563</v>
      </c>
      <c r="E336" t="s">
        <v>888</v>
      </c>
      <c r="F336" s="4">
        <v>40532</v>
      </c>
      <c r="G336" s="11">
        <v>487500</v>
      </c>
      <c r="H336" s="11">
        <v>12500</v>
      </c>
    </row>
    <row r="337" spans="1:8" x14ac:dyDescent="0.2">
      <c r="A337" t="s">
        <v>4100</v>
      </c>
      <c r="B337" t="s">
        <v>2982</v>
      </c>
      <c r="C337" s="11">
        <v>1100000</v>
      </c>
      <c r="D337" t="s">
        <v>1563</v>
      </c>
      <c r="E337" t="s">
        <v>444</v>
      </c>
      <c r="F337" s="4">
        <v>40472</v>
      </c>
      <c r="G337" s="11">
        <v>0</v>
      </c>
      <c r="H337" s="11">
        <v>1100000</v>
      </c>
    </row>
    <row r="338" spans="1:8" x14ac:dyDescent="0.2">
      <c r="A338" t="s">
        <v>4096</v>
      </c>
      <c r="B338" t="s">
        <v>3649</v>
      </c>
      <c r="C338" s="11">
        <v>500000</v>
      </c>
      <c r="D338" t="s">
        <v>1563</v>
      </c>
      <c r="E338" t="s">
        <v>3031</v>
      </c>
      <c r="F338" s="4">
        <v>40532</v>
      </c>
      <c r="G338" s="11">
        <v>487500</v>
      </c>
      <c r="H338" s="11">
        <v>12500</v>
      </c>
    </row>
    <row r="339" spans="1:8" x14ac:dyDescent="0.2">
      <c r="A339" t="s">
        <v>4149</v>
      </c>
      <c r="B339" t="s">
        <v>3654</v>
      </c>
      <c r="C339" s="11">
        <v>400000</v>
      </c>
      <c r="D339" t="s">
        <v>1563</v>
      </c>
      <c r="E339" t="s">
        <v>3031</v>
      </c>
      <c r="F339" s="4">
        <v>40546</v>
      </c>
      <c r="G339" s="11">
        <v>0</v>
      </c>
      <c r="H339" s="11">
        <v>400000</v>
      </c>
    </row>
    <row r="340" spans="1:8" x14ac:dyDescent="0.2">
      <c r="A340" t="s">
        <v>4157</v>
      </c>
      <c r="B340" t="s">
        <v>3641</v>
      </c>
      <c r="C340" s="11">
        <v>500000</v>
      </c>
      <c r="D340" t="s">
        <v>1563</v>
      </c>
      <c r="E340" t="s">
        <v>3031</v>
      </c>
      <c r="F340" s="4">
        <v>40519</v>
      </c>
      <c r="G340" s="11">
        <v>0</v>
      </c>
      <c r="H340" s="11">
        <v>500000</v>
      </c>
    </row>
    <row r="341" spans="1:8" x14ac:dyDescent="0.2">
      <c r="A341" t="s">
        <v>4158</v>
      </c>
      <c r="B341" t="s">
        <v>3642</v>
      </c>
      <c r="C341" s="11">
        <v>250000</v>
      </c>
      <c r="D341" t="s">
        <v>1563</v>
      </c>
      <c r="E341" t="s">
        <v>3031</v>
      </c>
      <c r="F341" s="4">
        <v>40532</v>
      </c>
      <c r="G341" s="11">
        <v>0</v>
      </c>
      <c r="H341" s="11">
        <v>250000</v>
      </c>
    </row>
    <row r="342" spans="1:8" x14ac:dyDescent="0.2">
      <c r="A342" t="s">
        <v>4401</v>
      </c>
      <c r="B342" t="s">
        <v>3652</v>
      </c>
      <c r="C342" s="11">
        <v>500000</v>
      </c>
      <c r="D342" t="s">
        <v>1563</v>
      </c>
      <c r="E342" t="s">
        <v>3031</v>
      </c>
      <c r="F342" s="4">
        <v>40532</v>
      </c>
      <c r="G342" s="11">
        <v>0</v>
      </c>
      <c r="H342" s="11">
        <v>500000</v>
      </c>
    </row>
    <row r="343" spans="1:8" x14ac:dyDescent="0.2">
      <c r="A343" t="s">
        <v>4254</v>
      </c>
      <c r="B343" t="s">
        <v>3651</v>
      </c>
      <c r="C343" s="11">
        <v>500000</v>
      </c>
      <c r="D343" t="s">
        <v>1563</v>
      </c>
      <c r="E343" t="s">
        <v>3031</v>
      </c>
      <c r="F343" s="4">
        <v>40532</v>
      </c>
      <c r="G343" s="11">
        <v>0</v>
      </c>
      <c r="H343" s="11">
        <v>500000</v>
      </c>
    </row>
    <row r="344" spans="1:8" x14ac:dyDescent="0.2">
      <c r="A344" t="s">
        <v>4255</v>
      </c>
      <c r="B344" t="s">
        <v>3650</v>
      </c>
      <c r="C344" s="11">
        <v>750000</v>
      </c>
      <c r="D344" t="s">
        <v>1563</v>
      </c>
      <c r="E344" t="s">
        <v>516</v>
      </c>
      <c r="F344" s="4">
        <v>40532</v>
      </c>
      <c r="G344" s="11">
        <v>0</v>
      </c>
      <c r="H344" s="11">
        <v>750000</v>
      </c>
    </row>
    <row r="345" spans="1:8" x14ac:dyDescent="0.2">
      <c r="A345" t="s">
        <v>4256</v>
      </c>
      <c r="B345" t="s">
        <v>3645</v>
      </c>
      <c r="C345" s="11">
        <v>1500000</v>
      </c>
      <c r="D345" t="s">
        <v>1563</v>
      </c>
      <c r="E345" t="s">
        <v>885</v>
      </c>
      <c r="F345" s="4">
        <v>40532</v>
      </c>
      <c r="G345" s="11">
        <v>0</v>
      </c>
      <c r="H345" s="11">
        <v>1500000</v>
      </c>
    </row>
    <row r="346" spans="1:8" x14ac:dyDescent="0.2">
      <c r="A346" t="s">
        <v>4480</v>
      </c>
      <c r="B346" t="s">
        <v>3637</v>
      </c>
      <c r="C346" s="11">
        <v>250000</v>
      </c>
      <c r="D346" t="s">
        <v>1563</v>
      </c>
      <c r="E346" t="s">
        <v>3031</v>
      </c>
      <c r="F346" s="4">
        <v>40519</v>
      </c>
      <c r="G346" s="11">
        <v>0</v>
      </c>
      <c r="H346" s="11">
        <v>250000</v>
      </c>
    </row>
    <row r="347" spans="1:8" x14ac:dyDescent="0.2">
      <c r="A347" t="s">
        <v>4402</v>
      </c>
      <c r="B347" t="s">
        <v>3640</v>
      </c>
      <c r="C347" s="11">
        <v>250000</v>
      </c>
      <c r="D347" t="s">
        <v>1563</v>
      </c>
      <c r="E347" t="s">
        <v>3031</v>
      </c>
      <c r="F347" s="4">
        <v>40519</v>
      </c>
      <c r="G347" s="11">
        <v>0</v>
      </c>
      <c r="H347" s="11">
        <v>250000</v>
      </c>
    </row>
    <row r="348" spans="1:8" x14ac:dyDescent="0.2">
      <c r="A348" t="s">
        <v>4350</v>
      </c>
      <c r="B348" t="s">
        <v>3644</v>
      </c>
      <c r="C348" s="11">
        <v>3000000</v>
      </c>
      <c r="D348" t="s">
        <v>1563</v>
      </c>
      <c r="E348" t="s">
        <v>885</v>
      </c>
      <c r="F348" s="4">
        <v>40532</v>
      </c>
      <c r="G348" s="11">
        <v>2940000</v>
      </c>
      <c r="H348" s="11">
        <v>60000</v>
      </c>
    </row>
    <row r="349" spans="1:8" x14ac:dyDescent="0.2">
      <c r="A349" t="s">
        <v>4351</v>
      </c>
      <c r="B349" t="s">
        <v>4044</v>
      </c>
      <c r="C349" s="11">
        <v>500000</v>
      </c>
      <c r="D349" t="s">
        <v>1563</v>
      </c>
      <c r="E349" t="s">
        <v>3031</v>
      </c>
      <c r="F349" s="4">
        <v>40557</v>
      </c>
      <c r="G349" s="11">
        <v>0</v>
      </c>
      <c r="H349" s="11">
        <v>500000</v>
      </c>
    </row>
    <row r="350" spans="1:8" x14ac:dyDescent="0.2">
      <c r="A350" t="s">
        <v>4403</v>
      </c>
      <c r="B350" t="s">
        <v>3647</v>
      </c>
      <c r="C350" s="11">
        <v>500000</v>
      </c>
      <c r="D350" t="s">
        <v>1563</v>
      </c>
      <c r="E350" t="s">
        <v>3031</v>
      </c>
      <c r="F350" s="4">
        <v>40532</v>
      </c>
      <c r="G350" s="11">
        <v>0</v>
      </c>
      <c r="H350" s="11">
        <v>500000</v>
      </c>
    </row>
    <row r="351" spans="1:8" x14ac:dyDescent="0.2">
      <c r="A351" t="s">
        <v>4404</v>
      </c>
      <c r="B351" t="s">
        <v>3638</v>
      </c>
      <c r="C351" s="11">
        <v>500000</v>
      </c>
      <c r="D351" t="s">
        <v>1563</v>
      </c>
      <c r="E351" t="s">
        <v>888</v>
      </c>
      <c r="F351" s="4">
        <v>40519</v>
      </c>
      <c r="G351" s="11">
        <v>0</v>
      </c>
      <c r="H351" s="11">
        <v>500000</v>
      </c>
    </row>
    <row r="352" spans="1:8" x14ac:dyDescent="0.2">
      <c r="A352" t="s">
        <v>4405</v>
      </c>
      <c r="B352" t="s">
        <v>3639</v>
      </c>
      <c r="C352" s="11">
        <v>250000</v>
      </c>
      <c r="D352" t="s">
        <v>1563</v>
      </c>
      <c r="E352" t="s">
        <v>888</v>
      </c>
      <c r="F352" s="4">
        <v>40546</v>
      </c>
      <c r="G352" s="11">
        <v>0</v>
      </c>
      <c r="H352" s="11">
        <v>250000</v>
      </c>
    </row>
    <row r="353" spans="1:8" x14ac:dyDescent="0.2">
      <c r="A353" t="s">
        <v>4352</v>
      </c>
      <c r="B353" t="s">
        <v>2551</v>
      </c>
      <c r="C353" s="11">
        <v>250000</v>
      </c>
      <c r="D353" t="s">
        <v>1563</v>
      </c>
      <c r="E353" t="s">
        <v>885</v>
      </c>
      <c r="F353" s="4">
        <v>39793</v>
      </c>
      <c r="G353" s="11">
        <v>0</v>
      </c>
      <c r="H353" s="11">
        <v>250000</v>
      </c>
    </row>
    <row r="354" spans="1:8" x14ac:dyDescent="0.2">
      <c r="A354" t="s">
        <v>4353</v>
      </c>
      <c r="B354" t="s">
        <v>2552</v>
      </c>
      <c r="C354" s="11">
        <v>250000</v>
      </c>
      <c r="D354" t="s">
        <v>1563</v>
      </c>
      <c r="E354" t="s">
        <v>885</v>
      </c>
      <c r="F354" s="4">
        <v>39793</v>
      </c>
      <c r="G354" s="11">
        <v>0</v>
      </c>
      <c r="H354" s="11">
        <v>250000</v>
      </c>
    </row>
    <row r="355" spans="1:8" x14ac:dyDescent="0.2">
      <c r="A355" t="s">
        <v>4354</v>
      </c>
      <c r="B355" t="s">
        <v>1004</v>
      </c>
      <c r="C355" s="11">
        <v>250000</v>
      </c>
      <c r="D355" t="s">
        <v>1563</v>
      </c>
      <c r="E355" t="s">
        <v>885</v>
      </c>
      <c r="F355" s="4">
        <v>39930</v>
      </c>
      <c r="G355" s="11">
        <v>0</v>
      </c>
      <c r="H355" s="11">
        <v>250000</v>
      </c>
    </row>
    <row r="356" spans="1:8" x14ac:dyDescent="0.2">
      <c r="A356" t="s">
        <v>4355</v>
      </c>
      <c r="B356" t="s">
        <v>2065</v>
      </c>
      <c r="C356" s="11">
        <v>250000</v>
      </c>
      <c r="D356" t="s">
        <v>1563</v>
      </c>
      <c r="E356" t="s">
        <v>885</v>
      </c>
      <c r="F356" s="4">
        <v>39930</v>
      </c>
      <c r="G356" s="11">
        <v>0</v>
      </c>
      <c r="H356" s="11">
        <v>250000</v>
      </c>
    </row>
    <row r="357" spans="1:8" x14ac:dyDescent="0.2">
      <c r="A357" t="s">
        <v>4406</v>
      </c>
      <c r="B357" t="s">
        <v>3653</v>
      </c>
      <c r="C357" s="11">
        <v>400000</v>
      </c>
      <c r="D357" t="s">
        <v>1563</v>
      </c>
      <c r="E357" t="s">
        <v>885</v>
      </c>
      <c r="F357" s="4">
        <v>40532</v>
      </c>
      <c r="G357" s="11">
        <v>0</v>
      </c>
      <c r="H357" s="11">
        <v>400000</v>
      </c>
    </row>
    <row r="358" spans="1:8" x14ac:dyDescent="0.2">
      <c r="A358" t="s">
        <v>4451</v>
      </c>
      <c r="B358" t="s">
        <v>3660</v>
      </c>
      <c r="C358" s="11">
        <v>500000</v>
      </c>
      <c r="D358" t="s">
        <v>1563</v>
      </c>
      <c r="E358" t="s">
        <v>3031</v>
      </c>
      <c r="F358" s="4">
        <v>40546</v>
      </c>
      <c r="G358" s="11">
        <v>0</v>
      </c>
      <c r="H358" s="11">
        <v>500000</v>
      </c>
    </row>
    <row r="359" spans="1:8" x14ac:dyDescent="0.2">
      <c r="A359" t="s">
        <v>4356</v>
      </c>
      <c r="B359" t="s">
        <v>3661</v>
      </c>
      <c r="C359" s="11">
        <v>500000</v>
      </c>
      <c r="D359" t="s">
        <v>1563</v>
      </c>
      <c r="E359" t="s">
        <v>3031</v>
      </c>
      <c r="F359" s="4">
        <v>40546</v>
      </c>
      <c r="G359" s="11">
        <v>0</v>
      </c>
      <c r="H359" s="11">
        <v>500000</v>
      </c>
    </row>
    <row r="360" spans="1:8" x14ac:dyDescent="0.2">
      <c r="A360" t="s">
        <v>4407</v>
      </c>
      <c r="B360" t="s">
        <v>3657</v>
      </c>
      <c r="C360" s="11">
        <v>250000</v>
      </c>
      <c r="D360" t="s">
        <v>1563</v>
      </c>
      <c r="E360" t="s">
        <v>3031</v>
      </c>
      <c r="F360" s="4">
        <v>40546</v>
      </c>
      <c r="G360" s="11">
        <v>0</v>
      </c>
      <c r="H360" s="11">
        <v>250000</v>
      </c>
    </row>
    <row r="361" spans="1:8" x14ac:dyDescent="0.2">
      <c r="A361" t="s">
        <v>2702</v>
      </c>
      <c r="B361" t="s">
        <v>654</v>
      </c>
      <c r="C361" s="11">
        <v>0</v>
      </c>
      <c r="D361" t="s">
        <v>1563</v>
      </c>
      <c r="E361" t="s">
        <v>444</v>
      </c>
      <c r="F361" s="4">
        <v>38974</v>
      </c>
      <c r="G361" s="11">
        <v>0</v>
      </c>
      <c r="H361" s="11">
        <v>0</v>
      </c>
    </row>
    <row r="362" spans="1:8" x14ac:dyDescent="0.2">
      <c r="A362" t="s">
        <v>594</v>
      </c>
      <c r="B362" t="s">
        <v>2549</v>
      </c>
      <c r="C362" s="11">
        <v>0</v>
      </c>
      <c r="D362" t="s">
        <v>1563</v>
      </c>
      <c r="E362" t="s">
        <v>885</v>
      </c>
      <c r="F362" s="4">
        <v>39793</v>
      </c>
      <c r="G362" s="11">
        <v>0</v>
      </c>
      <c r="H362" s="11">
        <v>0</v>
      </c>
    </row>
    <row r="363" spans="1:8" x14ac:dyDescent="0.2">
      <c r="A363" t="s">
        <v>2703</v>
      </c>
      <c r="B363" t="s">
        <v>193</v>
      </c>
      <c r="C363" s="11">
        <v>0</v>
      </c>
      <c r="D363" t="s">
        <v>1563</v>
      </c>
      <c r="E363" t="s">
        <v>969</v>
      </c>
      <c r="F363" s="4">
        <v>36454</v>
      </c>
      <c r="G363" s="11">
        <v>0</v>
      </c>
      <c r="H363" s="11">
        <v>0</v>
      </c>
    </row>
    <row r="364" spans="1:8" x14ac:dyDescent="0.2">
      <c r="A364" t="s">
        <v>2704</v>
      </c>
      <c r="B364" t="s">
        <v>194</v>
      </c>
      <c r="C364" s="11">
        <v>0</v>
      </c>
      <c r="D364" t="s">
        <v>1563</v>
      </c>
      <c r="E364" t="s">
        <v>969</v>
      </c>
      <c r="F364" s="4">
        <v>36881</v>
      </c>
      <c r="G364" s="11">
        <v>0</v>
      </c>
      <c r="H364" s="11">
        <v>0</v>
      </c>
    </row>
    <row r="365" spans="1:8" x14ac:dyDescent="0.2">
      <c r="A365" t="s">
        <v>3014</v>
      </c>
      <c r="B365" t="s">
        <v>251</v>
      </c>
      <c r="C365" s="11">
        <v>400000</v>
      </c>
      <c r="D365" t="s">
        <v>1563</v>
      </c>
      <c r="E365" t="s">
        <v>885</v>
      </c>
      <c r="F365" s="4">
        <v>38426</v>
      </c>
      <c r="G365" s="11">
        <v>0</v>
      </c>
      <c r="H365" s="11">
        <v>400000</v>
      </c>
    </row>
    <row r="366" spans="1:8" x14ac:dyDescent="0.2">
      <c r="A366" t="s">
        <v>3422</v>
      </c>
      <c r="B366" t="s">
        <v>3423</v>
      </c>
      <c r="C366" s="11">
        <v>0</v>
      </c>
      <c r="D366" t="s">
        <v>1563</v>
      </c>
      <c r="E366" t="s">
        <v>3031</v>
      </c>
      <c r="F366" s="4">
        <v>40500</v>
      </c>
      <c r="G366" s="11">
        <v>0</v>
      </c>
      <c r="H366" s="11">
        <v>0</v>
      </c>
    </row>
    <row r="367" spans="1:8" x14ac:dyDescent="0.2">
      <c r="A367" t="s">
        <v>3655</v>
      </c>
      <c r="B367" t="s">
        <v>3656</v>
      </c>
      <c r="C367" s="11">
        <v>375000</v>
      </c>
      <c r="D367" t="s">
        <v>1563</v>
      </c>
      <c r="E367" t="s">
        <v>3031</v>
      </c>
      <c r="F367" s="4">
        <v>40546</v>
      </c>
      <c r="G367" s="11">
        <v>0</v>
      </c>
      <c r="H367" s="11">
        <v>375000</v>
      </c>
    </row>
    <row r="368" spans="1:8" x14ac:dyDescent="0.2">
      <c r="A368" t="s">
        <v>3658</v>
      </c>
      <c r="B368" t="s">
        <v>3659</v>
      </c>
      <c r="C368" s="11">
        <v>500000</v>
      </c>
      <c r="D368" t="s">
        <v>1563</v>
      </c>
      <c r="E368" t="s">
        <v>888</v>
      </c>
      <c r="F368" s="4">
        <v>40546</v>
      </c>
      <c r="G368" s="11">
        <v>0</v>
      </c>
      <c r="H368" s="11">
        <v>500000</v>
      </c>
    </row>
    <row r="369" spans="1:8" x14ac:dyDescent="0.2">
      <c r="A369" t="s">
        <v>4500</v>
      </c>
      <c r="B369" t="s">
        <v>4501</v>
      </c>
      <c r="C369" s="11">
        <v>15000000</v>
      </c>
      <c r="D369" t="s">
        <v>1563</v>
      </c>
      <c r="E369" t="s">
        <v>516</v>
      </c>
      <c r="F369" s="4">
        <v>41316</v>
      </c>
      <c r="G369" s="11">
        <v>0</v>
      </c>
      <c r="H369" s="11">
        <v>15000000</v>
      </c>
    </row>
    <row r="370" spans="1:8" x14ac:dyDescent="0.2">
      <c r="A370" t="s">
        <v>4502</v>
      </c>
      <c r="B370" t="s">
        <v>4503</v>
      </c>
      <c r="C370" s="11">
        <v>4000000</v>
      </c>
      <c r="D370" t="s">
        <v>1563</v>
      </c>
      <c r="E370" t="s">
        <v>888</v>
      </c>
      <c r="F370" s="4">
        <v>41316</v>
      </c>
      <c r="G370" s="11">
        <v>0</v>
      </c>
      <c r="H370" s="11">
        <v>4000000</v>
      </c>
    </row>
    <row r="371" spans="1:8" x14ac:dyDescent="0.2">
      <c r="A371" t="s">
        <v>4504</v>
      </c>
      <c r="B371" t="s">
        <v>4505</v>
      </c>
      <c r="C371" s="11">
        <v>4000000</v>
      </c>
      <c r="D371" t="s">
        <v>1563</v>
      </c>
      <c r="E371" t="s">
        <v>516</v>
      </c>
      <c r="F371" s="4">
        <v>41316</v>
      </c>
      <c r="G371" s="11">
        <v>0</v>
      </c>
      <c r="H371" s="11">
        <v>4000000</v>
      </c>
    </row>
    <row r="372" spans="1:8" x14ac:dyDescent="0.2">
      <c r="A372" t="s">
        <v>4506</v>
      </c>
      <c r="B372" t="s">
        <v>4507</v>
      </c>
      <c r="C372" s="11">
        <v>2000000</v>
      </c>
      <c r="D372" t="s">
        <v>1563</v>
      </c>
      <c r="E372" t="s">
        <v>3031</v>
      </c>
      <c r="F372" s="4">
        <v>41316</v>
      </c>
      <c r="G372" s="11">
        <v>0</v>
      </c>
      <c r="H372" s="11">
        <v>2000000</v>
      </c>
    </row>
    <row r="373" spans="1:8" x14ac:dyDescent="0.2">
      <c r="A373" t="s">
        <v>4508</v>
      </c>
      <c r="B373" t="s">
        <v>4509</v>
      </c>
      <c r="C373" s="11">
        <v>2000000</v>
      </c>
      <c r="D373" t="s">
        <v>1563</v>
      </c>
      <c r="E373" t="s">
        <v>1755</v>
      </c>
      <c r="F373" s="4">
        <v>41316</v>
      </c>
      <c r="G373" s="11">
        <v>0</v>
      </c>
      <c r="H373" s="11">
        <v>2000000</v>
      </c>
    </row>
    <row r="374" spans="1:8" x14ac:dyDescent="0.2">
      <c r="A374" t="s">
        <v>4561</v>
      </c>
      <c r="B374" t="s">
        <v>4562</v>
      </c>
      <c r="C374" s="11">
        <v>500000</v>
      </c>
      <c r="D374" t="s">
        <v>1563</v>
      </c>
      <c r="E374" t="s">
        <v>444</v>
      </c>
      <c r="F374" s="4">
        <v>41316</v>
      </c>
      <c r="G374" s="11">
        <v>0</v>
      </c>
      <c r="H374" s="11">
        <v>500000</v>
      </c>
    </row>
    <row r="375" spans="1:8" x14ac:dyDescent="0.2">
      <c r="A375" t="s">
        <v>3038</v>
      </c>
      <c r="B375" t="s">
        <v>195</v>
      </c>
      <c r="C375" s="11">
        <v>0</v>
      </c>
      <c r="D375" t="s">
        <v>1563</v>
      </c>
      <c r="E375" t="s">
        <v>885</v>
      </c>
      <c r="F375" s="4">
        <v>38218</v>
      </c>
      <c r="G375" s="11">
        <v>0</v>
      </c>
      <c r="H375" s="11">
        <v>0</v>
      </c>
    </row>
    <row r="376" spans="1:8" x14ac:dyDescent="0.2">
      <c r="A376" t="s">
        <v>3039</v>
      </c>
      <c r="B376" t="s">
        <v>205</v>
      </c>
      <c r="C376" s="11">
        <v>0</v>
      </c>
      <c r="D376" t="s">
        <v>1563</v>
      </c>
      <c r="E376" t="s">
        <v>516</v>
      </c>
      <c r="F376" s="4">
        <v>37655</v>
      </c>
      <c r="G376" s="11">
        <v>0</v>
      </c>
      <c r="H376" s="11">
        <v>0</v>
      </c>
    </row>
    <row r="377" spans="1:8" x14ac:dyDescent="0.2">
      <c r="A377" t="s">
        <v>3040</v>
      </c>
      <c r="B377" t="s">
        <v>383</v>
      </c>
      <c r="C377" s="11">
        <v>0</v>
      </c>
      <c r="D377" t="s">
        <v>1563</v>
      </c>
      <c r="E377" t="s">
        <v>888</v>
      </c>
      <c r="F377" s="4">
        <v>39863</v>
      </c>
      <c r="G377" s="11">
        <v>0</v>
      </c>
      <c r="H377" s="11">
        <v>0</v>
      </c>
    </row>
    <row r="378" spans="1:8" x14ac:dyDescent="0.2">
      <c r="A378" t="s">
        <v>4063</v>
      </c>
      <c r="B378" t="s">
        <v>2706</v>
      </c>
      <c r="C378" s="11">
        <v>0</v>
      </c>
      <c r="D378" t="s">
        <v>1563</v>
      </c>
      <c r="E378" t="s">
        <v>885</v>
      </c>
      <c r="F378" s="4">
        <v>40260</v>
      </c>
      <c r="G378" s="11">
        <v>0</v>
      </c>
      <c r="H378" s="11">
        <v>0</v>
      </c>
    </row>
    <row r="379" spans="1:8" x14ac:dyDescent="0.2">
      <c r="A379" t="s">
        <v>4159</v>
      </c>
      <c r="B379" t="s">
        <v>435</v>
      </c>
      <c r="C379" s="11">
        <v>0</v>
      </c>
      <c r="D379" t="s">
        <v>1563</v>
      </c>
      <c r="E379" t="s">
        <v>516</v>
      </c>
      <c r="F379" s="4">
        <v>38218</v>
      </c>
      <c r="G379" s="11">
        <v>0</v>
      </c>
      <c r="H379" s="11">
        <v>0</v>
      </c>
    </row>
    <row r="380" spans="1:8" x14ac:dyDescent="0.2">
      <c r="A380" t="s">
        <v>4160</v>
      </c>
      <c r="B380" t="s">
        <v>2669</v>
      </c>
      <c r="C380" s="11">
        <v>0</v>
      </c>
      <c r="D380" t="s">
        <v>1563</v>
      </c>
      <c r="E380" t="s">
        <v>2107</v>
      </c>
      <c r="F380" s="4">
        <v>38079</v>
      </c>
      <c r="G380" s="11">
        <v>0</v>
      </c>
      <c r="H380" s="11">
        <v>0</v>
      </c>
    </row>
    <row r="381" spans="1:8" x14ac:dyDescent="0.2">
      <c r="A381" t="s">
        <v>4161</v>
      </c>
      <c r="B381" t="s">
        <v>1289</v>
      </c>
      <c r="C381" s="11">
        <v>0</v>
      </c>
      <c r="D381" t="s">
        <v>1563</v>
      </c>
      <c r="E381" t="s">
        <v>313</v>
      </c>
      <c r="F381" s="4">
        <v>38524</v>
      </c>
      <c r="G381" s="11">
        <v>0</v>
      </c>
      <c r="H381" s="11">
        <v>0</v>
      </c>
    </row>
    <row r="382" spans="1:8" x14ac:dyDescent="0.2">
      <c r="A382" t="s">
        <v>4357</v>
      </c>
      <c r="B382" t="s">
        <v>3635</v>
      </c>
      <c r="C382" s="11">
        <v>0</v>
      </c>
      <c r="D382" t="s">
        <v>1563</v>
      </c>
      <c r="E382" t="s">
        <v>888</v>
      </c>
      <c r="F382" s="4">
        <v>40532</v>
      </c>
      <c r="G382" s="11">
        <v>0</v>
      </c>
      <c r="H382" s="11">
        <v>0</v>
      </c>
    </row>
    <row r="383" spans="1:8" x14ac:dyDescent="0.2">
      <c r="A383" t="s">
        <v>699</v>
      </c>
      <c r="B383" t="s">
        <v>700</v>
      </c>
      <c r="C383" s="11">
        <v>3000000</v>
      </c>
      <c r="D383" t="s">
        <v>701</v>
      </c>
      <c r="E383" t="s">
        <v>969</v>
      </c>
      <c r="F383" s="4">
        <v>36878</v>
      </c>
      <c r="G383" s="11">
        <v>3000000</v>
      </c>
      <c r="H383" s="11">
        <v>0</v>
      </c>
    </row>
    <row r="384" spans="1:8" x14ac:dyDescent="0.2">
      <c r="A384" t="s">
        <v>702</v>
      </c>
      <c r="B384" t="s">
        <v>703</v>
      </c>
      <c r="C384" s="11">
        <v>1000000</v>
      </c>
      <c r="D384" t="s">
        <v>701</v>
      </c>
      <c r="E384" t="s">
        <v>516</v>
      </c>
      <c r="F384" s="4">
        <v>37833</v>
      </c>
      <c r="G384" s="11">
        <v>1000000</v>
      </c>
      <c r="H384" s="11">
        <v>0</v>
      </c>
    </row>
    <row r="385" spans="1:8" x14ac:dyDescent="0.2">
      <c r="A385" t="s">
        <v>2369</v>
      </c>
      <c r="B385" t="s">
        <v>2370</v>
      </c>
      <c r="C385" s="11">
        <v>950000</v>
      </c>
      <c r="D385" t="s">
        <v>701</v>
      </c>
      <c r="E385" t="s">
        <v>969</v>
      </c>
      <c r="F385" s="4">
        <v>37587</v>
      </c>
      <c r="G385" s="11">
        <v>950000</v>
      </c>
      <c r="H385" s="11">
        <v>0</v>
      </c>
    </row>
    <row r="386" spans="1:8" x14ac:dyDescent="0.2">
      <c r="A386" t="s">
        <v>2489</v>
      </c>
      <c r="B386" t="s">
        <v>1823</v>
      </c>
      <c r="C386" s="11">
        <v>500000</v>
      </c>
      <c r="D386" t="s">
        <v>701</v>
      </c>
      <c r="E386" t="s">
        <v>885</v>
      </c>
      <c r="F386" s="4">
        <v>38260</v>
      </c>
      <c r="G386" s="11">
        <v>500000</v>
      </c>
      <c r="H386" s="11">
        <v>0</v>
      </c>
    </row>
    <row r="387" spans="1:8" x14ac:dyDescent="0.2">
      <c r="A387" t="s">
        <v>950</v>
      </c>
      <c r="B387" t="s">
        <v>407</v>
      </c>
      <c r="C387" s="11">
        <v>1500000</v>
      </c>
      <c r="D387" t="s">
        <v>701</v>
      </c>
      <c r="E387" t="s">
        <v>885</v>
      </c>
      <c r="F387" s="4">
        <v>39329</v>
      </c>
      <c r="G387" s="11">
        <v>498136</v>
      </c>
      <c r="H387" s="11">
        <v>1001864</v>
      </c>
    </row>
    <row r="388" spans="1:8" x14ac:dyDescent="0.2">
      <c r="A388" t="s">
        <v>850</v>
      </c>
      <c r="B388" t="s">
        <v>1498</v>
      </c>
      <c r="C388" s="11">
        <v>2000000</v>
      </c>
      <c r="D388" t="s">
        <v>701</v>
      </c>
      <c r="E388" t="s">
        <v>516</v>
      </c>
      <c r="F388" s="4">
        <v>39349</v>
      </c>
      <c r="G388" s="11">
        <v>2000000</v>
      </c>
      <c r="H388" s="11">
        <v>0</v>
      </c>
    </row>
    <row r="389" spans="1:8" x14ac:dyDescent="0.2">
      <c r="A389" t="s">
        <v>4162</v>
      </c>
      <c r="B389" t="s">
        <v>3664</v>
      </c>
      <c r="C389" s="11">
        <v>1250000</v>
      </c>
      <c r="D389" t="s">
        <v>701</v>
      </c>
      <c r="E389" t="s">
        <v>3031</v>
      </c>
      <c r="F389" s="4">
        <v>40546</v>
      </c>
      <c r="G389" s="11">
        <v>0</v>
      </c>
      <c r="H389" s="11">
        <v>1250000</v>
      </c>
    </row>
    <row r="390" spans="1:8" x14ac:dyDescent="0.2">
      <c r="A390" t="s">
        <v>4163</v>
      </c>
      <c r="B390" t="s">
        <v>3662</v>
      </c>
      <c r="C390" s="11">
        <v>1000000</v>
      </c>
      <c r="D390" t="s">
        <v>701</v>
      </c>
      <c r="E390" t="s">
        <v>3031</v>
      </c>
      <c r="F390" s="4">
        <v>40546</v>
      </c>
      <c r="G390" s="11">
        <v>0</v>
      </c>
      <c r="H390" s="11">
        <v>1000000</v>
      </c>
    </row>
    <row r="391" spans="1:8" x14ac:dyDescent="0.2">
      <c r="A391" t="s">
        <v>4164</v>
      </c>
      <c r="B391" t="s">
        <v>3663</v>
      </c>
      <c r="C391" s="11">
        <v>500000</v>
      </c>
      <c r="D391" t="s">
        <v>701</v>
      </c>
      <c r="E391" t="s">
        <v>3031</v>
      </c>
      <c r="F391" s="4">
        <v>40553</v>
      </c>
      <c r="G391" s="11">
        <v>0</v>
      </c>
      <c r="H391" s="11">
        <v>500000</v>
      </c>
    </row>
    <row r="392" spans="1:8" x14ac:dyDescent="0.2">
      <c r="A392" t="s">
        <v>4510</v>
      </c>
      <c r="B392" t="s">
        <v>4511</v>
      </c>
      <c r="C392" s="11">
        <v>950000</v>
      </c>
      <c r="D392" t="s">
        <v>701</v>
      </c>
      <c r="E392" t="s">
        <v>3031</v>
      </c>
      <c r="F392" s="4">
        <v>41316</v>
      </c>
      <c r="G392" s="11">
        <v>0</v>
      </c>
      <c r="H392" s="11">
        <v>950000</v>
      </c>
    </row>
    <row r="393" spans="1:8" x14ac:dyDescent="0.2">
      <c r="A393" t="s">
        <v>346</v>
      </c>
      <c r="B393" t="s">
        <v>347</v>
      </c>
      <c r="C393" s="11">
        <v>1197505</v>
      </c>
      <c r="D393" t="s">
        <v>348</v>
      </c>
      <c r="E393" t="s">
        <v>1560</v>
      </c>
      <c r="F393" s="4">
        <v>34151</v>
      </c>
      <c r="G393" s="11">
        <v>1197505</v>
      </c>
      <c r="H393" s="11">
        <v>0</v>
      </c>
    </row>
    <row r="394" spans="1:8" x14ac:dyDescent="0.2">
      <c r="A394" t="s">
        <v>1292</v>
      </c>
      <c r="B394" t="s">
        <v>347</v>
      </c>
      <c r="C394" s="11">
        <v>2002495</v>
      </c>
      <c r="D394" t="s">
        <v>348</v>
      </c>
      <c r="E394" t="s">
        <v>1560</v>
      </c>
      <c r="F394" s="4">
        <v>34151</v>
      </c>
      <c r="G394" s="11">
        <v>2002495</v>
      </c>
      <c r="H394" s="11">
        <v>0</v>
      </c>
    </row>
    <row r="395" spans="1:8" x14ac:dyDescent="0.2">
      <c r="A395" t="s">
        <v>554</v>
      </c>
      <c r="B395" t="s">
        <v>555</v>
      </c>
      <c r="C395" s="11">
        <v>3750000</v>
      </c>
      <c r="D395" t="s">
        <v>348</v>
      </c>
      <c r="E395" t="s">
        <v>1710</v>
      </c>
      <c r="F395" s="4">
        <v>35958</v>
      </c>
      <c r="G395" s="11">
        <v>3750000</v>
      </c>
      <c r="H395" s="11">
        <v>0</v>
      </c>
    </row>
    <row r="396" spans="1:8" x14ac:dyDescent="0.2">
      <c r="A396" t="s">
        <v>556</v>
      </c>
      <c r="B396" t="s">
        <v>557</v>
      </c>
      <c r="C396" s="11">
        <v>1250000</v>
      </c>
      <c r="D396" t="s">
        <v>348</v>
      </c>
      <c r="E396" t="s">
        <v>1710</v>
      </c>
      <c r="F396" s="4">
        <v>38259</v>
      </c>
      <c r="G396" s="11">
        <v>1250000</v>
      </c>
      <c r="H396" s="11">
        <v>0</v>
      </c>
    </row>
    <row r="397" spans="1:8" x14ac:dyDescent="0.2">
      <c r="A397" t="s">
        <v>1999</v>
      </c>
      <c r="B397" t="s">
        <v>2000</v>
      </c>
      <c r="C397" s="11">
        <v>1500000</v>
      </c>
      <c r="D397" t="s">
        <v>348</v>
      </c>
      <c r="E397" t="s">
        <v>2107</v>
      </c>
      <c r="F397" s="4">
        <v>36865</v>
      </c>
      <c r="G397" s="11">
        <v>1500000</v>
      </c>
      <c r="H397" s="11">
        <v>0</v>
      </c>
    </row>
    <row r="398" spans="1:8" x14ac:dyDescent="0.2">
      <c r="A398" t="s">
        <v>2048</v>
      </c>
      <c r="B398" t="s">
        <v>2049</v>
      </c>
      <c r="C398" s="11">
        <v>1500000</v>
      </c>
      <c r="D398" t="s">
        <v>348</v>
      </c>
      <c r="E398" t="s">
        <v>969</v>
      </c>
      <c r="F398" s="4">
        <v>36878</v>
      </c>
      <c r="G398" s="11">
        <v>1451056</v>
      </c>
      <c r="H398" s="11">
        <v>48944</v>
      </c>
    </row>
    <row r="399" spans="1:8" x14ac:dyDescent="0.2">
      <c r="A399" t="s">
        <v>2461</v>
      </c>
      <c r="B399" t="s">
        <v>2462</v>
      </c>
      <c r="C399" s="11">
        <v>1500000</v>
      </c>
      <c r="D399" t="s">
        <v>348</v>
      </c>
      <c r="E399" t="s">
        <v>516</v>
      </c>
      <c r="F399" s="4">
        <v>38408</v>
      </c>
      <c r="G399" s="11">
        <v>1500000</v>
      </c>
      <c r="H399" s="11">
        <v>0</v>
      </c>
    </row>
    <row r="400" spans="1:8" x14ac:dyDescent="0.2">
      <c r="A400" t="s">
        <v>2463</v>
      </c>
      <c r="B400" t="s">
        <v>2464</v>
      </c>
      <c r="C400" s="11">
        <v>2000000</v>
      </c>
      <c r="D400" t="s">
        <v>348</v>
      </c>
      <c r="E400" t="s">
        <v>516</v>
      </c>
      <c r="F400" s="4">
        <v>38602</v>
      </c>
      <c r="G400" s="11">
        <v>2000000</v>
      </c>
      <c r="H400" s="11">
        <v>0</v>
      </c>
    </row>
    <row r="401" spans="1:8" x14ac:dyDescent="0.2">
      <c r="A401" t="s">
        <v>1293</v>
      </c>
      <c r="B401" t="s">
        <v>1294</v>
      </c>
      <c r="C401" s="11">
        <v>4000000</v>
      </c>
      <c r="D401" t="s">
        <v>348</v>
      </c>
      <c r="E401" t="s">
        <v>885</v>
      </c>
      <c r="F401" s="4">
        <v>38813</v>
      </c>
      <c r="G401" s="11">
        <v>4000000</v>
      </c>
      <c r="H401" s="11">
        <v>0</v>
      </c>
    </row>
    <row r="402" spans="1:8" x14ac:dyDescent="0.2">
      <c r="A402" t="s">
        <v>161</v>
      </c>
      <c r="B402" t="s">
        <v>162</v>
      </c>
      <c r="C402" s="11">
        <v>500000</v>
      </c>
      <c r="D402" t="s">
        <v>348</v>
      </c>
      <c r="E402" t="s">
        <v>885</v>
      </c>
      <c r="F402" s="4">
        <v>38601</v>
      </c>
      <c r="G402" s="11">
        <v>500000</v>
      </c>
      <c r="H402" s="11">
        <v>0</v>
      </c>
    </row>
    <row r="403" spans="1:8" x14ac:dyDescent="0.2">
      <c r="A403" t="s">
        <v>1872</v>
      </c>
      <c r="B403" t="s">
        <v>1873</v>
      </c>
      <c r="C403" s="11">
        <v>3000000</v>
      </c>
      <c r="D403" t="s">
        <v>348</v>
      </c>
      <c r="E403" t="s">
        <v>885</v>
      </c>
      <c r="F403" s="4">
        <v>38874</v>
      </c>
      <c r="G403" s="11">
        <v>3000000</v>
      </c>
      <c r="H403" s="11">
        <v>0</v>
      </c>
    </row>
    <row r="404" spans="1:8" x14ac:dyDescent="0.2">
      <c r="A404" t="s">
        <v>3041</v>
      </c>
      <c r="B404" t="s">
        <v>3042</v>
      </c>
      <c r="C404" s="11">
        <v>3000000</v>
      </c>
      <c r="D404" t="s">
        <v>348</v>
      </c>
      <c r="E404" t="s">
        <v>3008</v>
      </c>
      <c r="F404" s="4">
        <v>40420</v>
      </c>
      <c r="G404" s="11">
        <v>2740000</v>
      </c>
      <c r="H404" s="11">
        <v>260000</v>
      </c>
    </row>
    <row r="405" spans="1:8" x14ac:dyDescent="0.2">
      <c r="A405" t="s">
        <v>1295</v>
      </c>
      <c r="B405" t="s">
        <v>209</v>
      </c>
      <c r="C405" s="11">
        <v>150000</v>
      </c>
      <c r="D405" t="s">
        <v>348</v>
      </c>
      <c r="E405" t="s">
        <v>516</v>
      </c>
      <c r="F405" s="4">
        <v>37722</v>
      </c>
      <c r="G405" s="11">
        <v>0</v>
      </c>
      <c r="H405" s="11">
        <v>150000</v>
      </c>
    </row>
    <row r="406" spans="1:8" x14ac:dyDescent="0.2">
      <c r="A406" t="s">
        <v>1898</v>
      </c>
      <c r="B406" t="s">
        <v>1899</v>
      </c>
      <c r="C406" s="11">
        <v>1000000</v>
      </c>
      <c r="D406" t="s">
        <v>348</v>
      </c>
      <c r="E406" t="s">
        <v>444</v>
      </c>
      <c r="F406" s="4">
        <v>38912</v>
      </c>
      <c r="G406" s="11">
        <v>1000000</v>
      </c>
      <c r="H406" s="11">
        <v>0</v>
      </c>
    </row>
    <row r="407" spans="1:8" x14ac:dyDescent="0.2">
      <c r="A407" t="s">
        <v>1854</v>
      </c>
      <c r="B407" t="s">
        <v>1296</v>
      </c>
      <c r="C407" s="11">
        <v>1250000</v>
      </c>
      <c r="D407" t="s">
        <v>348</v>
      </c>
      <c r="E407" t="s">
        <v>885</v>
      </c>
      <c r="F407" s="4">
        <v>38806</v>
      </c>
      <c r="G407" s="11">
        <v>1250000</v>
      </c>
      <c r="H407" s="11">
        <v>0</v>
      </c>
    </row>
    <row r="408" spans="1:8" x14ac:dyDescent="0.2">
      <c r="A408" t="s">
        <v>1877</v>
      </c>
      <c r="B408" t="s">
        <v>42</v>
      </c>
      <c r="C408" s="11">
        <v>1500000</v>
      </c>
      <c r="D408" t="s">
        <v>348</v>
      </c>
      <c r="E408" t="s">
        <v>516</v>
      </c>
      <c r="F408" s="4">
        <v>38874</v>
      </c>
      <c r="G408" s="11">
        <v>1500000</v>
      </c>
      <c r="H408" s="11">
        <v>0</v>
      </c>
    </row>
    <row r="409" spans="1:8" x14ac:dyDescent="0.2">
      <c r="A409" t="s">
        <v>1362</v>
      </c>
      <c r="B409" t="s">
        <v>1915</v>
      </c>
      <c r="C409" s="11">
        <v>600000</v>
      </c>
      <c r="D409" t="s">
        <v>348</v>
      </c>
      <c r="E409" t="s">
        <v>516</v>
      </c>
      <c r="F409" s="4">
        <v>39195</v>
      </c>
      <c r="G409" s="11">
        <v>245867</v>
      </c>
      <c r="H409" s="11">
        <v>354133</v>
      </c>
    </row>
    <row r="410" spans="1:8" x14ac:dyDescent="0.2">
      <c r="A410" t="s">
        <v>1911</v>
      </c>
      <c r="B410" t="s">
        <v>1676</v>
      </c>
      <c r="C410" s="11">
        <v>800000</v>
      </c>
      <c r="D410" t="s">
        <v>348</v>
      </c>
      <c r="E410" t="s">
        <v>885</v>
      </c>
      <c r="F410" s="4">
        <v>38916</v>
      </c>
      <c r="G410" s="11">
        <v>800000</v>
      </c>
      <c r="H410" s="11">
        <v>0</v>
      </c>
    </row>
    <row r="411" spans="1:8" x14ac:dyDescent="0.2">
      <c r="A411" t="s">
        <v>1453</v>
      </c>
      <c r="B411" t="s">
        <v>43</v>
      </c>
      <c r="C411" s="11">
        <v>3000000</v>
      </c>
      <c r="D411" t="s">
        <v>348</v>
      </c>
      <c r="E411" t="s">
        <v>885</v>
      </c>
      <c r="F411" s="4">
        <v>38874</v>
      </c>
      <c r="G411" s="11">
        <v>2285511</v>
      </c>
      <c r="H411" s="11">
        <v>714489</v>
      </c>
    </row>
    <row r="412" spans="1:8" x14ac:dyDescent="0.2">
      <c r="A412" t="s">
        <v>1454</v>
      </c>
      <c r="B412" t="s">
        <v>41</v>
      </c>
      <c r="C412" s="11">
        <v>0</v>
      </c>
      <c r="D412" t="s">
        <v>348</v>
      </c>
      <c r="E412" t="s">
        <v>885</v>
      </c>
      <c r="F412" s="4">
        <v>38874</v>
      </c>
      <c r="G412" s="11">
        <v>0</v>
      </c>
      <c r="H412" s="11">
        <v>0</v>
      </c>
    </row>
    <row r="413" spans="1:8" x14ac:dyDescent="0.2">
      <c r="A413" t="s">
        <v>2983</v>
      </c>
      <c r="B413" t="s">
        <v>1253</v>
      </c>
      <c r="C413" s="11">
        <v>250000</v>
      </c>
      <c r="D413" t="s">
        <v>348</v>
      </c>
      <c r="E413" t="s">
        <v>444</v>
      </c>
      <c r="F413" s="4">
        <v>39170</v>
      </c>
      <c r="G413" s="11">
        <v>0</v>
      </c>
      <c r="H413" s="11">
        <v>250000</v>
      </c>
    </row>
    <row r="414" spans="1:8" x14ac:dyDescent="0.2">
      <c r="A414" t="s">
        <v>2135</v>
      </c>
      <c r="B414" t="s">
        <v>1204</v>
      </c>
      <c r="C414" s="11">
        <v>500000</v>
      </c>
      <c r="D414" t="s">
        <v>348</v>
      </c>
      <c r="E414" t="s">
        <v>885</v>
      </c>
      <c r="F414" s="4">
        <v>39751</v>
      </c>
      <c r="G414" s="11">
        <v>500000</v>
      </c>
      <c r="H414" s="11">
        <v>0</v>
      </c>
    </row>
    <row r="415" spans="1:8" x14ac:dyDescent="0.2">
      <c r="A415" t="s">
        <v>88</v>
      </c>
      <c r="B415" t="s">
        <v>2554</v>
      </c>
      <c r="C415" s="11">
        <v>1000000</v>
      </c>
      <c r="D415" t="s">
        <v>348</v>
      </c>
      <c r="E415" t="s">
        <v>444</v>
      </c>
      <c r="F415" s="4">
        <v>39793</v>
      </c>
      <c r="G415" s="11">
        <v>1000000</v>
      </c>
      <c r="H415" s="11">
        <v>0</v>
      </c>
    </row>
    <row r="416" spans="1:8" x14ac:dyDescent="0.2">
      <c r="A416" t="s">
        <v>1680</v>
      </c>
      <c r="B416" t="s">
        <v>2351</v>
      </c>
      <c r="C416" s="11">
        <v>1000000</v>
      </c>
      <c r="D416" t="s">
        <v>348</v>
      </c>
      <c r="E416" t="s">
        <v>516</v>
      </c>
      <c r="F416" s="4">
        <v>37769</v>
      </c>
      <c r="G416" s="11">
        <v>1000000</v>
      </c>
      <c r="H416" s="11">
        <v>0</v>
      </c>
    </row>
    <row r="417" spans="1:8" x14ac:dyDescent="0.2">
      <c r="A417" t="s">
        <v>89</v>
      </c>
      <c r="B417" t="s">
        <v>2351</v>
      </c>
      <c r="C417" s="11">
        <v>1000000</v>
      </c>
      <c r="D417" t="s">
        <v>348</v>
      </c>
      <c r="E417" t="s">
        <v>516</v>
      </c>
      <c r="F417" s="4">
        <v>37769</v>
      </c>
      <c r="G417" s="11">
        <v>1000000</v>
      </c>
      <c r="H417" s="11">
        <v>0</v>
      </c>
    </row>
    <row r="418" spans="1:8" x14ac:dyDescent="0.2">
      <c r="A418" t="s">
        <v>3665</v>
      </c>
      <c r="B418" t="s">
        <v>2839</v>
      </c>
      <c r="C418" s="11">
        <v>250000</v>
      </c>
      <c r="D418" t="s">
        <v>348</v>
      </c>
      <c r="E418" t="s">
        <v>516</v>
      </c>
      <c r="F418" s="4">
        <v>40346</v>
      </c>
      <c r="G418" s="11">
        <v>0</v>
      </c>
      <c r="H418" s="11">
        <v>250000</v>
      </c>
    </row>
    <row r="419" spans="1:8" x14ac:dyDescent="0.2">
      <c r="A419" t="s">
        <v>4101</v>
      </c>
      <c r="B419" t="s">
        <v>3426</v>
      </c>
      <c r="C419" s="11">
        <v>1250000</v>
      </c>
      <c r="D419" t="s">
        <v>348</v>
      </c>
      <c r="E419" t="s">
        <v>3031</v>
      </c>
      <c r="F419" s="4">
        <v>40500</v>
      </c>
      <c r="G419" s="11">
        <v>1218750</v>
      </c>
      <c r="H419" s="11">
        <v>31250</v>
      </c>
    </row>
    <row r="420" spans="1:8" x14ac:dyDescent="0.2">
      <c r="A420" t="s">
        <v>4102</v>
      </c>
      <c r="B420" t="s">
        <v>3425</v>
      </c>
      <c r="C420" s="11">
        <v>750000</v>
      </c>
      <c r="D420" t="s">
        <v>348</v>
      </c>
      <c r="E420" t="s">
        <v>3031</v>
      </c>
      <c r="F420" s="4">
        <v>40500</v>
      </c>
      <c r="G420" s="11">
        <v>0</v>
      </c>
      <c r="H420" s="11">
        <v>750000</v>
      </c>
    </row>
    <row r="421" spans="1:8" x14ac:dyDescent="0.2">
      <c r="A421" t="s">
        <v>4103</v>
      </c>
      <c r="B421" t="s">
        <v>3427</v>
      </c>
      <c r="C421" s="11">
        <v>1000000</v>
      </c>
      <c r="D421" t="s">
        <v>348</v>
      </c>
      <c r="E421" t="s">
        <v>3031</v>
      </c>
      <c r="F421" s="4">
        <v>40499</v>
      </c>
      <c r="G421" s="11">
        <v>0</v>
      </c>
      <c r="H421" s="11">
        <v>1000000</v>
      </c>
    </row>
    <row r="422" spans="1:8" x14ac:dyDescent="0.2">
      <c r="A422" t="s">
        <v>4257</v>
      </c>
      <c r="B422" t="s">
        <v>3044</v>
      </c>
      <c r="C422" s="11">
        <v>250000</v>
      </c>
      <c r="D422" t="s">
        <v>348</v>
      </c>
      <c r="E422" t="s">
        <v>444</v>
      </c>
      <c r="F422" s="4">
        <v>40476</v>
      </c>
      <c r="G422" s="11">
        <v>0</v>
      </c>
      <c r="H422" s="11">
        <v>250000</v>
      </c>
    </row>
    <row r="423" spans="1:8" x14ac:dyDescent="0.2">
      <c r="A423" t="s">
        <v>4331</v>
      </c>
      <c r="B423" t="s">
        <v>3424</v>
      </c>
      <c r="C423" s="11">
        <v>500000</v>
      </c>
      <c r="D423" t="s">
        <v>348</v>
      </c>
      <c r="E423" t="s">
        <v>3031</v>
      </c>
      <c r="F423" s="4">
        <v>40499</v>
      </c>
      <c r="G423" s="11">
        <v>0</v>
      </c>
      <c r="H423" s="11">
        <v>500000</v>
      </c>
    </row>
    <row r="424" spans="1:8" x14ac:dyDescent="0.2">
      <c r="A424" t="s">
        <v>3045</v>
      </c>
      <c r="B424" t="s">
        <v>419</v>
      </c>
      <c r="C424" s="11">
        <v>0</v>
      </c>
      <c r="D424" t="s">
        <v>348</v>
      </c>
      <c r="E424" t="s">
        <v>885</v>
      </c>
      <c r="F424" s="4">
        <v>38747</v>
      </c>
      <c r="G424" s="11">
        <v>0</v>
      </c>
      <c r="H424" s="11">
        <v>0</v>
      </c>
    </row>
    <row r="425" spans="1:8" x14ac:dyDescent="0.2">
      <c r="A425" t="s">
        <v>4258</v>
      </c>
      <c r="B425" t="s">
        <v>2351</v>
      </c>
      <c r="C425" s="11">
        <v>0</v>
      </c>
      <c r="D425" t="s">
        <v>348</v>
      </c>
      <c r="E425" t="s">
        <v>516</v>
      </c>
      <c r="F425" s="4">
        <v>37769</v>
      </c>
      <c r="G425" s="11">
        <v>0</v>
      </c>
      <c r="H425" s="11">
        <v>0</v>
      </c>
    </row>
    <row r="426" spans="1:8" x14ac:dyDescent="0.2">
      <c r="A426" t="s">
        <v>4259</v>
      </c>
      <c r="B426" t="s">
        <v>2352</v>
      </c>
      <c r="C426" s="11">
        <v>0</v>
      </c>
      <c r="D426" t="s">
        <v>348</v>
      </c>
      <c r="E426" t="s">
        <v>516</v>
      </c>
      <c r="F426" s="4">
        <v>38096</v>
      </c>
      <c r="G426" s="11">
        <v>0</v>
      </c>
      <c r="H426" s="11">
        <v>0</v>
      </c>
    </row>
    <row r="427" spans="1:8" x14ac:dyDescent="0.2">
      <c r="A427" t="s">
        <v>1722</v>
      </c>
      <c r="B427" t="s">
        <v>28</v>
      </c>
      <c r="C427" s="11">
        <v>5000000</v>
      </c>
      <c r="D427" t="s">
        <v>1723</v>
      </c>
      <c r="E427" t="s">
        <v>1577</v>
      </c>
      <c r="F427" s="4">
        <v>34151</v>
      </c>
      <c r="G427" s="11">
        <v>5000000</v>
      </c>
      <c r="H427" s="11">
        <v>0</v>
      </c>
    </row>
    <row r="428" spans="1:8" x14ac:dyDescent="0.2">
      <c r="A428" t="s">
        <v>1724</v>
      </c>
      <c r="B428" t="s">
        <v>1725</v>
      </c>
      <c r="C428" s="11">
        <v>16000000</v>
      </c>
      <c r="D428" t="s">
        <v>1723</v>
      </c>
      <c r="E428" t="s">
        <v>969</v>
      </c>
      <c r="F428" s="4">
        <v>37552</v>
      </c>
      <c r="G428" s="11">
        <v>16000000</v>
      </c>
      <c r="H428" s="11">
        <v>0</v>
      </c>
    </row>
    <row r="429" spans="1:8" x14ac:dyDescent="0.2">
      <c r="A429" t="s">
        <v>1726</v>
      </c>
      <c r="B429" t="s">
        <v>1727</v>
      </c>
      <c r="C429" s="11">
        <v>5000000</v>
      </c>
      <c r="D429" t="s">
        <v>1723</v>
      </c>
      <c r="E429" t="s">
        <v>885</v>
      </c>
      <c r="F429" s="4">
        <v>38435</v>
      </c>
      <c r="G429" s="11">
        <v>5000000</v>
      </c>
      <c r="H429" s="11">
        <v>0</v>
      </c>
    </row>
    <row r="430" spans="1:8" x14ac:dyDescent="0.2">
      <c r="A430" t="s">
        <v>2413</v>
      </c>
      <c r="B430" t="s">
        <v>2414</v>
      </c>
      <c r="C430" s="11">
        <v>1500000</v>
      </c>
      <c r="D430" t="s">
        <v>1723</v>
      </c>
      <c r="E430" t="s">
        <v>969</v>
      </c>
      <c r="F430" s="4">
        <v>37637</v>
      </c>
      <c r="G430" s="11">
        <v>1500000</v>
      </c>
      <c r="H430" s="11">
        <v>0</v>
      </c>
    </row>
    <row r="431" spans="1:8" x14ac:dyDescent="0.2">
      <c r="A431" t="s">
        <v>304</v>
      </c>
      <c r="B431" t="s">
        <v>305</v>
      </c>
      <c r="C431" s="11">
        <v>12500000</v>
      </c>
      <c r="D431" t="s">
        <v>306</v>
      </c>
      <c r="E431" t="s">
        <v>313</v>
      </c>
      <c r="F431" s="4">
        <v>34151</v>
      </c>
      <c r="G431" s="11">
        <v>12500000</v>
      </c>
      <c r="H431" s="11">
        <v>0</v>
      </c>
    </row>
    <row r="432" spans="1:8" x14ac:dyDescent="0.2">
      <c r="A432" t="s">
        <v>307</v>
      </c>
      <c r="B432" t="s">
        <v>308</v>
      </c>
      <c r="C432" s="11">
        <v>3500000</v>
      </c>
      <c r="D432" t="s">
        <v>306</v>
      </c>
      <c r="E432" t="s">
        <v>1564</v>
      </c>
      <c r="F432" s="4">
        <v>35900</v>
      </c>
      <c r="G432" s="11">
        <v>3500000</v>
      </c>
      <c r="H432" s="11">
        <v>0</v>
      </c>
    </row>
    <row r="433" spans="1:8" x14ac:dyDescent="0.2">
      <c r="A433" t="s">
        <v>309</v>
      </c>
      <c r="B433" t="s">
        <v>310</v>
      </c>
      <c r="C433" s="11">
        <v>2500000</v>
      </c>
      <c r="D433" t="s">
        <v>306</v>
      </c>
      <c r="E433" t="s">
        <v>969</v>
      </c>
      <c r="F433" s="4">
        <v>37140</v>
      </c>
      <c r="G433" s="11">
        <v>2500000</v>
      </c>
      <c r="H433" s="11">
        <v>0</v>
      </c>
    </row>
    <row r="434" spans="1:8" x14ac:dyDescent="0.2">
      <c r="A434" t="s">
        <v>566</v>
      </c>
      <c r="B434" t="s">
        <v>567</v>
      </c>
      <c r="C434" s="11">
        <v>400000</v>
      </c>
      <c r="D434" t="s">
        <v>306</v>
      </c>
      <c r="E434" t="s">
        <v>969</v>
      </c>
      <c r="F434" s="4">
        <v>36557</v>
      </c>
      <c r="G434" s="11">
        <v>400000</v>
      </c>
      <c r="H434" s="11">
        <v>0</v>
      </c>
    </row>
    <row r="435" spans="1:8" x14ac:dyDescent="0.2">
      <c r="A435" t="s">
        <v>568</v>
      </c>
      <c r="B435" t="s">
        <v>569</v>
      </c>
      <c r="C435" s="11">
        <v>550000</v>
      </c>
      <c r="D435" t="s">
        <v>306</v>
      </c>
      <c r="E435" t="s">
        <v>969</v>
      </c>
      <c r="F435" s="4">
        <v>37769</v>
      </c>
      <c r="G435" s="11">
        <v>550000</v>
      </c>
      <c r="H435" s="11">
        <v>0</v>
      </c>
    </row>
    <row r="436" spans="1:8" x14ac:dyDescent="0.2">
      <c r="A436" t="s">
        <v>695</v>
      </c>
      <c r="B436" t="s">
        <v>696</v>
      </c>
      <c r="C436" s="11">
        <v>1000000</v>
      </c>
      <c r="D436" t="s">
        <v>306</v>
      </c>
      <c r="E436" t="s">
        <v>2107</v>
      </c>
      <c r="F436" s="4">
        <v>37201</v>
      </c>
      <c r="G436" s="11">
        <v>1000000</v>
      </c>
      <c r="H436" s="11">
        <v>0</v>
      </c>
    </row>
    <row r="437" spans="1:8" x14ac:dyDescent="0.2">
      <c r="A437" t="s">
        <v>2371</v>
      </c>
      <c r="B437" t="s">
        <v>2372</v>
      </c>
      <c r="C437" s="11">
        <v>5000000</v>
      </c>
      <c r="D437" t="s">
        <v>306</v>
      </c>
      <c r="E437" t="s">
        <v>516</v>
      </c>
      <c r="F437" s="4">
        <v>37984</v>
      </c>
      <c r="G437" s="11">
        <v>5000000</v>
      </c>
      <c r="H437" s="11">
        <v>0</v>
      </c>
    </row>
    <row r="438" spans="1:8" x14ac:dyDescent="0.2">
      <c r="A438" t="s">
        <v>2434</v>
      </c>
      <c r="B438" t="s">
        <v>2435</v>
      </c>
      <c r="C438" s="11">
        <v>3000000</v>
      </c>
      <c r="D438" t="s">
        <v>306</v>
      </c>
      <c r="E438" t="s">
        <v>885</v>
      </c>
      <c r="F438" s="4">
        <v>38219</v>
      </c>
      <c r="G438" s="11">
        <v>3000000</v>
      </c>
      <c r="H438" s="11">
        <v>0</v>
      </c>
    </row>
    <row r="439" spans="1:8" x14ac:dyDescent="0.2">
      <c r="A439" t="s">
        <v>1634</v>
      </c>
      <c r="B439" t="s">
        <v>1635</v>
      </c>
      <c r="C439" s="11">
        <v>3500000</v>
      </c>
      <c r="D439" t="s">
        <v>306</v>
      </c>
      <c r="E439" t="s">
        <v>444</v>
      </c>
      <c r="F439" s="4">
        <v>38946</v>
      </c>
      <c r="G439" s="11">
        <v>3500000</v>
      </c>
      <c r="H439" s="11">
        <v>0</v>
      </c>
    </row>
    <row r="440" spans="1:8" x14ac:dyDescent="0.2">
      <c r="A440" t="s">
        <v>442</v>
      </c>
      <c r="B440" t="s">
        <v>443</v>
      </c>
      <c r="C440" s="11">
        <v>500000</v>
      </c>
      <c r="D440" t="s">
        <v>306</v>
      </c>
      <c r="E440" t="s">
        <v>444</v>
      </c>
      <c r="F440" s="4">
        <v>38974</v>
      </c>
      <c r="G440" s="11">
        <v>500000</v>
      </c>
      <c r="H440" s="11">
        <v>0</v>
      </c>
    </row>
    <row r="441" spans="1:8" x14ac:dyDescent="0.2">
      <c r="A441" t="s">
        <v>1360</v>
      </c>
      <c r="B441" t="s">
        <v>1361</v>
      </c>
      <c r="C441" s="11">
        <v>1000000</v>
      </c>
      <c r="D441" t="s">
        <v>306</v>
      </c>
      <c r="E441" t="s">
        <v>444</v>
      </c>
      <c r="F441" s="4">
        <v>39506</v>
      </c>
      <c r="G441" s="11">
        <v>1000000</v>
      </c>
      <c r="H441" s="11">
        <v>0</v>
      </c>
    </row>
    <row r="442" spans="1:8" x14ac:dyDescent="0.2">
      <c r="A442" t="s">
        <v>2055</v>
      </c>
      <c r="B442" t="s">
        <v>2056</v>
      </c>
      <c r="C442" s="11">
        <v>500000</v>
      </c>
      <c r="D442" t="s">
        <v>306</v>
      </c>
      <c r="E442" t="s">
        <v>444</v>
      </c>
      <c r="F442" s="4">
        <v>39519</v>
      </c>
      <c r="G442" s="11">
        <v>500000</v>
      </c>
      <c r="H442" s="11">
        <v>0</v>
      </c>
    </row>
    <row r="443" spans="1:8" x14ac:dyDescent="0.2">
      <c r="A443" t="s">
        <v>895</v>
      </c>
      <c r="B443" t="s">
        <v>4104</v>
      </c>
      <c r="C443" s="11">
        <v>1250000</v>
      </c>
      <c r="D443" t="s">
        <v>306</v>
      </c>
      <c r="E443" t="s">
        <v>444</v>
      </c>
      <c r="F443" s="4">
        <v>39688</v>
      </c>
      <c r="G443" s="11">
        <v>1250000</v>
      </c>
      <c r="H443" s="11">
        <v>0</v>
      </c>
    </row>
    <row r="444" spans="1:8" x14ac:dyDescent="0.2">
      <c r="A444" t="s">
        <v>2136</v>
      </c>
      <c r="B444" t="s">
        <v>2056</v>
      </c>
      <c r="C444" s="11">
        <v>500000</v>
      </c>
      <c r="D444" t="s">
        <v>306</v>
      </c>
      <c r="E444" t="s">
        <v>444</v>
      </c>
      <c r="F444" s="4">
        <v>40071</v>
      </c>
      <c r="G444" s="11">
        <v>500000</v>
      </c>
      <c r="H444" s="11">
        <v>0</v>
      </c>
    </row>
    <row r="445" spans="1:8" x14ac:dyDescent="0.2">
      <c r="A445" t="s">
        <v>2137</v>
      </c>
      <c r="B445" t="s">
        <v>2138</v>
      </c>
      <c r="C445" s="11">
        <v>1000000</v>
      </c>
      <c r="D445" t="s">
        <v>306</v>
      </c>
      <c r="E445" t="s">
        <v>888</v>
      </c>
      <c r="F445" s="4">
        <v>40108</v>
      </c>
      <c r="G445" s="11">
        <v>586199</v>
      </c>
      <c r="H445" s="11">
        <v>413801</v>
      </c>
    </row>
    <row r="446" spans="1:8" x14ac:dyDescent="0.2">
      <c r="A446" t="s">
        <v>2840</v>
      </c>
      <c r="B446" t="s">
        <v>2841</v>
      </c>
      <c r="C446" s="11">
        <v>250000</v>
      </c>
      <c r="D446" t="s">
        <v>306</v>
      </c>
      <c r="E446" t="s">
        <v>444</v>
      </c>
      <c r="F446" s="4">
        <v>40325</v>
      </c>
      <c r="G446" s="11">
        <v>0</v>
      </c>
      <c r="H446" s="11">
        <v>250000</v>
      </c>
    </row>
    <row r="447" spans="1:8" x14ac:dyDescent="0.2">
      <c r="A447" t="s">
        <v>4452</v>
      </c>
      <c r="B447" t="s">
        <v>4453</v>
      </c>
      <c r="C447" s="11">
        <v>1500000</v>
      </c>
      <c r="D447" t="s">
        <v>306</v>
      </c>
      <c r="E447" t="s">
        <v>885</v>
      </c>
      <c r="F447" s="4">
        <v>41008</v>
      </c>
      <c r="G447" s="11">
        <v>0</v>
      </c>
      <c r="H447" s="11">
        <v>1500000</v>
      </c>
    </row>
    <row r="448" spans="1:8" x14ac:dyDescent="0.2">
      <c r="A448" t="s">
        <v>2597</v>
      </c>
      <c r="B448" t="s">
        <v>2598</v>
      </c>
      <c r="C448" s="11">
        <v>500000</v>
      </c>
      <c r="D448" t="s">
        <v>306</v>
      </c>
      <c r="E448" t="s">
        <v>516</v>
      </c>
      <c r="F448" s="4">
        <v>38492</v>
      </c>
      <c r="G448" s="11">
        <v>500000</v>
      </c>
      <c r="H448" s="11">
        <v>0</v>
      </c>
    </row>
    <row r="449" spans="1:8" x14ac:dyDescent="0.2">
      <c r="A449" t="s">
        <v>2599</v>
      </c>
      <c r="B449" t="s">
        <v>2600</v>
      </c>
      <c r="C449" s="11">
        <v>2000000</v>
      </c>
      <c r="D449" t="s">
        <v>306</v>
      </c>
      <c r="E449" t="s">
        <v>885</v>
      </c>
      <c r="F449" s="4">
        <v>38492</v>
      </c>
      <c r="G449" s="11">
        <v>2000000</v>
      </c>
      <c r="H449" s="11">
        <v>0</v>
      </c>
    </row>
    <row r="450" spans="1:8" x14ac:dyDescent="0.2">
      <c r="A450" t="s">
        <v>1640</v>
      </c>
      <c r="B450" t="s">
        <v>1641</v>
      </c>
      <c r="C450" s="11">
        <v>500000</v>
      </c>
      <c r="D450" t="s">
        <v>306</v>
      </c>
      <c r="E450" t="s">
        <v>885</v>
      </c>
      <c r="F450" s="4">
        <v>38985</v>
      </c>
      <c r="G450" s="11">
        <v>500000</v>
      </c>
      <c r="H450" s="11">
        <v>0</v>
      </c>
    </row>
    <row r="451" spans="1:8" x14ac:dyDescent="0.2">
      <c r="A451" t="s">
        <v>90</v>
      </c>
      <c r="B451" t="s">
        <v>91</v>
      </c>
      <c r="C451" s="11">
        <v>500000</v>
      </c>
      <c r="D451" t="s">
        <v>306</v>
      </c>
      <c r="E451" t="s">
        <v>888</v>
      </c>
      <c r="F451" s="4">
        <v>40217</v>
      </c>
      <c r="G451" s="11">
        <v>500000</v>
      </c>
      <c r="H451" s="11">
        <v>0</v>
      </c>
    </row>
    <row r="452" spans="1:8" x14ac:dyDescent="0.2">
      <c r="A452" t="s">
        <v>3046</v>
      </c>
      <c r="B452" t="s">
        <v>3047</v>
      </c>
      <c r="C452" s="11">
        <v>500000</v>
      </c>
      <c r="D452" t="s">
        <v>306</v>
      </c>
      <c r="E452" t="s">
        <v>888</v>
      </c>
      <c r="F452" s="4">
        <v>40463</v>
      </c>
      <c r="G452" s="11">
        <v>0</v>
      </c>
      <c r="H452" s="11">
        <v>500000</v>
      </c>
    </row>
    <row r="453" spans="1:8" x14ac:dyDescent="0.2">
      <c r="A453" t="s">
        <v>1874</v>
      </c>
      <c r="B453" t="s">
        <v>1621</v>
      </c>
      <c r="C453" s="11">
        <v>750000</v>
      </c>
      <c r="D453" t="s">
        <v>306</v>
      </c>
      <c r="E453" t="s">
        <v>516</v>
      </c>
      <c r="F453" s="4">
        <v>38874</v>
      </c>
      <c r="G453" s="11">
        <v>750000</v>
      </c>
      <c r="H453" s="11">
        <v>0</v>
      </c>
    </row>
    <row r="454" spans="1:8" x14ac:dyDescent="0.2">
      <c r="A454" t="s">
        <v>1304</v>
      </c>
      <c r="B454" t="s">
        <v>44</v>
      </c>
      <c r="C454" s="11">
        <v>3000000</v>
      </c>
      <c r="D454" t="s">
        <v>306</v>
      </c>
      <c r="E454" t="s">
        <v>516</v>
      </c>
      <c r="F454" s="4">
        <v>38874</v>
      </c>
      <c r="G454" s="11">
        <v>3000000</v>
      </c>
      <c r="H454" s="11">
        <v>0</v>
      </c>
    </row>
    <row r="455" spans="1:8" x14ac:dyDescent="0.2">
      <c r="A455" t="s">
        <v>1311</v>
      </c>
      <c r="B455" t="s">
        <v>64</v>
      </c>
      <c r="C455" s="11">
        <v>0</v>
      </c>
      <c r="D455" t="s">
        <v>306</v>
      </c>
      <c r="E455" t="s">
        <v>1564</v>
      </c>
      <c r="F455" s="4">
        <v>38912</v>
      </c>
      <c r="G455" s="11">
        <v>0</v>
      </c>
      <c r="H455" s="11">
        <v>0</v>
      </c>
    </row>
    <row r="456" spans="1:8" x14ac:dyDescent="0.2">
      <c r="A456" t="s">
        <v>1312</v>
      </c>
      <c r="B456" t="s">
        <v>1666</v>
      </c>
      <c r="C456" s="11">
        <v>500000</v>
      </c>
      <c r="D456" t="s">
        <v>306</v>
      </c>
      <c r="E456" t="s">
        <v>444</v>
      </c>
      <c r="F456" s="4">
        <v>38974</v>
      </c>
      <c r="G456" s="11">
        <v>500000</v>
      </c>
      <c r="H456" s="11">
        <v>0</v>
      </c>
    </row>
    <row r="457" spans="1:8" x14ac:dyDescent="0.2">
      <c r="A457" t="s">
        <v>1313</v>
      </c>
      <c r="B457" t="s">
        <v>1667</v>
      </c>
      <c r="C457" s="11">
        <v>350000</v>
      </c>
      <c r="D457" t="s">
        <v>306</v>
      </c>
      <c r="E457" t="s">
        <v>444</v>
      </c>
      <c r="F457" s="4">
        <v>38985</v>
      </c>
      <c r="G457" s="11">
        <v>350000</v>
      </c>
      <c r="H457" s="11">
        <v>0</v>
      </c>
    </row>
    <row r="458" spans="1:8" x14ac:dyDescent="0.2">
      <c r="A458" t="s">
        <v>1314</v>
      </c>
      <c r="B458" t="s">
        <v>1367</v>
      </c>
      <c r="C458" s="11">
        <v>500000</v>
      </c>
      <c r="D458" t="s">
        <v>306</v>
      </c>
      <c r="E458" t="s">
        <v>444</v>
      </c>
      <c r="F458" s="4">
        <v>39245</v>
      </c>
      <c r="G458" s="11">
        <v>500000</v>
      </c>
      <c r="H458" s="11">
        <v>0</v>
      </c>
    </row>
    <row r="459" spans="1:8" x14ac:dyDescent="0.2">
      <c r="A459" t="s">
        <v>2555</v>
      </c>
      <c r="B459" t="s">
        <v>46</v>
      </c>
      <c r="C459" s="11">
        <v>3000000</v>
      </c>
      <c r="D459" t="s">
        <v>306</v>
      </c>
      <c r="E459" t="s">
        <v>885</v>
      </c>
      <c r="F459" s="4">
        <v>38874</v>
      </c>
      <c r="G459" s="11">
        <v>2925000</v>
      </c>
      <c r="H459" s="11">
        <v>75000</v>
      </c>
    </row>
    <row r="460" spans="1:8" x14ac:dyDescent="0.2">
      <c r="A460" t="s">
        <v>2556</v>
      </c>
      <c r="B460" t="s">
        <v>1241</v>
      </c>
      <c r="C460" s="11">
        <v>1000000</v>
      </c>
      <c r="D460" t="s">
        <v>306</v>
      </c>
      <c r="E460" t="s">
        <v>444</v>
      </c>
      <c r="F460" s="4">
        <v>39149</v>
      </c>
      <c r="G460" s="11">
        <v>1000000</v>
      </c>
      <c r="H460" s="11">
        <v>0</v>
      </c>
    </row>
    <row r="461" spans="1:8" x14ac:dyDescent="0.2">
      <c r="A461" t="s">
        <v>989</v>
      </c>
      <c r="B461" t="s">
        <v>1179</v>
      </c>
      <c r="C461" s="11">
        <v>5000000</v>
      </c>
      <c r="D461" t="s">
        <v>306</v>
      </c>
      <c r="E461" t="s">
        <v>888</v>
      </c>
      <c r="F461" s="4">
        <v>39717</v>
      </c>
      <c r="G461" s="11">
        <v>5000000</v>
      </c>
      <c r="H461" s="11">
        <v>0</v>
      </c>
    </row>
    <row r="462" spans="1:8" x14ac:dyDescent="0.2">
      <c r="A462" t="s">
        <v>1035</v>
      </c>
      <c r="B462" t="s">
        <v>2557</v>
      </c>
      <c r="C462" s="11">
        <v>500000</v>
      </c>
      <c r="D462" t="s">
        <v>306</v>
      </c>
      <c r="E462" t="s">
        <v>888</v>
      </c>
      <c r="F462" s="4">
        <v>39793</v>
      </c>
      <c r="G462" s="11">
        <v>500000</v>
      </c>
      <c r="H462" s="11">
        <v>0</v>
      </c>
    </row>
    <row r="463" spans="1:8" x14ac:dyDescent="0.2">
      <c r="A463" t="s">
        <v>1036</v>
      </c>
      <c r="B463" t="s">
        <v>1037</v>
      </c>
      <c r="C463" s="11">
        <v>500000</v>
      </c>
      <c r="D463" t="s">
        <v>306</v>
      </c>
      <c r="E463" t="s">
        <v>888</v>
      </c>
      <c r="F463" s="4">
        <v>39979</v>
      </c>
      <c r="G463" s="11">
        <v>380000</v>
      </c>
      <c r="H463" s="11">
        <v>120000</v>
      </c>
    </row>
    <row r="464" spans="1:8" x14ac:dyDescent="0.2">
      <c r="A464" t="s">
        <v>595</v>
      </c>
      <c r="B464" t="s">
        <v>45</v>
      </c>
      <c r="C464" s="11">
        <v>3750000</v>
      </c>
      <c r="D464" t="s">
        <v>306</v>
      </c>
      <c r="E464" t="s">
        <v>885</v>
      </c>
      <c r="F464" s="4">
        <v>38874</v>
      </c>
      <c r="G464" s="11">
        <v>3750000</v>
      </c>
      <c r="H464" s="11">
        <v>0</v>
      </c>
    </row>
    <row r="465" spans="1:8" x14ac:dyDescent="0.2">
      <c r="A465" t="s">
        <v>2842</v>
      </c>
      <c r="B465" t="s">
        <v>65</v>
      </c>
      <c r="C465" s="11">
        <v>500000</v>
      </c>
      <c r="D465" t="s">
        <v>306</v>
      </c>
      <c r="E465" t="s">
        <v>885</v>
      </c>
      <c r="F465" s="4">
        <v>38946</v>
      </c>
      <c r="G465" s="11">
        <v>500000</v>
      </c>
      <c r="H465" s="11">
        <v>0</v>
      </c>
    </row>
    <row r="466" spans="1:8" x14ac:dyDescent="0.2">
      <c r="A466" t="s">
        <v>3048</v>
      </c>
      <c r="B466" t="s">
        <v>45</v>
      </c>
      <c r="C466" s="11">
        <v>1750000</v>
      </c>
      <c r="D466" t="s">
        <v>306</v>
      </c>
      <c r="E466" t="s">
        <v>444</v>
      </c>
      <c r="F466" s="4">
        <v>38946</v>
      </c>
      <c r="G466" s="11">
        <v>1750000</v>
      </c>
      <c r="H466" s="11">
        <v>0</v>
      </c>
    </row>
    <row r="467" spans="1:8" x14ac:dyDescent="0.2">
      <c r="A467" t="s">
        <v>596</v>
      </c>
      <c r="B467" t="s">
        <v>1185</v>
      </c>
      <c r="C467" s="11">
        <v>500000</v>
      </c>
      <c r="D467" t="s">
        <v>306</v>
      </c>
      <c r="E467" t="s">
        <v>444</v>
      </c>
      <c r="F467" s="4">
        <v>39717</v>
      </c>
      <c r="G467" s="11">
        <v>500000</v>
      </c>
      <c r="H467" s="11">
        <v>0</v>
      </c>
    </row>
    <row r="468" spans="1:8" x14ac:dyDescent="0.2">
      <c r="A468" t="s">
        <v>2707</v>
      </c>
      <c r="B468" t="s">
        <v>786</v>
      </c>
      <c r="C468" s="11">
        <v>500000</v>
      </c>
      <c r="D468" t="s">
        <v>306</v>
      </c>
      <c r="E468" t="s">
        <v>787</v>
      </c>
      <c r="F468" s="4">
        <v>39881</v>
      </c>
      <c r="G468" s="11">
        <v>500000</v>
      </c>
      <c r="H468" s="11">
        <v>0</v>
      </c>
    </row>
    <row r="469" spans="1:8" x14ac:dyDescent="0.2">
      <c r="A469" t="s">
        <v>3049</v>
      </c>
      <c r="B469" t="s">
        <v>92</v>
      </c>
      <c r="C469" s="11">
        <v>1500000</v>
      </c>
      <c r="D469" t="s">
        <v>306</v>
      </c>
      <c r="E469" t="s">
        <v>888</v>
      </c>
      <c r="F469" s="4">
        <v>40217</v>
      </c>
      <c r="G469" s="11">
        <v>1500000</v>
      </c>
      <c r="H469" s="11">
        <v>0</v>
      </c>
    </row>
    <row r="470" spans="1:8" x14ac:dyDescent="0.2">
      <c r="A470" t="s">
        <v>3050</v>
      </c>
      <c r="B470" t="s">
        <v>2710</v>
      </c>
      <c r="C470" s="11">
        <v>1500000</v>
      </c>
      <c r="D470" t="s">
        <v>306</v>
      </c>
      <c r="E470" t="s">
        <v>888</v>
      </c>
      <c r="F470" s="4">
        <v>40232</v>
      </c>
      <c r="G470" s="11">
        <v>1500000</v>
      </c>
      <c r="H470" s="11">
        <v>0</v>
      </c>
    </row>
    <row r="471" spans="1:8" x14ac:dyDescent="0.2">
      <c r="A471" t="s">
        <v>3051</v>
      </c>
      <c r="B471" t="s">
        <v>2711</v>
      </c>
      <c r="C471" s="11">
        <v>1500000</v>
      </c>
      <c r="D471" t="s">
        <v>306</v>
      </c>
      <c r="E471" t="s">
        <v>888</v>
      </c>
      <c r="F471" s="4">
        <v>40232</v>
      </c>
      <c r="G471" s="11">
        <v>1500000</v>
      </c>
      <c r="H471" s="11">
        <v>0</v>
      </c>
    </row>
    <row r="472" spans="1:8" x14ac:dyDescent="0.2">
      <c r="A472" t="s">
        <v>3052</v>
      </c>
      <c r="B472" t="s">
        <v>2712</v>
      </c>
      <c r="C472" s="11">
        <v>500000</v>
      </c>
      <c r="D472" t="s">
        <v>306</v>
      </c>
      <c r="E472" t="s">
        <v>888</v>
      </c>
      <c r="F472" s="4">
        <v>40260</v>
      </c>
      <c r="G472" s="11">
        <v>500000</v>
      </c>
      <c r="H472" s="11">
        <v>0</v>
      </c>
    </row>
    <row r="473" spans="1:8" x14ac:dyDescent="0.2">
      <c r="A473" t="s">
        <v>3428</v>
      </c>
      <c r="B473" t="s">
        <v>1140</v>
      </c>
      <c r="C473" s="11">
        <v>12000000</v>
      </c>
      <c r="D473" t="s">
        <v>306</v>
      </c>
      <c r="E473" t="s">
        <v>444</v>
      </c>
      <c r="F473" s="4">
        <v>39688</v>
      </c>
      <c r="G473" s="11">
        <v>0</v>
      </c>
      <c r="H473" s="11">
        <v>12000000</v>
      </c>
    </row>
    <row r="474" spans="1:8" x14ac:dyDescent="0.2">
      <c r="A474" t="s">
        <v>3429</v>
      </c>
      <c r="B474" t="s">
        <v>3053</v>
      </c>
      <c r="C474" s="11">
        <v>2000000</v>
      </c>
      <c r="D474" t="s">
        <v>306</v>
      </c>
      <c r="E474" t="s">
        <v>444</v>
      </c>
      <c r="F474" s="4">
        <v>40436</v>
      </c>
      <c r="G474" s="11">
        <v>0</v>
      </c>
      <c r="H474" s="11">
        <v>2000000</v>
      </c>
    </row>
    <row r="475" spans="1:8" x14ac:dyDescent="0.2">
      <c r="A475" t="s">
        <v>4490</v>
      </c>
      <c r="B475" t="s">
        <v>4491</v>
      </c>
      <c r="C475" s="11">
        <v>2500000</v>
      </c>
      <c r="D475" t="s">
        <v>306</v>
      </c>
      <c r="E475" t="s">
        <v>885</v>
      </c>
      <c r="F475" s="4">
        <v>40463</v>
      </c>
      <c r="G475" s="11">
        <v>0</v>
      </c>
      <c r="H475" s="11">
        <v>2500000</v>
      </c>
    </row>
    <row r="476" spans="1:8" x14ac:dyDescent="0.2">
      <c r="A476" t="s">
        <v>4563</v>
      </c>
      <c r="B476" t="s">
        <v>4564</v>
      </c>
      <c r="C476" s="11">
        <v>3000000</v>
      </c>
      <c r="D476" t="s">
        <v>306</v>
      </c>
      <c r="E476" t="s">
        <v>444</v>
      </c>
      <c r="F476" s="4">
        <v>41316</v>
      </c>
      <c r="G476" s="11">
        <v>0</v>
      </c>
      <c r="H476" s="11">
        <v>3000000</v>
      </c>
    </row>
    <row r="477" spans="1:8" x14ac:dyDescent="0.2">
      <c r="A477" t="s">
        <v>4045</v>
      </c>
      <c r="B477" t="s">
        <v>4046</v>
      </c>
      <c r="C477" s="11">
        <v>1000000</v>
      </c>
      <c r="D477" t="s">
        <v>306</v>
      </c>
      <c r="E477" t="s">
        <v>885</v>
      </c>
      <c r="F477" s="4">
        <v>40463</v>
      </c>
      <c r="G477" s="11">
        <v>0</v>
      </c>
      <c r="H477" s="11">
        <v>1000000</v>
      </c>
    </row>
    <row r="478" spans="1:8" x14ac:dyDescent="0.2">
      <c r="A478" t="s">
        <v>4047</v>
      </c>
      <c r="B478" t="s">
        <v>4048</v>
      </c>
      <c r="C478" s="11">
        <v>2000000</v>
      </c>
      <c r="D478" t="s">
        <v>306</v>
      </c>
      <c r="E478" t="s">
        <v>516</v>
      </c>
      <c r="F478" s="4">
        <v>40463</v>
      </c>
      <c r="G478" s="11">
        <v>0</v>
      </c>
      <c r="H478" s="11">
        <v>2000000</v>
      </c>
    </row>
    <row r="479" spans="1:8" x14ac:dyDescent="0.2">
      <c r="A479" t="s">
        <v>4260</v>
      </c>
      <c r="B479" t="s">
        <v>3433</v>
      </c>
      <c r="C479" s="11">
        <v>250000</v>
      </c>
      <c r="D479" t="s">
        <v>306</v>
      </c>
      <c r="E479" t="s">
        <v>444</v>
      </c>
      <c r="F479" s="4">
        <v>40504</v>
      </c>
      <c r="G479" s="11">
        <v>243750</v>
      </c>
      <c r="H479" s="11">
        <v>6250</v>
      </c>
    </row>
    <row r="480" spans="1:8" x14ac:dyDescent="0.2">
      <c r="A480" t="s">
        <v>4165</v>
      </c>
      <c r="B480" t="s">
        <v>3431</v>
      </c>
      <c r="C480" s="11">
        <v>250000</v>
      </c>
      <c r="D480" t="s">
        <v>306</v>
      </c>
      <c r="E480" t="s">
        <v>3031</v>
      </c>
      <c r="F480" s="4">
        <v>40504</v>
      </c>
      <c r="G480" s="11">
        <v>0</v>
      </c>
      <c r="H480" s="11">
        <v>250000</v>
      </c>
    </row>
    <row r="481" spans="1:8" x14ac:dyDescent="0.2">
      <c r="A481" t="s">
        <v>4166</v>
      </c>
      <c r="B481" t="s">
        <v>3430</v>
      </c>
      <c r="C481" s="11">
        <v>250000</v>
      </c>
      <c r="D481" t="s">
        <v>306</v>
      </c>
      <c r="E481" t="s">
        <v>3031</v>
      </c>
      <c r="F481" s="4">
        <v>40504</v>
      </c>
      <c r="G481" s="11">
        <v>0</v>
      </c>
      <c r="H481" s="11">
        <v>250000</v>
      </c>
    </row>
    <row r="482" spans="1:8" x14ac:dyDescent="0.2">
      <c r="A482" t="s">
        <v>4332</v>
      </c>
      <c r="B482" t="s">
        <v>3432</v>
      </c>
      <c r="C482" s="11">
        <v>250000</v>
      </c>
      <c r="D482" t="s">
        <v>306</v>
      </c>
      <c r="E482" t="s">
        <v>444</v>
      </c>
      <c r="F482" s="4">
        <v>40504</v>
      </c>
      <c r="G482" s="11">
        <v>0</v>
      </c>
      <c r="H482" s="11">
        <v>250000</v>
      </c>
    </row>
    <row r="483" spans="1:8" x14ac:dyDescent="0.2">
      <c r="A483" t="s">
        <v>4439</v>
      </c>
      <c r="B483" t="s">
        <v>3668</v>
      </c>
      <c r="C483" s="11">
        <v>500000</v>
      </c>
      <c r="D483" t="s">
        <v>306</v>
      </c>
      <c r="E483" t="s">
        <v>444</v>
      </c>
      <c r="F483" s="4">
        <v>40546</v>
      </c>
      <c r="G483" s="11">
        <v>0</v>
      </c>
      <c r="H483" s="11">
        <v>500000</v>
      </c>
    </row>
    <row r="484" spans="1:8" x14ac:dyDescent="0.2">
      <c r="A484" t="s">
        <v>4454</v>
      </c>
      <c r="B484" t="s">
        <v>1237</v>
      </c>
      <c r="C484" s="11">
        <v>2350000</v>
      </c>
      <c r="D484" t="s">
        <v>306</v>
      </c>
      <c r="E484" t="s">
        <v>885</v>
      </c>
      <c r="F484" s="4">
        <v>39149</v>
      </c>
      <c r="G484" s="11">
        <v>0</v>
      </c>
      <c r="H484" s="11">
        <v>2350000</v>
      </c>
    </row>
    <row r="485" spans="1:8" x14ac:dyDescent="0.2">
      <c r="A485" t="s">
        <v>4455</v>
      </c>
      <c r="B485" t="s">
        <v>1374</v>
      </c>
      <c r="C485" s="11">
        <v>650000</v>
      </c>
      <c r="D485" t="s">
        <v>306</v>
      </c>
      <c r="E485" t="s">
        <v>885</v>
      </c>
      <c r="F485" s="4">
        <v>39266</v>
      </c>
      <c r="G485" s="11">
        <v>0</v>
      </c>
      <c r="H485" s="11">
        <v>650000</v>
      </c>
    </row>
    <row r="486" spans="1:8" x14ac:dyDescent="0.2">
      <c r="A486" t="s">
        <v>2708</v>
      </c>
      <c r="B486" t="s">
        <v>791</v>
      </c>
      <c r="C486" s="11">
        <v>0</v>
      </c>
      <c r="D486" t="s">
        <v>306</v>
      </c>
      <c r="E486" t="s">
        <v>516</v>
      </c>
      <c r="F486" s="4">
        <v>38874</v>
      </c>
      <c r="G486" s="11">
        <v>0</v>
      </c>
      <c r="H486" s="11">
        <v>0</v>
      </c>
    </row>
    <row r="487" spans="1:8" x14ac:dyDescent="0.2">
      <c r="A487" t="s">
        <v>2709</v>
      </c>
      <c r="B487" t="s">
        <v>213</v>
      </c>
      <c r="C487" s="11">
        <v>1000000</v>
      </c>
      <c r="D487" t="s">
        <v>306</v>
      </c>
      <c r="E487" t="s">
        <v>444</v>
      </c>
      <c r="F487" s="4">
        <v>39540</v>
      </c>
      <c r="G487" s="11">
        <v>0</v>
      </c>
      <c r="H487" s="11">
        <v>1000000</v>
      </c>
    </row>
    <row r="488" spans="1:8" x14ac:dyDescent="0.2">
      <c r="A488" t="s">
        <v>4481</v>
      </c>
      <c r="B488" t="s">
        <v>4482</v>
      </c>
      <c r="C488" s="11">
        <v>1000000</v>
      </c>
      <c r="D488" t="s">
        <v>306</v>
      </c>
      <c r="E488" t="s">
        <v>885</v>
      </c>
      <c r="F488" s="4">
        <v>41219</v>
      </c>
      <c r="G488" s="11">
        <v>0</v>
      </c>
      <c r="H488" s="11">
        <v>1000000</v>
      </c>
    </row>
    <row r="489" spans="1:8" x14ac:dyDescent="0.2">
      <c r="A489" t="s">
        <v>3666</v>
      </c>
      <c r="B489" t="s">
        <v>3667</v>
      </c>
      <c r="C489" s="11">
        <v>2000000</v>
      </c>
      <c r="D489" t="s">
        <v>306</v>
      </c>
      <c r="E489" t="s">
        <v>3008</v>
      </c>
      <c r="F489" s="4">
        <v>40532</v>
      </c>
      <c r="G489" s="11">
        <v>0</v>
      </c>
      <c r="H489" s="11">
        <v>2000000</v>
      </c>
    </row>
    <row r="490" spans="1:8" x14ac:dyDescent="0.2">
      <c r="A490" t="s">
        <v>4512</v>
      </c>
      <c r="B490" t="s">
        <v>4513</v>
      </c>
      <c r="C490" s="11">
        <v>500000</v>
      </c>
      <c r="D490" t="s">
        <v>306</v>
      </c>
      <c r="E490" t="s">
        <v>885</v>
      </c>
      <c r="F490" s="4">
        <v>41316</v>
      </c>
      <c r="G490" s="11">
        <v>0</v>
      </c>
      <c r="H490" s="11">
        <v>500000</v>
      </c>
    </row>
    <row r="491" spans="1:8" x14ac:dyDescent="0.2">
      <c r="A491" t="s">
        <v>3054</v>
      </c>
      <c r="B491" t="s">
        <v>1668</v>
      </c>
      <c r="C491" s="11">
        <v>0</v>
      </c>
      <c r="D491" t="s">
        <v>306</v>
      </c>
      <c r="E491" t="s">
        <v>444</v>
      </c>
      <c r="F491" s="4">
        <v>38974</v>
      </c>
      <c r="G491" s="11">
        <v>0</v>
      </c>
      <c r="H491" s="11">
        <v>0</v>
      </c>
    </row>
    <row r="492" spans="1:8" x14ac:dyDescent="0.2">
      <c r="A492" t="s">
        <v>368</v>
      </c>
      <c r="B492" t="s">
        <v>369</v>
      </c>
      <c r="C492" s="11">
        <v>1000000</v>
      </c>
      <c r="D492" t="s">
        <v>370</v>
      </c>
      <c r="E492" t="s">
        <v>290</v>
      </c>
      <c r="F492" s="4">
        <v>34151</v>
      </c>
      <c r="G492" s="11">
        <v>1000000</v>
      </c>
      <c r="H492" s="11">
        <v>0</v>
      </c>
    </row>
    <row r="493" spans="1:8" x14ac:dyDescent="0.2">
      <c r="A493" t="s">
        <v>382</v>
      </c>
      <c r="B493" t="s">
        <v>1689</v>
      </c>
      <c r="C493" s="11">
        <v>2500000</v>
      </c>
      <c r="D493" t="s">
        <v>370</v>
      </c>
      <c r="E493" t="s">
        <v>290</v>
      </c>
      <c r="F493" s="4">
        <v>34151</v>
      </c>
      <c r="G493" s="11">
        <v>2500000</v>
      </c>
      <c r="H493" s="11">
        <v>0</v>
      </c>
    </row>
    <row r="494" spans="1:8" x14ac:dyDescent="0.2">
      <c r="A494" t="s">
        <v>1695</v>
      </c>
      <c r="B494" t="s">
        <v>1696</v>
      </c>
      <c r="C494" s="11">
        <v>7700000</v>
      </c>
      <c r="D494" t="s">
        <v>370</v>
      </c>
      <c r="E494" t="s">
        <v>290</v>
      </c>
      <c r="F494" s="4">
        <v>34151</v>
      </c>
      <c r="G494" s="11">
        <v>7699999.9899999993</v>
      </c>
      <c r="H494" s="11">
        <v>0.01</v>
      </c>
    </row>
    <row r="495" spans="1:8" x14ac:dyDescent="0.2">
      <c r="A495" t="s">
        <v>1765</v>
      </c>
      <c r="B495" t="s">
        <v>1766</v>
      </c>
      <c r="C495" s="11">
        <v>10800000</v>
      </c>
      <c r="D495" t="s">
        <v>370</v>
      </c>
      <c r="E495" t="s">
        <v>1710</v>
      </c>
      <c r="F495" s="4">
        <v>35713</v>
      </c>
      <c r="G495" s="11">
        <v>10800000</v>
      </c>
      <c r="H495" s="11">
        <v>0</v>
      </c>
    </row>
    <row r="496" spans="1:8" x14ac:dyDescent="0.2">
      <c r="A496" t="s">
        <v>1775</v>
      </c>
      <c r="B496" t="s">
        <v>1776</v>
      </c>
      <c r="C496" s="11">
        <v>17500000</v>
      </c>
      <c r="D496" t="s">
        <v>370</v>
      </c>
      <c r="E496" t="s">
        <v>313</v>
      </c>
      <c r="F496" s="4">
        <v>35810</v>
      </c>
      <c r="G496" s="11">
        <v>17500000</v>
      </c>
      <c r="H496" s="11">
        <v>0</v>
      </c>
    </row>
    <row r="497" spans="1:8" x14ac:dyDescent="0.2">
      <c r="A497" t="s">
        <v>1963</v>
      </c>
      <c r="B497" t="s">
        <v>1964</v>
      </c>
      <c r="C497" s="11">
        <v>700000</v>
      </c>
      <c r="D497" t="s">
        <v>370</v>
      </c>
      <c r="E497" t="s">
        <v>1710</v>
      </c>
      <c r="F497" s="4">
        <v>35891</v>
      </c>
      <c r="G497" s="11">
        <v>700000</v>
      </c>
      <c r="H497" s="11">
        <v>0</v>
      </c>
    </row>
    <row r="498" spans="1:8" x14ac:dyDescent="0.2">
      <c r="A498" t="s">
        <v>1965</v>
      </c>
      <c r="B498" t="s">
        <v>4064</v>
      </c>
      <c r="C498" s="11">
        <v>0</v>
      </c>
      <c r="D498" t="s">
        <v>370</v>
      </c>
      <c r="E498" t="s">
        <v>1710</v>
      </c>
      <c r="F498" s="4">
        <v>38380</v>
      </c>
      <c r="G498" s="11">
        <v>0</v>
      </c>
      <c r="H498" s="11">
        <v>0</v>
      </c>
    </row>
    <row r="499" spans="1:8" x14ac:dyDescent="0.2">
      <c r="A499" t="s">
        <v>2050</v>
      </c>
      <c r="B499" t="s">
        <v>2051</v>
      </c>
      <c r="C499" s="11">
        <v>1385000</v>
      </c>
      <c r="D499" t="s">
        <v>370</v>
      </c>
      <c r="E499" t="s">
        <v>1710</v>
      </c>
      <c r="F499" s="4">
        <v>37071</v>
      </c>
      <c r="G499" s="11">
        <v>1385000</v>
      </c>
      <c r="H499" s="11">
        <v>0</v>
      </c>
    </row>
    <row r="500" spans="1:8" x14ac:dyDescent="0.2">
      <c r="A500" t="s">
        <v>2219</v>
      </c>
      <c r="B500" t="s">
        <v>2220</v>
      </c>
      <c r="C500" s="11">
        <v>970000</v>
      </c>
      <c r="D500" t="s">
        <v>370</v>
      </c>
      <c r="E500" t="s">
        <v>969</v>
      </c>
      <c r="F500" s="4">
        <v>37167</v>
      </c>
      <c r="G500" s="11">
        <v>970000</v>
      </c>
      <c r="H500" s="11">
        <v>0</v>
      </c>
    </row>
    <row r="501" spans="1:8" x14ac:dyDescent="0.2">
      <c r="A501" t="s">
        <v>2353</v>
      </c>
      <c r="B501" t="s">
        <v>2354</v>
      </c>
      <c r="C501" s="11">
        <v>3000000</v>
      </c>
      <c r="D501" t="s">
        <v>370</v>
      </c>
      <c r="E501" t="s">
        <v>516</v>
      </c>
      <c r="F501" s="4">
        <v>37755</v>
      </c>
      <c r="G501" s="11">
        <v>3000000</v>
      </c>
      <c r="H501" s="11">
        <v>0</v>
      </c>
    </row>
    <row r="502" spans="1:8" x14ac:dyDescent="0.2">
      <c r="A502" t="s">
        <v>2496</v>
      </c>
      <c r="B502" t="s">
        <v>2497</v>
      </c>
      <c r="C502" s="11">
        <v>3250000</v>
      </c>
      <c r="D502" t="s">
        <v>370</v>
      </c>
      <c r="E502" t="s">
        <v>516</v>
      </c>
      <c r="F502" s="4">
        <v>38555</v>
      </c>
      <c r="G502" s="11">
        <v>3250000</v>
      </c>
      <c r="H502" s="11">
        <v>0</v>
      </c>
    </row>
    <row r="503" spans="1:8" x14ac:dyDescent="0.2">
      <c r="A503" t="s">
        <v>1297</v>
      </c>
      <c r="B503" t="s">
        <v>2497</v>
      </c>
      <c r="C503" s="11">
        <v>1750000</v>
      </c>
      <c r="D503" t="s">
        <v>370</v>
      </c>
      <c r="E503" t="s">
        <v>516</v>
      </c>
      <c r="F503" s="4">
        <v>38555</v>
      </c>
      <c r="G503" s="11">
        <v>1750000</v>
      </c>
      <c r="H503" s="11">
        <v>0</v>
      </c>
    </row>
    <row r="504" spans="1:8" x14ac:dyDescent="0.2">
      <c r="A504" t="s">
        <v>2685</v>
      </c>
      <c r="B504" t="s">
        <v>2686</v>
      </c>
      <c r="C504" s="11">
        <v>1600000</v>
      </c>
      <c r="D504" t="s">
        <v>370</v>
      </c>
      <c r="E504" t="s">
        <v>516</v>
      </c>
      <c r="F504" s="4">
        <v>37656</v>
      </c>
      <c r="G504" s="11">
        <v>1599999.9999999998</v>
      </c>
      <c r="H504" s="11">
        <v>0</v>
      </c>
    </row>
    <row r="505" spans="1:8" x14ac:dyDescent="0.2">
      <c r="A505" t="s">
        <v>2139</v>
      </c>
      <c r="B505" t="s">
        <v>2096</v>
      </c>
      <c r="C505" s="11">
        <v>2150000</v>
      </c>
      <c r="D505" t="s">
        <v>370</v>
      </c>
      <c r="E505" t="s">
        <v>444</v>
      </c>
      <c r="F505" s="4">
        <v>39890</v>
      </c>
      <c r="G505" s="11">
        <v>1168431</v>
      </c>
      <c r="H505" s="11">
        <v>981569</v>
      </c>
    </row>
    <row r="506" spans="1:8" x14ac:dyDescent="0.2">
      <c r="A506" t="s">
        <v>1853</v>
      </c>
      <c r="B506" t="s">
        <v>1298</v>
      </c>
      <c r="C506" s="11">
        <v>2000000</v>
      </c>
      <c r="D506" t="s">
        <v>370</v>
      </c>
      <c r="E506" t="s">
        <v>516</v>
      </c>
      <c r="F506" s="4">
        <v>38806</v>
      </c>
      <c r="G506" s="11">
        <v>2000000</v>
      </c>
      <c r="H506" s="11">
        <v>0</v>
      </c>
    </row>
    <row r="507" spans="1:8" x14ac:dyDescent="0.2">
      <c r="A507" t="s">
        <v>198</v>
      </c>
      <c r="B507" t="s">
        <v>199</v>
      </c>
      <c r="C507" s="11">
        <v>2000000</v>
      </c>
      <c r="D507" t="s">
        <v>370</v>
      </c>
      <c r="E507" t="s">
        <v>516</v>
      </c>
      <c r="F507" s="4">
        <v>38757</v>
      </c>
      <c r="G507" s="11">
        <v>2000000</v>
      </c>
      <c r="H507" s="11">
        <v>0</v>
      </c>
    </row>
    <row r="508" spans="1:8" x14ac:dyDescent="0.2">
      <c r="A508" t="s">
        <v>2558</v>
      </c>
      <c r="B508" t="s">
        <v>1191</v>
      </c>
      <c r="C508" s="11">
        <v>1300000</v>
      </c>
      <c r="D508" t="s">
        <v>370</v>
      </c>
      <c r="E508" t="s">
        <v>888</v>
      </c>
      <c r="F508" s="4">
        <v>39735</v>
      </c>
      <c r="G508" s="11">
        <v>1296811</v>
      </c>
      <c r="H508" s="11">
        <v>3189</v>
      </c>
    </row>
    <row r="509" spans="1:8" x14ac:dyDescent="0.2">
      <c r="A509" t="s">
        <v>4167</v>
      </c>
      <c r="B509" t="s">
        <v>3435</v>
      </c>
      <c r="C509" s="11">
        <v>2000000</v>
      </c>
      <c r="D509" t="s">
        <v>370</v>
      </c>
      <c r="E509" t="s">
        <v>516</v>
      </c>
      <c r="F509" s="4">
        <v>40497</v>
      </c>
      <c r="G509" s="11">
        <v>0</v>
      </c>
      <c r="H509" s="11">
        <v>2000000</v>
      </c>
    </row>
    <row r="510" spans="1:8" x14ac:dyDescent="0.2">
      <c r="A510" t="s">
        <v>4168</v>
      </c>
      <c r="B510" t="s">
        <v>3434</v>
      </c>
      <c r="C510" s="11">
        <v>3500000</v>
      </c>
      <c r="D510" t="s">
        <v>370</v>
      </c>
      <c r="E510" t="s">
        <v>888</v>
      </c>
      <c r="F510" s="4">
        <v>40497</v>
      </c>
      <c r="G510" s="11">
        <v>0</v>
      </c>
      <c r="H510" s="11">
        <v>3500000</v>
      </c>
    </row>
    <row r="511" spans="1:8" x14ac:dyDescent="0.2">
      <c r="A511" t="s">
        <v>4169</v>
      </c>
      <c r="B511" t="s">
        <v>3669</v>
      </c>
      <c r="C511" s="11">
        <v>1000000</v>
      </c>
      <c r="D511" t="s">
        <v>370</v>
      </c>
      <c r="E511" t="s">
        <v>444</v>
      </c>
      <c r="F511" s="4">
        <v>40546</v>
      </c>
      <c r="G511" s="11">
        <v>50563</v>
      </c>
      <c r="H511" s="11">
        <v>949437</v>
      </c>
    </row>
    <row r="512" spans="1:8" x14ac:dyDescent="0.2">
      <c r="A512" t="s">
        <v>518</v>
      </c>
      <c r="B512" t="s">
        <v>519</v>
      </c>
      <c r="C512" s="11">
        <v>3250000</v>
      </c>
      <c r="D512" t="s">
        <v>520</v>
      </c>
      <c r="E512" t="s">
        <v>969</v>
      </c>
      <c r="F512" s="4">
        <v>36348</v>
      </c>
      <c r="G512" s="11">
        <v>3250000</v>
      </c>
      <c r="H512" s="11">
        <v>0</v>
      </c>
    </row>
    <row r="513" spans="1:8" x14ac:dyDescent="0.2">
      <c r="A513" t="s">
        <v>2422</v>
      </c>
      <c r="B513" t="s">
        <v>2423</v>
      </c>
      <c r="C513" s="11">
        <v>15000000</v>
      </c>
      <c r="D513" t="s">
        <v>520</v>
      </c>
      <c r="E513" t="s">
        <v>2424</v>
      </c>
      <c r="F513" s="4">
        <v>38009</v>
      </c>
      <c r="G513" s="11">
        <v>15000000</v>
      </c>
      <c r="H513" s="11">
        <v>0</v>
      </c>
    </row>
    <row r="514" spans="1:8" x14ac:dyDescent="0.2">
      <c r="A514" t="s">
        <v>1479</v>
      </c>
      <c r="B514" t="s">
        <v>1239</v>
      </c>
      <c r="C514" s="11">
        <v>1500000</v>
      </c>
      <c r="D514" t="s">
        <v>520</v>
      </c>
      <c r="E514" t="s">
        <v>885</v>
      </c>
      <c r="F514" s="4">
        <v>39149</v>
      </c>
      <c r="G514" s="11">
        <v>1500000</v>
      </c>
      <c r="H514" s="11">
        <v>0</v>
      </c>
    </row>
    <row r="515" spans="1:8" x14ac:dyDescent="0.2">
      <c r="A515" t="s">
        <v>4170</v>
      </c>
      <c r="B515" t="s">
        <v>519</v>
      </c>
      <c r="C515" s="11">
        <v>5000000</v>
      </c>
      <c r="D515" t="s">
        <v>520</v>
      </c>
      <c r="E515" t="s">
        <v>3008</v>
      </c>
      <c r="F515" s="4">
        <v>40497</v>
      </c>
      <c r="G515" s="11">
        <v>0</v>
      </c>
      <c r="H515" s="11">
        <v>5000000</v>
      </c>
    </row>
    <row r="516" spans="1:8" x14ac:dyDescent="0.2">
      <c r="A516" t="s">
        <v>4514</v>
      </c>
      <c r="B516" t="s">
        <v>4515</v>
      </c>
      <c r="C516" s="11">
        <v>2000000</v>
      </c>
      <c r="D516" t="s">
        <v>520</v>
      </c>
      <c r="E516" t="s">
        <v>3031</v>
      </c>
      <c r="F516" s="4">
        <v>41316</v>
      </c>
      <c r="G516" s="11">
        <v>0</v>
      </c>
      <c r="H516" s="11">
        <v>2000000</v>
      </c>
    </row>
    <row r="517" spans="1:8" x14ac:dyDescent="0.2">
      <c r="A517" t="s">
        <v>282</v>
      </c>
      <c r="B517" t="s">
        <v>283</v>
      </c>
      <c r="C517" s="11">
        <v>400000</v>
      </c>
      <c r="D517" t="s">
        <v>284</v>
      </c>
      <c r="E517" t="s">
        <v>1564</v>
      </c>
      <c r="G517" s="11">
        <v>400000</v>
      </c>
      <c r="H517" s="11">
        <v>0</v>
      </c>
    </row>
    <row r="518" spans="1:8" x14ac:dyDescent="0.2">
      <c r="A518" t="s">
        <v>2271</v>
      </c>
      <c r="B518" t="s">
        <v>2272</v>
      </c>
      <c r="C518" s="11">
        <v>750000</v>
      </c>
      <c r="D518" t="s">
        <v>284</v>
      </c>
      <c r="E518" t="s">
        <v>969</v>
      </c>
      <c r="F518" s="4">
        <v>37555</v>
      </c>
      <c r="G518" s="11">
        <v>750000</v>
      </c>
      <c r="H518" s="11">
        <v>0</v>
      </c>
    </row>
    <row r="519" spans="1:8" x14ac:dyDescent="0.2">
      <c r="A519" t="s">
        <v>1832</v>
      </c>
      <c r="B519" t="s">
        <v>1316</v>
      </c>
      <c r="C519" s="11">
        <v>3000000</v>
      </c>
      <c r="D519" t="s">
        <v>284</v>
      </c>
      <c r="E519" t="s">
        <v>885</v>
      </c>
      <c r="F519" s="4">
        <v>38813</v>
      </c>
      <c r="G519" s="11">
        <v>3000000</v>
      </c>
      <c r="H519" s="11">
        <v>0</v>
      </c>
    </row>
    <row r="520" spans="1:8" x14ac:dyDescent="0.2">
      <c r="A520" t="s">
        <v>1299</v>
      </c>
      <c r="B520" t="s">
        <v>1300</v>
      </c>
      <c r="C520" s="11">
        <v>7900000</v>
      </c>
      <c r="D520" t="s">
        <v>284</v>
      </c>
      <c r="E520" t="s">
        <v>516</v>
      </c>
      <c r="F520" s="4">
        <v>37628</v>
      </c>
      <c r="G520" s="11">
        <v>7900000</v>
      </c>
      <c r="H520" s="11">
        <v>0</v>
      </c>
    </row>
    <row r="521" spans="1:8" x14ac:dyDescent="0.2">
      <c r="A521" t="s">
        <v>2293</v>
      </c>
      <c r="B521" t="s">
        <v>2294</v>
      </c>
      <c r="C521" s="11">
        <v>5000000</v>
      </c>
      <c r="D521" t="s">
        <v>284</v>
      </c>
      <c r="E521" t="s">
        <v>2107</v>
      </c>
      <c r="F521" s="4">
        <v>37613</v>
      </c>
      <c r="G521" s="11">
        <v>5000000</v>
      </c>
      <c r="H521" s="11">
        <v>0</v>
      </c>
    </row>
    <row r="522" spans="1:8" x14ac:dyDescent="0.2">
      <c r="A522" t="s">
        <v>2301</v>
      </c>
      <c r="B522" t="s">
        <v>2302</v>
      </c>
      <c r="C522" s="11">
        <v>768000</v>
      </c>
      <c r="D522" t="s">
        <v>284</v>
      </c>
      <c r="E522" t="s">
        <v>516</v>
      </c>
      <c r="F522" s="4">
        <v>37555</v>
      </c>
      <c r="G522" s="11">
        <v>487955</v>
      </c>
      <c r="H522" s="11">
        <v>280045</v>
      </c>
    </row>
    <row r="523" spans="1:8" x14ac:dyDescent="0.2">
      <c r="A523" t="s">
        <v>2337</v>
      </c>
      <c r="B523" t="s">
        <v>2338</v>
      </c>
      <c r="C523" s="11">
        <v>2000000</v>
      </c>
      <c r="D523" t="s">
        <v>284</v>
      </c>
      <c r="E523" t="s">
        <v>2107</v>
      </c>
      <c r="F523" s="4">
        <v>37533</v>
      </c>
      <c r="G523" s="11">
        <v>1902116</v>
      </c>
      <c r="H523" s="11">
        <v>97884</v>
      </c>
    </row>
    <row r="524" spans="1:8" x14ac:dyDescent="0.2">
      <c r="A524" t="s">
        <v>2339</v>
      </c>
      <c r="B524" t="s">
        <v>2340</v>
      </c>
      <c r="C524" s="11">
        <v>2500000</v>
      </c>
      <c r="D524" t="s">
        <v>284</v>
      </c>
      <c r="E524" t="s">
        <v>516</v>
      </c>
      <c r="F524" s="4">
        <v>37583</v>
      </c>
      <c r="G524" s="11">
        <v>2500000</v>
      </c>
      <c r="H524" s="11">
        <v>0</v>
      </c>
    </row>
    <row r="525" spans="1:8" x14ac:dyDescent="0.2">
      <c r="A525" t="s">
        <v>2345</v>
      </c>
      <c r="B525" t="s">
        <v>2346</v>
      </c>
      <c r="C525" s="11">
        <v>1000000</v>
      </c>
      <c r="D525" t="s">
        <v>284</v>
      </c>
      <c r="E525" t="s">
        <v>516</v>
      </c>
      <c r="F525" s="4">
        <v>37588</v>
      </c>
      <c r="G525" s="11">
        <v>913074.15</v>
      </c>
      <c r="H525" s="11">
        <v>86925.85</v>
      </c>
    </row>
    <row r="526" spans="1:8" x14ac:dyDescent="0.2">
      <c r="A526" t="s">
        <v>1301</v>
      </c>
      <c r="B526" t="s">
        <v>1302</v>
      </c>
      <c r="C526" s="11">
        <v>1245105</v>
      </c>
      <c r="D526" t="s">
        <v>284</v>
      </c>
      <c r="E526" t="s">
        <v>2107</v>
      </c>
      <c r="F526" s="4">
        <v>37555</v>
      </c>
      <c r="G526" s="11">
        <v>1245105</v>
      </c>
      <c r="H526" s="11">
        <v>0</v>
      </c>
    </row>
    <row r="527" spans="1:8" x14ac:dyDescent="0.2">
      <c r="A527" t="s">
        <v>2415</v>
      </c>
      <c r="B527" t="s">
        <v>2416</v>
      </c>
      <c r="C527" s="11">
        <v>1850000</v>
      </c>
      <c r="D527" t="s">
        <v>284</v>
      </c>
      <c r="E527" t="s">
        <v>885</v>
      </c>
      <c r="F527" s="4">
        <v>38226</v>
      </c>
      <c r="G527" s="11">
        <v>1850000</v>
      </c>
      <c r="H527" s="11">
        <v>0</v>
      </c>
    </row>
    <row r="528" spans="1:8" x14ac:dyDescent="0.2">
      <c r="A528" t="s">
        <v>2516</v>
      </c>
      <c r="B528" t="s">
        <v>2517</v>
      </c>
      <c r="C528" s="11">
        <v>1500000</v>
      </c>
      <c r="D528" t="s">
        <v>284</v>
      </c>
      <c r="E528" t="s">
        <v>516</v>
      </c>
      <c r="F528" s="4">
        <v>37583</v>
      </c>
      <c r="G528" s="11">
        <v>1500000</v>
      </c>
      <c r="H528" s="11">
        <v>0</v>
      </c>
    </row>
    <row r="529" spans="1:8" x14ac:dyDescent="0.2">
      <c r="A529" t="s">
        <v>2646</v>
      </c>
      <c r="B529" t="s">
        <v>2647</v>
      </c>
      <c r="C529" s="11">
        <v>4500000</v>
      </c>
      <c r="D529" t="s">
        <v>284</v>
      </c>
      <c r="E529" t="s">
        <v>516</v>
      </c>
      <c r="F529" s="4">
        <v>37583</v>
      </c>
      <c r="G529" s="11">
        <v>4500000</v>
      </c>
      <c r="H529" s="11">
        <v>0</v>
      </c>
    </row>
    <row r="530" spans="1:8" x14ac:dyDescent="0.2">
      <c r="A530" t="s">
        <v>2713</v>
      </c>
      <c r="B530" t="s">
        <v>2647</v>
      </c>
      <c r="C530" s="11">
        <v>1200000</v>
      </c>
      <c r="D530" t="s">
        <v>284</v>
      </c>
      <c r="E530" t="s">
        <v>444</v>
      </c>
      <c r="F530" s="4">
        <v>40232</v>
      </c>
      <c r="G530" s="11">
        <v>1200000</v>
      </c>
      <c r="H530" s="11">
        <v>0</v>
      </c>
    </row>
    <row r="531" spans="1:8" x14ac:dyDescent="0.2">
      <c r="A531" t="s">
        <v>2679</v>
      </c>
      <c r="B531" t="s">
        <v>2680</v>
      </c>
      <c r="C531" s="11">
        <v>2000000</v>
      </c>
      <c r="D531" t="s">
        <v>284</v>
      </c>
      <c r="E531" t="s">
        <v>885</v>
      </c>
      <c r="F531" s="4">
        <v>38226</v>
      </c>
      <c r="G531" s="11">
        <v>0</v>
      </c>
      <c r="H531" s="11">
        <v>2000000</v>
      </c>
    </row>
    <row r="532" spans="1:8" x14ac:dyDescent="0.2">
      <c r="A532" t="s">
        <v>163</v>
      </c>
      <c r="B532" t="s">
        <v>164</v>
      </c>
      <c r="C532" s="11">
        <v>500000</v>
      </c>
      <c r="D532" t="s">
        <v>284</v>
      </c>
      <c r="E532" t="s">
        <v>885</v>
      </c>
      <c r="F532" s="4">
        <v>38456</v>
      </c>
      <c r="G532" s="11">
        <v>500000</v>
      </c>
      <c r="H532" s="11">
        <v>0</v>
      </c>
    </row>
    <row r="533" spans="1:8" x14ac:dyDescent="0.2">
      <c r="A533" t="s">
        <v>1889</v>
      </c>
      <c r="B533" t="s">
        <v>1890</v>
      </c>
      <c r="C533" s="11">
        <v>1000000</v>
      </c>
      <c r="D533" t="s">
        <v>284</v>
      </c>
      <c r="E533" t="s">
        <v>444</v>
      </c>
      <c r="F533" s="4">
        <v>39170</v>
      </c>
      <c r="G533" s="11">
        <v>1000000</v>
      </c>
      <c r="H533" s="11">
        <v>0</v>
      </c>
    </row>
    <row r="534" spans="1:8" x14ac:dyDescent="0.2">
      <c r="A534" t="s">
        <v>902</v>
      </c>
      <c r="B534" t="s">
        <v>903</v>
      </c>
      <c r="C534" s="11">
        <v>1000000</v>
      </c>
      <c r="D534" t="s">
        <v>284</v>
      </c>
      <c r="E534" t="s">
        <v>444</v>
      </c>
      <c r="F534" s="4">
        <v>39688</v>
      </c>
      <c r="G534" s="11">
        <v>1000000</v>
      </c>
      <c r="H534" s="11">
        <v>0</v>
      </c>
    </row>
    <row r="535" spans="1:8" x14ac:dyDescent="0.2">
      <c r="A535" t="s">
        <v>904</v>
      </c>
      <c r="B535" t="s">
        <v>905</v>
      </c>
      <c r="C535" s="11">
        <v>250000</v>
      </c>
      <c r="D535" t="s">
        <v>284</v>
      </c>
      <c r="E535" t="s">
        <v>888</v>
      </c>
      <c r="F535" s="4">
        <v>39736</v>
      </c>
      <c r="G535" s="11">
        <v>250000</v>
      </c>
      <c r="H535" s="11">
        <v>0</v>
      </c>
    </row>
    <row r="536" spans="1:8" x14ac:dyDescent="0.2">
      <c r="A536" t="s">
        <v>2843</v>
      </c>
      <c r="B536" t="s">
        <v>2953</v>
      </c>
      <c r="C536" s="11">
        <v>1000000</v>
      </c>
      <c r="D536" t="s">
        <v>284</v>
      </c>
      <c r="E536" t="s">
        <v>888</v>
      </c>
      <c r="F536" s="4">
        <v>40316</v>
      </c>
      <c r="G536" s="11">
        <v>0</v>
      </c>
      <c r="H536" s="11">
        <v>1000000</v>
      </c>
    </row>
    <row r="537" spans="1:8" x14ac:dyDescent="0.2">
      <c r="A537" t="s">
        <v>2954</v>
      </c>
      <c r="B537" t="s">
        <v>2955</v>
      </c>
      <c r="C537" s="11">
        <v>1000000</v>
      </c>
      <c r="D537" t="s">
        <v>284</v>
      </c>
      <c r="E537" t="s">
        <v>444</v>
      </c>
      <c r="F537" s="4">
        <v>40374</v>
      </c>
      <c r="G537" s="11">
        <v>0</v>
      </c>
      <c r="H537" s="11">
        <v>1000000</v>
      </c>
    </row>
    <row r="538" spans="1:8" x14ac:dyDescent="0.2">
      <c r="A538" t="s">
        <v>3436</v>
      </c>
      <c r="B538" t="s">
        <v>3437</v>
      </c>
      <c r="C538" s="11">
        <v>1000000</v>
      </c>
      <c r="D538" t="s">
        <v>284</v>
      </c>
      <c r="E538" t="s">
        <v>888</v>
      </c>
      <c r="F538" s="4">
        <v>40500</v>
      </c>
      <c r="G538" s="11">
        <v>0</v>
      </c>
      <c r="H538" s="11">
        <v>1000000</v>
      </c>
    </row>
    <row r="539" spans="1:8" x14ac:dyDescent="0.2">
      <c r="A539" t="s">
        <v>4516</v>
      </c>
      <c r="B539" t="s">
        <v>4517</v>
      </c>
      <c r="C539" s="11">
        <v>3000000</v>
      </c>
      <c r="D539" t="s">
        <v>284</v>
      </c>
      <c r="E539" t="s">
        <v>885</v>
      </c>
      <c r="F539" s="4">
        <v>41316</v>
      </c>
      <c r="G539" s="11">
        <v>0</v>
      </c>
      <c r="H539" s="11">
        <v>3000000</v>
      </c>
    </row>
    <row r="540" spans="1:8" x14ac:dyDescent="0.2">
      <c r="A540" t="s">
        <v>47</v>
      </c>
      <c r="B540" t="s">
        <v>48</v>
      </c>
      <c r="C540" s="11">
        <v>500000</v>
      </c>
      <c r="D540" t="s">
        <v>284</v>
      </c>
      <c r="E540" t="s">
        <v>885</v>
      </c>
      <c r="F540" s="4">
        <v>38456</v>
      </c>
      <c r="G540" s="11">
        <v>500000</v>
      </c>
      <c r="H540" s="11">
        <v>0</v>
      </c>
    </row>
    <row r="541" spans="1:8" x14ac:dyDescent="0.2">
      <c r="A541" t="s">
        <v>49</v>
      </c>
      <c r="B541" t="s">
        <v>50</v>
      </c>
      <c r="C541" s="11">
        <v>500000</v>
      </c>
      <c r="D541" t="s">
        <v>284</v>
      </c>
      <c r="E541" t="s">
        <v>885</v>
      </c>
      <c r="F541" s="4">
        <v>38456</v>
      </c>
      <c r="G541" s="11">
        <v>500000</v>
      </c>
      <c r="H541" s="11">
        <v>0</v>
      </c>
    </row>
    <row r="542" spans="1:8" x14ac:dyDescent="0.2">
      <c r="A542" t="s">
        <v>1489</v>
      </c>
      <c r="B542" t="s">
        <v>674</v>
      </c>
      <c r="C542" s="11">
        <v>700000</v>
      </c>
      <c r="D542" t="s">
        <v>284</v>
      </c>
      <c r="E542" t="s">
        <v>444</v>
      </c>
      <c r="F542" s="4">
        <v>38985</v>
      </c>
      <c r="G542" s="11">
        <v>700000</v>
      </c>
      <c r="H542" s="11">
        <v>0</v>
      </c>
    </row>
    <row r="543" spans="1:8" x14ac:dyDescent="0.2">
      <c r="A543" t="s">
        <v>214</v>
      </c>
      <c r="B543" t="s">
        <v>1246</v>
      </c>
      <c r="C543" s="11">
        <v>250000</v>
      </c>
      <c r="D543" t="s">
        <v>284</v>
      </c>
      <c r="E543" t="s">
        <v>444</v>
      </c>
      <c r="F543" s="4">
        <v>39168</v>
      </c>
      <c r="G543" s="11">
        <v>250000</v>
      </c>
      <c r="H543" s="11">
        <v>0</v>
      </c>
    </row>
    <row r="544" spans="1:8" x14ac:dyDescent="0.2">
      <c r="A544" t="s">
        <v>982</v>
      </c>
      <c r="B544" t="s">
        <v>1177</v>
      </c>
      <c r="C544" s="11">
        <v>250000</v>
      </c>
      <c r="D544" t="s">
        <v>284</v>
      </c>
      <c r="E544" t="s">
        <v>888</v>
      </c>
      <c r="F544" s="4">
        <v>39717</v>
      </c>
      <c r="G544" s="11">
        <v>250000</v>
      </c>
      <c r="H544" s="11">
        <v>0</v>
      </c>
    </row>
    <row r="545" spans="1:8" x14ac:dyDescent="0.2">
      <c r="A545" t="s">
        <v>2844</v>
      </c>
      <c r="B545" t="s">
        <v>2845</v>
      </c>
      <c r="C545" s="11">
        <v>1000000</v>
      </c>
      <c r="D545" t="s">
        <v>284</v>
      </c>
      <c r="E545" t="s">
        <v>888</v>
      </c>
      <c r="F545" s="4">
        <v>40316</v>
      </c>
      <c r="G545" s="11">
        <v>1000000</v>
      </c>
      <c r="H545" s="11">
        <v>0</v>
      </c>
    </row>
    <row r="546" spans="1:8" x14ac:dyDescent="0.2">
      <c r="A546" t="s">
        <v>3055</v>
      </c>
      <c r="B546" t="s">
        <v>3056</v>
      </c>
      <c r="C546" s="11">
        <v>500000</v>
      </c>
      <c r="D546" t="s">
        <v>284</v>
      </c>
      <c r="E546" t="s">
        <v>888</v>
      </c>
      <c r="F546" s="4">
        <v>40436</v>
      </c>
      <c r="G546" s="11">
        <v>465000</v>
      </c>
      <c r="H546" s="11">
        <v>35000</v>
      </c>
    </row>
    <row r="547" spans="1:8" x14ac:dyDescent="0.2">
      <c r="A547" t="s">
        <v>952</v>
      </c>
      <c r="B547" t="s">
        <v>406</v>
      </c>
      <c r="C547" s="11">
        <v>1000000</v>
      </c>
      <c r="D547" t="s">
        <v>284</v>
      </c>
      <c r="E547" t="s">
        <v>444</v>
      </c>
      <c r="F547" s="4">
        <v>39329</v>
      </c>
      <c r="G547" s="11">
        <v>757684</v>
      </c>
      <c r="H547" s="11">
        <v>242316</v>
      </c>
    </row>
    <row r="548" spans="1:8" x14ac:dyDescent="0.2">
      <c r="A548" t="s">
        <v>2956</v>
      </c>
      <c r="B548" t="s">
        <v>2957</v>
      </c>
      <c r="C548" s="11">
        <v>500000</v>
      </c>
      <c r="D548" t="s">
        <v>284</v>
      </c>
      <c r="E548" t="s">
        <v>444</v>
      </c>
      <c r="F548" s="4">
        <v>40374</v>
      </c>
      <c r="G548" s="11">
        <v>0</v>
      </c>
      <c r="H548" s="11">
        <v>500000</v>
      </c>
    </row>
    <row r="549" spans="1:8" x14ac:dyDescent="0.2">
      <c r="A549" t="s">
        <v>1038</v>
      </c>
      <c r="B549" t="s">
        <v>1141</v>
      </c>
      <c r="C549" s="11">
        <v>2000000</v>
      </c>
      <c r="D549" t="s">
        <v>284</v>
      </c>
      <c r="E549" t="s">
        <v>888</v>
      </c>
      <c r="F549" s="4">
        <v>39688</v>
      </c>
      <c r="G549" s="11">
        <v>2000000</v>
      </c>
      <c r="H549" s="11">
        <v>0</v>
      </c>
    </row>
    <row r="550" spans="1:8" x14ac:dyDescent="0.2">
      <c r="A550" t="s">
        <v>597</v>
      </c>
      <c r="B550" t="s">
        <v>2102</v>
      </c>
      <c r="C550" s="11">
        <v>2000000</v>
      </c>
      <c r="D550" t="s">
        <v>284</v>
      </c>
      <c r="E550" t="s">
        <v>888</v>
      </c>
      <c r="F550" s="4">
        <v>39930</v>
      </c>
      <c r="G550" s="11">
        <v>2000000</v>
      </c>
      <c r="H550" s="11">
        <v>0</v>
      </c>
    </row>
    <row r="551" spans="1:8" x14ac:dyDescent="0.2">
      <c r="A551" t="s">
        <v>3057</v>
      </c>
      <c r="B551" t="s">
        <v>3058</v>
      </c>
      <c r="C551" s="11">
        <v>1000000</v>
      </c>
      <c r="D551" t="s">
        <v>284</v>
      </c>
      <c r="E551" t="s">
        <v>888</v>
      </c>
      <c r="F551" s="4">
        <v>40393</v>
      </c>
      <c r="G551" s="11">
        <v>900000</v>
      </c>
      <c r="H551" s="11">
        <v>100000</v>
      </c>
    </row>
    <row r="552" spans="1:8" x14ac:dyDescent="0.2">
      <c r="A552" t="s">
        <v>2140</v>
      </c>
      <c r="B552" t="s">
        <v>1176</v>
      </c>
      <c r="C552" s="11">
        <v>500000</v>
      </c>
      <c r="D552" t="s">
        <v>284</v>
      </c>
      <c r="E552" t="s">
        <v>888</v>
      </c>
      <c r="F552" s="4">
        <v>39717</v>
      </c>
      <c r="G552" s="11">
        <v>487500</v>
      </c>
      <c r="H552" s="11">
        <v>12500</v>
      </c>
    </row>
    <row r="553" spans="1:8" x14ac:dyDescent="0.2">
      <c r="A553" t="s">
        <v>2846</v>
      </c>
      <c r="B553" t="s">
        <v>1395</v>
      </c>
      <c r="C553" s="11">
        <v>500000</v>
      </c>
      <c r="D553" t="s">
        <v>284</v>
      </c>
      <c r="E553" t="s">
        <v>885</v>
      </c>
      <c r="F553" s="4">
        <v>39329</v>
      </c>
      <c r="G553" s="11">
        <v>0</v>
      </c>
      <c r="H553" s="11">
        <v>500000</v>
      </c>
    </row>
    <row r="554" spans="1:8" x14ac:dyDescent="0.2">
      <c r="A554" t="s">
        <v>3670</v>
      </c>
      <c r="B554" t="s">
        <v>3671</v>
      </c>
      <c r="C554" s="11">
        <v>500000</v>
      </c>
      <c r="D554" t="s">
        <v>284</v>
      </c>
      <c r="E554" t="s">
        <v>885</v>
      </c>
      <c r="F554" s="4">
        <v>40546</v>
      </c>
      <c r="G554" s="11">
        <v>0</v>
      </c>
      <c r="H554" s="11">
        <v>500000</v>
      </c>
    </row>
    <row r="555" spans="1:8" x14ac:dyDescent="0.2">
      <c r="A555" t="s">
        <v>3438</v>
      </c>
      <c r="B555" t="s">
        <v>2847</v>
      </c>
      <c r="C555" s="11">
        <v>2000000</v>
      </c>
      <c r="D555" t="s">
        <v>284</v>
      </c>
      <c r="E555" t="s">
        <v>444</v>
      </c>
      <c r="F555" s="4">
        <v>40346</v>
      </c>
      <c r="G555" s="11">
        <v>1950000</v>
      </c>
      <c r="H555" s="11">
        <v>50000</v>
      </c>
    </row>
    <row r="556" spans="1:8" x14ac:dyDescent="0.2">
      <c r="A556" t="s">
        <v>3439</v>
      </c>
      <c r="B556" t="s">
        <v>2958</v>
      </c>
      <c r="C556" s="11">
        <v>1000000</v>
      </c>
      <c r="D556" t="s">
        <v>284</v>
      </c>
      <c r="E556" t="s">
        <v>444</v>
      </c>
      <c r="F556" s="4">
        <v>40374</v>
      </c>
      <c r="G556" s="11">
        <v>460759</v>
      </c>
      <c r="H556" s="11">
        <v>539241</v>
      </c>
    </row>
    <row r="557" spans="1:8" x14ac:dyDescent="0.2">
      <c r="A557" t="s">
        <v>3440</v>
      </c>
      <c r="B557" t="s">
        <v>3441</v>
      </c>
      <c r="C557" s="11">
        <v>2000000</v>
      </c>
      <c r="D557" t="s">
        <v>284</v>
      </c>
      <c r="E557" t="s">
        <v>3031</v>
      </c>
      <c r="F557" s="4">
        <v>40497</v>
      </c>
      <c r="G557" s="11">
        <v>0</v>
      </c>
      <c r="H557" s="11">
        <v>2000000</v>
      </c>
    </row>
    <row r="558" spans="1:8" x14ac:dyDescent="0.2">
      <c r="A558" t="s">
        <v>3672</v>
      </c>
      <c r="B558" t="s">
        <v>3673</v>
      </c>
      <c r="C558" s="11">
        <v>500000</v>
      </c>
      <c r="D558" t="s">
        <v>284</v>
      </c>
      <c r="E558" t="s">
        <v>3031</v>
      </c>
      <c r="F558" s="4">
        <v>40546</v>
      </c>
      <c r="G558" s="11">
        <v>0</v>
      </c>
      <c r="H558" s="11">
        <v>500000</v>
      </c>
    </row>
    <row r="559" spans="1:8" x14ac:dyDescent="0.2">
      <c r="A559" t="s">
        <v>3674</v>
      </c>
      <c r="B559" t="s">
        <v>3675</v>
      </c>
      <c r="C559" s="11">
        <v>2000000</v>
      </c>
      <c r="D559" t="s">
        <v>284</v>
      </c>
      <c r="E559" t="s">
        <v>3031</v>
      </c>
      <c r="F559" s="4">
        <v>40532</v>
      </c>
      <c r="G559" s="11">
        <v>0</v>
      </c>
      <c r="H559" s="11">
        <v>2000000</v>
      </c>
    </row>
    <row r="560" spans="1:8" x14ac:dyDescent="0.2">
      <c r="A560" t="s">
        <v>4261</v>
      </c>
      <c r="B560" t="s">
        <v>3442</v>
      </c>
      <c r="C560" s="11">
        <v>500000</v>
      </c>
      <c r="D560" t="s">
        <v>284</v>
      </c>
      <c r="E560" t="s">
        <v>888</v>
      </c>
      <c r="F560" s="4">
        <v>40436</v>
      </c>
      <c r="G560" s="11">
        <v>0</v>
      </c>
      <c r="H560" s="11">
        <v>500000</v>
      </c>
    </row>
    <row r="561" spans="1:8" x14ac:dyDescent="0.2">
      <c r="A561" t="s">
        <v>4105</v>
      </c>
      <c r="B561" t="s">
        <v>3443</v>
      </c>
      <c r="C561" s="11">
        <v>1000000</v>
      </c>
      <c r="D561" t="s">
        <v>284</v>
      </c>
      <c r="E561" t="s">
        <v>3031</v>
      </c>
      <c r="F561" s="4">
        <v>40499</v>
      </c>
      <c r="G561" s="11">
        <v>0</v>
      </c>
      <c r="H561" s="11">
        <v>1000000</v>
      </c>
    </row>
    <row r="562" spans="1:8" x14ac:dyDescent="0.2">
      <c r="A562" t="s">
        <v>4106</v>
      </c>
      <c r="B562" t="s">
        <v>3676</v>
      </c>
      <c r="C562" s="11">
        <v>2200000</v>
      </c>
      <c r="D562" t="s">
        <v>284</v>
      </c>
      <c r="E562" t="s">
        <v>3031</v>
      </c>
      <c r="F562" s="4">
        <v>40546</v>
      </c>
      <c r="G562" s="11">
        <v>0</v>
      </c>
      <c r="H562" s="11">
        <v>2200000</v>
      </c>
    </row>
    <row r="563" spans="1:8" x14ac:dyDescent="0.2">
      <c r="A563" t="s">
        <v>4107</v>
      </c>
      <c r="B563" t="s">
        <v>3683</v>
      </c>
      <c r="C563" s="11">
        <v>1500000</v>
      </c>
      <c r="D563" t="s">
        <v>284</v>
      </c>
      <c r="E563" t="s">
        <v>3031</v>
      </c>
      <c r="F563" s="4">
        <v>40553</v>
      </c>
      <c r="G563" s="11">
        <v>0</v>
      </c>
      <c r="H563" s="11">
        <v>1500000</v>
      </c>
    </row>
    <row r="564" spans="1:8" x14ac:dyDescent="0.2">
      <c r="A564" t="s">
        <v>4333</v>
      </c>
      <c r="B564" t="s">
        <v>3684</v>
      </c>
      <c r="C564" s="11">
        <v>2500000</v>
      </c>
      <c r="D564" t="s">
        <v>284</v>
      </c>
      <c r="E564" t="s">
        <v>3031</v>
      </c>
      <c r="F564" s="4">
        <v>40556</v>
      </c>
      <c r="G564" s="11">
        <v>2500000</v>
      </c>
      <c r="H564" s="11">
        <v>0</v>
      </c>
    </row>
    <row r="565" spans="1:8" x14ac:dyDescent="0.2">
      <c r="A565" t="s">
        <v>4334</v>
      </c>
      <c r="B565" t="s">
        <v>3059</v>
      </c>
      <c r="C565" s="11">
        <v>1000000</v>
      </c>
      <c r="D565" t="s">
        <v>284</v>
      </c>
      <c r="E565" t="s">
        <v>888</v>
      </c>
      <c r="F565" s="4">
        <v>40463</v>
      </c>
      <c r="G565" s="11">
        <v>912500</v>
      </c>
      <c r="H565" s="11">
        <v>87500</v>
      </c>
    </row>
    <row r="566" spans="1:8" x14ac:dyDescent="0.2">
      <c r="A566" t="s">
        <v>4440</v>
      </c>
      <c r="B566" t="s">
        <v>3682</v>
      </c>
      <c r="C566" s="11">
        <v>500000</v>
      </c>
      <c r="D566" t="s">
        <v>284</v>
      </c>
      <c r="E566" t="s">
        <v>3031</v>
      </c>
      <c r="F566" s="4">
        <v>40546</v>
      </c>
      <c r="G566" s="11">
        <v>0</v>
      </c>
      <c r="H566" s="11">
        <v>500000</v>
      </c>
    </row>
    <row r="567" spans="1:8" x14ac:dyDescent="0.2">
      <c r="A567" t="s">
        <v>4358</v>
      </c>
      <c r="B567" t="s">
        <v>3681</v>
      </c>
      <c r="C567" s="11">
        <v>1500000</v>
      </c>
      <c r="D567" t="s">
        <v>284</v>
      </c>
      <c r="E567" t="s">
        <v>3031</v>
      </c>
      <c r="F567" s="4">
        <v>40546</v>
      </c>
      <c r="G567" s="11">
        <v>0</v>
      </c>
      <c r="H567" s="11">
        <v>1500000</v>
      </c>
    </row>
    <row r="568" spans="1:8" x14ac:dyDescent="0.2">
      <c r="A568" t="s">
        <v>4171</v>
      </c>
      <c r="B568" t="s">
        <v>3679</v>
      </c>
      <c r="C568" s="11">
        <v>500000</v>
      </c>
      <c r="D568" t="s">
        <v>284</v>
      </c>
      <c r="E568" t="s">
        <v>3031</v>
      </c>
      <c r="F568" s="4">
        <v>40546</v>
      </c>
      <c r="G568" s="11">
        <v>459475</v>
      </c>
      <c r="H568" s="11">
        <v>40525</v>
      </c>
    </row>
    <row r="569" spans="1:8" x14ac:dyDescent="0.2">
      <c r="A569" t="s">
        <v>4172</v>
      </c>
      <c r="B569" t="s">
        <v>3680</v>
      </c>
      <c r="C569" s="11">
        <v>780000</v>
      </c>
      <c r="D569" t="s">
        <v>284</v>
      </c>
      <c r="E569" t="s">
        <v>3031</v>
      </c>
      <c r="F569" s="4">
        <v>40546</v>
      </c>
      <c r="G569" s="11">
        <v>325145</v>
      </c>
      <c r="H569" s="11">
        <v>454855</v>
      </c>
    </row>
    <row r="570" spans="1:8" x14ac:dyDescent="0.2">
      <c r="A570" t="s">
        <v>4483</v>
      </c>
      <c r="B570" t="s">
        <v>3677</v>
      </c>
      <c r="C570" s="11">
        <v>500000</v>
      </c>
      <c r="D570" t="s">
        <v>284</v>
      </c>
      <c r="E570" t="s">
        <v>3031</v>
      </c>
      <c r="F570" s="4">
        <v>40520</v>
      </c>
      <c r="G570" s="11">
        <v>0</v>
      </c>
      <c r="H570" s="11">
        <v>500000</v>
      </c>
    </row>
    <row r="571" spans="1:8" x14ac:dyDescent="0.2">
      <c r="A571" t="s">
        <v>2714</v>
      </c>
      <c r="B571" t="s">
        <v>1274</v>
      </c>
      <c r="C571" s="11">
        <v>0</v>
      </c>
      <c r="D571" t="s">
        <v>284</v>
      </c>
      <c r="E571" t="s">
        <v>444</v>
      </c>
      <c r="F571" s="4">
        <v>39062</v>
      </c>
      <c r="G571" s="11">
        <v>0</v>
      </c>
      <c r="H571" s="11">
        <v>0</v>
      </c>
    </row>
    <row r="572" spans="1:8" x14ac:dyDescent="0.2">
      <c r="A572" t="s">
        <v>598</v>
      </c>
      <c r="B572" t="s">
        <v>2559</v>
      </c>
      <c r="C572" s="11">
        <v>0</v>
      </c>
      <c r="D572" t="s">
        <v>284</v>
      </c>
      <c r="E572" t="s">
        <v>885</v>
      </c>
      <c r="F572" s="4">
        <v>39793</v>
      </c>
      <c r="G572" s="11">
        <v>0</v>
      </c>
      <c r="H572" s="11">
        <v>0</v>
      </c>
    </row>
    <row r="573" spans="1:8" x14ac:dyDescent="0.2">
      <c r="A573" t="s">
        <v>3060</v>
      </c>
      <c r="B573" t="s">
        <v>201</v>
      </c>
      <c r="C573" s="11">
        <v>0</v>
      </c>
      <c r="D573" t="s">
        <v>284</v>
      </c>
      <c r="E573" t="s">
        <v>516</v>
      </c>
      <c r="F573" s="4">
        <v>37587</v>
      </c>
      <c r="G573" s="11">
        <v>0</v>
      </c>
      <c r="H573" s="11">
        <v>0</v>
      </c>
    </row>
    <row r="574" spans="1:8" x14ac:dyDescent="0.2">
      <c r="A574" t="s">
        <v>3061</v>
      </c>
      <c r="B574" t="s">
        <v>204</v>
      </c>
      <c r="C574" s="11">
        <v>0</v>
      </c>
      <c r="D574" t="s">
        <v>284</v>
      </c>
      <c r="E574" t="s">
        <v>516</v>
      </c>
      <c r="F574" s="4">
        <v>37637</v>
      </c>
      <c r="G574" s="11">
        <v>0</v>
      </c>
      <c r="H574" s="11">
        <v>0</v>
      </c>
    </row>
    <row r="575" spans="1:8" x14ac:dyDescent="0.2">
      <c r="A575" t="s">
        <v>3062</v>
      </c>
      <c r="B575" t="s">
        <v>1403</v>
      </c>
      <c r="C575" s="11">
        <v>0</v>
      </c>
      <c r="D575" t="s">
        <v>284</v>
      </c>
      <c r="E575" t="s">
        <v>885</v>
      </c>
      <c r="F575" s="4">
        <v>38456</v>
      </c>
      <c r="G575" s="11">
        <v>0</v>
      </c>
      <c r="H575" s="11">
        <v>0</v>
      </c>
    </row>
    <row r="576" spans="1:8" x14ac:dyDescent="0.2">
      <c r="A576" t="s">
        <v>3063</v>
      </c>
      <c r="B576" t="s">
        <v>51</v>
      </c>
      <c r="C576" s="11">
        <v>0</v>
      </c>
      <c r="D576" t="s">
        <v>284</v>
      </c>
      <c r="E576" t="s">
        <v>885</v>
      </c>
      <c r="F576" s="4">
        <v>38834</v>
      </c>
      <c r="G576" s="11">
        <v>0</v>
      </c>
      <c r="H576" s="11">
        <v>0</v>
      </c>
    </row>
    <row r="577" spans="1:8" x14ac:dyDescent="0.2">
      <c r="A577" t="s">
        <v>4108</v>
      </c>
      <c r="B577" t="s">
        <v>3678</v>
      </c>
      <c r="C577" s="11">
        <v>0</v>
      </c>
      <c r="D577" t="s">
        <v>284</v>
      </c>
      <c r="E577" t="s">
        <v>3031</v>
      </c>
      <c r="F577" s="4">
        <v>40546</v>
      </c>
      <c r="G577" s="11">
        <v>0</v>
      </c>
      <c r="H577" s="11">
        <v>0</v>
      </c>
    </row>
    <row r="578" spans="1:8" x14ac:dyDescent="0.2">
      <c r="A578" t="s">
        <v>486</v>
      </c>
      <c r="B578" t="s">
        <v>487</v>
      </c>
      <c r="C578" s="11">
        <v>1875000</v>
      </c>
      <c r="D578" t="s">
        <v>488</v>
      </c>
      <c r="E578" t="s">
        <v>1710</v>
      </c>
      <c r="F578" s="4">
        <v>35958</v>
      </c>
      <c r="G578" s="11">
        <v>1875000</v>
      </c>
      <c r="H578" s="11">
        <v>0</v>
      </c>
    </row>
    <row r="579" spans="1:8" x14ac:dyDescent="0.2">
      <c r="A579" t="s">
        <v>489</v>
      </c>
      <c r="B579" t="s">
        <v>490</v>
      </c>
      <c r="C579" s="11">
        <v>625000</v>
      </c>
      <c r="D579" t="s">
        <v>488</v>
      </c>
      <c r="E579" t="s">
        <v>1710</v>
      </c>
      <c r="F579" s="4">
        <v>36540</v>
      </c>
      <c r="G579" s="11">
        <v>625000</v>
      </c>
      <c r="H579" s="11">
        <v>0</v>
      </c>
    </row>
    <row r="580" spans="1:8" x14ac:dyDescent="0.2">
      <c r="A580" t="s">
        <v>2221</v>
      </c>
      <c r="B580" t="s">
        <v>2222</v>
      </c>
      <c r="C580" s="11">
        <v>2000000</v>
      </c>
      <c r="D580" t="s">
        <v>488</v>
      </c>
      <c r="E580" t="s">
        <v>2107</v>
      </c>
      <c r="F580" s="4">
        <v>37448</v>
      </c>
      <c r="G580" s="11">
        <v>2000000</v>
      </c>
      <c r="H580" s="11">
        <v>0</v>
      </c>
    </row>
    <row r="581" spans="1:8" x14ac:dyDescent="0.2">
      <c r="A581" t="s">
        <v>2230</v>
      </c>
      <c r="B581" t="s">
        <v>2231</v>
      </c>
      <c r="C581" s="11">
        <v>0</v>
      </c>
      <c r="D581" t="s">
        <v>488</v>
      </c>
      <c r="E581" t="s">
        <v>969</v>
      </c>
      <c r="F581" s="4">
        <v>36878</v>
      </c>
      <c r="G581" s="11">
        <v>0</v>
      </c>
      <c r="H581" s="11">
        <v>0</v>
      </c>
    </row>
    <row r="582" spans="1:8" x14ac:dyDescent="0.2">
      <c r="A582" t="s">
        <v>2511</v>
      </c>
      <c r="B582" t="s">
        <v>2512</v>
      </c>
      <c r="C582" s="11">
        <v>1500000</v>
      </c>
      <c r="D582" t="s">
        <v>488</v>
      </c>
      <c r="E582" t="s">
        <v>885</v>
      </c>
      <c r="F582" s="4">
        <v>38214</v>
      </c>
      <c r="G582" s="11">
        <v>1500000</v>
      </c>
      <c r="H582" s="11">
        <v>0</v>
      </c>
    </row>
    <row r="583" spans="1:8" x14ac:dyDescent="0.2">
      <c r="A583" t="s">
        <v>2667</v>
      </c>
      <c r="B583" t="s">
        <v>2668</v>
      </c>
      <c r="C583" s="11">
        <v>1000000</v>
      </c>
      <c r="D583" t="s">
        <v>488</v>
      </c>
      <c r="E583" t="s">
        <v>516</v>
      </c>
      <c r="F583" s="4">
        <v>38214</v>
      </c>
      <c r="G583" s="11">
        <v>777257</v>
      </c>
      <c r="H583" s="11">
        <v>222743</v>
      </c>
    </row>
    <row r="584" spans="1:8" x14ac:dyDescent="0.2">
      <c r="A584" t="s">
        <v>2675</v>
      </c>
      <c r="B584" t="s">
        <v>2676</v>
      </c>
      <c r="C584" s="11">
        <v>1859000</v>
      </c>
      <c r="D584" t="s">
        <v>488</v>
      </c>
      <c r="E584" t="s">
        <v>516</v>
      </c>
      <c r="F584" s="4">
        <v>38096</v>
      </c>
      <c r="G584" s="11">
        <v>1859000</v>
      </c>
      <c r="H584" s="11">
        <v>0</v>
      </c>
    </row>
    <row r="585" spans="1:8" x14ac:dyDescent="0.2">
      <c r="A585" t="s">
        <v>2693</v>
      </c>
      <c r="B585" t="s">
        <v>2694</v>
      </c>
      <c r="C585" s="11">
        <v>1500000</v>
      </c>
      <c r="D585" t="s">
        <v>488</v>
      </c>
      <c r="E585" t="s">
        <v>516</v>
      </c>
      <c r="F585" s="4">
        <v>38214</v>
      </c>
      <c r="G585" s="11">
        <v>1204109</v>
      </c>
      <c r="H585" s="11">
        <v>295891</v>
      </c>
    </row>
    <row r="586" spans="1:8" x14ac:dyDescent="0.2">
      <c r="A586" t="s">
        <v>59</v>
      </c>
      <c r="B586" t="s">
        <v>1612</v>
      </c>
      <c r="C586" s="11">
        <v>400000</v>
      </c>
      <c r="D586" t="s">
        <v>488</v>
      </c>
      <c r="E586" t="s">
        <v>885</v>
      </c>
      <c r="F586" s="4">
        <v>38688</v>
      </c>
      <c r="G586" s="11">
        <v>400000</v>
      </c>
      <c r="H586" s="11">
        <v>0</v>
      </c>
    </row>
    <row r="587" spans="1:8" x14ac:dyDescent="0.2">
      <c r="A587" t="s">
        <v>4173</v>
      </c>
      <c r="B587" t="s">
        <v>2848</v>
      </c>
      <c r="C587" s="11">
        <v>1000000</v>
      </c>
      <c r="D587" t="s">
        <v>488</v>
      </c>
      <c r="E587" t="s">
        <v>888</v>
      </c>
      <c r="F587" s="4">
        <v>40325</v>
      </c>
      <c r="G587" s="11">
        <v>0</v>
      </c>
      <c r="H587" s="11">
        <v>1000000</v>
      </c>
    </row>
    <row r="588" spans="1:8" x14ac:dyDescent="0.2">
      <c r="A588" t="s">
        <v>4408</v>
      </c>
      <c r="B588" t="s">
        <v>3685</v>
      </c>
      <c r="C588" s="11">
        <v>500000</v>
      </c>
      <c r="D588" t="s">
        <v>488</v>
      </c>
      <c r="E588" t="s">
        <v>3031</v>
      </c>
      <c r="F588" s="4">
        <v>40532</v>
      </c>
      <c r="G588" s="11">
        <v>0</v>
      </c>
      <c r="H588" s="11">
        <v>500000</v>
      </c>
    </row>
    <row r="589" spans="1:8" x14ac:dyDescent="0.2">
      <c r="A589" t="s">
        <v>4518</v>
      </c>
      <c r="B589" t="s">
        <v>4519</v>
      </c>
      <c r="C589" s="11">
        <v>3000000</v>
      </c>
      <c r="D589" t="s">
        <v>488</v>
      </c>
      <c r="E589" t="s">
        <v>885</v>
      </c>
      <c r="F589" s="4">
        <v>41316</v>
      </c>
      <c r="G589" s="11">
        <v>0</v>
      </c>
      <c r="H589" s="11">
        <v>3000000</v>
      </c>
    </row>
    <row r="590" spans="1:8" x14ac:dyDescent="0.2">
      <c r="A590" t="s">
        <v>4520</v>
      </c>
      <c r="B590" t="s">
        <v>4521</v>
      </c>
      <c r="C590" s="11">
        <v>2000000</v>
      </c>
      <c r="D590" t="s">
        <v>488</v>
      </c>
      <c r="E590" t="s">
        <v>444</v>
      </c>
      <c r="F590" s="4">
        <v>41316</v>
      </c>
      <c r="G590" s="11">
        <v>0</v>
      </c>
      <c r="H590" s="11">
        <v>2000000</v>
      </c>
    </row>
    <row r="591" spans="1:8" x14ac:dyDescent="0.2">
      <c r="A591" t="s">
        <v>371</v>
      </c>
      <c r="B591" t="s">
        <v>372</v>
      </c>
      <c r="C591" s="11">
        <v>2500090</v>
      </c>
      <c r="D591" t="s">
        <v>373</v>
      </c>
      <c r="E591" t="s">
        <v>290</v>
      </c>
      <c r="F591" s="4">
        <v>34151</v>
      </c>
      <c r="G591" s="11">
        <v>2500090</v>
      </c>
      <c r="H591" s="11">
        <v>0</v>
      </c>
    </row>
    <row r="592" spans="1:8" x14ac:dyDescent="0.2">
      <c r="A592" t="s">
        <v>1740</v>
      </c>
      <c r="B592" t="s">
        <v>1741</v>
      </c>
      <c r="C592" s="11">
        <v>1300000</v>
      </c>
      <c r="D592" t="s">
        <v>373</v>
      </c>
      <c r="E592" t="s">
        <v>290</v>
      </c>
      <c r="F592" s="4">
        <v>34151</v>
      </c>
      <c r="G592" s="11">
        <v>1300000</v>
      </c>
      <c r="H592" s="11">
        <v>0</v>
      </c>
    </row>
    <row r="593" spans="1:8" x14ac:dyDescent="0.2">
      <c r="A593" t="s">
        <v>576</v>
      </c>
      <c r="B593" t="s">
        <v>577</v>
      </c>
      <c r="C593" s="11">
        <v>16200000</v>
      </c>
      <c r="D593" t="s">
        <v>373</v>
      </c>
      <c r="E593" t="s">
        <v>1710</v>
      </c>
      <c r="F593" s="4">
        <v>36469</v>
      </c>
      <c r="G593" s="11">
        <v>16200000</v>
      </c>
      <c r="H593" s="11">
        <v>0</v>
      </c>
    </row>
    <row r="594" spans="1:8" x14ac:dyDescent="0.2">
      <c r="A594" t="s">
        <v>578</v>
      </c>
      <c r="B594" t="s">
        <v>579</v>
      </c>
      <c r="C594" s="11">
        <v>1000000</v>
      </c>
      <c r="D594" t="s">
        <v>373</v>
      </c>
      <c r="E594" t="s">
        <v>969</v>
      </c>
      <c r="F594" s="4">
        <v>36815</v>
      </c>
      <c r="G594" s="11">
        <v>1000000</v>
      </c>
      <c r="H594" s="11">
        <v>0</v>
      </c>
    </row>
    <row r="595" spans="1:8" x14ac:dyDescent="0.2">
      <c r="A595" t="s">
        <v>2436</v>
      </c>
      <c r="B595" t="s">
        <v>2437</v>
      </c>
      <c r="C595" s="11">
        <v>2000000</v>
      </c>
      <c r="D595" t="s">
        <v>373</v>
      </c>
      <c r="E595" t="s">
        <v>516</v>
      </c>
      <c r="F595" s="4">
        <v>37722</v>
      </c>
      <c r="G595" s="11">
        <v>2000000</v>
      </c>
      <c r="H595" s="11">
        <v>0</v>
      </c>
    </row>
    <row r="596" spans="1:8" x14ac:dyDescent="0.2">
      <c r="A596" t="s">
        <v>2438</v>
      </c>
      <c r="B596" t="s">
        <v>2439</v>
      </c>
      <c r="C596" s="11">
        <v>1500000</v>
      </c>
      <c r="D596" t="s">
        <v>373</v>
      </c>
      <c r="E596" t="s">
        <v>516</v>
      </c>
      <c r="F596" s="4">
        <v>38341</v>
      </c>
      <c r="G596" s="11">
        <v>1500000</v>
      </c>
      <c r="H596" s="11">
        <v>0</v>
      </c>
    </row>
    <row r="597" spans="1:8" x14ac:dyDescent="0.2">
      <c r="A597" t="s">
        <v>2487</v>
      </c>
      <c r="B597" t="s">
        <v>2488</v>
      </c>
      <c r="C597" s="11">
        <v>1500000</v>
      </c>
      <c r="D597" t="s">
        <v>373</v>
      </c>
      <c r="E597" t="s">
        <v>516</v>
      </c>
      <c r="F597" s="4">
        <v>38099</v>
      </c>
      <c r="G597" s="11">
        <v>1500000</v>
      </c>
      <c r="H597" s="11">
        <v>0</v>
      </c>
    </row>
    <row r="598" spans="1:8" x14ac:dyDescent="0.2">
      <c r="A598" t="s">
        <v>466</v>
      </c>
      <c r="B598" t="s">
        <v>467</v>
      </c>
      <c r="C598" s="11">
        <v>3000000</v>
      </c>
      <c r="D598" t="s">
        <v>373</v>
      </c>
      <c r="E598" t="s">
        <v>885</v>
      </c>
      <c r="F598" s="4">
        <v>38355</v>
      </c>
      <c r="G598" s="11">
        <v>3000000</v>
      </c>
      <c r="H598" s="11">
        <v>0</v>
      </c>
    </row>
    <row r="599" spans="1:8" x14ac:dyDescent="0.2">
      <c r="A599" t="s">
        <v>748</v>
      </c>
      <c r="B599" t="s">
        <v>749</v>
      </c>
      <c r="C599" s="11">
        <v>1000000</v>
      </c>
      <c r="D599" t="s">
        <v>373</v>
      </c>
      <c r="E599" t="s">
        <v>885</v>
      </c>
      <c r="F599" s="4">
        <v>39856</v>
      </c>
      <c r="G599" s="11">
        <v>1000000</v>
      </c>
      <c r="H599" s="11">
        <v>0</v>
      </c>
    </row>
    <row r="600" spans="1:8" x14ac:dyDescent="0.2">
      <c r="A600" t="s">
        <v>750</v>
      </c>
      <c r="B600" t="s">
        <v>751</v>
      </c>
      <c r="C600" s="11">
        <v>1000000</v>
      </c>
      <c r="D600" t="s">
        <v>373</v>
      </c>
      <c r="E600" t="s">
        <v>885</v>
      </c>
      <c r="F600" s="4">
        <v>39856</v>
      </c>
      <c r="G600" s="11">
        <v>1000000</v>
      </c>
      <c r="H600" s="11">
        <v>0</v>
      </c>
    </row>
    <row r="601" spans="1:8" x14ac:dyDescent="0.2">
      <c r="A601" t="s">
        <v>962</v>
      </c>
      <c r="B601" t="s">
        <v>963</v>
      </c>
      <c r="C601" s="11">
        <v>1000000</v>
      </c>
      <c r="D601" t="s">
        <v>373</v>
      </c>
      <c r="E601" t="s">
        <v>885</v>
      </c>
      <c r="F601" s="4">
        <v>39890</v>
      </c>
      <c r="G601" s="11">
        <v>1000000</v>
      </c>
      <c r="H601" s="11">
        <v>0</v>
      </c>
    </row>
    <row r="602" spans="1:8" x14ac:dyDescent="0.2">
      <c r="A602" t="s">
        <v>93</v>
      </c>
      <c r="B602" t="s">
        <v>94</v>
      </c>
      <c r="C602" s="11">
        <v>250000</v>
      </c>
      <c r="D602" t="s">
        <v>373</v>
      </c>
      <c r="E602" t="s">
        <v>444</v>
      </c>
      <c r="F602" s="4">
        <v>40217</v>
      </c>
      <c r="G602" s="11">
        <v>250000</v>
      </c>
      <c r="H602" s="11">
        <v>0</v>
      </c>
    </row>
    <row r="603" spans="1:8" x14ac:dyDescent="0.2">
      <c r="A603" t="s">
        <v>1466</v>
      </c>
      <c r="B603" t="s">
        <v>643</v>
      </c>
      <c r="C603" s="11">
        <v>1000000</v>
      </c>
      <c r="D603" t="s">
        <v>373</v>
      </c>
      <c r="E603" t="s">
        <v>444</v>
      </c>
      <c r="F603" s="4">
        <v>38946</v>
      </c>
      <c r="G603" s="11">
        <v>1000000</v>
      </c>
      <c r="H603" s="11">
        <v>0</v>
      </c>
    </row>
    <row r="604" spans="1:8" x14ac:dyDescent="0.2">
      <c r="A604" t="s">
        <v>913</v>
      </c>
      <c r="B604" t="s">
        <v>914</v>
      </c>
      <c r="C604" s="11">
        <v>1000000</v>
      </c>
      <c r="D604" t="s">
        <v>373</v>
      </c>
      <c r="E604" t="s">
        <v>444</v>
      </c>
      <c r="F604" s="4">
        <v>39680</v>
      </c>
      <c r="G604" s="11">
        <v>1000000</v>
      </c>
      <c r="H604" s="11">
        <v>0</v>
      </c>
    </row>
    <row r="605" spans="1:8" x14ac:dyDescent="0.2">
      <c r="A605" t="s">
        <v>3686</v>
      </c>
      <c r="B605" t="s">
        <v>3687</v>
      </c>
      <c r="C605" s="11">
        <v>250000</v>
      </c>
      <c r="D605" t="s">
        <v>373</v>
      </c>
      <c r="E605" t="s">
        <v>444</v>
      </c>
      <c r="F605" s="4">
        <v>40532</v>
      </c>
      <c r="G605" s="11">
        <v>0</v>
      </c>
      <c r="H605" s="11">
        <v>250000</v>
      </c>
    </row>
    <row r="606" spans="1:8" x14ac:dyDescent="0.2">
      <c r="A606" t="s">
        <v>1474</v>
      </c>
      <c r="B606" t="s">
        <v>1281</v>
      </c>
      <c r="C606" s="11">
        <v>2000000</v>
      </c>
      <c r="D606" t="s">
        <v>373</v>
      </c>
      <c r="E606" t="s">
        <v>444</v>
      </c>
      <c r="F606" s="4">
        <v>39062</v>
      </c>
      <c r="G606" s="11">
        <v>2000000</v>
      </c>
      <c r="H606" s="11">
        <v>0</v>
      </c>
    </row>
    <row r="607" spans="1:8" x14ac:dyDescent="0.2">
      <c r="A607" t="s">
        <v>1475</v>
      </c>
      <c r="B607" t="s">
        <v>1671</v>
      </c>
      <c r="C607" s="11">
        <v>2000000</v>
      </c>
      <c r="D607" t="s">
        <v>373</v>
      </c>
      <c r="E607" t="s">
        <v>444</v>
      </c>
      <c r="F607" s="4">
        <v>39062</v>
      </c>
      <c r="G607" s="11">
        <v>2000000</v>
      </c>
      <c r="H607" s="11">
        <v>0</v>
      </c>
    </row>
    <row r="608" spans="1:8" x14ac:dyDescent="0.2">
      <c r="A608" t="s">
        <v>1307</v>
      </c>
      <c r="B608" t="s">
        <v>1820</v>
      </c>
      <c r="C608" s="11">
        <v>3500000</v>
      </c>
      <c r="D608" t="s">
        <v>373</v>
      </c>
      <c r="E608" t="s">
        <v>444</v>
      </c>
      <c r="F608" s="4">
        <v>39149</v>
      </c>
      <c r="G608" s="11">
        <v>3500000</v>
      </c>
      <c r="H608" s="11">
        <v>0</v>
      </c>
    </row>
    <row r="609" spans="1:8" x14ac:dyDescent="0.2">
      <c r="A609" t="s">
        <v>3688</v>
      </c>
      <c r="B609" t="s">
        <v>3689</v>
      </c>
      <c r="C609" s="11">
        <v>5000000</v>
      </c>
      <c r="D609" t="s">
        <v>373</v>
      </c>
      <c r="E609" t="s">
        <v>3031</v>
      </c>
      <c r="F609" s="4">
        <v>40511</v>
      </c>
      <c r="G609" s="11">
        <v>1969250</v>
      </c>
      <c r="H609" s="11">
        <v>3030750</v>
      </c>
    </row>
    <row r="610" spans="1:8" x14ac:dyDescent="0.2">
      <c r="A610" t="s">
        <v>3690</v>
      </c>
      <c r="B610" t="s">
        <v>3689</v>
      </c>
      <c r="C610" s="11">
        <v>2000000</v>
      </c>
      <c r="D610" t="s">
        <v>373</v>
      </c>
      <c r="E610" t="s">
        <v>3031</v>
      </c>
      <c r="F610" s="4">
        <v>40511</v>
      </c>
      <c r="G610" s="11">
        <v>0</v>
      </c>
      <c r="H610" s="11">
        <v>2000000</v>
      </c>
    </row>
    <row r="611" spans="1:8" x14ac:dyDescent="0.2">
      <c r="A611" t="s">
        <v>1039</v>
      </c>
      <c r="B611" t="s">
        <v>1142</v>
      </c>
      <c r="C611" s="11">
        <v>2000000</v>
      </c>
      <c r="D611" t="s">
        <v>373</v>
      </c>
      <c r="E611" t="s">
        <v>888</v>
      </c>
      <c r="F611" s="4">
        <v>39688</v>
      </c>
      <c r="G611" s="11">
        <v>1908651</v>
      </c>
      <c r="H611" s="11">
        <v>91349</v>
      </c>
    </row>
    <row r="612" spans="1:8" x14ac:dyDescent="0.2">
      <c r="A612" t="s">
        <v>2715</v>
      </c>
      <c r="B612" t="s">
        <v>2093</v>
      </c>
      <c r="C612" s="11">
        <v>500000</v>
      </c>
      <c r="D612" t="s">
        <v>373</v>
      </c>
      <c r="E612" t="s">
        <v>444</v>
      </c>
      <c r="F612" s="4">
        <v>39890</v>
      </c>
      <c r="G612" s="11">
        <v>0</v>
      </c>
      <c r="H612" s="11">
        <v>500000</v>
      </c>
    </row>
    <row r="613" spans="1:8" x14ac:dyDescent="0.2">
      <c r="A613" t="s">
        <v>2849</v>
      </c>
      <c r="B613" t="s">
        <v>384</v>
      </c>
      <c r="C613" s="11">
        <v>1000000</v>
      </c>
      <c r="D613" t="s">
        <v>373</v>
      </c>
      <c r="E613" t="s">
        <v>444</v>
      </c>
      <c r="F613" s="4">
        <v>39735</v>
      </c>
      <c r="G613" s="11">
        <v>1000000</v>
      </c>
      <c r="H613" s="11">
        <v>0</v>
      </c>
    </row>
    <row r="614" spans="1:8" x14ac:dyDescent="0.2">
      <c r="A614" t="s">
        <v>3064</v>
      </c>
      <c r="B614" t="s">
        <v>3065</v>
      </c>
      <c r="C614" s="11">
        <v>10000000</v>
      </c>
      <c r="D614" t="s">
        <v>373</v>
      </c>
      <c r="E614" t="s">
        <v>3008</v>
      </c>
      <c r="F614" s="4">
        <v>40436</v>
      </c>
      <c r="G614" s="11">
        <v>0</v>
      </c>
      <c r="H614" s="11">
        <v>10000000</v>
      </c>
    </row>
    <row r="615" spans="1:8" x14ac:dyDescent="0.2">
      <c r="A615" t="s">
        <v>3444</v>
      </c>
      <c r="B615" t="s">
        <v>3066</v>
      </c>
      <c r="C615" s="11">
        <v>10000000</v>
      </c>
      <c r="D615" t="s">
        <v>373</v>
      </c>
      <c r="E615" t="s">
        <v>3008</v>
      </c>
      <c r="F615" s="4">
        <v>40420</v>
      </c>
      <c r="G615" s="11">
        <v>1863672</v>
      </c>
      <c r="H615" s="11">
        <v>8136328</v>
      </c>
    </row>
    <row r="616" spans="1:8" x14ac:dyDescent="0.2">
      <c r="A616" t="s">
        <v>4150</v>
      </c>
      <c r="B616" t="s">
        <v>3067</v>
      </c>
      <c r="C616" s="11">
        <v>1000000</v>
      </c>
      <c r="D616" t="s">
        <v>373</v>
      </c>
      <c r="E616" t="s">
        <v>3031</v>
      </c>
      <c r="F616" s="4">
        <v>40483</v>
      </c>
      <c r="G616" s="11">
        <v>0</v>
      </c>
      <c r="H616" s="11">
        <v>1000000</v>
      </c>
    </row>
    <row r="617" spans="1:8" x14ac:dyDescent="0.2">
      <c r="A617" t="s">
        <v>4522</v>
      </c>
      <c r="B617" t="s">
        <v>4523</v>
      </c>
      <c r="C617" s="11">
        <v>1000000</v>
      </c>
      <c r="D617" t="s">
        <v>373</v>
      </c>
      <c r="E617" t="s">
        <v>3031</v>
      </c>
      <c r="F617" s="4">
        <v>41316</v>
      </c>
      <c r="G617" s="11">
        <v>0</v>
      </c>
      <c r="H617" s="11">
        <v>1000000</v>
      </c>
    </row>
    <row r="618" spans="1:8" x14ac:dyDescent="0.2">
      <c r="A618" t="s">
        <v>3068</v>
      </c>
      <c r="B618" t="s">
        <v>222</v>
      </c>
      <c r="C618" s="11">
        <v>0</v>
      </c>
      <c r="D618" t="s">
        <v>373</v>
      </c>
      <c r="E618" t="s">
        <v>516</v>
      </c>
      <c r="F618" s="4">
        <v>38099</v>
      </c>
      <c r="G618" s="11">
        <v>0</v>
      </c>
      <c r="H618" s="11">
        <v>0</v>
      </c>
    </row>
    <row r="619" spans="1:8" x14ac:dyDescent="0.2">
      <c r="A619" t="s">
        <v>4359</v>
      </c>
      <c r="B619" t="s">
        <v>3691</v>
      </c>
      <c r="C619" s="11">
        <v>0</v>
      </c>
      <c r="D619" t="s">
        <v>373</v>
      </c>
      <c r="E619" t="s">
        <v>3031</v>
      </c>
      <c r="F619" s="4">
        <v>40511</v>
      </c>
      <c r="G619" s="11">
        <v>0</v>
      </c>
      <c r="H619" s="11">
        <v>0</v>
      </c>
    </row>
    <row r="620" spans="1:8" x14ac:dyDescent="0.2">
      <c r="A620" t="s">
        <v>2322</v>
      </c>
      <c r="B620" t="s">
        <v>932</v>
      </c>
      <c r="C620" s="11">
        <v>400000</v>
      </c>
      <c r="D620" t="s">
        <v>2323</v>
      </c>
      <c r="E620" t="s">
        <v>2107</v>
      </c>
      <c r="F620" s="4">
        <v>37582</v>
      </c>
      <c r="G620" s="11">
        <v>400000</v>
      </c>
      <c r="H620" s="11">
        <v>0</v>
      </c>
    </row>
    <row r="621" spans="1:8" x14ac:dyDescent="0.2">
      <c r="A621" t="s">
        <v>2652</v>
      </c>
      <c r="B621" t="s">
        <v>2653</v>
      </c>
      <c r="C621" s="11">
        <v>500000</v>
      </c>
      <c r="D621" t="s">
        <v>2654</v>
      </c>
      <c r="E621" t="s">
        <v>885</v>
      </c>
      <c r="F621" s="4">
        <v>38286</v>
      </c>
      <c r="G621" s="11">
        <v>500000</v>
      </c>
      <c r="H621" s="11">
        <v>0</v>
      </c>
    </row>
    <row r="622" spans="1:8" x14ac:dyDescent="0.2">
      <c r="A622" t="s">
        <v>1828</v>
      </c>
      <c r="B622" t="s">
        <v>245</v>
      </c>
      <c r="C622" s="11">
        <v>1500000</v>
      </c>
      <c r="D622" t="s">
        <v>2654</v>
      </c>
      <c r="E622" t="s">
        <v>885</v>
      </c>
      <c r="F622" s="4">
        <v>38273</v>
      </c>
      <c r="G622" s="11">
        <v>1500000</v>
      </c>
      <c r="H622" s="11">
        <v>0</v>
      </c>
    </row>
    <row r="623" spans="1:8" x14ac:dyDescent="0.2">
      <c r="A623" t="s">
        <v>1308</v>
      </c>
      <c r="B623" t="s">
        <v>1236</v>
      </c>
      <c r="C623" s="11">
        <v>700000</v>
      </c>
      <c r="D623" t="s">
        <v>2654</v>
      </c>
      <c r="E623" t="s">
        <v>444</v>
      </c>
      <c r="F623" s="4">
        <v>39149</v>
      </c>
      <c r="G623" s="11">
        <v>700000</v>
      </c>
      <c r="H623" s="11">
        <v>0</v>
      </c>
    </row>
    <row r="624" spans="1:8" x14ac:dyDescent="0.2">
      <c r="A624" t="s">
        <v>215</v>
      </c>
      <c r="B624" t="s">
        <v>1673</v>
      </c>
      <c r="C624" s="11">
        <v>1250000</v>
      </c>
      <c r="D624" t="s">
        <v>2654</v>
      </c>
      <c r="E624" t="s">
        <v>885</v>
      </c>
      <c r="F624" s="4">
        <v>38944</v>
      </c>
      <c r="G624" s="11">
        <v>1225000</v>
      </c>
      <c r="H624" s="11">
        <v>25000</v>
      </c>
    </row>
    <row r="625" spans="1:8" x14ac:dyDescent="0.2">
      <c r="A625" t="s">
        <v>2959</v>
      </c>
      <c r="B625" t="s">
        <v>1040</v>
      </c>
      <c r="C625" s="11">
        <v>2000000</v>
      </c>
      <c r="D625" t="s">
        <v>2654</v>
      </c>
      <c r="E625" t="s">
        <v>888</v>
      </c>
      <c r="F625" s="4">
        <v>39961</v>
      </c>
      <c r="G625" s="11">
        <v>0</v>
      </c>
      <c r="H625" s="11">
        <v>2000000</v>
      </c>
    </row>
    <row r="626" spans="1:8" x14ac:dyDescent="0.2">
      <c r="A626" t="s">
        <v>4262</v>
      </c>
      <c r="B626" t="s">
        <v>3693</v>
      </c>
      <c r="C626" s="11">
        <v>1500000</v>
      </c>
      <c r="D626" t="s">
        <v>2654</v>
      </c>
      <c r="E626" t="s">
        <v>3031</v>
      </c>
      <c r="F626" s="4">
        <v>40511</v>
      </c>
      <c r="G626" s="11">
        <v>0</v>
      </c>
      <c r="H626" s="11">
        <v>1500000</v>
      </c>
    </row>
    <row r="627" spans="1:8" x14ac:dyDescent="0.2">
      <c r="A627" t="s">
        <v>4263</v>
      </c>
      <c r="B627" t="s">
        <v>3694</v>
      </c>
      <c r="C627" s="11">
        <v>250000</v>
      </c>
      <c r="D627" t="s">
        <v>2654</v>
      </c>
      <c r="E627" t="s">
        <v>3031</v>
      </c>
      <c r="F627" s="4">
        <v>40546</v>
      </c>
      <c r="G627" s="11">
        <v>0</v>
      </c>
      <c r="H627" s="11">
        <v>250000</v>
      </c>
    </row>
    <row r="628" spans="1:8" x14ac:dyDescent="0.2">
      <c r="A628" t="s">
        <v>4264</v>
      </c>
      <c r="B628" t="s">
        <v>3692</v>
      </c>
      <c r="C628" s="11">
        <v>1500000</v>
      </c>
      <c r="D628" t="s">
        <v>2654</v>
      </c>
      <c r="E628" t="s">
        <v>3031</v>
      </c>
      <c r="F628" s="4">
        <v>40511</v>
      </c>
      <c r="G628" s="11">
        <v>0</v>
      </c>
      <c r="H628" s="11">
        <v>1500000</v>
      </c>
    </row>
    <row r="629" spans="1:8" x14ac:dyDescent="0.2">
      <c r="A629" t="s">
        <v>3695</v>
      </c>
      <c r="B629" t="s">
        <v>4492</v>
      </c>
      <c r="C629" s="11">
        <v>1500000</v>
      </c>
      <c r="D629" t="s">
        <v>2654</v>
      </c>
      <c r="E629" t="s">
        <v>3031</v>
      </c>
      <c r="F629" s="4">
        <v>40511</v>
      </c>
      <c r="G629" s="11">
        <v>0</v>
      </c>
      <c r="H629" s="11">
        <v>1500000</v>
      </c>
    </row>
    <row r="630" spans="1:8" x14ac:dyDescent="0.2">
      <c r="A630" t="s">
        <v>2334</v>
      </c>
      <c r="B630" t="s">
        <v>2335</v>
      </c>
      <c r="C630" s="11">
        <v>2500000</v>
      </c>
      <c r="D630" t="s">
        <v>2336</v>
      </c>
      <c r="E630" t="s">
        <v>516</v>
      </c>
      <c r="F630" s="4">
        <v>37610</v>
      </c>
      <c r="G630" s="11">
        <v>2500000</v>
      </c>
      <c r="H630" s="11">
        <v>0</v>
      </c>
    </row>
    <row r="631" spans="1:8" x14ac:dyDescent="0.2">
      <c r="A631" t="s">
        <v>2444</v>
      </c>
      <c r="B631" t="s">
        <v>2445</v>
      </c>
      <c r="C631" s="11">
        <v>1500000</v>
      </c>
      <c r="D631" t="s">
        <v>2336</v>
      </c>
      <c r="E631" t="s">
        <v>885</v>
      </c>
      <c r="F631" s="4">
        <v>38217</v>
      </c>
      <c r="G631" s="11">
        <v>1500000</v>
      </c>
      <c r="H631" s="11">
        <v>0</v>
      </c>
    </row>
    <row r="632" spans="1:8" x14ac:dyDescent="0.2">
      <c r="A632" t="s">
        <v>2661</v>
      </c>
      <c r="B632" t="s">
        <v>2665</v>
      </c>
      <c r="C632" s="11">
        <v>3000000</v>
      </c>
      <c r="D632" t="s">
        <v>2336</v>
      </c>
      <c r="E632" t="s">
        <v>885</v>
      </c>
      <c r="F632" s="4">
        <v>38337</v>
      </c>
      <c r="G632" s="11">
        <v>3000000</v>
      </c>
      <c r="H632" s="11">
        <v>0</v>
      </c>
    </row>
    <row r="633" spans="1:8" x14ac:dyDescent="0.2">
      <c r="A633" t="s">
        <v>2666</v>
      </c>
      <c r="B633" t="s">
        <v>1346</v>
      </c>
      <c r="C633" s="11">
        <v>9000000</v>
      </c>
      <c r="D633" t="s">
        <v>2336</v>
      </c>
      <c r="E633" t="s">
        <v>885</v>
      </c>
      <c r="F633" s="4">
        <v>38350</v>
      </c>
      <c r="G633" s="11">
        <v>9000000</v>
      </c>
      <c r="H633" s="11">
        <v>0</v>
      </c>
    </row>
    <row r="634" spans="1:8" x14ac:dyDescent="0.2">
      <c r="A634" t="s">
        <v>1826</v>
      </c>
      <c r="B634" t="s">
        <v>1398</v>
      </c>
      <c r="C634" s="11">
        <v>500000</v>
      </c>
      <c r="D634" t="s">
        <v>2336</v>
      </c>
      <c r="E634" t="s">
        <v>885</v>
      </c>
      <c r="F634" s="4">
        <v>38428</v>
      </c>
      <c r="G634" s="11">
        <v>500000</v>
      </c>
      <c r="H634" s="11">
        <v>0</v>
      </c>
    </row>
    <row r="635" spans="1:8" x14ac:dyDescent="0.2">
      <c r="A635" t="s">
        <v>1843</v>
      </c>
      <c r="B635" t="s">
        <v>1418</v>
      </c>
      <c r="C635" s="11">
        <v>750000</v>
      </c>
      <c r="D635" t="s">
        <v>2336</v>
      </c>
      <c r="E635" t="s">
        <v>885</v>
      </c>
      <c r="F635" s="4">
        <v>38559</v>
      </c>
      <c r="G635" s="11">
        <v>750000</v>
      </c>
      <c r="H635" s="11">
        <v>0</v>
      </c>
    </row>
    <row r="636" spans="1:8" x14ac:dyDescent="0.2">
      <c r="A636" t="s">
        <v>1895</v>
      </c>
      <c r="B636" t="s">
        <v>1656</v>
      </c>
      <c r="C636" s="11">
        <v>500000</v>
      </c>
      <c r="D636" t="s">
        <v>2336</v>
      </c>
      <c r="E636" t="s">
        <v>885</v>
      </c>
      <c r="F636" s="4">
        <v>38974</v>
      </c>
      <c r="G636" s="11">
        <v>500000</v>
      </c>
      <c r="H636" s="11">
        <v>0</v>
      </c>
    </row>
    <row r="637" spans="1:8" x14ac:dyDescent="0.2">
      <c r="A637" t="s">
        <v>792</v>
      </c>
      <c r="B637" t="s">
        <v>1924</v>
      </c>
      <c r="C637" s="11">
        <v>2500000</v>
      </c>
      <c r="D637" t="s">
        <v>2336</v>
      </c>
      <c r="E637" t="s">
        <v>444</v>
      </c>
      <c r="F637" s="4">
        <v>39097</v>
      </c>
      <c r="G637" s="11">
        <v>0</v>
      </c>
      <c r="H637" s="11">
        <v>2500000</v>
      </c>
    </row>
    <row r="638" spans="1:8" x14ac:dyDescent="0.2">
      <c r="A638" t="s">
        <v>3069</v>
      </c>
      <c r="B638" t="s">
        <v>3070</v>
      </c>
      <c r="C638" s="11">
        <v>1500000</v>
      </c>
      <c r="D638" t="s">
        <v>2336</v>
      </c>
      <c r="E638" t="s">
        <v>444</v>
      </c>
      <c r="F638" s="4">
        <v>40401</v>
      </c>
      <c r="G638" s="11">
        <v>0</v>
      </c>
      <c r="H638" s="11">
        <v>1500000</v>
      </c>
    </row>
    <row r="639" spans="1:8" x14ac:dyDescent="0.2">
      <c r="A639" t="s">
        <v>2716</v>
      </c>
      <c r="B639" t="s">
        <v>1227</v>
      </c>
      <c r="C639" s="11">
        <v>1000000</v>
      </c>
      <c r="D639" t="s">
        <v>2336</v>
      </c>
      <c r="E639" t="s">
        <v>444</v>
      </c>
      <c r="F639" s="4">
        <v>39772</v>
      </c>
      <c r="G639" s="11">
        <v>950000</v>
      </c>
      <c r="H639" s="11">
        <v>50000</v>
      </c>
    </row>
    <row r="640" spans="1:8" x14ac:dyDescent="0.2">
      <c r="A640" t="s">
        <v>3445</v>
      </c>
      <c r="B640" t="s">
        <v>2850</v>
      </c>
      <c r="C640" s="11">
        <v>3000000</v>
      </c>
      <c r="D640" t="s">
        <v>2336</v>
      </c>
      <c r="E640" t="s">
        <v>888</v>
      </c>
      <c r="F640" s="4">
        <v>40325</v>
      </c>
      <c r="G640" s="11">
        <v>0</v>
      </c>
      <c r="H640" s="11">
        <v>3000000</v>
      </c>
    </row>
    <row r="641" spans="1:8" x14ac:dyDescent="0.2">
      <c r="A641" t="s">
        <v>4524</v>
      </c>
      <c r="B641" t="s">
        <v>4525</v>
      </c>
      <c r="C641" s="11">
        <v>2000000</v>
      </c>
      <c r="D641" t="s">
        <v>2336</v>
      </c>
      <c r="E641" t="s">
        <v>888</v>
      </c>
      <c r="F641" s="4">
        <v>41316</v>
      </c>
      <c r="G641" s="11">
        <v>0</v>
      </c>
      <c r="H641" s="11">
        <v>2000000</v>
      </c>
    </row>
    <row r="642" spans="1:8" x14ac:dyDescent="0.2">
      <c r="A642" t="s">
        <v>3446</v>
      </c>
      <c r="B642" t="s">
        <v>2851</v>
      </c>
      <c r="C642" s="11">
        <v>3000000</v>
      </c>
      <c r="D642" t="s">
        <v>2336</v>
      </c>
      <c r="E642" t="s">
        <v>444</v>
      </c>
      <c r="F642" s="4">
        <v>40346</v>
      </c>
      <c r="G642" s="11">
        <v>0</v>
      </c>
      <c r="H642" s="11">
        <v>3000000</v>
      </c>
    </row>
    <row r="643" spans="1:8" x14ac:dyDescent="0.2">
      <c r="A643" t="s">
        <v>4065</v>
      </c>
      <c r="B643" t="s">
        <v>3696</v>
      </c>
      <c r="C643" s="11">
        <v>1000000</v>
      </c>
      <c r="D643" t="s">
        <v>2336</v>
      </c>
      <c r="E643" t="s">
        <v>444</v>
      </c>
      <c r="F643" s="4">
        <v>40519</v>
      </c>
      <c r="G643" s="11">
        <v>1000000</v>
      </c>
      <c r="H643" s="11">
        <v>0</v>
      </c>
    </row>
    <row r="644" spans="1:8" x14ac:dyDescent="0.2">
      <c r="A644" t="s">
        <v>2717</v>
      </c>
      <c r="B644" t="s">
        <v>95</v>
      </c>
      <c r="C644" s="11">
        <v>1300000</v>
      </c>
      <c r="D644" t="s">
        <v>2336</v>
      </c>
      <c r="E644" t="s">
        <v>885</v>
      </c>
      <c r="F644" s="4">
        <v>40213</v>
      </c>
      <c r="G644" s="11">
        <v>0</v>
      </c>
      <c r="H644" s="11">
        <v>1300000</v>
      </c>
    </row>
    <row r="645" spans="1:8" x14ac:dyDescent="0.2">
      <c r="A645" t="s">
        <v>4265</v>
      </c>
      <c r="B645" t="s">
        <v>3447</v>
      </c>
      <c r="C645" s="11">
        <v>0</v>
      </c>
      <c r="D645" t="s">
        <v>2336</v>
      </c>
      <c r="E645" t="s">
        <v>3031</v>
      </c>
      <c r="F645" s="4">
        <v>40499</v>
      </c>
      <c r="G645" s="11">
        <v>0</v>
      </c>
      <c r="H645" s="11">
        <v>0</v>
      </c>
    </row>
    <row r="646" spans="1:8" x14ac:dyDescent="0.2">
      <c r="A646" t="s">
        <v>2366</v>
      </c>
      <c r="B646" t="s">
        <v>2367</v>
      </c>
      <c r="C646" s="11">
        <v>1000000</v>
      </c>
      <c r="D646" t="s">
        <v>2368</v>
      </c>
      <c r="E646" t="s">
        <v>516</v>
      </c>
      <c r="F646" s="4">
        <v>37725</v>
      </c>
      <c r="G646" s="11">
        <v>1000000</v>
      </c>
      <c r="H646" s="11">
        <v>0</v>
      </c>
    </row>
    <row r="647" spans="1:8" x14ac:dyDescent="0.2">
      <c r="A647" t="s">
        <v>2381</v>
      </c>
      <c r="B647" t="s">
        <v>2382</v>
      </c>
      <c r="C647" s="11">
        <v>2000000</v>
      </c>
      <c r="D647" t="s">
        <v>2368</v>
      </c>
      <c r="E647" t="s">
        <v>516</v>
      </c>
      <c r="F647" s="4">
        <v>37610</v>
      </c>
      <c r="G647" s="11">
        <v>2000000</v>
      </c>
      <c r="H647" s="11">
        <v>0</v>
      </c>
    </row>
    <row r="648" spans="1:8" x14ac:dyDescent="0.2">
      <c r="A648" t="s">
        <v>2398</v>
      </c>
      <c r="B648" t="s">
        <v>2399</v>
      </c>
      <c r="C648" s="11">
        <v>2000000</v>
      </c>
      <c r="D648" t="s">
        <v>2368</v>
      </c>
      <c r="E648" t="s">
        <v>969</v>
      </c>
      <c r="F648" s="4">
        <v>37610</v>
      </c>
      <c r="G648" s="11">
        <v>2000000</v>
      </c>
      <c r="H648" s="11">
        <v>0</v>
      </c>
    </row>
    <row r="649" spans="1:8" x14ac:dyDescent="0.2">
      <c r="A649" t="s">
        <v>2615</v>
      </c>
      <c r="B649" t="s">
        <v>2616</v>
      </c>
      <c r="C649" s="11">
        <v>5750000</v>
      </c>
      <c r="D649" t="s">
        <v>2368</v>
      </c>
      <c r="E649" t="s">
        <v>885</v>
      </c>
      <c r="F649" s="4">
        <v>38310</v>
      </c>
      <c r="G649" s="11">
        <v>5606250</v>
      </c>
      <c r="H649" s="11">
        <v>143750</v>
      </c>
    </row>
    <row r="650" spans="1:8" x14ac:dyDescent="0.2">
      <c r="A650" t="s">
        <v>1462</v>
      </c>
      <c r="B650" t="s">
        <v>1674</v>
      </c>
      <c r="C650" s="11">
        <v>4300000</v>
      </c>
      <c r="D650" t="s">
        <v>2368</v>
      </c>
      <c r="E650" t="s">
        <v>885</v>
      </c>
      <c r="F650" s="4">
        <v>38917</v>
      </c>
      <c r="G650" s="11">
        <v>4300000</v>
      </c>
      <c r="H650" s="11">
        <v>0</v>
      </c>
    </row>
    <row r="651" spans="1:8" x14ac:dyDescent="0.2">
      <c r="A651" t="s">
        <v>911</v>
      </c>
      <c r="B651" t="s">
        <v>912</v>
      </c>
      <c r="C651" s="11">
        <v>2500000</v>
      </c>
      <c r="D651" t="s">
        <v>2368</v>
      </c>
      <c r="E651" t="s">
        <v>444</v>
      </c>
      <c r="F651" s="4">
        <v>39772</v>
      </c>
      <c r="G651" s="11">
        <v>2500000</v>
      </c>
      <c r="H651" s="11">
        <v>0</v>
      </c>
    </row>
    <row r="652" spans="1:8" x14ac:dyDescent="0.2">
      <c r="A652" t="s">
        <v>940</v>
      </c>
      <c r="B652" t="s">
        <v>1259</v>
      </c>
      <c r="C652" s="11">
        <v>2000000</v>
      </c>
      <c r="D652" t="s">
        <v>2368</v>
      </c>
      <c r="E652" t="s">
        <v>885</v>
      </c>
      <c r="F652" s="4">
        <v>39195</v>
      </c>
      <c r="G652" s="11">
        <v>1974137</v>
      </c>
      <c r="H652" s="11">
        <v>25863</v>
      </c>
    </row>
    <row r="653" spans="1:8" x14ac:dyDescent="0.2">
      <c r="A653" t="s">
        <v>2141</v>
      </c>
      <c r="B653" t="s">
        <v>997</v>
      </c>
      <c r="C653" s="11">
        <v>500000</v>
      </c>
      <c r="D653" t="s">
        <v>2368</v>
      </c>
      <c r="E653" t="s">
        <v>888</v>
      </c>
      <c r="F653" s="4">
        <v>39890</v>
      </c>
      <c r="G653" s="11">
        <v>0</v>
      </c>
      <c r="H653" s="11">
        <v>500000</v>
      </c>
    </row>
    <row r="654" spans="1:8" x14ac:dyDescent="0.2">
      <c r="A654" t="s">
        <v>3697</v>
      </c>
      <c r="B654" t="s">
        <v>3698</v>
      </c>
      <c r="C654" s="11">
        <v>500000</v>
      </c>
      <c r="D654" t="s">
        <v>2368</v>
      </c>
      <c r="E654" t="s">
        <v>885</v>
      </c>
      <c r="F654" s="4">
        <v>40520</v>
      </c>
      <c r="G654" s="11">
        <v>0</v>
      </c>
      <c r="H654" s="11">
        <v>500000</v>
      </c>
    </row>
    <row r="655" spans="1:8" x14ac:dyDescent="0.2">
      <c r="A655" t="s">
        <v>2142</v>
      </c>
      <c r="B655" t="s">
        <v>785</v>
      </c>
      <c r="C655" s="11">
        <v>1000000</v>
      </c>
      <c r="D655" t="s">
        <v>2368</v>
      </c>
      <c r="E655" t="s">
        <v>888</v>
      </c>
      <c r="F655" s="4">
        <v>39881</v>
      </c>
      <c r="G655" s="11">
        <v>1000000</v>
      </c>
      <c r="H655" s="11">
        <v>0</v>
      </c>
    </row>
    <row r="656" spans="1:8" x14ac:dyDescent="0.2">
      <c r="A656" t="s">
        <v>3071</v>
      </c>
      <c r="B656" t="s">
        <v>780</v>
      </c>
      <c r="C656" s="11">
        <v>500000</v>
      </c>
      <c r="D656" t="s">
        <v>2368</v>
      </c>
      <c r="E656" t="s">
        <v>888</v>
      </c>
      <c r="F656" s="4">
        <v>39856</v>
      </c>
      <c r="G656" s="11">
        <v>0</v>
      </c>
      <c r="H656" s="11">
        <v>500000</v>
      </c>
    </row>
    <row r="657" spans="1:8" x14ac:dyDescent="0.2">
      <c r="A657" t="s">
        <v>3699</v>
      </c>
      <c r="B657" t="s">
        <v>3700</v>
      </c>
      <c r="C657" s="11">
        <v>50000</v>
      </c>
      <c r="D657" t="s">
        <v>2368</v>
      </c>
      <c r="E657" t="s">
        <v>885</v>
      </c>
      <c r="F657" s="4">
        <v>40553</v>
      </c>
      <c r="G657" s="11">
        <v>0</v>
      </c>
      <c r="H657" s="11">
        <v>50000</v>
      </c>
    </row>
    <row r="658" spans="1:8" x14ac:dyDescent="0.2">
      <c r="A658" t="s">
        <v>96</v>
      </c>
      <c r="B658" t="s">
        <v>2085</v>
      </c>
      <c r="C658" s="11">
        <v>450000</v>
      </c>
      <c r="D658" t="s">
        <v>2368</v>
      </c>
      <c r="E658" t="s">
        <v>787</v>
      </c>
      <c r="F658" s="4">
        <v>39890</v>
      </c>
      <c r="G658" s="11">
        <v>0</v>
      </c>
      <c r="H658" s="11">
        <v>450000</v>
      </c>
    </row>
    <row r="659" spans="1:8" x14ac:dyDescent="0.2">
      <c r="A659" t="s">
        <v>3701</v>
      </c>
      <c r="B659" t="s">
        <v>3702</v>
      </c>
      <c r="C659" s="11">
        <v>50000</v>
      </c>
      <c r="D659" t="s">
        <v>2368</v>
      </c>
      <c r="E659" t="s">
        <v>888</v>
      </c>
      <c r="F659" s="4">
        <v>40553</v>
      </c>
      <c r="G659" s="11">
        <v>0</v>
      </c>
      <c r="H659" s="11">
        <v>50000</v>
      </c>
    </row>
    <row r="660" spans="1:8" x14ac:dyDescent="0.2">
      <c r="A660" t="s">
        <v>2960</v>
      </c>
      <c r="B660" t="s">
        <v>2092</v>
      </c>
      <c r="C660" s="11">
        <v>100000</v>
      </c>
      <c r="D660" t="s">
        <v>2368</v>
      </c>
      <c r="E660" t="s">
        <v>885</v>
      </c>
      <c r="F660" s="4">
        <v>39890</v>
      </c>
      <c r="G660" s="11">
        <v>100000</v>
      </c>
      <c r="H660" s="11">
        <v>0</v>
      </c>
    </row>
    <row r="661" spans="1:8" x14ac:dyDescent="0.2">
      <c r="A661" t="s">
        <v>3072</v>
      </c>
      <c r="B661" t="s">
        <v>1143</v>
      </c>
      <c r="C661" s="11">
        <v>6000000</v>
      </c>
      <c r="D661" t="s">
        <v>2368</v>
      </c>
      <c r="E661" t="s">
        <v>888</v>
      </c>
      <c r="F661" s="4">
        <v>39688</v>
      </c>
      <c r="G661" s="11">
        <v>3549576</v>
      </c>
      <c r="H661" s="11">
        <v>2450424</v>
      </c>
    </row>
    <row r="662" spans="1:8" x14ac:dyDescent="0.2">
      <c r="A662" t="s">
        <v>3073</v>
      </c>
      <c r="B662" t="s">
        <v>2080</v>
      </c>
      <c r="C662" s="11">
        <v>450000</v>
      </c>
      <c r="D662" t="s">
        <v>2368</v>
      </c>
      <c r="E662" t="s">
        <v>888</v>
      </c>
      <c r="F662" s="4">
        <v>39890</v>
      </c>
      <c r="G662" s="11">
        <v>0</v>
      </c>
      <c r="H662" s="11">
        <v>450000</v>
      </c>
    </row>
    <row r="663" spans="1:8" x14ac:dyDescent="0.2">
      <c r="A663" t="s">
        <v>3703</v>
      </c>
      <c r="B663" t="s">
        <v>3704</v>
      </c>
      <c r="C663" s="11">
        <v>50000</v>
      </c>
      <c r="D663" t="s">
        <v>2368</v>
      </c>
      <c r="E663" t="s">
        <v>888</v>
      </c>
      <c r="F663" s="4">
        <v>40553</v>
      </c>
      <c r="G663" s="11">
        <v>0</v>
      </c>
      <c r="H663" s="11">
        <v>50000</v>
      </c>
    </row>
    <row r="664" spans="1:8" x14ac:dyDescent="0.2">
      <c r="A664" t="s">
        <v>3074</v>
      </c>
      <c r="B664" t="s">
        <v>97</v>
      </c>
      <c r="C664" s="11">
        <v>100000</v>
      </c>
      <c r="D664" t="s">
        <v>2368</v>
      </c>
      <c r="E664" t="s">
        <v>888</v>
      </c>
      <c r="F664" s="4">
        <v>40217</v>
      </c>
      <c r="G664" s="11">
        <v>100000</v>
      </c>
      <c r="H664" s="11">
        <v>0</v>
      </c>
    </row>
    <row r="665" spans="1:8" x14ac:dyDescent="0.2">
      <c r="A665" t="s">
        <v>3705</v>
      </c>
      <c r="B665" t="s">
        <v>3706</v>
      </c>
      <c r="C665" s="11">
        <v>150000</v>
      </c>
      <c r="D665" t="s">
        <v>2368</v>
      </c>
      <c r="E665" t="s">
        <v>888</v>
      </c>
      <c r="F665" s="4">
        <v>40515</v>
      </c>
      <c r="G665" s="11">
        <v>143750</v>
      </c>
      <c r="H665" s="11">
        <v>6250</v>
      </c>
    </row>
    <row r="666" spans="1:8" x14ac:dyDescent="0.2">
      <c r="A666" t="s">
        <v>3075</v>
      </c>
      <c r="B666" t="s">
        <v>2086</v>
      </c>
      <c r="C666" s="11">
        <v>100000</v>
      </c>
      <c r="D666" t="s">
        <v>2368</v>
      </c>
      <c r="E666" t="s">
        <v>888</v>
      </c>
      <c r="F666" s="4">
        <v>39890</v>
      </c>
      <c r="G666" s="11">
        <v>0</v>
      </c>
      <c r="H666" s="11">
        <v>100000</v>
      </c>
    </row>
    <row r="667" spans="1:8" x14ac:dyDescent="0.2">
      <c r="A667" t="s">
        <v>3707</v>
      </c>
      <c r="B667" t="s">
        <v>3708</v>
      </c>
      <c r="C667" s="11">
        <v>50000</v>
      </c>
      <c r="D667" t="s">
        <v>2368</v>
      </c>
      <c r="E667" t="s">
        <v>888</v>
      </c>
      <c r="F667" s="4">
        <v>40553</v>
      </c>
      <c r="G667" s="11">
        <v>0</v>
      </c>
      <c r="H667" s="11">
        <v>50000</v>
      </c>
    </row>
    <row r="668" spans="1:8" x14ac:dyDescent="0.2">
      <c r="A668" t="s">
        <v>3448</v>
      </c>
      <c r="B668" t="s">
        <v>2852</v>
      </c>
      <c r="C668" s="11">
        <v>1000000</v>
      </c>
      <c r="D668" t="s">
        <v>2368</v>
      </c>
      <c r="E668" t="s">
        <v>885</v>
      </c>
      <c r="F668" s="4">
        <v>40345</v>
      </c>
      <c r="G668" s="11">
        <v>0</v>
      </c>
      <c r="H668" s="11">
        <v>1000000</v>
      </c>
    </row>
    <row r="669" spans="1:8" x14ac:dyDescent="0.2">
      <c r="A669" t="s">
        <v>3709</v>
      </c>
      <c r="B669" t="s">
        <v>3076</v>
      </c>
      <c r="C669" s="11">
        <v>250000</v>
      </c>
      <c r="D669" t="s">
        <v>2368</v>
      </c>
      <c r="E669" t="s">
        <v>444</v>
      </c>
      <c r="F669" s="4">
        <v>40436</v>
      </c>
      <c r="G669" s="11">
        <v>250000</v>
      </c>
      <c r="H669" s="11">
        <v>0</v>
      </c>
    </row>
    <row r="670" spans="1:8" x14ac:dyDescent="0.2">
      <c r="A670" t="s">
        <v>3710</v>
      </c>
      <c r="B670" t="s">
        <v>3711</v>
      </c>
      <c r="C670" s="11">
        <v>200000</v>
      </c>
      <c r="D670" t="s">
        <v>2368</v>
      </c>
      <c r="E670" t="s">
        <v>444</v>
      </c>
      <c r="F670" s="4">
        <v>40515</v>
      </c>
      <c r="G670" s="11">
        <v>188750</v>
      </c>
      <c r="H670" s="11">
        <v>11250</v>
      </c>
    </row>
    <row r="671" spans="1:8" x14ac:dyDescent="0.2">
      <c r="A671" t="s">
        <v>4266</v>
      </c>
      <c r="B671" t="s">
        <v>3715</v>
      </c>
      <c r="C671" s="11">
        <v>250000</v>
      </c>
      <c r="D671" t="s">
        <v>2368</v>
      </c>
      <c r="E671" t="s">
        <v>3031</v>
      </c>
      <c r="F671" s="4">
        <v>40515</v>
      </c>
      <c r="G671" s="11">
        <v>0</v>
      </c>
      <c r="H671" s="11">
        <v>250000</v>
      </c>
    </row>
    <row r="672" spans="1:8" x14ac:dyDescent="0.2">
      <c r="A672" t="s">
        <v>4303</v>
      </c>
      <c r="B672" t="s">
        <v>3713</v>
      </c>
      <c r="C672" s="11">
        <v>350000</v>
      </c>
      <c r="D672" t="s">
        <v>2368</v>
      </c>
      <c r="E672" t="s">
        <v>3031</v>
      </c>
      <c r="F672" s="4">
        <v>40515</v>
      </c>
      <c r="G672" s="11">
        <v>0</v>
      </c>
      <c r="H672" s="11">
        <v>350000</v>
      </c>
    </row>
    <row r="673" spans="1:8" x14ac:dyDescent="0.2">
      <c r="A673" t="s">
        <v>4304</v>
      </c>
      <c r="B673" t="s">
        <v>3714</v>
      </c>
      <c r="C673" s="11">
        <v>500000</v>
      </c>
      <c r="D673" t="s">
        <v>2368</v>
      </c>
      <c r="E673" t="s">
        <v>3031</v>
      </c>
      <c r="F673" s="4">
        <v>40520</v>
      </c>
      <c r="G673" s="11">
        <v>0</v>
      </c>
      <c r="H673" s="11">
        <v>500000</v>
      </c>
    </row>
    <row r="674" spans="1:8" x14ac:dyDescent="0.2">
      <c r="A674" t="s">
        <v>4174</v>
      </c>
      <c r="B674" t="s">
        <v>3712</v>
      </c>
      <c r="C674" s="11">
        <v>500000</v>
      </c>
      <c r="D674" t="s">
        <v>2368</v>
      </c>
      <c r="E674" t="s">
        <v>3031</v>
      </c>
      <c r="F674" s="4">
        <v>40520</v>
      </c>
      <c r="G674" s="11">
        <v>487500</v>
      </c>
      <c r="H674" s="11">
        <v>12500</v>
      </c>
    </row>
    <row r="675" spans="1:8" x14ac:dyDescent="0.2">
      <c r="A675" t="s">
        <v>4305</v>
      </c>
      <c r="B675" t="s">
        <v>3724</v>
      </c>
      <c r="C675" s="11">
        <v>1000000</v>
      </c>
      <c r="D675" t="s">
        <v>2368</v>
      </c>
      <c r="E675" t="s">
        <v>3031</v>
      </c>
      <c r="F675" s="4">
        <v>40546</v>
      </c>
      <c r="G675" s="11">
        <v>102628</v>
      </c>
      <c r="H675" s="11">
        <v>897372</v>
      </c>
    </row>
    <row r="676" spans="1:8" x14ac:dyDescent="0.2">
      <c r="A676" t="s">
        <v>4360</v>
      </c>
      <c r="B676" t="s">
        <v>3720</v>
      </c>
      <c r="C676" s="11">
        <v>250000</v>
      </c>
      <c r="D676" t="s">
        <v>2368</v>
      </c>
      <c r="E676" t="s">
        <v>3031</v>
      </c>
      <c r="F676" s="4">
        <v>40532</v>
      </c>
      <c r="G676" s="11">
        <v>0</v>
      </c>
      <c r="H676" s="11">
        <v>250000</v>
      </c>
    </row>
    <row r="677" spans="1:8" x14ac:dyDescent="0.2">
      <c r="A677" t="s">
        <v>4409</v>
      </c>
      <c r="B677" t="s">
        <v>3719</v>
      </c>
      <c r="C677" s="11">
        <v>250000</v>
      </c>
      <c r="D677" t="s">
        <v>2368</v>
      </c>
      <c r="E677" t="s">
        <v>3031</v>
      </c>
      <c r="F677" s="4">
        <v>40532</v>
      </c>
      <c r="G677" s="11">
        <v>0</v>
      </c>
      <c r="H677" s="11">
        <v>250000</v>
      </c>
    </row>
    <row r="678" spans="1:8" x14ac:dyDescent="0.2">
      <c r="A678" t="s">
        <v>2718</v>
      </c>
      <c r="B678" t="s">
        <v>2081</v>
      </c>
      <c r="C678" s="11">
        <v>0</v>
      </c>
      <c r="D678" t="s">
        <v>2368</v>
      </c>
      <c r="E678" t="s">
        <v>888</v>
      </c>
      <c r="F678" s="4">
        <v>39890</v>
      </c>
      <c r="G678" s="11">
        <v>0</v>
      </c>
      <c r="H678" s="11">
        <v>0</v>
      </c>
    </row>
    <row r="679" spans="1:8" x14ac:dyDescent="0.2">
      <c r="A679" t="s">
        <v>3721</v>
      </c>
      <c r="B679" t="s">
        <v>3722</v>
      </c>
      <c r="C679" s="11">
        <v>250000</v>
      </c>
      <c r="D679" t="s">
        <v>2368</v>
      </c>
      <c r="E679" t="s">
        <v>3031</v>
      </c>
      <c r="F679" s="4">
        <v>40546</v>
      </c>
      <c r="G679" s="11">
        <v>0</v>
      </c>
      <c r="H679" s="11">
        <v>250000</v>
      </c>
    </row>
    <row r="680" spans="1:8" x14ac:dyDescent="0.2">
      <c r="A680" t="s">
        <v>4066</v>
      </c>
      <c r="B680" t="s">
        <v>3723</v>
      </c>
      <c r="C680" s="11">
        <v>0</v>
      </c>
      <c r="D680" t="s">
        <v>2368</v>
      </c>
      <c r="E680" t="s">
        <v>3031</v>
      </c>
      <c r="F680" s="4">
        <v>40546</v>
      </c>
      <c r="G680" s="11">
        <v>0</v>
      </c>
      <c r="H680" s="11">
        <v>0</v>
      </c>
    </row>
    <row r="681" spans="1:8" x14ac:dyDescent="0.2">
      <c r="A681" t="s">
        <v>4067</v>
      </c>
      <c r="B681" t="s">
        <v>3077</v>
      </c>
      <c r="C681" s="11">
        <v>0</v>
      </c>
      <c r="D681" t="s">
        <v>2368</v>
      </c>
      <c r="E681" t="s">
        <v>888</v>
      </c>
      <c r="F681" s="4">
        <v>40436</v>
      </c>
      <c r="G681" s="11">
        <v>0</v>
      </c>
      <c r="H681" s="11">
        <v>0</v>
      </c>
    </row>
    <row r="682" spans="1:8" x14ac:dyDescent="0.2">
      <c r="A682" t="s">
        <v>4068</v>
      </c>
      <c r="B682" t="s">
        <v>3716</v>
      </c>
      <c r="C682" s="11">
        <v>0</v>
      </c>
      <c r="D682" t="s">
        <v>2368</v>
      </c>
      <c r="E682" t="s">
        <v>3031</v>
      </c>
      <c r="F682" s="4">
        <v>40515</v>
      </c>
      <c r="G682" s="11">
        <v>0</v>
      </c>
      <c r="H682" s="11">
        <v>0</v>
      </c>
    </row>
    <row r="683" spans="1:8" x14ac:dyDescent="0.2">
      <c r="A683" t="s">
        <v>4109</v>
      </c>
      <c r="B683" t="s">
        <v>4049</v>
      </c>
      <c r="C683" s="11">
        <v>0</v>
      </c>
      <c r="D683" t="s">
        <v>2368</v>
      </c>
      <c r="E683" t="s">
        <v>3031</v>
      </c>
      <c r="F683" s="4">
        <v>40557</v>
      </c>
      <c r="G683" s="11">
        <v>0</v>
      </c>
      <c r="H683" s="11">
        <v>0</v>
      </c>
    </row>
    <row r="684" spans="1:8" x14ac:dyDescent="0.2">
      <c r="A684" t="s">
        <v>4361</v>
      </c>
      <c r="B684" t="s">
        <v>3449</v>
      </c>
      <c r="C684" s="11">
        <v>0</v>
      </c>
      <c r="D684" t="s">
        <v>2368</v>
      </c>
      <c r="E684" t="s">
        <v>3031</v>
      </c>
      <c r="F684" s="4">
        <v>40497</v>
      </c>
      <c r="G684" s="11">
        <v>0</v>
      </c>
      <c r="H684" s="11">
        <v>0</v>
      </c>
    </row>
    <row r="685" spans="1:8" x14ac:dyDescent="0.2">
      <c r="A685" t="s">
        <v>4456</v>
      </c>
      <c r="B685" t="s">
        <v>3717</v>
      </c>
      <c r="C685" s="11">
        <v>0</v>
      </c>
      <c r="D685" t="s">
        <v>2368</v>
      </c>
      <c r="E685" t="s">
        <v>3031</v>
      </c>
      <c r="F685" s="4">
        <v>40515</v>
      </c>
      <c r="G685" s="11">
        <v>0</v>
      </c>
      <c r="H685" s="11">
        <v>0</v>
      </c>
    </row>
    <row r="686" spans="1:8" x14ac:dyDescent="0.2">
      <c r="A686" t="s">
        <v>4457</v>
      </c>
      <c r="B686" t="s">
        <v>3718</v>
      </c>
      <c r="C686" s="11">
        <v>0</v>
      </c>
      <c r="D686" t="s">
        <v>2368</v>
      </c>
      <c r="E686" t="s">
        <v>3031</v>
      </c>
      <c r="F686" s="4">
        <v>40553</v>
      </c>
      <c r="G686" s="11">
        <v>0</v>
      </c>
      <c r="H686" s="11">
        <v>0</v>
      </c>
    </row>
    <row r="687" spans="1:8" x14ac:dyDescent="0.2">
      <c r="A687" t="s">
        <v>1317</v>
      </c>
      <c r="B687" t="s">
        <v>1318</v>
      </c>
      <c r="C687" s="11">
        <v>1200000</v>
      </c>
      <c r="D687" t="s">
        <v>226</v>
      </c>
      <c r="E687" t="s">
        <v>516</v>
      </c>
      <c r="F687" s="4">
        <v>38679</v>
      </c>
      <c r="G687" s="11">
        <v>1200000</v>
      </c>
      <c r="H687" s="11">
        <v>0</v>
      </c>
    </row>
    <row r="688" spans="1:8" x14ac:dyDescent="0.2">
      <c r="A688" t="s">
        <v>1319</v>
      </c>
      <c r="B688" t="s">
        <v>1320</v>
      </c>
      <c r="C688" s="11">
        <v>1500000</v>
      </c>
      <c r="D688" t="s">
        <v>226</v>
      </c>
      <c r="E688" t="s">
        <v>516</v>
      </c>
      <c r="F688" s="4">
        <v>38213</v>
      </c>
      <c r="G688" s="11">
        <v>1500000</v>
      </c>
      <c r="H688" s="11">
        <v>0</v>
      </c>
    </row>
    <row r="689" spans="1:8" x14ac:dyDescent="0.2">
      <c r="A689" t="s">
        <v>4018</v>
      </c>
      <c r="B689" t="s">
        <v>3373</v>
      </c>
      <c r="C689" s="11">
        <v>850000</v>
      </c>
      <c r="D689" t="s">
        <v>226</v>
      </c>
      <c r="E689" t="s">
        <v>888</v>
      </c>
      <c r="F689" s="4">
        <v>40436</v>
      </c>
      <c r="G689" s="11">
        <v>0</v>
      </c>
      <c r="H689" s="11">
        <v>850000</v>
      </c>
    </row>
    <row r="690" spans="1:8" x14ac:dyDescent="0.2">
      <c r="A690" t="s">
        <v>570</v>
      </c>
      <c r="B690" t="s">
        <v>571</v>
      </c>
      <c r="C690" s="11">
        <v>1000000</v>
      </c>
      <c r="D690" t="s">
        <v>572</v>
      </c>
      <c r="E690" t="s">
        <v>1710</v>
      </c>
      <c r="F690" s="4">
        <v>36581</v>
      </c>
      <c r="G690" s="11">
        <v>1000000</v>
      </c>
      <c r="H690" s="11">
        <v>0</v>
      </c>
    </row>
    <row r="691" spans="1:8" x14ac:dyDescent="0.2">
      <c r="A691" t="s">
        <v>2217</v>
      </c>
      <c r="B691" t="s">
        <v>2218</v>
      </c>
      <c r="C691" s="11">
        <v>3000000</v>
      </c>
      <c r="D691" t="s">
        <v>572</v>
      </c>
      <c r="E691" t="s">
        <v>2107</v>
      </c>
      <c r="F691" s="4">
        <v>37448</v>
      </c>
      <c r="G691" s="11">
        <v>3000000</v>
      </c>
      <c r="H691" s="11">
        <v>0</v>
      </c>
    </row>
    <row r="692" spans="1:8" x14ac:dyDescent="0.2">
      <c r="A692" t="s">
        <v>2316</v>
      </c>
      <c r="B692" t="s">
        <v>2317</v>
      </c>
      <c r="C692" s="11">
        <v>140000</v>
      </c>
      <c r="D692" t="s">
        <v>572</v>
      </c>
      <c r="E692" t="s">
        <v>2107</v>
      </c>
      <c r="F692" s="4">
        <v>37582</v>
      </c>
      <c r="G692" s="11">
        <v>140000</v>
      </c>
      <c r="H692" s="11">
        <v>0</v>
      </c>
    </row>
    <row r="693" spans="1:8" x14ac:dyDescent="0.2">
      <c r="A693" t="s">
        <v>177</v>
      </c>
      <c r="B693" s="1" t="s">
        <v>178</v>
      </c>
      <c r="C693" s="11">
        <v>2000000</v>
      </c>
      <c r="D693" t="s">
        <v>572</v>
      </c>
      <c r="E693" t="s">
        <v>516</v>
      </c>
      <c r="F693" s="4">
        <v>38099</v>
      </c>
      <c r="G693" s="11">
        <v>2000000</v>
      </c>
      <c r="H693" s="11">
        <v>0</v>
      </c>
    </row>
    <row r="694" spans="1:8" x14ac:dyDescent="0.2">
      <c r="A694" t="s">
        <v>1482</v>
      </c>
      <c r="B694" s="1" t="s">
        <v>677</v>
      </c>
      <c r="C694" s="11">
        <v>300000</v>
      </c>
      <c r="D694" t="s">
        <v>572</v>
      </c>
      <c r="E694" t="s">
        <v>444</v>
      </c>
      <c r="F694" s="4">
        <v>38985</v>
      </c>
      <c r="G694" s="11">
        <v>300000</v>
      </c>
      <c r="H694" s="11">
        <v>0</v>
      </c>
    </row>
    <row r="695" spans="1:8" x14ac:dyDescent="0.2">
      <c r="A695" t="s">
        <v>1484</v>
      </c>
      <c r="B695" s="1" t="s">
        <v>1677</v>
      </c>
      <c r="C695" s="11">
        <v>11000000</v>
      </c>
      <c r="D695" t="s">
        <v>572</v>
      </c>
      <c r="E695" t="s">
        <v>885</v>
      </c>
      <c r="F695" s="4">
        <v>38905</v>
      </c>
      <c r="G695" s="11">
        <v>11000000</v>
      </c>
      <c r="H695" s="11">
        <v>0</v>
      </c>
    </row>
    <row r="696" spans="1:8" x14ac:dyDescent="0.2">
      <c r="A696" t="s">
        <v>793</v>
      </c>
      <c r="B696" s="1" t="s">
        <v>200</v>
      </c>
      <c r="C696" s="11">
        <v>3000000</v>
      </c>
      <c r="D696" t="s">
        <v>572</v>
      </c>
      <c r="E696" t="s">
        <v>885</v>
      </c>
      <c r="F696" s="4">
        <v>38916</v>
      </c>
      <c r="G696" s="11">
        <v>2250000</v>
      </c>
      <c r="H696" s="11">
        <v>750000</v>
      </c>
    </row>
    <row r="697" spans="1:8" x14ac:dyDescent="0.2">
      <c r="A697" t="s">
        <v>1966</v>
      </c>
      <c r="B697" s="1" t="s">
        <v>2192</v>
      </c>
      <c r="C697" s="11">
        <v>2000000</v>
      </c>
      <c r="D697" t="s">
        <v>572</v>
      </c>
      <c r="E697" t="s">
        <v>444</v>
      </c>
      <c r="F697" s="4">
        <v>39394</v>
      </c>
      <c r="G697" s="11">
        <v>1791419</v>
      </c>
      <c r="H697" s="11">
        <v>208581</v>
      </c>
    </row>
    <row r="698" spans="1:8" x14ac:dyDescent="0.2">
      <c r="A698" t="s">
        <v>1041</v>
      </c>
      <c r="B698" s="1" t="s">
        <v>1169</v>
      </c>
      <c r="C698" s="11">
        <v>3500000</v>
      </c>
      <c r="D698" t="s">
        <v>572</v>
      </c>
      <c r="E698" t="s">
        <v>888</v>
      </c>
      <c r="F698" s="4">
        <v>39702</v>
      </c>
      <c r="G698" s="11">
        <v>1974755</v>
      </c>
      <c r="H698" s="11">
        <v>1525245</v>
      </c>
    </row>
    <row r="699" spans="1:8" x14ac:dyDescent="0.2">
      <c r="A699" t="s">
        <v>1042</v>
      </c>
      <c r="B699" s="1" t="s">
        <v>678</v>
      </c>
      <c r="C699" s="11">
        <v>300000</v>
      </c>
      <c r="D699" t="s">
        <v>572</v>
      </c>
      <c r="E699" t="s">
        <v>444</v>
      </c>
      <c r="F699" s="4">
        <v>38985</v>
      </c>
      <c r="G699" s="11">
        <v>300000</v>
      </c>
      <c r="H699" s="11">
        <v>0</v>
      </c>
    </row>
    <row r="700" spans="1:8" x14ac:dyDescent="0.2">
      <c r="A700" t="s">
        <v>1043</v>
      </c>
      <c r="B700" s="1" t="s">
        <v>926</v>
      </c>
      <c r="C700" s="11">
        <v>1000000</v>
      </c>
      <c r="D700" t="s">
        <v>572</v>
      </c>
      <c r="E700" t="s">
        <v>444</v>
      </c>
      <c r="F700" s="4">
        <v>39688</v>
      </c>
      <c r="G700" s="11">
        <v>1000000</v>
      </c>
      <c r="H700" s="11">
        <v>0</v>
      </c>
    </row>
    <row r="701" spans="1:8" x14ac:dyDescent="0.2">
      <c r="A701" t="s">
        <v>2719</v>
      </c>
      <c r="B701" s="1" t="s">
        <v>2720</v>
      </c>
      <c r="C701" s="11">
        <v>1200000</v>
      </c>
      <c r="D701" t="s">
        <v>572</v>
      </c>
      <c r="E701" t="s">
        <v>444</v>
      </c>
      <c r="F701" s="4">
        <v>40260</v>
      </c>
      <c r="G701" s="11">
        <v>1002356</v>
      </c>
      <c r="H701" s="11">
        <v>197644</v>
      </c>
    </row>
    <row r="702" spans="1:8" x14ac:dyDescent="0.2">
      <c r="A702" t="s">
        <v>1044</v>
      </c>
      <c r="B702" s="1" t="s">
        <v>1160</v>
      </c>
      <c r="C702" s="11">
        <v>5000000</v>
      </c>
      <c r="D702" t="s">
        <v>572</v>
      </c>
      <c r="E702" t="s">
        <v>888</v>
      </c>
      <c r="F702" s="4">
        <v>39688</v>
      </c>
      <c r="G702" s="11">
        <v>0</v>
      </c>
      <c r="H702" s="11">
        <v>5000000</v>
      </c>
    </row>
    <row r="703" spans="1:8" x14ac:dyDescent="0.2">
      <c r="A703" t="s">
        <v>4441</v>
      </c>
      <c r="B703" s="1" t="s">
        <v>3725</v>
      </c>
      <c r="C703" s="11">
        <v>300000</v>
      </c>
      <c r="D703" t="s">
        <v>572</v>
      </c>
      <c r="E703" t="s">
        <v>3031</v>
      </c>
      <c r="F703" s="4">
        <v>40532</v>
      </c>
      <c r="G703" s="11">
        <v>0</v>
      </c>
      <c r="H703" s="11">
        <v>300000</v>
      </c>
    </row>
    <row r="704" spans="1:8" x14ac:dyDescent="0.2">
      <c r="A704" t="s">
        <v>279</v>
      </c>
      <c r="B704" s="1" t="s">
        <v>280</v>
      </c>
      <c r="C704" s="11">
        <v>550000</v>
      </c>
      <c r="D704" t="s">
        <v>281</v>
      </c>
      <c r="E704" t="s">
        <v>1564</v>
      </c>
      <c r="G704" s="11">
        <v>550000</v>
      </c>
      <c r="H704" s="11">
        <v>0</v>
      </c>
    </row>
    <row r="705" spans="1:8" x14ac:dyDescent="0.2">
      <c r="A705" t="s">
        <v>447</v>
      </c>
      <c r="B705" s="1" t="s">
        <v>207</v>
      </c>
      <c r="C705" s="11">
        <v>4000000</v>
      </c>
      <c r="D705" t="s">
        <v>281</v>
      </c>
      <c r="E705" t="s">
        <v>516</v>
      </c>
      <c r="F705" s="4">
        <v>37655</v>
      </c>
      <c r="G705" s="11">
        <v>4000000</v>
      </c>
      <c r="H705" s="11">
        <v>0</v>
      </c>
    </row>
    <row r="706" spans="1:8" x14ac:dyDescent="0.2">
      <c r="A706" t="s">
        <v>864</v>
      </c>
      <c r="B706" s="1" t="s">
        <v>1261</v>
      </c>
      <c r="C706" s="11">
        <v>250000</v>
      </c>
      <c r="D706" t="s">
        <v>281</v>
      </c>
      <c r="E706" t="s">
        <v>444</v>
      </c>
      <c r="F706" s="4">
        <v>39204</v>
      </c>
      <c r="G706" s="11">
        <v>250000</v>
      </c>
      <c r="H706" s="11">
        <v>0</v>
      </c>
    </row>
    <row r="707" spans="1:8" x14ac:dyDescent="0.2">
      <c r="A707" t="s">
        <v>877</v>
      </c>
      <c r="B707" s="1" t="s">
        <v>396</v>
      </c>
      <c r="C707" s="11">
        <v>1000000</v>
      </c>
      <c r="D707" t="s">
        <v>281</v>
      </c>
      <c r="E707" t="s">
        <v>444</v>
      </c>
      <c r="F707" s="4">
        <v>39314</v>
      </c>
      <c r="G707" s="11">
        <v>1000000</v>
      </c>
      <c r="H707" s="11">
        <v>0</v>
      </c>
    </row>
    <row r="708" spans="1:8" x14ac:dyDescent="0.2">
      <c r="A708" t="s">
        <v>990</v>
      </c>
      <c r="B708" s="1" t="s">
        <v>1209</v>
      </c>
      <c r="C708" s="11">
        <v>2000000</v>
      </c>
      <c r="D708" t="s">
        <v>281</v>
      </c>
      <c r="E708" t="s">
        <v>1904</v>
      </c>
      <c r="F708" s="4">
        <v>39751</v>
      </c>
      <c r="G708" s="11">
        <v>2000000</v>
      </c>
      <c r="H708" s="11">
        <v>0</v>
      </c>
    </row>
    <row r="709" spans="1:8" x14ac:dyDescent="0.2">
      <c r="A709" t="s">
        <v>1045</v>
      </c>
      <c r="B709" s="1" t="s">
        <v>1180</v>
      </c>
      <c r="C709" s="11">
        <v>1002000</v>
      </c>
      <c r="D709" t="s">
        <v>281</v>
      </c>
      <c r="E709" t="s">
        <v>1904</v>
      </c>
      <c r="F709" s="4">
        <v>39717</v>
      </c>
      <c r="G709" s="11">
        <v>977000</v>
      </c>
      <c r="H709" s="11">
        <v>25000</v>
      </c>
    </row>
    <row r="710" spans="1:8" x14ac:dyDescent="0.2">
      <c r="A710" t="s">
        <v>1932</v>
      </c>
      <c r="B710" s="1" t="s">
        <v>1212</v>
      </c>
      <c r="C710" s="11">
        <v>500000</v>
      </c>
      <c r="D710" t="s">
        <v>281</v>
      </c>
      <c r="E710" t="s">
        <v>444</v>
      </c>
      <c r="F710" s="4">
        <v>39751</v>
      </c>
      <c r="G710" s="11">
        <v>500000</v>
      </c>
      <c r="H710" s="11">
        <v>0</v>
      </c>
    </row>
    <row r="711" spans="1:8" x14ac:dyDescent="0.2">
      <c r="A711" t="s">
        <v>1933</v>
      </c>
      <c r="B711" s="1" t="s">
        <v>772</v>
      </c>
      <c r="C711" s="11">
        <v>1500000</v>
      </c>
      <c r="D711" t="s">
        <v>281</v>
      </c>
      <c r="E711" t="s">
        <v>444</v>
      </c>
      <c r="F711" s="4">
        <v>39856</v>
      </c>
      <c r="G711" s="11">
        <v>1500000</v>
      </c>
      <c r="H711" s="11">
        <v>0</v>
      </c>
    </row>
    <row r="712" spans="1:8" x14ac:dyDescent="0.2">
      <c r="A712" t="s">
        <v>2045</v>
      </c>
      <c r="B712" s="1" t="s">
        <v>2046</v>
      </c>
      <c r="C712" s="11">
        <v>500000</v>
      </c>
      <c r="D712" t="s">
        <v>2047</v>
      </c>
      <c r="E712" t="s">
        <v>969</v>
      </c>
      <c r="F712" s="4">
        <v>37099</v>
      </c>
      <c r="G712" s="11">
        <v>500000</v>
      </c>
      <c r="H712" s="11">
        <v>0</v>
      </c>
    </row>
    <row r="713" spans="1:8" x14ac:dyDescent="0.2">
      <c r="A713" t="s">
        <v>2387</v>
      </c>
      <c r="B713" s="1" t="s">
        <v>2388</v>
      </c>
      <c r="C713" s="11">
        <v>1000000</v>
      </c>
      <c r="D713" t="s">
        <v>2047</v>
      </c>
      <c r="E713" t="s">
        <v>2107</v>
      </c>
      <c r="F713" s="4">
        <v>37554</v>
      </c>
      <c r="G713" s="11">
        <v>1000000</v>
      </c>
      <c r="H713" s="11">
        <v>0</v>
      </c>
    </row>
    <row r="714" spans="1:8" x14ac:dyDescent="0.2">
      <c r="A714" t="s">
        <v>190</v>
      </c>
      <c r="B714" s="1" t="s">
        <v>191</v>
      </c>
      <c r="C714" s="11">
        <v>600000</v>
      </c>
      <c r="D714" t="s">
        <v>2047</v>
      </c>
      <c r="E714" t="s">
        <v>885</v>
      </c>
      <c r="F714" s="4">
        <v>38426</v>
      </c>
      <c r="G714" s="11">
        <v>600000</v>
      </c>
      <c r="H714" s="11">
        <v>0</v>
      </c>
    </row>
    <row r="715" spans="1:8" x14ac:dyDescent="0.2">
      <c r="A715" t="s">
        <v>477</v>
      </c>
      <c r="B715" s="1" t="s">
        <v>1397</v>
      </c>
      <c r="C715" s="11">
        <v>600000</v>
      </c>
      <c r="D715" t="s">
        <v>2047</v>
      </c>
      <c r="E715" t="s">
        <v>885</v>
      </c>
      <c r="F715" s="4">
        <v>38426</v>
      </c>
      <c r="G715" s="11">
        <v>600000</v>
      </c>
      <c r="H715" s="11">
        <v>0</v>
      </c>
    </row>
    <row r="716" spans="1:8" x14ac:dyDescent="0.2">
      <c r="A716" t="s">
        <v>1682</v>
      </c>
      <c r="B716" s="1" t="s">
        <v>1174</v>
      </c>
      <c r="C716" s="11">
        <v>600000</v>
      </c>
      <c r="D716" t="s">
        <v>2047</v>
      </c>
      <c r="E716" t="s">
        <v>444</v>
      </c>
      <c r="F716" s="4">
        <v>39710</v>
      </c>
      <c r="G716" s="11">
        <v>600000</v>
      </c>
      <c r="H716" s="11">
        <v>0</v>
      </c>
    </row>
    <row r="717" spans="1:8" x14ac:dyDescent="0.2">
      <c r="A717" t="s">
        <v>2853</v>
      </c>
      <c r="B717" s="1" t="s">
        <v>2854</v>
      </c>
      <c r="C717" s="11">
        <v>250000</v>
      </c>
      <c r="D717" t="s">
        <v>2047</v>
      </c>
      <c r="E717" t="s">
        <v>444</v>
      </c>
      <c r="F717" s="4">
        <v>40325</v>
      </c>
      <c r="G717" s="11">
        <v>250000</v>
      </c>
      <c r="H717" s="11">
        <v>0</v>
      </c>
    </row>
    <row r="718" spans="1:8" x14ac:dyDescent="0.2">
      <c r="A718" t="s">
        <v>4175</v>
      </c>
      <c r="B718" s="1" t="s">
        <v>2855</v>
      </c>
      <c r="C718" s="11">
        <v>0</v>
      </c>
      <c r="D718" t="s">
        <v>2047</v>
      </c>
      <c r="E718" t="s">
        <v>444</v>
      </c>
      <c r="F718" s="4">
        <v>40325</v>
      </c>
      <c r="G718" s="11">
        <v>0</v>
      </c>
      <c r="H718" s="11">
        <v>0</v>
      </c>
    </row>
    <row r="719" spans="1:8" x14ac:dyDescent="0.2">
      <c r="A719" t="s">
        <v>276</v>
      </c>
      <c r="B719" s="1" t="s">
        <v>277</v>
      </c>
      <c r="C719" s="11">
        <v>1200000</v>
      </c>
      <c r="D719" t="s">
        <v>278</v>
      </c>
      <c r="E719" t="s">
        <v>1564</v>
      </c>
      <c r="G719" s="11">
        <v>1200000</v>
      </c>
      <c r="H719" s="11">
        <v>0</v>
      </c>
    </row>
    <row r="720" spans="1:8" x14ac:dyDescent="0.2">
      <c r="A720" t="s">
        <v>1989</v>
      </c>
      <c r="B720" s="1" t="s">
        <v>1990</v>
      </c>
      <c r="C720" s="11">
        <v>3500000</v>
      </c>
      <c r="D720" t="s">
        <v>278</v>
      </c>
      <c r="E720" t="s">
        <v>969</v>
      </c>
      <c r="F720" s="4">
        <v>36664</v>
      </c>
      <c r="G720" s="11">
        <v>3500000</v>
      </c>
      <c r="H720" s="11">
        <v>0</v>
      </c>
    </row>
    <row r="721" spans="1:8" x14ac:dyDescent="0.2">
      <c r="A721" t="s">
        <v>706</v>
      </c>
      <c r="B721" s="1" t="s">
        <v>707</v>
      </c>
      <c r="C721" s="11">
        <v>1400000</v>
      </c>
      <c r="D721" t="s">
        <v>278</v>
      </c>
      <c r="E721" t="s">
        <v>969</v>
      </c>
      <c r="F721" s="4">
        <v>37162</v>
      </c>
      <c r="G721" s="11">
        <v>1400000</v>
      </c>
      <c r="H721" s="11">
        <v>0</v>
      </c>
    </row>
    <row r="722" spans="1:8" x14ac:dyDescent="0.2">
      <c r="A722" t="s">
        <v>2213</v>
      </c>
      <c r="B722" s="1" t="s">
        <v>2214</v>
      </c>
      <c r="C722" s="11">
        <v>2000000</v>
      </c>
      <c r="D722" t="s">
        <v>278</v>
      </c>
      <c r="E722" t="s">
        <v>2107</v>
      </c>
      <c r="F722" s="4">
        <v>37231</v>
      </c>
      <c r="G722" s="11">
        <v>2000000</v>
      </c>
      <c r="H722" s="11">
        <v>0</v>
      </c>
    </row>
    <row r="723" spans="1:8" x14ac:dyDescent="0.2">
      <c r="A723" t="s">
        <v>2634</v>
      </c>
      <c r="B723" s="1" t="s">
        <v>2635</v>
      </c>
      <c r="C723" s="11">
        <v>750000</v>
      </c>
      <c r="D723" t="s">
        <v>278</v>
      </c>
      <c r="E723" t="s">
        <v>885</v>
      </c>
      <c r="F723" s="4">
        <v>38426</v>
      </c>
      <c r="G723" s="11">
        <v>750000</v>
      </c>
      <c r="H723" s="11">
        <v>0</v>
      </c>
    </row>
    <row r="724" spans="1:8" x14ac:dyDescent="0.2">
      <c r="A724" t="s">
        <v>1606</v>
      </c>
      <c r="B724" s="1" t="s">
        <v>1438</v>
      </c>
      <c r="C724" s="11">
        <v>1000000</v>
      </c>
      <c r="D724" t="s">
        <v>278</v>
      </c>
      <c r="E724" t="s">
        <v>885</v>
      </c>
      <c r="F724" s="4">
        <v>38688</v>
      </c>
      <c r="G724" s="11">
        <v>1000000</v>
      </c>
      <c r="H724" s="11">
        <v>0</v>
      </c>
    </row>
    <row r="725" spans="1:8" x14ac:dyDescent="0.2">
      <c r="A725" t="s">
        <v>1607</v>
      </c>
      <c r="B725" s="1" t="s">
        <v>1608</v>
      </c>
      <c r="C725" s="11">
        <v>500000</v>
      </c>
      <c r="D725" t="s">
        <v>278</v>
      </c>
      <c r="E725" t="s">
        <v>885</v>
      </c>
      <c r="F725" s="4">
        <v>38688</v>
      </c>
      <c r="G725" s="11">
        <v>500000</v>
      </c>
      <c r="H725" s="11">
        <v>0</v>
      </c>
    </row>
    <row r="726" spans="1:8" x14ac:dyDescent="0.2">
      <c r="A726" t="s">
        <v>1653</v>
      </c>
      <c r="B726" s="1" t="s">
        <v>1654</v>
      </c>
      <c r="C726" s="11">
        <v>2500000</v>
      </c>
      <c r="D726" t="s">
        <v>278</v>
      </c>
      <c r="E726" t="s">
        <v>885</v>
      </c>
      <c r="F726" s="4">
        <v>38985</v>
      </c>
      <c r="G726" s="11">
        <v>2500000</v>
      </c>
      <c r="H726" s="11">
        <v>0</v>
      </c>
    </row>
    <row r="727" spans="1:8" x14ac:dyDescent="0.2">
      <c r="A727" t="s">
        <v>1829</v>
      </c>
      <c r="B727" s="1" t="s">
        <v>243</v>
      </c>
      <c r="C727" s="11">
        <v>800000</v>
      </c>
      <c r="D727" t="s">
        <v>278</v>
      </c>
      <c r="E727" t="s">
        <v>885</v>
      </c>
      <c r="F727" s="4">
        <v>38264</v>
      </c>
      <c r="G727" s="11">
        <v>800000</v>
      </c>
      <c r="H727" s="11">
        <v>0</v>
      </c>
    </row>
    <row r="728" spans="1:8" x14ac:dyDescent="0.2">
      <c r="A728" t="s">
        <v>1310</v>
      </c>
      <c r="B728" s="1" t="s">
        <v>667</v>
      </c>
      <c r="C728" s="11">
        <v>1500000</v>
      </c>
      <c r="D728" t="s">
        <v>278</v>
      </c>
      <c r="E728" t="s">
        <v>885</v>
      </c>
      <c r="F728" s="4">
        <v>38985</v>
      </c>
      <c r="G728" s="11">
        <v>1500000</v>
      </c>
      <c r="H728" s="11">
        <v>0</v>
      </c>
    </row>
    <row r="729" spans="1:8" x14ac:dyDescent="0.2">
      <c r="A729" t="s">
        <v>1787</v>
      </c>
      <c r="B729" s="1" t="s">
        <v>1788</v>
      </c>
      <c r="C729" s="11">
        <v>1000000</v>
      </c>
      <c r="D729" t="s">
        <v>1789</v>
      </c>
      <c r="E729" t="s">
        <v>1710</v>
      </c>
      <c r="F729" s="4">
        <v>35906</v>
      </c>
      <c r="G729" s="11">
        <v>1000000</v>
      </c>
      <c r="H729" s="11">
        <v>0</v>
      </c>
    </row>
    <row r="730" spans="1:8" x14ac:dyDescent="0.2">
      <c r="A730" t="s">
        <v>813</v>
      </c>
      <c r="B730" s="1" t="s">
        <v>814</v>
      </c>
      <c r="C730" s="11">
        <v>750000</v>
      </c>
      <c r="D730" t="s">
        <v>1789</v>
      </c>
      <c r="E730" t="s">
        <v>2107</v>
      </c>
      <c r="F730" s="4">
        <v>37183</v>
      </c>
      <c r="G730" s="11">
        <v>750000</v>
      </c>
      <c r="H730" s="11">
        <v>0</v>
      </c>
    </row>
    <row r="731" spans="1:8" x14ac:dyDescent="0.2">
      <c r="A731" t="s">
        <v>2533</v>
      </c>
      <c r="B731" s="1" t="s">
        <v>2534</v>
      </c>
      <c r="C731" s="11">
        <v>10000000</v>
      </c>
      <c r="D731" t="s">
        <v>1789</v>
      </c>
      <c r="E731" t="s">
        <v>885</v>
      </c>
      <c r="F731" s="4">
        <v>37578</v>
      </c>
      <c r="G731" s="11">
        <v>10000000</v>
      </c>
      <c r="H731" s="11">
        <v>0</v>
      </c>
    </row>
    <row r="732" spans="1:8" x14ac:dyDescent="0.2">
      <c r="A732" t="s">
        <v>2560</v>
      </c>
      <c r="B732" s="1" t="s">
        <v>2561</v>
      </c>
      <c r="C732" s="11">
        <v>250000</v>
      </c>
      <c r="D732" t="s">
        <v>1789</v>
      </c>
      <c r="E732" t="s">
        <v>885</v>
      </c>
      <c r="F732" s="4">
        <v>39793</v>
      </c>
      <c r="G732" s="11">
        <v>250000</v>
      </c>
      <c r="H732" s="11">
        <v>0</v>
      </c>
    </row>
    <row r="733" spans="1:8" x14ac:dyDescent="0.2">
      <c r="A733" t="s">
        <v>2856</v>
      </c>
      <c r="B733" s="1" t="s">
        <v>2857</v>
      </c>
      <c r="C733" s="11">
        <v>500000</v>
      </c>
      <c r="D733" t="s">
        <v>1789</v>
      </c>
      <c r="E733" t="s">
        <v>885</v>
      </c>
      <c r="F733" s="4">
        <v>40325</v>
      </c>
      <c r="G733" s="11">
        <v>475000</v>
      </c>
      <c r="H733" s="11">
        <v>25000</v>
      </c>
    </row>
    <row r="734" spans="1:8" x14ac:dyDescent="0.2">
      <c r="A734" t="s">
        <v>462</v>
      </c>
      <c r="B734" s="1" t="s">
        <v>463</v>
      </c>
      <c r="C734" s="11">
        <v>1000000</v>
      </c>
      <c r="D734" t="s">
        <v>1789</v>
      </c>
      <c r="E734" t="s">
        <v>885</v>
      </c>
      <c r="F734" s="4">
        <v>38394</v>
      </c>
      <c r="G734" s="11">
        <v>1000000</v>
      </c>
      <c r="H734" s="11">
        <v>0</v>
      </c>
    </row>
    <row r="735" spans="1:8" x14ac:dyDescent="0.2">
      <c r="A735" t="s">
        <v>1309</v>
      </c>
      <c r="B735" s="1" t="s">
        <v>66</v>
      </c>
      <c r="C735" s="11">
        <v>25000000</v>
      </c>
      <c r="D735" t="s">
        <v>1789</v>
      </c>
      <c r="E735" t="s">
        <v>885</v>
      </c>
      <c r="F735" s="4">
        <v>38912</v>
      </c>
      <c r="G735" s="11">
        <v>24375000</v>
      </c>
      <c r="H735" s="11">
        <v>625000</v>
      </c>
    </row>
    <row r="736" spans="1:8" x14ac:dyDescent="0.2">
      <c r="A736" t="s">
        <v>4110</v>
      </c>
      <c r="B736" s="1" t="s">
        <v>3450</v>
      </c>
      <c r="C736" s="11">
        <v>1000000</v>
      </c>
      <c r="D736" t="s">
        <v>1789</v>
      </c>
      <c r="E736" t="s">
        <v>888</v>
      </c>
      <c r="F736" s="4">
        <v>40472</v>
      </c>
      <c r="G736" s="11">
        <v>1893463</v>
      </c>
      <c r="H736" s="11">
        <v>-893463</v>
      </c>
    </row>
    <row r="737" spans="1:8" x14ac:dyDescent="0.2">
      <c r="A737" t="s">
        <v>4111</v>
      </c>
      <c r="B737" s="1" t="s">
        <v>3080</v>
      </c>
      <c r="C737" s="11">
        <v>1500000</v>
      </c>
      <c r="D737" t="s">
        <v>1789</v>
      </c>
      <c r="E737" t="s">
        <v>888</v>
      </c>
      <c r="F737" s="4">
        <v>40472</v>
      </c>
      <c r="G737" s="11">
        <v>0</v>
      </c>
      <c r="H737" s="11">
        <v>1500000</v>
      </c>
    </row>
    <row r="738" spans="1:8" x14ac:dyDescent="0.2">
      <c r="A738" t="s">
        <v>4176</v>
      </c>
      <c r="B738" s="1" t="s">
        <v>3078</v>
      </c>
      <c r="C738" s="11">
        <v>1000000</v>
      </c>
      <c r="D738" t="s">
        <v>1789</v>
      </c>
      <c r="E738" t="s">
        <v>444</v>
      </c>
      <c r="F738" s="4">
        <v>40431</v>
      </c>
      <c r="G738" s="11">
        <v>0</v>
      </c>
      <c r="H738" s="11">
        <v>1000000</v>
      </c>
    </row>
    <row r="739" spans="1:8" x14ac:dyDescent="0.2">
      <c r="A739" t="s">
        <v>4267</v>
      </c>
      <c r="B739" s="1" t="s">
        <v>3079</v>
      </c>
      <c r="C739" s="11">
        <v>1000000</v>
      </c>
      <c r="D739" t="s">
        <v>1789</v>
      </c>
      <c r="E739" t="s">
        <v>444</v>
      </c>
      <c r="F739" s="4">
        <v>40436</v>
      </c>
      <c r="G739" s="11">
        <v>0</v>
      </c>
      <c r="H739" s="11">
        <v>1000000</v>
      </c>
    </row>
    <row r="740" spans="1:8" x14ac:dyDescent="0.2">
      <c r="A740" t="s">
        <v>4177</v>
      </c>
      <c r="B740" s="1" t="s">
        <v>3726</v>
      </c>
      <c r="C740" s="11">
        <v>500000</v>
      </c>
      <c r="D740" t="s">
        <v>1789</v>
      </c>
      <c r="E740" t="s">
        <v>3031</v>
      </c>
      <c r="F740" s="4">
        <v>40553</v>
      </c>
      <c r="G740" s="11">
        <v>0</v>
      </c>
      <c r="H740" s="11">
        <v>500000</v>
      </c>
    </row>
    <row r="741" spans="1:8" x14ac:dyDescent="0.2">
      <c r="A741" t="s">
        <v>4526</v>
      </c>
      <c r="B741" s="1" t="s">
        <v>4527</v>
      </c>
      <c r="C741" s="11">
        <v>3250000</v>
      </c>
      <c r="D741" t="s">
        <v>1789</v>
      </c>
      <c r="E741" t="s">
        <v>3031</v>
      </c>
      <c r="F741" s="4">
        <v>41316</v>
      </c>
      <c r="G741" s="11">
        <v>0</v>
      </c>
      <c r="H741" s="11">
        <v>3250000</v>
      </c>
    </row>
    <row r="742" spans="1:8" x14ac:dyDescent="0.2">
      <c r="A742" t="s">
        <v>4528</v>
      </c>
      <c r="B742" s="1" t="s">
        <v>4529</v>
      </c>
      <c r="C742" s="11">
        <v>2000000</v>
      </c>
      <c r="D742" t="s">
        <v>1789</v>
      </c>
      <c r="E742" t="s">
        <v>3031</v>
      </c>
      <c r="F742" s="4">
        <v>41316</v>
      </c>
      <c r="G742" s="11">
        <v>0</v>
      </c>
      <c r="H742" s="11">
        <v>2000000</v>
      </c>
    </row>
    <row r="743" spans="1:8" x14ac:dyDescent="0.2">
      <c r="A743" t="s">
        <v>1713</v>
      </c>
      <c r="B743" s="1" t="s">
        <v>1714</v>
      </c>
      <c r="C743" s="11">
        <v>18000000</v>
      </c>
      <c r="D743" t="s">
        <v>1715</v>
      </c>
      <c r="E743" t="s">
        <v>1577</v>
      </c>
      <c r="F743" s="4">
        <v>34151</v>
      </c>
      <c r="G743" s="11">
        <v>18000000</v>
      </c>
      <c r="H743" s="11">
        <v>0</v>
      </c>
    </row>
    <row r="744" spans="1:8" x14ac:dyDescent="0.2">
      <c r="A744" t="s">
        <v>1716</v>
      </c>
      <c r="B744" s="1" t="s">
        <v>1717</v>
      </c>
      <c r="C744" s="11">
        <v>3000000</v>
      </c>
      <c r="D744" t="s">
        <v>1715</v>
      </c>
      <c r="E744" t="s">
        <v>1710</v>
      </c>
      <c r="F744" s="4">
        <v>35900</v>
      </c>
      <c r="G744" s="11">
        <v>3000000</v>
      </c>
      <c r="H744" s="11">
        <v>0</v>
      </c>
    </row>
    <row r="745" spans="1:8" x14ac:dyDescent="0.2">
      <c r="A745" t="s">
        <v>493</v>
      </c>
      <c r="B745" s="1" t="s">
        <v>494</v>
      </c>
      <c r="C745" s="11">
        <v>16200000</v>
      </c>
      <c r="D745" t="s">
        <v>1715</v>
      </c>
      <c r="E745" t="s">
        <v>969</v>
      </c>
      <c r="F745" s="4">
        <v>36369</v>
      </c>
      <c r="G745" s="11">
        <v>16200000</v>
      </c>
      <c r="H745" s="11">
        <v>0</v>
      </c>
    </row>
    <row r="746" spans="1:8" x14ac:dyDescent="0.2">
      <c r="A746" t="s">
        <v>584</v>
      </c>
      <c r="B746" s="1" t="s">
        <v>585</v>
      </c>
      <c r="C746" s="11">
        <v>25000000</v>
      </c>
      <c r="D746" t="s">
        <v>1715</v>
      </c>
      <c r="E746" t="s">
        <v>1710</v>
      </c>
      <c r="F746" s="4">
        <v>36500</v>
      </c>
      <c r="G746" s="11">
        <v>25000000</v>
      </c>
      <c r="H746" s="11">
        <v>0</v>
      </c>
    </row>
    <row r="747" spans="1:8" x14ac:dyDescent="0.2">
      <c r="A747" t="s">
        <v>708</v>
      </c>
      <c r="B747" s="1" t="s">
        <v>709</v>
      </c>
      <c r="C747" s="11">
        <v>0</v>
      </c>
      <c r="D747" t="s">
        <v>1715</v>
      </c>
      <c r="E747" t="s">
        <v>1710</v>
      </c>
      <c r="F747" s="4">
        <v>37134</v>
      </c>
      <c r="G747" s="11">
        <v>0</v>
      </c>
      <c r="H747" s="11">
        <v>0</v>
      </c>
    </row>
    <row r="748" spans="1:8" x14ac:dyDescent="0.2">
      <c r="A748" t="s">
        <v>2211</v>
      </c>
      <c r="B748" s="1" t="s">
        <v>2212</v>
      </c>
      <c r="C748" s="11">
        <v>2000000</v>
      </c>
      <c r="D748" t="s">
        <v>1715</v>
      </c>
      <c r="E748" t="s">
        <v>969</v>
      </c>
      <c r="F748" s="4">
        <v>37273</v>
      </c>
      <c r="G748" s="11">
        <v>2000000</v>
      </c>
      <c r="H748" s="11">
        <v>0</v>
      </c>
    </row>
    <row r="749" spans="1:8" x14ac:dyDescent="0.2">
      <c r="A749" t="s">
        <v>2858</v>
      </c>
      <c r="B749" s="1" t="s">
        <v>2859</v>
      </c>
      <c r="C749" s="11">
        <v>400000</v>
      </c>
      <c r="D749" t="s">
        <v>1715</v>
      </c>
      <c r="E749" t="s">
        <v>885</v>
      </c>
      <c r="F749" s="4">
        <v>40325</v>
      </c>
      <c r="G749" s="11">
        <v>239579</v>
      </c>
      <c r="H749" s="11">
        <v>160421</v>
      </c>
    </row>
    <row r="750" spans="1:8" x14ac:dyDescent="0.2">
      <c r="A750" t="s">
        <v>2355</v>
      </c>
      <c r="B750" s="1" t="s">
        <v>2356</v>
      </c>
      <c r="C750" s="11">
        <v>1000000</v>
      </c>
      <c r="D750" t="s">
        <v>1715</v>
      </c>
      <c r="E750" t="s">
        <v>2107</v>
      </c>
      <c r="F750" s="4">
        <v>37603</v>
      </c>
      <c r="G750" s="11">
        <v>1000000</v>
      </c>
      <c r="H750" s="11">
        <v>0</v>
      </c>
    </row>
    <row r="751" spans="1:8" x14ac:dyDescent="0.2">
      <c r="A751" t="s">
        <v>2392</v>
      </c>
      <c r="B751" s="1" t="s">
        <v>2393</v>
      </c>
      <c r="C751" s="11">
        <v>12000000</v>
      </c>
      <c r="D751" t="s">
        <v>1715</v>
      </c>
      <c r="E751" t="s">
        <v>516</v>
      </c>
      <c r="F751" s="4">
        <v>37627</v>
      </c>
      <c r="G751" s="11">
        <v>12000000</v>
      </c>
      <c r="H751" s="11">
        <v>0</v>
      </c>
    </row>
    <row r="752" spans="1:8" x14ac:dyDescent="0.2">
      <c r="A752" t="s">
        <v>2394</v>
      </c>
      <c r="B752" s="1" t="s">
        <v>2395</v>
      </c>
      <c r="C752" s="11">
        <v>15000000</v>
      </c>
      <c r="D752" t="s">
        <v>1715</v>
      </c>
      <c r="E752" t="s">
        <v>516</v>
      </c>
      <c r="F752" s="4">
        <v>38539</v>
      </c>
      <c r="G752" s="11">
        <v>15000000</v>
      </c>
      <c r="H752" s="11">
        <v>0</v>
      </c>
    </row>
    <row r="753" spans="1:8" x14ac:dyDescent="0.2">
      <c r="A753" t="s">
        <v>52</v>
      </c>
      <c r="B753" s="1" t="s">
        <v>62</v>
      </c>
      <c r="C753" s="11">
        <v>10000000</v>
      </c>
      <c r="D753" t="s">
        <v>1715</v>
      </c>
      <c r="E753" t="s">
        <v>516</v>
      </c>
      <c r="F753" s="4">
        <v>38874</v>
      </c>
      <c r="G753" s="11">
        <v>10000000</v>
      </c>
      <c r="H753" s="11">
        <v>0</v>
      </c>
    </row>
    <row r="754" spans="1:8" x14ac:dyDescent="0.2">
      <c r="A754" t="s">
        <v>2860</v>
      </c>
      <c r="B754" s="1" t="s">
        <v>2861</v>
      </c>
      <c r="C754" s="11">
        <v>625000</v>
      </c>
      <c r="D754" t="s">
        <v>1715</v>
      </c>
      <c r="E754" t="s">
        <v>516</v>
      </c>
      <c r="F754" s="4">
        <v>40325</v>
      </c>
      <c r="G754" s="11">
        <v>625000</v>
      </c>
      <c r="H754" s="11">
        <v>0</v>
      </c>
    </row>
    <row r="755" spans="1:8" x14ac:dyDescent="0.2">
      <c r="A755" t="s">
        <v>2862</v>
      </c>
      <c r="B755" s="1" t="s">
        <v>2863</v>
      </c>
      <c r="C755" s="11">
        <v>625000</v>
      </c>
      <c r="D755" t="s">
        <v>1715</v>
      </c>
      <c r="E755" t="s">
        <v>516</v>
      </c>
      <c r="F755" s="4">
        <v>40325</v>
      </c>
      <c r="G755" s="11">
        <v>625000</v>
      </c>
      <c r="H755" s="11">
        <v>0</v>
      </c>
    </row>
    <row r="756" spans="1:8" x14ac:dyDescent="0.2">
      <c r="A756" t="s">
        <v>2961</v>
      </c>
      <c r="B756" s="1" t="s">
        <v>2962</v>
      </c>
      <c r="C756" s="11">
        <v>5000000</v>
      </c>
      <c r="D756" t="s">
        <v>1715</v>
      </c>
      <c r="E756" t="s">
        <v>516</v>
      </c>
      <c r="F756" s="4">
        <v>40374</v>
      </c>
      <c r="G756" s="11">
        <v>5000000</v>
      </c>
      <c r="H756" s="11">
        <v>0</v>
      </c>
    </row>
    <row r="757" spans="1:8" x14ac:dyDescent="0.2">
      <c r="A757" t="s">
        <v>3081</v>
      </c>
      <c r="B757" s="1" t="s">
        <v>3082</v>
      </c>
      <c r="C757" s="11">
        <v>6000000</v>
      </c>
      <c r="D757" t="s">
        <v>1715</v>
      </c>
      <c r="E757" t="s">
        <v>516</v>
      </c>
      <c r="F757" s="4">
        <v>40434</v>
      </c>
      <c r="G757" s="11">
        <v>2883988</v>
      </c>
      <c r="H757" s="11">
        <v>3116012</v>
      </c>
    </row>
    <row r="758" spans="1:8" x14ac:dyDescent="0.2">
      <c r="A758" t="s">
        <v>2403</v>
      </c>
      <c r="B758" s="1" t="s">
        <v>2404</v>
      </c>
      <c r="C758" s="11">
        <v>3000000</v>
      </c>
      <c r="D758" t="s">
        <v>1715</v>
      </c>
      <c r="E758" t="s">
        <v>516</v>
      </c>
      <c r="F758" s="4">
        <v>37637</v>
      </c>
      <c r="G758" s="11">
        <v>3000000</v>
      </c>
      <c r="H758" s="11">
        <v>0</v>
      </c>
    </row>
    <row r="759" spans="1:8" x14ac:dyDescent="0.2">
      <c r="A759" t="s">
        <v>2405</v>
      </c>
      <c r="B759" s="1" t="s">
        <v>2406</v>
      </c>
      <c r="C759" s="11">
        <v>4000000</v>
      </c>
      <c r="D759" t="s">
        <v>1715</v>
      </c>
      <c r="E759" t="s">
        <v>516</v>
      </c>
      <c r="F759" s="4">
        <v>38372</v>
      </c>
      <c r="G759" s="11">
        <v>4000000</v>
      </c>
      <c r="H759" s="11">
        <v>0</v>
      </c>
    </row>
    <row r="760" spans="1:8" x14ac:dyDescent="0.2">
      <c r="A760" t="s">
        <v>2411</v>
      </c>
      <c r="B760" s="1" t="s">
        <v>2412</v>
      </c>
      <c r="C760" s="11">
        <v>5000000</v>
      </c>
      <c r="D760" t="s">
        <v>1715</v>
      </c>
      <c r="E760" t="s">
        <v>885</v>
      </c>
      <c r="F760" s="4">
        <v>38238</v>
      </c>
      <c r="G760" s="11">
        <v>5000000</v>
      </c>
      <c r="H760" s="11">
        <v>0</v>
      </c>
    </row>
    <row r="761" spans="1:8" x14ac:dyDescent="0.2">
      <c r="A761" t="s">
        <v>1605</v>
      </c>
      <c r="B761" s="1" t="s">
        <v>10</v>
      </c>
      <c r="C761" s="11">
        <v>5000000</v>
      </c>
      <c r="D761" t="s">
        <v>1715</v>
      </c>
      <c r="E761" t="s">
        <v>2107</v>
      </c>
      <c r="F761" s="4">
        <v>38806</v>
      </c>
      <c r="G761" s="11">
        <v>1535255</v>
      </c>
      <c r="H761" s="11">
        <v>3464745</v>
      </c>
    </row>
    <row r="762" spans="1:8" x14ac:dyDescent="0.2">
      <c r="A762" t="s">
        <v>464</v>
      </c>
      <c r="B762" s="1" t="s">
        <v>1401</v>
      </c>
      <c r="C762" s="11">
        <v>1000000</v>
      </c>
      <c r="D762" t="s">
        <v>1715</v>
      </c>
      <c r="E762" t="s">
        <v>2107</v>
      </c>
      <c r="F762" s="4">
        <v>38450</v>
      </c>
      <c r="G762" s="11">
        <v>1000000</v>
      </c>
      <c r="H762" s="11">
        <v>0</v>
      </c>
    </row>
    <row r="763" spans="1:8" x14ac:dyDescent="0.2">
      <c r="A763" t="s">
        <v>465</v>
      </c>
      <c r="B763" s="1" t="s">
        <v>1413</v>
      </c>
      <c r="C763" s="11">
        <v>1300000</v>
      </c>
      <c r="D763" t="s">
        <v>1715</v>
      </c>
      <c r="E763" t="s">
        <v>2107</v>
      </c>
      <c r="F763" s="4">
        <v>38524</v>
      </c>
      <c r="G763" s="11">
        <v>1300000</v>
      </c>
      <c r="H763" s="11">
        <v>0</v>
      </c>
    </row>
    <row r="764" spans="1:8" x14ac:dyDescent="0.2">
      <c r="A764" t="s">
        <v>468</v>
      </c>
      <c r="B764" s="1" t="s">
        <v>469</v>
      </c>
      <c r="C764" s="11">
        <v>3000000</v>
      </c>
      <c r="D764" t="s">
        <v>1715</v>
      </c>
      <c r="E764" t="s">
        <v>885</v>
      </c>
      <c r="F764" s="4">
        <v>38372</v>
      </c>
      <c r="G764" s="11">
        <v>3000000</v>
      </c>
      <c r="H764" s="11">
        <v>0</v>
      </c>
    </row>
    <row r="765" spans="1:8" x14ac:dyDescent="0.2">
      <c r="A765" t="s">
        <v>1906</v>
      </c>
      <c r="B765" s="1" t="s">
        <v>658</v>
      </c>
      <c r="C765" s="11">
        <v>5000000</v>
      </c>
      <c r="D765" t="s">
        <v>1715</v>
      </c>
      <c r="E765" t="s">
        <v>885</v>
      </c>
      <c r="F765" s="4">
        <v>38975</v>
      </c>
      <c r="G765" s="11">
        <v>5000000</v>
      </c>
      <c r="H765" s="11">
        <v>0</v>
      </c>
    </row>
    <row r="766" spans="1:8" x14ac:dyDescent="0.2">
      <c r="A766" t="s">
        <v>1483</v>
      </c>
      <c r="B766" s="1" t="s">
        <v>1250</v>
      </c>
      <c r="C766" s="11">
        <v>300000</v>
      </c>
      <c r="D766" t="s">
        <v>1715</v>
      </c>
      <c r="E766" t="s">
        <v>444</v>
      </c>
      <c r="F766" s="4">
        <v>39170</v>
      </c>
      <c r="G766" s="11">
        <v>300000</v>
      </c>
      <c r="H766" s="11">
        <v>0</v>
      </c>
    </row>
    <row r="767" spans="1:8" x14ac:dyDescent="0.2">
      <c r="A767" t="s">
        <v>878</v>
      </c>
      <c r="B767" s="1" t="s">
        <v>412</v>
      </c>
      <c r="C767" s="11">
        <v>600000</v>
      </c>
      <c r="D767" t="s">
        <v>1715</v>
      </c>
      <c r="E767" t="s">
        <v>444</v>
      </c>
      <c r="F767" s="4">
        <v>39358</v>
      </c>
      <c r="G767" s="11">
        <v>600000</v>
      </c>
      <c r="H767" s="11">
        <v>0</v>
      </c>
    </row>
    <row r="768" spans="1:8" x14ac:dyDescent="0.2">
      <c r="A768" t="s">
        <v>2562</v>
      </c>
      <c r="B768" s="1" t="s">
        <v>1232</v>
      </c>
      <c r="C768" s="11">
        <v>500000</v>
      </c>
      <c r="D768" t="s">
        <v>1715</v>
      </c>
      <c r="E768" t="s">
        <v>444</v>
      </c>
      <c r="F768" s="4">
        <v>39149</v>
      </c>
      <c r="G768" s="11">
        <v>500000</v>
      </c>
      <c r="H768" s="11">
        <v>0</v>
      </c>
    </row>
    <row r="769" spans="1:8" x14ac:dyDescent="0.2">
      <c r="A769" t="s">
        <v>2563</v>
      </c>
      <c r="B769" s="1" t="s">
        <v>1233</v>
      </c>
      <c r="C769" s="11">
        <v>1000000</v>
      </c>
      <c r="D769" t="s">
        <v>1715</v>
      </c>
      <c r="E769" t="s">
        <v>444</v>
      </c>
      <c r="F769" s="4">
        <v>39170</v>
      </c>
      <c r="G769" s="11">
        <v>1000000</v>
      </c>
      <c r="H769" s="11">
        <v>0</v>
      </c>
    </row>
    <row r="770" spans="1:8" x14ac:dyDescent="0.2">
      <c r="A770" t="s">
        <v>2564</v>
      </c>
      <c r="B770" s="1" t="s">
        <v>930</v>
      </c>
      <c r="C770" s="11">
        <v>3000000</v>
      </c>
      <c r="D770" t="s">
        <v>1715</v>
      </c>
      <c r="E770" t="s">
        <v>444</v>
      </c>
      <c r="F770" s="4">
        <v>39751</v>
      </c>
      <c r="G770" s="11">
        <v>3000000</v>
      </c>
      <c r="H770" s="11">
        <v>0</v>
      </c>
    </row>
    <row r="771" spans="1:8" x14ac:dyDescent="0.2">
      <c r="A771" t="s">
        <v>1046</v>
      </c>
      <c r="B771" s="1" t="s">
        <v>2104</v>
      </c>
      <c r="C771" s="11">
        <v>1000000</v>
      </c>
      <c r="D771" t="s">
        <v>1715</v>
      </c>
      <c r="E771" t="s">
        <v>885</v>
      </c>
      <c r="F771" s="4">
        <v>39930</v>
      </c>
      <c r="G771" s="11">
        <v>1000000</v>
      </c>
      <c r="H771" s="11">
        <v>0</v>
      </c>
    </row>
    <row r="772" spans="1:8" x14ac:dyDescent="0.2">
      <c r="A772" t="s">
        <v>1047</v>
      </c>
      <c r="B772" s="1" t="s">
        <v>2105</v>
      </c>
      <c r="C772" s="11">
        <v>2000000</v>
      </c>
      <c r="D772" t="s">
        <v>1715</v>
      </c>
      <c r="E772" t="s">
        <v>885</v>
      </c>
      <c r="F772" s="4">
        <v>39930</v>
      </c>
      <c r="G772" s="11">
        <v>2000000</v>
      </c>
      <c r="H772" s="11">
        <v>0</v>
      </c>
    </row>
    <row r="773" spans="1:8" x14ac:dyDescent="0.2">
      <c r="A773" t="s">
        <v>1048</v>
      </c>
      <c r="B773" s="1" t="s">
        <v>1049</v>
      </c>
      <c r="C773" s="11">
        <v>2500000</v>
      </c>
      <c r="D773" t="s">
        <v>1715</v>
      </c>
      <c r="E773" t="s">
        <v>885</v>
      </c>
      <c r="F773" s="4">
        <v>39945</v>
      </c>
      <c r="G773" s="11">
        <v>2500000</v>
      </c>
      <c r="H773" s="11">
        <v>0</v>
      </c>
    </row>
    <row r="774" spans="1:8" x14ac:dyDescent="0.2">
      <c r="A774" t="s">
        <v>1050</v>
      </c>
      <c r="B774" s="1" t="s">
        <v>1051</v>
      </c>
      <c r="C774" s="11">
        <v>13000000</v>
      </c>
      <c r="D774" t="s">
        <v>1715</v>
      </c>
      <c r="E774" t="s">
        <v>885</v>
      </c>
      <c r="F774" s="4">
        <v>39961</v>
      </c>
      <c r="G774" s="11">
        <v>13000000</v>
      </c>
      <c r="H774" s="11">
        <v>0</v>
      </c>
    </row>
    <row r="775" spans="1:8" x14ac:dyDescent="0.2">
      <c r="A775" t="s">
        <v>3451</v>
      </c>
      <c r="B775" s="1" t="s">
        <v>2865</v>
      </c>
      <c r="C775" s="11">
        <v>1000000</v>
      </c>
      <c r="D775" t="s">
        <v>1715</v>
      </c>
      <c r="E775" t="s">
        <v>888</v>
      </c>
      <c r="F775" s="4">
        <v>40325</v>
      </c>
      <c r="G775" s="11">
        <v>1000000</v>
      </c>
      <c r="H775" s="11">
        <v>0</v>
      </c>
    </row>
    <row r="776" spans="1:8" x14ac:dyDescent="0.2">
      <c r="A776" t="s">
        <v>3452</v>
      </c>
      <c r="B776" s="1" t="s">
        <v>2963</v>
      </c>
      <c r="C776" s="11">
        <v>2000000</v>
      </c>
      <c r="D776" t="s">
        <v>1715</v>
      </c>
      <c r="E776" t="s">
        <v>787</v>
      </c>
      <c r="F776" s="4">
        <v>40374</v>
      </c>
      <c r="G776" s="11">
        <v>956599</v>
      </c>
      <c r="H776" s="11">
        <v>1043401</v>
      </c>
    </row>
    <row r="777" spans="1:8" x14ac:dyDescent="0.2">
      <c r="A777" t="s">
        <v>3453</v>
      </c>
      <c r="B777" s="1" t="s">
        <v>3083</v>
      </c>
      <c r="C777" s="11">
        <v>2000000</v>
      </c>
      <c r="D777" t="s">
        <v>1715</v>
      </c>
      <c r="E777" t="s">
        <v>888</v>
      </c>
      <c r="F777" s="4">
        <v>40463</v>
      </c>
      <c r="G777" s="11">
        <v>0</v>
      </c>
      <c r="H777" s="11">
        <v>2000000</v>
      </c>
    </row>
    <row r="778" spans="1:8" x14ac:dyDescent="0.2">
      <c r="A778" t="s">
        <v>3454</v>
      </c>
      <c r="B778" s="1" t="s">
        <v>3084</v>
      </c>
      <c r="C778" s="11">
        <v>1000000</v>
      </c>
      <c r="D778" t="s">
        <v>1715</v>
      </c>
      <c r="E778" t="s">
        <v>888</v>
      </c>
      <c r="F778" s="4">
        <v>40463</v>
      </c>
      <c r="G778" s="11">
        <v>0</v>
      </c>
      <c r="H778" s="11">
        <v>1000000</v>
      </c>
    </row>
    <row r="779" spans="1:8" x14ac:dyDescent="0.2">
      <c r="A779" t="s">
        <v>3455</v>
      </c>
      <c r="B779" s="1" t="s">
        <v>3085</v>
      </c>
      <c r="C779" s="11">
        <v>3000000</v>
      </c>
      <c r="D779" t="s">
        <v>1715</v>
      </c>
      <c r="E779" t="s">
        <v>444</v>
      </c>
      <c r="F779" s="4">
        <v>40448</v>
      </c>
      <c r="G779" s="11">
        <v>3000000</v>
      </c>
      <c r="H779" s="11">
        <v>0</v>
      </c>
    </row>
    <row r="780" spans="1:8" x14ac:dyDescent="0.2">
      <c r="A780" t="s">
        <v>3727</v>
      </c>
      <c r="B780" s="1" t="s">
        <v>3456</v>
      </c>
      <c r="C780" s="11">
        <v>2500000</v>
      </c>
      <c r="D780" t="s">
        <v>1715</v>
      </c>
      <c r="E780" t="s">
        <v>3008</v>
      </c>
      <c r="F780" s="4">
        <v>40497</v>
      </c>
      <c r="G780" s="11">
        <v>2047239</v>
      </c>
      <c r="H780" s="11">
        <v>452761</v>
      </c>
    </row>
    <row r="781" spans="1:8" x14ac:dyDescent="0.2">
      <c r="A781" t="s">
        <v>3728</v>
      </c>
      <c r="B781" s="1" t="s">
        <v>2864</v>
      </c>
      <c r="C781" s="11">
        <v>5000000</v>
      </c>
      <c r="D781" t="s">
        <v>1715</v>
      </c>
      <c r="E781" t="s">
        <v>885</v>
      </c>
      <c r="F781" s="4">
        <v>40289</v>
      </c>
      <c r="G781" s="11">
        <v>0</v>
      </c>
      <c r="H781" s="11">
        <v>5000000</v>
      </c>
    </row>
    <row r="782" spans="1:8" x14ac:dyDescent="0.2">
      <c r="A782" t="s">
        <v>4069</v>
      </c>
      <c r="B782" s="1" t="s">
        <v>3730</v>
      </c>
      <c r="C782" s="11">
        <v>3000000</v>
      </c>
      <c r="D782" t="s">
        <v>1715</v>
      </c>
      <c r="E782" t="s">
        <v>516</v>
      </c>
      <c r="F782" s="4">
        <v>40511</v>
      </c>
      <c r="G782" s="11">
        <v>2382423</v>
      </c>
      <c r="H782" s="11">
        <v>617577</v>
      </c>
    </row>
    <row r="783" spans="1:8" x14ac:dyDescent="0.2">
      <c r="A783" t="s">
        <v>4268</v>
      </c>
      <c r="B783" s="1" t="s">
        <v>3458</v>
      </c>
      <c r="C783" s="11">
        <v>250000</v>
      </c>
      <c r="D783" t="s">
        <v>1715</v>
      </c>
      <c r="E783" t="s">
        <v>888</v>
      </c>
      <c r="F783" s="4">
        <v>40499</v>
      </c>
      <c r="G783" s="11">
        <v>0</v>
      </c>
      <c r="H783" s="11">
        <v>250000</v>
      </c>
    </row>
    <row r="784" spans="1:8" x14ac:dyDescent="0.2">
      <c r="A784" t="s">
        <v>4269</v>
      </c>
      <c r="B784" s="1" t="s">
        <v>3459</v>
      </c>
      <c r="C784" s="11">
        <v>500000</v>
      </c>
      <c r="D784" t="s">
        <v>1715</v>
      </c>
      <c r="E784" t="s">
        <v>888</v>
      </c>
      <c r="F784" s="4">
        <v>40499</v>
      </c>
      <c r="G784" s="11">
        <v>0</v>
      </c>
      <c r="H784" s="11">
        <v>500000</v>
      </c>
    </row>
    <row r="785" spans="1:8" x14ac:dyDescent="0.2">
      <c r="A785" t="s">
        <v>4112</v>
      </c>
      <c r="B785" s="1" t="s">
        <v>3086</v>
      </c>
      <c r="C785" s="11">
        <v>2500000</v>
      </c>
      <c r="D785" t="s">
        <v>1715</v>
      </c>
      <c r="E785" t="s">
        <v>444</v>
      </c>
      <c r="F785" s="4">
        <v>40471</v>
      </c>
      <c r="G785" s="11">
        <v>2206398</v>
      </c>
      <c r="H785" s="11">
        <v>293602</v>
      </c>
    </row>
    <row r="786" spans="1:8" x14ac:dyDescent="0.2">
      <c r="A786" t="s">
        <v>4362</v>
      </c>
      <c r="B786" s="1" t="s">
        <v>3733</v>
      </c>
      <c r="C786" s="11">
        <v>725000</v>
      </c>
      <c r="D786" t="s">
        <v>1715</v>
      </c>
      <c r="E786" t="s">
        <v>888</v>
      </c>
      <c r="F786" s="4">
        <v>40532</v>
      </c>
      <c r="G786" s="11">
        <v>0</v>
      </c>
      <c r="H786" s="11">
        <v>725000</v>
      </c>
    </row>
    <row r="787" spans="1:8" x14ac:dyDescent="0.2">
      <c r="A787" t="s">
        <v>4530</v>
      </c>
      <c r="B787" s="1" t="s">
        <v>4531</v>
      </c>
      <c r="C787" s="11">
        <v>710000</v>
      </c>
      <c r="D787" t="s">
        <v>1715</v>
      </c>
      <c r="E787" t="s">
        <v>888</v>
      </c>
      <c r="F787" s="4">
        <v>41316</v>
      </c>
      <c r="G787" s="11">
        <v>0</v>
      </c>
      <c r="H787" s="11">
        <v>710000</v>
      </c>
    </row>
    <row r="788" spans="1:8" x14ac:dyDescent="0.2">
      <c r="A788" t="s">
        <v>4178</v>
      </c>
      <c r="B788" s="1" t="s">
        <v>3734</v>
      </c>
      <c r="C788" s="11">
        <v>700000</v>
      </c>
      <c r="D788" t="s">
        <v>1715</v>
      </c>
      <c r="E788" t="s">
        <v>3031</v>
      </c>
      <c r="F788" s="4">
        <v>40546</v>
      </c>
      <c r="G788" s="11">
        <v>0</v>
      </c>
      <c r="H788" s="11">
        <v>700000</v>
      </c>
    </row>
    <row r="789" spans="1:8" x14ac:dyDescent="0.2">
      <c r="A789" t="s">
        <v>4179</v>
      </c>
      <c r="B789" s="1" t="s">
        <v>3735</v>
      </c>
      <c r="C789" s="11">
        <v>250000</v>
      </c>
      <c r="D789" t="s">
        <v>1715</v>
      </c>
      <c r="E789" t="s">
        <v>3031</v>
      </c>
      <c r="F789" s="4">
        <v>40546</v>
      </c>
      <c r="G789" s="11">
        <v>0</v>
      </c>
      <c r="H789" s="11">
        <v>250000</v>
      </c>
    </row>
    <row r="790" spans="1:8" x14ac:dyDescent="0.2">
      <c r="A790" t="s">
        <v>4270</v>
      </c>
      <c r="B790" s="1" t="s">
        <v>3732</v>
      </c>
      <c r="C790" s="11">
        <v>750000</v>
      </c>
      <c r="D790" t="s">
        <v>1715</v>
      </c>
      <c r="E790" t="s">
        <v>3031</v>
      </c>
      <c r="F790" s="4">
        <v>40532</v>
      </c>
      <c r="G790" s="11">
        <v>0</v>
      </c>
      <c r="H790" s="11">
        <v>750000</v>
      </c>
    </row>
    <row r="791" spans="1:8" x14ac:dyDescent="0.2">
      <c r="A791" t="s">
        <v>4306</v>
      </c>
      <c r="B791" s="1" t="s">
        <v>3731</v>
      </c>
      <c r="C791" s="11">
        <v>1000000</v>
      </c>
      <c r="D791" t="s">
        <v>1715</v>
      </c>
      <c r="E791" t="s">
        <v>3031</v>
      </c>
      <c r="F791" s="4">
        <v>40519</v>
      </c>
      <c r="G791" s="11">
        <v>0</v>
      </c>
      <c r="H791" s="11">
        <v>1000000</v>
      </c>
    </row>
    <row r="792" spans="1:8" x14ac:dyDescent="0.2">
      <c r="A792" t="s">
        <v>4180</v>
      </c>
      <c r="B792" s="1" t="s">
        <v>3729</v>
      </c>
      <c r="C792" s="11">
        <v>750000</v>
      </c>
      <c r="D792" t="s">
        <v>1715</v>
      </c>
      <c r="E792" t="s">
        <v>3031</v>
      </c>
      <c r="F792" s="4">
        <v>40546</v>
      </c>
      <c r="G792" s="11">
        <v>0</v>
      </c>
      <c r="H792" s="11">
        <v>750000</v>
      </c>
    </row>
    <row r="793" spans="1:8" x14ac:dyDescent="0.2">
      <c r="A793" t="s">
        <v>4532</v>
      </c>
      <c r="B793" s="1" t="s">
        <v>4533</v>
      </c>
      <c r="C793" s="11">
        <v>1640000</v>
      </c>
      <c r="D793" t="s">
        <v>1715</v>
      </c>
      <c r="E793" t="s">
        <v>3031</v>
      </c>
      <c r="F793" s="4">
        <v>41316</v>
      </c>
      <c r="G793" s="11">
        <v>0</v>
      </c>
      <c r="H793" s="11">
        <v>1640000</v>
      </c>
    </row>
    <row r="794" spans="1:8" x14ac:dyDescent="0.2">
      <c r="A794" t="s">
        <v>4181</v>
      </c>
      <c r="B794" s="1" t="s">
        <v>3457</v>
      </c>
      <c r="C794" s="11">
        <v>0</v>
      </c>
      <c r="D794" t="s">
        <v>1715</v>
      </c>
      <c r="E794" t="s">
        <v>3031</v>
      </c>
      <c r="F794" s="4">
        <v>40500</v>
      </c>
      <c r="G794" s="11">
        <v>0</v>
      </c>
      <c r="H794" s="11">
        <v>0</v>
      </c>
    </row>
    <row r="795" spans="1:8" x14ac:dyDescent="0.2">
      <c r="A795" t="s">
        <v>4363</v>
      </c>
      <c r="B795" s="1" t="s">
        <v>53</v>
      </c>
      <c r="C795" s="11">
        <v>0</v>
      </c>
      <c r="D795" t="s">
        <v>1715</v>
      </c>
      <c r="E795" t="s">
        <v>885</v>
      </c>
      <c r="F795" s="4">
        <v>38852</v>
      </c>
      <c r="G795" s="11">
        <v>0</v>
      </c>
      <c r="H795" s="11">
        <v>0</v>
      </c>
    </row>
    <row r="796" spans="1:8" x14ac:dyDescent="0.2">
      <c r="A796" t="s">
        <v>2249</v>
      </c>
      <c r="B796" s="1" t="s">
        <v>2250</v>
      </c>
      <c r="C796" s="11">
        <v>1316000</v>
      </c>
      <c r="D796" t="s">
        <v>2251</v>
      </c>
      <c r="E796" t="s">
        <v>516</v>
      </c>
      <c r="F796" s="4">
        <v>37610</v>
      </c>
      <c r="G796" s="11">
        <v>1316000</v>
      </c>
      <c r="H796" s="11">
        <v>0</v>
      </c>
    </row>
    <row r="797" spans="1:8" x14ac:dyDescent="0.2">
      <c r="A797" t="s">
        <v>2252</v>
      </c>
      <c r="B797" s="1" t="s">
        <v>2253</v>
      </c>
      <c r="C797" s="11">
        <v>700000</v>
      </c>
      <c r="D797" t="s">
        <v>2251</v>
      </c>
      <c r="E797" t="s">
        <v>516</v>
      </c>
      <c r="F797" s="4">
        <v>37610</v>
      </c>
      <c r="G797" s="11">
        <v>675214</v>
      </c>
      <c r="H797" s="11">
        <v>24786</v>
      </c>
    </row>
    <row r="798" spans="1:8" x14ac:dyDescent="0.2">
      <c r="A798" t="s">
        <v>1321</v>
      </c>
      <c r="B798" s="1" t="s">
        <v>1322</v>
      </c>
      <c r="C798" s="11">
        <v>2500000</v>
      </c>
      <c r="D798" t="s">
        <v>2251</v>
      </c>
      <c r="E798" t="s">
        <v>885</v>
      </c>
      <c r="F798" s="4">
        <v>38226</v>
      </c>
      <c r="G798" s="11">
        <v>2500000</v>
      </c>
      <c r="H798" s="11">
        <v>0</v>
      </c>
    </row>
    <row r="799" spans="1:8" x14ac:dyDescent="0.2">
      <c r="A799" t="s">
        <v>1323</v>
      </c>
      <c r="B799" s="1" t="s">
        <v>1324</v>
      </c>
      <c r="C799" s="11">
        <v>2000000</v>
      </c>
      <c r="D799" t="s">
        <v>2251</v>
      </c>
      <c r="E799" t="s">
        <v>885</v>
      </c>
      <c r="F799" s="4">
        <v>38251</v>
      </c>
      <c r="G799" s="11">
        <v>1726889</v>
      </c>
      <c r="H799" s="11">
        <v>273111</v>
      </c>
    </row>
    <row r="800" spans="1:8" x14ac:dyDescent="0.2">
      <c r="A800" t="s">
        <v>4458</v>
      </c>
      <c r="B800" s="1" t="s">
        <v>3752</v>
      </c>
      <c r="C800" s="11">
        <v>1000000</v>
      </c>
      <c r="D800" t="s">
        <v>2251</v>
      </c>
      <c r="E800" t="s">
        <v>888</v>
      </c>
      <c r="F800" s="4">
        <v>40546</v>
      </c>
      <c r="G800" s="11">
        <v>0</v>
      </c>
      <c r="H800" s="11">
        <v>1000000</v>
      </c>
    </row>
    <row r="801" spans="1:8" x14ac:dyDescent="0.2">
      <c r="A801" t="s">
        <v>2446</v>
      </c>
      <c r="B801" s="1" t="s">
        <v>2447</v>
      </c>
      <c r="C801" s="11">
        <v>3500000</v>
      </c>
      <c r="D801" t="s">
        <v>2251</v>
      </c>
      <c r="E801" t="s">
        <v>885</v>
      </c>
      <c r="F801" s="4">
        <v>38251</v>
      </c>
      <c r="G801" s="11">
        <v>3500000</v>
      </c>
      <c r="H801" s="11">
        <v>0</v>
      </c>
    </row>
    <row r="802" spans="1:8" x14ac:dyDescent="0.2">
      <c r="A802" t="s">
        <v>54</v>
      </c>
      <c r="B802" s="1" t="s">
        <v>1325</v>
      </c>
      <c r="C802" s="11">
        <v>2000000</v>
      </c>
      <c r="D802" t="s">
        <v>2251</v>
      </c>
      <c r="E802" t="s">
        <v>885</v>
      </c>
      <c r="F802" s="4">
        <v>38790</v>
      </c>
      <c r="G802" s="11">
        <v>2000000</v>
      </c>
      <c r="H802" s="11">
        <v>0</v>
      </c>
    </row>
    <row r="803" spans="1:8" x14ac:dyDescent="0.2">
      <c r="A803" t="s">
        <v>1849</v>
      </c>
      <c r="B803" s="1" t="s">
        <v>414</v>
      </c>
      <c r="C803" s="11">
        <v>125000</v>
      </c>
      <c r="D803" t="s">
        <v>2251</v>
      </c>
      <c r="E803" t="s">
        <v>885</v>
      </c>
      <c r="F803" s="4">
        <v>38721</v>
      </c>
      <c r="G803" s="11">
        <v>0</v>
      </c>
      <c r="H803" s="11">
        <v>125000</v>
      </c>
    </row>
    <row r="804" spans="1:8" x14ac:dyDescent="0.2">
      <c r="A804" t="s">
        <v>1850</v>
      </c>
      <c r="B804" s="1" t="s">
        <v>414</v>
      </c>
      <c r="C804" s="11">
        <v>125000</v>
      </c>
      <c r="D804" t="s">
        <v>2251</v>
      </c>
      <c r="E804" t="s">
        <v>885</v>
      </c>
      <c r="F804" s="4">
        <v>38721</v>
      </c>
      <c r="G804" s="11">
        <v>0</v>
      </c>
      <c r="H804" s="11">
        <v>125000</v>
      </c>
    </row>
    <row r="805" spans="1:8" x14ac:dyDescent="0.2">
      <c r="A805" t="s">
        <v>1851</v>
      </c>
      <c r="B805" s="1" t="s">
        <v>414</v>
      </c>
      <c r="C805" s="11">
        <v>125000</v>
      </c>
      <c r="D805" t="s">
        <v>2251</v>
      </c>
      <c r="E805" t="s">
        <v>885</v>
      </c>
      <c r="F805" s="4">
        <v>38721</v>
      </c>
      <c r="G805" s="11">
        <v>0</v>
      </c>
      <c r="H805" s="11">
        <v>125000</v>
      </c>
    </row>
    <row r="806" spans="1:8" x14ac:dyDescent="0.2">
      <c r="A806" t="s">
        <v>1852</v>
      </c>
      <c r="B806" s="1" t="s">
        <v>414</v>
      </c>
      <c r="C806" s="11">
        <v>125000</v>
      </c>
      <c r="D806" t="s">
        <v>2251</v>
      </c>
      <c r="E806" t="s">
        <v>885</v>
      </c>
      <c r="F806" s="4">
        <v>38721</v>
      </c>
      <c r="G806" s="11">
        <v>0</v>
      </c>
      <c r="H806" s="11">
        <v>125000</v>
      </c>
    </row>
    <row r="807" spans="1:8" x14ac:dyDescent="0.2">
      <c r="A807" t="s">
        <v>1348</v>
      </c>
      <c r="B807" s="1" t="s">
        <v>1618</v>
      </c>
      <c r="C807" s="11">
        <v>1300000</v>
      </c>
      <c r="D807" t="s">
        <v>2251</v>
      </c>
      <c r="E807" t="s">
        <v>885</v>
      </c>
      <c r="F807" s="4">
        <v>38849</v>
      </c>
      <c r="G807" s="11">
        <v>1156028</v>
      </c>
      <c r="H807" s="11">
        <v>143972</v>
      </c>
    </row>
    <row r="808" spans="1:8" x14ac:dyDescent="0.2">
      <c r="A808" t="s">
        <v>1349</v>
      </c>
      <c r="B808" s="1" t="s">
        <v>55</v>
      </c>
      <c r="C808" s="11">
        <v>1000000</v>
      </c>
      <c r="D808" t="s">
        <v>2251</v>
      </c>
      <c r="E808" t="s">
        <v>885</v>
      </c>
      <c r="F808" s="4">
        <v>38849</v>
      </c>
      <c r="G808" s="11">
        <v>1000000</v>
      </c>
      <c r="H808" s="11">
        <v>0</v>
      </c>
    </row>
    <row r="809" spans="1:8" x14ac:dyDescent="0.2">
      <c r="A809" t="s">
        <v>1907</v>
      </c>
      <c r="B809" s="1" t="s">
        <v>1908</v>
      </c>
      <c r="C809" s="11">
        <v>4200000</v>
      </c>
      <c r="D809" t="s">
        <v>2251</v>
      </c>
      <c r="E809" t="s">
        <v>516</v>
      </c>
      <c r="F809" s="4">
        <v>38905</v>
      </c>
      <c r="G809" s="11">
        <v>0</v>
      </c>
      <c r="H809" s="11">
        <v>4200000</v>
      </c>
    </row>
    <row r="810" spans="1:8" x14ac:dyDescent="0.2">
      <c r="A810" t="s">
        <v>1967</v>
      </c>
      <c r="B810" s="1" t="s">
        <v>1508</v>
      </c>
      <c r="C810" s="11">
        <v>500000</v>
      </c>
      <c r="D810" t="s">
        <v>2251</v>
      </c>
      <c r="E810" t="s">
        <v>2107</v>
      </c>
      <c r="F810" s="4">
        <v>38873</v>
      </c>
      <c r="G810" s="11">
        <v>500000</v>
      </c>
      <c r="H810" s="11">
        <v>0</v>
      </c>
    </row>
    <row r="811" spans="1:8" x14ac:dyDescent="0.2">
      <c r="A811" t="s">
        <v>1968</v>
      </c>
      <c r="B811" s="1" t="s">
        <v>1508</v>
      </c>
      <c r="C811" s="11">
        <v>500000</v>
      </c>
      <c r="D811" t="s">
        <v>2251</v>
      </c>
      <c r="E811" t="s">
        <v>444</v>
      </c>
      <c r="F811" s="4">
        <v>39062</v>
      </c>
      <c r="G811" s="11">
        <v>500000</v>
      </c>
      <c r="H811" s="11">
        <v>0</v>
      </c>
    </row>
    <row r="812" spans="1:8" x14ac:dyDescent="0.2">
      <c r="A812" t="s">
        <v>794</v>
      </c>
      <c r="B812" s="1" t="s">
        <v>652</v>
      </c>
      <c r="C812" s="11">
        <v>1450000</v>
      </c>
      <c r="D812" t="s">
        <v>2251</v>
      </c>
      <c r="E812" t="s">
        <v>444</v>
      </c>
      <c r="F812" s="4">
        <v>38974</v>
      </c>
      <c r="G812" s="11">
        <v>0</v>
      </c>
      <c r="H812" s="11">
        <v>1450000</v>
      </c>
    </row>
    <row r="813" spans="1:8" x14ac:dyDescent="0.2">
      <c r="A813" t="s">
        <v>742</v>
      </c>
      <c r="B813" s="1" t="s">
        <v>2057</v>
      </c>
      <c r="C813" s="11">
        <v>2000000</v>
      </c>
      <c r="D813" t="s">
        <v>2251</v>
      </c>
      <c r="E813" t="s">
        <v>885</v>
      </c>
      <c r="F813" s="4">
        <v>39519</v>
      </c>
      <c r="G813" s="11">
        <v>1828350</v>
      </c>
      <c r="H813" s="11">
        <v>171650</v>
      </c>
    </row>
    <row r="814" spans="1:8" x14ac:dyDescent="0.2">
      <c r="A814" t="s">
        <v>3736</v>
      </c>
      <c r="B814" s="1" t="s">
        <v>1138</v>
      </c>
      <c r="C814" s="11">
        <v>1000000</v>
      </c>
      <c r="D814" t="s">
        <v>2251</v>
      </c>
      <c r="E814" t="s">
        <v>888</v>
      </c>
      <c r="F814" s="4">
        <v>39685</v>
      </c>
      <c r="G814" s="11">
        <v>0</v>
      </c>
      <c r="H814" s="11">
        <v>1000000</v>
      </c>
    </row>
    <row r="815" spans="1:8" x14ac:dyDescent="0.2">
      <c r="A815" t="s">
        <v>3737</v>
      </c>
      <c r="B815" s="1" t="s">
        <v>3465</v>
      </c>
      <c r="C815" s="11">
        <v>500000</v>
      </c>
      <c r="D815" t="s">
        <v>2251</v>
      </c>
      <c r="E815" t="s">
        <v>3031</v>
      </c>
      <c r="F815" s="4">
        <v>40500</v>
      </c>
      <c r="G815" s="11">
        <v>0</v>
      </c>
      <c r="H815" s="11">
        <v>500000</v>
      </c>
    </row>
    <row r="816" spans="1:8" x14ac:dyDescent="0.2">
      <c r="A816" t="s">
        <v>939</v>
      </c>
      <c r="B816" s="1" t="s">
        <v>1372</v>
      </c>
      <c r="C816" s="11">
        <v>250000</v>
      </c>
      <c r="D816" t="s">
        <v>2251</v>
      </c>
      <c r="E816" t="s">
        <v>444</v>
      </c>
      <c r="F816" s="4">
        <v>39246</v>
      </c>
      <c r="G816" s="11">
        <v>216472</v>
      </c>
      <c r="H816" s="11">
        <v>33528</v>
      </c>
    </row>
    <row r="817" spans="1:8" x14ac:dyDescent="0.2">
      <c r="A817" t="s">
        <v>3460</v>
      </c>
      <c r="B817" s="1" t="s">
        <v>3738</v>
      </c>
      <c r="C817" s="11">
        <v>2000000</v>
      </c>
      <c r="D817" t="s">
        <v>2251</v>
      </c>
      <c r="E817" t="s">
        <v>3031</v>
      </c>
      <c r="F817" s="4">
        <v>40504</v>
      </c>
      <c r="G817" s="11">
        <v>0</v>
      </c>
      <c r="H817" s="11">
        <v>2000000</v>
      </c>
    </row>
    <row r="818" spans="1:8" x14ac:dyDescent="0.2">
      <c r="A818" t="s">
        <v>769</v>
      </c>
      <c r="B818" s="1" t="s">
        <v>1171</v>
      </c>
      <c r="C818" s="11">
        <v>15000000</v>
      </c>
      <c r="D818" t="s">
        <v>2251</v>
      </c>
      <c r="E818" t="s">
        <v>888</v>
      </c>
      <c r="F818" s="4">
        <v>39707</v>
      </c>
      <c r="G818" s="11">
        <v>15000000</v>
      </c>
      <c r="H818" s="11">
        <v>0</v>
      </c>
    </row>
    <row r="819" spans="1:8" x14ac:dyDescent="0.2">
      <c r="A819" t="s">
        <v>770</v>
      </c>
      <c r="B819" s="1" t="s">
        <v>1172</v>
      </c>
      <c r="C819" s="11">
        <v>8000000</v>
      </c>
      <c r="D819" t="s">
        <v>2251</v>
      </c>
      <c r="E819" t="s">
        <v>888</v>
      </c>
      <c r="F819" s="4">
        <v>39707</v>
      </c>
      <c r="G819" s="11">
        <v>8000000</v>
      </c>
      <c r="H819" s="11">
        <v>0</v>
      </c>
    </row>
    <row r="820" spans="1:8" x14ac:dyDescent="0.2">
      <c r="A820" t="s">
        <v>980</v>
      </c>
      <c r="B820" s="1" t="s">
        <v>1173</v>
      </c>
      <c r="C820" s="11">
        <v>4000000</v>
      </c>
      <c r="D820" t="s">
        <v>2251</v>
      </c>
      <c r="E820" t="s">
        <v>888</v>
      </c>
      <c r="F820" s="4">
        <v>39707</v>
      </c>
      <c r="G820" s="11">
        <v>4000000</v>
      </c>
      <c r="H820" s="11">
        <v>0</v>
      </c>
    </row>
    <row r="821" spans="1:8" x14ac:dyDescent="0.2">
      <c r="A821" t="s">
        <v>2143</v>
      </c>
      <c r="B821" s="1" t="s">
        <v>2144</v>
      </c>
      <c r="C821" s="11">
        <v>500000</v>
      </c>
      <c r="D821" t="s">
        <v>2251</v>
      </c>
      <c r="E821" t="s">
        <v>888</v>
      </c>
      <c r="F821" s="4">
        <v>40070</v>
      </c>
      <c r="G821" s="11">
        <v>500000</v>
      </c>
      <c r="H821" s="11">
        <v>0</v>
      </c>
    </row>
    <row r="822" spans="1:8" x14ac:dyDescent="0.2">
      <c r="A822" t="s">
        <v>2721</v>
      </c>
      <c r="B822" s="1" t="s">
        <v>2722</v>
      </c>
      <c r="C822" s="11">
        <v>7500000</v>
      </c>
      <c r="D822" t="s">
        <v>2251</v>
      </c>
      <c r="E822" t="s">
        <v>888</v>
      </c>
      <c r="F822" s="4">
        <v>40205</v>
      </c>
      <c r="G822" s="11">
        <v>7400000</v>
      </c>
      <c r="H822" s="11">
        <v>100000</v>
      </c>
    </row>
    <row r="823" spans="1:8" x14ac:dyDescent="0.2">
      <c r="A823" t="s">
        <v>1052</v>
      </c>
      <c r="B823" s="1" t="s">
        <v>1244</v>
      </c>
      <c r="C823" s="11">
        <v>1500000</v>
      </c>
      <c r="D823" t="s">
        <v>2251</v>
      </c>
      <c r="E823" t="s">
        <v>444</v>
      </c>
      <c r="F823" s="4">
        <v>39168</v>
      </c>
      <c r="G823" s="11">
        <v>1500000</v>
      </c>
      <c r="H823" s="11">
        <v>0</v>
      </c>
    </row>
    <row r="824" spans="1:8" x14ac:dyDescent="0.2">
      <c r="A824" t="s">
        <v>3739</v>
      </c>
      <c r="B824" s="1" t="s">
        <v>3096</v>
      </c>
      <c r="C824" s="11">
        <v>500000</v>
      </c>
      <c r="D824" t="s">
        <v>2251</v>
      </c>
      <c r="E824" t="s">
        <v>444</v>
      </c>
      <c r="F824" s="4">
        <v>40436</v>
      </c>
      <c r="G824" s="11">
        <v>0</v>
      </c>
      <c r="H824" s="11">
        <v>500000</v>
      </c>
    </row>
    <row r="825" spans="1:8" x14ac:dyDescent="0.2">
      <c r="A825" t="s">
        <v>947</v>
      </c>
      <c r="B825" s="1" t="s">
        <v>1270</v>
      </c>
      <c r="C825" s="11">
        <v>500000</v>
      </c>
      <c r="D825" t="s">
        <v>2251</v>
      </c>
      <c r="E825" t="s">
        <v>885</v>
      </c>
      <c r="F825" s="4">
        <v>39062</v>
      </c>
      <c r="G825" s="11">
        <v>0</v>
      </c>
      <c r="H825" s="11">
        <v>500000</v>
      </c>
    </row>
    <row r="826" spans="1:8" x14ac:dyDescent="0.2">
      <c r="A826" t="s">
        <v>599</v>
      </c>
      <c r="B826" s="1" t="s">
        <v>2097</v>
      </c>
      <c r="C826" s="11">
        <v>10000000</v>
      </c>
      <c r="D826" t="s">
        <v>2251</v>
      </c>
      <c r="E826" t="s">
        <v>888</v>
      </c>
      <c r="F826" s="4">
        <v>39890</v>
      </c>
      <c r="G826" s="11">
        <v>10000000</v>
      </c>
      <c r="H826" s="11">
        <v>0</v>
      </c>
    </row>
    <row r="827" spans="1:8" x14ac:dyDescent="0.2">
      <c r="A827" t="s">
        <v>2723</v>
      </c>
      <c r="B827" s="1" t="s">
        <v>1201</v>
      </c>
      <c r="C827" s="11">
        <v>1000000</v>
      </c>
      <c r="D827" t="s">
        <v>2251</v>
      </c>
      <c r="E827" t="s">
        <v>888</v>
      </c>
      <c r="F827" s="4">
        <v>39736</v>
      </c>
      <c r="G827" s="11">
        <v>0</v>
      </c>
      <c r="H827" s="11">
        <v>1000000</v>
      </c>
    </row>
    <row r="828" spans="1:8" x14ac:dyDescent="0.2">
      <c r="A828" t="s">
        <v>2866</v>
      </c>
      <c r="B828" s="1" t="s">
        <v>2087</v>
      </c>
      <c r="C828" s="11">
        <v>500000</v>
      </c>
      <c r="D828" t="s">
        <v>2251</v>
      </c>
      <c r="E828" t="s">
        <v>888</v>
      </c>
      <c r="F828" s="4">
        <v>39890</v>
      </c>
      <c r="G828" s="11">
        <v>500000</v>
      </c>
      <c r="H828" s="11">
        <v>0</v>
      </c>
    </row>
    <row r="829" spans="1:8" x14ac:dyDescent="0.2">
      <c r="A829" t="s">
        <v>2867</v>
      </c>
      <c r="B829" s="1" t="s">
        <v>2088</v>
      </c>
      <c r="C829" s="11">
        <v>500000</v>
      </c>
      <c r="D829" t="s">
        <v>2251</v>
      </c>
      <c r="E829" t="s">
        <v>888</v>
      </c>
      <c r="F829" s="4">
        <v>39930</v>
      </c>
      <c r="G829" s="11">
        <v>500000</v>
      </c>
      <c r="H829" s="11">
        <v>0</v>
      </c>
    </row>
    <row r="830" spans="1:8" x14ac:dyDescent="0.2">
      <c r="A830" t="s">
        <v>3087</v>
      </c>
      <c r="B830" s="1" t="s">
        <v>3088</v>
      </c>
      <c r="C830" s="11">
        <v>500000</v>
      </c>
      <c r="D830" t="s">
        <v>2251</v>
      </c>
      <c r="E830" t="s">
        <v>888</v>
      </c>
      <c r="F830" s="4">
        <v>40436</v>
      </c>
      <c r="G830" s="11">
        <v>462500</v>
      </c>
      <c r="H830" s="11">
        <v>37500</v>
      </c>
    </row>
    <row r="831" spans="1:8" x14ac:dyDescent="0.2">
      <c r="A831" t="s">
        <v>2868</v>
      </c>
      <c r="B831" s="1" t="s">
        <v>2071</v>
      </c>
      <c r="C831" s="11">
        <v>1400000</v>
      </c>
      <c r="D831" t="s">
        <v>2251</v>
      </c>
      <c r="E831" t="s">
        <v>888</v>
      </c>
      <c r="F831" s="4">
        <v>39885</v>
      </c>
      <c r="G831" s="11">
        <v>1400000</v>
      </c>
      <c r="H831" s="11">
        <v>0</v>
      </c>
    </row>
    <row r="832" spans="1:8" x14ac:dyDescent="0.2">
      <c r="A832" t="s">
        <v>3089</v>
      </c>
      <c r="B832" s="1" t="s">
        <v>3090</v>
      </c>
      <c r="C832" s="11">
        <v>1000000</v>
      </c>
      <c r="D832" t="s">
        <v>2251</v>
      </c>
      <c r="E832" t="s">
        <v>888</v>
      </c>
      <c r="F832" s="4">
        <v>40483</v>
      </c>
      <c r="G832" s="11">
        <v>1000000</v>
      </c>
      <c r="H832" s="11">
        <v>0</v>
      </c>
    </row>
    <row r="833" spans="1:8" x14ac:dyDescent="0.2">
      <c r="A833" t="s">
        <v>3461</v>
      </c>
      <c r="B833" s="1" t="s">
        <v>3462</v>
      </c>
      <c r="C833" s="11">
        <v>1000000</v>
      </c>
      <c r="D833" t="s">
        <v>2251</v>
      </c>
      <c r="E833" t="s">
        <v>888</v>
      </c>
      <c r="F833" s="4">
        <v>40504</v>
      </c>
      <c r="G833" s="11">
        <v>1000000</v>
      </c>
      <c r="H833" s="11">
        <v>0</v>
      </c>
    </row>
    <row r="834" spans="1:8" x14ac:dyDescent="0.2">
      <c r="A834" t="s">
        <v>3740</v>
      </c>
      <c r="B834" s="1" t="s">
        <v>3741</v>
      </c>
      <c r="C834" s="11">
        <v>850000</v>
      </c>
      <c r="D834" t="s">
        <v>2251</v>
      </c>
      <c r="E834" t="s">
        <v>888</v>
      </c>
      <c r="F834" s="4">
        <v>40532</v>
      </c>
      <c r="G834" s="11">
        <v>850000</v>
      </c>
      <c r="H834" s="11">
        <v>0</v>
      </c>
    </row>
    <row r="835" spans="1:8" x14ac:dyDescent="0.2">
      <c r="A835" t="s">
        <v>3091</v>
      </c>
      <c r="B835" s="1" t="s">
        <v>385</v>
      </c>
      <c r="C835" s="11">
        <v>3000000</v>
      </c>
      <c r="D835" t="s">
        <v>2251</v>
      </c>
      <c r="E835" t="s">
        <v>888</v>
      </c>
      <c r="F835" s="4">
        <v>40184</v>
      </c>
      <c r="G835" s="11">
        <v>0</v>
      </c>
      <c r="H835" s="11">
        <v>3000000</v>
      </c>
    </row>
    <row r="836" spans="1:8" x14ac:dyDescent="0.2">
      <c r="A836" t="s">
        <v>3092</v>
      </c>
      <c r="B836" s="1" t="s">
        <v>98</v>
      </c>
      <c r="C836" s="11">
        <v>1500000</v>
      </c>
      <c r="D836" t="s">
        <v>2251</v>
      </c>
      <c r="E836" t="s">
        <v>888</v>
      </c>
      <c r="F836" s="4">
        <v>40212</v>
      </c>
      <c r="G836" s="11">
        <v>0</v>
      </c>
      <c r="H836" s="11">
        <v>1500000</v>
      </c>
    </row>
    <row r="837" spans="1:8" x14ac:dyDescent="0.2">
      <c r="A837" t="s">
        <v>3093</v>
      </c>
      <c r="B837" s="1" t="s">
        <v>1170</v>
      </c>
      <c r="C837" s="11">
        <v>500000</v>
      </c>
      <c r="D837" t="s">
        <v>2251</v>
      </c>
      <c r="E837" t="s">
        <v>888</v>
      </c>
      <c r="F837" s="4">
        <v>39702</v>
      </c>
      <c r="G837" s="11">
        <v>487500</v>
      </c>
      <c r="H837" s="11">
        <v>12500</v>
      </c>
    </row>
    <row r="838" spans="1:8" x14ac:dyDescent="0.2">
      <c r="A838" t="s">
        <v>4182</v>
      </c>
      <c r="B838" s="1" t="s">
        <v>1000</v>
      </c>
      <c r="C838" s="11">
        <v>900000</v>
      </c>
      <c r="D838" t="s">
        <v>2251</v>
      </c>
      <c r="E838" t="s">
        <v>888</v>
      </c>
      <c r="F838" s="4">
        <v>39930</v>
      </c>
      <c r="G838" s="11">
        <v>0</v>
      </c>
      <c r="H838" s="11">
        <v>900000</v>
      </c>
    </row>
    <row r="839" spans="1:8" x14ac:dyDescent="0.2">
      <c r="A839" t="s">
        <v>3463</v>
      </c>
      <c r="B839" s="1" t="s">
        <v>2872</v>
      </c>
      <c r="C839" s="11">
        <v>1500000</v>
      </c>
      <c r="D839" t="s">
        <v>2251</v>
      </c>
      <c r="E839" t="s">
        <v>888</v>
      </c>
      <c r="F839" s="4">
        <v>40325</v>
      </c>
      <c r="G839" s="11">
        <v>1500000</v>
      </c>
      <c r="H839" s="11">
        <v>0</v>
      </c>
    </row>
    <row r="840" spans="1:8" x14ac:dyDescent="0.2">
      <c r="A840" t="s">
        <v>439</v>
      </c>
      <c r="B840" s="1" t="s">
        <v>2869</v>
      </c>
      <c r="C840" s="11">
        <v>500000</v>
      </c>
      <c r="D840" t="s">
        <v>2251</v>
      </c>
      <c r="E840" t="s">
        <v>888</v>
      </c>
      <c r="F840" s="4">
        <v>40289</v>
      </c>
      <c r="G840" s="11">
        <v>0</v>
      </c>
      <c r="H840" s="11">
        <v>500000</v>
      </c>
    </row>
    <row r="841" spans="1:8" x14ac:dyDescent="0.2">
      <c r="A841" t="s">
        <v>3742</v>
      </c>
      <c r="B841" s="1" t="s">
        <v>2870</v>
      </c>
      <c r="C841" s="11">
        <v>1000000</v>
      </c>
      <c r="D841" t="s">
        <v>2251</v>
      </c>
      <c r="E841" t="s">
        <v>888</v>
      </c>
      <c r="F841" s="4">
        <v>40289</v>
      </c>
      <c r="G841" s="11">
        <v>0</v>
      </c>
      <c r="H841" s="11">
        <v>1000000</v>
      </c>
    </row>
    <row r="842" spans="1:8" x14ac:dyDescent="0.2">
      <c r="A842" t="s">
        <v>3743</v>
      </c>
      <c r="B842" s="1" t="s">
        <v>4070</v>
      </c>
      <c r="C842" s="11">
        <v>500000</v>
      </c>
      <c r="D842" t="s">
        <v>2251</v>
      </c>
      <c r="E842" t="s">
        <v>888</v>
      </c>
      <c r="F842" s="4">
        <v>40289</v>
      </c>
      <c r="G842" s="11">
        <v>0</v>
      </c>
      <c r="H842" s="11">
        <v>500000</v>
      </c>
    </row>
    <row r="843" spans="1:8" x14ac:dyDescent="0.2">
      <c r="A843" t="s">
        <v>3744</v>
      </c>
      <c r="B843" s="1" t="s">
        <v>3097</v>
      </c>
      <c r="C843" s="11">
        <v>1000000</v>
      </c>
      <c r="D843" t="s">
        <v>2251</v>
      </c>
      <c r="E843" t="s">
        <v>885</v>
      </c>
      <c r="F843" s="4">
        <v>40436</v>
      </c>
      <c r="G843" s="11">
        <v>0</v>
      </c>
      <c r="H843" s="11">
        <v>1000000</v>
      </c>
    </row>
    <row r="844" spans="1:8" x14ac:dyDescent="0.2">
      <c r="A844" t="s">
        <v>3745</v>
      </c>
      <c r="B844" s="1" t="s">
        <v>3746</v>
      </c>
      <c r="C844" s="11">
        <v>3000000</v>
      </c>
      <c r="D844" t="s">
        <v>2251</v>
      </c>
      <c r="E844" t="s">
        <v>3031</v>
      </c>
      <c r="F844" s="4">
        <v>40520</v>
      </c>
      <c r="G844" s="11">
        <v>0</v>
      </c>
      <c r="H844" s="11">
        <v>3000000</v>
      </c>
    </row>
    <row r="845" spans="1:8" x14ac:dyDescent="0.2">
      <c r="A845" t="s">
        <v>3464</v>
      </c>
      <c r="B845" s="1" t="s">
        <v>3099</v>
      </c>
      <c r="C845" s="11">
        <v>500000</v>
      </c>
      <c r="D845" t="s">
        <v>2251</v>
      </c>
      <c r="E845" t="s">
        <v>516</v>
      </c>
      <c r="F845" s="4">
        <v>40463</v>
      </c>
      <c r="G845" s="11">
        <v>0</v>
      </c>
      <c r="H845" s="11">
        <v>500000</v>
      </c>
    </row>
    <row r="846" spans="1:8" x14ac:dyDescent="0.2">
      <c r="A846" t="s">
        <v>4183</v>
      </c>
      <c r="B846" s="1" t="s">
        <v>3469</v>
      </c>
      <c r="C846" s="11">
        <v>300000</v>
      </c>
      <c r="D846" t="s">
        <v>2251</v>
      </c>
      <c r="E846" t="s">
        <v>444</v>
      </c>
      <c r="F846" s="4">
        <v>40504</v>
      </c>
      <c r="G846" s="11">
        <v>0</v>
      </c>
      <c r="H846" s="11">
        <v>300000</v>
      </c>
    </row>
    <row r="847" spans="1:8" x14ac:dyDescent="0.2">
      <c r="A847" t="s">
        <v>4534</v>
      </c>
      <c r="B847" s="1" t="s">
        <v>4535</v>
      </c>
      <c r="C847" s="11">
        <v>1000000</v>
      </c>
      <c r="D847" t="s">
        <v>2251</v>
      </c>
      <c r="E847" t="s">
        <v>444</v>
      </c>
      <c r="F847" s="4">
        <v>41316</v>
      </c>
      <c r="G847" s="11">
        <v>0</v>
      </c>
      <c r="H847" s="11">
        <v>1000000</v>
      </c>
    </row>
    <row r="848" spans="1:8" x14ac:dyDescent="0.2">
      <c r="A848" t="s">
        <v>4113</v>
      </c>
      <c r="B848" s="1" t="s">
        <v>3466</v>
      </c>
      <c r="C848" s="11">
        <v>2000000</v>
      </c>
      <c r="D848" t="s">
        <v>2251</v>
      </c>
      <c r="E848" t="s">
        <v>3031</v>
      </c>
      <c r="F848" s="4">
        <v>40499</v>
      </c>
      <c r="G848" s="11">
        <v>0</v>
      </c>
      <c r="H848" s="11">
        <v>2000000</v>
      </c>
    </row>
    <row r="849" spans="1:8" x14ac:dyDescent="0.2">
      <c r="A849" t="s">
        <v>4114</v>
      </c>
      <c r="B849" s="1" t="s">
        <v>3467</v>
      </c>
      <c r="C849" s="11">
        <v>1000000</v>
      </c>
      <c r="D849" t="s">
        <v>2251</v>
      </c>
      <c r="E849" t="s">
        <v>3031</v>
      </c>
      <c r="F849" s="4">
        <v>40499</v>
      </c>
      <c r="G849" s="11">
        <v>0</v>
      </c>
      <c r="H849" s="11">
        <v>1000000</v>
      </c>
    </row>
    <row r="850" spans="1:8" x14ac:dyDescent="0.2">
      <c r="A850" t="s">
        <v>4115</v>
      </c>
      <c r="B850" s="1" t="s">
        <v>3468</v>
      </c>
      <c r="C850" s="11">
        <v>2000000</v>
      </c>
      <c r="D850" t="s">
        <v>2251</v>
      </c>
      <c r="E850" t="s">
        <v>3031</v>
      </c>
      <c r="F850" s="4">
        <v>40499</v>
      </c>
      <c r="G850" s="11">
        <v>0</v>
      </c>
      <c r="H850" s="11">
        <v>2000000</v>
      </c>
    </row>
    <row r="851" spans="1:8" x14ac:dyDescent="0.2">
      <c r="A851" t="s">
        <v>4184</v>
      </c>
      <c r="B851" s="1" t="s">
        <v>3098</v>
      </c>
      <c r="C851" s="11">
        <v>1500000</v>
      </c>
      <c r="D851" t="s">
        <v>2251</v>
      </c>
      <c r="E851" t="s">
        <v>3008</v>
      </c>
      <c r="F851" s="4">
        <v>40448</v>
      </c>
      <c r="G851" s="11">
        <v>0</v>
      </c>
      <c r="H851" s="11">
        <v>1500000</v>
      </c>
    </row>
    <row r="852" spans="1:8" x14ac:dyDescent="0.2">
      <c r="A852" t="s">
        <v>4307</v>
      </c>
      <c r="B852" s="1" t="s">
        <v>3755</v>
      </c>
      <c r="C852" s="11">
        <v>650000</v>
      </c>
      <c r="D852" t="s">
        <v>2251</v>
      </c>
      <c r="E852" t="s">
        <v>3031</v>
      </c>
      <c r="F852" s="4">
        <v>40546</v>
      </c>
      <c r="G852" s="11">
        <v>0</v>
      </c>
      <c r="H852" s="11">
        <v>650000</v>
      </c>
    </row>
    <row r="853" spans="1:8" x14ac:dyDescent="0.2">
      <c r="A853" t="s">
        <v>4185</v>
      </c>
      <c r="B853" s="1" t="s">
        <v>3748</v>
      </c>
      <c r="C853" s="11">
        <v>500000</v>
      </c>
      <c r="D853" t="s">
        <v>2251</v>
      </c>
      <c r="E853" t="s">
        <v>3008</v>
      </c>
      <c r="F853" s="4">
        <v>40532</v>
      </c>
      <c r="G853" s="11">
        <v>0</v>
      </c>
      <c r="H853" s="11">
        <v>500000</v>
      </c>
    </row>
    <row r="854" spans="1:8" x14ac:dyDescent="0.2">
      <c r="A854" t="s">
        <v>4186</v>
      </c>
      <c r="B854" s="1" t="s">
        <v>4050</v>
      </c>
      <c r="C854" s="11">
        <v>3000000</v>
      </c>
      <c r="D854" t="s">
        <v>2251</v>
      </c>
      <c r="E854" t="s">
        <v>3031</v>
      </c>
      <c r="F854" s="4">
        <v>40557</v>
      </c>
      <c r="G854" s="11">
        <v>0</v>
      </c>
      <c r="H854" s="11">
        <v>3000000</v>
      </c>
    </row>
    <row r="855" spans="1:8" x14ac:dyDescent="0.2">
      <c r="A855" t="s">
        <v>4271</v>
      </c>
      <c r="B855" s="1" t="s">
        <v>3749</v>
      </c>
      <c r="C855" s="11">
        <v>2000000</v>
      </c>
      <c r="D855" t="s">
        <v>2251</v>
      </c>
      <c r="E855" t="s">
        <v>444</v>
      </c>
      <c r="F855" s="4">
        <v>40532</v>
      </c>
      <c r="G855" s="11">
        <v>0</v>
      </c>
      <c r="H855" s="11">
        <v>2000000</v>
      </c>
    </row>
    <row r="856" spans="1:8" x14ac:dyDescent="0.2">
      <c r="A856" t="s">
        <v>4272</v>
      </c>
      <c r="B856" s="1" t="s">
        <v>3750</v>
      </c>
      <c r="C856" s="11">
        <v>1000000</v>
      </c>
      <c r="D856" t="s">
        <v>2251</v>
      </c>
      <c r="E856" t="s">
        <v>444</v>
      </c>
      <c r="F856" s="4">
        <v>40546</v>
      </c>
      <c r="G856" s="11">
        <v>0</v>
      </c>
      <c r="H856" s="11">
        <v>1000000</v>
      </c>
    </row>
    <row r="857" spans="1:8" x14ac:dyDescent="0.2">
      <c r="A857" t="s">
        <v>4273</v>
      </c>
      <c r="B857" s="1" t="s">
        <v>3751</v>
      </c>
      <c r="C857" s="11">
        <v>2000000</v>
      </c>
      <c r="D857" t="s">
        <v>2251</v>
      </c>
      <c r="E857" t="s">
        <v>444</v>
      </c>
      <c r="F857" s="4">
        <v>40546</v>
      </c>
      <c r="G857" s="11">
        <v>0</v>
      </c>
      <c r="H857" s="11">
        <v>2000000</v>
      </c>
    </row>
    <row r="858" spans="1:8" x14ac:dyDescent="0.2">
      <c r="A858" t="s">
        <v>4364</v>
      </c>
      <c r="B858" s="1" t="s">
        <v>3747</v>
      </c>
      <c r="C858" s="11">
        <v>600000</v>
      </c>
      <c r="D858" t="s">
        <v>2251</v>
      </c>
      <c r="E858" t="s">
        <v>888</v>
      </c>
      <c r="F858" s="4">
        <v>40532</v>
      </c>
      <c r="G858" s="11">
        <v>0</v>
      </c>
      <c r="H858" s="11">
        <v>600000</v>
      </c>
    </row>
    <row r="859" spans="1:8" x14ac:dyDescent="0.2">
      <c r="A859" t="s">
        <v>4410</v>
      </c>
      <c r="B859" s="1" t="s">
        <v>3756</v>
      </c>
      <c r="C859" s="11">
        <v>750000</v>
      </c>
      <c r="D859" t="s">
        <v>2251</v>
      </c>
      <c r="E859" t="s">
        <v>3031</v>
      </c>
      <c r="F859" s="4">
        <v>40546</v>
      </c>
      <c r="G859" s="11">
        <v>0</v>
      </c>
      <c r="H859" s="11">
        <v>750000</v>
      </c>
    </row>
    <row r="860" spans="1:8" x14ac:dyDescent="0.2">
      <c r="A860" t="s">
        <v>600</v>
      </c>
      <c r="B860" s="1" t="s">
        <v>2565</v>
      </c>
      <c r="C860" s="11">
        <v>0</v>
      </c>
      <c r="D860" t="s">
        <v>2251</v>
      </c>
      <c r="E860" t="s">
        <v>888</v>
      </c>
      <c r="F860" s="4">
        <v>39793</v>
      </c>
      <c r="G860" s="11">
        <v>0</v>
      </c>
      <c r="H860" s="11">
        <v>0</v>
      </c>
    </row>
    <row r="861" spans="1:8" x14ac:dyDescent="0.2">
      <c r="A861" t="s">
        <v>3753</v>
      </c>
      <c r="B861" s="1" t="s">
        <v>3754</v>
      </c>
      <c r="C861" s="11">
        <v>425000</v>
      </c>
      <c r="D861" t="s">
        <v>2251</v>
      </c>
      <c r="E861" t="s">
        <v>3031</v>
      </c>
      <c r="F861" s="4">
        <v>40546</v>
      </c>
      <c r="G861" s="11">
        <v>0</v>
      </c>
      <c r="H861" s="11">
        <v>425000</v>
      </c>
    </row>
    <row r="862" spans="1:8" x14ac:dyDescent="0.2">
      <c r="A862" t="s">
        <v>4536</v>
      </c>
      <c r="B862" s="1" t="s">
        <v>4537</v>
      </c>
      <c r="C862" s="11">
        <v>15000000</v>
      </c>
      <c r="D862" t="s">
        <v>2251</v>
      </c>
      <c r="E862" t="s">
        <v>3031</v>
      </c>
      <c r="F862" s="4">
        <v>41316</v>
      </c>
      <c r="G862" s="11">
        <v>0</v>
      </c>
      <c r="H862" s="11">
        <v>15000000</v>
      </c>
    </row>
    <row r="863" spans="1:8" x14ac:dyDescent="0.2">
      <c r="A863" t="s">
        <v>4538</v>
      </c>
      <c r="B863" s="1" t="s">
        <v>4539</v>
      </c>
      <c r="C863" s="11">
        <v>2500000</v>
      </c>
      <c r="D863" t="s">
        <v>2251</v>
      </c>
      <c r="E863" t="s">
        <v>3031</v>
      </c>
      <c r="F863" s="4">
        <v>41316</v>
      </c>
      <c r="G863" s="11">
        <v>0</v>
      </c>
      <c r="H863" s="11">
        <v>2500000</v>
      </c>
    </row>
    <row r="864" spans="1:8" x14ac:dyDescent="0.2">
      <c r="A864" t="s">
        <v>4565</v>
      </c>
      <c r="B864" s="1" t="s">
        <v>4566</v>
      </c>
      <c r="C864" s="11">
        <v>2000000</v>
      </c>
      <c r="D864" t="s">
        <v>2251</v>
      </c>
      <c r="E864" t="s">
        <v>3031</v>
      </c>
      <c r="F864" s="4">
        <v>41316</v>
      </c>
      <c r="G864" s="11">
        <v>0</v>
      </c>
      <c r="H864" s="11">
        <v>2000000</v>
      </c>
    </row>
    <row r="865" spans="1:8" x14ac:dyDescent="0.2">
      <c r="A865" t="s">
        <v>4365</v>
      </c>
      <c r="B865" s="1" t="s">
        <v>3094</v>
      </c>
      <c r="C865" s="11">
        <v>0</v>
      </c>
      <c r="D865" t="s">
        <v>2251</v>
      </c>
      <c r="E865" t="s">
        <v>3008</v>
      </c>
      <c r="F865" s="4">
        <v>40393</v>
      </c>
      <c r="G865" s="11">
        <v>0</v>
      </c>
      <c r="H865" s="11">
        <v>0</v>
      </c>
    </row>
    <row r="866" spans="1:8" x14ac:dyDescent="0.2">
      <c r="A866" t="s">
        <v>4366</v>
      </c>
      <c r="B866" s="1" t="s">
        <v>3095</v>
      </c>
      <c r="C866" s="11">
        <v>0</v>
      </c>
      <c r="D866" t="s">
        <v>2251</v>
      </c>
      <c r="E866" t="s">
        <v>3008</v>
      </c>
      <c r="F866" s="4">
        <v>40463</v>
      </c>
      <c r="G866" s="11">
        <v>0</v>
      </c>
      <c r="H866" s="11">
        <v>0</v>
      </c>
    </row>
    <row r="867" spans="1:8" x14ac:dyDescent="0.2">
      <c r="A867" t="s">
        <v>3100</v>
      </c>
      <c r="B867" s="1" t="s">
        <v>1408</v>
      </c>
      <c r="C867" s="11">
        <v>0</v>
      </c>
      <c r="D867" t="s">
        <v>2251</v>
      </c>
      <c r="E867" t="s">
        <v>516</v>
      </c>
      <c r="F867" s="4">
        <v>38505</v>
      </c>
      <c r="G867" s="11">
        <v>0</v>
      </c>
      <c r="H867" s="11">
        <v>0</v>
      </c>
    </row>
    <row r="868" spans="1:8" x14ac:dyDescent="0.2">
      <c r="A868" t="s">
        <v>3101</v>
      </c>
      <c r="B868" s="1" t="s">
        <v>1657</v>
      </c>
      <c r="C868" s="11">
        <v>0</v>
      </c>
      <c r="D868" t="s">
        <v>2251</v>
      </c>
      <c r="E868" t="s">
        <v>516</v>
      </c>
      <c r="F868" s="4">
        <v>38905</v>
      </c>
      <c r="G868" s="11">
        <v>0</v>
      </c>
      <c r="H868" s="11">
        <v>0</v>
      </c>
    </row>
    <row r="869" spans="1:8" x14ac:dyDescent="0.2">
      <c r="A869" t="s">
        <v>4274</v>
      </c>
      <c r="B869" s="1" t="s">
        <v>2871</v>
      </c>
      <c r="C869" s="11">
        <v>0</v>
      </c>
      <c r="D869" t="s">
        <v>2251</v>
      </c>
      <c r="E869" t="s">
        <v>888</v>
      </c>
      <c r="F869" s="4">
        <v>40325</v>
      </c>
      <c r="G869" s="11">
        <v>0</v>
      </c>
      <c r="H869" s="11">
        <v>0</v>
      </c>
    </row>
    <row r="870" spans="1:8" x14ac:dyDescent="0.2">
      <c r="A870" t="s">
        <v>2311</v>
      </c>
      <c r="B870" s="1" t="s">
        <v>2312</v>
      </c>
      <c r="C870" s="11">
        <v>700000</v>
      </c>
      <c r="D870" t="s">
        <v>2313</v>
      </c>
      <c r="E870" t="s">
        <v>2107</v>
      </c>
      <c r="F870" s="4">
        <v>37582</v>
      </c>
      <c r="G870" s="11">
        <v>700000</v>
      </c>
      <c r="H870" s="11">
        <v>0</v>
      </c>
    </row>
    <row r="871" spans="1:8" x14ac:dyDescent="0.2">
      <c r="A871" t="s">
        <v>1461</v>
      </c>
      <c r="B871" s="1" t="s">
        <v>679</v>
      </c>
      <c r="C871" s="11">
        <v>300000</v>
      </c>
      <c r="D871" t="s">
        <v>2313</v>
      </c>
      <c r="E871" t="s">
        <v>444</v>
      </c>
      <c r="F871" s="4">
        <v>38985</v>
      </c>
      <c r="G871" s="11">
        <v>300000</v>
      </c>
      <c r="H871" s="11">
        <v>0</v>
      </c>
    </row>
    <row r="872" spans="1:8" x14ac:dyDescent="0.2">
      <c r="A872" t="s">
        <v>1463</v>
      </c>
      <c r="B872" s="1" t="s">
        <v>644</v>
      </c>
      <c r="C872" s="11">
        <v>4000000</v>
      </c>
      <c r="D872" t="s">
        <v>2313</v>
      </c>
      <c r="E872" t="s">
        <v>885</v>
      </c>
      <c r="F872" s="4">
        <v>38946</v>
      </c>
      <c r="G872" s="11">
        <v>4000000</v>
      </c>
      <c r="H872" s="11">
        <v>0</v>
      </c>
    </row>
    <row r="873" spans="1:8" x14ac:dyDescent="0.2">
      <c r="A873" t="s">
        <v>3102</v>
      </c>
      <c r="B873" s="1" t="s">
        <v>1053</v>
      </c>
      <c r="C873" s="11">
        <v>2000000</v>
      </c>
      <c r="D873" t="s">
        <v>2313</v>
      </c>
      <c r="E873" t="s">
        <v>888</v>
      </c>
      <c r="F873" s="4">
        <v>39961</v>
      </c>
      <c r="G873" s="11">
        <v>1639529</v>
      </c>
      <c r="H873" s="11">
        <v>360471</v>
      </c>
    </row>
    <row r="874" spans="1:8" x14ac:dyDescent="0.2">
      <c r="A874" t="s">
        <v>3103</v>
      </c>
      <c r="B874" s="1" t="s">
        <v>3104</v>
      </c>
      <c r="C874" s="11">
        <v>3000000</v>
      </c>
      <c r="D874" t="s">
        <v>2313</v>
      </c>
      <c r="E874" t="s">
        <v>3008</v>
      </c>
      <c r="F874" s="4">
        <v>40420</v>
      </c>
      <c r="G874" s="11">
        <v>0</v>
      </c>
      <c r="H874" s="11">
        <v>3000000</v>
      </c>
    </row>
    <row r="875" spans="1:8" x14ac:dyDescent="0.2">
      <c r="A875" t="s">
        <v>601</v>
      </c>
      <c r="B875" s="1" t="s">
        <v>1213</v>
      </c>
      <c r="C875" s="11">
        <v>0</v>
      </c>
      <c r="D875" t="s">
        <v>2313</v>
      </c>
      <c r="E875" t="s">
        <v>888</v>
      </c>
      <c r="F875" s="4">
        <v>39751</v>
      </c>
      <c r="G875" s="11">
        <v>0</v>
      </c>
      <c r="H875" s="11">
        <v>0</v>
      </c>
    </row>
    <row r="876" spans="1:8" x14ac:dyDescent="0.2">
      <c r="A876" t="s">
        <v>293</v>
      </c>
      <c r="B876" s="1" t="s">
        <v>294</v>
      </c>
      <c r="C876" s="11">
        <v>8905000</v>
      </c>
      <c r="D876" t="s">
        <v>295</v>
      </c>
      <c r="E876" t="s">
        <v>1577</v>
      </c>
      <c r="F876" s="4">
        <v>34151</v>
      </c>
      <c r="G876" s="11">
        <v>8905000</v>
      </c>
      <c r="H876" s="11">
        <v>0</v>
      </c>
    </row>
    <row r="877" spans="1:8" x14ac:dyDescent="0.2">
      <c r="A877" t="s">
        <v>296</v>
      </c>
      <c r="B877" s="1" t="s">
        <v>297</v>
      </c>
      <c r="C877" s="11">
        <v>2000000</v>
      </c>
      <c r="D877" t="s">
        <v>295</v>
      </c>
      <c r="E877" t="s">
        <v>1577</v>
      </c>
      <c r="F877" s="4">
        <v>34151</v>
      </c>
      <c r="G877" s="11">
        <v>1918618.1600000001</v>
      </c>
      <c r="H877" s="11">
        <v>81381.84</v>
      </c>
    </row>
    <row r="878" spans="1:8" x14ac:dyDescent="0.2">
      <c r="A878" t="s">
        <v>1767</v>
      </c>
      <c r="B878" s="1" t="s">
        <v>1768</v>
      </c>
      <c r="C878" s="11">
        <v>3825000</v>
      </c>
      <c r="D878" t="s">
        <v>295</v>
      </c>
      <c r="E878" t="s">
        <v>1710</v>
      </c>
      <c r="F878" s="4">
        <v>35928</v>
      </c>
      <c r="G878" s="11">
        <v>3825000</v>
      </c>
      <c r="H878" s="11">
        <v>0</v>
      </c>
    </row>
    <row r="879" spans="1:8" x14ac:dyDescent="0.2">
      <c r="A879" t="s">
        <v>1794</v>
      </c>
      <c r="B879" s="1" t="s">
        <v>1795</v>
      </c>
      <c r="C879" s="11">
        <v>8500000</v>
      </c>
      <c r="D879" t="s">
        <v>295</v>
      </c>
      <c r="E879" t="s">
        <v>1710</v>
      </c>
      <c r="F879" s="4">
        <v>36038</v>
      </c>
      <c r="G879" s="11">
        <v>8500000</v>
      </c>
      <c r="H879" s="11">
        <v>0</v>
      </c>
    </row>
    <row r="880" spans="1:8" x14ac:dyDescent="0.2">
      <c r="A880" t="s">
        <v>1796</v>
      </c>
      <c r="B880" s="1" t="s">
        <v>1797</v>
      </c>
      <c r="C880" s="11">
        <v>2000000</v>
      </c>
      <c r="D880" t="s">
        <v>295</v>
      </c>
      <c r="E880" t="s">
        <v>969</v>
      </c>
      <c r="F880" s="4">
        <v>36451</v>
      </c>
      <c r="G880" s="11">
        <v>1999998.5</v>
      </c>
      <c r="H880" s="11">
        <v>1.5</v>
      </c>
    </row>
    <row r="881" spans="1:8" x14ac:dyDescent="0.2">
      <c r="A881" t="s">
        <v>1819</v>
      </c>
      <c r="B881" s="1" t="s">
        <v>479</v>
      </c>
      <c r="C881" s="11">
        <v>1000000</v>
      </c>
      <c r="D881" t="s">
        <v>295</v>
      </c>
      <c r="E881" t="s">
        <v>1710</v>
      </c>
      <c r="F881" s="4">
        <v>36343</v>
      </c>
      <c r="G881" s="11">
        <v>1000000</v>
      </c>
      <c r="H881" s="11">
        <v>0</v>
      </c>
    </row>
    <row r="882" spans="1:8" x14ac:dyDescent="0.2">
      <c r="A882" t="s">
        <v>580</v>
      </c>
      <c r="B882" s="1" t="s">
        <v>581</v>
      </c>
      <c r="C882" s="11">
        <v>1600000</v>
      </c>
      <c r="D882" t="s">
        <v>295</v>
      </c>
      <c r="E882" t="s">
        <v>1710</v>
      </c>
      <c r="F882" s="4">
        <v>36038</v>
      </c>
      <c r="G882" s="11">
        <v>1600000</v>
      </c>
      <c r="H882" s="11">
        <v>0</v>
      </c>
    </row>
    <row r="883" spans="1:8" x14ac:dyDescent="0.2">
      <c r="A883" t="s">
        <v>1948</v>
      </c>
      <c r="B883" s="1" t="s">
        <v>1949</v>
      </c>
      <c r="C883" s="11">
        <v>1100000</v>
      </c>
      <c r="D883" t="s">
        <v>295</v>
      </c>
      <c r="E883" t="s">
        <v>969</v>
      </c>
      <c r="F883" s="4">
        <v>36480</v>
      </c>
      <c r="G883" s="11">
        <v>1100000</v>
      </c>
      <c r="H883" s="11">
        <v>0</v>
      </c>
    </row>
    <row r="884" spans="1:8" x14ac:dyDescent="0.2">
      <c r="A884" t="s">
        <v>1961</v>
      </c>
      <c r="B884" s="1" t="s">
        <v>1962</v>
      </c>
      <c r="C884" s="11">
        <v>1000000</v>
      </c>
      <c r="D884" t="s">
        <v>295</v>
      </c>
      <c r="E884" t="s">
        <v>969</v>
      </c>
      <c r="F884" s="4">
        <v>36522</v>
      </c>
      <c r="G884" s="11">
        <v>1000000</v>
      </c>
      <c r="H884" s="11">
        <v>0</v>
      </c>
    </row>
    <row r="885" spans="1:8" x14ac:dyDescent="0.2">
      <c r="A885" t="s">
        <v>2033</v>
      </c>
      <c r="B885" s="1" t="s">
        <v>2034</v>
      </c>
      <c r="C885" s="11">
        <v>3000000</v>
      </c>
      <c r="D885" t="s">
        <v>295</v>
      </c>
      <c r="E885" t="s">
        <v>2107</v>
      </c>
      <c r="F885" s="4">
        <v>37034</v>
      </c>
      <c r="G885" s="11">
        <v>3000000</v>
      </c>
      <c r="H885" s="11">
        <v>0</v>
      </c>
    </row>
    <row r="886" spans="1:8" x14ac:dyDescent="0.2">
      <c r="A886" t="s">
        <v>829</v>
      </c>
      <c r="B886" s="1" t="s">
        <v>830</v>
      </c>
      <c r="C886" s="11">
        <v>500000</v>
      </c>
      <c r="D886" t="s">
        <v>295</v>
      </c>
      <c r="E886" t="s">
        <v>1710</v>
      </c>
      <c r="F886" s="4">
        <v>36370</v>
      </c>
      <c r="G886" s="11">
        <v>500000</v>
      </c>
      <c r="H886" s="11">
        <v>0</v>
      </c>
    </row>
    <row r="887" spans="1:8" x14ac:dyDescent="0.2">
      <c r="A887" t="s">
        <v>831</v>
      </c>
      <c r="B887" s="1" t="s">
        <v>832</v>
      </c>
      <c r="C887" s="11">
        <v>2000000</v>
      </c>
      <c r="D887" t="s">
        <v>295</v>
      </c>
      <c r="E887" t="s">
        <v>969</v>
      </c>
      <c r="F887" s="4">
        <v>36640</v>
      </c>
      <c r="G887" s="11">
        <v>2000000</v>
      </c>
      <c r="H887" s="11">
        <v>0</v>
      </c>
    </row>
    <row r="888" spans="1:8" x14ac:dyDescent="0.2">
      <c r="A888" t="s">
        <v>2171</v>
      </c>
      <c r="B888" s="1" t="s">
        <v>2172</v>
      </c>
      <c r="C888" s="11">
        <v>1691000</v>
      </c>
      <c r="D888" t="s">
        <v>295</v>
      </c>
      <c r="E888" t="s">
        <v>969</v>
      </c>
      <c r="F888" s="4">
        <v>37281</v>
      </c>
      <c r="G888" s="11">
        <v>1691000</v>
      </c>
      <c r="H888" s="11">
        <v>0</v>
      </c>
    </row>
    <row r="889" spans="1:8" x14ac:dyDescent="0.2">
      <c r="A889" t="s">
        <v>2173</v>
      </c>
      <c r="B889" s="1" t="s">
        <v>2174</v>
      </c>
      <c r="C889" s="11">
        <v>1500000</v>
      </c>
      <c r="D889" t="s">
        <v>295</v>
      </c>
      <c r="E889" t="s">
        <v>969</v>
      </c>
      <c r="F889" s="4">
        <v>37160</v>
      </c>
      <c r="G889" s="11">
        <v>1500000</v>
      </c>
      <c r="H889" s="11">
        <v>0</v>
      </c>
    </row>
    <row r="890" spans="1:8" x14ac:dyDescent="0.2">
      <c r="A890" t="s">
        <v>2205</v>
      </c>
      <c r="B890" s="1" t="s">
        <v>2206</v>
      </c>
      <c r="C890" s="11">
        <v>3200000</v>
      </c>
      <c r="D890" t="s">
        <v>295</v>
      </c>
      <c r="E890" t="s">
        <v>969</v>
      </c>
      <c r="F890" s="4">
        <v>37166</v>
      </c>
      <c r="G890" s="11">
        <v>3200000</v>
      </c>
      <c r="H890" s="11">
        <v>0</v>
      </c>
    </row>
    <row r="891" spans="1:8" x14ac:dyDescent="0.2">
      <c r="A891" t="s">
        <v>2215</v>
      </c>
      <c r="B891" s="1" t="s">
        <v>2216</v>
      </c>
      <c r="C891" s="11">
        <v>2000000</v>
      </c>
      <c r="D891" t="s">
        <v>295</v>
      </c>
      <c r="E891" t="s">
        <v>969</v>
      </c>
      <c r="F891" s="4">
        <v>37351</v>
      </c>
      <c r="G891" s="11">
        <v>2000000</v>
      </c>
      <c r="H891" s="11">
        <v>0</v>
      </c>
    </row>
    <row r="892" spans="1:8" x14ac:dyDescent="0.2">
      <c r="A892" t="s">
        <v>2254</v>
      </c>
      <c r="B892" s="1" t="s">
        <v>2255</v>
      </c>
      <c r="C892" s="11">
        <v>32000000</v>
      </c>
      <c r="D892" t="s">
        <v>295</v>
      </c>
      <c r="E892" t="s">
        <v>969</v>
      </c>
      <c r="F892" s="4">
        <v>37001</v>
      </c>
      <c r="G892" s="11">
        <v>32000000</v>
      </c>
      <c r="H892" s="11">
        <v>0</v>
      </c>
    </row>
    <row r="893" spans="1:8" x14ac:dyDescent="0.2">
      <c r="A893" t="s">
        <v>2256</v>
      </c>
      <c r="B893" s="1" t="s">
        <v>2263</v>
      </c>
      <c r="C893" s="11">
        <v>8000000</v>
      </c>
      <c r="D893" t="s">
        <v>295</v>
      </c>
      <c r="E893" t="s">
        <v>969</v>
      </c>
      <c r="F893" s="4">
        <v>37720</v>
      </c>
      <c r="G893" s="11">
        <v>8000000</v>
      </c>
      <c r="H893" s="11">
        <v>0</v>
      </c>
    </row>
    <row r="894" spans="1:8" x14ac:dyDescent="0.2">
      <c r="A894" t="s">
        <v>2264</v>
      </c>
      <c r="B894" s="1" t="s">
        <v>2265</v>
      </c>
      <c r="C894" s="11">
        <v>4000000</v>
      </c>
      <c r="D894" t="s">
        <v>295</v>
      </c>
      <c r="E894" t="s">
        <v>2107</v>
      </c>
      <c r="F894" s="4">
        <v>38468</v>
      </c>
      <c r="G894" s="11">
        <v>4000000</v>
      </c>
      <c r="H894" s="11">
        <v>0</v>
      </c>
    </row>
    <row r="895" spans="1:8" x14ac:dyDescent="0.2">
      <c r="A895" t="s">
        <v>1627</v>
      </c>
      <c r="B895" s="1" t="s">
        <v>1628</v>
      </c>
      <c r="C895" s="11">
        <v>6500000</v>
      </c>
      <c r="D895" t="s">
        <v>295</v>
      </c>
      <c r="E895" t="s">
        <v>2107</v>
      </c>
      <c r="F895" s="4">
        <v>38985</v>
      </c>
      <c r="G895" s="11">
        <v>6500000</v>
      </c>
      <c r="H895" s="11">
        <v>0</v>
      </c>
    </row>
    <row r="896" spans="1:8" x14ac:dyDescent="0.2">
      <c r="A896" t="s">
        <v>795</v>
      </c>
      <c r="B896" s="1" t="s">
        <v>796</v>
      </c>
      <c r="C896" s="11">
        <v>3000000</v>
      </c>
      <c r="D896" t="s">
        <v>295</v>
      </c>
      <c r="E896" t="s">
        <v>885</v>
      </c>
      <c r="F896" s="4">
        <v>39504</v>
      </c>
      <c r="G896" s="11">
        <v>3000000</v>
      </c>
      <c r="H896" s="11">
        <v>0</v>
      </c>
    </row>
    <row r="897" spans="1:8" x14ac:dyDescent="0.2">
      <c r="A897" t="s">
        <v>2964</v>
      </c>
      <c r="B897" s="1" t="s">
        <v>2965</v>
      </c>
      <c r="C897" s="11">
        <v>3000000</v>
      </c>
      <c r="D897" t="s">
        <v>295</v>
      </c>
      <c r="E897" t="s">
        <v>885</v>
      </c>
      <c r="F897" s="4">
        <v>40374</v>
      </c>
      <c r="G897" s="11">
        <v>3000000</v>
      </c>
      <c r="H897" s="11">
        <v>0</v>
      </c>
    </row>
    <row r="898" spans="1:8" x14ac:dyDescent="0.2">
      <c r="A898" t="s">
        <v>3105</v>
      </c>
      <c r="B898" s="1" t="s">
        <v>3106</v>
      </c>
      <c r="C898" s="11">
        <v>7000000</v>
      </c>
      <c r="D898" t="s">
        <v>295</v>
      </c>
      <c r="E898" t="s">
        <v>885</v>
      </c>
      <c r="F898" s="4">
        <v>40420</v>
      </c>
      <c r="G898" s="11">
        <v>0</v>
      </c>
      <c r="H898" s="11">
        <v>7000000</v>
      </c>
    </row>
    <row r="899" spans="1:8" x14ac:dyDescent="0.2">
      <c r="A899" t="s">
        <v>2273</v>
      </c>
      <c r="B899" s="1" t="s">
        <v>2274</v>
      </c>
      <c r="C899" s="11">
        <v>1500000</v>
      </c>
      <c r="D899" t="s">
        <v>295</v>
      </c>
      <c r="E899" t="s">
        <v>516</v>
      </c>
      <c r="F899" s="4">
        <v>37581</v>
      </c>
      <c r="G899" s="11">
        <v>1500000</v>
      </c>
      <c r="H899" s="11">
        <v>0</v>
      </c>
    </row>
    <row r="900" spans="1:8" x14ac:dyDescent="0.2">
      <c r="A900" t="s">
        <v>2279</v>
      </c>
      <c r="B900" s="1" t="s">
        <v>2280</v>
      </c>
      <c r="C900" s="11">
        <v>1000000</v>
      </c>
      <c r="D900" t="s">
        <v>295</v>
      </c>
      <c r="E900" t="s">
        <v>969</v>
      </c>
      <c r="F900" s="4">
        <v>37160</v>
      </c>
      <c r="G900" s="11">
        <v>1000000</v>
      </c>
      <c r="H900" s="11">
        <v>0</v>
      </c>
    </row>
    <row r="901" spans="1:8" x14ac:dyDescent="0.2">
      <c r="A901" t="s">
        <v>2291</v>
      </c>
      <c r="B901" s="1" t="s">
        <v>2292</v>
      </c>
      <c r="C901" s="11">
        <v>2000000</v>
      </c>
      <c r="D901" t="s">
        <v>295</v>
      </c>
      <c r="E901" t="s">
        <v>516</v>
      </c>
      <c r="F901" s="4">
        <v>37581</v>
      </c>
      <c r="G901" s="11">
        <v>2000000.0000000002</v>
      </c>
      <c r="H901" s="11">
        <v>0</v>
      </c>
    </row>
    <row r="902" spans="1:8" x14ac:dyDescent="0.2">
      <c r="A902" t="s">
        <v>2349</v>
      </c>
      <c r="B902" s="1" t="s">
        <v>2350</v>
      </c>
      <c r="C902" s="11">
        <v>1000000</v>
      </c>
      <c r="D902" t="s">
        <v>295</v>
      </c>
      <c r="E902" t="s">
        <v>516</v>
      </c>
      <c r="F902" s="4">
        <v>37769</v>
      </c>
      <c r="G902" s="11">
        <v>1000000</v>
      </c>
      <c r="H902" s="11">
        <v>0</v>
      </c>
    </row>
    <row r="903" spans="1:8" x14ac:dyDescent="0.2">
      <c r="A903" t="s">
        <v>449</v>
      </c>
      <c r="B903" s="1" t="s">
        <v>221</v>
      </c>
      <c r="C903" s="11">
        <v>2000000</v>
      </c>
      <c r="D903" t="s">
        <v>295</v>
      </c>
      <c r="E903" t="s">
        <v>516</v>
      </c>
      <c r="F903" s="4">
        <v>38098</v>
      </c>
      <c r="G903" s="11">
        <v>2000000</v>
      </c>
      <c r="H903" s="11">
        <v>0</v>
      </c>
    </row>
    <row r="904" spans="1:8" x14ac:dyDescent="0.2">
      <c r="A904" t="s">
        <v>2650</v>
      </c>
      <c r="B904" s="1" t="s">
        <v>2651</v>
      </c>
      <c r="C904" s="11">
        <v>0</v>
      </c>
      <c r="D904" t="s">
        <v>295</v>
      </c>
      <c r="E904" t="s">
        <v>516</v>
      </c>
      <c r="F904" s="4">
        <v>37637</v>
      </c>
      <c r="G904" s="11">
        <v>0</v>
      </c>
      <c r="H904" s="11">
        <v>0</v>
      </c>
    </row>
    <row r="905" spans="1:8" x14ac:dyDescent="0.2">
      <c r="A905" t="s">
        <v>1509</v>
      </c>
      <c r="B905" s="1" t="s">
        <v>1510</v>
      </c>
      <c r="C905" s="11">
        <v>3000000</v>
      </c>
      <c r="D905" t="s">
        <v>295</v>
      </c>
      <c r="E905" t="s">
        <v>516</v>
      </c>
      <c r="F905" s="4">
        <v>38524</v>
      </c>
      <c r="G905" s="11">
        <v>3000000</v>
      </c>
      <c r="H905" s="11">
        <v>0</v>
      </c>
    </row>
    <row r="906" spans="1:8" x14ac:dyDescent="0.2">
      <c r="A906" t="s">
        <v>1855</v>
      </c>
      <c r="B906" s="1" t="s">
        <v>1511</v>
      </c>
      <c r="C906" s="11">
        <v>250000</v>
      </c>
      <c r="D906" t="s">
        <v>295</v>
      </c>
      <c r="E906" t="s">
        <v>516</v>
      </c>
      <c r="F906" s="4">
        <v>38841</v>
      </c>
      <c r="G906" s="11">
        <v>250000</v>
      </c>
      <c r="H906" s="11">
        <v>0</v>
      </c>
    </row>
    <row r="907" spans="1:8" x14ac:dyDescent="0.2">
      <c r="A907" t="s">
        <v>1856</v>
      </c>
      <c r="B907" s="1" t="s">
        <v>1511</v>
      </c>
      <c r="C907" s="11">
        <v>250000</v>
      </c>
      <c r="D907" t="s">
        <v>295</v>
      </c>
      <c r="E907" t="s">
        <v>516</v>
      </c>
      <c r="F907" s="4">
        <v>38841</v>
      </c>
      <c r="G907" s="11">
        <v>250000</v>
      </c>
      <c r="H907" s="11">
        <v>0</v>
      </c>
    </row>
    <row r="908" spans="1:8" x14ac:dyDescent="0.2">
      <c r="A908" t="s">
        <v>1900</v>
      </c>
      <c r="B908" s="1" t="s">
        <v>1664</v>
      </c>
      <c r="C908" s="11">
        <v>250000</v>
      </c>
      <c r="D908" t="s">
        <v>295</v>
      </c>
      <c r="E908" t="s">
        <v>516</v>
      </c>
      <c r="F908" s="4">
        <v>38985</v>
      </c>
      <c r="G908" s="11">
        <v>250000</v>
      </c>
      <c r="H908" s="11">
        <v>0</v>
      </c>
    </row>
    <row r="909" spans="1:8" x14ac:dyDescent="0.2">
      <c r="A909" t="s">
        <v>1912</v>
      </c>
      <c r="B909" s="1" t="s">
        <v>1283</v>
      </c>
      <c r="C909" s="11">
        <v>2500000</v>
      </c>
      <c r="D909" t="s">
        <v>295</v>
      </c>
      <c r="E909" t="s">
        <v>516</v>
      </c>
      <c r="F909" s="4">
        <v>39062</v>
      </c>
      <c r="G909" s="11">
        <v>2100413</v>
      </c>
      <c r="H909" s="11">
        <v>399587</v>
      </c>
    </row>
    <row r="910" spans="1:8" x14ac:dyDescent="0.2">
      <c r="A910" t="s">
        <v>1364</v>
      </c>
      <c r="B910" s="1" t="s">
        <v>664</v>
      </c>
      <c r="C910" s="11">
        <v>4000000</v>
      </c>
      <c r="D910" t="s">
        <v>295</v>
      </c>
      <c r="E910" t="s">
        <v>885</v>
      </c>
      <c r="F910" s="4">
        <v>38985</v>
      </c>
      <c r="G910" s="11">
        <v>4000000</v>
      </c>
      <c r="H910" s="11">
        <v>0</v>
      </c>
    </row>
    <row r="911" spans="1:8" x14ac:dyDescent="0.2">
      <c r="A911" t="s">
        <v>1388</v>
      </c>
      <c r="B911" s="1" t="s">
        <v>665</v>
      </c>
      <c r="C911" s="11">
        <v>1500000</v>
      </c>
      <c r="D911" t="s">
        <v>295</v>
      </c>
      <c r="E911" t="s">
        <v>444</v>
      </c>
      <c r="F911" s="4">
        <v>38985</v>
      </c>
      <c r="G911" s="11">
        <v>1500000</v>
      </c>
      <c r="H911" s="11">
        <v>0</v>
      </c>
    </row>
    <row r="912" spans="1:8" x14ac:dyDescent="0.2">
      <c r="A912" t="s">
        <v>1389</v>
      </c>
      <c r="B912" s="1" t="s">
        <v>666</v>
      </c>
      <c r="C912" s="11">
        <v>500000</v>
      </c>
      <c r="D912" t="s">
        <v>295</v>
      </c>
      <c r="E912" t="s">
        <v>444</v>
      </c>
      <c r="F912" s="4">
        <v>38985</v>
      </c>
      <c r="G912" s="11">
        <v>500000</v>
      </c>
      <c r="H912" s="11">
        <v>0</v>
      </c>
    </row>
    <row r="913" spans="1:8" x14ac:dyDescent="0.2">
      <c r="A913" t="s">
        <v>915</v>
      </c>
      <c r="B913" s="1" t="s">
        <v>916</v>
      </c>
      <c r="C913" s="11">
        <v>1500000</v>
      </c>
      <c r="D913" t="s">
        <v>295</v>
      </c>
      <c r="E913" t="s">
        <v>444</v>
      </c>
      <c r="F913" s="4">
        <v>39688</v>
      </c>
      <c r="G913" s="11">
        <v>1500000</v>
      </c>
      <c r="H913" s="11">
        <v>0</v>
      </c>
    </row>
    <row r="914" spans="1:8" x14ac:dyDescent="0.2">
      <c r="A914" t="s">
        <v>1449</v>
      </c>
      <c r="B914" s="1" t="s">
        <v>1512</v>
      </c>
      <c r="C914" s="11">
        <v>750000</v>
      </c>
      <c r="D914" t="s">
        <v>295</v>
      </c>
      <c r="E914" t="s">
        <v>516</v>
      </c>
      <c r="F914" s="4">
        <v>38852</v>
      </c>
      <c r="G914" s="11">
        <v>0</v>
      </c>
      <c r="H914" s="11">
        <v>750000</v>
      </c>
    </row>
    <row r="915" spans="1:8" x14ac:dyDescent="0.2">
      <c r="A915" t="s">
        <v>2145</v>
      </c>
      <c r="B915" s="1" t="s">
        <v>1144</v>
      </c>
      <c r="C915" s="11">
        <v>3800000</v>
      </c>
      <c r="D915" t="s">
        <v>295</v>
      </c>
      <c r="E915" t="s">
        <v>516</v>
      </c>
      <c r="F915" s="4">
        <v>39688</v>
      </c>
      <c r="G915" s="11">
        <v>831595</v>
      </c>
      <c r="H915" s="11">
        <v>2968405</v>
      </c>
    </row>
    <row r="916" spans="1:8" x14ac:dyDescent="0.2">
      <c r="A916" t="s">
        <v>2724</v>
      </c>
      <c r="B916" s="1" t="s">
        <v>2109</v>
      </c>
      <c r="C916" s="11">
        <v>500000</v>
      </c>
      <c r="D916" t="s">
        <v>295</v>
      </c>
      <c r="E916" t="s">
        <v>888</v>
      </c>
      <c r="F916" s="4">
        <v>39930</v>
      </c>
      <c r="G916" s="11">
        <v>500000</v>
      </c>
      <c r="H916" s="11">
        <v>0</v>
      </c>
    </row>
    <row r="917" spans="1:8" x14ac:dyDescent="0.2">
      <c r="A917" t="s">
        <v>2873</v>
      </c>
      <c r="B917" s="1" t="s">
        <v>1054</v>
      </c>
      <c r="C917" s="11">
        <v>3000000</v>
      </c>
      <c r="D917" t="s">
        <v>295</v>
      </c>
      <c r="E917" t="s">
        <v>888</v>
      </c>
      <c r="F917" s="4">
        <v>40025</v>
      </c>
      <c r="G917" s="11">
        <v>2912500</v>
      </c>
      <c r="H917" s="11">
        <v>87500</v>
      </c>
    </row>
    <row r="918" spans="1:8" x14ac:dyDescent="0.2">
      <c r="A918" t="s">
        <v>3107</v>
      </c>
      <c r="B918" s="1" t="s">
        <v>626</v>
      </c>
      <c r="C918" s="11">
        <v>1500000</v>
      </c>
      <c r="D918" t="s">
        <v>295</v>
      </c>
      <c r="E918" t="s">
        <v>888</v>
      </c>
      <c r="F918" s="4">
        <v>39856</v>
      </c>
      <c r="G918" s="11">
        <v>1350000</v>
      </c>
      <c r="H918" s="11">
        <v>150000</v>
      </c>
    </row>
    <row r="919" spans="1:8" x14ac:dyDescent="0.2">
      <c r="A919" t="s">
        <v>3108</v>
      </c>
      <c r="B919" s="1" t="s">
        <v>3109</v>
      </c>
      <c r="C919" s="11">
        <v>2000000</v>
      </c>
      <c r="D919" t="s">
        <v>295</v>
      </c>
      <c r="E919" t="s">
        <v>3008</v>
      </c>
      <c r="F919" s="4">
        <v>40401</v>
      </c>
      <c r="G919" s="11">
        <v>0</v>
      </c>
      <c r="H919" s="11">
        <v>2000000</v>
      </c>
    </row>
    <row r="920" spans="1:8" x14ac:dyDescent="0.2">
      <c r="A920" t="s">
        <v>3757</v>
      </c>
      <c r="B920" s="1" t="s">
        <v>3111</v>
      </c>
      <c r="C920" s="11">
        <v>3500000</v>
      </c>
      <c r="D920" t="s">
        <v>295</v>
      </c>
      <c r="E920" t="s">
        <v>3031</v>
      </c>
      <c r="F920" s="4">
        <v>40487</v>
      </c>
      <c r="G920" s="11">
        <v>3099293</v>
      </c>
      <c r="H920" s="11">
        <v>400707</v>
      </c>
    </row>
    <row r="921" spans="1:8" x14ac:dyDescent="0.2">
      <c r="A921" t="s">
        <v>2725</v>
      </c>
      <c r="B921" s="1" t="s">
        <v>640</v>
      </c>
      <c r="C921" s="11">
        <v>0</v>
      </c>
      <c r="D921" t="s">
        <v>295</v>
      </c>
      <c r="E921" t="s">
        <v>885</v>
      </c>
      <c r="F921" s="4">
        <v>38946</v>
      </c>
      <c r="G921" s="11">
        <v>0</v>
      </c>
      <c r="H921" s="11">
        <v>0</v>
      </c>
    </row>
    <row r="922" spans="1:8" x14ac:dyDescent="0.2">
      <c r="A922" t="s">
        <v>2874</v>
      </c>
      <c r="B922" s="1" t="s">
        <v>2875</v>
      </c>
      <c r="C922" s="11">
        <v>1000000</v>
      </c>
      <c r="D922" t="s">
        <v>295</v>
      </c>
      <c r="E922" t="s">
        <v>885</v>
      </c>
      <c r="F922" s="4">
        <v>40346</v>
      </c>
      <c r="G922" s="11">
        <v>0</v>
      </c>
      <c r="H922" s="11">
        <v>1000000</v>
      </c>
    </row>
    <row r="923" spans="1:8" x14ac:dyDescent="0.2">
      <c r="A923" t="s">
        <v>3470</v>
      </c>
      <c r="B923" s="1" t="s">
        <v>3471</v>
      </c>
      <c r="C923" s="11">
        <v>1000000</v>
      </c>
      <c r="D923" t="s">
        <v>295</v>
      </c>
      <c r="E923" t="s">
        <v>3031</v>
      </c>
      <c r="F923" s="4">
        <v>40500</v>
      </c>
      <c r="G923" s="11">
        <v>0</v>
      </c>
      <c r="H923" s="11">
        <v>1000000</v>
      </c>
    </row>
    <row r="924" spans="1:8" x14ac:dyDescent="0.2">
      <c r="A924" t="s">
        <v>4540</v>
      </c>
      <c r="B924" s="1" t="s">
        <v>4541</v>
      </c>
      <c r="C924" s="11">
        <v>5000000</v>
      </c>
      <c r="D924" t="s">
        <v>295</v>
      </c>
      <c r="E924" t="s">
        <v>3031</v>
      </c>
      <c r="F924" s="4">
        <v>41316</v>
      </c>
      <c r="G924" s="11">
        <v>0</v>
      </c>
      <c r="H924" s="11">
        <v>5000000</v>
      </c>
    </row>
    <row r="925" spans="1:8" x14ac:dyDescent="0.2">
      <c r="A925" t="s">
        <v>4187</v>
      </c>
      <c r="B925" s="1" t="s">
        <v>165</v>
      </c>
      <c r="C925" s="11">
        <v>0</v>
      </c>
      <c r="D925" t="s">
        <v>295</v>
      </c>
      <c r="E925" t="s">
        <v>516</v>
      </c>
      <c r="F925" s="4">
        <v>38212</v>
      </c>
      <c r="G925" s="11">
        <v>0</v>
      </c>
      <c r="H925" s="11">
        <v>0</v>
      </c>
    </row>
    <row r="926" spans="1:8" x14ac:dyDescent="0.2">
      <c r="A926" t="s">
        <v>4367</v>
      </c>
      <c r="B926" s="1" t="s">
        <v>3110</v>
      </c>
      <c r="C926" s="11">
        <v>0</v>
      </c>
      <c r="D926" t="s">
        <v>295</v>
      </c>
      <c r="E926" t="s">
        <v>888</v>
      </c>
      <c r="F926" s="4">
        <v>40420</v>
      </c>
      <c r="G926" s="11">
        <v>0</v>
      </c>
      <c r="H926" s="11">
        <v>0</v>
      </c>
    </row>
    <row r="927" spans="1:8" x14ac:dyDescent="0.2">
      <c r="A927" t="s">
        <v>1699</v>
      </c>
      <c r="B927" s="1" t="s">
        <v>1700</v>
      </c>
      <c r="C927" s="11">
        <v>969300</v>
      </c>
      <c r="D927" t="s">
        <v>1701</v>
      </c>
      <c r="E927" t="s">
        <v>290</v>
      </c>
      <c r="F927" s="4">
        <v>34151</v>
      </c>
      <c r="G927" s="11">
        <v>969299.99999999988</v>
      </c>
      <c r="H927" s="11">
        <v>0</v>
      </c>
    </row>
    <row r="928" spans="1:8" x14ac:dyDescent="0.2">
      <c r="A928" t="s">
        <v>1748</v>
      </c>
      <c r="B928" s="1" t="s">
        <v>1749</v>
      </c>
      <c r="C928" s="11">
        <v>900000</v>
      </c>
      <c r="D928" t="s">
        <v>1701</v>
      </c>
      <c r="E928" t="s">
        <v>313</v>
      </c>
      <c r="F928" s="4">
        <v>34151</v>
      </c>
      <c r="G928" s="11">
        <v>900000</v>
      </c>
      <c r="H928" s="11">
        <v>0</v>
      </c>
    </row>
    <row r="929" spans="1:8" x14ac:dyDescent="0.2">
      <c r="A929" t="s">
        <v>504</v>
      </c>
      <c r="B929" s="1" t="s">
        <v>505</v>
      </c>
      <c r="C929" s="11">
        <v>2000000</v>
      </c>
      <c r="D929" t="s">
        <v>1701</v>
      </c>
      <c r="E929" t="s">
        <v>1710</v>
      </c>
      <c r="F929" s="4">
        <v>35958</v>
      </c>
      <c r="G929" s="11">
        <v>2000000</v>
      </c>
      <c r="H929" s="11">
        <v>0</v>
      </c>
    </row>
    <row r="930" spans="1:8" x14ac:dyDescent="0.2">
      <c r="A930" t="s">
        <v>1985</v>
      </c>
      <c r="B930" s="1" t="s">
        <v>1986</v>
      </c>
      <c r="C930" s="11">
        <v>3500000</v>
      </c>
      <c r="D930" t="s">
        <v>1701</v>
      </c>
      <c r="E930" t="s">
        <v>969</v>
      </c>
      <c r="F930" s="4">
        <v>36608</v>
      </c>
      <c r="G930" s="11">
        <v>3500000</v>
      </c>
      <c r="H930" s="11">
        <v>0</v>
      </c>
    </row>
    <row r="931" spans="1:8" x14ac:dyDescent="0.2">
      <c r="A931" t="s">
        <v>691</v>
      </c>
      <c r="B931" s="1" t="s">
        <v>692</v>
      </c>
      <c r="C931" s="11">
        <v>4500000</v>
      </c>
      <c r="D931" t="s">
        <v>1701</v>
      </c>
      <c r="E931" t="s">
        <v>1710</v>
      </c>
      <c r="F931" s="4">
        <v>36986</v>
      </c>
      <c r="G931" s="11">
        <v>4500000</v>
      </c>
      <c r="H931" s="11">
        <v>0</v>
      </c>
    </row>
    <row r="932" spans="1:8" x14ac:dyDescent="0.2">
      <c r="A932" t="s">
        <v>2478</v>
      </c>
      <c r="B932" s="1" t="s">
        <v>2479</v>
      </c>
      <c r="C932" s="11">
        <v>1650000</v>
      </c>
      <c r="D932" t="s">
        <v>1701</v>
      </c>
      <c r="E932" t="s">
        <v>516</v>
      </c>
      <c r="F932" s="4">
        <v>38096</v>
      </c>
      <c r="G932" s="11">
        <v>1650000</v>
      </c>
      <c r="H932" s="11">
        <v>0</v>
      </c>
    </row>
    <row r="933" spans="1:8" x14ac:dyDescent="0.2">
      <c r="A933" t="s">
        <v>1326</v>
      </c>
      <c r="B933" s="1" t="s">
        <v>210</v>
      </c>
      <c r="C933" s="11">
        <v>1500000</v>
      </c>
      <c r="D933" t="s">
        <v>1701</v>
      </c>
      <c r="E933" t="s">
        <v>516</v>
      </c>
      <c r="F933" s="4">
        <v>38096</v>
      </c>
      <c r="G933" s="11">
        <v>1500000</v>
      </c>
      <c r="H933" s="11">
        <v>0</v>
      </c>
    </row>
    <row r="934" spans="1:8" x14ac:dyDescent="0.2">
      <c r="A934" t="s">
        <v>2689</v>
      </c>
      <c r="B934" s="1" t="s">
        <v>2690</v>
      </c>
      <c r="C934" s="11">
        <v>2000000</v>
      </c>
      <c r="D934" t="s">
        <v>1701</v>
      </c>
      <c r="E934" t="s">
        <v>516</v>
      </c>
      <c r="F934" s="4">
        <v>38215</v>
      </c>
      <c r="G934" s="11">
        <v>1979446</v>
      </c>
      <c r="H934" s="11">
        <v>20554</v>
      </c>
    </row>
    <row r="935" spans="1:8" x14ac:dyDescent="0.2">
      <c r="A935" t="s">
        <v>3758</v>
      </c>
      <c r="B935" s="1" t="s">
        <v>3472</v>
      </c>
      <c r="C935" s="11">
        <v>2000000</v>
      </c>
      <c r="D935" t="s">
        <v>1701</v>
      </c>
      <c r="E935" t="s">
        <v>516</v>
      </c>
      <c r="F935" s="4">
        <v>40497</v>
      </c>
      <c r="G935" s="11">
        <v>0</v>
      </c>
      <c r="H935" s="11">
        <v>2000000</v>
      </c>
    </row>
    <row r="936" spans="1:8" x14ac:dyDescent="0.2">
      <c r="A936" t="s">
        <v>23</v>
      </c>
      <c r="B936" s="1" t="s">
        <v>1327</v>
      </c>
      <c r="C936" s="11">
        <v>1500000</v>
      </c>
      <c r="D936" t="s">
        <v>1701</v>
      </c>
      <c r="E936" t="s">
        <v>885</v>
      </c>
      <c r="F936" s="4">
        <v>38215</v>
      </c>
      <c r="G936" s="11">
        <v>1500000</v>
      </c>
      <c r="H936" s="11">
        <v>0</v>
      </c>
    </row>
    <row r="937" spans="1:8" x14ac:dyDescent="0.2">
      <c r="A937" t="s">
        <v>1493</v>
      </c>
      <c r="B937" s="1" t="s">
        <v>659</v>
      </c>
      <c r="C937" s="11">
        <v>450000</v>
      </c>
      <c r="D937" t="s">
        <v>1701</v>
      </c>
      <c r="E937" t="s">
        <v>444</v>
      </c>
      <c r="F937" s="4">
        <v>38986</v>
      </c>
      <c r="G937" s="11">
        <v>399598</v>
      </c>
      <c r="H937" s="11">
        <v>50402</v>
      </c>
    </row>
    <row r="938" spans="1:8" x14ac:dyDescent="0.2">
      <c r="A938" t="s">
        <v>2146</v>
      </c>
      <c r="B938" s="1" t="s">
        <v>1208</v>
      </c>
      <c r="C938" s="11">
        <v>1000000</v>
      </c>
      <c r="D938" t="s">
        <v>1701</v>
      </c>
      <c r="E938" t="s">
        <v>444</v>
      </c>
      <c r="F938" s="4">
        <v>39751</v>
      </c>
      <c r="G938" s="11">
        <v>760880</v>
      </c>
      <c r="H938" s="11">
        <v>239120</v>
      </c>
    </row>
    <row r="939" spans="1:8" x14ac:dyDescent="0.2">
      <c r="A939" t="s">
        <v>99</v>
      </c>
      <c r="B939" s="1" t="s">
        <v>1196</v>
      </c>
      <c r="C939" s="11">
        <v>1000000</v>
      </c>
      <c r="D939" t="s">
        <v>1701</v>
      </c>
      <c r="E939" t="s">
        <v>888</v>
      </c>
      <c r="F939" s="4">
        <v>39736</v>
      </c>
      <c r="G939" s="11">
        <v>711348</v>
      </c>
      <c r="H939" s="11">
        <v>288652</v>
      </c>
    </row>
    <row r="940" spans="1:8" x14ac:dyDescent="0.2">
      <c r="A940" t="s">
        <v>3759</v>
      </c>
      <c r="B940" s="1" t="s">
        <v>3473</v>
      </c>
      <c r="C940" s="11">
        <v>1000000</v>
      </c>
      <c r="D940" t="s">
        <v>1701</v>
      </c>
      <c r="E940" t="s">
        <v>3031</v>
      </c>
      <c r="F940" s="4">
        <v>40504</v>
      </c>
      <c r="G940" s="11">
        <v>0</v>
      </c>
      <c r="H940" s="11">
        <v>1000000</v>
      </c>
    </row>
    <row r="941" spans="1:8" x14ac:dyDescent="0.2">
      <c r="A941" t="s">
        <v>3112</v>
      </c>
      <c r="B941" s="1" t="s">
        <v>100</v>
      </c>
      <c r="C941" s="11">
        <v>1000000</v>
      </c>
      <c r="D941" t="s">
        <v>1701</v>
      </c>
      <c r="E941" t="s">
        <v>888</v>
      </c>
      <c r="F941" s="4">
        <v>40217</v>
      </c>
      <c r="G941" s="11">
        <v>1000000</v>
      </c>
      <c r="H941" s="11">
        <v>0</v>
      </c>
    </row>
    <row r="942" spans="1:8" x14ac:dyDescent="0.2">
      <c r="A942" t="s">
        <v>4275</v>
      </c>
      <c r="B942" s="1" t="s">
        <v>3113</v>
      </c>
      <c r="C942" s="11">
        <v>750000</v>
      </c>
      <c r="D942" t="s">
        <v>1701</v>
      </c>
      <c r="E942" t="s">
        <v>888</v>
      </c>
      <c r="F942" s="4">
        <v>40472</v>
      </c>
      <c r="G942" s="11">
        <v>0</v>
      </c>
      <c r="H942" s="11">
        <v>750000</v>
      </c>
    </row>
    <row r="943" spans="1:8" x14ac:dyDescent="0.2">
      <c r="A943" t="s">
        <v>4542</v>
      </c>
      <c r="B943" s="1" t="s">
        <v>4543</v>
      </c>
      <c r="C943" s="11">
        <v>1000000</v>
      </c>
      <c r="D943" t="s">
        <v>1701</v>
      </c>
      <c r="E943" t="s">
        <v>3031</v>
      </c>
      <c r="F943" s="4">
        <v>41316</v>
      </c>
      <c r="G943" s="11">
        <v>0</v>
      </c>
      <c r="H943" s="11">
        <v>1000000</v>
      </c>
    </row>
    <row r="944" spans="1:8" x14ac:dyDescent="0.2">
      <c r="A944" t="s">
        <v>4368</v>
      </c>
      <c r="B944" s="1" t="s">
        <v>3474</v>
      </c>
      <c r="C944" s="11">
        <v>0</v>
      </c>
      <c r="D944" t="s">
        <v>1701</v>
      </c>
      <c r="E944" t="s">
        <v>3031</v>
      </c>
      <c r="F944" s="4">
        <v>40504</v>
      </c>
      <c r="G944" s="11">
        <v>0</v>
      </c>
      <c r="H944" s="11">
        <v>0</v>
      </c>
    </row>
    <row r="945" spans="1:8" x14ac:dyDescent="0.2">
      <c r="A945" t="s">
        <v>2672</v>
      </c>
      <c r="B945" s="1" t="s">
        <v>2673</v>
      </c>
      <c r="C945" s="11">
        <v>0</v>
      </c>
      <c r="D945" t="s">
        <v>2674</v>
      </c>
      <c r="E945" t="s">
        <v>516</v>
      </c>
      <c r="F945" s="4">
        <v>37769</v>
      </c>
      <c r="G945" s="11">
        <v>0</v>
      </c>
      <c r="H945" s="11">
        <v>0</v>
      </c>
    </row>
    <row r="946" spans="1:8" x14ac:dyDescent="0.2">
      <c r="A946" t="s">
        <v>1513</v>
      </c>
      <c r="B946" s="1" t="s">
        <v>1514</v>
      </c>
      <c r="C946" s="11">
        <v>0</v>
      </c>
      <c r="D946" t="s">
        <v>2674</v>
      </c>
      <c r="E946" t="s">
        <v>516</v>
      </c>
      <c r="F946" s="4">
        <v>38849</v>
      </c>
      <c r="G946" s="11">
        <v>0</v>
      </c>
      <c r="H946" s="11">
        <v>0</v>
      </c>
    </row>
    <row r="947" spans="1:8" x14ac:dyDescent="0.2">
      <c r="A947" t="s">
        <v>4188</v>
      </c>
      <c r="B947" s="1" t="s">
        <v>3475</v>
      </c>
      <c r="C947" s="11">
        <v>500000</v>
      </c>
      <c r="D947" t="s">
        <v>3476</v>
      </c>
      <c r="E947" t="s">
        <v>3031</v>
      </c>
      <c r="F947" s="4">
        <v>40499</v>
      </c>
      <c r="G947" s="11">
        <v>56665</v>
      </c>
      <c r="H947" s="11">
        <v>443335</v>
      </c>
    </row>
    <row r="948" spans="1:8" x14ac:dyDescent="0.2">
      <c r="A948" t="s">
        <v>4189</v>
      </c>
      <c r="B948" s="1" t="s">
        <v>3477</v>
      </c>
      <c r="C948" s="11">
        <v>500000</v>
      </c>
      <c r="D948" t="s">
        <v>3476</v>
      </c>
      <c r="E948" t="s">
        <v>3031</v>
      </c>
      <c r="F948" s="4">
        <v>40499</v>
      </c>
      <c r="G948" s="11">
        <v>0</v>
      </c>
      <c r="H948" s="11">
        <v>500000</v>
      </c>
    </row>
    <row r="949" spans="1:8" x14ac:dyDescent="0.2">
      <c r="A949" t="s">
        <v>4151</v>
      </c>
      <c r="B949" s="1" t="s">
        <v>3760</v>
      </c>
      <c r="C949" s="11">
        <v>1500000</v>
      </c>
      <c r="D949" t="s">
        <v>3476</v>
      </c>
      <c r="E949" t="s">
        <v>3031</v>
      </c>
      <c r="F949" s="4">
        <v>40519</v>
      </c>
      <c r="G949" s="11">
        <v>0</v>
      </c>
      <c r="H949" s="11">
        <v>1500000</v>
      </c>
    </row>
    <row r="950" spans="1:8" x14ac:dyDescent="0.2">
      <c r="A950" t="s">
        <v>4051</v>
      </c>
      <c r="B950" s="1" t="s">
        <v>4052</v>
      </c>
      <c r="C950" s="11">
        <v>2000000</v>
      </c>
      <c r="D950" t="s">
        <v>3476</v>
      </c>
      <c r="E950" t="s">
        <v>3008</v>
      </c>
      <c r="F950" s="4">
        <v>40557</v>
      </c>
      <c r="G950" s="11">
        <v>0</v>
      </c>
      <c r="H950" s="11">
        <v>2000000</v>
      </c>
    </row>
    <row r="951" spans="1:8" x14ac:dyDescent="0.2">
      <c r="A951" t="s">
        <v>4544</v>
      </c>
      <c r="B951" s="1" t="s">
        <v>4545</v>
      </c>
      <c r="C951" s="11">
        <v>500000</v>
      </c>
      <c r="D951" t="s">
        <v>3476</v>
      </c>
      <c r="E951" t="s">
        <v>3031</v>
      </c>
      <c r="F951" s="4">
        <v>41316</v>
      </c>
      <c r="G951" s="11">
        <v>0</v>
      </c>
      <c r="H951" s="11">
        <v>500000</v>
      </c>
    </row>
    <row r="952" spans="1:8" x14ac:dyDescent="0.2">
      <c r="A952" t="s">
        <v>2535</v>
      </c>
      <c r="B952" s="1" t="s">
        <v>2591</v>
      </c>
      <c r="C952" s="11">
        <v>3000000</v>
      </c>
      <c r="D952" t="s">
        <v>2592</v>
      </c>
      <c r="E952" t="s">
        <v>516</v>
      </c>
      <c r="F952" s="4">
        <v>38261</v>
      </c>
      <c r="G952" s="11">
        <v>3000000</v>
      </c>
      <c r="H952" s="11">
        <v>0</v>
      </c>
    </row>
    <row r="953" spans="1:8" x14ac:dyDescent="0.2">
      <c r="A953" t="s">
        <v>1806</v>
      </c>
      <c r="B953" s="1" t="s">
        <v>1807</v>
      </c>
      <c r="C953" s="11">
        <v>500000</v>
      </c>
      <c r="D953" t="s">
        <v>1808</v>
      </c>
      <c r="E953" t="s">
        <v>1710</v>
      </c>
      <c r="F953" s="4">
        <v>35958</v>
      </c>
      <c r="G953" s="11">
        <v>500000</v>
      </c>
      <c r="H953" s="11">
        <v>0</v>
      </c>
    </row>
    <row r="954" spans="1:8" x14ac:dyDescent="0.2">
      <c r="A954" t="s">
        <v>2062</v>
      </c>
      <c r="B954" s="1" t="s">
        <v>2063</v>
      </c>
      <c r="C954" s="11">
        <v>700000</v>
      </c>
      <c r="D954" t="s">
        <v>1808</v>
      </c>
      <c r="E954" t="s">
        <v>969</v>
      </c>
      <c r="F954" s="4">
        <v>36878</v>
      </c>
      <c r="G954" s="11">
        <v>700000</v>
      </c>
      <c r="H954" s="11">
        <v>0</v>
      </c>
    </row>
    <row r="955" spans="1:8" x14ac:dyDescent="0.2">
      <c r="A955" t="s">
        <v>2601</v>
      </c>
      <c r="B955" s="1" t="s">
        <v>2602</v>
      </c>
      <c r="C955" s="11">
        <v>2500000</v>
      </c>
      <c r="D955" t="s">
        <v>1808</v>
      </c>
      <c r="E955" t="s">
        <v>516</v>
      </c>
      <c r="F955" s="4">
        <v>38264</v>
      </c>
      <c r="G955" s="11">
        <v>2356520</v>
      </c>
      <c r="H955" s="11">
        <v>143480</v>
      </c>
    </row>
    <row r="956" spans="1:8" x14ac:dyDescent="0.2">
      <c r="A956" t="s">
        <v>470</v>
      </c>
      <c r="B956" s="1" t="s">
        <v>471</v>
      </c>
      <c r="C956" s="11">
        <v>950000</v>
      </c>
      <c r="D956" t="s">
        <v>1808</v>
      </c>
      <c r="E956" t="s">
        <v>885</v>
      </c>
      <c r="F956" s="4">
        <v>38492</v>
      </c>
      <c r="G956" s="11">
        <v>950000</v>
      </c>
      <c r="H956" s="11">
        <v>0</v>
      </c>
    </row>
    <row r="957" spans="1:8" x14ac:dyDescent="0.2">
      <c r="A957" t="s">
        <v>1619</v>
      </c>
      <c r="B957" s="1" t="s">
        <v>1620</v>
      </c>
      <c r="C957" s="11">
        <v>800000</v>
      </c>
      <c r="D957" t="s">
        <v>1808</v>
      </c>
      <c r="E957" t="s">
        <v>885</v>
      </c>
      <c r="F957" s="4">
        <v>38877</v>
      </c>
      <c r="G957" s="11">
        <v>800000</v>
      </c>
      <c r="H957" s="11">
        <v>0</v>
      </c>
    </row>
    <row r="958" spans="1:8" x14ac:dyDescent="0.2">
      <c r="A958" t="s">
        <v>874</v>
      </c>
      <c r="B958" s="1" t="s">
        <v>1247</v>
      </c>
      <c r="C958" s="11">
        <v>4300000</v>
      </c>
      <c r="D958" t="s">
        <v>1808</v>
      </c>
      <c r="E958" t="s">
        <v>444</v>
      </c>
      <c r="F958" s="4">
        <v>39168</v>
      </c>
      <c r="G958" s="11">
        <v>4038678</v>
      </c>
      <c r="H958" s="11">
        <v>261322</v>
      </c>
    </row>
    <row r="959" spans="1:8" x14ac:dyDescent="0.2">
      <c r="A959" t="s">
        <v>1055</v>
      </c>
      <c r="B959" s="1" t="s">
        <v>1203</v>
      </c>
      <c r="C959" s="11">
        <v>1500000</v>
      </c>
      <c r="D959" t="s">
        <v>1808</v>
      </c>
      <c r="E959" t="s">
        <v>888</v>
      </c>
      <c r="F959" s="4">
        <v>39750</v>
      </c>
      <c r="G959" s="11">
        <v>1500000</v>
      </c>
      <c r="H959" s="11">
        <v>0</v>
      </c>
    </row>
    <row r="960" spans="1:8" x14ac:dyDescent="0.2">
      <c r="A960" t="s">
        <v>3761</v>
      </c>
      <c r="B960" s="1" t="s">
        <v>3762</v>
      </c>
      <c r="C960" s="11">
        <v>500000</v>
      </c>
      <c r="D960" t="s">
        <v>1808</v>
      </c>
      <c r="E960" t="s">
        <v>3031</v>
      </c>
      <c r="F960" s="4">
        <v>40546</v>
      </c>
      <c r="G960" s="11">
        <v>0</v>
      </c>
      <c r="H960" s="11">
        <v>500000</v>
      </c>
    </row>
    <row r="961" spans="1:8" x14ac:dyDescent="0.2">
      <c r="A961" t="s">
        <v>3114</v>
      </c>
      <c r="B961" s="1" t="s">
        <v>2726</v>
      </c>
      <c r="C961" s="11">
        <v>2000000</v>
      </c>
      <c r="D961" t="s">
        <v>1808</v>
      </c>
      <c r="E961" t="s">
        <v>888</v>
      </c>
      <c r="F961" s="4">
        <v>40260</v>
      </c>
      <c r="G961" s="11">
        <v>1938583</v>
      </c>
      <c r="H961" s="11">
        <v>61417</v>
      </c>
    </row>
    <row r="962" spans="1:8" x14ac:dyDescent="0.2">
      <c r="A962" t="s">
        <v>4335</v>
      </c>
      <c r="B962" s="1" t="s">
        <v>3765</v>
      </c>
      <c r="C962" s="11">
        <v>250000</v>
      </c>
      <c r="D962" t="s">
        <v>1808</v>
      </c>
      <c r="E962" t="s">
        <v>3031</v>
      </c>
      <c r="F962" s="4">
        <v>40532</v>
      </c>
      <c r="G962" s="11">
        <v>0</v>
      </c>
      <c r="H962" s="11">
        <v>250000</v>
      </c>
    </row>
    <row r="963" spans="1:8" x14ac:dyDescent="0.2">
      <c r="A963" t="s">
        <v>3763</v>
      </c>
      <c r="B963" s="1" t="s">
        <v>3764</v>
      </c>
      <c r="C963" s="11">
        <v>0</v>
      </c>
      <c r="D963" t="s">
        <v>1808</v>
      </c>
      <c r="E963" t="s">
        <v>3031</v>
      </c>
      <c r="F963" s="4">
        <v>40532</v>
      </c>
      <c r="G963" s="11">
        <v>0</v>
      </c>
      <c r="H963" s="11">
        <v>0</v>
      </c>
    </row>
    <row r="964" spans="1:8" x14ac:dyDescent="0.2">
      <c r="A964" t="s">
        <v>4411</v>
      </c>
      <c r="B964" s="1" t="s">
        <v>1214</v>
      </c>
      <c r="C964" s="11">
        <v>0</v>
      </c>
      <c r="D964" t="s">
        <v>1808</v>
      </c>
      <c r="E964" t="s">
        <v>888</v>
      </c>
      <c r="F964" s="4">
        <v>39772</v>
      </c>
      <c r="G964" s="11">
        <v>0</v>
      </c>
      <c r="H964" s="11">
        <v>0</v>
      </c>
    </row>
    <row r="965" spans="1:8" x14ac:dyDescent="0.2">
      <c r="A965" t="s">
        <v>4412</v>
      </c>
      <c r="B965" s="1" t="s">
        <v>1216</v>
      </c>
      <c r="C965" s="11">
        <v>0</v>
      </c>
      <c r="D965" t="s">
        <v>1808</v>
      </c>
      <c r="E965" t="s">
        <v>888</v>
      </c>
      <c r="F965" s="4">
        <v>39772</v>
      </c>
      <c r="G965" s="11">
        <v>0</v>
      </c>
      <c r="H965" s="11">
        <v>0</v>
      </c>
    </row>
    <row r="966" spans="1:8" x14ac:dyDescent="0.2">
      <c r="A966" t="s">
        <v>4472</v>
      </c>
      <c r="B966" s="1" t="s">
        <v>2966</v>
      </c>
      <c r="C966" s="11">
        <v>0</v>
      </c>
      <c r="D966" t="s">
        <v>1808</v>
      </c>
      <c r="E966" t="s">
        <v>888</v>
      </c>
      <c r="F966" s="4">
        <v>40374</v>
      </c>
      <c r="G966" s="11">
        <v>0</v>
      </c>
      <c r="H966" s="11">
        <v>0</v>
      </c>
    </row>
    <row r="967" spans="1:8" x14ac:dyDescent="0.2">
      <c r="A967" t="s">
        <v>4546</v>
      </c>
      <c r="B967" s="1" t="s">
        <v>1215</v>
      </c>
      <c r="C967" s="11">
        <v>0</v>
      </c>
      <c r="D967" t="s">
        <v>1808</v>
      </c>
      <c r="E967" t="s">
        <v>888</v>
      </c>
      <c r="F967" s="4">
        <v>39772</v>
      </c>
      <c r="G967" s="11">
        <v>0</v>
      </c>
      <c r="H967" s="11">
        <v>0</v>
      </c>
    </row>
    <row r="968" spans="1:8" x14ac:dyDescent="0.2">
      <c r="A968" t="s">
        <v>4116</v>
      </c>
      <c r="B968" s="1" t="s">
        <v>3767</v>
      </c>
      <c r="C968" s="11">
        <v>1000000</v>
      </c>
      <c r="D968" t="s">
        <v>2514</v>
      </c>
      <c r="E968" t="s">
        <v>3031</v>
      </c>
      <c r="F968" s="4">
        <v>40532</v>
      </c>
      <c r="G968" s="11">
        <v>0</v>
      </c>
      <c r="H968" s="11">
        <v>1000000</v>
      </c>
    </row>
    <row r="969" spans="1:8" x14ac:dyDescent="0.2">
      <c r="A969" t="s">
        <v>4369</v>
      </c>
      <c r="B969" s="1" t="s">
        <v>3766</v>
      </c>
      <c r="C969" s="11">
        <v>1000000</v>
      </c>
      <c r="D969" t="s">
        <v>2514</v>
      </c>
      <c r="E969" t="s">
        <v>3031</v>
      </c>
      <c r="F969" s="4">
        <v>40546</v>
      </c>
      <c r="G969" s="11">
        <v>0</v>
      </c>
      <c r="H969" s="11">
        <v>1000000</v>
      </c>
    </row>
    <row r="970" spans="1:8" x14ac:dyDescent="0.2">
      <c r="A970" t="s">
        <v>4190</v>
      </c>
      <c r="B970" s="1" t="s">
        <v>2513</v>
      </c>
      <c r="C970" s="11">
        <v>0</v>
      </c>
      <c r="D970" t="s">
        <v>2514</v>
      </c>
      <c r="E970" t="s">
        <v>516</v>
      </c>
      <c r="F970" s="4">
        <v>38261</v>
      </c>
      <c r="G970" s="11">
        <v>0</v>
      </c>
      <c r="H970" s="11">
        <v>0</v>
      </c>
    </row>
    <row r="971" spans="1:8" x14ac:dyDescent="0.2">
      <c r="A971" t="s">
        <v>686</v>
      </c>
      <c r="B971" s="1" t="s">
        <v>687</v>
      </c>
      <c r="C971" s="11">
        <v>550000</v>
      </c>
      <c r="D971" t="s">
        <v>688</v>
      </c>
      <c r="E971" t="s">
        <v>2107</v>
      </c>
      <c r="F971" s="4">
        <v>36878</v>
      </c>
      <c r="G971" s="11">
        <v>550000</v>
      </c>
      <c r="H971" s="11">
        <v>0</v>
      </c>
    </row>
    <row r="972" spans="1:8" x14ac:dyDescent="0.2">
      <c r="A972" t="s">
        <v>2687</v>
      </c>
      <c r="B972" s="1" t="s">
        <v>2688</v>
      </c>
      <c r="C972" s="11">
        <v>1250000</v>
      </c>
      <c r="D972" t="s">
        <v>688</v>
      </c>
      <c r="E972" t="s">
        <v>516</v>
      </c>
      <c r="F972" s="4">
        <v>37587</v>
      </c>
      <c r="G972" s="11">
        <v>1250000</v>
      </c>
      <c r="H972" s="11">
        <v>0</v>
      </c>
    </row>
    <row r="973" spans="1:8" x14ac:dyDescent="0.2">
      <c r="A973" t="s">
        <v>1833</v>
      </c>
      <c r="B973" s="1" t="s">
        <v>1417</v>
      </c>
      <c r="C973" s="11">
        <v>750000</v>
      </c>
      <c r="D973" t="s">
        <v>688</v>
      </c>
      <c r="E973" t="s">
        <v>885</v>
      </c>
      <c r="F973" s="4">
        <v>38552</v>
      </c>
      <c r="G973" s="11">
        <v>750000</v>
      </c>
      <c r="H973" s="11">
        <v>0</v>
      </c>
    </row>
    <row r="974" spans="1:8" x14ac:dyDescent="0.2">
      <c r="A974" t="s">
        <v>2695</v>
      </c>
      <c r="B974" s="1" t="s">
        <v>2696</v>
      </c>
      <c r="C974" s="11">
        <v>1500000</v>
      </c>
      <c r="D974" t="s">
        <v>688</v>
      </c>
      <c r="E974" t="s">
        <v>969</v>
      </c>
      <c r="F974" s="4">
        <v>37587</v>
      </c>
      <c r="G974" s="11">
        <v>1500000</v>
      </c>
      <c r="H974" s="11">
        <v>0</v>
      </c>
    </row>
    <row r="975" spans="1:8" x14ac:dyDescent="0.2">
      <c r="A975" t="s">
        <v>1350</v>
      </c>
      <c r="B975" s="1" t="s">
        <v>1416</v>
      </c>
      <c r="C975" s="11">
        <v>1000000</v>
      </c>
      <c r="D975" t="s">
        <v>688</v>
      </c>
      <c r="E975" t="s">
        <v>885</v>
      </c>
      <c r="F975" s="4">
        <v>38552</v>
      </c>
      <c r="G975" s="11">
        <v>1000000</v>
      </c>
      <c r="H975" s="11">
        <v>0</v>
      </c>
    </row>
    <row r="976" spans="1:8" x14ac:dyDescent="0.2">
      <c r="A976" t="s">
        <v>1443</v>
      </c>
      <c r="B976" s="1" t="s">
        <v>1415</v>
      </c>
      <c r="C976" s="11">
        <v>500000</v>
      </c>
      <c r="D976" t="s">
        <v>688</v>
      </c>
      <c r="E976" t="s">
        <v>885</v>
      </c>
      <c r="F976" s="4">
        <v>38552</v>
      </c>
      <c r="G976" s="11">
        <v>0</v>
      </c>
      <c r="H976" s="11">
        <v>500000</v>
      </c>
    </row>
    <row r="977" spans="1:8" x14ac:dyDescent="0.2">
      <c r="A977" t="s">
        <v>4053</v>
      </c>
      <c r="B977" s="1" t="s">
        <v>1415</v>
      </c>
      <c r="C977" s="11">
        <v>1250000</v>
      </c>
      <c r="D977" t="s">
        <v>688</v>
      </c>
      <c r="E977" t="s">
        <v>3031</v>
      </c>
      <c r="F977" s="4">
        <v>40546</v>
      </c>
      <c r="G977" s="11">
        <v>0</v>
      </c>
      <c r="H977" s="11">
        <v>1250000</v>
      </c>
    </row>
    <row r="978" spans="1:8" x14ac:dyDescent="0.2">
      <c r="A978" t="s">
        <v>949</v>
      </c>
      <c r="B978" s="1" t="s">
        <v>550</v>
      </c>
      <c r="C978" s="11">
        <v>500000</v>
      </c>
      <c r="D978" t="s">
        <v>688</v>
      </c>
      <c r="E978" t="s">
        <v>885</v>
      </c>
      <c r="F978" s="4">
        <v>39349</v>
      </c>
      <c r="G978" s="11">
        <v>487500</v>
      </c>
      <c r="H978" s="11">
        <v>12500</v>
      </c>
    </row>
    <row r="979" spans="1:8" x14ac:dyDescent="0.2">
      <c r="A979" t="s">
        <v>937</v>
      </c>
      <c r="B979" s="1" t="s">
        <v>67</v>
      </c>
      <c r="C979" s="11">
        <v>750000</v>
      </c>
      <c r="D979" t="s">
        <v>688</v>
      </c>
      <c r="E979" t="s">
        <v>516</v>
      </c>
      <c r="F979" s="4">
        <v>38889</v>
      </c>
      <c r="G979" s="11">
        <v>0</v>
      </c>
      <c r="H979" s="11">
        <v>750000</v>
      </c>
    </row>
    <row r="980" spans="1:8" x14ac:dyDescent="0.2">
      <c r="A980" t="s">
        <v>2876</v>
      </c>
      <c r="B980" s="1" t="s">
        <v>1207</v>
      </c>
      <c r="C980" s="11">
        <v>2000000</v>
      </c>
      <c r="D980" t="s">
        <v>688</v>
      </c>
      <c r="E980" t="s">
        <v>444</v>
      </c>
      <c r="F980" s="4">
        <v>39751</v>
      </c>
      <c r="G980" s="11">
        <v>0</v>
      </c>
      <c r="H980" s="11">
        <v>2000000</v>
      </c>
    </row>
    <row r="981" spans="1:8" x14ac:dyDescent="0.2">
      <c r="A981" t="s">
        <v>2877</v>
      </c>
      <c r="B981" s="1" t="s">
        <v>2728</v>
      </c>
      <c r="C981" s="11">
        <v>1376000</v>
      </c>
      <c r="D981" t="s">
        <v>688</v>
      </c>
      <c r="E981" t="s">
        <v>885</v>
      </c>
      <c r="F981" s="4">
        <v>39688</v>
      </c>
      <c r="G981" s="11">
        <v>0</v>
      </c>
      <c r="H981" s="11">
        <v>1376000</v>
      </c>
    </row>
    <row r="982" spans="1:8" x14ac:dyDescent="0.2">
      <c r="A982" t="s">
        <v>2878</v>
      </c>
      <c r="B982" s="1" t="s">
        <v>2729</v>
      </c>
      <c r="C982" s="11">
        <v>250000</v>
      </c>
      <c r="D982" t="s">
        <v>688</v>
      </c>
      <c r="E982" t="s">
        <v>885</v>
      </c>
      <c r="F982" s="4">
        <v>40260</v>
      </c>
      <c r="G982" s="11">
        <v>0</v>
      </c>
      <c r="H982" s="11">
        <v>250000</v>
      </c>
    </row>
    <row r="983" spans="1:8" x14ac:dyDescent="0.2">
      <c r="A983" t="s">
        <v>2147</v>
      </c>
      <c r="B983" s="1" t="s">
        <v>1145</v>
      </c>
      <c r="C983" s="11">
        <v>2000000</v>
      </c>
      <c r="D983" t="s">
        <v>688</v>
      </c>
      <c r="E983" t="s">
        <v>885</v>
      </c>
      <c r="F983" s="4">
        <v>39688</v>
      </c>
      <c r="G983" s="11">
        <v>0</v>
      </c>
      <c r="H983" s="11">
        <v>2000000</v>
      </c>
    </row>
    <row r="984" spans="1:8" x14ac:dyDescent="0.2">
      <c r="A984" t="s">
        <v>3768</v>
      </c>
      <c r="B984" s="1" t="s">
        <v>3769</v>
      </c>
      <c r="C984" s="11">
        <v>1250000</v>
      </c>
      <c r="D984" t="s">
        <v>688</v>
      </c>
      <c r="E984" t="s">
        <v>888</v>
      </c>
      <c r="F984" s="4">
        <v>40532</v>
      </c>
      <c r="G984" s="11">
        <v>0</v>
      </c>
      <c r="H984" s="11">
        <v>1250000</v>
      </c>
    </row>
    <row r="985" spans="1:8" x14ac:dyDescent="0.2">
      <c r="A985" t="s">
        <v>3770</v>
      </c>
      <c r="B985" s="1" t="s">
        <v>3771</v>
      </c>
      <c r="C985" s="11">
        <v>500000</v>
      </c>
      <c r="D985" t="s">
        <v>688</v>
      </c>
      <c r="E985" t="s">
        <v>888</v>
      </c>
      <c r="F985" s="4">
        <v>40546</v>
      </c>
      <c r="G985" s="11">
        <v>0</v>
      </c>
      <c r="H985" s="11">
        <v>500000</v>
      </c>
    </row>
    <row r="986" spans="1:8" x14ac:dyDescent="0.2">
      <c r="A986" t="s">
        <v>1681</v>
      </c>
      <c r="B986" s="1" t="s">
        <v>410</v>
      </c>
      <c r="C986" s="11">
        <v>500000</v>
      </c>
      <c r="D986" t="s">
        <v>688</v>
      </c>
      <c r="E986" t="s">
        <v>444</v>
      </c>
      <c r="F986" s="4">
        <v>39342</v>
      </c>
      <c r="G986" s="11">
        <v>500000</v>
      </c>
      <c r="H986" s="11">
        <v>0</v>
      </c>
    </row>
    <row r="987" spans="1:8" x14ac:dyDescent="0.2">
      <c r="A987" t="s">
        <v>4191</v>
      </c>
      <c r="B987" s="1" t="s">
        <v>3115</v>
      </c>
      <c r="C987" s="11">
        <v>1000000</v>
      </c>
      <c r="D987" t="s">
        <v>688</v>
      </c>
      <c r="E987" t="s">
        <v>888</v>
      </c>
      <c r="F987" s="4">
        <v>40463</v>
      </c>
      <c r="G987" s="11">
        <v>0</v>
      </c>
      <c r="H987" s="11">
        <v>1000000</v>
      </c>
    </row>
    <row r="988" spans="1:8" x14ac:dyDescent="0.2">
      <c r="A988" t="s">
        <v>4192</v>
      </c>
      <c r="B988" s="1" t="s">
        <v>2730</v>
      </c>
      <c r="C988" s="11">
        <v>1250000</v>
      </c>
      <c r="D988" t="s">
        <v>688</v>
      </c>
      <c r="E988" t="s">
        <v>888</v>
      </c>
      <c r="F988" s="4">
        <v>40260</v>
      </c>
      <c r="G988" s="11">
        <v>0</v>
      </c>
      <c r="H988" s="11">
        <v>1250000</v>
      </c>
    </row>
    <row r="989" spans="1:8" x14ac:dyDescent="0.2">
      <c r="A989" t="s">
        <v>4473</v>
      </c>
      <c r="B989" s="1" t="s">
        <v>3772</v>
      </c>
      <c r="C989" s="11">
        <v>500000</v>
      </c>
      <c r="D989" t="s">
        <v>688</v>
      </c>
      <c r="E989" t="s">
        <v>3031</v>
      </c>
      <c r="F989" s="4">
        <v>40546</v>
      </c>
      <c r="G989" s="11">
        <v>0</v>
      </c>
      <c r="H989" s="11">
        <v>500000</v>
      </c>
    </row>
    <row r="990" spans="1:8" x14ac:dyDescent="0.2">
      <c r="A990" t="s">
        <v>2727</v>
      </c>
      <c r="B990" s="1" t="s">
        <v>4117</v>
      </c>
      <c r="C990" s="11">
        <v>1000000</v>
      </c>
      <c r="D990" t="s">
        <v>688</v>
      </c>
      <c r="E990" t="s">
        <v>516</v>
      </c>
      <c r="F990" s="4">
        <v>38946</v>
      </c>
      <c r="G990" s="11">
        <v>0</v>
      </c>
      <c r="H990" s="11">
        <v>1000000</v>
      </c>
    </row>
    <row r="991" spans="1:8" x14ac:dyDescent="0.2">
      <c r="A991" t="s">
        <v>4547</v>
      </c>
      <c r="B991" s="1" t="s">
        <v>4548</v>
      </c>
      <c r="C991" s="11">
        <v>3250000</v>
      </c>
      <c r="D991" t="s">
        <v>688</v>
      </c>
      <c r="E991" t="s">
        <v>888</v>
      </c>
      <c r="F991" s="4">
        <v>41316</v>
      </c>
      <c r="G991" s="11">
        <v>0</v>
      </c>
      <c r="H991" s="11">
        <v>3250000</v>
      </c>
    </row>
    <row r="992" spans="1:8" x14ac:dyDescent="0.2">
      <c r="A992" t="s">
        <v>2268</v>
      </c>
      <c r="B992" s="1" t="s">
        <v>2269</v>
      </c>
      <c r="C992" s="11">
        <v>1000000</v>
      </c>
      <c r="D992" t="s">
        <v>2270</v>
      </c>
      <c r="E992" t="s">
        <v>516</v>
      </c>
      <c r="F992" s="4">
        <v>37637</v>
      </c>
      <c r="G992" s="11">
        <v>1000000</v>
      </c>
      <c r="H992" s="11">
        <v>0</v>
      </c>
    </row>
    <row r="993" spans="1:8" x14ac:dyDescent="0.2">
      <c r="A993" t="s">
        <v>2318</v>
      </c>
      <c r="B993" s="1" t="s">
        <v>2319</v>
      </c>
      <c r="C993" s="11">
        <v>279000</v>
      </c>
      <c r="D993" t="s">
        <v>2270</v>
      </c>
      <c r="E993" t="s">
        <v>2107</v>
      </c>
      <c r="F993" s="4">
        <v>37582</v>
      </c>
      <c r="G993" s="11">
        <v>279000</v>
      </c>
      <c r="H993" s="11">
        <v>0</v>
      </c>
    </row>
    <row r="994" spans="1:8" x14ac:dyDescent="0.2">
      <c r="A994" t="s">
        <v>2320</v>
      </c>
      <c r="B994" s="1" t="s">
        <v>2321</v>
      </c>
      <c r="C994" s="11">
        <v>30000</v>
      </c>
      <c r="D994" t="s">
        <v>2270</v>
      </c>
      <c r="E994" t="s">
        <v>2107</v>
      </c>
      <c r="F994" s="4">
        <v>37582</v>
      </c>
      <c r="G994" s="11">
        <v>30000</v>
      </c>
      <c r="H994" s="11">
        <v>0</v>
      </c>
    </row>
    <row r="995" spans="1:8" x14ac:dyDescent="0.2">
      <c r="A995" t="s">
        <v>2328</v>
      </c>
      <c r="B995" s="1" t="s">
        <v>2329</v>
      </c>
      <c r="C995" s="11">
        <v>500000</v>
      </c>
      <c r="D995" t="s">
        <v>2270</v>
      </c>
      <c r="E995" t="s">
        <v>2107</v>
      </c>
      <c r="F995" s="4">
        <v>37582</v>
      </c>
      <c r="G995" s="11">
        <v>500000</v>
      </c>
      <c r="H995" s="11">
        <v>0</v>
      </c>
    </row>
    <row r="996" spans="1:8" x14ac:dyDescent="0.2">
      <c r="A996" t="s">
        <v>1056</v>
      </c>
      <c r="B996" s="1" t="s">
        <v>225</v>
      </c>
      <c r="C996" s="11">
        <v>500000</v>
      </c>
      <c r="D996" t="s">
        <v>2270</v>
      </c>
      <c r="E996" t="s">
        <v>516</v>
      </c>
      <c r="F996" s="4">
        <v>38184</v>
      </c>
      <c r="G996" s="11">
        <v>500000</v>
      </c>
      <c r="H996" s="11">
        <v>0</v>
      </c>
    </row>
    <row r="997" spans="1:8" x14ac:dyDescent="0.2">
      <c r="A997" t="s">
        <v>1057</v>
      </c>
      <c r="B997" s="1" t="s">
        <v>1655</v>
      </c>
      <c r="C997" s="11">
        <v>1500000</v>
      </c>
      <c r="D997" t="s">
        <v>2270</v>
      </c>
      <c r="E997" t="s">
        <v>444</v>
      </c>
      <c r="F997" s="4">
        <v>38944</v>
      </c>
      <c r="G997" s="11">
        <v>1450000</v>
      </c>
      <c r="H997" s="11">
        <v>50000</v>
      </c>
    </row>
    <row r="998" spans="1:8" x14ac:dyDescent="0.2">
      <c r="A998" t="s">
        <v>4336</v>
      </c>
      <c r="B998" s="1" t="s">
        <v>3773</v>
      </c>
      <c r="C998" s="11">
        <v>2000000</v>
      </c>
      <c r="D998" t="s">
        <v>2270</v>
      </c>
      <c r="E998" t="s">
        <v>3031</v>
      </c>
      <c r="F998" s="4">
        <v>40519</v>
      </c>
      <c r="G998" s="11">
        <v>0</v>
      </c>
      <c r="H998" s="11">
        <v>2000000</v>
      </c>
    </row>
    <row r="999" spans="1:8" x14ac:dyDescent="0.2">
      <c r="A999" t="s">
        <v>4459</v>
      </c>
      <c r="B999" s="1" t="s">
        <v>4276</v>
      </c>
      <c r="C999" s="11">
        <v>3000000</v>
      </c>
      <c r="D999" t="s">
        <v>2270</v>
      </c>
      <c r="E999" t="s">
        <v>3031</v>
      </c>
      <c r="F999" s="4">
        <v>40520</v>
      </c>
      <c r="G999" s="11">
        <v>0</v>
      </c>
      <c r="H999" s="11">
        <v>3000000</v>
      </c>
    </row>
    <row r="1000" spans="1:8" x14ac:dyDescent="0.2">
      <c r="A1000" t="s">
        <v>4549</v>
      </c>
      <c r="B1000" s="1" t="s">
        <v>4550</v>
      </c>
      <c r="C1000" s="11">
        <v>2000000</v>
      </c>
      <c r="D1000" t="s">
        <v>2270</v>
      </c>
      <c r="E1000" t="s">
        <v>3031</v>
      </c>
      <c r="F1000" s="4">
        <v>41316</v>
      </c>
      <c r="G1000" s="11">
        <v>0</v>
      </c>
      <c r="H1000" s="11">
        <v>2000000</v>
      </c>
    </row>
    <row r="1001" spans="1:8" x14ac:dyDescent="0.2">
      <c r="A1001" t="s">
        <v>2425</v>
      </c>
      <c r="B1001" s="1" t="s">
        <v>2426</v>
      </c>
      <c r="C1001" s="11">
        <v>3000000</v>
      </c>
      <c r="D1001" t="s">
        <v>2427</v>
      </c>
      <c r="E1001" t="s">
        <v>885</v>
      </c>
      <c r="F1001" s="4">
        <v>38257</v>
      </c>
      <c r="G1001" s="11">
        <v>2985000</v>
      </c>
      <c r="H1001" s="11">
        <v>15000</v>
      </c>
    </row>
    <row r="1002" spans="1:8" x14ac:dyDescent="0.2">
      <c r="A1002" t="s">
        <v>255</v>
      </c>
      <c r="B1002" s="1" t="s">
        <v>256</v>
      </c>
      <c r="C1002" s="11">
        <v>11000000</v>
      </c>
      <c r="D1002" t="s">
        <v>257</v>
      </c>
      <c r="E1002" t="s">
        <v>1564</v>
      </c>
      <c r="G1002" s="11">
        <v>11000000</v>
      </c>
      <c r="H1002" s="11">
        <v>0</v>
      </c>
    </row>
    <row r="1003" spans="1:8" x14ac:dyDescent="0.2">
      <c r="A1003" t="s">
        <v>1693</v>
      </c>
      <c r="B1003" s="1" t="s">
        <v>1694</v>
      </c>
      <c r="C1003" s="11">
        <v>1750000</v>
      </c>
      <c r="D1003" t="s">
        <v>257</v>
      </c>
      <c r="E1003" t="s">
        <v>290</v>
      </c>
      <c r="F1003" s="4">
        <v>34151</v>
      </c>
      <c r="G1003" s="11">
        <v>1750000</v>
      </c>
      <c r="H1003" s="11">
        <v>0</v>
      </c>
    </row>
    <row r="1004" spans="1:8" x14ac:dyDescent="0.2">
      <c r="A1004" t="s">
        <v>1697</v>
      </c>
      <c r="B1004" s="1" t="s">
        <v>1698</v>
      </c>
      <c r="C1004" s="11">
        <v>4400000</v>
      </c>
      <c r="D1004" t="s">
        <v>257</v>
      </c>
      <c r="E1004" t="s">
        <v>290</v>
      </c>
      <c r="F1004" s="4">
        <v>34151</v>
      </c>
      <c r="G1004" s="11">
        <v>4400000</v>
      </c>
      <c r="H1004" s="11">
        <v>0</v>
      </c>
    </row>
    <row r="1005" spans="1:8" x14ac:dyDescent="0.2">
      <c r="A1005" t="s">
        <v>1718</v>
      </c>
      <c r="B1005" s="1" t="s">
        <v>1719</v>
      </c>
      <c r="C1005" s="11">
        <v>2200000</v>
      </c>
      <c r="D1005" t="s">
        <v>257</v>
      </c>
      <c r="E1005" t="s">
        <v>1564</v>
      </c>
      <c r="F1005" s="4">
        <v>34151</v>
      </c>
      <c r="G1005" s="11">
        <v>2200000</v>
      </c>
      <c r="H1005" s="11">
        <v>0</v>
      </c>
    </row>
    <row r="1006" spans="1:8" x14ac:dyDescent="0.2">
      <c r="A1006" t="s">
        <v>1732</v>
      </c>
      <c r="B1006" s="1" t="s">
        <v>1733</v>
      </c>
      <c r="C1006" s="11">
        <v>1750000</v>
      </c>
      <c r="D1006" t="s">
        <v>257</v>
      </c>
      <c r="E1006" t="s">
        <v>290</v>
      </c>
      <c r="F1006" s="4">
        <v>34151</v>
      </c>
      <c r="G1006" s="11">
        <v>1750000</v>
      </c>
      <c r="H1006" s="11">
        <v>0</v>
      </c>
    </row>
    <row r="1007" spans="1:8" x14ac:dyDescent="0.2">
      <c r="A1007" t="s">
        <v>1734</v>
      </c>
      <c r="B1007" s="1" t="s">
        <v>1735</v>
      </c>
      <c r="C1007" s="11">
        <v>10000000</v>
      </c>
      <c r="D1007" t="s">
        <v>257</v>
      </c>
      <c r="E1007" t="s">
        <v>290</v>
      </c>
      <c r="F1007" s="4">
        <v>34151</v>
      </c>
      <c r="G1007" s="11">
        <v>10000000</v>
      </c>
      <c r="H1007" s="11">
        <v>0</v>
      </c>
    </row>
    <row r="1008" spans="1:8" x14ac:dyDescent="0.2">
      <c r="A1008" t="s">
        <v>1742</v>
      </c>
      <c r="B1008" s="1" t="s">
        <v>1743</v>
      </c>
      <c r="C1008" s="11">
        <v>1000000</v>
      </c>
      <c r="D1008" t="s">
        <v>257</v>
      </c>
      <c r="E1008" t="s">
        <v>290</v>
      </c>
      <c r="F1008" s="4">
        <v>34151</v>
      </c>
      <c r="G1008" s="11">
        <v>1000000</v>
      </c>
      <c r="H1008" s="11">
        <v>0</v>
      </c>
    </row>
    <row r="1009" spans="1:8" x14ac:dyDescent="0.2">
      <c r="A1009" t="s">
        <v>558</v>
      </c>
      <c r="B1009" s="1" t="s">
        <v>559</v>
      </c>
      <c r="C1009" s="11">
        <v>1000000</v>
      </c>
      <c r="D1009" t="s">
        <v>257</v>
      </c>
      <c r="E1009" t="s">
        <v>969</v>
      </c>
      <c r="F1009" s="4">
        <v>36469</v>
      </c>
      <c r="G1009" s="11">
        <v>1000000</v>
      </c>
      <c r="H1009" s="11">
        <v>0</v>
      </c>
    </row>
    <row r="1010" spans="1:8" x14ac:dyDescent="0.2">
      <c r="A1010" t="s">
        <v>560</v>
      </c>
      <c r="B1010" s="1" t="s">
        <v>561</v>
      </c>
      <c r="C1010" s="11">
        <v>500000</v>
      </c>
      <c r="D1010" t="s">
        <v>257</v>
      </c>
      <c r="E1010" t="s">
        <v>516</v>
      </c>
      <c r="F1010" s="4">
        <v>37942</v>
      </c>
      <c r="G1010" s="11">
        <v>299919</v>
      </c>
      <c r="H1010" s="11">
        <v>200081</v>
      </c>
    </row>
    <row r="1011" spans="1:8" x14ac:dyDescent="0.2">
      <c r="A1011" t="s">
        <v>562</v>
      </c>
      <c r="B1011" s="1" t="s">
        <v>563</v>
      </c>
      <c r="C1011" s="11">
        <v>0</v>
      </c>
      <c r="D1011" t="s">
        <v>257</v>
      </c>
      <c r="E1011" t="s">
        <v>969</v>
      </c>
      <c r="F1011" s="4">
        <v>38408</v>
      </c>
      <c r="G1011" s="11">
        <v>0</v>
      </c>
      <c r="H1011" s="11">
        <v>0</v>
      </c>
    </row>
    <row r="1012" spans="1:8" x14ac:dyDescent="0.2">
      <c r="A1012" t="s">
        <v>1946</v>
      </c>
      <c r="B1012" s="1" t="s">
        <v>1947</v>
      </c>
      <c r="C1012" s="11">
        <v>3000000</v>
      </c>
      <c r="D1012" t="s">
        <v>257</v>
      </c>
      <c r="E1012" t="s">
        <v>969</v>
      </c>
      <c r="F1012" s="4">
        <v>36579</v>
      </c>
      <c r="G1012" s="11">
        <v>3000000</v>
      </c>
      <c r="H1012" s="11">
        <v>0</v>
      </c>
    </row>
    <row r="1013" spans="1:8" x14ac:dyDescent="0.2">
      <c r="A1013" t="s">
        <v>1980</v>
      </c>
      <c r="B1013" s="1" t="s">
        <v>1981</v>
      </c>
      <c r="C1013" s="11">
        <v>1500000</v>
      </c>
      <c r="D1013" t="s">
        <v>257</v>
      </c>
      <c r="E1013" t="s">
        <v>1710</v>
      </c>
      <c r="F1013" s="4">
        <v>36698</v>
      </c>
      <c r="G1013" s="11">
        <v>1500000</v>
      </c>
      <c r="H1013" s="11">
        <v>0</v>
      </c>
    </row>
    <row r="1014" spans="1:8" x14ac:dyDescent="0.2">
      <c r="A1014" t="s">
        <v>2031</v>
      </c>
      <c r="B1014" s="1" t="s">
        <v>2032</v>
      </c>
      <c r="C1014" s="11">
        <v>0</v>
      </c>
      <c r="D1014" t="s">
        <v>257</v>
      </c>
      <c r="E1014" t="s">
        <v>1710</v>
      </c>
      <c r="F1014" s="4">
        <v>35919</v>
      </c>
      <c r="G1014" s="11">
        <v>0</v>
      </c>
      <c r="H1014" s="11">
        <v>0</v>
      </c>
    </row>
    <row r="1015" spans="1:8" x14ac:dyDescent="0.2">
      <c r="A1015" t="s">
        <v>2305</v>
      </c>
      <c r="B1015" s="1" t="s">
        <v>2306</v>
      </c>
      <c r="C1015" s="11">
        <v>1700000</v>
      </c>
      <c r="D1015" t="s">
        <v>257</v>
      </c>
      <c r="E1015" t="s">
        <v>516</v>
      </c>
      <c r="F1015" s="4">
        <v>37629</v>
      </c>
      <c r="G1015" s="11">
        <v>1700000</v>
      </c>
      <c r="H1015" s="11">
        <v>0</v>
      </c>
    </row>
    <row r="1016" spans="1:8" x14ac:dyDescent="0.2">
      <c r="A1016" t="s">
        <v>2409</v>
      </c>
      <c r="B1016" s="1" t="s">
        <v>2410</v>
      </c>
      <c r="C1016" s="11">
        <v>1000000</v>
      </c>
      <c r="D1016" t="s">
        <v>257</v>
      </c>
      <c r="E1016" t="s">
        <v>516</v>
      </c>
      <c r="F1016" s="4">
        <v>37942</v>
      </c>
      <c r="G1016" s="11">
        <v>1000000</v>
      </c>
      <c r="H1016" s="11">
        <v>0</v>
      </c>
    </row>
    <row r="1017" spans="1:8" x14ac:dyDescent="0.2">
      <c r="A1017" t="s">
        <v>2482</v>
      </c>
      <c r="B1017" s="1" t="s">
        <v>2483</v>
      </c>
      <c r="C1017" s="11">
        <v>650000</v>
      </c>
      <c r="D1017" t="s">
        <v>257</v>
      </c>
      <c r="E1017" t="s">
        <v>885</v>
      </c>
      <c r="F1017" s="4">
        <v>38230</v>
      </c>
      <c r="G1017" s="11">
        <v>650000</v>
      </c>
      <c r="H1017" s="11">
        <v>0</v>
      </c>
    </row>
    <row r="1018" spans="1:8" x14ac:dyDescent="0.2">
      <c r="A1018" t="s">
        <v>166</v>
      </c>
      <c r="B1018" s="1" t="s">
        <v>29</v>
      </c>
      <c r="C1018" s="11">
        <v>4000000</v>
      </c>
      <c r="D1018" t="s">
        <v>257</v>
      </c>
      <c r="E1018" t="s">
        <v>516</v>
      </c>
      <c r="F1018" s="4">
        <v>38101</v>
      </c>
      <c r="G1018" s="11">
        <v>4000000</v>
      </c>
      <c r="H1018" s="11">
        <v>0</v>
      </c>
    </row>
    <row r="1019" spans="1:8" x14ac:dyDescent="0.2">
      <c r="A1019" t="s">
        <v>472</v>
      </c>
      <c r="B1019" s="1" t="s">
        <v>1400</v>
      </c>
      <c r="C1019" s="11">
        <v>4000000</v>
      </c>
      <c r="D1019" t="s">
        <v>257</v>
      </c>
      <c r="E1019" t="s">
        <v>885</v>
      </c>
      <c r="F1019" s="4">
        <v>38443</v>
      </c>
      <c r="G1019" s="11">
        <v>0</v>
      </c>
      <c r="H1019" s="11">
        <v>4000000</v>
      </c>
    </row>
    <row r="1020" spans="1:8" x14ac:dyDescent="0.2">
      <c r="A1020" t="s">
        <v>473</v>
      </c>
      <c r="B1020" s="1" t="s">
        <v>474</v>
      </c>
      <c r="C1020" s="11">
        <v>1964000</v>
      </c>
      <c r="D1020" t="s">
        <v>257</v>
      </c>
      <c r="E1020" t="s">
        <v>885</v>
      </c>
      <c r="F1020" s="4">
        <v>38443</v>
      </c>
      <c r="G1020" s="11">
        <v>1964000</v>
      </c>
      <c r="H1020" s="11">
        <v>0</v>
      </c>
    </row>
    <row r="1021" spans="1:8" x14ac:dyDescent="0.2">
      <c r="A1021" t="s">
        <v>1440</v>
      </c>
      <c r="B1021" s="1" t="s">
        <v>237</v>
      </c>
      <c r="C1021" s="11">
        <v>9000000</v>
      </c>
      <c r="D1021" t="s">
        <v>257</v>
      </c>
      <c r="E1021" t="s">
        <v>885</v>
      </c>
      <c r="F1021" s="4">
        <v>38230</v>
      </c>
      <c r="G1021" s="11">
        <v>9000000</v>
      </c>
      <c r="H1021" s="11">
        <v>0</v>
      </c>
    </row>
    <row r="1022" spans="1:8" x14ac:dyDescent="0.2">
      <c r="A1022" t="s">
        <v>2052</v>
      </c>
      <c r="B1022" s="1" t="s">
        <v>649</v>
      </c>
      <c r="C1022" s="11">
        <v>2000000</v>
      </c>
      <c r="D1022" t="s">
        <v>257</v>
      </c>
      <c r="E1022" t="s">
        <v>444</v>
      </c>
      <c r="F1022" s="4">
        <v>38974</v>
      </c>
      <c r="G1022" s="11">
        <v>2000000</v>
      </c>
      <c r="H1022" s="11">
        <v>0</v>
      </c>
    </row>
    <row r="1023" spans="1:8" x14ac:dyDescent="0.2">
      <c r="A1023" t="s">
        <v>2053</v>
      </c>
      <c r="B1023" s="1" t="s">
        <v>650</v>
      </c>
      <c r="C1023" s="11">
        <v>1000000</v>
      </c>
      <c r="D1023" t="s">
        <v>257</v>
      </c>
      <c r="E1023" t="s">
        <v>444</v>
      </c>
      <c r="F1023" s="4">
        <v>38974</v>
      </c>
      <c r="G1023" s="11">
        <v>86731</v>
      </c>
      <c r="H1023" s="11">
        <v>913269</v>
      </c>
    </row>
    <row r="1024" spans="1:8" x14ac:dyDescent="0.2">
      <c r="A1024" t="s">
        <v>797</v>
      </c>
      <c r="B1024" s="1" t="s">
        <v>798</v>
      </c>
      <c r="C1024" s="11">
        <v>2500000</v>
      </c>
      <c r="D1024" t="s">
        <v>257</v>
      </c>
      <c r="E1024" t="s">
        <v>444</v>
      </c>
      <c r="F1024" s="4">
        <v>39253</v>
      </c>
      <c r="G1024" s="11">
        <v>2500000</v>
      </c>
      <c r="H1024" s="11">
        <v>0</v>
      </c>
    </row>
    <row r="1025" spans="1:8" x14ac:dyDescent="0.2">
      <c r="A1025" t="s">
        <v>886</v>
      </c>
      <c r="B1025" s="1" t="s">
        <v>683</v>
      </c>
      <c r="C1025" s="11">
        <v>35000000</v>
      </c>
      <c r="D1025" t="s">
        <v>257</v>
      </c>
      <c r="E1025" t="s">
        <v>444</v>
      </c>
      <c r="F1025" s="4">
        <v>39678</v>
      </c>
      <c r="G1025" s="11">
        <v>34500000</v>
      </c>
      <c r="H1025" s="11">
        <v>500000</v>
      </c>
    </row>
    <row r="1026" spans="1:8" x14ac:dyDescent="0.2">
      <c r="A1026" t="s">
        <v>875</v>
      </c>
      <c r="B1026" s="1" t="s">
        <v>1238</v>
      </c>
      <c r="C1026" s="11">
        <v>500000</v>
      </c>
      <c r="D1026" t="s">
        <v>257</v>
      </c>
      <c r="E1026" t="s">
        <v>444</v>
      </c>
      <c r="F1026" s="4">
        <v>39149</v>
      </c>
      <c r="G1026" s="11">
        <v>500000</v>
      </c>
      <c r="H1026" s="11">
        <v>0</v>
      </c>
    </row>
    <row r="1027" spans="1:8" x14ac:dyDescent="0.2">
      <c r="A1027" t="s">
        <v>880</v>
      </c>
      <c r="B1027" s="1" t="s">
        <v>2566</v>
      </c>
      <c r="C1027" s="11">
        <v>1000000</v>
      </c>
      <c r="D1027" t="s">
        <v>257</v>
      </c>
      <c r="E1027" t="s">
        <v>444</v>
      </c>
      <c r="F1027" s="4">
        <v>39329</v>
      </c>
      <c r="G1027" s="11">
        <v>1000000</v>
      </c>
      <c r="H1027" s="11">
        <v>0</v>
      </c>
    </row>
    <row r="1028" spans="1:8" x14ac:dyDescent="0.2">
      <c r="A1028" t="s">
        <v>881</v>
      </c>
      <c r="B1028" s="1" t="s">
        <v>2189</v>
      </c>
      <c r="C1028" s="11">
        <v>500000</v>
      </c>
      <c r="D1028" t="s">
        <v>257</v>
      </c>
      <c r="E1028" t="s">
        <v>444</v>
      </c>
      <c r="F1028" s="4">
        <v>39394</v>
      </c>
      <c r="G1028" s="11">
        <v>500000</v>
      </c>
      <c r="H1028" s="11">
        <v>0</v>
      </c>
    </row>
    <row r="1029" spans="1:8" x14ac:dyDescent="0.2">
      <c r="A1029" t="s">
        <v>945</v>
      </c>
      <c r="B1029" s="1" t="s">
        <v>645</v>
      </c>
      <c r="C1029" s="11">
        <v>4000000</v>
      </c>
      <c r="D1029" t="s">
        <v>257</v>
      </c>
      <c r="E1029" t="s">
        <v>885</v>
      </c>
      <c r="F1029" s="4">
        <v>38946</v>
      </c>
      <c r="G1029" s="11">
        <v>4000000</v>
      </c>
      <c r="H1029" s="11">
        <v>0</v>
      </c>
    </row>
    <row r="1030" spans="1:8" x14ac:dyDescent="0.2">
      <c r="A1030" t="s">
        <v>2148</v>
      </c>
      <c r="B1030" s="1" t="s">
        <v>1219</v>
      </c>
      <c r="C1030" s="11">
        <v>500000</v>
      </c>
      <c r="D1030" t="s">
        <v>257</v>
      </c>
      <c r="E1030" t="s">
        <v>888</v>
      </c>
      <c r="F1030" s="4">
        <v>39772</v>
      </c>
      <c r="G1030" s="11">
        <v>424893</v>
      </c>
      <c r="H1030" s="11">
        <v>75107</v>
      </c>
    </row>
    <row r="1031" spans="1:8" x14ac:dyDescent="0.2">
      <c r="A1031" t="s">
        <v>602</v>
      </c>
      <c r="B1031" s="1" t="s">
        <v>964</v>
      </c>
      <c r="C1031" s="11">
        <v>2500000</v>
      </c>
      <c r="D1031" t="s">
        <v>257</v>
      </c>
      <c r="E1031" t="s">
        <v>444</v>
      </c>
      <c r="F1031" s="4">
        <v>39897</v>
      </c>
      <c r="G1031" s="11">
        <v>2450000</v>
      </c>
      <c r="H1031" s="11">
        <v>50000</v>
      </c>
    </row>
    <row r="1032" spans="1:8" x14ac:dyDescent="0.2">
      <c r="A1032" t="s">
        <v>4551</v>
      </c>
      <c r="B1032" s="1" t="s">
        <v>4552</v>
      </c>
      <c r="C1032" s="11">
        <v>4000000</v>
      </c>
      <c r="D1032" t="s">
        <v>257</v>
      </c>
      <c r="E1032" t="s">
        <v>3031</v>
      </c>
      <c r="F1032" s="4">
        <v>41316</v>
      </c>
      <c r="G1032" s="11">
        <v>0</v>
      </c>
      <c r="H1032" s="11">
        <v>4000000</v>
      </c>
    </row>
    <row r="1033" spans="1:8" x14ac:dyDescent="0.2">
      <c r="A1033" t="s">
        <v>2731</v>
      </c>
      <c r="B1033" s="1" t="s">
        <v>2083</v>
      </c>
      <c r="C1033" s="11">
        <v>5000000</v>
      </c>
      <c r="D1033" t="s">
        <v>257</v>
      </c>
      <c r="E1033" t="s">
        <v>888</v>
      </c>
      <c r="F1033" s="4">
        <v>39890</v>
      </c>
      <c r="G1033" s="11">
        <v>5000000</v>
      </c>
      <c r="H1033" s="11">
        <v>0</v>
      </c>
    </row>
    <row r="1034" spans="1:8" x14ac:dyDescent="0.2">
      <c r="A1034" t="s">
        <v>3116</v>
      </c>
      <c r="B1034" s="1" t="s">
        <v>3117</v>
      </c>
      <c r="C1034" s="11">
        <v>5000000</v>
      </c>
      <c r="D1034" t="s">
        <v>257</v>
      </c>
      <c r="E1034" t="s">
        <v>888</v>
      </c>
      <c r="F1034" s="4">
        <v>40393</v>
      </c>
      <c r="G1034" s="11">
        <v>3250388.25</v>
      </c>
      <c r="H1034" s="11">
        <v>1749611.75</v>
      </c>
    </row>
    <row r="1035" spans="1:8" x14ac:dyDescent="0.2">
      <c r="A1035" t="s">
        <v>3118</v>
      </c>
      <c r="B1035" s="1" t="s">
        <v>2734</v>
      </c>
      <c r="C1035" s="11">
        <v>1000000</v>
      </c>
      <c r="D1035" t="s">
        <v>257</v>
      </c>
      <c r="E1035" t="s">
        <v>888</v>
      </c>
      <c r="F1035" s="4">
        <v>40234</v>
      </c>
      <c r="G1035" s="11">
        <v>1000000</v>
      </c>
      <c r="H1035" s="11">
        <v>0</v>
      </c>
    </row>
    <row r="1036" spans="1:8" x14ac:dyDescent="0.2">
      <c r="A1036" t="s">
        <v>3119</v>
      </c>
      <c r="B1036" s="1" t="s">
        <v>2879</v>
      </c>
      <c r="C1036" s="11">
        <v>500000</v>
      </c>
      <c r="D1036" t="s">
        <v>257</v>
      </c>
      <c r="E1036" t="s">
        <v>888</v>
      </c>
      <c r="F1036" s="4">
        <v>40289</v>
      </c>
      <c r="G1036" s="11">
        <v>462500</v>
      </c>
      <c r="H1036" s="11">
        <v>37500</v>
      </c>
    </row>
    <row r="1037" spans="1:8" x14ac:dyDescent="0.2">
      <c r="A1037" t="s">
        <v>3120</v>
      </c>
      <c r="B1037" s="1" t="s">
        <v>101</v>
      </c>
      <c r="C1037" s="11">
        <v>1000000</v>
      </c>
      <c r="D1037" t="s">
        <v>257</v>
      </c>
      <c r="E1037" t="s">
        <v>888</v>
      </c>
      <c r="F1037" s="4">
        <v>40213</v>
      </c>
      <c r="G1037" s="11">
        <v>0</v>
      </c>
      <c r="H1037" s="11">
        <v>1000000</v>
      </c>
    </row>
    <row r="1038" spans="1:8" x14ac:dyDescent="0.2">
      <c r="A1038" t="s">
        <v>3478</v>
      </c>
      <c r="B1038" s="1" t="s">
        <v>103</v>
      </c>
      <c r="C1038" s="11">
        <v>2000000</v>
      </c>
      <c r="D1038" t="s">
        <v>257</v>
      </c>
      <c r="E1038" t="s">
        <v>888</v>
      </c>
      <c r="F1038" s="4">
        <v>40217</v>
      </c>
      <c r="G1038" s="11">
        <v>0</v>
      </c>
      <c r="H1038" s="11">
        <v>2000000</v>
      </c>
    </row>
    <row r="1039" spans="1:8" x14ac:dyDescent="0.2">
      <c r="A1039" t="s">
        <v>3776</v>
      </c>
      <c r="B1039" s="1" t="s">
        <v>3483</v>
      </c>
      <c r="C1039" s="11">
        <v>4500000</v>
      </c>
      <c r="D1039" t="s">
        <v>257</v>
      </c>
      <c r="E1039" t="s">
        <v>885</v>
      </c>
      <c r="F1039" s="4">
        <v>40498</v>
      </c>
      <c r="G1039" s="11">
        <v>4336686</v>
      </c>
      <c r="H1039" s="11">
        <v>163314</v>
      </c>
    </row>
    <row r="1040" spans="1:8" x14ac:dyDescent="0.2">
      <c r="A1040" t="s">
        <v>3479</v>
      </c>
      <c r="B1040" s="1" t="s">
        <v>1146</v>
      </c>
      <c r="C1040" s="11">
        <v>4500000</v>
      </c>
      <c r="D1040" t="s">
        <v>257</v>
      </c>
      <c r="E1040" t="s">
        <v>444</v>
      </c>
      <c r="F1040" s="4">
        <v>39688</v>
      </c>
      <c r="G1040" s="11">
        <v>0</v>
      </c>
      <c r="H1040" s="11">
        <v>4500000</v>
      </c>
    </row>
    <row r="1041" spans="1:8" x14ac:dyDescent="0.2">
      <c r="A1041" t="s">
        <v>3480</v>
      </c>
      <c r="B1041" s="1" t="s">
        <v>3121</v>
      </c>
      <c r="C1041" s="11">
        <v>3000000</v>
      </c>
      <c r="D1041" t="s">
        <v>257</v>
      </c>
      <c r="E1041" t="s">
        <v>3008</v>
      </c>
      <c r="F1041" s="4">
        <v>40436</v>
      </c>
      <c r="G1041" s="11">
        <v>0</v>
      </c>
      <c r="H1041" s="11">
        <v>3000000</v>
      </c>
    </row>
    <row r="1042" spans="1:8" x14ac:dyDescent="0.2">
      <c r="A1042" t="s">
        <v>3777</v>
      </c>
      <c r="B1042" s="1" t="s">
        <v>3125</v>
      </c>
      <c r="C1042" s="11">
        <v>20000000</v>
      </c>
      <c r="D1042" t="s">
        <v>257</v>
      </c>
      <c r="E1042" t="s">
        <v>888</v>
      </c>
      <c r="F1042" s="4">
        <v>40487</v>
      </c>
      <c r="G1042" s="11">
        <v>9840288</v>
      </c>
      <c r="H1042" s="11">
        <v>10159712</v>
      </c>
    </row>
    <row r="1043" spans="1:8" x14ac:dyDescent="0.2">
      <c r="A1043" t="s">
        <v>4193</v>
      </c>
      <c r="B1043" s="1" t="s">
        <v>3126</v>
      </c>
      <c r="C1043" s="11">
        <v>3000000</v>
      </c>
      <c r="D1043" t="s">
        <v>257</v>
      </c>
      <c r="E1043" t="s">
        <v>885</v>
      </c>
      <c r="F1043" s="4">
        <v>40487</v>
      </c>
      <c r="G1043" s="11">
        <v>0</v>
      </c>
      <c r="H1043" s="11">
        <v>3000000</v>
      </c>
    </row>
    <row r="1044" spans="1:8" x14ac:dyDescent="0.2">
      <c r="A1044" t="s">
        <v>3481</v>
      </c>
      <c r="B1044" s="1" t="s">
        <v>3123</v>
      </c>
      <c r="C1044" s="11">
        <v>2300000</v>
      </c>
      <c r="D1044" t="s">
        <v>257</v>
      </c>
      <c r="E1044" t="s">
        <v>444</v>
      </c>
      <c r="F1044" s="4">
        <v>40436</v>
      </c>
      <c r="G1044" s="11">
        <v>0</v>
      </c>
      <c r="H1044" s="11">
        <v>2300000</v>
      </c>
    </row>
    <row r="1045" spans="1:8" x14ac:dyDescent="0.2">
      <c r="A1045" t="s">
        <v>3778</v>
      </c>
      <c r="B1045" s="1" t="s">
        <v>3122</v>
      </c>
      <c r="C1045" s="11">
        <v>1500000</v>
      </c>
      <c r="D1045" t="s">
        <v>257</v>
      </c>
      <c r="E1045" t="s">
        <v>888</v>
      </c>
      <c r="F1045" s="4">
        <v>40436</v>
      </c>
      <c r="G1045" s="11">
        <v>1462500</v>
      </c>
      <c r="H1045" s="11">
        <v>37500</v>
      </c>
    </row>
    <row r="1046" spans="1:8" x14ac:dyDescent="0.2">
      <c r="A1046" t="s">
        <v>4118</v>
      </c>
      <c r="B1046" s="1" t="s">
        <v>3124</v>
      </c>
      <c r="C1046" s="11">
        <v>900000</v>
      </c>
      <c r="D1046" t="s">
        <v>257</v>
      </c>
      <c r="E1046" t="s">
        <v>888</v>
      </c>
      <c r="F1046" s="4">
        <v>40436</v>
      </c>
      <c r="G1046" s="11">
        <v>0</v>
      </c>
      <c r="H1046" s="11">
        <v>900000</v>
      </c>
    </row>
    <row r="1047" spans="1:8" x14ac:dyDescent="0.2">
      <c r="A1047" t="s">
        <v>4194</v>
      </c>
      <c r="B1047" s="1" t="s">
        <v>3482</v>
      </c>
      <c r="C1047" s="11">
        <v>3500000</v>
      </c>
      <c r="D1047" t="s">
        <v>257</v>
      </c>
      <c r="E1047" t="s">
        <v>444</v>
      </c>
      <c r="F1047" s="4">
        <v>40497</v>
      </c>
      <c r="G1047" s="11">
        <v>0</v>
      </c>
      <c r="H1047" s="11">
        <v>3500000</v>
      </c>
    </row>
    <row r="1048" spans="1:8" x14ac:dyDescent="0.2">
      <c r="A1048" t="s">
        <v>4195</v>
      </c>
      <c r="B1048" s="1" t="s">
        <v>3780</v>
      </c>
      <c r="C1048" s="11">
        <v>1000000</v>
      </c>
      <c r="D1048" t="s">
        <v>257</v>
      </c>
      <c r="E1048" t="s">
        <v>888</v>
      </c>
      <c r="F1048" s="4">
        <v>40546</v>
      </c>
      <c r="G1048" s="11">
        <v>0</v>
      </c>
      <c r="H1048" s="11">
        <v>1000000</v>
      </c>
    </row>
    <row r="1049" spans="1:8" x14ac:dyDescent="0.2">
      <c r="A1049" t="s">
        <v>4413</v>
      </c>
      <c r="B1049" s="1" t="s">
        <v>3779</v>
      </c>
      <c r="C1049" s="11">
        <v>2500000</v>
      </c>
      <c r="D1049" t="s">
        <v>257</v>
      </c>
      <c r="E1049" t="s">
        <v>3031</v>
      </c>
      <c r="F1049" s="4">
        <v>40532</v>
      </c>
      <c r="G1049" s="11">
        <v>0</v>
      </c>
      <c r="H1049" s="11">
        <v>2500000</v>
      </c>
    </row>
    <row r="1050" spans="1:8" x14ac:dyDescent="0.2">
      <c r="A1050" t="s">
        <v>4414</v>
      </c>
      <c r="B1050" s="1" t="s">
        <v>3781</v>
      </c>
      <c r="C1050" s="11">
        <v>500000</v>
      </c>
      <c r="D1050" t="s">
        <v>257</v>
      </c>
      <c r="E1050" t="s">
        <v>516</v>
      </c>
      <c r="F1050" s="4">
        <v>40546</v>
      </c>
      <c r="G1050" s="11">
        <v>0</v>
      </c>
      <c r="H1050" s="11">
        <v>500000</v>
      </c>
    </row>
    <row r="1051" spans="1:8" x14ac:dyDescent="0.2">
      <c r="A1051" t="s">
        <v>4415</v>
      </c>
      <c r="B1051" s="1" t="s">
        <v>3782</v>
      </c>
      <c r="C1051" s="11">
        <v>500000</v>
      </c>
      <c r="D1051" t="s">
        <v>257</v>
      </c>
      <c r="E1051" t="s">
        <v>3031</v>
      </c>
      <c r="F1051" s="4">
        <v>40546</v>
      </c>
      <c r="G1051" s="11">
        <v>0</v>
      </c>
      <c r="H1051" s="11">
        <v>500000</v>
      </c>
    </row>
    <row r="1052" spans="1:8" x14ac:dyDescent="0.2">
      <c r="A1052" t="s">
        <v>4416</v>
      </c>
      <c r="B1052" s="1" t="s">
        <v>3783</v>
      </c>
      <c r="C1052" s="11">
        <v>250000</v>
      </c>
      <c r="D1052" t="s">
        <v>257</v>
      </c>
      <c r="E1052" t="s">
        <v>3031</v>
      </c>
      <c r="F1052" s="4">
        <v>40546</v>
      </c>
      <c r="G1052" s="11">
        <v>0</v>
      </c>
      <c r="H1052" s="11">
        <v>250000</v>
      </c>
    </row>
    <row r="1053" spans="1:8" x14ac:dyDescent="0.2">
      <c r="A1053" t="s">
        <v>2733</v>
      </c>
      <c r="B1053" s="1" t="s">
        <v>2119</v>
      </c>
      <c r="C1053" s="11">
        <v>0</v>
      </c>
      <c r="D1053" t="s">
        <v>257</v>
      </c>
      <c r="E1053" t="s">
        <v>787</v>
      </c>
      <c r="F1053" s="4">
        <v>39930</v>
      </c>
      <c r="G1053" s="11">
        <v>0</v>
      </c>
      <c r="H1053" s="11">
        <v>0</v>
      </c>
    </row>
    <row r="1054" spans="1:8" x14ac:dyDescent="0.2">
      <c r="A1054" t="s">
        <v>4119</v>
      </c>
      <c r="B1054" s="1" t="s">
        <v>102</v>
      </c>
      <c r="C1054" s="11">
        <v>0</v>
      </c>
      <c r="D1054" t="s">
        <v>257</v>
      </c>
      <c r="E1054" t="s">
        <v>885</v>
      </c>
      <c r="F1054" s="4">
        <v>40217</v>
      </c>
      <c r="G1054" s="11">
        <v>0</v>
      </c>
      <c r="H1054" s="11">
        <v>0</v>
      </c>
    </row>
    <row r="1055" spans="1:8" x14ac:dyDescent="0.2">
      <c r="A1055" t="s">
        <v>4337</v>
      </c>
      <c r="B1055" s="1" t="s">
        <v>2120</v>
      </c>
      <c r="C1055" s="11">
        <v>0</v>
      </c>
      <c r="D1055" t="s">
        <v>257</v>
      </c>
      <c r="E1055" t="s">
        <v>888</v>
      </c>
      <c r="F1055" s="4">
        <v>39930</v>
      </c>
      <c r="G1055" s="11">
        <v>0</v>
      </c>
      <c r="H1055" s="11">
        <v>0</v>
      </c>
    </row>
    <row r="1056" spans="1:8" x14ac:dyDescent="0.2">
      <c r="A1056" t="s">
        <v>4370</v>
      </c>
      <c r="B1056" s="1" t="s">
        <v>1285</v>
      </c>
      <c r="C1056" s="11">
        <v>0</v>
      </c>
      <c r="D1056" t="s">
        <v>257</v>
      </c>
      <c r="E1056" t="s">
        <v>885</v>
      </c>
      <c r="F1056" s="4">
        <v>39062</v>
      </c>
      <c r="G1056" s="11">
        <v>0</v>
      </c>
      <c r="H1056" s="11">
        <v>0</v>
      </c>
    </row>
    <row r="1057" spans="1:8" x14ac:dyDescent="0.2">
      <c r="A1057" t="s">
        <v>4371</v>
      </c>
      <c r="B1057" s="1" t="s">
        <v>1286</v>
      </c>
      <c r="C1057" s="11">
        <v>0</v>
      </c>
      <c r="D1057" t="s">
        <v>257</v>
      </c>
      <c r="E1057" t="s">
        <v>885</v>
      </c>
      <c r="F1057" s="4">
        <v>39062</v>
      </c>
      <c r="G1057" s="11">
        <v>0</v>
      </c>
      <c r="H1057" s="11">
        <v>0</v>
      </c>
    </row>
    <row r="1058" spans="1:8" x14ac:dyDescent="0.2">
      <c r="A1058" t="s">
        <v>287</v>
      </c>
      <c r="B1058" s="1" t="s">
        <v>288</v>
      </c>
      <c r="C1058" s="11">
        <v>3000000</v>
      </c>
      <c r="D1058" t="s">
        <v>289</v>
      </c>
      <c r="E1058" t="s">
        <v>290</v>
      </c>
      <c r="F1058" s="4">
        <v>34151</v>
      </c>
      <c r="G1058" s="11">
        <v>3000000</v>
      </c>
      <c r="H1058" s="11">
        <v>0</v>
      </c>
    </row>
    <row r="1059" spans="1:8" x14ac:dyDescent="0.2">
      <c r="A1059" t="s">
        <v>1950</v>
      </c>
      <c r="B1059" s="1" t="s">
        <v>1951</v>
      </c>
      <c r="C1059" s="11">
        <v>1600000</v>
      </c>
      <c r="D1059" t="s">
        <v>289</v>
      </c>
      <c r="E1059" t="s">
        <v>969</v>
      </c>
      <c r="F1059" s="4">
        <v>36349</v>
      </c>
      <c r="G1059" s="11">
        <v>1600000</v>
      </c>
      <c r="H1059" s="11">
        <v>0</v>
      </c>
    </row>
    <row r="1060" spans="1:8" x14ac:dyDescent="0.2">
      <c r="A1060" t="s">
        <v>2226</v>
      </c>
      <c r="B1060" s="1" t="s">
        <v>2227</v>
      </c>
      <c r="C1060" s="11">
        <v>15000000</v>
      </c>
      <c r="D1060" t="s">
        <v>289</v>
      </c>
      <c r="E1060" t="s">
        <v>1560</v>
      </c>
      <c r="F1060" s="4">
        <v>36468</v>
      </c>
      <c r="G1060" s="11">
        <v>15000000</v>
      </c>
      <c r="H1060" s="11">
        <v>0</v>
      </c>
    </row>
    <row r="1061" spans="1:8" x14ac:dyDescent="0.2">
      <c r="A1061" t="s">
        <v>957</v>
      </c>
      <c r="B1061" s="1" t="s">
        <v>2227</v>
      </c>
      <c r="C1061" s="11">
        <v>1000000</v>
      </c>
      <c r="D1061" t="s">
        <v>289</v>
      </c>
      <c r="E1061" t="s">
        <v>885</v>
      </c>
      <c r="F1061" s="4">
        <v>39710</v>
      </c>
      <c r="G1061" s="11">
        <v>1000000</v>
      </c>
      <c r="H1061" s="11">
        <v>0</v>
      </c>
    </row>
    <row r="1062" spans="1:8" x14ac:dyDescent="0.2">
      <c r="A1062" t="s">
        <v>2237</v>
      </c>
      <c r="B1062" s="1" t="s">
        <v>2238</v>
      </c>
      <c r="C1062" s="11">
        <v>2600000</v>
      </c>
      <c r="D1062" t="s">
        <v>289</v>
      </c>
      <c r="E1062" t="s">
        <v>969</v>
      </c>
      <c r="F1062" s="4">
        <v>37553</v>
      </c>
      <c r="G1062" s="11">
        <v>2600000</v>
      </c>
      <c r="H1062" s="11">
        <v>0</v>
      </c>
    </row>
    <row r="1063" spans="1:8" x14ac:dyDescent="0.2">
      <c r="A1063" t="s">
        <v>2303</v>
      </c>
      <c r="B1063" s="1" t="s">
        <v>2304</v>
      </c>
      <c r="C1063" s="11">
        <v>6000000</v>
      </c>
      <c r="D1063" t="s">
        <v>289</v>
      </c>
      <c r="E1063" t="s">
        <v>969</v>
      </c>
      <c r="F1063" s="4">
        <v>37579</v>
      </c>
      <c r="G1063" s="11">
        <v>6000000</v>
      </c>
      <c r="H1063" s="11">
        <v>0</v>
      </c>
    </row>
    <row r="1064" spans="1:8" x14ac:dyDescent="0.2">
      <c r="A1064" t="s">
        <v>1328</v>
      </c>
      <c r="B1064" s="1" t="s">
        <v>1329</v>
      </c>
      <c r="C1064" s="11">
        <v>2000000</v>
      </c>
      <c r="D1064" t="s">
        <v>289</v>
      </c>
      <c r="E1064" t="s">
        <v>885</v>
      </c>
      <c r="F1064" s="4">
        <v>38785</v>
      </c>
      <c r="G1064" s="11">
        <v>2000000</v>
      </c>
      <c r="H1064" s="11">
        <v>0</v>
      </c>
    </row>
    <row r="1065" spans="1:8" x14ac:dyDescent="0.2">
      <c r="A1065" t="s">
        <v>1330</v>
      </c>
      <c r="B1065" s="1" t="s">
        <v>1329</v>
      </c>
      <c r="C1065" s="11">
        <v>500000</v>
      </c>
      <c r="D1065" t="s">
        <v>289</v>
      </c>
      <c r="E1065" t="s">
        <v>885</v>
      </c>
      <c r="F1065" s="4">
        <v>38785</v>
      </c>
      <c r="G1065" s="11">
        <v>500000</v>
      </c>
      <c r="H1065" s="11">
        <v>0</v>
      </c>
    </row>
    <row r="1066" spans="1:8" x14ac:dyDescent="0.2">
      <c r="A1066" t="s">
        <v>2347</v>
      </c>
      <c r="B1066" s="1" t="s">
        <v>2348</v>
      </c>
      <c r="C1066" s="11">
        <v>400000</v>
      </c>
      <c r="D1066" t="s">
        <v>289</v>
      </c>
      <c r="E1066" t="s">
        <v>969</v>
      </c>
      <c r="F1066" s="4">
        <v>37599</v>
      </c>
      <c r="G1066" s="11">
        <v>390000</v>
      </c>
      <c r="H1066" s="11">
        <v>10000</v>
      </c>
    </row>
    <row r="1067" spans="1:8" x14ac:dyDescent="0.2">
      <c r="A1067" t="s">
        <v>2385</v>
      </c>
      <c r="B1067" s="1" t="s">
        <v>2386</v>
      </c>
      <c r="C1067" s="11">
        <v>10000000</v>
      </c>
      <c r="D1067" t="s">
        <v>289</v>
      </c>
      <c r="E1067" t="s">
        <v>969</v>
      </c>
      <c r="F1067" s="4">
        <v>37741</v>
      </c>
      <c r="G1067" s="11">
        <v>10000000</v>
      </c>
      <c r="H1067" s="11">
        <v>0</v>
      </c>
    </row>
    <row r="1068" spans="1:8" x14ac:dyDescent="0.2">
      <c r="A1068" t="s">
        <v>1515</v>
      </c>
      <c r="B1068" s="1" t="s">
        <v>1516</v>
      </c>
      <c r="C1068" s="11">
        <v>2000000</v>
      </c>
      <c r="D1068" t="s">
        <v>289</v>
      </c>
      <c r="E1068" t="s">
        <v>885</v>
      </c>
      <c r="F1068" s="4">
        <v>38852</v>
      </c>
      <c r="G1068" s="11">
        <v>2000000</v>
      </c>
      <c r="H1068" s="11">
        <v>0</v>
      </c>
    </row>
    <row r="1069" spans="1:8" x14ac:dyDescent="0.2">
      <c r="A1069" t="s">
        <v>1331</v>
      </c>
      <c r="B1069" s="1" t="s">
        <v>1332</v>
      </c>
      <c r="C1069" s="11">
        <v>500000</v>
      </c>
      <c r="D1069" t="s">
        <v>289</v>
      </c>
      <c r="E1069" t="s">
        <v>516</v>
      </c>
      <c r="F1069" s="4">
        <v>38082</v>
      </c>
      <c r="G1069" s="11">
        <v>500000</v>
      </c>
      <c r="H1069" s="11">
        <v>0</v>
      </c>
    </row>
    <row r="1070" spans="1:8" x14ac:dyDescent="0.2">
      <c r="A1070" t="s">
        <v>2503</v>
      </c>
      <c r="B1070" s="1" t="s">
        <v>2504</v>
      </c>
      <c r="C1070" s="11">
        <v>10000000</v>
      </c>
      <c r="D1070" t="s">
        <v>289</v>
      </c>
      <c r="E1070" t="s">
        <v>516</v>
      </c>
      <c r="F1070" s="4">
        <v>38216</v>
      </c>
      <c r="G1070" s="11">
        <v>10000000</v>
      </c>
      <c r="H1070" s="11">
        <v>0</v>
      </c>
    </row>
    <row r="1071" spans="1:8" x14ac:dyDescent="0.2">
      <c r="A1071" t="s">
        <v>175</v>
      </c>
      <c r="B1071" s="1" t="s">
        <v>176</v>
      </c>
      <c r="C1071" s="11">
        <v>1000000</v>
      </c>
      <c r="D1071" t="s">
        <v>289</v>
      </c>
      <c r="E1071" t="s">
        <v>516</v>
      </c>
      <c r="F1071" s="4">
        <v>38216</v>
      </c>
      <c r="G1071" s="11">
        <v>1000000</v>
      </c>
      <c r="H1071" s="11">
        <v>0</v>
      </c>
    </row>
    <row r="1072" spans="1:8" x14ac:dyDescent="0.2">
      <c r="A1072" t="s">
        <v>457</v>
      </c>
      <c r="B1072" s="1" t="s">
        <v>458</v>
      </c>
      <c r="C1072" s="11">
        <v>2000000</v>
      </c>
      <c r="D1072" t="s">
        <v>289</v>
      </c>
      <c r="E1072" t="s">
        <v>885</v>
      </c>
      <c r="F1072" s="4">
        <v>38337</v>
      </c>
      <c r="G1072" s="11">
        <v>2000000</v>
      </c>
      <c r="H1072" s="11">
        <v>0</v>
      </c>
    </row>
    <row r="1073" spans="1:8" x14ac:dyDescent="0.2">
      <c r="A1073" t="s">
        <v>184</v>
      </c>
      <c r="B1073" s="1" t="s">
        <v>459</v>
      </c>
      <c r="C1073" s="11">
        <v>3000000</v>
      </c>
      <c r="D1073" t="s">
        <v>289</v>
      </c>
      <c r="E1073" t="s">
        <v>885</v>
      </c>
      <c r="F1073" s="4">
        <v>38385</v>
      </c>
      <c r="G1073" s="11">
        <v>3000000</v>
      </c>
      <c r="H1073" s="11">
        <v>0</v>
      </c>
    </row>
    <row r="1074" spans="1:8" x14ac:dyDescent="0.2">
      <c r="A1074" t="s">
        <v>185</v>
      </c>
      <c r="B1074" s="1" t="s">
        <v>1648</v>
      </c>
      <c r="C1074" s="11">
        <v>1500000</v>
      </c>
      <c r="D1074" t="s">
        <v>289</v>
      </c>
      <c r="E1074" t="s">
        <v>885</v>
      </c>
      <c r="F1074" s="4">
        <v>38980</v>
      </c>
      <c r="G1074" s="11">
        <v>1500000</v>
      </c>
      <c r="H1074" s="11">
        <v>0</v>
      </c>
    </row>
    <row r="1075" spans="1:8" x14ac:dyDescent="0.2">
      <c r="A1075" t="s">
        <v>1441</v>
      </c>
      <c r="B1075" s="1" t="s">
        <v>420</v>
      </c>
      <c r="C1075" s="11">
        <v>7000000</v>
      </c>
      <c r="D1075" t="s">
        <v>289</v>
      </c>
      <c r="E1075" t="s">
        <v>885</v>
      </c>
      <c r="F1075" s="4">
        <v>38747</v>
      </c>
      <c r="G1075" s="11">
        <v>7000000</v>
      </c>
      <c r="H1075" s="11">
        <v>0</v>
      </c>
    </row>
    <row r="1076" spans="1:8" x14ac:dyDescent="0.2">
      <c r="A1076" t="s">
        <v>1837</v>
      </c>
      <c r="B1076" s="1" t="s">
        <v>416</v>
      </c>
      <c r="C1076" s="11">
        <v>1000000</v>
      </c>
      <c r="D1076" t="s">
        <v>289</v>
      </c>
      <c r="E1076" t="s">
        <v>885</v>
      </c>
      <c r="F1076" s="4">
        <v>38747</v>
      </c>
      <c r="G1076" s="11">
        <v>369128</v>
      </c>
      <c r="H1076" s="11">
        <v>630872</v>
      </c>
    </row>
    <row r="1077" spans="1:8" x14ac:dyDescent="0.2">
      <c r="A1077" t="s">
        <v>1352</v>
      </c>
      <c r="B1077" s="1" t="s">
        <v>1517</v>
      </c>
      <c r="C1077" s="11">
        <v>500000</v>
      </c>
      <c r="D1077" t="s">
        <v>289</v>
      </c>
      <c r="E1077" t="s">
        <v>516</v>
      </c>
      <c r="F1077" s="4">
        <v>38873</v>
      </c>
      <c r="G1077" s="11">
        <v>500000</v>
      </c>
      <c r="H1077" s="11">
        <v>0</v>
      </c>
    </row>
    <row r="1078" spans="1:8" x14ac:dyDescent="0.2">
      <c r="A1078" t="s">
        <v>1353</v>
      </c>
      <c r="B1078" s="1" t="s">
        <v>1517</v>
      </c>
      <c r="C1078" s="11">
        <v>500000</v>
      </c>
      <c r="D1078" t="s">
        <v>289</v>
      </c>
      <c r="E1078" t="s">
        <v>516</v>
      </c>
      <c r="F1078" s="4">
        <v>38873</v>
      </c>
      <c r="G1078" s="11">
        <v>311695</v>
      </c>
      <c r="H1078" s="11">
        <v>188305</v>
      </c>
    </row>
    <row r="1079" spans="1:8" x14ac:dyDescent="0.2">
      <c r="A1079" t="s">
        <v>3784</v>
      </c>
      <c r="B1079" s="1" t="s">
        <v>3134</v>
      </c>
      <c r="C1079" s="11">
        <v>1500000</v>
      </c>
      <c r="D1079" t="s">
        <v>289</v>
      </c>
      <c r="E1079" t="s">
        <v>888</v>
      </c>
      <c r="F1079" s="4">
        <v>40436</v>
      </c>
      <c r="G1079" s="11">
        <v>0</v>
      </c>
      <c r="H1079" s="11">
        <v>1500000</v>
      </c>
    </row>
    <row r="1080" spans="1:8" x14ac:dyDescent="0.2">
      <c r="A1080" t="s">
        <v>1355</v>
      </c>
      <c r="B1080" s="1" t="s">
        <v>1518</v>
      </c>
      <c r="C1080" s="11">
        <v>500000</v>
      </c>
      <c r="D1080" t="s">
        <v>289</v>
      </c>
      <c r="E1080" t="s">
        <v>885</v>
      </c>
      <c r="F1080" s="4">
        <v>38874</v>
      </c>
      <c r="G1080" s="11">
        <v>500000</v>
      </c>
      <c r="H1080" s="11">
        <v>0</v>
      </c>
    </row>
    <row r="1081" spans="1:8" x14ac:dyDescent="0.2">
      <c r="A1081" t="s">
        <v>2054</v>
      </c>
      <c r="B1081" s="1" t="s">
        <v>1234</v>
      </c>
      <c r="C1081" s="11">
        <v>300000</v>
      </c>
      <c r="D1081" t="s">
        <v>289</v>
      </c>
      <c r="E1081" t="s">
        <v>444</v>
      </c>
      <c r="F1081" s="4">
        <v>39149</v>
      </c>
      <c r="G1081" s="11">
        <v>0</v>
      </c>
      <c r="H1081" s="11">
        <v>300000</v>
      </c>
    </row>
    <row r="1082" spans="1:8" x14ac:dyDescent="0.2">
      <c r="A1082" t="s">
        <v>871</v>
      </c>
      <c r="B1082" s="1" t="s">
        <v>1268</v>
      </c>
      <c r="C1082" s="11">
        <v>2100000</v>
      </c>
      <c r="D1082" t="s">
        <v>289</v>
      </c>
      <c r="E1082" t="s">
        <v>444</v>
      </c>
      <c r="F1082" s="4">
        <v>39062</v>
      </c>
      <c r="G1082" s="11">
        <v>2100000</v>
      </c>
      <c r="H1082" s="11">
        <v>0</v>
      </c>
    </row>
    <row r="1083" spans="1:8" x14ac:dyDescent="0.2">
      <c r="A1083" t="s">
        <v>933</v>
      </c>
      <c r="B1083" s="1" t="s">
        <v>422</v>
      </c>
      <c r="C1083" s="11">
        <v>2000000</v>
      </c>
      <c r="D1083" t="s">
        <v>289</v>
      </c>
      <c r="E1083" t="s">
        <v>885</v>
      </c>
      <c r="F1083" s="4">
        <v>38757</v>
      </c>
      <c r="G1083" s="11">
        <v>2000000</v>
      </c>
      <c r="H1083" s="11">
        <v>0</v>
      </c>
    </row>
    <row r="1084" spans="1:8" x14ac:dyDescent="0.2">
      <c r="A1084" t="s">
        <v>981</v>
      </c>
      <c r="B1084" s="1" t="s">
        <v>906</v>
      </c>
      <c r="C1084" s="11">
        <v>3000000</v>
      </c>
      <c r="D1084" t="s">
        <v>289</v>
      </c>
      <c r="E1084" t="s">
        <v>516</v>
      </c>
      <c r="F1084" s="4">
        <v>39688</v>
      </c>
      <c r="G1084" s="11">
        <v>3000000</v>
      </c>
      <c r="H1084" s="11">
        <v>0</v>
      </c>
    </row>
    <row r="1085" spans="1:8" x14ac:dyDescent="0.2">
      <c r="A1085" t="s">
        <v>1058</v>
      </c>
      <c r="B1085" s="1" t="s">
        <v>1147</v>
      </c>
      <c r="C1085" s="11">
        <v>3500000</v>
      </c>
      <c r="D1085" t="s">
        <v>289</v>
      </c>
      <c r="E1085" t="s">
        <v>885</v>
      </c>
      <c r="F1085" s="4">
        <v>39688</v>
      </c>
      <c r="G1085" s="11">
        <v>2413511</v>
      </c>
      <c r="H1085" s="11">
        <v>1086489</v>
      </c>
    </row>
    <row r="1086" spans="1:8" x14ac:dyDescent="0.2">
      <c r="A1086" t="s">
        <v>1059</v>
      </c>
      <c r="B1086" s="1" t="s">
        <v>1178</v>
      </c>
      <c r="C1086" s="11">
        <v>500000</v>
      </c>
      <c r="D1086" t="s">
        <v>289</v>
      </c>
      <c r="E1086" t="s">
        <v>885</v>
      </c>
      <c r="F1086" s="4">
        <v>39717</v>
      </c>
      <c r="G1086" s="11">
        <v>500000</v>
      </c>
      <c r="H1086" s="11">
        <v>0</v>
      </c>
    </row>
    <row r="1087" spans="1:8" x14ac:dyDescent="0.2">
      <c r="A1087" t="s">
        <v>1060</v>
      </c>
      <c r="B1087" s="1" t="s">
        <v>1061</v>
      </c>
      <c r="C1087" s="11">
        <v>10000000</v>
      </c>
      <c r="D1087" t="s">
        <v>289</v>
      </c>
      <c r="E1087" t="s">
        <v>888</v>
      </c>
      <c r="F1087" s="4">
        <v>39735</v>
      </c>
      <c r="G1087" s="11">
        <v>9023835</v>
      </c>
      <c r="H1087" s="11">
        <v>976165</v>
      </c>
    </row>
    <row r="1088" spans="1:8" x14ac:dyDescent="0.2">
      <c r="A1088" t="s">
        <v>4054</v>
      </c>
      <c r="B1088" s="1" t="s">
        <v>4055</v>
      </c>
      <c r="C1088" s="11">
        <v>3000000</v>
      </c>
      <c r="D1088" t="s">
        <v>289</v>
      </c>
      <c r="E1088" t="s">
        <v>3031</v>
      </c>
      <c r="F1088" s="4">
        <v>40557</v>
      </c>
      <c r="G1088" s="11">
        <v>0</v>
      </c>
      <c r="H1088" s="11">
        <v>3000000</v>
      </c>
    </row>
    <row r="1089" spans="1:8" x14ac:dyDescent="0.2">
      <c r="A1089" t="s">
        <v>2149</v>
      </c>
      <c r="B1089" s="1" t="s">
        <v>1063</v>
      </c>
      <c r="C1089" s="11">
        <v>2000000</v>
      </c>
      <c r="D1089" t="s">
        <v>289</v>
      </c>
      <c r="E1089" t="s">
        <v>888</v>
      </c>
      <c r="F1089" s="4">
        <v>39890</v>
      </c>
      <c r="G1089" s="11">
        <v>2000000</v>
      </c>
      <c r="H1089" s="11">
        <v>0</v>
      </c>
    </row>
    <row r="1090" spans="1:8" x14ac:dyDescent="0.2">
      <c r="A1090" t="s">
        <v>603</v>
      </c>
      <c r="B1090" s="1" t="s">
        <v>604</v>
      </c>
      <c r="C1090" s="11">
        <v>750000</v>
      </c>
      <c r="D1090" t="s">
        <v>289</v>
      </c>
      <c r="E1090" t="s">
        <v>888</v>
      </c>
      <c r="F1090" s="4">
        <v>40163</v>
      </c>
      <c r="G1090" s="11">
        <v>695000</v>
      </c>
      <c r="H1090" s="11">
        <v>55000</v>
      </c>
    </row>
    <row r="1091" spans="1:8" x14ac:dyDescent="0.2">
      <c r="A1091" t="s">
        <v>1062</v>
      </c>
      <c r="B1091" s="1" t="s">
        <v>2567</v>
      </c>
      <c r="C1091" s="11">
        <v>1000000</v>
      </c>
      <c r="D1091" t="s">
        <v>289</v>
      </c>
      <c r="E1091" t="s">
        <v>888</v>
      </c>
      <c r="F1091" s="4">
        <v>39793</v>
      </c>
      <c r="G1091" s="11">
        <v>1000000</v>
      </c>
      <c r="H1091" s="11">
        <v>0</v>
      </c>
    </row>
    <row r="1092" spans="1:8" x14ac:dyDescent="0.2">
      <c r="A1092" t="s">
        <v>3127</v>
      </c>
      <c r="B1092" s="1" t="s">
        <v>2880</v>
      </c>
      <c r="C1092" s="11">
        <v>2000000</v>
      </c>
      <c r="D1092" t="s">
        <v>289</v>
      </c>
      <c r="E1092" t="s">
        <v>888</v>
      </c>
      <c r="F1092" s="4">
        <v>40289</v>
      </c>
      <c r="G1092" s="11">
        <v>0</v>
      </c>
      <c r="H1092" s="11">
        <v>2000000</v>
      </c>
    </row>
    <row r="1093" spans="1:8" x14ac:dyDescent="0.2">
      <c r="A1093" t="s">
        <v>3785</v>
      </c>
      <c r="B1093" s="1" t="s">
        <v>3786</v>
      </c>
      <c r="C1093" s="11">
        <v>1000000</v>
      </c>
      <c r="D1093" t="s">
        <v>289</v>
      </c>
      <c r="E1093" t="s">
        <v>3031</v>
      </c>
      <c r="F1093" s="4">
        <v>40519</v>
      </c>
      <c r="G1093" s="11">
        <v>0</v>
      </c>
      <c r="H1093" s="11">
        <v>1000000</v>
      </c>
    </row>
    <row r="1094" spans="1:8" x14ac:dyDescent="0.2">
      <c r="A1094" t="s">
        <v>4071</v>
      </c>
      <c r="B1094" s="1" t="s">
        <v>3792</v>
      </c>
      <c r="C1094" s="11">
        <v>1500000</v>
      </c>
      <c r="D1094" t="s">
        <v>289</v>
      </c>
      <c r="E1094" t="s">
        <v>3031</v>
      </c>
      <c r="F1094" s="4">
        <v>40546</v>
      </c>
      <c r="G1094" s="11">
        <v>0</v>
      </c>
      <c r="H1094" s="11">
        <v>1500000</v>
      </c>
    </row>
    <row r="1095" spans="1:8" x14ac:dyDescent="0.2">
      <c r="A1095" t="s">
        <v>4567</v>
      </c>
      <c r="B1095" s="1" t="s">
        <v>4568</v>
      </c>
      <c r="C1095" s="11">
        <v>250000</v>
      </c>
      <c r="D1095" t="s">
        <v>289</v>
      </c>
      <c r="E1095" t="s">
        <v>3031</v>
      </c>
      <c r="F1095" s="4">
        <v>39149</v>
      </c>
      <c r="G1095" s="11">
        <v>0</v>
      </c>
      <c r="H1095" s="11">
        <v>250000</v>
      </c>
    </row>
    <row r="1096" spans="1:8" x14ac:dyDescent="0.2">
      <c r="A1096" t="s">
        <v>3484</v>
      </c>
      <c r="B1096" s="1" t="s">
        <v>2881</v>
      </c>
      <c r="C1096" s="11">
        <v>1000000</v>
      </c>
      <c r="D1096" t="s">
        <v>289</v>
      </c>
      <c r="E1096" t="s">
        <v>444</v>
      </c>
      <c r="F1096" s="4">
        <v>40346</v>
      </c>
      <c r="G1096" s="11">
        <v>0</v>
      </c>
      <c r="H1096" s="11">
        <v>1000000</v>
      </c>
    </row>
    <row r="1097" spans="1:8" x14ac:dyDescent="0.2">
      <c r="A1097" t="s">
        <v>4072</v>
      </c>
      <c r="B1097" s="1" t="s">
        <v>3788</v>
      </c>
      <c r="C1097" s="11">
        <v>2000000</v>
      </c>
      <c r="D1097" t="s">
        <v>289</v>
      </c>
      <c r="E1097" t="s">
        <v>444</v>
      </c>
      <c r="F1097" s="4">
        <v>40519</v>
      </c>
      <c r="G1097" s="11">
        <v>0</v>
      </c>
      <c r="H1097" s="11">
        <v>2000000</v>
      </c>
    </row>
    <row r="1098" spans="1:8" x14ac:dyDescent="0.2">
      <c r="A1098" t="s">
        <v>3485</v>
      </c>
      <c r="B1098" s="1" t="s">
        <v>3128</v>
      </c>
      <c r="C1098" s="11">
        <v>1500000</v>
      </c>
      <c r="D1098" t="s">
        <v>289</v>
      </c>
      <c r="E1098" t="s">
        <v>888</v>
      </c>
      <c r="F1098" s="4">
        <v>40393</v>
      </c>
      <c r="G1098" s="11">
        <v>1500000</v>
      </c>
      <c r="H1098" s="11">
        <v>0</v>
      </c>
    </row>
    <row r="1099" spans="1:8" x14ac:dyDescent="0.2">
      <c r="A1099" t="s">
        <v>3486</v>
      </c>
      <c r="B1099" s="1" t="s">
        <v>3129</v>
      </c>
      <c r="C1099" s="11">
        <v>500000</v>
      </c>
      <c r="D1099" t="s">
        <v>289</v>
      </c>
      <c r="E1099" t="s">
        <v>888</v>
      </c>
      <c r="F1099" s="4">
        <v>40393</v>
      </c>
      <c r="G1099" s="11">
        <v>500000</v>
      </c>
      <c r="H1099" s="11">
        <v>0</v>
      </c>
    </row>
    <row r="1100" spans="1:8" x14ac:dyDescent="0.2">
      <c r="A1100" t="s">
        <v>3487</v>
      </c>
      <c r="B1100" s="1" t="s">
        <v>3130</v>
      </c>
      <c r="C1100" s="11">
        <v>750000</v>
      </c>
      <c r="D1100" t="s">
        <v>289</v>
      </c>
      <c r="E1100" t="s">
        <v>888</v>
      </c>
      <c r="F1100" s="4">
        <v>40449</v>
      </c>
      <c r="G1100" s="11">
        <v>750000</v>
      </c>
      <c r="H1100" s="11">
        <v>0</v>
      </c>
    </row>
    <row r="1101" spans="1:8" x14ac:dyDescent="0.2">
      <c r="A1101" t="s">
        <v>3488</v>
      </c>
      <c r="B1101" s="1" t="s">
        <v>3131</v>
      </c>
      <c r="C1101" s="11">
        <v>500000</v>
      </c>
      <c r="D1101" t="s">
        <v>289</v>
      </c>
      <c r="E1101" t="s">
        <v>888</v>
      </c>
      <c r="F1101" s="4">
        <v>40449</v>
      </c>
      <c r="G1101" s="11">
        <v>500000</v>
      </c>
      <c r="H1101" s="11">
        <v>0</v>
      </c>
    </row>
    <row r="1102" spans="1:8" x14ac:dyDescent="0.2">
      <c r="A1102" t="s">
        <v>3489</v>
      </c>
      <c r="B1102" s="1" t="s">
        <v>3132</v>
      </c>
      <c r="C1102" s="11">
        <v>750000</v>
      </c>
      <c r="D1102" t="s">
        <v>289</v>
      </c>
      <c r="E1102" t="s">
        <v>888</v>
      </c>
      <c r="F1102" s="4">
        <v>40450</v>
      </c>
      <c r="G1102" s="11">
        <v>482481</v>
      </c>
      <c r="H1102" s="11">
        <v>267519</v>
      </c>
    </row>
    <row r="1103" spans="1:8" x14ac:dyDescent="0.2">
      <c r="A1103" t="s">
        <v>4196</v>
      </c>
      <c r="B1103" s="1" t="s">
        <v>3490</v>
      </c>
      <c r="C1103" s="11">
        <v>5000000</v>
      </c>
      <c r="D1103" t="s">
        <v>289</v>
      </c>
      <c r="E1103" t="s">
        <v>3031</v>
      </c>
      <c r="F1103" s="4">
        <v>40497</v>
      </c>
      <c r="G1103" s="11">
        <v>0</v>
      </c>
      <c r="H1103" s="11">
        <v>5000000</v>
      </c>
    </row>
    <row r="1104" spans="1:8" x14ac:dyDescent="0.2">
      <c r="A1104" t="s">
        <v>4277</v>
      </c>
      <c r="B1104" s="1" t="s">
        <v>3790</v>
      </c>
      <c r="C1104" s="11">
        <v>1500000</v>
      </c>
      <c r="D1104" t="s">
        <v>289</v>
      </c>
      <c r="E1104" t="s">
        <v>3031</v>
      </c>
      <c r="F1104" s="4">
        <v>40532</v>
      </c>
      <c r="G1104" s="11">
        <v>0</v>
      </c>
      <c r="H1104" s="11">
        <v>1500000</v>
      </c>
    </row>
    <row r="1105" spans="1:8" x14ac:dyDescent="0.2">
      <c r="A1105" t="s">
        <v>4120</v>
      </c>
      <c r="B1105" s="1" t="s">
        <v>3491</v>
      </c>
      <c r="C1105" s="11">
        <v>500000</v>
      </c>
      <c r="D1105" t="s">
        <v>289</v>
      </c>
      <c r="E1105" t="s">
        <v>3031</v>
      </c>
      <c r="F1105" s="4">
        <v>40500</v>
      </c>
      <c r="G1105" s="11">
        <v>0</v>
      </c>
      <c r="H1105" s="11">
        <v>500000</v>
      </c>
    </row>
    <row r="1106" spans="1:8" x14ac:dyDescent="0.2">
      <c r="A1106" t="s">
        <v>4121</v>
      </c>
      <c r="B1106" s="1" t="s">
        <v>3787</v>
      </c>
      <c r="C1106" s="11">
        <v>500000</v>
      </c>
      <c r="D1106" t="s">
        <v>289</v>
      </c>
      <c r="E1106" t="s">
        <v>3031</v>
      </c>
      <c r="F1106" s="4">
        <v>40519</v>
      </c>
      <c r="G1106" s="11">
        <v>0</v>
      </c>
      <c r="H1106" s="11">
        <v>500000</v>
      </c>
    </row>
    <row r="1107" spans="1:8" x14ac:dyDescent="0.2">
      <c r="A1107" t="s">
        <v>4073</v>
      </c>
      <c r="B1107" s="1" t="s">
        <v>3133</v>
      </c>
      <c r="C1107" s="11">
        <v>1000000</v>
      </c>
      <c r="D1107" t="s">
        <v>289</v>
      </c>
      <c r="E1107" t="s">
        <v>885</v>
      </c>
      <c r="F1107" s="4">
        <v>40436</v>
      </c>
      <c r="G1107" s="11">
        <v>882961</v>
      </c>
      <c r="H1107" s="11">
        <v>117039</v>
      </c>
    </row>
    <row r="1108" spans="1:8" x14ac:dyDescent="0.2">
      <c r="A1108" t="s">
        <v>4278</v>
      </c>
      <c r="B1108" s="1" t="s">
        <v>3789</v>
      </c>
      <c r="C1108" s="11">
        <v>500000</v>
      </c>
      <c r="D1108" t="s">
        <v>289</v>
      </c>
      <c r="E1108" t="s">
        <v>3031</v>
      </c>
      <c r="F1108" s="4">
        <v>40532</v>
      </c>
      <c r="G1108" s="11">
        <v>487500</v>
      </c>
      <c r="H1108" s="11">
        <v>12500</v>
      </c>
    </row>
    <row r="1109" spans="1:8" x14ac:dyDescent="0.2">
      <c r="A1109" t="s">
        <v>4197</v>
      </c>
      <c r="B1109" s="1" t="s">
        <v>3794</v>
      </c>
      <c r="C1109" s="11">
        <v>5000000</v>
      </c>
      <c r="D1109" t="s">
        <v>289</v>
      </c>
      <c r="E1109" t="s">
        <v>3031</v>
      </c>
      <c r="F1109" s="4">
        <v>40556</v>
      </c>
      <c r="G1109" s="11">
        <v>0</v>
      </c>
      <c r="H1109" s="11">
        <v>5000000</v>
      </c>
    </row>
    <row r="1110" spans="1:8" x14ac:dyDescent="0.2">
      <c r="A1110" t="s">
        <v>4198</v>
      </c>
      <c r="B1110" s="1" t="s">
        <v>4056</v>
      </c>
      <c r="C1110" s="11">
        <v>1250000</v>
      </c>
      <c r="D1110" t="s">
        <v>289</v>
      </c>
      <c r="E1110" t="s">
        <v>3031</v>
      </c>
      <c r="F1110" s="4">
        <v>40557</v>
      </c>
      <c r="G1110" s="11">
        <v>0</v>
      </c>
      <c r="H1110" s="11">
        <v>1250000</v>
      </c>
    </row>
    <row r="1111" spans="1:8" x14ac:dyDescent="0.2">
      <c r="A1111" t="s">
        <v>4199</v>
      </c>
      <c r="B1111" s="1" t="s">
        <v>4057</v>
      </c>
      <c r="C1111" s="11">
        <v>2500000</v>
      </c>
      <c r="D1111" t="s">
        <v>289</v>
      </c>
      <c r="E1111" t="s">
        <v>3031</v>
      </c>
      <c r="F1111" s="4">
        <v>40557</v>
      </c>
      <c r="G1111" s="11">
        <v>0</v>
      </c>
      <c r="H1111" s="11">
        <v>2500000</v>
      </c>
    </row>
    <row r="1112" spans="1:8" x14ac:dyDescent="0.2">
      <c r="A1112" t="s">
        <v>4308</v>
      </c>
      <c r="B1112" s="1" t="s">
        <v>3793</v>
      </c>
      <c r="C1112" s="11">
        <v>1750000</v>
      </c>
      <c r="D1112" t="s">
        <v>289</v>
      </c>
      <c r="E1112" t="s">
        <v>3031</v>
      </c>
      <c r="F1112" s="4">
        <v>40553</v>
      </c>
      <c r="G1112" s="11">
        <v>0</v>
      </c>
      <c r="H1112" s="11">
        <v>1750000</v>
      </c>
    </row>
    <row r="1113" spans="1:8" x14ac:dyDescent="0.2">
      <c r="A1113" t="s">
        <v>4460</v>
      </c>
      <c r="B1113" s="1" t="s">
        <v>3791</v>
      </c>
      <c r="C1113" s="11">
        <v>500000</v>
      </c>
      <c r="D1113" t="s">
        <v>289</v>
      </c>
      <c r="E1113" t="s">
        <v>3031</v>
      </c>
      <c r="F1113" s="4">
        <v>40546</v>
      </c>
      <c r="G1113" s="11">
        <v>0</v>
      </c>
      <c r="H1113" s="11">
        <v>500000</v>
      </c>
    </row>
    <row r="1114" spans="1:8" x14ac:dyDescent="0.2">
      <c r="A1114" t="s">
        <v>2735</v>
      </c>
      <c r="B1114" s="1" t="s">
        <v>1267</v>
      </c>
      <c r="C1114" s="11">
        <v>0</v>
      </c>
      <c r="D1114" t="s">
        <v>289</v>
      </c>
      <c r="E1114" t="s">
        <v>516</v>
      </c>
      <c r="F1114" s="4">
        <v>39062</v>
      </c>
      <c r="G1114" s="11">
        <v>0</v>
      </c>
      <c r="H1114" s="11">
        <v>0</v>
      </c>
    </row>
    <row r="1115" spans="1:8" x14ac:dyDescent="0.2">
      <c r="A1115" t="s">
        <v>4484</v>
      </c>
      <c r="B1115" s="1" t="s">
        <v>1235</v>
      </c>
      <c r="C1115" s="11">
        <v>0</v>
      </c>
      <c r="D1115" t="s">
        <v>289</v>
      </c>
      <c r="E1115" t="s">
        <v>444</v>
      </c>
      <c r="F1115" s="4">
        <v>39149</v>
      </c>
      <c r="G1115" s="11">
        <v>0</v>
      </c>
      <c r="H1115" s="11">
        <v>0</v>
      </c>
    </row>
    <row r="1116" spans="1:8" x14ac:dyDescent="0.2">
      <c r="A1116" t="s">
        <v>270</v>
      </c>
      <c r="B1116" s="1" t="s">
        <v>271</v>
      </c>
      <c r="C1116" s="11">
        <v>760000</v>
      </c>
      <c r="D1116" t="s">
        <v>272</v>
      </c>
      <c r="E1116" t="s">
        <v>1564</v>
      </c>
      <c r="G1116" s="11">
        <v>760000</v>
      </c>
      <c r="H1116" s="11">
        <v>0</v>
      </c>
    </row>
    <row r="1117" spans="1:8" x14ac:dyDescent="0.2">
      <c r="A1117" t="s">
        <v>1813</v>
      </c>
      <c r="B1117" s="1" t="s">
        <v>1814</v>
      </c>
      <c r="C1117" s="11">
        <v>1000000</v>
      </c>
      <c r="D1117" t="s">
        <v>272</v>
      </c>
      <c r="E1117" t="s">
        <v>1710</v>
      </c>
      <c r="F1117" s="4">
        <v>35958</v>
      </c>
      <c r="G1117" s="11">
        <v>1000000</v>
      </c>
      <c r="H1117" s="11">
        <v>0</v>
      </c>
    </row>
    <row r="1118" spans="1:8" x14ac:dyDescent="0.2">
      <c r="A1118" t="s">
        <v>497</v>
      </c>
      <c r="B1118" s="1" t="s">
        <v>498</v>
      </c>
      <c r="C1118" s="11">
        <v>500000</v>
      </c>
      <c r="D1118" t="s">
        <v>272</v>
      </c>
      <c r="E1118" t="s">
        <v>1710</v>
      </c>
      <c r="F1118" s="4">
        <v>36420</v>
      </c>
      <c r="G1118" s="11">
        <v>500000</v>
      </c>
      <c r="H1118" s="11">
        <v>0</v>
      </c>
    </row>
    <row r="1119" spans="1:8" x14ac:dyDescent="0.2">
      <c r="A1119" t="s">
        <v>2008</v>
      </c>
      <c r="B1119" s="1" t="s">
        <v>2009</v>
      </c>
      <c r="C1119" s="11">
        <v>5000000</v>
      </c>
      <c r="D1119" t="s">
        <v>272</v>
      </c>
      <c r="E1119" t="s">
        <v>1710</v>
      </c>
      <c r="F1119" s="4">
        <v>36865</v>
      </c>
      <c r="G1119" s="11">
        <v>5000000</v>
      </c>
      <c r="H1119" s="11">
        <v>0</v>
      </c>
    </row>
    <row r="1120" spans="1:8" x14ac:dyDescent="0.2">
      <c r="A1120" t="s">
        <v>2010</v>
      </c>
      <c r="B1120" s="1" t="s">
        <v>2011</v>
      </c>
      <c r="C1120" s="11">
        <v>2100000</v>
      </c>
      <c r="D1120" t="s">
        <v>272</v>
      </c>
      <c r="E1120" t="s">
        <v>969</v>
      </c>
      <c r="F1120" s="4">
        <v>38214</v>
      </c>
      <c r="G1120" s="11">
        <v>2100000</v>
      </c>
      <c r="H1120" s="11">
        <v>0</v>
      </c>
    </row>
    <row r="1121" spans="1:8" x14ac:dyDescent="0.2">
      <c r="A1121" t="s">
        <v>2012</v>
      </c>
      <c r="B1121" s="1" t="s">
        <v>2013</v>
      </c>
      <c r="C1121" s="11">
        <v>100000</v>
      </c>
      <c r="D1121" t="s">
        <v>272</v>
      </c>
      <c r="E1121" t="s">
        <v>969</v>
      </c>
      <c r="F1121" s="4">
        <v>38643</v>
      </c>
      <c r="G1121" s="11">
        <v>100000</v>
      </c>
      <c r="H1121" s="11">
        <v>0</v>
      </c>
    </row>
    <row r="1122" spans="1:8" x14ac:dyDescent="0.2">
      <c r="A1122" t="s">
        <v>2295</v>
      </c>
      <c r="B1122" s="1" t="s">
        <v>2296</v>
      </c>
      <c r="C1122" s="11">
        <v>1700000</v>
      </c>
      <c r="D1122" t="s">
        <v>272</v>
      </c>
      <c r="E1122" t="s">
        <v>516</v>
      </c>
      <c r="F1122" s="4">
        <v>37581</v>
      </c>
      <c r="G1122" s="11">
        <v>1700000</v>
      </c>
      <c r="H1122" s="11">
        <v>0</v>
      </c>
    </row>
    <row r="1123" spans="1:8" x14ac:dyDescent="0.2">
      <c r="A1123" t="s">
        <v>2421</v>
      </c>
      <c r="B1123" s="1" t="s">
        <v>4569</v>
      </c>
      <c r="C1123" s="11">
        <v>4000000</v>
      </c>
      <c r="D1123" t="s">
        <v>272</v>
      </c>
      <c r="E1123" t="s">
        <v>516</v>
      </c>
      <c r="F1123" s="4">
        <v>37722</v>
      </c>
      <c r="G1123" s="11">
        <v>2158946</v>
      </c>
      <c r="H1123" s="11">
        <v>1841054</v>
      </c>
    </row>
    <row r="1124" spans="1:8" x14ac:dyDescent="0.2">
      <c r="A1124" t="s">
        <v>790</v>
      </c>
      <c r="B1124" s="1" t="s">
        <v>663</v>
      </c>
      <c r="C1124" s="11">
        <v>500000</v>
      </c>
      <c r="D1124" t="s">
        <v>272</v>
      </c>
      <c r="E1124" t="s">
        <v>444</v>
      </c>
      <c r="F1124" s="4">
        <v>38985</v>
      </c>
      <c r="G1124" s="11">
        <v>0</v>
      </c>
      <c r="H1124" s="11">
        <v>500000</v>
      </c>
    </row>
    <row r="1125" spans="1:8" x14ac:dyDescent="0.2">
      <c r="A1125" t="s">
        <v>2736</v>
      </c>
      <c r="B1125" s="1" t="s">
        <v>1148</v>
      </c>
      <c r="C1125" s="11">
        <v>5000000</v>
      </c>
      <c r="D1125" t="s">
        <v>272</v>
      </c>
      <c r="E1125" t="s">
        <v>888</v>
      </c>
      <c r="F1125" s="4">
        <v>39688</v>
      </c>
      <c r="G1125" s="11">
        <v>2690190</v>
      </c>
      <c r="H1125" s="11">
        <v>2309810</v>
      </c>
    </row>
    <row r="1126" spans="1:8" x14ac:dyDescent="0.2">
      <c r="A1126" t="s">
        <v>2737</v>
      </c>
      <c r="B1126" s="1" t="s">
        <v>2568</v>
      </c>
      <c r="C1126" s="11">
        <v>500000</v>
      </c>
      <c r="D1126" t="s">
        <v>272</v>
      </c>
      <c r="E1126" t="s">
        <v>444</v>
      </c>
      <c r="F1126" s="4">
        <v>39793</v>
      </c>
      <c r="G1126" s="11">
        <v>500000</v>
      </c>
      <c r="H1126" s="11">
        <v>0</v>
      </c>
    </row>
    <row r="1127" spans="1:8" x14ac:dyDescent="0.2">
      <c r="A1127" t="s">
        <v>2738</v>
      </c>
      <c r="B1127" s="1" t="s">
        <v>1064</v>
      </c>
      <c r="C1127" s="11">
        <v>500000</v>
      </c>
      <c r="D1127" t="s">
        <v>272</v>
      </c>
      <c r="E1127" t="s">
        <v>444</v>
      </c>
      <c r="F1127" s="4">
        <v>40011</v>
      </c>
      <c r="G1127" s="11">
        <v>500000</v>
      </c>
      <c r="H1127" s="11">
        <v>0</v>
      </c>
    </row>
    <row r="1128" spans="1:8" x14ac:dyDescent="0.2">
      <c r="A1128" t="s">
        <v>2882</v>
      </c>
      <c r="B1128" s="1" t="s">
        <v>2883</v>
      </c>
      <c r="C1128" s="11">
        <v>1000000</v>
      </c>
      <c r="D1128" t="s">
        <v>272</v>
      </c>
      <c r="E1128" t="s">
        <v>444</v>
      </c>
      <c r="F1128" s="4">
        <v>40325</v>
      </c>
      <c r="G1128" s="11">
        <v>1000000</v>
      </c>
      <c r="H1128" s="11">
        <v>0</v>
      </c>
    </row>
    <row r="1129" spans="1:8" x14ac:dyDescent="0.2">
      <c r="A1129" t="s">
        <v>3135</v>
      </c>
      <c r="B1129" s="1" t="s">
        <v>3136</v>
      </c>
      <c r="C1129" s="11">
        <v>3000000</v>
      </c>
      <c r="D1129" t="s">
        <v>272</v>
      </c>
      <c r="E1129" t="s">
        <v>444</v>
      </c>
      <c r="F1129" s="4">
        <v>40476</v>
      </c>
      <c r="G1129" s="11">
        <v>3000000</v>
      </c>
      <c r="H1129" s="11">
        <v>0</v>
      </c>
    </row>
    <row r="1130" spans="1:8" x14ac:dyDescent="0.2">
      <c r="A1130" t="s">
        <v>3492</v>
      </c>
      <c r="B1130" s="1" t="s">
        <v>3493</v>
      </c>
      <c r="C1130" s="11">
        <v>1000000</v>
      </c>
      <c r="D1130" t="s">
        <v>272</v>
      </c>
      <c r="E1130" t="s">
        <v>3031</v>
      </c>
      <c r="F1130" s="4">
        <v>40499</v>
      </c>
      <c r="G1130" s="11">
        <v>617819</v>
      </c>
      <c r="H1130" s="11">
        <v>382181</v>
      </c>
    </row>
    <row r="1131" spans="1:8" x14ac:dyDescent="0.2">
      <c r="A1131" t="s">
        <v>3795</v>
      </c>
      <c r="B1131" s="1" t="s">
        <v>3043</v>
      </c>
      <c r="C1131" s="11">
        <v>500000</v>
      </c>
      <c r="D1131" t="s">
        <v>272</v>
      </c>
      <c r="E1131" t="s">
        <v>888</v>
      </c>
      <c r="F1131" s="4">
        <v>40436</v>
      </c>
      <c r="G1131" s="11">
        <v>193121</v>
      </c>
      <c r="H1131" s="11">
        <v>306879</v>
      </c>
    </row>
    <row r="1132" spans="1:8" x14ac:dyDescent="0.2">
      <c r="A1132" t="s">
        <v>4097</v>
      </c>
      <c r="B1132" s="1" t="s">
        <v>3494</v>
      </c>
      <c r="C1132" s="11">
        <v>2500000</v>
      </c>
      <c r="D1132" t="s">
        <v>272</v>
      </c>
      <c r="E1132" t="s">
        <v>3031</v>
      </c>
      <c r="F1132" s="4">
        <v>40497</v>
      </c>
      <c r="G1132" s="11">
        <v>0</v>
      </c>
      <c r="H1132" s="11">
        <v>2500000</v>
      </c>
    </row>
    <row r="1133" spans="1:8" x14ac:dyDescent="0.2">
      <c r="A1133" t="s">
        <v>3137</v>
      </c>
      <c r="B1133" s="1" t="s">
        <v>1429</v>
      </c>
      <c r="C1133" s="11">
        <v>500000</v>
      </c>
      <c r="D1133" t="s">
        <v>272</v>
      </c>
      <c r="E1133" t="s">
        <v>885</v>
      </c>
      <c r="F1133" s="4">
        <v>38643</v>
      </c>
      <c r="G1133" s="11">
        <v>0</v>
      </c>
      <c r="H1133" s="11">
        <v>500000</v>
      </c>
    </row>
    <row r="1134" spans="1:8" x14ac:dyDescent="0.2">
      <c r="A1134" t="s">
        <v>710</v>
      </c>
      <c r="B1134" s="1" t="s">
        <v>711</v>
      </c>
      <c r="C1134" s="11">
        <v>1200000</v>
      </c>
      <c r="D1134" t="s">
        <v>712</v>
      </c>
      <c r="E1134" t="s">
        <v>969</v>
      </c>
      <c r="F1134" s="4">
        <v>37169</v>
      </c>
      <c r="G1134" s="11">
        <v>1200000</v>
      </c>
      <c r="H1134" s="11">
        <v>0</v>
      </c>
    </row>
    <row r="1135" spans="1:8" x14ac:dyDescent="0.2">
      <c r="A1135" t="s">
        <v>2475</v>
      </c>
      <c r="B1135" s="1" t="s">
        <v>2476</v>
      </c>
      <c r="C1135" s="11">
        <v>1700000</v>
      </c>
      <c r="D1135" t="s">
        <v>712</v>
      </c>
      <c r="E1135" t="s">
        <v>885</v>
      </c>
      <c r="F1135" s="4">
        <v>38216</v>
      </c>
      <c r="G1135" s="11">
        <v>1700000</v>
      </c>
      <c r="H1135" s="11">
        <v>0</v>
      </c>
    </row>
    <row r="1136" spans="1:8" x14ac:dyDescent="0.2">
      <c r="A1136" t="s">
        <v>1638</v>
      </c>
      <c r="B1136" s="1" t="s">
        <v>1639</v>
      </c>
      <c r="C1136" s="11">
        <v>500000</v>
      </c>
      <c r="D1136" t="s">
        <v>712</v>
      </c>
      <c r="E1136" t="s">
        <v>885</v>
      </c>
      <c r="F1136" s="4">
        <v>39062</v>
      </c>
      <c r="G1136" s="11">
        <v>500000</v>
      </c>
      <c r="H1136" s="11">
        <v>0</v>
      </c>
    </row>
    <row r="1137" spans="1:8" x14ac:dyDescent="0.2">
      <c r="A1137" t="s">
        <v>2521</v>
      </c>
      <c r="B1137" s="1" t="s">
        <v>2522</v>
      </c>
      <c r="C1137" s="11">
        <v>2000000</v>
      </c>
      <c r="D1137" t="s">
        <v>712</v>
      </c>
      <c r="E1137" t="s">
        <v>885</v>
      </c>
      <c r="F1137" s="4">
        <v>38216</v>
      </c>
      <c r="G1137" s="11">
        <v>2000000</v>
      </c>
      <c r="H1137" s="11">
        <v>0</v>
      </c>
    </row>
    <row r="1138" spans="1:8" x14ac:dyDescent="0.2">
      <c r="A1138" t="s">
        <v>627</v>
      </c>
      <c r="B1138" s="1" t="s">
        <v>1519</v>
      </c>
      <c r="C1138" s="11">
        <v>1000000</v>
      </c>
      <c r="D1138" t="s">
        <v>712</v>
      </c>
      <c r="E1138" t="s">
        <v>969</v>
      </c>
      <c r="F1138" s="4">
        <v>38873</v>
      </c>
      <c r="G1138" s="11">
        <v>504424</v>
      </c>
      <c r="H1138" s="11">
        <v>495576</v>
      </c>
    </row>
    <row r="1139" spans="1:8" x14ac:dyDescent="0.2">
      <c r="A1139" t="s">
        <v>3495</v>
      </c>
      <c r="B1139" s="1" t="s">
        <v>3138</v>
      </c>
      <c r="C1139" s="11">
        <v>3000000</v>
      </c>
      <c r="D1139" t="s">
        <v>712</v>
      </c>
      <c r="E1139" t="s">
        <v>444</v>
      </c>
      <c r="F1139" s="4">
        <v>40420</v>
      </c>
      <c r="G1139" s="11">
        <v>0</v>
      </c>
      <c r="H1139" s="11">
        <v>3000000</v>
      </c>
    </row>
    <row r="1140" spans="1:8" x14ac:dyDescent="0.2">
      <c r="A1140" t="s">
        <v>4309</v>
      </c>
      <c r="B1140" s="1" t="s">
        <v>3797</v>
      </c>
      <c r="C1140" s="11">
        <v>750000</v>
      </c>
      <c r="D1140" t="s">
        <v>712</v>
      </c>
      <c r="E1140" t="s">
        <v>3031</v>
      </c>
      <c r="F1140" s="4">
        <v>40519</v>
      </c>
      <c r="G1140" s="11">
        <v>630162</v>
      </c>
      <c r="H1140" s="11">
        <v>119838</v>
      </c>
    </row>
    <row r="1141" spans="1:8" x14ac:dyDescent="0.2">
      <c r="A1141" t="s">
        <v>4417</v>
      </c>
      <c r="B1141" s="1" t="s">
        <v>3796</v>
      </c>
      <c r="C1141" s="11">
        <v>750000</v>
      </c>
      <c r="D1141" t="s">
        <v>712</v>
      </c>
      <c r="E1141" t="s">
        <v>3031</v>
      </c>
      <c r="F1141" s="4">
        <v>40519</v>
      </c>
      <c r="G1141" s="11">
        <v>0</v>
      </c>
      <c r="H1141" s="11">
        <v>750000</v>
      </c>
    </row>
    <row r="1142" spans="1:8" x14ac:dyDescent="0.2">
      <c r="A1142" t="s">
        <v>4418</v>
      </c>
      <c r="B1142" s="1" t="s">
        <v>4058</v>
      </c>
      <c r="C1142" s="11">
        <v>900000</v>
      </c>
      <c r="D1142" t="s">
        <v>712</v>
      </c>
      <c r="E1142" t="s">
        <v>3031</v>
      </c>
      <c r="F1142" s="4">
        <v>40557</v>
      </c>
      <c r="G1142" s="11">
        <v>0</v>
      </c>
      <c r="H1142" s="11">
        <v>900000</v>
      </c>
    </row>
    <row r="1143" spans="1:8" x14ac:dyDescent="0.2">
      <c r="A1143" t="s">
        <v>1798</v>
      </c>
      <c r="B1143" s="1" t="s">
        <v>1799</v>
      </c>
      <c r="C1143" s="11">
        <v>1500000</v>
      </c>
      <c r="D1143" t="s">
        <v>1774</v>
      </c>
      <c r="E1143" t="s">
        <v>1577</v>
      </c>
      <c r="F1143" s="4">
        <v>35991</v>
      </c>
      <c r="G1143" s="11">
        <v>1500000</v>
      </c>
      <c r="H1143" s="11">
        <v>0</v>
      </c>
    </row>
    <row r="1144" spans="1:8" x14ac:dyDescent="0.2">
      <c r="A1144" t="s">
        <v>517</v>
      </c>
      <c r="B1144" s="1" t="s">
        <v>3139</v>
      </c>
      <c r="C1144" s="11">
        <v>7000000</v>
      </c>
      <c r="D1144" t="s">
        <v>1774</v>
      </c>
      <c r="E1144" t="s">
        <v>313</v>
      </c>
      <c r="F1144" s="4">
        <v>35909</v>
      </c>
      <c r="G1144" s="11">
        <v>7000000</v>
      </c>
      <c r="H1144" s="11">
        <v>0</v>
      </c>
    </row>
    <row r="1145" spans="1:8" x14ac:dyDescent="0.2">
      <c r="A1145" t="s">
        <v>2041</v>
      </c>
      <c r="B1145" s="1" t="s">
        <v>2042</v>
      </c>
      <c r="C1145" s="11">
        <v>2000000</v>
      </c>
      <c r="D1145" t="s">
        <v>1774</v>
      </c>
      <c r="E1145" t="s">
        <v>1710</v>
      </c>
      <c r="F1145" s="4">
        <v>36514</v>
      </c>
      <c r="G1145" s="11">
        <v>2000000</v>
      </c>
      <c r="H1145" s="11">
        <v>0</v>
      </c>
    </row>
    <row r="1146" spans="1:8" x14ac:dyDescent="0.2">
      <c r="A1146" t="s">
        <v>2043</v>
      </c>
      <c r="B1146" s="1" t="s">
        <v>2044</v>
      </c>
      <c r="C1146" s="11">
        <v>400000</v>
      </c>
      <c r="D1146" t="s">
        <v>1774</v>
      </c>
      <c r="E1146" t="s">
        <v>1710</v>
      </c>
      <c r="F1146" s="4">
        <v>37168</v>
      </c>
      <c r="G1146" s="11">
        <v>400000</v>
      </c>
      <c r="H1146" s="11">
        <v>0</v>
      </c>
    </row>
    <row r="1147" spans="1:8" x14ac:dyDescent="0.2">
      <c r="A1147" t="s">
        <v>833</v>
      </c>
      <c r="B1147" s="1" t="s">
        <v>834</v>
      </c>
      <c r="C1147" s="11">
        <v>2000000</v>
      </c>
      <c r="D1147" t="s">
        <v>1774</v>
      </c>
      <c r="E1147" t="s">
        <v>969</v>
      </c>
      <c r="F1147" s="4">
        <v>37224</v>
      </c>
      <c r="G1147" s="11">
        <v>2000000</v>
      </c>
      <c r="H1147" s="11">
        <v>0</v>
      </c>
    </row>
    <row r="1148" spans="1:8" x14ac:dyDescent="0.2">
      <c r="A1148" t="s">
        <v>2275</v>
      </c>
      <c r="B1148" s="1" t="s">
        <v>2276</v>
      </c>
      <c r="C1148" s="11">
        <v>3000000</v>
      </c>
      <c r="D1148" t="s">
        <v>1774</v>
      </c>
      <c r="E1148" t="s">
        <v>969</v>
      </c>
      <c r="F1148" s="4">
        <v>36664</v>
      </c>
      <c r="G1148" s="11">
        <v>3000000</v>
      </c>
      <c r="H1148" s="11">
        <v>0</v>
      </c>
    </row>
    <row r="1149" spans="1:8" x14ac:dyDescent="0.2">
      <c r="A1149" t="s">
        <v>1333</v>
      </c>
      <c r="B1149" s="1" t="s">
        <v>1334</v>
      </c>
      <c r="C1149" s="11">
        <v>1000000</v>
      </c>
      <c r="D1149" t="s">
        <v>1774</v>
      </c>
      <c r="E1149" t="s">
        <v>516</v>
      </c>
      <c r="F1149" s="4">
        <v>37610</v>
      </c>
      <c r="G1149" s="11">
        <v>1000000</v>
      </c>
      <c r="H1149" s="11">
        <v>0</v>
      </c>
    </row>
    <row r="1150" spans="1:8" x14ac:dyDescent="0.2">
      <c r="A1150" t="s">
        <v>1335</v>
      </c>
      <c r="B1150" s="1" t="s">
        <v>1431</v>
      </c>
      <c r="C1150" s="11">
        <v>250000</v>
      </c>
      <c r="D1150" t="s">
        <v>1774</v>
      </c>
      <c r="E1150" t="s">
        <v>516</v>
      </c>
      <c r="F1150" s="4">
        <v>38677</v>
      </c>
      <c r="G1150" s="11">
        <v>250000</v>
      </c>
      <c r="H1150" s="11">
        <v>0</v>
      </c>
    </row>
    <row r="1151" spans="1:8" x14ac:dyDescent="0.2">
      <c r="A1151" t="s">
        <v>2357</v>
      </c>
      <c r="B1151" s="1" t="s">
        <v>2358</v>
      </c>
      <c r="C1151" s="11">
        <v>2000000</v>
      </c>
      <c r="D1151" t="s">
        <v>1774</v>
      </c>
      <c r="E1151" t="s">
        <v>516</v>
      </c>
      <c r="F1151" s="4">
        <v>37720</v>
      </c>
      <c r="G1151" s="11">
        <v>2000000</v>
      </c>
      <c r="H1151" s="11">
        <v>0</v>
      </c>
    </row>
    <row r="1152" spans="1:8" x14ac:dyDescent="0.2">
      <c r="A1152" t="s">
        <v>2389</v>
      </c>
      <c r="B1152" s="1" t="s">
        <v>1336</v>
      </c>
      <c r="C1152" s="11">
        <v>5000000</v>
      </c>
      <c r="D1152" t="s">
        <v>1774</v>
      </c>
      <c r="E1152" t="s">
        <v>516</v>
      </c>
      <c r="F1152" s="4">
        <v>37610</v>
      </c>
      <c r="G1152" s="11">
        <v>5000000</v>
      </c>
      <c r="H1152" s="11">
        <v>0</v>
      </c>
    </row>
    <row r="1153" spans="1:8" x14ac:dyDescent="0.2">
      <c r="A1153" t="s">
        <v>1520</v>
      </c>
      <c r="B1153" s="1" t="s">
        <v>1604</v>
      </c>
      <c r="C1153" s="11">
        <v>2000000</v>
      </c>
      <c r="D1153" t="s">
        <v>1774</v>
      </c>
      <c r="E1153" t="s">
        <v>516</v>
      </c>
      <c r="F1153" s="4">
        <v>38834</v>
      </c>
      <c r="G1153" s="11">
        <v>2000000</v>
      </c>
      <c r="H1153" s="11">
        <v>0</v>
      </c>
    </row>
    <row r="1154" spans="1:8" x14ac:dyDescent="0.2">
      <c r="A1154" t="s">
        <v>2448</v>
      </c>
      <c r="B1154" s="1" t="s">
        <v>223</v>
      </c>
      <c r="C1154" s="11">
        <v>2000000</v>
      </c>
      <c r="D1154" t="s">
        <v>1774</v>
      </c>
      <c r="E1154" t="s">
        <v>516</v>
      </c>
      <c r="F1154" s="4">
        <v>37720</v>
      </c>
      <c r="G1154" s="11">
        <v>2000000</v>
      </c>
      <c r="H1154" s="11">
        <v>0</v>
      </c>
    </row>
    <row r="1155" spans="1:8" x14ac:dyDescent="0.2">
      <c r="A1155" t="s">
        <v>68</v>
      </c>
      <c r="B1155" s="1" t="s">
        <v>2449</v>
      </c>
      <c r="C1155" s="11">
        <v>1000000</v>
      </c>
      <c r="D1155" t="s">
        <v>1774</v>
      </c>
      <c r="E1155" t="s">
        <v>516</v>
      </c>
      <c r="F1155" s="4">
        <v>38101</v>
      </c>
      <c r="G1155" s="11">
        <v>274186</v>
      </c>
      <c r="H1155" s="11">
        <v>725814</v>
      </c>
    </row>
    <row r="1156" spans="1:8" x14ac:dyDescent="0.2">
      <c r="A1156" t="s">
        <v>2531</v>
      </c>
      <c r="B1156" s="1" t="s">
        <v>2532</v>
      </c>
      <c r="C1156" s="11">
        <v>5000000</v>
      </c>
      <c r="D1156" t="s">
        <v>1774</v>
      </c>
      <c r="E1156" t="s">
        <v>516</v>
      </c>
      <c r="F1156" s="4">
        <v>37600</v>
      </c>
      <c r="G1156" s="11">
        <v>4990000</v>
      </c>
      <c r="H1156" s="11">
        <v>10000</v>
      </c>
    </row>
    <row r="1157" spans="1:8" x14ac:dyDescent="0.2">
      <c r="A1157" t="s">
        <v>188</v>
      </c>
      <c r="B1157" s="1" t="s">
        <v>189</v>
      </c>
      <c r="C1157" s="11">
        <v>2500000</v>
      </c>
      <c r="D1157" t="s">
        <v>1774</v>
      </c>
      <c r="E1157" t="s">
        <v>885</v>
      </c>
      <c r="F1157" s="4">
        <v>38219</v>
      </c>
      <c r="G1157" s="11">
        <v>2500000</v>
      </c>
      <c r="H1157" s="11">
        <v>0</v>
      </c>
    </row>
    <row r="1158" spans="1:8" x14ac:dyDescent="0.2">
      <c r="A1158" t="s">
        <v>24</v>
      </c>
      <c r="B1158" s="1" t="s">
        <v>1414</v>
      </c>
      <c r="C1158" s="11">
        <v>1000000</v>
      </c>
      <c r="D1158" t="s">
        <v>1774</v>
      </c>
      <c r="E1158" t="s">
        <v>885</v>
      </c>
      <c r="F1158" s="4">
        <v>38524</v>
      </c>
      <c r="G1158" s="11">
        <v>1000000</v>
      </c>
      <c r="H1158" s="11">
        <v>0</v>
      </c>
    </row>
    <row r="1159" spans="1:8" x14ac:dyDescent="0.2">
      <c r="A1159" t="s">
        <v>25</v>
      </c>
      <c r="B1159" s="1" t="s">
        <v>1421</v>
      </c>
      <c r="C1159" s="11">
        <v>2000000</v>
      </c>
      <c r="D1159" t="s">
        <v>1774</v>
      </c>
      <c r="E1159" t="s">
        <v>885</v>
      </c>
      <c r="F1159" s="4">
        <v>38623</v>
      </c>
      <c r="G1159" s="11">
        <v>2000000</v>
      </c>
      <c r="H1159" s="11">
        <v>0</v>
      </c>
    </row>
    <row r="1160" spans="1:8" x14ac:dyDescent="0.2">
      <c r="A1160" t="s">
        <v>1603</v>
      </c>
      <c r="B1160" s="1" t="s">
        <v>1773</v>
      </c>
      <c r="C1160" s="11">
        <v>12000000</v>
      </c>
      <c r="D1160" t="s">
        <v>1774</v>
      </c>
      <c r="E1160" t="s">
        <v>885</v>
      </c>
      <c r="F1160" s="4">
        <v>38341</v>
      </c>
      <c r="G1160" s="11">
        <v>12000000</v>
      </c>
      <c r="H1160" s="11">
        <v>0</v>
      </c>
    </row>
    <row r="1161" spans="1:8" x14ac:dyDescent="0.2">
      <c r="A1161" t="s">
        <v>1610</v>
      </c>
      <c r="B1161" s="1" t="s">
        <v>1773</v>
      </c>
      <c r="C1161" s="11">
        <v>1000000</v>
      </c>
      <c r="D1161" t="s">
        <v>1774</v>
      </c>
      <c r="E1161" t="s">
        <v>885</v>
      </c>
      <c r="F1161" s="4">
        <v>38806</v>
      </c>
      <c r="G1161" s="11">
        <v>1000000</v>
      </c>
      <c r="H1161" s="11">
        <v>0</v>
      </c>
    </row>
    <row r="1162" spans="1:8" x14ac:dyDescent="0.2">
      <c r="A1162" t="s">
        <v>1611</v>
      </c>
      <c r="B1162" s="1" t="s">
        <v>1773</v>
      </c>
      <c r="C1162" s="11">
        <v>1000000</v>
      </c>
      <c r="D1162" t="s">
        <v>1774</v>
      </c>
      <c r="E1162" t="s">
        <v>885</v>
      </c>
      <c r="F1162" s="4">
        <v>38806</v>
      </c>
      <c r="G1162" s="11">
        <v>1000000</v>
      </c>
      <c r="H1162" s="11">
        <v>0</v>
      </c>
    </row>
    <row r="1163" spans="1:8" x14ac:dyDescent="0.2">
      <c r="A1163" t="s">
        <v>1825</v>
      </c>
      <c r="B1163" s="1" t="s">
        <v>249</v>
      </c>
      <c r="C1163" s="11">
        <v>1000000</v>
      </c>
      <c r="D1163" t="s">
        <v>1774</v>
      </c>
      <c r="E1163" t="s">
        <v>885</v>
      </c>
      <c r="F1163" s="4">
        <v>38408</v>
      </c>
      <c r="G1163" s="11">
        <v>1000000</v>
      </c>
      <c r="H1163" s="11">
        <v>0</v>
      </c>
    </row>
    <row r="1164" spans="1:8" x14ac:dyDescent="0.2">
      <c r="A1164" t="s">
        <v>971</v>
      </c>
      <c r="B1164" s="1" t="s">
        <v>1065</v>
      </c>
      <c r="C1164" s="11">
        <v>100000</v>
      </c>
      <c r="D1164" t="s">
        <v>1774</v>
      </c>
      <c r="E1164" t="s">
        <v>885</v>
      </c>
      <c r="F1164" s="4">
        <v>39890</v>
      </c>
      <c r="G1164" s="11">
        <v>100000</v>
      </c>
      <c r="H1164" s="11">
        <v>0</v>
      </c>
    </row>
    <row r="1165" spans="1:8" x14ac:dyDescent="0.2">
      <c r="A1165" t="s">
        <v>1066</v>
      </c>
      <c r="B1165" s="1" t="s">
        <v>1067</v>
      </c>
      <c r="C1165" s="11">
        <v>75000</v>
      </c>
      <c r="D1165" t="s">
        <v>1774</v>
      </c>
      <c r="E1165" t="s">
        <v>885</v>
      </c>
      <c r="F1165" s="4">
        <v>39987</v>
      </c>
      <c r="G1165" s="11">
        <v>45625</v>
      </c>
      <c r="H1165" s="11">
        <v>29375</v>
      </c>
    </row>
    <row r="1166" spans="1:8" x14ac:dyDescent="0.2">
      <c r="A1166" t="s">
        <v>3798</v>
      </c>
      <c r="B1166" s="1" t="s">
        <v>3799</v>
      </c>
      <c r="C1166" s="11">
        <v>250000</v>
      </c>
      <c r="D1166" t="s">
        <v>1774</v>
      </c>
      <c r="E1166" t="s">
        <v>3031</v>
      </c>
      <c r="F1166" s="4">
        <v>40553</v>
      </c>
      <c r="G1166" s="11">
        <v>0</v>
      </c>
      <c r="H1166" s="11">
        <v>250000</v>
      </c>
    </row>
    <row r="1167" spans="1:8" x14ac:dyDescent="0.2">
      <c r="A1167" t="s">
        <v>799</v>
      </c>
      <c r="B1167" s="1" t="s">
        <v>1288</v>
      </c>
      <c r="C1167" s="11">
        <v>250000</v>
      </c>
      <c r="D1167" t="s">
        <v>1774</v>
      </c>
      <c r="E1167" t="s">
        <v>444</v>
      </c>
      <c r="F1167" s="4">
        <v>39062</v>
      </c>
      <c r="G1167" s="11">
        <v>250000</v>
      </c>
      <c r="H1167" s="11">
        <v>0</v>
      </c>
    </row>
    <row r="1168" spans="1:8" x14ac:dyDescent="0.2">
      <c r="A1168" t="s">
        <v>800</v>
      </c>
      <c r="B1168" s="1" t="s">
        <v>1923</v>
      </c>
      <c r="C1168" s="11">
        <v>250000</v>
      </c>
      <c r="D1168" t="s">
        <v>1774</v>
      </c>
      <c r="E1168" t="s">
        <v>444</v>
      </c>
      <c r="F1168" s="4">
        <v>39170</v>
      </c>
      <c r="G1168" s="11">
        <v>250000</v>
      </c>
      <c r="H1168" s="11">
        <v>0</v>
      </c>
    </row>
    <row r="1169" spans="1:8" x14ac:dyDescent="0.2">
      <c r="A1169" t="s">
        <v>801</v>
      </c>
      <c r="B1169" s="1" t="s">
        <v>2187</v>
      </c>
      <c r="C1169" s="11">
        <v>250000</v>
      </c>
      <c r="D1169" t="s">
        <v>1774</v>
      </c>
      <c r="E1169" t="s">
        <v>516</v>
      </c>
      <c r="F1169" s="4">
        <v>39394</v>
      </c>
      <c r="G1169" s="11">
        <v>250000</v>
      </c>
      <c r="H1169" s="11">
        <v>0</v>
      </c>
    </row>
    <row r="1170" spans="1:8" x14ac:dyDescent="0.2">
      <c r="A1170" t="s">
        <v>1969</v>
      </c>
      <c r="B1170" s="1" t="s">
        <v>862</v>
      </c>
      <c r="C1170" s="11">
        <v>1000000</v>
      </c>
      <c r="D1170" t="s">
        <v>1774</v>
      </c>
      <c r="E1170" t="s">
        <v>444</v>
      </c>
      <c r="F1170" s="4">
        <v>38974</v>
      </c>
      <c r="G1170" s="11">
        <v>1000000</v>
      </c>
      <c r="H1170" s="11">
        <v>0</v>
      </c>
    </row>
    <row r="1171" spans="1:8" x14ac:dyDescent="0.2">
      <c r="A1171" t="s">
        <v>1970</v>
      </c>
      <c r="B1171" s="1" t="s">
        <v>1280</v>
      </c>
      <c r="C1171" s="11">
        <v>4000000</v>
      </c>
      <c r="D1171" t="s">
        <v>1774</v>
      </c>
      <c r="E1171" t="s">
        <v>444</v>
      </c>
      <c r="F1171" s="4">
        <v>39062</v>
      </c>
      <c r="G1171" s="11">
        <v>4000000</v>
      </c>
      <c r="H1171" s="11">
        <v>0</v>
      </c>
    </row>
    <row r="1172" spans="1:8" x14ac:dyDescent="0.2">
      <c r="A1172" t="s">
        <v>740</v>
      </c>
      <c r="B1172" s="1" t="s">
        <v>673</v>
      </c>
      <c r="C1172" s="11">
        <v>500000</v>
      </c>
      <c r="D1172" t="s">
        <v>1774</v>
      </c>
      <c r="E1172" t="s">
        <v>444</v>
      </c>
      <c r="F1172" s="4">
        <v>38985</v>
      </c>
      <c r="G1172" s="11">
        <v>500000</v>
      </c>
      <c r="H1172" s="11">
        <v>0</v>
      </c>
    </row>
    <row r="1173" spans="1:8" x14ac:dyDescent="0.2">
      <c r="A1173" t="s">
        <v>743</v>
      </c>
      <c r="B1173" s="1" t="s">
        <v>2186</v>
      </c>
      <c r="C1173" s="11">
        <v>500000</v>
      </c>
      <c r="D1173" t="s">
        <v>1774</v>
      </c>
      <c r="E1173" t="s">
        <v>444</v>
      </c>
      <c r="F1173" s="4">
        <v>39394</v>
      </c>
      <c r="G1173" s="11">
        <v>500000</v>
      </c>
      <c r="H1173" s="11">
        <v>0</v>
      </c>
    </row>
    <row r="1174" spans="1:8" x14ac:dyDescent="0.2">
      <c r="A1174" t="s">
        <v>771</v>
      </c>
      <c r="B1174" s="1" t="s">
        <v>925</v>
      </c>
      <c r="C1174" s="11">
        <v>200000</v>
      </c>
      <c r="D1174" t="s">
        <v>1774</v>
      </c>
      <c r="E1174" t="s">
        <v>444</v>
      </c>
      <c r="F1174" s="4">
        <v>39772</v>
      </c>
      <c r="G1174" s="11">
        <v>200000</v>
      </c>
      <c r="H1174" s="11">
        <v>0</v>
      </c>
    </row>
    <row r="1175" spans="1:8" x14ac:dyDescent="0.2">
      <c r="A1175" t="s">
        <v>935</v>
      </c>
      <c r="B1175" s="1" t="s">
        <v>1337</v>
      </c>
      <c r="C1175" s="11">
        <v>500000</v>
      </c>
      <c r="D1175" t="s">
        <v>1774</v>
      </c>
      <c r="E1175" t="s">
        <v>885</v>
      </c>
      <c r="F1175" s="4">
        <v>38810</v>
      </c>
      <c r="G1175" s="11">
        <v>500000</v>
      </c>
      <c r="H1175" s="11">
        <v>0</v>
      </c>
    </row>
    <row r="1176" spans="1:8" x14ac:dyDescent="0.2">
      <c r="A1176" t="s">
        <v>936</v>
      </c>
      <c r="B1176" s="1" t="s">
        <v>1521</v>
      </c>
      <c r="C1176" s="11">
        <v>500000</v>
      </c>
      <c r="D1176" t="s">
        <v>1774</v>
      </c>
      <c r="E1176" t="s">
        <v>885</v>
      </c>
      <c r="F1176" s="4">
        <v>38834</v>
      </c>
      <c r="G1176" s="11">
        <v>500000</v>
      </c>
      <c r="H1176" s="11">
        <v>0</v>
      </c>
    </row>
    <row r="1177" spans="1:8" x14ac:dyDescent="0.2">
      <c r="A1177" t="s">
        <v>946</v>
      </c>
      <c r="B1177" s="1" t="s">
        <v>1662</v>
      </c>
      <c r="C1177" s="11">
        <v>5000000</v>
      </c>
      <c r="D1177" t="s">
        <v>1774</v>
      </c>
      <c r="E1177" t="s">
        <v>885</v>
      </c>
      <c r="F1177" s="4">
        <v>39055</v>
      </c>
      <c r="G1177" s="11">
        <v>5000000</v>
      </c>
      <c r="H1177" s="11">
        <v>0</v>
      </c>
    </row>
    <row r="1178" spans="1:8" x14ac:dyDescent="0.2">
      <c r="A1178" t="s">
        <v>985</v>
      </c>
      <c r="B1178" s="1" t="s">
        <v>986</v>
      </c>
      <c r="C1178" s="11">
        <v>250000</v>
      </c>
      <c r="D1178" t="s">
        <v>1774</v>
      </c>
      <c r="E1178" t="s">
        <v>885</v>
      </c>
      <c r="F1178" s="4">
        <v>39890</v>
      </c>
      <c r="G1178" s="11">
        <v>250000</v>
      </c>
      <c r="H1178" s="11">
        <v>0</v>
      </c>
    </row>
    <row r="1179" spans="1:8" x14ac:dyDescent="0.2">
      <c r="A1179" t="s">
        <v>1068</v>
      </c>
      <c r="B1179" s="1" t="s">
        <v>1069</v>
      </c>
      <c r="C1179" s="11">
        <v>250000</v>
      </c>
      <c r="D1179" t="s">
        <v>1774</v>
      </c>
      <c r="E1179" t="s">
        <v>885</v>
      </c>
      <c r="F1179" s="4">
        <v>39987</v>
      </c>
      <c r="G1179" s="11">
        <v>120000</v>
      </c>
      <c r="H1179" s="11">
        <v>130000</v>
      </c>
    </row>
    <row r="1180" spans="1:8" x14ac:dyDescent="0.2">
      <c r="A1180" t="s">
        <v>993</v>
      </c>
      <c r="B1180" s="1" t="s">
        <v>1150</v>
      </c>
      <c r="C1180" s="11">
        <v>5000000</v>
      </c>
      <c r="D1180" t="s">
        <v>1774</v>
      </c>
      <c r="E1180" t="s">
        <v>444</v>
      </c>
      <c r="F1180" s="4">
        <v>39688</v>
      </c>
      <c r="G1180" s="11">
        <v>0</v>
      </c>
      <c r="H1180" s="11">
        <v>5000000</v>
      </c>
    </row>
    <row r="1181" spans="1:8" x14ac:dyDescent="0.2">
      <c r="A1181" t="s">
        <v>3496</v>
      </c>
      <c r="B1181" s="1" t="s">
        <v>3497</v>
      </c>
      <c r="C1181" s="11">
        <v>5000000</v>
      </c>
      <c r="D1181" t="s">
        <v>1774</v>
      </c>
      <c r="E1181" t="s">
        <v>3031</v>
      </c>
      <c r="F1181" s="4">
        <v>40497</v>
      </c>
      <c r="G1181" s="11">
        <v>0</v>
      </c>
      <c r="H1181" s="11">
        <v>5000000</v>
      </c>
    </row>
    <row r="1182" spans="1:8" x14ac:dyDescent="0.2">
      <c r="A1182" t="s">
        <v>1070</v>
      </c>
      <c r="B1182" s="1" t="s">
        <v>1149</v>
      </c>
      <c r="C1182" s="11">
        <v>1500000</v>
      </c>
      <c r="D1182" t="s">
        <v>1774</v>
      </c>
      <c r="E1182" t="s">
        <v>888</v>
      </c>
      <c r="F1182" s="4">
        <v>39688</v>
      </c>
      <c r="G1182" s="11">
        <v>0</v>
      </c>
      <c r="H1182" s="11">
        <v>1500000</v>
      </c>
    </row>
    <row r="1183" spans="1:8" x14ac:dyDescent="0.2">
      <c r="A1183" t="s">
        <v>104</v>
      </c>
      <c r="B1183" s="1" t="s">
        <v>1200</v>
      </c>
      <c r="C1183" s="11">
        <v>250000</v>
      </c>
      <c r="D1183" t="s">
        <v>1774</v>
      </c>
      <c r="E1183" t="s">
        <v>888</v>
      </c>
      <c r="F1183" s="4">
        <v>39736</v>
      </c>
      <c r="G1183" s="11">
        <v>195933</v>
      </c>
      <c r="H1183" s="11">
        <v>54067</v>
      </c>
    </row>
    <row r="1184" spans="1:8" x14ac:dyDescent="0.2">
      <c r="A1184" t="s">
        <v>2739</v>
      </c>
      <c r="B1184" s="1" t="s">
        <v>995</v>
      </c>
      <c r="C1184" s="11">
        <v>1000000</v>
      </c>
      <c r="D1184" t="s">
        <v>1774</v>
      </c>
      <c r="E1184" t="s">
        <v>888</v>
      </c>
      <c r="F1184" s="4">
        <v>39772</v>
      </c>
      <c r="G1184" s="11">
        <v>1000000</v>
      </c>
      <c r="H1184" s="11">
        <v>0</v>
      </c>
    </row>
    <row r="1185" spans="1:8" x14ac:dyDescent="0.2">
      <c r="A1185" t="s">
        <v>1071</v>
      </c>
      <c r="B1185" s="1" t="s">
        <v>1175</v>
      </c>
      <c r="C1185" s="11">
        <v>1250000</v>
      </c>
      <c r="D1185" t="s">
        <v>1774</v>
      </c>
      <c r="E1185" t="s">
        <v>888</v>
      </c>
      <c r="F1185" s="4">
        <v>39717</v>
      </c>
      <c r="G1185" s="11">
        <v>0</v>
      </c>
      <c r="H1185" s="11">
        <v>1250000</v>
      </c>
    </row>
    <row r="1186" spans="1:8" x14ac:dyDescent="0.2">
      <c r="A1186" t="s">
        <v>3140</v>
      </c>
      <c r="B1186" s="1" t="s">
        <v>3141</v>
      </c>
      <c r="C1186" s="11">
        <v>1000000</v>
      </c>
      <c r="D1186" t="s">
        <v>1774</v>
      </c>
      <c r="E1186" t="s">
        <v>888</v>
      </c>
      <c r="F1186" s="4">
        <v>39945</v>
      </c>
      <c r="G1186" s="11">
        <v>0</v>
      </c>
      <c r="H1186" s="11">
        <v>1000000</v>
      </c>
    </row>
    <row r="1187" spans="1:8" x14ac:dyDescent="0.2">
      <c r="A1187" t="s">
        <v>3142</v>
      </c>
      <c r="B1187" s="1" t="s">
        <v>1072</v>
      </c>
      <c r="C1187" s="11">
        <v>500000</v>
      </c>
      <c r="D1187" t="s">
        <v>1774</v>
      </c>
      <c r="E1187" t="s">
        <v>888</v>
      </c>
      <c r="F1187" s="4">
        <v>39987</v>
      </c>
      <c r="G1187" s="11">
        <v>0</v>
      </c>
      <c r="H1187" s="11">
        <v>500000</v>
      </c>
    </row>
    <row r="1188" spans="1:8" x14ac:dyDescent="0.2">
      <c r="A1188" t="s">
        <v>3143</v>
      </c>
      <c r="B1188" s="1" t="s">
        <v>1073</v>
      </c>
      <c r="C1188" s="11">
        <v>75000</v>
      </c>
      <c r="D1188" t="s">
        <v>1774</v>
      </c>
      <c r="E1188" t="s">
        <v>888</v>
      </c>
      <c r="F1188" s="4">
        <v>39987</v>
      </c>
      <c r="G1188" s="11">
        <v>0</v>
      </c>
      <c r="H1188" s="11">
        <v>75000</v>
      </c>
    </row>
    <row r="1189" spans="1:8" x14ac:dyDescent="0.2">
      <c r="A1189" t="s">
        <v>3222</v>
      </c>
      <c r="B1189" s="1" t="s">
        <v>3223</v>
      </c>
      <c r="C1189" s="11">
        <v>5000000</v>
      </c>
      <c r="D1189" t="s">
        <v>1774</v>
      </c>
      <c r="E1189" t="s">
        <v>888</v>
      </c>
      <c r="F1189" s="4">
        <v>40414</v>
      </c>
      <c r="G1189" s="11">
        <v>0</v>
      </c>
      <c r="H1189" s="11">
        <v>5000000</v>
      </c>
    </row>
    <row r="1190" spans="1:8" x14ac:dyDescent="0.2">
      <c r="A1190" t="s">
        <v>3144</v>
      </c>
      <c r="B1190" s="1" t="s">
        <v>3145</v>
      </c>
      <c r="C1190" s="11">
        <v>750000</v>
      </c>
      <c r="D1190" t="s">
        <v>1774</v>
      </c>
      <c r="E1190" t="s">
        <v>888</v>
      </c>
      <c r="F1190" s="4">
        <v>40463</v>
      </c>
      <c r="G1190" s="11">
        <v>0</v>
      </c>
      <c r="H1190" s="11">
        <v>750000</v>
      </c>
    </row>
    <row r="1191" spans="1:8" x14ac:dyDescent="0.2">
      <c r="A1191" t="s">
        <v>3498</v>
      </c>
      <c r="B1191" s="1" t="s">
        <v>3499</v>
      </c>
      <c r="C1191" s="11">
        <v>250000</v>
      </c>
      <c r="D1191" t="s">
        <v>1774</v>
      </c>
      <c r="E1191" t="s">
        <v>888</v>
      </c>
      <c r="F1191" s="4">
        <v>40500</v>
      </c>
      <c r="G1191" s="11">
        <v>0</v>
      </c>
      <c r="H1191" s="11">
        <v>250000</v>
      </c>
    </row>
    <row r="1192" spans="1:8" x14ac:dyDescent="0.2">
      <c r="A1192" t="s">
        <v>3800</v>
      </c>
      <c r="B1192" s="1" t="s">
        <v>3801</v>
      </c>
      <c r="C1192" s="11">
        <v>250000</v>
      </c>
      <c r="D1192" t="s">
        <v>1774</v>
      </c>
      <c r="E1192" t="s">
        <v>888</v>
      </c>
      <c r="F1192" s="4">
        <v>40519</v>
      </c>
      <c r="G1192" s="11">
        <v>0</v>
      </c>
      <c r="H1192" s="11">
        <v>250000</v>
      </c>
    </row>
    <row r="1193" spans="1:8" x14ac:dyDescent="0.2">
      <c r="A1193" t="s">
        <v>605</v>
      </c>
      <c r="B1193" s="1" t="s">
        <v>2569</v>
      </c>
      <c r="C1193" s="11">
        <v>500000</v>
      </c>
      <c r="D1193" t="s">
        <v>1774</v>
      </c>
      <c r="E1193" t="s">
        <v>888</v>
      </c>
      <c r="F1193" s="4">
        <v>39793</v>
      </c>
      <c r="G1193" s="11">
        <v>474197</v>
      </c>
      <c r="H1193" s="11">
        <v>25803</v>
      </c>
    </row>
    <row r="1194" spans="1:8" x14ac:dyDescent="0.2">
      <c r="A1194" t="s">
        <v>606</v>
      </c>
      <c r="B1194" s="1" t="s">
        <v>1074</v>
      </c>
      <c r="C1194" s="11">
        <v>200000</v>
      </c>
      <c r="D1194" t="s">
        <v>1774</v>
      </c>
      <c r="E1194" t="s">
        <v>888</v>
      </c>
      <c r="F1194" s="4">
        <v>39987</v>
      </c>
      <c r="G1194" s="11">
        <v>0</v>
      </c>
      <c r="H1194" s="11">
        <v>200000</v>
      </c>
    </row>
    <row r="1195" spans="1:8" x14ac:dyDescent="0.2">
      <c r="A1195" t="s">
        <v>4074</v>
      </c>
      <c r="B1195" s="1" t="s">
        <v>3822</v>
      </c>
      <c r="C1195" s="11">
        <v>250000</v>
      </c>
      <c r="D1195" t="s">
        <v>1774</v>
      </c>
      <c r="E1195" t="s">
        <v>3031</v>
      </c>
      <c r="F1195" s="4">
        <v>40499</v>
      </c>
      <c r="G1195" s="11">
        <v>0</v>
      </c>
      <c r="H1195" s="11">
        <v>250000</v>
      </c>
    </row>
    <row r="1196" spans="1:8" x14ac:dyDescent="0.2">
      <c r="A1196" t="s">
        <v>4075</v>
      </c>
      <c r="B1196" s="1" t="s">
        <v>3823</v>
      </c>
      <c r="C1196" s="11">
        <v>250000</v>
      </c>
      <c r="D1196" t="s">
        <v>1774</v>
      </c>
      <c r="E1196" t="s">
        <v>3031</v>
      </c>
      <c r="F1196" s="4">
        <v>40499</v>
      </c>
      <c r="G1196" s="11">
        <v>0</v>
      </c>
      <c r="H1196" s="11">
        <v>250000</v>
      </c>
    </row>
    <row r="1197" spans="1:8" x14ac:dyDescent="0.2">
      <c r="A1197" t="s">
        <v>3802</v>
      </c>
      <c r="B1197" s="1" t="s">
        <v>3824</v>
      </c>
      <c r="C1197" s="11">
        <v>500000</v>
      </c>
      <c r="D1197" t="s">
        <v>1774</v>
      </c>
      <c r="E1197" t="s">
        <v>3031</v>
      </c>
      <c r="F1197" s="4">
        <v>40499</v>
      </c>
      <c r="G1197" s="11">
        <v>0</v>
      </c>
      <c r="H1197" s="11">
        <v>500000</v>
      </c>
    </row>
    <row r="1198" spans="1:8" x14ac:dyDescent="0.2">
      <c r="A1198" t="s">
        <v>2740</v>
      </c>
      <c r="B1198" s="1" t="s">
        <v>1076</v>
      </c>
      <c r="C1198" s="11">
        <v>500000</v>
      </c>
      <c r="D1198" t="s">
        <v>1774</v>
      </c>
      <c r="E1198" t="s">
        <v>444</v>
      </c>
      <c r="F1198" s="4">
        <v>39961</v>
      </c>
      <c r="G1198" s="11">
        <v>500000</v>
      </c>
      <c r="H1198" s="11">
        <v>0</v>
      </c>
    </row>
    <row r="1199" spans="1:8" x14ac:dyDescent="0.2">
      <c r="A1199" t="s">
        <v>2884</v>
      </c>
      <c r="B1199" s="1" t="s">
        <v>1077</v>
      </c>
      <c r="C1199" s="11">
        <v>500000</v>
      </c>
      <c r="D1199" t="s">
        <v>1774</v>
      </c>
      <c r="E1199" t="s">
        <v>888</v>
      </c>
      <c r="F1199" s="4">
        <v>40056</v>
      </c>
      <c r="G1199" s="11">
        <v>500000</v>
      </c>
      <c r="H1199" s="11">
        <v>0</v>
      </c>
    </row>
    <row r="1200" spans="1:8" x14ac:dyDescent="0.2">
      <c r="A1200" t="s">
        <v>3146</v>
      </c>
      <c r="B1200" s="1" t="s">
        <v>3147</v>
      </c>
      <c r="C1200" s="11">
        <v>6000000</v>
      </c>
      <c r="D1200" t="s">
        <v>1774</v>
      </c>
      <c r="E1200" t="s">
        <v>444</v>
      </c>
      <c r="F1200" s="4">
        <v>40436</v>
      </c>
      <c r="G1200" s="11">
        <v>4499382</v>
      </c>
      <c r="H1200" s="11">
        <v>1500618</v>
      </c>
    </row>
    <row r="1201" spans="1:8" x14ac:dyDescent="0.2">
      <c r="A1201" t="s">
        <v>2741</v>
      </c>
      <c r="B1201" s="1" t="s">
        <v>2190</v>
      </c>
      <c r="C1201" s="11">
        <v>1500000</v>
      </c>
      <c r="D1201" t="s">
        <v>1774</v>
      </c>
      <c r="E1201" t="s">
        <v>885</v>
      </c>
      <c r="F1201" s="4">
        <v>39394</v>
      </c>
      <c r="G1201" s="11">
        <v>0</v>
      </c>
      <c r="H1201" s="11">
        <v>1500000</v>
      </c>
    </row>
    <row r="1202" spans="1:8" x14ac:dyDescent="0.2">
      <c r="A1202" t="s">
        <v>2885</v>
      </c>
      <c r="B1202" s="1" t="s">
        <v>2113</v>
      </c>
      <c r="C1202" s="11">
        <v>350000</v>
      </c>
      <c r="D1202" t="s">
        <v>1774</v>
      </c>
      <c r="E1202" t="s">
        <v>888</v>
      </c>
      <c r="F1202" s="4">
        <v>39930</v>
      </c>
      <c r="G1202" s="11">
        <v>341250</v>
      </c>
      <c r="H1202" s="11">
        <v>8750</v>
      </c>
    </row>
    <row r="1203" spans="1:8" x14ac:dyDescent="0.2">
      <c r="A1203" t="s">
        <v>3150</v>
      </c>
      <c r="B1203" s="1" t="s">
        <v>105</v>
      </c>
      <c r="C1203" s="11">
        <v>250000</v>
      </c>
      <c r="D1203" t="s">
        <v>1774</v>
      </c>
      <c r="E1203" t="s">
        <v>888</v>
      </c>
      <c r="F1203" s="4">
        <v>40213</v>
      </c>
      <c r="G1203" s="11">
        <v>0</v>
      </c>
      <c r="H1203" s="11">
        <v>250000</v>
      </c>
    </row>
    <row r="1204" spans="1:8" x14ac:dyDescent="0.2">
      <c r="A1204" t="s">
        <v>3151</v>
      </c>
      <c r="B1204" s="1" t="s">
        <v>2886</v>
      </c>
      <c r="C1204" s="11">
        <v>500000</v>
      </c>
      <c r="D1204" t="s">
        <v>1774</v>
      </c>
      <c r="E1204" t="s">
        <v>888</v>
      </c>
      <c r="F1204" s="4">
        <v>40325</v>
      </c>
      <c r="G1204" s="11">
        <v>0</v>
      </c>
      <c r="H1204" s="11">
        <v>500000</v>
      </c>
    </row>
    <row r="1205" spans="1:8" x14ac:dyDescent="0.2">
      <c r="A1205" t="s">
        <v>3152</v>
      </c>
      <c r="B1205" s="1" t="s">
        <v>106</v>
      </c>
      <c r="C1205" s="11">
        <v>250000</v>
      </c>
      <c r="D1205" t="s">
        <v>1774</v>
      </c>
      <c r="E1205" t="s">
        <v>888</v>
      </c>
      <c r="F1205" s="4">
        <v>40213</v>
      </c>
      <c r="G1205" s="11">
        <v>0</v>
      </c>
      <c r="H1205" s="11">
        <v>250000</v>
      </c>
    </row>
    <row r="1206" spans="1:8" x14ac:dyDescent="0.2">
      <c r="A1206" t="s">
        <v>3153</v>
      </c>
      <c r="B1206" s="1" t="s">
        <v>2887</v>
      </c>
      <c r="C1206" s="11">
        <v>500000</v>
      </c>
      <c r="D1206" t="s">
        <v>1774</v>
      </c>
      <c r="E1206" t="s">
        <v>888</v>
      </c>
      <c r="F1206" s="4">
        <v>40325</v>
      </c>
      <c r="G1206" s="11">
        <v>0</v>
      </c>
      <c r="H1206" s="11">
        <v>500000</v>
      </c>
    </row>
    <row r="1207" spans="1:8" x14ac:dyDescent="0.2">
      <c r="A1207" t="s">
        <v>3154</v>
      </c>
      <c r="B1207" s="1" t="s">
        <v>107</v>
      </c>
      <c r="C1207" s="11">
        <v>300000</v>
      </c>
      <c r="D1207" t="s">
        <v>1774</v>
      </c>
      <c r="E1207" t="s">
        <v>885</v>
      </c>
      <c r="F1207" s="4">
        <v>40217</v>
      </c>
      <c r="G1207" s="11">
        <v>0</v>
      </c>
      <c r="H1207" s="11">
        <v>300000</v>
      </c>
    </row>
    <row r="1208" spans="1:8" x14ac:dyDescent="0.2">
      <c r="A1208" t="s">
        <v>3155</v>
      </c>
      <c r="B1208" s="1" t="s">
        <v>3156</v>
      </c>
      <c r="C1208" s="11">
        <v>2000000</v>
      </c>
      <c r="D1208" t="s">
        <v>1774</v>
      </c>
      <c r="E1208" t="s">
        <v>3008</v>
      </c>
      <c r="F1208" s="4">
        <v>40414</v>
      </c>
      <c r="G1208" s="11">
        <v>0</v>
      </c>
      <c r="H1208" s="11">
        <v>2000000</v>
      </c>
    </row>
    <row r="1209" spans="1:8" x14ac:dyDescent="0.2">
      <c r="A1209" t="s">
        <v>3157</v>
      </c>
      <c r="B1209" s="1" t="s">
        <v>3158</v>
      </c>
      <c r="C1209" s="11">
        <v>500000</v>
      </c>
      <c r="D1209" t="s">
        <v>1774</v>
      </c>
      <c r="E1209" t="s">
        <v>3008</v>
      </c>
      <c r="F1209" s="4">
        <v>40431</v>
      </c>
      <c r="G1209" s="11">
        <v>0</v>
      </c>
      <c r="H1209" s="11">
        <v>500000</v>
      </c>
    </row>
    <row r="1210" spans="1:8" x14ac:dyDescent="0.2">
      <c r="A1210" t="s">
        <v>3500</v>
      </c>
      <c r="B1210" s="1" t="s">
        <v>3159</v>
      </c>
      <c r="C1210" s="11">
        <v>7000000</v>
      </c>
      <c r="D1210" t="s">
        <v>1774</v>
      </c>
      <c r="E1210" t="s">
        <v>444</v>
      </c>
      <c r="F1210" s="4">
        <v>40393</v>
      </c>
      <c r="G1210" s="11">
        <v>0</v>
      </c>
      <c r="H1210" s="11">
        <v>7000000</v>
      </c>
    </row>
    <row r="1211" spans="1:8" x14ac:dyDescent="0.2">
      <c r="A1211" t="s">
        <v>3804</v>
      </c>
      <c r="B1211" s="1" t="s">
        <v>3805</v>
      </c>
      <c r="C1211" s="11">
        <v>500000</v>
      </c>
      <c r="D1211" t="s">
        <v>1774</v>
      </c>
      <c r="E1211" t="s">
        <v>888</v>
      </c>
      <c r="F1211" s="4">
        <v>40414</v>
      </c>
      <c r="G1211" s="11">
        <v>0</v>
      </c>
      <c r="H1211" s="11">
        <v>500000</v>
      </c>
    </row>
    <row r="1212" spans="1:8" x14ac:dyDescent="0.2">
      <c r="A1212" t="s">
        <v>4310</v>
      </c>
      <c r="B1212" s="1" t="s">
        <v>108</v>
      </c>
      <c r="C1212" s="11">
        <v>500000</v>
      </c>
      <c r="D1212" t="s">
        <v>1774</v>
      </c>
      <c r="E1212" t="s">
        <v>888</v>
      </c>
      <c r="F1212" s="4">
        <v>40213</v>
      </c>
      <c r="G1212" s="11">
        <v>0</v>
      </c>
      <c r="H1212" s="11">
        <v>500000</v>
      </c>
    </row>
    <row r="1213" spans="1:8" x14ac:dyDescent="0.2">
      <c r="A1213" t="s">
        <v>3806</v>
      </c>
      <c r="B1213" s="1" t="s">
        <v>3161</v>
      </c>
      <c r="C1213" s="11">
        <v>250000</v>
      </c>
      <c r="D1213" t="s">
        <v>1774</v>
      </c>
      <c r="E1213" t="s">
        <v>3031</v>
      </c>
      <c r="F1213" s="4">
        <v>40487</v>
      </c>
      <c r="G1213" s="11">
        <v>0</v>
      </c>
      <c r="H1213" s="11">
        <v>250000</v>
      </c>
    </row>
    <row r="1214" spans="1:8" x14ac:dyDescent="0.2">
      <c r="A1214" t="s">
        <v>3807</v>
      </c>
      <c r="B1214" s="1" t="s">
        <v>3162</v>
      </c>
      <c r="C1214" s="11">
        <v>1250000</v>
      </c>
      <c r="D1214" t="s">
        <v>1774</v>
      </c>
      <c r="E1214" t="s">
        <v>3031</v>
      </c>
      <c r="F1214" s="4">
        <v>40487</v>
      </c>
      <c r="G1214" s="11">
        <v>0</v>
      </c>
      <c r="H1214" s="11">
        <v>1250000</v>
      </c>
    </row>
    <row r="1215" spans="1:8" x14ac:dyDescent="0.2">
      <c r="A1215" t="s">
        <v>3808</v>
      </c>
      <c r="B1215" s="1" t="s">
        <v>3509</v>
      </c>
      <c r="C1215" s="11">
        <v>3000000</v>
      </c>
      <c r="D1215" t="s">
        <v>1774</v>
      </c>
      <c r="E1215" t="s">
        <v>3031</v>
      </c>
      <c r="F1215" s="4">
        <v>40499</v>
      </c>
      <c r="G1215" s="11">
        <v>2925000</v>
      </c>
      <c r="H1215" s="11">
        <v>75000</v>
      </c>
    </row>
    <row r="1216" spans="1:8" x14ac:dyDescent="0.2">
      <c r="A1216" t="s">
        <v>4059</v>
      </c>
      <c r="B1216" s="1" t="s">
        <v>3502</v>
      </c>
      <c r="C1216" s="11">
        <v>250000</v>
      </c>
      <c r="D1216" t="s">
        <v>1774</v>
      </c>
      <c r="E1216" t="s">
        <v>3031</v>
      </c>
      <c r="F1216" s="4">
        <v>40500</v>
      </c>
      <c r="G1216" s="11">
        <v>0</v>
      </c>
      <c r="H1216" s="11">
        <v>250000</v>
      </c>
    </row>
    <row r="1217" spans="1:8" x14ac:dyDescent="0.2">
      <c r="A1217" t="s">
        <v>4279</v>
      </c>
      <c r="B1217" s="1" t="s">
        <v>3160</v>
      </c>
      <c r="C1217" s="11">
        <v>2000000</v>
      </c>
      <c r="D1217" t="s">
        <v>1774</v>
      </c>
      <c r="E1217" t="s">
        <v>888</v>
      </c>
      <c r="F1217" s="4">
        <v>40463</v>
      </c>
      <c r="G1217" s="11">
        <v>0</v>
      </c>
      <c r="H1217" s="11">
        <v>2000000</v>
      </c>
    </row>
    <row r="1218" spans="1:8" x14ac:dyDescent="0.2">
      <c r="A1218" t="s">
        <v>4280</v>
      </c>
      <c r="B1218" s="1" t="s">
        <v>3503</v>
      </c>
      <c r="C1218" s="11">
        <v>250000</v>
      </c>
      <c r="D1218" t="s">
        <v>1774</v>
      </c>
      <c r="E1218" t="s">
        <v>3031</v>
      </c>
      <c r="F1218" s="4">
        <v>40500</v>
      </c>
      <c r="G1218" s="11">
        <v>0</v>
      </c>
      <c r="H1218" s="11">
        <v>250000</v>
      </c>
    </row>
    <row r="1219" spans="1:8" x14ac:dyDescent="0.2">
      <c r="A1219" t="s">
        <v>4122</v>
      </c>
      <c r="B1219" s="1" t="s">
        <v>3166</v>
      </c>
      <c r="C1219" s="11">
        <v>250000</v>
      </c>
      <c r="D1219" t="s">
        <v>1774</v>
      </c>
      <c r="E1219" t="s">
        <v>888</v>
      </c>
      <c r="F1219" s="4">
        <v>40483</v>
      </c>
      <c r="G1219" s="11">
        <v>0</v>
      </c>
      <c r="H1219" s="11">
        <v>250000</v>
      </c>
    </row>
    <row r="1220" spans="1:8" x14ac:dyDescent="0.2">
      <c r="A1220" t="s">
        <v>4123</v>
      </c>
      <c r="B1220" s="1" t="s">
        <v>3812</v>
      </c>
      <c r="C1220" s="11">
        <v>500000</v>
      </c>
      <c r="D1220" t="s">
        <v>1774</v>
      </c>
      <c r="E1220" t="s">
        <v>888</v>
      </c>
      <c r="F1220" s="4">
        <v>40519</v>
      </c>
      <c r="G1220" s="11">
        <v>0</v>
      </c>
      <c r="H1220" s="11">
        <v>500000</v>
      </c>
    </row>
    <row r="1221" spans="1:8" x14ac:dyDescent="0.2">
      <c r="A1221" t="s">
        <v>4124</v>
      </c>
      <c r="B1221" s="1" t="s">
        <v>3813</v>
      </c>
      <c r="C1221" s="11">
        <v>250000</v>
      </c>
      <c r="D1221" t="s">
        <v>1774</v>
      </c>
      <c r="E1221" t="s">
        <v>888</v>
      </c>
      <c r="F1221" s="4">
        <v>40546</v>
      </c>
      <c r="G1221" s="11">
        <v>0</v>
      </c>
      <c r="H1221" s="11">
        <v>250000</v>
      </c>
    </row>
    <row r="1222" spans="1:8" x14ac:dyDescent="0.2">
      <c r="A1222" t="s">
        <v>4125</v>
      </c>
      <c r="B1222" s="1" t="s">
        <v>3814</v>
      </c>
      <c r="C1222" s="11">
        <v>750000</v>
      </c>
      <c r="D1222" t="s">
        <v>1774</v>
      </c>
      <c r="E1222" t="s">
        <v>888</v>
      </c>
      <c r="F1222" s="4">
        <v>40553</v>
      </c>
      <c r="G1222" s="11">
        <v>0</v>
      </c>
      <c r="H1222" s="11">
        <v>750000</v>
      </c>
    </row>
    <row r="1223" spans="1:8" x14ac:dyDescent="0.2">
      <c r="A1223" t="s">
        <v>4281</v>
      </c>
      <c r="B1223" s="1" t="s">
        <v>4570</v>
      </c>
      <c r="C1223" s="11">
        <v>500000</v>
      </c>
      <c r="D1223" t="s">
        <v>1774</v>
      </c>
      <c r="E1223" t="s">
        <v>888</v>
      </c>
      <c r="F1223" s="4">
        <v>40500</v>
      </c>
      <c r="G1223" s="11">
        <v>0</v>
      </c>
      <c r="H1223" s="11">
        <v>500000</v>
      </c>
    </row>
    <row r="1224" spans="1:8" x14ac:dyDescent="0.2">
      <c r="A1224" t="s">
        <v>4126</v>
      </c>
      <c r="B1224" s="1" t="s">
        <v>3504</v>
      </c>
      <c r="C1224" s="11">
        <v>200000</v>
      </c>
      <c r="D1224" t="s">
        <v>1774</v>
      </c>
      <c r="E1224" t="s">
        <v>3031</v>
      </c>
      <c r="F1224" s="4">
        <v>40499</v>
      </c>
      <c r="G1224" s="11">
        <v>0</v>
      </c>
      <c r="H1224" s="11">
        <v>200000</v>
      </c>
    </row>
    <row r="1225" spans="1:8" x14ac:dyDescent="0.2">
      <c r="A1225" t="s">
        <v>4127</v>
      </c>
      <c r="B1225" s="1" t="s">
        <v>3505</v>
      </c>
      <c r="C1225" s="11">
        <v>300000</v>
      </c>
      <c r="D1225" t="s">
        <v>1774</v>
      </c>
      <c r="E1225" t="s">
        <v>3031</v>
      </c>
      <c r="F1225" s="4">
        <v>40499</v>
      </c>
      <c r="G1225" s="11">
        <v>0</v>
      </c>
      <c r="H1225" s="11">
        <v>300000</v>
      </c>
    </row>
    <row r="1226" spans="1:8" x14ac:dyDescent="0.2">
      <c r="A1226" t="s">
        <v>4128</v>
      </c>
      <c r="B1226" s="1" t="s">
        <v>3506</v>
      </c>
      <c r="C1226" s="11">
        <v>500000</v>
      </c>
      <c r="D1226" t="s">
        <v>1774</v>
      </c>
      <c r="E1226" t="s">
        <v>3031</v>
      </c>
      <c r="F1226" s="4">
        <v>40499</v>
      </c>
      <c r="G1226" s="11">
        <v>0</v>
      </c>
      <c r="H1226" s="11">
        <v>500000</v>
      </c>
    </row>
    <row r="1227" spans="1:8" x14ac:dyDescent="0.2">
      <c r="A1227" t="s">
        <v>4200</v>
      </c>
      <c r="B1227" s="1" t="s">
        <v>3510</v>
      </c>
      <c r="C1227" s="11">
        <v>250000</v>
      </c>
      <c r="D1227" t="s">
        <v>1774</v>
      </c>
      <c r="E1227" t="s">
        <v>888</v>
      </c>
      <c r="F1227" s="4">
        <v>40500</v>
      </c>
      <c r="G1227" s="11">
        <v>0</v>
      </c>
      <c r="H1227" s="11">
        <v>250000</v>
      </c>
    </row>
    <row r="1228" spans="1:8" x14ac:dyDescent="0.2">
      <c r="A1228" t="s">
        <v>4201</v>
      </c>
      <c r="B1228" s="1" t="s">
        <v>3815</v>
      </c>
      <c r="C1228" s="11">
        <v>250000</v>
      </c>
      <c r="D1228" t="s">
        <v>1774</v>
      </c>
      <c r="E1228" t="s">
        <v>888</v>
      </c>
      <c r="F1228" s="4">
        <v>40519</v>
      </c>
      <c r="G1228" s="11">
        <v>0</v>
      </c>
      <c r="H1228" s="11">
        <v>250000</v>
      </c>
    </row>
    <row r="1229" spans="1:8" x14ac:dyDescent="0.2">
      <c r="A1229" t="s">
        <v>4202</v>
      </c>
      <c r="B1229" s="1" t="s">
        <v>3816</v>
      </c>
      <c r="C1229" s="11">
        <v>250000</v>
      </c>
      <c r="D1229" t="s">
        <v>1774</v>
      </c>
      <c r="E1229" t="s">
        <v>3031</v>
      </c>
      <c r="F1229" s="4">
        <v>40546</v>
      </c>
      <c r="G1229" s="11">
        <v>0</v>
      </c>
      <c r="H1229" s="11">
        <v>250000</v>
      </c>
    </row>
    <row r="1230" spans="1:8" x14ac:dyDescent="0.2">
      <c r="A1230" t="s">
        <v>4203</v>
      </c>
      <c r="B1230" s="1" t="s">
        <v>3163</v>
      </c>
      <c r="C1230" s="11">
        <v>250000</v>
      </c>
      <c r="D1230" t="s">
        <v>1774</v>
      </c>
      <c r="E1230" t="s">
        <v>3031</v>
      </c>
      <c r="F1230" s="4">
        <v>40483</v>
      </c>
      <c r="G1230" s="11">
        <v>250000</v>
      </c>
      <c r="H1230" s="11">
        <v>0</v>
      </c>
    </row>
    <row r="1231" spans="1:8" x14ac:dyDescent="0.2">
      <c r="A1231" t="s">
        <v>4204</v>
      </c>
      <c r="B1231" s="1" t="s">
        <v>3809</v>
      </c>
      <c r="C1231" s="11">
        <v>125000</v>
      </c>
      <c r="D1231" t="s">
        <v>1774</v>
      </c>
      <c r="E1231" t="s">
        <v>3031</v>
      </c>
      <c r="F1231" s="4">
        <v>40515</v>
      </c>
      <c r="G1231" s="11">
        <v>125000</v>
      </c>
      <c r="H1231" s="11">
        <v>0</v>
      </c>
    </row>
    <row r="1232" spans="1:8" x14ac:dyDescent="0.2">
      <c r="A1232" t="s">
        <v>4205</v>
      </c>
      <c r="B1232" s="1" t="s">
        <v>3810</v>
      </c>
      <c r="C1232" s="11">
        <v>250000</v>
      </c>
      <c r="D1232" t="s">
        <v>1774</v>
      </c>
      <c r="E1232" t="s">
        <v>3031</v>
      </c>
      <c r="F1232" s="4">
        <v>40519</v>
      </c>
      <c r="G1232" s="11">
        <v>250000</v>
      </c>
      <c r="H1232" s="11">
        <v>0</v>
      </c>
    </row>
    <row r="1233" spans="1:8" x14ac:dyDescent="0.2">
      <c r="A1233" t="s">
        <v>4206</v>
      </c>
      <c r="B1233" s="1" t="s">
        <v>3811</v>
      </c>
      <c r="C1233" s="11">
        <v>250000</v>
      </c>
      <c r="D1233" t="s">
        <v>1774</v>
      </c>
      <c r="E1233" t="s">
        <v>3031</v>
      </c>
      <c r="F1233" s="4">
        <v>40553</v>
      </c>
      <c r="G1233" s="11">
        <v>228125</v>
      </c>
      <c r="H1233" s="11">
        <v>21875</v>
      </c>
    </row>
    <row r="1234" spans="1:8" x14ac:dyDescent="0.2">
      <c r="A1234" t="s">
        <v>4207</v>
      </c>
      <c r="B1234" s="1" t="s">
        <v>3148</v>
      </c>
      <c r="C1234" s="11">
        <v>1000000</v>
      </c>
      <c r="D1234" t="s">
        <v>1774</v>
      </c>
      <c r="E1234" t="s">
        <v>888</v>
      </c>
      <c r="F1234" s="4">
        <v>40436</v>
      </c>
      <c r="G1234" s="11">
        <v>715069</v>
      </c>
      <c r="H1234" s="11">
        <v>284931</v>
      </c>
    </row>
    <row r="1235" spans="1:8" x14ac:dyDescent="0.2">
      <c r="A1235" t="s">
        <v>4208</v>
      </c>
      <c r="B1235" s="1" t="s">
        <v>3149</v>
      </c>
      <c r="C1235" s="11">
        <v>2000000</v>
      </c>
      <c r="D1235" t="s">
        <v>1774</v>
      </c>
      <c r="E1235" t="s">
        <v>3031</v>
      </c>
      <c r="F1235" s="4">
        <v>40471</v>
      </c>
      <c r="G1235" s="11">
        <v>0</v>
      </c>
      <c r="H1235" s="11">
        <v>2000000</v>
      </c>
    </row>
    <row r="1236" spans="1:8" x14ac:dyDescent="0.2">
      <c r="A1236" t="s">
        <v>4282</v>
      </c>
      <c r="B1236" s="1" t="s">
        <v>3507</v>
      </c>
      <c r="C1236" s="11">
        <v>1000000</v>
      </c>
      <c r="D1236" t="s">
        <v>1774</v>
      </c>
      <c r="E1236" t="s">
        <v>3031</v>
      </c>
      <c r="F1236" s="4">
        <v>40499</v>
      </c>
      <c r="G1236" s="11">
        <v>0</v>
      </c>
      <c r="H1236" s="11">
        <v>1000000</v>
      </c>
    </row>
    <row r="1237" spans="1:8" x14ac:dyDescent="0.2">
      <c r="A1237" t="s">
        <v>4283</v>
      </c>
      <c r="B1237" s="1" t="s">
        <v>3508</v>
      </c>
      <c r="C1237" s="11">
        <v>2750000</v>
      </c>
      <c r="D1237" t="s">
        <v>1774</v>
      </c>
      <c r="E1237" t="s">
        <v>3031</v>
      </c>
      <c r="F1237" s="4">
        <v>40499</v>
      </c>
      <c r="G1237" s="11">
        <v>0</v>
      </c>
      <c r="H1237" s="11">
        <v>2750000</v>
      </c>
    </row>
    <row r="1238" spans="1:8" x14ac:dyDescent="0.2">
      <c r="A1238" t="s">
        <v>4311</v>
      </c>
      <c r="B1238" s="1" t="s">
        <v>3167</v>
      </c>
      <c r="C1238" s="11">
        <v>500000</v>
      </c>
      <c r="D1238" t="s">
        <v>1774</v>
      </c>
      <c r="E1238" t="s">
        <v>888</v>
      </c>
      <c r="F1238" s="4">
        <v>40472</v>
      </c>
      <c r="G1238" s="11">
        <v>0</v>
      </c>
      <c r="H1238" s="11">
        <v>500000</v>
      </c>
    </row>
    <row r="1239" spans="1:8" x14ac:dyDescent="0.2">
      <c r="A1239" t="s">
        <v>4312</v>
      </c>
      <c r="B1239" s="1" t="s">
        <v>3501</v>
      </c>
      <c r="C1239" s="11">
        <v>500000</v>
      </c>
      <c r="D1239" t="s">
        <v>1774</v>
      </c>
      <c r="E1239" t="s">
        <v>3031</v>
      </c>
      <c r="F1239" s="4">
        <v>40515</v>
      </c>
      <c r="G1239" s="11">
        <v>0</v>
      </c>
      <c r="H1239" s="11">
        <v>500000</v>
      </c>
    </row>
    <row r="1240" spans="1:8" x14ac:dyDescent="0.2">
      <c r="A1240" t="s">
        <v>4313</v>
      </c>
      <c r="B1240" s="1" t="s">
        <v>3803</v>
      </c>
      <c r="C1240" s="11">
        <v>1000000</v>
      </c>
      <c r="D1240" t="s">
        <v>1774</v>
      </c>
      <c r="E1240" t="s">
        <v>3031</v>
      </c>
      <c r="F1240" s="4">
        <v>40553</v>
      </c>
      <c r="G1240" s="11">
        <v>0</v>
      </c>
      <c r="H1240" s="11">
        <v>1000000</v>
      </c>
    </row>
    <row r="1241" spans="1:8" x14ac:dyDescent="0.2">
      <c r="A1241" t="s">
        <v>4461</v>
      </c>
      <c r="B1241" s="1" t="s">
        <v>3827</v>
      </c>
      <c r="C1241" s="11">
        <v>500000</v>
      </c>
      <c r="D1241" t="s">
        <v>1774</v>
      </c>
      <c r="E1241" t="s">
        <v>3031</v>
      </c>
      <c r="F1241" s="4">
        <v>40553</v>
      </c>
      <c r="G1241" s="11">
        <v>0</v>
      </c>
      <c r="H1241" s="11">
        <v>500000</v>
      </c>
    </row>
    <row r="1242" spans="1:8" x14ac:dyDescent="0.2">
      <c r="A1242" t="s">
        <v>4209</v>
      </c>
      <c r="B1242" s="1" t="s">
        <v>3820</v>
      </c>
      <c r="C1242" s="11">
        <v>300000</v>
      </c>
      <c r="D1242" t="s">
        <v>1774</v>
      </c>
      <c r="E1242" t="s">
        <v>3031</v>
      </c>
      <c r="F1242" s="4">
        <v>40532</v>
      </c>
      <c r="G1242" s="11">
        <v>289500</v>
      </c>
      <c r="H1242" s="11">
        <v>10500</v>
      </c>
    </row>
    <row r="1243" spans="1:8" x14ac:dyDescent="0.2">
      <c r="A1243" t="s">
        <v>4210</v>
      </c>
      <c r="B1243" s="1" t="s">
        <v>3829</v>
      </c>
      <c r="C1243" s="11">
        <v>250000</v>
      </c>
      <c r="D1243" t="s">
        <v>1774</v>
      </c>
      <c r="E1243" t="s">
        <v>3031</v>
      </c>
      <c r="F1243" s="4">
        <v>40553</v>
      </c>
      <c r="G1243" s="11">
        <v>0</v>
      </c>
      <c r="H1243" s="11">
        <v>250000</v>
      </c>
    </row>
    <row r="1244" spans="1:8" x14ac:dyDescent="0.2">
      <c r="A1244" t="s">
        <v>4553</v>
      </c>
      <c r="B1244" s="1" t="s">
        <v>4554</v>
      </c>
      <c r="C1244" s="11">
        <v>2500000</v>
      </c>
      <c r="D1244" t="s">
        <v>1774</v>
      </c>
      <c r="E1244" t="s">
        <v>3031</v>
      </c>
      <c r="F1244" s="4">
        <v>41316</v>
      </c>
      <c r="G1244" s="11">
        <v>0</v>
      </c>
      <c r="H1244" s="11">
        <v>2500000</v>
      </c>
    </row>
    <row r="1245" spans="1:8" x14ac:dyDescent="0.2">
      <c r="A1245" t="s">
        <v>4419</v>
      </c>
      <c r="B1245" s="1" t="s">
        <v>3828</v>
      </c>
      <c r="C1245" s="11">
        <v>250000</v>
      </c>
      <c r="D1245" t="s">
        <v>1774</v>
      </c>
      <c r="E1245" t="s">
        <v>3031</v>
      </c>
      <c r="F1245" s="4">
        <v>40553</v>
      </c>
      <c r="G1245" s="11">
        <v>0</v>
      </c>
      <c r="H1245" s="11">
        <v>250000</v>
      </c>
    </row>
    <row r="1246" spans="1:8" x14ac:dyDescent="0.2">
      <c r="A1246" t="s">
        <v>4462</v>
      </c>
      <c r="B1246" s="1" t="s">
        <v>3168</v>
      </c>
      <c r="C1246" s="11">
        <v>500000</v>
      </c>
      <c r="D1246" t="s">
        <v>1774</v>
      </c>
      <c r="E1246" t="s">
        <v>888</v>
      </c>
      <c r="F1246" s="4">
        <v>40476</v>
      </c>
      <c r="G1246" s="11">
        <v>0</v>
      </c>
      <c r="H1246" s="11">
        <v>500000</v>
      </c>
    </row>
    <row r="1247" spans="1:8" x14ac:dyDescent="0.2">
      <c r="A1247" t="s">
        <v>4571</v>
      </c>
      <c r="B1247" s="1" t="s">
        <v>3821</v>
      </c>
      <c r="C1247" s="11">
        <v>250000</v>
      </c>
      <c r="D1247" t="s">
        <v>1774</v>
      </c>
      <c r="E1247" t="s">
        <v>3031</v>
      </c>
      <c r="F1247" s="4">
        <v>40546</v>
      </c>
      <c r="G1247" s="11">
        <v>0</v>
      </c>
      <c r="H1247" s="11">
        <v>250000</v>
      </c>
    </row>
    <row r="1248" spans="1:8" x14ac:dyDescent="0.2">
      <c r="A1248" t="s">
        <v>2742</v>
      </c>
      <c r="B1248" s="1" t="s">
        <v>1256</v>
      </c>
      <c r="C1248" s="11">
        <v>0</v>
      </c>
      <c r="D1248" t="s">
        <v>1774</v>
      </c>
      <c r="E1248" t="s">
        <v>444</v>
      </c>
      <c r="F1248" s="4">
        <v>39170</v>
      </c>
      <c r="G1248" s="11">
        <v>0</v>
      </c>
      <c r="H1248" s="11">
        <v>0</v>
      </c>
    </row>
    <row r="1249" spans="1:8" x14ac:dyDescent="0.2">
      <c r="A1249" t="s">
        <v>2743</v>
      </c>
      <c r="B1249" s="1" t="s">
        <v>1075</v>
      </c>
      <c r="C1249" s="11">
        <v>0</v>
      </c>
      <c r="D1249" t="s">
        <v>1774</v>
      </c>
      <c r="E1249" t="s">
        <v>444</v>
      </c>
      <c r="F1249" s="4">
        <v>39945</v>
      </c>
      <c r="G1249" s="11">
        <v>0</v>
      </c>
      <c r="H1249" s="11">
        <v>0</v>
      </c>
    </row>
    <row r="1250" spans="1:8" x14ac:dyDescent="0.2">
      <c r="A1250" t="s">
        <v>3164</v>
      </c>
      <c r="B1250" s="1" t="s">
        <v>3165</v>
      </c>
      <c r="C1250" s="11">
        <v>0</v>
      </c>
      <c r="D1250" t="s">
        <v>1774</v>
      </c>
      <c r="E1250" t="s">
        <v>3031</v>
      </c>
      <c r="F1250" s="4">
        <v>40483</v>
      </c>
      <c r="G1250" s="11">
        <v>0</v>
      </c>
      <c r="H1250" s="11">
        <v>0</v>
      </c>
    </row>
    <row r="1251" spans="1:8" x14ac:dyDescent="0.2">
      <c r="A1251" t="s">
        <v>3817</v>
      </c>
      <c r="B1251" s="1" t="s">
        <v>3818</v>
      </c>
      <c r="C1251" s="11">
        <v>250000</v>
      </c>
      <c r="D1251" t="s">
        <v>1774</v>
      </c>
      <c r="E1251" t="s">
        <v>3031</v>
      </c>
      <c r="F1251" s="4">
        <v>40519</v>
      </c>
      <c r="G1251" s="11">
        <v>0</v>
      </c>
      <c r="H1251" s="11">
        <v>250000</v>
      </c>
    </row>
    <row r="1252" spans="1:8" x14ac:dyDescent="0.2">
      <c r="A1252" t="s">
        <v>3819</v>
      </c>
      <c r="B1252" s="1" t="s">
        <v>4493</v>
      </c>
      <c r="C1252" s="11">
        <v>250000</v>
      </c>
      <c r="D1252" t="s">
        <v>1774</v>
      </c>
      <c r="E1252" t="s">
        <v>3031</v>
      </c>
      <c r="F1252" s="4">
        <v>40553</v>
      </c>
      <c r="G1252" s="11">
        <v>0</v>
      </c>
      <c r="H1252" s="11">
        <v>250000</v>
      </c>
    </row>
    <row r="1253" spans="1:8" x14ac:dyDescent="0.2">
      <c r="A1253" t="s">
        <v>4555</v>
      </c>
      <c r="B1253" s="1" t="s">
        <v>4556</v>
      </c>
      <c r="C1253" s="11">
        <v>500000</v>
      </c>
      <c r="D1253" t="s">
        <v>1774</v>
      </c>
      <c r="E1253" t="s">
        <v>444</v>
      </c>
      <c r="F1253" s="4">
        <v>41316</v>
      </c>
      <c r="G1253" s="11">
        <v>0</v>
      </c>
      <c r="H1253" s="11">
        <v>500000</v>
      </c>
    </row>
    <row r="1254" spans="1:8" x14ac:dyDescent="0.2">
      <c r="A1254" t="s">
        <v>3169</v>
      </c>
      <c r="B1254" s="1" t="s">
        <v>1221</v>
      </c>
      <c r="C1254" s="11">
        <v>0</v>
      </c>
      <c r="D1254" t="s">
        <v>1774</v>
      </c>
      <c r="E1254" t="s">
        <v>888</v>
      </c>
      <c r="F1254" s="4">
        <v>39772</v>
      </c>
      <c r="G1254" s="11">
        <v>0</v>
      </c>
      <c r="H1254" s="11">
        <v>0</v>
      </c>
    </row>
    <row r="1255" spans="1:8" x14ac:dyDescent="0.2">
      <c r="A1255" t="s">
        <v>4129</v>
      </c>
      <c r="B1255" s="1" t="s">
        <v>3825</v>
      </c>
      <c r="C1255" s="11">
        <v>0</v>
      </c>
      <c r="D1255" t="s">
        <v>1774</v>
      </c>
      <c r="E1255" t="s">
        <v>3031</v>
      </c>
      <c r="F1255" s="4">
        <v>40553</v>
      </c>
      <c r="G1255" s="11">
        <v>0</v>
      </c>
      <c r="H1255" s="11">
        <v>0</v>
      </c>
    </row>
    <row r="1256" spans="1:8" x14ac:dyDescent="0.2">
      <c r="A1256" t="s">
        <v>4338</v>
      </c>
      <c r="B1256" s="1" t="s">
        <v>3826</v>
      </c>
      <c r="C1256" s="11">
        <v>0</v>
      </c>
      <c r="D1256" t="s">
        <v>1774</v>
      </c>
      <c r="E1256" t="s">
        <v>3031</v>
      </c>
      <c r="F1256" s="4">
        <v>40553</v>
      </c>
      <c r="G1256" s="11">
        <v>0</v>
      </c>
      <c r="H1256" s="11">
        <v>0</v>
      </c>
    </row>
    <row r="1257" spans="1:8" x14ac:dyDescent="0.2">
      <c r="A1257" t="s">
        <v>4372</v>
      </c>
      <c r="B1257" s="1" t="s">
        <v>3830</v>
      </c>
      <c r="C1257" s="11">
        <v>0</v>
      </c>
      <c r="D1257" t="s">
        <v>1774</v>
      </c>
      <c r="E1257" t="s">
        <v>3031</v>
      </c>
      <c r="F1257" s="4">
        <v>40553</v>
      </c>
      <c r="G1257" s="11">
        <v>0</v>
      </c>
      <c r="H1257" s="11">
        <v>0</v>
      </c>
    </row>
    <row r="1258" spans="1:8" x14ac:dyDescent="0.2">
      <c r="A1258" t="s">
        <v>327</v>
      </c>
      <c r="B1258" s="1" t="s">
        <v>328</v>
      </c>
      <c r="C1258" s="11">
        <v>19200000</v>
      </c>
      <c r="D1258" t="s">
        <v>329</v>
      </c>
      <c r="E1258" t="s">
        <v>313</v>
      </c>
      <c r="F1258" s="4">
        <v>34151</v>
      </c>
      <c r="G1258" s="11">
        <v>19200000</v>
      </c>
      <c r="H1258" s="11">
        <v>0</v>
      </c>
    </row>
    <row r="1259" spans="1:8" x14ac:dyDescent="0.2">
      <c r="A1259" t="s">
        <v>330</v>
      </c>
      <c r="B1259" s="1" t="s">
        <v>331</v>
      </c>
      <c r="C1259" s="11">
        <v>2000000</v>
      </c>
      <c r="D1259" t="s">
        <v>329</v>
      </c>
      <c r="E1259" t="s">
        <v>313</v>
      </c>
      <c r="F1259" s="4">
        <v>36283</v>
      </c>
      <c r="G1259" s="11">
        <v>2000000</v>
      </c>
      <c r="H1259" s="11">
        <v>0</v>
      </c>
    </row>
    <row r="1260" spans="1:8" x14ac:dyDescent="0.2">
      <c r="A1260" t="s">
        <v>2037</v>
      </c>
      <c r="B1260" s="1" t="s">
        <v>2038</v>
      </c>
      <c r="C1260" s="11">
        <v>2500000</v>
      </c>
      <c r="D1260" t="s">
        <v>329</v>
      </c>
      <c r="E1260" t="s">
        <v>969</v>
      </c>
      <c r="F1260" s="4">
        <v>36762</v>
      </c>
      <c r="G1260" s="11">
        <v>2500000</v>
      </c>
      <c r="H1260" s="11">
        <v>0</v>
      </c>
    </row>
    <row r="1261" spans="1:8" x14ac:dyDescent="0.2">
      <c r="A1261" t="s">
        <v>842</v>
      </c>
      <c r="B1261" s="1" t="s">
        <v>843</v>
      </c>
      <c r="C1261" s="11">
        <v>1500000</v>
      </c>
      <c r="D1261" t="s">
        <v>329</v>
      </c>
      <c r="E1261" t="s">
        <v>2107</v>
      </c>
      <c r="F1261" s="4">
        <v>37242</v>
      </c>
      <c r="G1261" s="11">
        <v>1500000</v>
      </c>
      <c r="H1261" s="11">
        <v>0</v>
      </c>
    </row>
    <row r="1262" spans="1:8" x14ac:dyDescent="0.2">
      <c r="A1262" t="s">
        <v>2207</v>
      </c>
      <c r="B1262" s="1" t="s">
        <v>2208</v>
      </c>
      <c r="C1262" s="11">
        <v>1000000</v>
      </c>
      <c r="D1262" t="s">
        <v>329</v>
      </c>
      <c r="E1262" t="s">
        <v>969</v>
      </c>
      <c r="F1262" s="4">
        <v>37370</v>
      </c>
      <c r="G1262" s="11">
        <v>1000000</v>
      </c>
      <c r="H1262" s="11">
        <v>0</v>
      </c>
    </row>
    <row r="1263" spans="1:8" x14ac:dyDescent="0.2">
      <c r="A1263" t="s">
        <v>2402</v>
      </c>
      <c r="B1263" s="1" t="s">
        <v>1338</v>
      </c>
      <c r="C1263" s="11">
        <v>5870000</v>
      </c>
      <c r="D1263" t="s">
        <v>329</v>
      </c>
      <c r="E1263" t="s">
        <v>885</v>
      </c>
      <c r="F1263" s="4">
        <v>38100</v>
      </c>
      <c r="G1263" s="11">
        <v>5870000</v>
      </c>
      <c r="H1263" s="11">
        <v>0</v>
      </c>
    </row>
    <row r="1264" spans="1:8" x14ac:dyDescent="0.2">
      <c r="A1264" t="s">
        <v>1522</v>
      </c>
      <c r="B1264" s="1" t="s">
        <v>1523</v>
      </c>
      <c r="C1264" s="11">
        <v>1500000</v>
      </c>
      <c r="D1264" t="s">
        <v>329</v>
      </c>
      <c r="E1264" t="s">
        <v>885</v>
      </c>
      <c r="F1264" s="4">
        <v>38230</v>
      </c>
      <c r="G1264" s="11">
        <v>1500000</v>
      </c>
      <c r="H1264" s="11">
        <v>0</v>
      </c>
    </row>
    <row r="1265" spans="1:8" x14ac:dyDescent="0.2">
      <c r="A1265" t="s">
        <v>1524</v>
      </c>
      <c r="B1265" s="1" t="s">
        <v>1525</v>
      </c>
      <c r="C1265" s="11">
        <v>500000</v>
      </c>
      <c r="D1265" t="s">
        <v>329</v>
      </c>
      <c r="E1265" t="s">
        <v>885</v>
      </c>
      <c r="F1265" s="4">
        <v>38873</v>
      </c>
      <c r="G1265" s="11">
        <v>500000</v>
      </c>
      <c r="H1265" s="11">
        <v>0</v>
      </c>
    </row>
    <row r="1266" spans="1:8" x14ac:dyDescent="0.2">
      <c r="A1266" t="s">
        <v>171</v>
      </c>
      <c r="B1266" s="1" t="s">
        <v>172</v>
      </c>
      <c r="C1266" s="11">
        <v>1500000</v>
      </c>
      <c r="D1266" t="s">
        <v>329</v>
      </c>
      <c r="E1266" t="s">
        <v>2107</v>
      </c>
      <c r="F1266" s="4">
        <v>38100</v>
      </c>
      <c r="G1266" s="11">
        <v>1500000</v>
      </c>
      <c r="H1266" s="11">
        <v>0</v>
      </c>
    </row>
    <row r="1267" spans="1:8" x14ac:dyDescent="0.2">
      <c r="A1267" t="s">
        <v>181</v>
      </c>
      <c r="B1267" s="1" t="s">
        <v>456</v>
      </c>
      <c r="C1267" s="11">
        <v>500000</v>
      </c>
      <c r="D1267" t="s">
        <v>329</v>
      </c>
      <c r="E1267" t="s">
        <v>885</v>
      </c>
      <c r="F1267" s="4">
        <v>38338</v>
      </c>
      <c r="G1267" s="11">
        <v>500000</v>
      </c>
      <c r="H1267" s="11">
        <v>0</v>
      </c>
    </row>
    <row r="1268" spans="1:8" x14ac:dyDescent="0.2">
      <c r="A1268" t="s">
        <v>1339</v>
      </c>
      <c r="B1268" s="1" t="s">
        <v>238</v>
      </c>
      <c r="C1268" s="11">
        <v>2500000</v>
      </c>
      <c r="D1268" t="s">
        <v>329</v>
      </c>
      <c r="E1268" t="s">
        <v>885</v>
      </c>
      <c r="F1268" s="4">
        <v>38230</v>
      </c>
      <c r="G1268" s="11">
        <v>2500000</v>
      </c>
      <c r="H1268" s="11">
        <v>0</v>
      </c>
    </row>
    <row r="1269" spans="1:8" x14ac:dyDescent="0.2">
      <c r="A1269" t="s">
        <v>1526</v>
      </c>
      <c r="B1269" s="1" t="s">
        <v>1527</v>
      </c>
      <c r="C1269" s="11">
        <v>500000</v>
      </c>
      <c r="D1269" t="s">
        <v>329</v>
      </c>
      <c r="E1269" t="s">
        <v>885</v>
      </c>
      <c r="F1269" s="4">
        <v>38230</v>
      </c>
      <c r="G1269" s="11">
        <v>500000</v>
      </c>
      <c r="H1269" s="11">
        <v>0</v>
      </c>
    </row>
    <row r="1270" spans="1:8" x14ac:dyDescent="0.2">
      <c r="A1270" t="s">
        <v>3170</v>
      </c>
      <c r="B1270" s="1" t="s">
        <v>238</v>
      </c>
      <c r="C1270" s="11">
        <v>3000000</v>
      </c>
      <c r="D1270" t="s">
        <v>329</v>
      </c>
      <c r="E1270" t="s">
        <v>885</v>
      </c>
      <c r="G1270" s="11">
        <v>3000000</v>
      </c>
      <c r="H1270" s="11">
        <v>0</v>
      </c>
    </row>
    <row r="1271" spans="1:8" x14ac:dyDescent="0.2">
      <c r="A1271" t="s">
        <v>1499</v>
      </c>
      <c r="B1271" s="1" t="s">
        <v>389</v>
      </c>
      <c r="C1271" s="11">
        <v>4000000</v>
      </c>
      <c r="D1271" t="s">
        <v>329</v>
      </c>
      <c r="E1271" t="s">
        <v>444</v>
      </c>
      <c r="F1271" s="4">
        <v>39367</v>
      </c>
      <c r="G1271" s="11">
        <v>4000000</v>
      </c>
      <c r="H1271" s="11">
        <v>0</v>
      </c>
    </row>
    <row r="1272" spans="1:8" x14ac:dyDescent="0.2">
      <c r="A1272" t="s">
        <v>3511</v>
      </c>
      <c r="B1272" s="1" t="s">
        <v>3512</v>
      </c>
      <c r="C1272" s="11">
        <v>1500000</v>
      </c>
      <c r="D1272" t="s">
        <v>329</v>
      </c>
      <c r="E1272" t="s">
        <v>885</v>
      </c>
      <c r="F1272" s="4">
        <v>40497</v>
      </c>
      <c r="G1272" s="11">
        <v>1270000</v>
      </c>
      <c r="H1272" s="11">
        <v>230000</v>
      </c>
    </row>
    <row r="1273" spans="1:8" x14ac:dyDescent="0.2">
      <c r="A1273" t="s">
        <v>1340</v>
      </c>
      <c r="B1273" s="1" t="s">
        <v>1341</v>
      </c>
      <c r="C1273" s="11">
        <v>500000</v>
      </c>
      <c r="D1273" t="s">
        <v>329</v>
      </c>
      <c r="E1273" t="s">
        <v>885</v>
      </c>
      <c r="F1273" s="4">
        <v>38463</v>
      </c>
      <c r="G1273" s="11">
        <v>500000</v>
      </c>
      <c r="H1273" s="11">
        <v>0</v>
      </c>
    </row>
    <row r="1274" spans="1:8" x14ac:dyDescent="0.2">
      <c r="A1274" t="s">
        <v>1351</v>
      </c>
      <c r="B1274" s="1" t="s">
        <v>1528</v>
      </c>
      <c r="C1274" s="11">
        <v>500000</v>
      </c>
      <c r="D1274" t="s">
        <v>329</v>
      </c>
      <c r="E1274" t="s">
        <v>885</v>
      </c>
      <c r="F1274" s="4">
        <v>38874</v>
      </c>
      <c r="G1274" s="11">
        <v>500000</v>
      </c>
      <c r="H1274" s="11">
        <v>0</v>
      </c>
    </row>
    <row r="1275" spans="1:8" x14ac:dyDescent="0.2">
      <c r="A1275" t="s">
        <v>802</v>
      </c>
      <c r="B1275" s="1" t="s">
        <v>661</v>
      </c>
      <c r="C1275" s="11">
        <v>1250000</v>
      </c>
      <c r="D1275" t="s">
        <v>329</v>
      </c>
      <c r="E1275" t="s">
        <v>444</v>
      </c>
      <c r="F1275" s="4">
        <v>38985</v>
      </c>
      <c r="G1275" s="11">
        <v>1250000</v>
      </c>
      <c r="H1275" s="11">
        <v>0</v>
      </c>
    </row>
    <row r="1276" spans="1:8" x14ac:dyDescent="0.2">
      <c r="A1276" t="s">
        <v>803</v>
      </c>
      <c r="B1276" s="1" t="s">
        <v>662</v>
      </c>
      <c r="C1276" s="11">
        <v>1250000</v>
      </c>
      <c r="D1276" t="s">
        <v>329</v>
      </c>
      <c r="E1276" t="s">
        <v>444</v>
      </c>
      <c r="F1276" s="4">
        <v>38985</v>
      </c>
      <c r="G1276" s="11">
        <v>1187500</v>
      </c>
      <c r="H1276" s="11">
        <v>62500</v>
      </c>
    </row>
    <row r="1277" spans="1:8" x14ac:dyDescent="0.2">
      <c r="A1277" t="s">
        <v>804</v>
      </c>
      <c r="B1277" s="1" t="s">
        <v>1284</v>
      </c>
      <c r="C1277" s="11">
        <v>2500000</v>
      </c>
      <c r="D1277" t="s">
        <v>329</v>
      </c>
      <c r="E1277" t="s">
        <v>444</v>
      </c>
      <c r="F1277" s="4">
        <v>39062</v>
      </c>
      <c r="G1277" s="11">
        <v>2500000</v>
      </c>
      <c r="H1277" s="11">
        <v>0</v>
      </c>
    </row>
    <row r="1278" spans="1:8" x14ac:dyDescent="0.2">
      <c r="A1278" t="s">
        <v>860</v>
      </c>
      <c r="B1278" s="1" t="s">
        <v>1284</v>
      </c>
      <c r="C1278" s="11">
        <v>1000000</v>
      </c>
      <c r="D1278" t="s">
        <v>329</v>
      </c>
      <c r="E1278" t="s">
        <v>885</v>
      </c>
      <c r="F1278" s="4">
        <v>38946</v>
      </c>
      <c r="G1278" s="11">
        <v>690179</v>
      </c>
      <c r="H1278" s="11">
        <v>309821</v>
      </c>
    </row>
    <row r="1279" spans="1:8" x14ac:dyDescent="0.2">
      <c r="A1279" t="s">
        <v>1491</v>
      </c>
      <c r="B1279" s="1" t="s">
        <v>660</v>
      </c>
      <c r="C1279" s="11">
        <v>500000</v>
      </c>
      <c r="D1279" t="s">
        <v>329</v>
      </c>
      <c r="E1279" t="s">
        <v>444</v>
      </c>
      <c r="F1279" s="4">
        <v>38985</v>
      </c>
      <c r="G1279" s="11">
        <v>500000</v>
      </c>
      <c r="H1279" s="11">
        <v>0</v>
      </c>
    </row>
    <row r="1280" spans="1:8" x14ac:dyDescent="0.2">
      <c r="A1280" t="s">
        <v>882</v>
      </c>
      <c r="B1280" s="1" t="s">
        <v>402</v>
      </c>
      <c r="C1280" s="11">
        <v>4500000</v>
      </c>
      <c r="D1280" t="s">
        <v>329</v>
      </c>
      <c r="E1280" t="s">
        <v>444</v>
      </c>
      <c r="F1280" s="4">
        <v>39311</v>
      </c>
      <c r="G1280" s="11">
        <v>4500000</v>
      </c>
      <c r="H1280" s="11">
        <v>0</v>
      </c>
    </row>
    <row r="1281" spans="1:8" x14ac:dyDescent="0.2">
      <c r="A1281" t="s">
        <v>978</v>
      </c>
      <c r="B1281" s="1" t="s">
        <v>979</v>
      </c>
      <c r="C1281" s="11">
        <v>1500000</v>
      </c>
      <c r="D1281" t="s">
        <v>329</v>
      </c>
      <c r="E1281" t="s">
        <v>444</v>
      </c>
      <c r="F1281" s="4">
        <v>39930</v>
      </c>
      <c r="G1281" s="11">
        <v>1500000</v>
      </c>
      <c r="H1281" s="11">
        <v>0</v>
      </c>
    </row>
    <row r="1282" spans="1:8" x14ac:dyDescent="0.2">
      <c r="A1282" t="s">
        <v>3171</v>
      </c>
      <c r="B1282" s="1" t="s">
        <v>3172</v>
      </c>
      <c r="C1282" s="11">
        <v>500000</v>
      </c>
      <c r="D1282" t="s">
        <v>329</v>
      </c>
      <c r="E1282" t="s">
        <v>444</v>
      </c>
      <c r="F1282" s="4">
        <v>40420</v>
      </c>
      <c r="G1282" s="11">
        <v>337500</v>
      </c>
      <c r="H1282" s="11">
        <v>162500</v>
      </c>
    </row>
    <row r="1283" spans="1:8" x14ac:dyDescent="0.2">
      <c r="A1283" t="s">
        <v>730</v>
      </c>
      <c r="B1283" s="1" t="s">
        <v>1500</v>
      </c>
      <c r="C1283" s="11">
        <v>1500000</v>
      </c>
      <c r="D1283" t="s">
        <v>329</v>
      </c>
      <c r="E1283" t="s">
        <v>885</v>
      </c>
      <c r="F1283" s="4">
        <v>38873</v>
      </c>
      <c r="G1283" s="11">
        <v>1462500</v>
      </c>
      <c r="H1283" s="11">
        <v>37500</v>
      </c>
    </row>
    <row r="1284" spans="1:8" x14ac:dyDescent="0.2">
      <c r="A1284" t="s">
        <v>944</v>
      </c>
      <c r="B1284" s="1" t="s">
        <v>1287</v>
      </c>
      <c r="C1284" s="11">
        <v>1500000</v>
      </c>
      <c r="D1284" t="s">
        <v>329</v>
      </c>
      <c r="E1284" t="s">
        <v>885</v>
      </c>
      <c r="F1284" s="4">
        <v>39062</v>
      </c>
      <c r="G1284" s="11">
        <v>1462500</v>
      </c>
      <c r="H1284" s="11">
        <v>37500</v>
      </c>
    </row>
    <row r="1285" spans="1:8" x14ac:dyDescent="0.2">
      <c r="A1285" t="s">
        <v>1078</v>
      </c>
      <c r="B1285" s="1" t="s">
        <v>1181</v>
      </c>
      <c r="C1285" s="11">
        <v>2000000</v>
      </c>
      <c r="D1285" t="s">
        <v>329</v>
      </c>
      <c r="E1285" t="s">
        <v>888</v>
      </c>
      <c r="F1285" s="4">
        <v>39717</v>
      </c>
      <c r="G1285" s="11">
        <v>2000000</v>
      </c>
      <c r="H1285" s="11">
        <v>0</v>
      </c>
    </row>
    <row r="1286" spans="1:8" x14ac:dyDescent="0.2">
      <c r="A1286" t="s">
        <v>3173</v>
      </c>
      <c r="B1286" s="1" t="s">
        <v>3174</v>
      </c>
      <c r="C1286" s="11">
        <v>500000</v>
      </c>
      <c r="D1286" t="s">
        <v>329</v>
      </c>
      <c r="E1286" t="s">
        <v>888</v>
      </c>
      <c r="F1286" s="4">
        <v>40420</v>
      </c>
      <c r="G1286" s="11">
        <v>500000</v>
      </c>
      <c r="H1286" s="11">
        <v>0</v>
      </c>
    </row>
    <row r="1287" spans="1:8" x14ac:dyDescent="0.2">
      <c r="A1287" t="s">
        <v>2150</v>
      </c>
      <c r="B1287" s="1" t="s">
        <v>998</v>
      </c>
      <c r="C1287" s="11">
        <v>4000000</v>
      </c>
      <c r="D1287" t="s">
        <v>329</v>
      </c>
      <c r="E1287" t="s">
        <v>888</v>
      </c>
      <c r="F1287" s="4">
        <v>39688</v>
      </c>
      <c r="G1287" s="11">
        <v>0</v>
      </c>
      <c r="H1287" s="11">
        <v>4000000</v>
      </c>
    </row>
    <row r="1288" spans="1:8" x14ac:dyDescent="0.2">
      <c r="A1288" t="s">
        <v>1687</v>
      </c>
      <c r="B1288" s="1" t="s">
        <v>1210</v>
      </c>
      <c r="C1288" s="11">
        <v>1000000</v>
      </c>
      <c r="D1288" t="s">
        <v>329</v>
      </c>
      <c r="E1288" t="s">
        <v>888</v>
      </c>
      <c r="F1288" s="4">
        <v>39751</v>
      </c>
      <c r="G1288" s="11">
        <v>1000000</v>
      </c>
      <c r="H1288" s="11">
        <v>0</v>
      </c>
    </row>
    <row r="1289" spans="1:8" x14ac:dyDescent="0.2">
      <c r="A1289" t="s">
        <v>3175</v>
      </c>
      <c r="B1289" s="1" t="s">
        <v>3176</v>
      </c>
      <c r="C1289" s="11">
        <v>500000</v>
      </c>
      <c r="D1289" t="s">
        <v>329</v>
      </c>
      <c r="E1289" t="s">
        <v>888</v>
      </c>
      <c r="F1289" s="4">
        <v>40436</v>
      </c>
      <c r="G1289" s="11">
        <v>188780</v>
      </c>
      <c r="H1289" s="11">
        <v>311220</v>
      </c>
    </row>
    <row r="1290" spans="1:8" x14ac:dyDescent="0.2">
      <c r="A1290" t="s">
        <v>2744</v>
      </c>
      <c r="B1290" s="1" t="s">
        <v>1079</v>
      </c>
      <c r="C1290" s="11">
        <v>1500000</v>
      </c>
      <c r="D1290" t="s">
        <v>329</v>
      </c>
      <c r="E1290" t="s">
        <v>888</v>
      </c>
      <c r="F1290" s="4">
        <v>39945</v>
      </c>
      <c r="G1290" s="11">
        <v>1500000</v>
      </c>
      <c r="H1290" s="11">
        <v>0</v>
      </c>
    </row>
    <row r="1291" spans="1:8" x14ac:dyDescent="0.2">
      <c r="A1291" t="s">
        <v>2967</v>
      </c>
      <c r="B1291" s="1" t="s">
        <v>1080</v>
      </c>
      <c r="C1291" s="11">
        <v>250000</v>
      </c>
      <c r="D1291" t="s">
        <v>329</v>
      </c>
      <c r="E1291" t="s">
        <v>888</v>
      </c>
      <c r="F1291" s="4">
        <v>39945</v>
      </c>
      <c r="G1291" s="11">
        <v>250000</v>
      </c>
      <c r="H1291" s="11">
        <v>0</v>
      </c>
    </row>
    <row r="1292" spans="1:8" x14ac:dyDescent="0.2">
      <c r="A1292" t="s">
        <v>2968</v>
      </c>
      <c r="B1292" s="1" t="s">
        <v>1081</v>
      </c>
      <c r="C1292" s="11">
        <v>500000</v>
      </c>
      <c r="D1292" t="s">
        <v>329</v>
      </c>
      <c r="E1292" t="s">
        <v>888</v>
      </c>
      <c r="F1292" s="4">
        <v>39945</v>
      </c>
      <c r="G1292" s="11">
        <v>443750</v>
      </c>
      <c r="H1292" s="11">
        <v>56250</v>
      </c>
    </row>
    <row r="1293" spans="1:8" x14ac:dyDescent="0.2">
      <c r="A1293" t="s">
        <v>3177</v>
      </c>
      <c r="B1293" s="1" t="s">
        <v>2748</v>
      </c>
      <c r="C1293" s="11">
        <v>1000000</v>
      </c>
      <c r="D1293" t="s">
        <v>329</v>
      </c>
      <c r="E1293" t="s">
        <v>888</v>
      </c>
      <c r="F1293" s="4">
        <v>40234</v>
      </c>
      <c r="G1293" s="11">
        <v>0</v>
      </c>
      <c r="H1293" s="11">
        <v>1000000</v>
      </c>
    </row>
    <row r="1294" spans="1:8" x14ac:dyDescent="0.2">
      <c r="A1294" t="s">
        <v>4076</v>
      </c>
      <c r="B1294" s="1" t="s">
        <v>3178</v>
      </c>
      <c r="C1294" s="11">
        <v>3000000</v>
      </c>
      <c r="D1294" t="s">
        <v>329</v>
      </c>
      <c r="E1294" t="s">
        <v>3008</v>
      </c>
      <c r="F1294" s="4">
        <v>40420</v>
      </c>
      <c r="G1294" s="11">
        <v>2756506</v>
      </c>
      <c r="H1294" s="11">
        <v>243494</v>
      </c>
    </row>
    <row r="1295" spans="1:8" x14ac:dyDescent="0.2">
      <c r="A1295" t="s">
        <v>3831</v>
      </c>
      <c r="B1295" s="1" t="s">
        <v>3180</v>
      </c>
      <c r="C1295" s="11">
        <v>5000000</v>
      </c>
      <c r="D1295" t="s">
        <v>329</v>
      </c>
      <c r="E1295" t="s">
        <v>888</v>
      </c>
      <c r="F1295" s="4">
        <v>40463</v>
      </c>
      <c r="G1295" s="11">
        <v>3730904</v>
      </c>
      <c r="H1295" s="11">
        <v>1269096</v>
      </c>
    </row>
    <row r="1296" spans="1:8" x14ac:dyDescent="0.2">
      <c r="A1296" t="s">
        <v>3513</v>
      </c>
      <c r="B1296" s="1" t="s">
        <v>3179</v>
      </c>
      <c r="C1296" s="11">
        <v>3000000</v>
      </c>
      <c r="D1296" t="s">
        <v>329</v>
      </c>
      <c r="E1296" t="s">
        <v>444</v>
      </c>
      <c r="F1296" s="4">
        <v>40463</v>
      </c>
      <c r="G1296" s="11">
        <v>2599765</v>
      </c>
      <c r="H1296" s="11">
        <v>400235</v>
      </c>
    </row>
    <row r="1297" spans="1:8" x14ac:dyDescent="0.2">
      <c r="A1297" t="s">
        <v>3514</v>
      </c>
      <c r="B1297" s="1" t="s">
        <v>3181</v>
      </c>
      <c r="C1297" s="11">
        <v>1000000</v>
      </c>
      <c r="D1297" t="s">
        <v>329</v>
      </c>
      <c r="E1297" t="s">
        <v>3031</v>
      </c>
      <c r="F1297" s="4">
        <v>40471</v>
      </c>
      <c r="G1297" s="11">
        <v>0</v>
      </c>
      <c r="H1297" s="11">
        <v>1000000</v>
      </c>
    </row>
    <row r="1298" spans="1:8" x14ac:dyDescent="0.2">
      <c r="A1298" t="s">
        <v>3832</v>
      </c>
      <c r="B1298" s="1" t="s">
        <v>110</v>
      </c>
      <c r="C1298" s="11">
        <v>1000000</v>
      </c>
      <c r="D1298" t="s">
        <v>329</v>
      </c>
      <c r="E1298" t="s">
        <v>444</v>
      </c>
      <c r="F1298" s="4">
        <v>40217</v>
      </c>
      <c r="G1298" s="11">
        <v>0</v>
      </c>
      <c r="H1298" s="11">
        <v>1000000</v>
      </c>
    </row>
    <row r="1299" spans="1:8" x14ac:dyDescent="0.2">
      <c r="A1299" t="s">
        <v>3833</v>
      </c>
      <c r="B1299" s="1" t="s">
        <v>2746</v>
      </c>
      <c r="C1299" s="11">
        <v>750000</v>
      </c>
      <c r="D1299" t="s">
        <v>329</v>
      </c>
      <c r="E1299" t="s">
        <v>888</v>
      </c>
      <c r="F1299" s="4">
        <v>40232</v>
      </c>
      <c r="G1299" s="11">
        <v>0</v>
      </c>
      <c r="H1299" s="11">
        <v>750000</v>
      </c>
    </row>
    <row r="1300" spans="1:8" x14ac:dyDescent="0.2">
      <c r="A1300" t="s">
        <v>3834</v>
      </c>
      <c r="B1300" s="1" t="s">
        <v>2747</v>
      </c>
      <c r="C1300" s="11">
        <v>750000</v>
      </c>
      <c r="D1300" t="s">
        <v>329</v>
      </c>
      <c r="E1300" t="s">
        <v>888</v>
      </c>
      <c r="F1300" s="4">
        <v>40234</v>
      </c>
      <c r="G1300" s="11">
        <v>0</v>
      </c>
      <c r="H1300" s="11">
        <v>750000</v>
      </c>
    </row>
    <row r="1301" spans="1:8" x14ac:dyDescent="0.2">
      <c r="A1301" t="s">
        <v>4211</v>
      </c>
      <c r="B1301" s="1" t="s">
        <v>109</v>
      </c>
      <c r="C1301" s="11">
        <v>1500000</v>
      </c>
      <c r="D1301" t="s">
        <v>329</v>
      </c>
      <c r="E1301" t="s">
        <v>885</v>
      </c>
      <c r="F1301" s="4">
        <v>40472</v>
      </c>
      <c r="G1301" s="11">
        <v>0</v>
      </c>
      <c r="H1301" s="11">
        <v>1500000</v>
      </c>
    </row>
    <row r="1302" spans="1:8" x14ac:dyDescent="0.2">
      <c r="A1302" t="s">
        <v>4212</v>
      </c>
      <c r="B1302" s="1" t="s">
        <v>3515</v>
      </c>
      <c r="C1302" s="11">
        <v>1500000</v>
      </c>
      <c r="D1302" t="s">
        <v>329</v>
      </c>
      <c r="E1302" t="s">
        <v>885</v>
      </c>
      <c r="F1302" s="4">
        <v>40504</v>
      </c>
      <c r="G1302" s="11">
        <v>0</v>
      </c>
      <c r="H1302" s="11">
        <v>1500000</v>
      </c>
    </row>
    <row r="1303" spans="1:8" x14ac:dyDescent="0.2">
      <c r="A1303" t="s">
        <v>4284</v>
      </c>
      <c r="B1303" s="1" t="s">
        <v>3516</v>
      </c>
      <c r="C1303" s="11">
        <v>600000</v>
      </c>
      <c r="D1303" t="s">
        <v>329</v>
      </c>
      <c r="E1303" t="s">
        <v>888</v>
      </c>
      <c r="F1303" s="4">
        <v>40497</v>
      </c>
      <c r="G1303" s="11">
        <v>0</v>
      </c>
      <c r="H1303" s="11">
        <v>600000</v>
      </c>
    </row>
    <row r="1304" spans="1:8" x14ac:dyDescent="0.2">
      <c r="A1304" t="s">
        <v>4130</v>
      </c>
      <c r="B1304" s="1" t="s">
        <v>3836</v>
      </c>
      <c r="C1304" s="11">
        <v>750000</v>
      </c>
      <c r="D1304" t="s">
        <v>329</v>
      </c>
      <c r="E1304" t="s">
        <v>3031</v>
      </c>
      <c r="F1304" s="4">
        <v>40511</v>
      </c>
      <c r="G1304" s="11">
        <v>0</v>
      </c>
      <c r="H1304" s="11">
        <v>750000</v>
      </c>
    </row>
    <row r="1305" spans="1:8" x14ac:dyDescent="0.2">
      <c r="A1305" t="s">
        <v>4285</v>
      </c>
      <c r="B1305" s="1" t="s">
        <v>3182</v>
      </c>
      <c r="C1305" s="11">
        <v>1000000</v>
      </c>
      <c r="D1305" t="s">
        <v>329</v>
      </c>
      <c r="E1305" t="s">
        <v>888</v>
      </c>
      <c r="F1305" s="4">
        <v>40472</v>
      </c>
      <c r="G1305" s="11">
        <v>0</v>
      </c>
      <c r="H1305" s="11">
        <v>1000000</v>
      </c>
    </row>
    <row r="1306" spans="1:8" x14ac:dyDescent="0.2">
      <c r="A1306" t="s">
        <v>4213</v>
      </c>
      <c r="B1306" s="1" t="s">
        <v>3837</v>
      </c>
      <c r="C1306" s="11">
        <v>5000000</v>
      </c>
      <c r="D1306" t="s">
        <v>329</v>
      </c>
      <c r="E1306" t="s">
        <v>3008</v>
      </c>
      <c r="F1306" s="4">
        <v>40532</v>
      </c>
      <c r="G1306" s="11">
        <v>0</v>
      </c>
      <c r="H1306" s="11">
        <v>5000000</v>
      </c>
    </row>
    <row r="1307" spans="1:8" x14ac:dyDescent="0.2">
      <c r="A1307" t="s">
        <v>4373</v>
      </c>
      <c r="B1307" s="1" t="s">
        <v>4077</v>
      </c>
      <c r="C1307" s="11">
        <v>1000000</v>
      </c>
      <c r="D1307" t="s">
        <v>329</v>
      </c>
      <c r="E1307" t="s">
        <v>3031</v>
      </c>
      <c r="F1307" s="4">
        <v>40546</v>
      </c>
      <c r="G1307" s="11">
        <v>907102</v>
      </c>
      <c r="H1307" s="11">
        <v>92898</v>
      </c>
    </row>
    <row r="1308" spans="1:8" x14ac:dyDescent="0.2">
      <c r="A1308" t="s">
        <v>4420</v>
      </c>
      <c r="B1308" s="1" t="s">
        <v>3838</v>
      </c>
      <c r="C1308" s="11">
        <v>500000</v>
      </c>
      <c r="D1308" t="s">
        <v>329</v>
      </c>
      <c r="E1308" t="s">
        <v>3031</v>
      </c>
      <c r="F1308" s="4">
        <v>40546</v>
      </c>
      <c r="G1308" s="11">
        <v>0</v>
      </c>
      <c r="H1308" s="11">
        <v>500000</v>
      </c>
    </row>
    <row r="1309" spans="1:8" x14ac:dyDescent="0.2">
      <c r="A1309" t="s">
        <v>4421</v>
      </c>
      <c r="B1309" s="1" t="s">
        <v>3839</v>
      </c>
      <c r="C1309" s="11">
        <v>500000</v>
      </c>
      <c r="D1309" t="s">
        <v>329</v>
      </c>
      <c r="E1309" t="s">
        <v>3031</v>
      </c>
      <c r="F1309" s="4">
        <v>40546</v>
      </c>
      <c r="G1309" s="11">
        <v>0</v>
      </c>
      <c r="H1309" s="11">
        <v>500000</v>
      </c>
    </row>
    <row r="1310" spans="1:8" x14ac:dyDescent="0.2">
      <c r="A1310" t="s">
        <v>4474</v>
      </c>
      <c r="B1310" s="1" t="s">
        <v>3840</v>
      </c>
      <c r="C1310" s="11">
        <v>250000</v>
      </c>
      <c r="D1310" t="s">
        <v>329</v>
      </c>
      <c r="E1310" t="s">
        <v>3031</v>
      </c>
      <c r="F1310" s="4">
        <v>40546</v>
      </c>
      <c r="G1310" s="11">
        <v>0</v>
      </c>
      <c r="H1310" s="11">
        <v>250000</v>
      </c>
    </row>
    <row r="1311" spans="1:8" x14ac:dyDescent="0.2">
      <c r="A1311" t="s">
        <v>2745</v>
      </c>
      <c r="B1311" s="1" t="s">
        <v>2664</v>
      </c>
      <c r="C1311" s="11">
        <v>0</v>
      </c>
      <c r="D1311" t="s">
        <v>329</v>
      </c>
      <c r="E1311" t="s">
        <v>444</v>
      </c>
      <c r="F1311" s="4">
        <v>39072</v>
      </c>
      <c r="G1311" s="11">
        <v>0</v>
      </c>
      <c r="H1311" s="11">
        <v>0</v>
      </c>
    </row>
    <row r="1312" spans="1:8" x14ac:dyDescent="0.2">
      <c r="A1312" t="s">
        <v>3841</v>
      </c>
      <c r="B1312" s="1" t="s">
        <v>3842</v>
      </c>
      <c r="C1312" s="11">
        <v>250000</v>
      </c>
      <c r="D1312" t="s">
        <v>329</v>
      </c>
      <c r="E1312" t="s">
        <v>3031</v>
      </c>
      <c r="F1312" s="4">
        <v>40546</v>
      </c>
      <c r="G1312" s="11">
        <v>0</v>
      </c>
      <c r="H1312" s="11">
        <v>250000</v>
      </c>
    </row>
    <row r="1313" spans="1:8" x14ac:dyDescent="0.2">
      <c r="A1313" t="s">
        <v>4286</v>
      </c>
      <c r="B1313" s="1" t="s">
        <v>3843</v>
      </c>
      <c r="C1313" s="11">
        <v>250000</v>
      </c>
      <c r="D1313" t="s">
        <v>329</v>
      </c>
      <c r="E1313" t="s">
        <v>3031</v>
      </c>
      <c r="F1313" s="4">
        <v>40546</v>
      </c>
      <c r="G1313" s="11">
        <v>0</v>
      </c>
      <c r="H1313" s="11">
        <v>250000</v>
      </c>
    </row>
    <row r="1314" spans="1:8" x14ac:dyDescent="0.2">
      <c r="A1314" t="s">
        <v>3844</v>
      </c>
      <c r="B1314" s="1" t="s">
        <v>3845</v>
      </c>
      <c r="C1314" s="11">
        <v>500000</v>
      </c>
      <c r="D1314" t="s">
        <v>329</v>
      </c>
      <c r="E1314" t="s">
        <v>3031</v>
      </c>
      <c r="F1314" s="4">
        <v>40546</v>
      </c>
      <c r="G1314" s="11">
        <v>0</v>
      </c>
      <c r="H1314" s="11">
        <v>500000</v>
      </c>
    </row>
    <row r="1315" spans="1:8" x14ac:dyDescent="0.2">
      <c r="A1315" t="s">
        <v>4557</v>
      </c>
      <c r="B1315" s="1" t="s">
        <v>4558</v>
      </c>
      <c r="C1315" s="11">
        <v>750000</v>
      </c>
      <c r="D1315" t="s">
        <v>329</v>
      </c>
      <c r="E1315" t="s">
        <v>516</v>
      </c>
      <c r="F1315" s="4">
        <v>41316</v>
      </c>
      <c r="G1315" s="11">
        <v>0</v>
      </c>
      <c r="H1315" s="11">
        <v>750000</v>
      </c>
    </row>
    <row r="1316" spans="1:8" x14ac:dyDescent="0.2">
      <c r="A1316" t="s">
        <v>3183</v>
      </c>
      <c r="B1316" s="1" t="s">
        <v>1411</v>
      </c>
      <c r="C1316" s="11">
        <v>0</v>
      </c>
      <c r="D1316" t="s">
        <v>329</v>
      </c>
      <c r="E1316" t="s">
        <v>969</v>
      </c>
      <c r="F1316" s="4">
        <v>37162</v>
      </c>
      <c r="G1316" s="11">
        <v>0</v>
      </c>
      <c r="H1316" s="11">
        <v>0</v>
      </c>
    </row>
    <row r="1317" spans="1:8" x14ac:dyDescent="0.2">
      <c r="A1317" t="s">
        <v>3184</v>
      </c>
      <c r="B1317" s="1" t="s">
        <v>109</v>
      </c>
      <c r="C1317" s="11">
        <v>0</v>
      </c>
      <c r="D1317" t="s">
        <v>329</v>
      </c>
      <c r="E1317" t="s">
        <v>444</v>
      </c>
      <c r="F1317" s="4">
        <v>40212</v>
      </c>
      <c r="G1317" s="11">
        <v>0</v>
      </c>
      <c r="H1317" s="11">
        <v>0</v>
      </c>
    </row>
    <row r="1318" spans="1:8" x14ac:dyDescent="0.2">
      <c r="A1318" t="s">
        <v>3185</v>
      </c>
      <c r="B1318" s="1" t="s">
        <v>3186</v>
      </c>
      <c r="C1318" s="11">
        <v>0</v>
      </c>
      <c r="D1318" t="s">
        <v>329</v>
      </c>
      <c r="E1318" t="s">
        <v>3008</v>
      </c>
      <c r="F1318" s="4">
        <v>40431</v>
      </c>
      <c r="G1318" s="11">
        <v>0</v>
      </c>
      <c r="H1318" s="11">
        <v>0</v>
      </c>
    </row>
    <row r="1319" spans="1:8" x14ac:dyDescent="0.2">
      <c r="A1319" t="s">
        <v>3187</v>
      </c>
      <c r="B1319" s="1" t="s">
        <v>386</v>
      </c>
      <c r="C1319" s="11">
        <v>0</v>
      </c>
      <c r="D1319" t="s">
        <v>329</v>
      </c>
      <c r="E1319" t="s">
        <v>888</v>
      </c>
      <c r="F1319" s="4">
        <v>39751</v>
      </c>
      <c r="G1319" s="11">
        <v>0</v>
      </c>
      <c r="H1319" s="11">
        <v>0</v>
      </c>
    </row>
    <row r="1320" spans="1:8" x14ac:dyDescent="0.2">
      <c r="A1320" t="s">
        <v>4374</v>
      </c>
      <c r="B1320" s="1" t="s">
        <v>1430</v>
      </c>
      <c r="C1320" s="11">
        <v>0</v>
      </c>
      <c r="D1320" t="s">
        <v>329</v>
      </c>
      <c r="E1320" t="s">
        <v>885</v>
      </c>
      <c r="F1320" s="4">
        <v>38643</v>
      </c>
      <c r="G1320" s="11">
        <v>0</v>
      </c>
      <c r="H1320" s="11">
        <v>0</v>
      </c>
    </row>
    <row r="1321" spans="1:8" x14ac:dyDescent="0.2">
      <c r="A1321" t="s">
        <v>4078</v>
      </c>
      <c r="B1321" s="1" t="s">
        <v>642</v>
      </c>
      <c r="C1321" s="11">
        <v>0</v>
      </c>
      <c r="D1321" t="s">
        <v>329</v>
      </c>
      <c r="E1321" t="s">
        <v>885</v>
      </c>
      <c r="F1321" s="4">
        <v>38946</v>
      </c>
      <c r="G1321" s="11">
        <v>0</v>
      </c>
      <c r="H1321" s="11">
        <v>0</v>
      </c>
    </row>
    <row r="1322" spans="1:8" x14ac:dyDescent="0.2">
      <c r="A1322" t="s">
        <v>4214</v>
      </c>
      <c r="B1322" s="1" t="s">
        <v>2617</v>
      </c>
      <c r="C1322" s="11">
        <v>0</v>
      </c>
      <c r="D1322" t="s">
        <v>329</v>
      </c>
      <c r="E1322" t="s">
        <v>885</v>
      </c>
      <c r="F1322" s="4">
        <v>38230</v>
      </c>
      <c r="G1322" s="11">
        <v>0</v>
      </c>
      <c r="H1322" s="11">
        <v>0</v>
      </c>
    </row>
    <row r="1323" spans="1:8" x14ac:dyDescent="0.2">
      <c r="A1323" t="s">
        <v>4339</v>
      </c>
      <c r="B1323" s="1" t="s">
        <v>3835</v>
      </c>
      <c r="C1323" s="11">
        <v>0</v>
      </c>
      <c r="D1323" t="s">
        <v>329</v>
      </c>
      <c r="E1323" t="s">
        <v>888</v>
      </c>
      <c r="F1323" s="4">
        <v>39680</v>
      </c>
      <c r="G1323" s="11">
        <v>0</v>
      </c>
      <c r="H1323" s="11">
        <v>0</v>
      </c>
    </row>
    <row r="1324" spans="1:8" x14ac:dyDescent="0.2">
      <c r="A1324" t="s">
        <v>4375</v>
      </c>
      <c r="B1324" s="1" t="s">
        <v>4060</v>
      </c>
      <c r="C1324" s="11">
        <v>0</v>
      </c>
      <c r="D1324" t="s">
        <v>329</v>
      </c>
      <c r="E1324" t="s">
        <v>3031</v>
      </c>
      <c r="F1324" s="4">
        <v>40557</v>
      </c>
      <c r="G1324" s="11">
        <v>0</v>
      </c>
      <c r="H1324" s="11">
        <v>0</v>
      </c>
    </row>
    <row r="1325" spans="1:8" x14ac:dyDescent="0.2">
      <c r="A1325" t="s">
        <v>501</v>
      </c>
      <c r="B1325" s="1" t="s">
        <v>502</v>
      </c>
      <c r="C1325" s="11">
        <v>3000000</v>
      </c>
      <c r="D1325" t="s">
        <v>503</v>
      </c>
      <c r="E1325" t="s">
        <v>969</v>
      </c>
      <c r="F1325" s="4">
        <v>36416</v>
      </c>
      <c r="G1325" s="11">
        <v>3000000</v>
      </c>
      <c r="H1325" s="11">
        <v>0</v>
      </c>
    </row>
    <row r="1326" spans="1:8" x14ac:dyDescent="0.2">
      <c r="A1326" t="s">
        <v>508</v>
      </c>
      <c r="B1326" s="1" t="s">
        <v>509</v>
      </c>
      <c r="C1326" s="11">
        <v>750000</v>
      </c>
      <c r="D1326" t="s">
        <v>503</v>
      </c>
      <c r="E1326" t="s">
        <v>1710</v>
      </c>
      <c r="F1326" s="4">
        <v>35993</v>
      </c>
      <c r="G1326" s="11">
        <v>749325</v>
      </c>
      <c r="H1326" s="11">
        <v>675</v>
      </c>
    </row>
    <row r="1327" spans="1:8" x14ac:dyDescent="0.2">
      <c r="A1327" t="s">
        <v>2183</v>
      </c>
      <c r="B1327" s="1" t="s">
        <v>2193</v>
      </c>
      <c r="C1327" s="11">
        <v>1400000</v>
      </c>
      <c r="D1327" t="s">
        <v>503</v>
      </c>
      <c r="E1327" t="s">
        <v>2107</v>
      </c>
      <c r="F1327" s="4">
        <v>36815</v>
      </c>
      <c r="G1327" s="11">
        <v>1400000</v>
      </c>
      <c r="H1327" s="11">
        <v>0</v>
      </c>
    </row>
    <row r="1328" spans="1:8" x14ac:dyDescent="0.2">
      <c r="A1328" t="s">
        <v>167</v>
      </c>
      <c r="B1328" s="1" t="s">
        <v>168</v>
      </c>
      <c r="C1328" s="11">
        <v>4500000</v>
      </c>
      <c r="D1328" t="s">
        <v>503</v>
      </c>
      <c r="E1328" t="s">
        <v>516</v>
      </c>
      <c r="F1328" s="4">
        <v>38100</v>
      </c>
      <c r="G1328" s="11">
        <v>4387500</v>
      </c>
      <c r="H1328" s="11">
        <v>112500</v>
      </c>
    </row>
    <row r="1329" spans="1:8" x14ac:dyDescent="0.2">
      <c r="A1329" t="s">
        <v>4079</v>
      </c>
      <c r="B1329" s="1" t="s">
        <v>3191</v>
      </c>
      <c r="C1329" s="11">
        <v>500000</v>
      </c>
      <c r="D1329" t="s">
        <v>503</v>
      </c>
      <c r="E1329" t="s">
        <v>3031</v>
      </c>
      <c r="F1329" s="4">
        <v>40483</v>
      </c>
      <c r="G1329" s="11">
        <v>0</v>
      </c>
      <c r="H1329" s="11">
        <v>500000</v>
      </c>
    </row>
    <row r="1330" spans="1:8" x14ac:dyDescent="0.2">
      <c r="A1330" t="s">
        <v>169</v>
      </c>
      <c r="B1330" s="1" t="s">
        <v>170</v>
      </c>
      <c r="C1330" s="11">
        <v>1500000</v>
      </c>
      <c r="D1330" t="s">
        <v>503</v>
      </c>
      <c r="E1330" t="s">
        <v>516</v>
      </c>
      <c r="F1330" s="4">
        <v>38100</v>
      </c>
      <c r="G1330" s="11">
        <v>1500000</v>
      </c>
      <c r="H1330" s="11">
        <v>0</v>
      </c>
    </row>
    <row r="1331" spans="1:8" x14ac:dyDescent="0.2">
      <c r="A1331" t="s">
        <v>478</v>
      </c>
      <c r="B1331" s="1" t="s">
        <v>1601</v>
      </c>
      <c r="C1331" s="11">
        <v>3000000</v>
      </c>
      <c r="D1331" t="s">
        <v>503</v>
      </c>
      <c r="E1331" t="s">
        <v>885</v>
      </c>
      <c r="F1331" s="4">
        <v>38238</v>
      </c>
      <c r="G1331" s="11">
        <v>3000000</v>
      </c>
      <c r="H1331" s="11">
        <v>0</v>
      </c>
    </row>
    <row r="1332" spans="1:8" x14ac:dyDescent="0.2">
      <c r="A1332" t="s">
        <v>1910</v>
      </c>
      <c r="B1332" s="1" t="s">
        <v>647</v>
      </c>
      <c r="C1332" s="11">
        <v>2000000</v>
      </c>
      <c r="D1332" t="s">
        <v>503</v>
      </c>
      <c r="E1332" t="s">
        <v>444</v>
      </c>
      <c r="F1332" s="4">
        <v>38960</v>
      </c>
      <c r="G1332" s="11">
        <v>2000000</v>
      </c>
      <c r="H1332" s="11">
        <v>0</v>
      </c>
    </row>
    <row r="1333" spans="1:8" x14ac:dyDescent="0.2">
      <c r="A1333" t="s">
        <v>1363</v>
      </c>
      <c r="B1333" s="1" t="s">
        <v>1405</v>
      </c>
      <c r="C1333" s="11">
        <v>1000000</v>
      </c>
      <c r="D1333" t="s">
        <v>503</v>
      </c>
      <c r="E1333" t="s">
        <v>444</v>
      </c>
      <c r="F1333" s="4">
        <v>39003</v>
      </c>
      <c r="G1333" s="11">
        <v>1000000</v>
      </c>
      <c r="H1333" s="11">
        <v>0</v>
      </c>
    </row>
    <row r="1334" spans="1:8" x14ac:dyDescent="0.2">
      <c r="A1334" t="s">
        <v>1464</v>
      </c>
      <c r="B1334" s="1" t="s">
        <v>637</v>
      </c>
      <c r="C1334" s="11">
        <v>2000000</v>
      </c>
      <c r="D1334" t="s">
        <v>503</v>
      </c>
      <c r="E1334" t="s">
        <v>516</v>
      </c>
      <c r="F1334" s="4">
        <v>38905</v>
      </c>
      <c r="G1334" s="11">
        <v>2000000</v>
      </c>
      <c r="H1334" s="11">
        <v>0</v>
      </c>
    </row>
    <row r="1335" spans="1:8" x14ac:dyDescent="0.2">
      <c r="A1335" t="s">
        <v>2166</v>
      </c>
      <c r="B1335" s="1" t="s">
        <v>1211</v>
      </c>
      <c r="C1335" s="11">
        <v>1500000</v>
      </c>
      <c r="D1335" t="s">
        <v>503</v>
      </c>
      <c r="E1335" t="s">
        <v>888</v>
      </c>
      <c r="F1335" s="4">
        <v>39751</v>
      </c>
      <c r="G1335" s="11">
        <v>1500000</v>
      </c>
      <c r="H1335" s="11">
        <v>0</v>
      </c>
    </row>
    <row r="1336" spans="1:8" x14ac:dyDescent="0.2">
      <c r="A1336" t="s">
        <v>3188</v>
      </c>
      <c r="B1336" s="1" t="s">
        <v>3189</v>
      </c>
      <c r="C1336" s="11">
        <v>1000000</v>
      </c>
      <c r="D1336" t="s">
        <v>503</v>
      </c>
      <c r="E1336" t="s">
        <v>888</v>
      </c>
      <c r="F1336" s="4">
        <v>40483</v>
      </c>
      <c r="G1336" s="11">
        <v>1000000</v>
      </c>
      <c r="H1336" s="11">
        <v>0</v>
      </c>
    </row>
    <row r="1337" spans="1:8" x14ac:dyDescent="0.2">
      <c r="A1337" t="s">
        <v>3846</v>
      </c>
      <c r="B1337" s="1" t="s">
        <v>2888</v>
      </c>
      <c r="C1337" s="11">
        <v>2500000</v>
      </c>
      <c r="D1337" t="s">
        <v>503</v>
      </c>
      <c r="E1337" t="s">
        <v>444</v>
      </c>
      <c r="F1337" s="4">
        <v>40346</v>
      </c>
      <c r="G1337" s="11">
        <v>2500000</v>
      </c>
      <c r="H1337" s="11">
        <v>0</v>
      </c>
    </row>
    <row r="1338" spans="1:8" x14ac:dyDescent="0.2">
      <c r="A1338" t="s">
        <v>3847</v>
      </c>
      <c r="B1338" s="1" t="s">
        <v>2969</v>
      </c>
      <c r="C1338" s="11">
        <v>1500000</v>
      </c>
      <c r="D1338" t="s">
        <v>503</v>
      </c>
      <c r="E1338" t="s">
        <v>444</v>
      </c>
      <c r="F1338" s="4">
        <v>40436</v>
      </c>
      <c r="G1338" s="11">
        <v>1500000</v>
      </c>
      <c r="H1338" s="11">
        <v>0</v>
      </c>
    </row>
    <row r="1339" spans="1:8" x14ac:dyDescent="0.2">
      <c r="A1339" t="s">
        <v>3848</v>
      </c>
      <c r="B1339" s="1" t="s">
        <v>3190</v>
      </c>
      <c r="C1339" s="11">
        <v>1500000</v>
      </c>
      <c r="D1339" t="s">
        <v>503</v>
      </c>
      <c r="E1339" t="s">
        <v>444</v>
      </c>
      <c r="F1339" s="4">
        <v>40483</v>
      </c>
      <c r="G1339" s="11">
        <v>1362500</v>
      </c>
      <c r="H1339" s="11">
        <v>137500</v>
      </c>
    </row>
    <row r="1340" spans="1:8" x14ac:dyDescent="0.2">
      <c r="A1340" t="s">
        <v>4215</v>
      </c>
      <c r="B1340" s="1" t="s">
        <v>3849</v>
      </c>
      <c r="C1340" s="11">
        <v>400000</v>
      </c>
      <c r="D1340" t="s">
        <v>503</v>
      </c>
      <c r="E1340" t="s">
        <v>3031</v>
      </c>
      <c r="F1340" s="4">
        <v>40520</v>
      </c>
      <c r="G1340" s="11">
        <v>0</v>
      </c>
      <c r="H1340" s="11">
        <v>400000</v>
      </c>
    </row>
    <row r="1341" spans="1:8" x14ac:dyDescent="0.2">
      <c r="A1341" t="s">
        <v>2749</v>
      </c>
      <c r="B1341" s="1" t="s">
        <v>653</v>
      </c>
      <c r="C1341" s="11">
        <v>0</v>
      </c>
      <c r="D1341" t="s">
        <v>503</v>
      </c>
      <c r="E1341" t="s">
        <v>444</v>
      </c>
      <c r="F1341" s="4">
        <v>38974</v>
      </c>
      <c r="G1341" s="11">
        <v>0</v>
      </c>
      <c r="H1341" s="11">
        <v>0</v>
      </c>
    </row>
    <row r="1342" spans="1:8" x14ac:dyDescent="0.2">
      <c r="A1342" t="s">
        <v>4572</v>
      </c>
      <c r="B1342" s="1" t="s">
        <v>4573</v>
      </c>
      <c r="C1342" s="11">
        <v>2000000</v>
      </c>
      <c r="D1342" t="s">
        <v>503</v>
      </c>
      <c r="E1342" t="s">
        <v>3031</v>
      </c>
      <c r="F1342" s="4">
        <v>41316</v>
      </c>
      <c r="G1342" s="11">
        <v>0</v>
      </c>
      <c r="H1342" s="11">
        <v>2000000</v>
      </c>
    </row>
    <row r="1343" spans="1:8" x14ac:dyDescent="0.2">
      <c r="A1343" t="s">
        <v>2175</v>
      </c>
      <c r="B1343" s="1" t="s">
        <v>2176</v>
      </c>
      <c r="C1343" s="11">
        <v>1300000</v>
      </c>
      <c r="D1343" t="s">
        <v>2177</v>
      </c>
      <c r="E1343" t="s">
        <v>969</v>
      </c>
      <c r="F1343" s="4">
        <v>37158</v>
      </c>
      <c r="G1343" s="11">
        <v>1300000</v>
      </c>
      <c r="H1343" s="11">
        <v>0</v>
      </c>
    </row>
    <row r="1344" spans="1:8" x14ac:dyDescent="0.2">
      <c r="A1344" t="s">
        <v>2178</v>
      </c>
      <c r="B1344" s="1" t="s">
        <v>2179</v>
      </c>
      <c r="C1344" s="11">
        <v>1000000</v>
      </c>
      <c r="D1344" t="s">
        <v>2177</v>
      </c>
      <c r="E1344" t="s">
        <v>969</v>
      </c>
      <c r="F1344" s="4">
        <v>38400</v>
      </c>
      <c r="G1344" s="11">
        <v>999999.99999999988</v>
      </c>
      <c r="H1344" s="11">
        <v>0</v>
      </c>
    </row>
    <row r="1345" spans="1:8" x14ac:dyDescent="0.2">
      <c r="A1345" t="s">
        <v>2180</v>
      </c>
      <c r="B1345" s="1" t="s">
        <v>2182</v>
      </c>
      <c r="C1345" s="11">
        <v>1500000</v>
      </c>
      <c r="D1345" t="s">
        <v>2177</v>
      </c>
      <c r="E1345" t="s">
        <v>885</v>
      </c>
      <c r="F1345" s="4">
        <v>38337</v>
      </c>
      <c r="G1345" s="11">
        <v>1500000</v>
      </c>
      <c r="H1345" s="11">
        <v>0</v>
      </c>
    </row>
    <row r="1346" spans="1:8" x14ac:dyDescent="0.2">
      <c r="A1346" t="s">
        <v>2181</v>
      </c>
      <c r="B1346" s="1" t="s">
        <v>2182</v>
      </c>
      <c r="C1346" s="11">
        <v>1500000</v>
      </c>
      <c r="D1346" t="s">
        <v>2177</v>
      </c>
      <c r="E1346" t="s">
        <v>885</v>
      </c>
      <c r="F1346" s="4">
        <v>38400</v>
      </c>
      <c r="G1346" s="11">
        <v>1500000</v>
      </c>
      <c r="H1346" s="11">
        <v>0</v>
      </c>
    </row>
    <row r="1347" spans="1:8" x14ac:dyDescent="0.2">
      <c r="A1347" t="s">
        <v>2324</v>
      </c>
      <c r="B1347" s="1" t="s">
        <v>2325</v>
      </c>
      <c r="C1347" s="11">
        <v>1510000</v>
      </c>
      <c r="D1347" t="s">
        <v>2177</v>
      </c>
      <c r="E1347" t="s">
        <v>2107</v>
      </c>
      <c r="F1347" s="4">
        <v>37582</v>
      </c>
      <c r="G1347" s="11">
        <v>1510000</v>
      </c>
      <c r="H1347" s="11">
        <v>0</v>
      </c>
    </row>
    <row r="1348" spans="1:8" x14ac:dyDescent="0.2">
      <c r="A1348" t="s">
        <v>2326</v>
      </c>
      <c r="B1348" s="1" t="s">
        <v>2327</v>
      </c>
      <c r="C1348" s="11">
        <v>477000</v>
      </c>
      <c r="D1348" t="s">
        <v>2177</v>
      </c>
      <c r="E1348" t="s">
        <v>2107</v>
      </c>
      <c r="F1348" s="4">
        <v>37582</v>
      </c>
      <c r="G1348" s="11">
        <v>477000</v>
      </c>
      <c r="H1348" s="11">
        <v>0</v>
      </c>
    </row>
    <row r="1349" spans="1:8" x14ac:dyDescent="0.2">
      <c r="A1349" t="s">
        <v>2330</v>
      </c>
      <c r="B1349" s="1" t="s">
        <v>2331</v>
      </c>
      <c r="C1349" s="11">
        <v>250000</v>
      </c>
      <c r="D1349" t="s">
        <v>2177</v>
      </c>
      <c r="E1349" t="s">
        <v>2107</v>
      </c>
      <c r="F1349" s="4">
        <v>37582</v>
      </c>
      <c r="G1349" s="11">
        <v>250000</v>
      </c>
      <c r="H1349" s="11">
        <v>0</v>
      </c>
    </row>
    <row r="1350" spans="1:8" x14ac:dyDescent="0.2">
      <c r="A1350" t="s">
        <v>3517</v>
      </c>
      <c r="B1350" s="1" t="s">
        <v>2750</v>
      </c>
      <c r="C1350" s="11">
        <v>300000</v>
      </c>
      <c r="D1350" t="s">
        <v>2177</v>
      </c>
      <c r="E1350" t="s">
        <v>888</v>
      </c>
      <c r="F1350" s="4">
        <v>40247</v>
      </c>
      <c r="G1350" s="11">
        <v>300000</v>
      </c>
      <c r="H1350" s="11">
        <v>0</v>
      </c>
    </row>
    <row r="1351" spans="1:8" x14ac:dyDescent="0.2">
      <c r="A1351" t="s">
        <v>3518</v>
      </c>
      <c r="B1351" s="1" t="s">
        <v>3192</v>
      </c>
      <c r="C1351" s="11">
        <v>300000</v>
      </c>
      <c r="D1351" t="s">
        <v>2177</v>
      </c>
      <c r="E1351" t="s">
        <v>888</v>
      </c>
      <c r="F1351" s="4">
        <v>40463</v>
      </c>
      <c r="G1351" s="11">
        <v>300000</v>
      </c>
      <c r="H1351" s="11">
        <v>0</v>
      </c>
    </row>
    <row r="1352" spans="1:8" x14ac:dyDescent="0.2">
      <c r="A1352" t="s">
        <v>3519</v>
      </c>
      <c r="B1352" s="1" t="s">
        <v>3193</v>
      </c>
      <c r="C1352" s="11">
        <v>600000</v>
      </c>
      <c r="D1352" t="s">
        <v>2177</v>
      </c>
      <c r="E1352" t="s">
        <v>888</v>
      </c>
      <c r="F1352" s="4">
        <v>40476</v>
      </c>
      <c r="G1352" s="11">
        <v>45607</v>
      </c>
      <c r="H1352" s="11">
        <v>554393</v>
      </c>
    </row>
    <row r="1353" spans="1:8" x14ac:dyDescent="0.2">
      <c r="A1353" t="s">
        <v>3520</v>
      </c>
      <c r="B1353" s="1" t="s">
        <v>2971</v>
      </c>
      <c r="C1353" s="11">
        <v>400000</v>
      </c>
      <c r="D1353" t="s">
        <v>2177</v>
      </c>
      <c r="E1353" t="s">
        <v>888</v>
      </c>
      <c r="F1353" s="4">
        <v>40374</v>
      </c>
      <c r="G1353" s="11">
        <v>390000</v>
      </c>
      <c r="H1353" s="11">
        <v>10000</v>
      </c>
    </row>
    <row r="1354" spans="1:8" x14ac:dyDescent="0.2">
      <c r="A1354" t="s">
        <v>3521</v>
      </c>
      <c r="B1354" s="1" t="s">
        <v>2889</v>
      </c>
      <c r="C1354" s="11">
        <v>1500000</v>
      </c>
      <c r="D1354" t="s">
        <v>2177</v>
      </c>
      <c r="E1354" t="s">
        <v>888</v>
      </c>
      <c r="F1354" s="4">
        <v>40325</v>
      </c>
      <c r="G1354" s="11">
        <v>1500000</v>
      </c>
      <c r="H1354" s="11">
        <v>0</v>
      </c>
    </row>
    <row r="1355" spans="1:8" x14ac:dyDescent="0.2">
      <c r="A1355" t="s">
        <v>3522</v>
      </c>
      <c r="B1355" s="1" t="s">
        <v>2970</v>
      </c>
      <c r="C1355" s="11">
        <v>500000</v>
      </c>
      <c r="D1355" t="s">
        <v>2177</v>
      </c>
      <c r="E1355" t="s">
        <v>888</v>
      </c>
      <c r="F1355" s="4">
        <v>40374</v>
      </c>
      <c r="G1355" s="11">
        <v>500000</v>
      </c>
      <c r="H1355" s="11">
        <v>0</v>
      </c>
    </row>
    <row r="1356" spans="1:8" x14ac:dyDescent="0.2">
      <c r="A1356" t="s">
        <v>3523</v>
      </c>
      <c r="B1356" s="1" t="s">
        <v>3194</v>
      </c>
      <c r="C1356" s="11">
        <v>1000000</v>
      </c>
      <c r="D1356" t="s">
        <v>2177</v>
      </c>
      <c r="E1356" t="s">
        <v>888</v>
      </c>
      <c r="F1356" s="4">
        <v>40472</v>
      </c>
      <c r="G1356" s="11">
        <v>500000</v>
      </c>
      <c r="H1356" s="11">
        <v>500000</v>
      </c>
    </row>
    <row r="1357" spans="1:8" x14ac:dyDescent="0.2">
      <c r="A1357" t="s">
        <v>573</v>
      </c>
      <c r="B1357" s="1" t="s">
        <v>574</v>
      </c>
      <c r="C1357" s="11">
        <v>2200000</v>
      </c>
      <c r="D1357" t="s">
        <v>575</v>
      </c>
      <c r="E1357" t="s">
        <v>969</v>
      </c>
      <c r="F1357" s="4">
        <v>36347</v>
      </c>
      <c r="G1357" s="11">
        <v>2200000</v>
      </c>
      <c r="H1357" s="11">
        <v>0</v>
      </c>
    </row>
    <row r="1358" spans="1:8" x14ac:dyDescent="0.2">
      <c r="A1358" t="s">
        <v>2035</v>
      </c>
      <c r="B1358" s="1" t="s">
        <v>2036</v>
      </c>
      <c r="C1358" s="11">
        <v>0</v>
      </c>
      <c r="D1358" t="s">
        <v>575</v>
      </c>
      <c r="E1358" t="s">
        <v>969</v>
      </c>
      <c r="F1358" s="4">
        <v>36664</v>
      </c>
      <c r="G1358" s="11">
        <v>0</v>
      </c>
      <c r="H1358" s="11">
        <v>0</v>
      </c>
    </row>
    <row r="1359" spans="1:8" x14ac:dyDescent="0.2">
      <c r="A1359" t="s">
        <v>704</v>
      </c>
      <c r="B1359" s="1" t="s">
        <v>705</v>
      </c>
      <c r="C1359" s="11">
        <v>2500000</v>
      </c>
      <c r="D1359" t="s">
        <v>575</v>
      </c>
      <c r="E1359" t="s">
        <v>2107</v>
      </c>
      <c r="F1359" s="4">
        <v>37147</v>
      </c>
      <c r="G1359" s="11">
        <v>2500000</v>
      </c>
      <c r="H1359" s="11">
        <v>0</v>
      </c>
    </row>
    <row r="1360" spans="1:8" x14ac:dyDescent="0.2">
      <c r="A1360" t="s">
        <v>1342</v>
      </c>
      <c r="B1360" s="1" t="s">
        <v>1343</v>
      </c>
      <c r="C1360" s="11">
        <v>500000</v>
      </c>
      <c r="D1360" t="s">
        <v>575</v>
      </c>
      <c r="E1360" t="s">
        <v>969</v>
      </c>
      <c r="F1360" s="4">
        <v>36664</v>
      </c>
      <c r="G1360" s="11">
        <v>490000</v>
      </c>
      <c r="H1360" s="11">
        <v>10000</v>
      </c>
    </row>
    <row r="1361" spans="1:8" x14ac:dyDescent="0.2">
      <c r="A1361" t="s">
        <v>2297</v>
      </c>
      <c r="B1361" s="1" t="s">
        <v>2298</v>
      </c>
      <c r="C1361" s="11">
        <v>625000</v>
      </c>
      <c r="D1361" t="s">
        <v>575</v>
      </c>
      <c r="E1361" t="s">
        <v>516</v>
      </c>
      <c r="F1361" s="4">
        <v>37610</v>
      </c>
      <c r="G1361" s="11">
        <v>579965.75</v>
      </c>
      <c r="H1361" s="11">
        <v>45034.25</v>
      </c>
    </row>
    <row r="1362" spans="1:8" x14ac:dyDescent="0.2">
      <c r="A1362" t="s">
        <v>2442</v>
      </c>
      <c r="B1362" s="1" t="s">
        <v>2443</v>
      </c>
      <c r="C1362" s="11">
        <v>10000000</v>
      </c>
      <c r="D1362" t="s">
        <v>575</v>
      </c>
      <c r="E1362" t="s">
        <v>885</v>
      </c>
      <c r="F1362" s="4">
        <v>38213</v>
      </c>
      <c r="G1362" s="11">
        <v>10000000</v>
      </c>
      <c r="H1362" s="11">
        <v>0</v>
      </c>
    </row>
    <row r="1363" spans="1:8" x14ac:dyDescent="0.2">
      <c r="A1363" t="s">
        <v>2480</v>
      </c>
      <c r="B1363" s="1" t="s">
        <v>2481</v>
      </c>
      <c r="C1363" s="11">
        <v>1500000</v>
      </c>
      <c r="D1363" t="s">
        <v>575</v>
      </c>
      <c r="E1363" t="s">
        <v>885</v>
      </c>
      <c r="F1363" s="4">
        <v>38213</v>
      </c>
      <c r="G1363" s="11">
        <v>968196</v>
      </c>
      <c r="H1363" s="11">
        <v>531804</v>
      </c>
    </row>
    <row r="1364" spans="1:8" x14ac:dyDescent="0.2">
      <c r="A1364" t="s">
        <v>898</v>
      </c>
      <c r="B1364" s="1" t="s">
        <v>899</v>
      </c>
      <c r="C1364" s="11">
        <v>3000000</v>
      </c>
      <c r="D1364" t="s">
        <v>575</v>
      </c>
      <c r="E1364" t="s">
        <v>888</v>
      </c>
      <c r="F1364" s="4">
        <v>39688</v>
      </c>
      <c r="G1364" s="11">
        <v>0</v>
      </c>
      <c r="H1364" s="11">
        <v>3000000</v>
      </c>
    </row>
    <row r="1365" spans="1:8" x14ac:dyDescent="0.2">
      <c r="A1365" t="s">
        <v>2751</v>
      </c>
      <c r="B1365" s="1" t="s">
        <v>1151</v>
      </c>
      <c r="C1365" s="11">
        <v>1250000</v>
      </c>
      <c r="D1365" t="s">
        <v>575</v>
      </c>
      <c r="E1365" t="s">
        <v>444</v>
      </c>
      <c r="F1365" s="4">
        <v>39688</v>
      </c>
      <c r="G1365" s="11">
        <v>1250000</v>
      </c>
      <c r="H1365" s="11">
        <v>0</v>
      </c>
    </row>
    <row r="1366" spans="1:8" x14ac:dyDescent="0.2">
      <c r="A1366" t="s">
        <v>2890</v>
      </c>
      <c r="B1366" s="1" t="s">
        <v>2891</v>
      </c>
      <c r="C1366" s="11">
        <v>1000000</v>
      </c>
      <c r="D1366" t="s">
        <v>575</v>
      </c>
      <c r="E1366" t="s">
        <v>444</v>
      </c>
      <c r="F1366" s="4">
        <v>40325</v>
      </c>
      <c r="G1366" s="11">
        <v>1000000</v>
      </c>
      <c r="H1366" s="11">
        <v>0</v>
      </c>
    </row>
    <row r="1367" spans="1:8" x14ac:dyDescent="0.2">
      <c r="A1367" t="s">
        <v>3524</v>
      </c>
      <c r="B1367" s="1" t="s">
        <v>3850</v>
      </c>
      <c r="C1367" s="11">
        <v>1800000</v>
      </c>
      <c r="D1367" t="s">
        <v>575</v>
      </c>
      <c r="E1367" t="s">
        <v>3008</v>
      </c>
      <c r="F1367" s="4">
        <v>40497</v>
      </c>
      <c r="G1367" s="11">
        <v>0</v>
      </c>
      <c r="H1367" s="11">
        <v>1800000</v>
      </c>
    </row>
    <row r="1368" spans="1:8" x14ac:dyDescent="0.2">
      <c r="A1368" t="s">
        <v>2892</v>
      </c>
      <c r="B1368" s="1" t="s">
        <v>628</v>
      </c>
      <c r="C1368" s="11">
        <v>500000</v>
      </c>
      <c r="D1368" t="s">
        <v>575</v>
      </c>
      <c r="E1368" t="s">
        <v>888</v>
      </c>
      <c r="F1368" s="4">
        <v>39828</v>
      </c>
      <c r="G1368" s="11">
        <v>500000</v>
      </c>
      <c r="H1368" s="11">
        <v>0</v>
      </c>
    </row>
    <row r="1369" spans="1:8" x14ac:dyDescent="0.2">
      <c r="A1369" t="s">
        <v>3851</v>
      </c>
      <c r="B1369" s="1" t="s">
        <v>4080</v>
      </c>
      <c r="C1369" s="11">
        <v>2500000</v>
      </c>
      <c r="D1369" t="s">
        <v>575</v>
      </c>
      <c r="E1369" t="s">
        <v>885</v>
      </c>
      <c r="F1369" s="4">
        <v>40497</v>
      </c>
      <c r="G1369" s="11">
        <v>1967100</v>
      </c>
      <c r="H1369" s="11">
        <v>532900</v>
      </c>
    </row>
    <row r="1370" spans="1:8" x14ac:dyDescent="0.2">
      <c r="A1370" t="s">
        <v>4216</v>
      </c>
      <c r="B1370" s="1" t="s">
        <v>3196</v>
      </c>
      <c r="C1370" s="11">
        <v>2000000</v>
      </c>
      <c r="D1370" t="s">
        <v>575</v>
      </c>
      <c r="E1370" t="s">
        <v>444</v>
      </c>
      <c r="F1370" s="4">
        <v>40463</v>
      </c>
      <c r="G1370" s="11">
        <v>0</v>
      </c>
      <c r="H1370" s="11">
        <v>2000000</v>
      </c>
    </row>
    <row r="1371" spans="1:8" x14ac:dyDescent="0.2">
      <c r="A1371" t="s">
        <v>4217</v>
      </c>
      <c r="B1371" s="1" t="s">
        <v>3525</v>
      </c>
      <c r="C1371" s="11">
        <v>1200000</v>
      </c>
      <c r="D1371" t="s">
        <v>575</v>
      </c>
      <c r="E1371" t="s">
        <v>3008</v>
      </c>
      <c r="F1371" s="4">
        <v>40497</v>
      </c>
      <c r="G1371" s="11">
        <v>0</v>
      </c>
      <c r="H1371" s="11">
        <v>1200000</v>
      </c>
    </row>
    <row r="1372" spans="1:8" x14ac:dyDescent="0.2">
      <c r="A1372" t="s">
        <v>4485</v>
      </c>
      <c r="B1372" s="1" t="s">
        <v>4486</v>
      </c>
      <c r="C1372" s="11">
        <v>4000000</v>
      </c>
      <c r="D1372" t="s">
        <v>575</v>
      </c>
      <c r="E1372" t="s">
        <v>444</v>
      </c>
      <c r="F1372" s="4">
        <v>41201</v>
      </c>
      <c r="G1372" s="11">
        <v>0</v>
      </c>
      <c r="H1372" s="11">
        <v>4000000</v>
      </c>
    </row>
    <row r="1373" spans="1:8" x14ac:dyDescent="0.2">
      <c r="A1373" t="s">
        <v>3197</v>
      </c>
      <c r="B1373" s="1" t="s">
        <v>197</v>
      </c>
      <c r="C1373" s="11">
        <v>0</v>
      </c>
      <c r="D1373" t="s">
        <v>575</v>
      </c>
      <c r="E1373" t="s">
        <v>969</v>
      </c>
      <c r="F1373" s="4">
        <v>37581</v>
      </c>
      <c r="G1373" s="11">
        <v>0</v>
      </c>
      <c r="H1373" s="11">
        <v>0</v>
      </c>
    </row>
    <row r="1374" spans="1:8" x14ac:dyDescent="0.2">
      <c r="A1374" t="s">
        <v>3198</v>
      </c>
      <c r="B1374" s="1" t="s">
        <v>203</v>
      </c>
      <c r="C1374" s="11">
        <v>0</v>
      </c>
      <c r="D1374" t="s">
        <v>575</v>
      </c>
      <c r="E1374" t="s">
        <v>516</v>
      </c>
      <c r="F1374" s="4">
        <v>37610</v>
      </c>
      <c r="G1374" s="11">
        <v>0</v>
      </c>
      <c r="H1374" s="11">
        <v>0</v>
      </c>
    </row>
    <row r="1375" spans="1:8" x14ac:dyDescent="0.2">
      <c r="A1375" t="s">
        <v>3199</v>
      </c>
      <c r="B1375" s="1" t="s">
        <v>1409</v>
      </c>
      <c r="C1375" s="11">
        <v>0</v>
      </c>
      <c r="D1375" t="s">
        <v>575</v>
      </c>
      <c r="E1375" t="s">
        <v>885</v>
      </c>
      <c r="F1375" s="4">
        <v>38505</v>
      </c>
      <c r="G1375" s="11">
        <v>0</v>
      </c>
      <c r="H1375" s="11">
        <v>0</v>
      </c>
    </row>
    <row r="1376" spans="1:8" x14ac:dyDescent="0.2">
      <c r="A1376" t="s">
        <v>4340</v>
      </c>
      <c r="B1376" s="1" t="s">
        <v>3195</v>
      </c>
      <c r="C1376" s="11">
        <v>0</v>
      </c>
      <c r="D1376" t="s">
        <v>575</v>
      </c>
      <c r="E1376" t="s">
        <v>3008</v>
      </c>
      <c r="F1376" s="4">
        <v>40420</v>
      </c>
      <c r="G1376" s="11">
        <v>0</v>
      </c>
      <c r="H1376" s="11">
        <v>0</v>
      </c>
    </row>
    <row r="1377" spans="1:8" x14ac:dyDescent="0.2">
      <c r="A1377" t="s">
        <v>837</v>
      </c>
      <c r="B1377" s="1" t="s">
        <v>838</v>
      </c>
      <c r="C1377" s="11">
        <v>926000</v>
      </c>
      <c r="D1377" t="s">
        <v>839</v>
      </c>
      <c r="E1377" t="s">
        <v>2107</v>
      </c>
      <c r="F1377" s="4">
        <v>37169</v>
      </c>
      <c r="G1377" s="11">
        <v>926000</v>
      </c>
      <c r="H1377" s="11">
        <v>0</v>
      </c>
    </row>
    <row r="1378" spans="1:8" x14ac:dyDescent="0.2">
      <c r="A1378" t="s">
        <v>1685</v>
      </c>
      <c r="B1378" s="1" t="s">
        <v>1082</v>
      </c>
      <c r="C1378" s="11">
        <v>2000000</v>
      </c>
      <c r="D1378" t="s">
        <v>839</v>
      </c>
      <c r="E1378" t="s">
        <v>888</v>
      </c>
      <c r="F1378" s="4">
        <v>39930</v>
      </c>
      <c r="G1378" s="11">
        <v>1433646</v>
      </c>
      <c r="H1378" s="11">
        <v>566354</v>
      </c>
    </row>
    <row r="1379" spans="1:8" x14ac:dyDescent="0.2">
      <c r="A1379" t="s">
        <v>4341</v>
      </c>
      <c r="B1379" s="1" t="s">
        <v>622</v>
      </c>
      <c r="C1379" s="11">
        <v>1500000</v>
      </c>
      <c r="D1379" t="s">
        <v>839</v>
      </c>
      <c r="E1379" t="s">
        <v>885</v>
      </c>
      <c r="F1379" s="4">
        <v>38912</v>
      </c>
      <c r="G1379" s="11">
        <v>0</v>
      </c>
      <c r="H1379" s="11">
        <v>1500000</v>
      </c>
    </row>
    <row r="1380" spans="1:8" x14ac:dyDescent="0.2">
      <c r="A1380" t="s">
        <v>1758</v>
      </c>
      <c r="B1380" s="1" t="s">
        <v>1759</v>
      </c>
      <c r="C1380" s="11">
        <v>2500000</v>
      </c>
      <c r="D1380" t="s">
        <v>1760</v>
      </c>
      <c r="E1380" t="s">
        <v>313</v>
      </c>
      <c r="F1380" s="4">
        <v>35735</v>
      </c>
      <c r="G1380" s="11">
        <v>2500000</v>
      </c>
      <c r="H1380" s="11">
        <v>0</v>
      </c>
    </row>
    <row r="1381" spans="1:8" x14ac:dyDescent="0.2">
      <c r="A1381" t="s">
        <v>2283</v>
      </c>
      <c r="B1381" s="1" t="s">
        <v>2284</v>
      </c>
      <c r="C1381" s="11">
        <v>2000000</v>
      </c>
      <c r="D1381" t="s">
        <v>1760</v>
      </c>
      <c r="E1381" t="s">
        <v>2107</v>
      </c>
      <c r="F1381" s="4">
        <v>37613</v>
      </c>
      <c r="G1381" s="11">
        <v>1593750</v>
      </c>
      <c r="H1381" s="11">
        <v>406250</v>
      </c>
    </row>
    <row r="1382" spans="1:8" x14ac:dyDescent="0.2">
      <c r="A1382" t="s">
        <v>2400</v>
      </c>
      <c r="B1382" s="1" t="s">
        <v>2401</v>
      </c>
      <c r="C1382" s="11">
        <v>3700000</v>
      </c>
      <c r="D1382" t="s">
        <v>1760</v>
      </c>
      <c r="E1382" t="s">
        <v>313</v>
      </c>
      <c r="F1382" s="4">
        <v>37986</v>
      </c>
      <c r="G1382" s="11">
        <v>3700000</v>
      </c>
      <c r="H1382" s="11">
        <v>0</v>
      </c>
    </row>
    <row r="1383" spans="1:8" x14ac:dyDescent="0.2">
      <c r="A1383" t="s">
        <v>2452</v>
      </c>
      <c r="B1383" s="1" t="s">
        <v>2453</v>
      </c>
      <c r="C1383" s="11">
        <v>2500000</v>
      </c>
      <c r="D1383" t="s">
        <v>1760</v>
      </c>
      <c r="E1383" t="s">
        <v>516</v>
      </c>
      <c r="F1383" s="4">
        <v>37637</v>
      </c>
      <c r="G1383" s="11">
        <v>2500000</v>
      </c>
      <c r="H1383" s="11">
        <v>0</v>
      </c>
    </row>
    <row r="1384" spans="1:8" x14ac:dyDescent="0.2">
      <c r="A1384" t="s">
        <v>983</v>
      </c>
      <c r="B1384" s="1" t="s">
        <v>1206</v>
      </c>
      <c r="C1384" s="11">
        <v>5000000</v>
      </c>
      <c r="D1384" t="s">
        <v>1760</v>
      </c>
      <c r="E1384" t="s">
        <v>444</v>
      </c>
      <c r="F1384" s="4">
        <v>39751</v>
      </c>
      <c r="G1384" s="11">
        <v>0</v>
      </c>
      <c r="H1384" s="11">
        <v>5000000</v>
      </c>
    </row>
    <row r="1385" spans="1:8" x14ac:dyDescent="0.2">
      <c r="A1385" t="s">
        <v>3200</v>
      </c>
      <c r="B1385" s="1" t="s">
        <v>3201</v>
      </c>
      <c r="C1385" s="11">
        <v>0</v>
      </c>
      <c r="D1385" t="s">
        <v>1760</v>
      </c>
      <c r="E1385" t="s">
        <v>444</v>
      </c>
      <c r="F1385" s="4">
        <v>40476</v>
      </c>
      <c r="G1385" s="11">
        <v>0</v>
      </c>
      <c r="H1385" s="11">
        <v>0</v>
      </c>
    </row>
    <row r="1386" spans="1:8" x14ac:dyDescent="0.2">
      <c r="A1386" t="s">
        <v>3526</v>
      </c>
      <c r="B1386" s="1" t="s">
        <v>3202</v>
      </c>
      <c r="C1386" s="11">
        <v>250000</v>
      </c>
      <c r="D1386" t="s">
        <v>1760</v>
      </c>
      <c r="E1386" t="s">
        <v>888</v>
      </c>
      <c r="F1386" s="4">
        <v>40463</v>
      </c>
      <c r="G1386" s="11">
        <v>0</v>
      </c>
      <c r="H1386" s="11">
        <v>250000</v>
      </c>
    </row>
    <row r="1387" spans="1:8" x14ac:dyDescent="0.2">
      <c r="A1387" t="s">
        <v>4314</v>
      </c>
      <c r="B1387" s="1" t="s">
        <v>3852</v>
      </c>
      <c r="C1387" s="11">
        <v>2000000</v>
      </c>
      <c r="D1387" t="s">
        <v>1760</v>
      </c>
      <c r="E1387" t="s">
        <v>3031</v>
      </c>
      <c r="F1387" s="4">
        <v>40553</v>
      </c>
      <c r="G1387" s="11">
        <v>0</v>
      </c>
      <c r="H1387" s="11">
        <v>2000000</v>
      </c>
    </row>
    <row r="1388" spans="1:8" x14ac:dyDescent="0.2">
      <c r="A1388" t="s">
        <v>4315</v>
      </c>
      <c r="B1388" s="1" t="s">
        <v>3853</v>
      </c>
      <c r="C1388" s="11">
        <v>1000000</v>
      </c>
      <c r="D1388" t="s">
        <v>1760</v>
      </c>
      <c r="E1388" t="s">
        <v>3031</v>
      </c>
      <c r="F1388" s="4">
        <v>40553</v>
      </c>
      <c r="G1388" s="11">
        <v>0</v>
      </c>
      <c r="H1388" s="11">
        <v>1000000</v>
      </c>
    </row>
    <row r="1389" spans="1:8" x14ac:dyDescent="0.2">
      <c r="A1389" t="s">
        <v>4422</v>
      </c>
      <c r="B1389" s="1" t="s">
        <v>4423</v>
      </c>
      <c r="C1389" s="11">
        <v>125000</v>
      </c>
      <c r="D1389" t="s">
        <v>1760</v>
      </c>
      <c r="E1389" t="s">
        <v>888</v>
      </c>
      <c r="F1389" s="4">
        <v>40515</v>
      </c>
      <c r="G1389" s="11">
        <v>0</v>
      </c>
      <c r="H1389" s="11">
        <v>125000</v>
      </c>
    </row>
    <row r="1390" spans="1:8" x14ac:dyDescent="0.2">
      <c r="A1390" t="s">
        <v>4424</v>
      </c>
      <c r="B1390" s="1" t="s">
        <v>4425</v>
      </c>
      <c r="C1390" s="11">
        <v>250000</v>
      </c>
      <c r="D1390" t="s">
        <v>1760</v>
      </c>
      <c r="E1390" t="s">
        <v>888</v>
      </c>
      <c r="F1390" s="4">
        <v>40553</v>
      </c>
      <c r="G1390" s="11">
        <v>0</v>
      </c>
      <c r="H1390" s="11">
        <v>250000</v>
      </c>
    </row>
    <row r="1391" spans="1:8" x14ac:dyDescent="0.2">
      <c r="A1391" t="s">
        <v>4574</v>
      </c>
      <c r="B1391" s="1" t="s">
        <v>4575</v>
      </c>
      <c r="C1391" s="11">
        <v>5000000</v>
      </c>
      <c r="D1391" t="s">
        <v>1760</v>
      </c>
      <c r="E1391" t="s">
        <v>3031</v>
      </c>
      <c r="F1391" s="4">
        <v>41316</v>
      </c>
      <c r="G1391" s="11">
        <v>0</v>
      </c>
      <c r="H1391" s="11">
        <v>5000000</v>
      </c>
    </row>
    <row r="1392" spans="1:8" x14ac:dyDescent="0.2">
      <c r="A1392" t="s">
        <v>4576</v>
      </c>
      <c r="B1392" s="1" t="s">
        <v>4577</v>
      </c>
      <c r="C1392" s="11">
        <v>3000000</v>
      </c>
      <c r="D1392" t="s">
        <v>1760</v>
      </c>
      <c r="E1392" t="s">
        <v>3031</v>
      </c>
      <c r="F1392" s="4">
        <v>41316</v>
      </c>
      <c r="G1392" s="11">
        <v>0</v>
      </c>
      <c r="H1392" s="11">
        <v>3000000</v>
      </c>
    </row>
    <row r="1393" spans="1:8" x14ac:dyDescent="0.2">
      <c r="A1393" t="s">
        <v>4578</v>
      </c>
      <c r="B1393" s="1" t="s">
        <v>4579</v>
      </c>
      <c r="C1393" s="11">
        <v>3000000</v>
      </c>
      <c r="D1393" t="s">
        <v>1760</v>
      </c>
      <c r="E1393" t="s">
        <v>3031</v>
      </c>
      <c r="F1393" s="4">
        <v>41316</v>
      </c>
      <c r="G1393" s="11">
        <v>0</v>
      </c>
      <c r="H1393" s="11">
        <v>3000000</v>
      </c>
    </row>
    <row r="1394" spans="1:8" x14ac:dyDescent="0.2">
      <c r="A1394" t="s">
        <v>4580</v>
      </c>
      <c r="B1394" s="1" t="s">
        <v>4581</v>
      </c>
      <c r="C1394" s="11">
        <v>1500000</v>
      </c>
      <c r="D1394" t="s">
        <v>1760</v>
      </c>
      <c r="E1394" t="s">
        <v>3031</v>
      </c>
      <c r="F1394" s="4">
        <v>41316</v>
      </c>
      <c r="G1394" s="11">
        <v>0</v>
      </c>
      <c r="H1394" s="11">
        <v>1500000</v>
      </c>
    </row>
    <row r="1395" spans="1:8" x14ac:dyDescent="0.2">
      <c r="A1395" t="s">
        <v>2064</v>
      </c>
      <c r="B1395" s="1" t="s">
        <v>684</v>
      </c>
      <c r="C1395" s="11">
        <v>0</v>
      </c>
      <c r="D1395" t="s">
        <v>685</v>
      </c>
      <c r="E1395" t="s">
        <v>2107</v>
      </c>
      <c r="F1395" s="4">
        <v>37162</v>
      </c>
      <c r="G1395" s="11">
        <v>0</v>
      </c>
      <c r="H1395" s="11">
        <v>0</v>
      </c>
    </row>
    <row r="1396" spans="1:8" x14ac:dyDescent="0.2">
      <c r="A1396" t="s">
        <v>2266</v>
      </c>
      <c r="B1396" s="1" t="s">
        <v>2267</v>
      </c>
      <c r="C1396" s="11">
        <v>1000000</v>
      </c>
      <c r="D1396" t="s">
        <v>685</v>
      </c>
      <c r="E1396" t="s">
        <v>516</v>
      </c>
      <c r="F1396" s="4">
        <v>37654</v>
      </c>
      <c r="G1396" s="11">
        <v>973565</v>
      </c>
      <c r="H1396" s="11">
        <v>26435</v>
      </c>
    </row>
    <row r="1397" spans="1:8" x14ac:dyDescent="0.2">
      <c r="A1397" t="s">
        <v>2407</v>
      </c>
      <c r="B1397" s="1" t="s">
        <v>2408</v>
      </c>
      <c r="C1397" s="11">
        <v>3000000</v>
      </c>
      <c r="D1397" t="s">
        <v>685</v>
      </c>
      <c r="E1397" t="s">
        <v>969</v>
      </c>
      <c r="F1397" s="4">
        <v>37656</v>
      </c>
      <c r="G1397" s="11">
        <v>3000000</v>
      </c>
      <c r="H1397" s="11">
        <v>0</v>
      </c>
    </row>
    <row r="1398" spans="1:8" x14ac:dyDescent="0.2">
      <c r="A1398" t="s">
        <v>2509</v>
      </c>
      <c r="B1398" s="1" t="s">
        <v>2510</v>
      </c>
      <c r="C1398" s="11">
        <v>500000</v>
      </c>
      <c r="D1398" t="s">
        <v>685</v>
      </c>
      <c r="E1398" t="s">
        <v>885</v>
      </c>
      <c r="F1398" s="4">
        <v>38273</v>
      </c>
      <c r="G1398" s="11">
        <v>487500</v>
      </c>
      <c r="H1398" s="11">
        <v>12500</v>
      </c>
    </row>
    <row r="1399" spans="1:8" x14ac:dyDescent="0.2">
      <c r="A1399" t="s">
        <v>2523</v>
      </c>
      <c r="B1399" s="1" t="s">
        <v>2524</v>
      </c>
      <c r="C1399" s="11">
        <v>3000000</v>
      </c>
      <c r="D1399" t="s">
        <v>685</v>
      </c>
      <c r="E1399" t="s">
        <v>885</v>
      </c>
      <c r="F1399" s="4">
        <v>38343</v>
      </c>
      <c r="G1399" s="11">
        <v>3000000</v>
      </c>
      <c r="H1399" s="11">
        <v>0</v>
      </c>
    </row>
    <row r="1400" spans="1:8" x14ac:dyDescent="0.2">
      <c r="A1400" t="s">
        <v>2593</v>
      </c>
      <c r="B1400" s="1" t="s">
        <v>2594</v>
      </c>
      <c r="C1400" s="11">
        <v>805000</v>
      </c>
      <c r="D1400" t="s">
        <v>685</v>
      </c>
      <c r="E1400" t="s">
        <v>885</v>
      </c>
      <c r="F1400" s="4">
        <v>38273</v>
      </c>
      <c r="G1400" s="11">
        <v>805000</v>
      </c>
      <c r="H1400" s="11">
        <v>0</v>
      </c>
    </row>
    <row r="1401" spans="1:8" x14ac:dyDescent="0.2">
      <c r="A1401" t="s">
        <v>2642</v>
      </c>
      <c r="B1401" s="1" t="s">
        <v>2643</v>
      </c>
      <c r="C1401" s="11">
        <v>1125000</v>
      </c>
      <c r="D1401" t="s">
        <v>685</v>
      </c>
      <c r="E1401" t="s">
        <v>885</v>
      </c>
      <c r="F1401" s="4">
        <v>38310</v>
      </c>
      <c r="G1401" s="11">
        <v>1125000</v>
      </c>
      <c r="H1401" s="11">
        <v>0</v>
      </c>
    </row>
    <row r="1402" spans="1:8" x14ac:dyDescent="0.2">
      <c r="A1402" t="s">
        <v>2648</v>
      </c>
      <c r="B1402" s="1" t="s">
        <v>2649</v>
      </c>
      <c r="C1402" s="11">
        <v>2000000</v>
      </c>
      <c r="D1402" t="s">
        <v>685</v>
      </c>
      <c r="E1402" t="s">
        <v>885</v>
      </c>
      <c r="F1402" s="4">
        <v>38244</v>
      </c>
      <c r="G1402" s="11">
        <v>759440</v>
      </c>
      <c r="H1402" s="11">
        <v>1240560</v>
      </c>
    </row>
    <row r="1403" spans="1:8" x14ac:dyDescent="0.2">
      <c r="A1403" t="s">
        <v>450</v>
      </c>
      <c r="B1403" s="1" t="s">
        <v>224</v>
      </c>
      <c r="C1403" s="11">
        <v>1500000</v>
      </c>
      <c r="D1403" t="s">
        <v>685</v>
      </c>
      <c r="E1403" t="s">
        <v>516</v>
      </c>
      <c r="F1403" s="4">
        <v>38103</v>
      </c>
      <c r="G1403" s="11">
        <v>1500000</v>
      </c>
      <c r="H1403" s="11">
        <v>0</v>
      </c>
    </row>
    <row r="1404" spans="1:8" x14ac:dyDescent="0.2">
      <c r="A1404" t="s">
        <v>475</v>
      </c>
      <c r="B1404" s="1" t="s">
        <v>235</v>
      </c>
      <c r="C1404" s="11">
        <v>2500000</v>
      </c>
      <c r="D1404" t="s">
        <v>685</v>
      </c>
      <c r="E1404" t="s">
        <v>885</v>
      </c>
      <c r="F1404" s="4">
        <v>38226</v>
      </c>
      <c r="G1404" s="11">
        <v>2500000</v>
      </c>
      <c r="H1404" s="11">
        <v>0</v>
      </c>
    </row>
    <row r="1405" spans="1:8" x14ac:dyDescent="0.2">
      <c r="A1405" t="s">
        <v>805</v>
      </c>
      <c r="B1405" s="1" t="s">
        <v>236</v>
      </c>
      <c r="C1405" s="11">
        <v>5000000</v>
      </c>
      <c r="D1405" t="s">
        <v>685</v>
      </c>
      <c r="E1405" t="s">
        <v>516</v>
      </c>
      <c r="F1405" s="4">
        <v>38226</v>
      </c>
      <c r="G1405" s="11">
        <v>5000000</v>
      </c>
      <c r="H1405" s="11">
        <v>0</v>
      </c>
    </row>
    <row r="1406" spans="1:8" x14ac:dyDescent="0.2">
      <c r="A1406" t="s">
        <v>1609</v>
      </c>
      <c r="B1406" s="1" t="s">
        <v>1433</v>
      </c>
      <c r="C1406" s="11">
        <v>1500000</v>
      </c>
      <c r="D1406" t="s">
        <v>685</v>
      </c>
      <c r="E1406" t="s">
        <v>516</v>
      </c>
      <c r="F1406" s="4">
        <v>38677</v>
      </c>
      <c r="G1406" s="11">
        <v>1500000</v>
      </c>
      <c r="H1406" s="11">
        <v>0</v>
      </c>
    </row>
    <row r="1407" spans="1:8" x14ac:dyDescent="0.2">
      <c r="A1407" t="s">
        <v>2662</v>
      </c>
      <c r="B1407" s="1" t="s">
        <v>1428</v>
      </c>
      <c r="C1407" s="11">
        <v>500000</v>
      </c>
      <c r="D1407" t="s">
        <v>685</v>
      </c>
      <c r="E1407" t="s">
        <v>885</v>
      </c>
      <c r="F1407" s="4">
        <v>38643</v>
      </c>
      <c r="G1407" s="11">
        <v>487500</v>
      </c>
      <c r="H1407" s="11">
        <v>12500</v>
      </c>
    </row>
    <row r="1408" spans="1:8" x14ac:dyDescent="0.2">
      <c r="A1408" t="s">
        <v>392</v>
      </c>
      <c r="B1408" s="1" t="s">
        <v>393</v>
      </c>
      <c r="C1408" s="11">
        <v>0</v>
      </c>
      <c r="D1408" t="s">
        <v>685</v>
      </c>
      <c r="E1408" t="s">
        <v>885</v>
      </c>
      <c r="F1408" s="4">
        <v>39277</v>
      </c>
      <c r="G1408" s="11">
        <v>0</v>
      </c>
      <c r="H1408" s="11">
        <v>0</v>
      </c>
    </row>
    <row r="1409" spans="1:8" x14ac:dyDescent="0.2">
      <c r="A1409" t="s">
        <v>1460</v>
      </c>
      <c r="B1409" s="1" t="s">
        <v>847</v>
      </c>
      <c r="C1409" s="11">
        <v>1500000</v>
      </c>
      <c r="D1409" t="s">
        <v>685</v>
      </c>
      <c r="E1409" t="s">
        <v>444</v>
      </c>
      <c r="F1409" s="4">
        <v>39118</v>
      </c>
      <c r="G1409" s="11">
        <v>1500000</v>
      </c>
      <c r="H1409" s="11">
        <v>0</v>
      </c>
    </row>
    <row r="1410" spans="1:8" x14ac:dyDescent="0.2">
      <c r="A1410" t="s">
        <v>1844</v>
      </c>
      <c r="B1410" s="1" t="s">
        <v>1439</v>
      </c>
      <c r="C1410" s="11">
        <v>500000</v>
      </c>
      <c r="D1410" t="s">
        <v>685</v>
      </c>
      <c r="E1410" t="s">
        <v>885</v>
      </c>
      <c r="F1410" s="4">
        <v>38721</v>
      </c>
      <c r="G1410" s="11">
        <v>500000</v>
      </c>
      <c r="H1410" s="11">
        <v>0</v>
      </c>
    </row>
    <row r="1411" spans="1:8" x14ac:dyDescent="0.2">
      <c r="A1411" t="s">
        <v>1909</v>
      </c>
      <c r="B1411" s="1" t="s">
        <v>1266</v>
      </c>
      <c r="C1411" s="11">
        <v>500000</v>
      </c>
      <c r="D1411" t="s">
        <v>685</v>
      </c>
      <c r="E1411" t="s">
        <v>444</v>
      </c>
      <c r="F1411" s="4">
        <v>39062</v>
      </c>
      <c r="G1411" s="11">
        <v>500000</v>
      </c>
      <c r="H1411" s="11">
        <v>0</v>
      </c>
    </row>
    <row r="1412" spans="1:8" x14ac:dyDescent="0.2">
      <c r="A1412" t="s">
        <v>1465</v>
      </c>
      <c r="B1412" s="1" t="s">
        <v>675</v>
      </c>
      <c r="C1412" s="11">
        <v>500000</v>
      </c>
      <c r="D1412" t="s">
        <v>685</v>
      </c>
      <c r="E1412" t="s">
        <v>444</v>
      </c>
      <c r="F1412" s="4">
        <v>38985</v>
      </c>
      <c r="G1412" s="11">
        <v>500000</v>
      </c>
      <c r="H1412" s="11">
        <v>0</v>
      </c>
    </row>
    <row r="1413" spans="1:8" x14ac:dyDescent="0.2">
      <c r="A1413" t="s">
        <v>1485</v>
      </c>
      <c r="B1413" s="1" t="s">
        <v>1277</v>
      </c>
      <c r="C1413" s="11">
        <v>500000</v>
      </c>
      <c r="D1413" t="s">
        <v>685</v>
      </c>
      <c r="E1413" t="s">
        <v>444</v>
      </c>
      <c r="F1413" s="4">
        <v>39062</v>
      </c>
      <c r="G1413" s="11">
        <v>500000</v>
      </c>
      <c r="H1413" s="11">
        <v>0</v>
      </c>
    </row>
    <row r="1414" spans="1:8" x14ac:dyDescent="0.2">
      <c r="A1414" t="s">
        <v>859</v>
      </c>
      <c r="B1414" s="1" t="s">
        <v>1278</v>
      </c>
      <c r="C1414" s="11">
        <v>500000</v>
      </c>
      <c r="D1414" t="s">
        <v>685</v>
      </c>
      <c r="E1414" t="s">
        <v>444</v>
      </c>
      <c r="F1414" s="4">
        <v>39062</v>
      </c>
      <c r="G1414" s="11">
        <v>500000</v>
      </c>
      <c r="H1414" s="11">
        <v>0</v>
      </c>
    </row>
    <row r="1415" spans="1:8" x14ac:dyDescent="0.2">
      <c r="A1415" t="s">
        <v>806</v>
      </c>
      <c r="B1415" s="1" t="s">
        <v>676</v>
      </c>
      <c r="C1415" s="11">
        <v>500000</v>
      </c>
      <c r="D1415" t="s">
        <v>685</v>
      </c>
      <c r="E1415" t="s">
        <v>885</v>
      </c>
      <c r="F1415" s="4">
        <v>38985</v>
      </c>
      <c r="G1415" s="11">
        <v>500000</v>
      </c>
      <c r="H1415" s="11">
        <v>0</v>
      </c>
    </row>
    <row r="1416" spans="1:8" x14ac:dyDescent="0.2">
      <c r="A1416" t="s">
        <v>4218</v>
      </c>
      <c r="B1416" s="1" t="s">
        <v>3873</v>
      </c>
      <c r="C1416" s="11">
        <v>250000</v>
      </c>
      <c r="D1416" t="s">
        <v>685</v>
      </c>
      <c r="E1416" t="s">
        <v>3031</v>
      </c>
      <c r="F1416" s="4">
        <v>40546</v>
      </c>
      <c r="G1416" s="11">
        <v>231250</v>
      </c>
      <c r="H1416" s="11">
        <v>18750</v>
      </c>
    </row>
    <row r="1417" spans="1:8" x14ac:dyDescent="0.2">
      <c r="A1417" t="s">
        <v>807</v>
      </c>
      <c r="B1417" s="1" t="s">
        <v>1929</v>
      </c>
      <c r="C1417" s="11">
        <v>0</v>
      </c>
      <c r="D1417" t="s">
        <v>685</v>
      </c>
      <c r="E1417" t="s">
        <v>444</v>
      </c>
      <c r="F1417" s="4">
        <v>39118</v>
      </c>
      <c r="G1417" s="11">
        <v>0</v>
      </c>
      <c r="H1417" s="11">
        <v>0</v>
      </c>
    </row>
    <row r="1418" spans="1:8" x14ac:dyDescent="0.2">
      <c r="A1418" t="s">
        <v>855</v>
      </c>
      <c r="B1418" s="1" t="s">
        <v>1529</v>
      </c>
      <c r="C1418" s="11">
        <v>5000000</v>
      </c>
      <c r="D1418" t="s">
        <v>685</v>
      </c>
      <c r="E1418" t="s">
        <v>885</v>
      </c>
      <c r="F1418" s="4">
        <v>38874</v>
      </c>
      <c r="G1418" s="11">
        <v>5000000</v>
      </c>
      <c r="H1418" s="11">
        <v>0</v>
      </c>
    </row>
    <row r="1419" spans="1:8" x14ac:dyDescent="0.2">
      <c r="A1419" t="s">
        <v>2570</v>
      </c>
      <c r="B1419" s="1" t="s">
        <v>202</v>
      </c>
      <c r="C1419" s="11">
        <v>0</v>
      </c>
      <c r="D1419" t="s">
        <v>685</v>
      </c>
      <c r="E1419" t="s">
        <v>969</v>
      </c>
      <c r="F1419" s="4">
        <v>37609</v>
      </c>
      <c r="G1419" s="11">
        <v>0</v>
      </c>
      <c r="H1419" s="11">
        <v>0</v>
      </c>
    </row>
    <row r="1420" spans="1:8" x14ac:dyDescent="0.2">
      <c r="A1420" t="s">
        <v>737</v>
      </c>
      <c r="B1420" s="1" t="s">
        <v>1279</v>
      </c>
      <c r="C1420" s="11">
        <v>500000</v>
      </c>
      <c r="D1420" t="s">
        <v>685</v>
      </c>
      <c r="E1420" t="s">
        <v>444</v>
      </c>
      <c r="F1420" s="4">
        <v>39062</v>
      </c>
      <c r="G1420" s="11">
        <v>0</v>
      </c>
      <c r="H1420" s="11">
        <v>500000</v>
      </c>
    </row>
    <row r="1421" spans="1:8" x14ac:dyDescent="0.2">
      <c r="A1421" t="s">
        <v>943</v>
      </c>
      <c r="B1421" s="1" t="s">
        <v>1240</v>
      </c>
      <c r="C1421" s="11">
        <v>500000</v>
      </c>
      <c r="D1421" t="s">
        <v>685</v>
      </c>
      <c r="E1421" t="s">
        <v>444</v>
      </c>
      <c r="F1421" s="4">
        <v>39149</v>
      </c>
      <c r="G1421" s="11">
        <v>500000</v>
      </c>
      <c r="H1421" s="11">
        <v>0</v>
      </c>
    </row>
    <row r="1422" spans="1:8" x14ac:dyDescent="0.2">
      <c r="A1422" t="s">
        <v>956</v>
      </c>
      <c r="B1422" s="1" t="s">
        <v>1265</v>
      </c>
      <c r="C1422" s="11">
        <v>500000</v>
      </c>
      <c r="D1422" t="s">
        <v>685</v>
      </c>
      <c r="E1422" t="s">
        <v>444</v>
      </c>
      <c r="F1422" s="4">
        <v>39062</v>
      </c>
      <c r="G1422" s="11">
        <v>0</v>
      </c>
      <c r="H1422" s="11">
        <v>500000</v>
      </c>
    </row>
    <row r="1423" spans="1:8" x14ac:dyDescent="0.2">
      <c r="A1423" t="s">
        <v>1083</v>
      </c>
      <c r="B1423" s="1" t="s">
        <v>1153</v>
      </c>
      <c r="C1423" s="11">
        <v>2500000</v>
      </c>
      <c r="D1423" t="s">
        <v>685</v>
      </c>
      <c r="E1423" t="s">
        <v>444</v>
      </c>
      <c r="F1423" s="4">
        <v>39688</v>
      </c>
      <c r="G1423" s="11">
        <v>0</v>
      </c>
      <c r="H1423" s="11">
        <v>2500000</v>
      </c>
    </row>
    <row r="1424" spans="1:8" x14ac:dyDescent="0.2">
      <c r="A1424" t="s">
        <v>3857</v>
      </c>
      <c r="B1424" s="1" t="s">
        <v>1184</v>
      </c>
      <c r="C1424" s="11">
        <v>1000000</v>
      </c>
      <c r="D1424" t="s">
        <v>685</v>
      </c>
      <c r="E1424" t="s">
        <v>888</v>
      </c>
      <c r="F1424" s="4">
        <v>39717</v>
      </c>
      <c r="G1424" s="11">
        <v>0</v>
      </c>
      <c r="H1424" s="11">
        <v>1000000</v>
      </c>
    </row>
    <row r="1425" spans="1:8" x14ac:dyDescent="0.2">
      <c r="A1425" t="s">
        <v>3858</v>
      </c>
      <c r="B1425" s="1" t="s">
        <v>3539</v>
      </c>
      <c r="C1425" s="11">
        <v>500000</v>
      </c>
      <c r="D1425" t="s">
        <v>685</v>
      </c>
      <c r="E1425" t="s">
        <v>888</v>
      </c>
      <c r="F1425" s="4">
        <v>40504</v>
      </c>
      <c r="G1425" s="11">
        <v>0</v>
      </c>
      <c r="H1425" s="11">
        <v>500000</v>
      </c>
    </row>
    <row r="1426" spans="1:8" x14ac:dyDescent="0.2">
      <c r="A1426" t="s">
        <v>994</v>
      </c>
      <c r="B1426" s="1" t="s">
        <v>1164</v>
      </c>
      <c r="C1426" s="11">
        <v>7000000</v>
      </c>
      <c r="D1426" t="s">
        <v>685</v>
      </c>
      <c r="E1426" t="s">
        <v>888</v>
      </c>
      <c r="F1426" s="4">
        <v>39688</v>
      </c>
      <c r="G1426" s="11">
        <v>6860000</v>
      </c>
      <c r="H1426" s="11">
        <v>140000</v>
      </c>
    </row>
    <row r="1427" spans="1:8" x14ac:dyDescent="0.2">
      <c r="A1427" t="s">
        <v>1084</v>
      </c>
      <c r="B1427" s="1" t="s">
        <v>1154</v>
      </c>
      <c r="C1427" s="11">
        <v>3000000</v>
      </c>
      <c r="D1427" t="s">
        <v>685</v>
      </c>
      <c r="E1427" t="s">
        <v>888</v>
      </c>
      <c r="F1427" s="4">
        <v>39688</v>
      </c>
      <c r="G1427" s="11">
        <v>3000000</v>
      </c>
      <c r="H1427" s="11">
        <v>0</v>
      </c>
    </row>
    <row r="1428" spans="1:8" x14ac:dyDescent="0.2">
      <c r="A1428" t="s">
        <v>1934</v>
      </c>
      <c r="B1428" s="1" t="s">
        <v>1152</v>
      </c>
      <c r="C1428" s="11">
        <v>6000000</v>
      </c>
      <c r="D1428" t="s">
        <v>685</v>
      </c>
      <c r="E1428" t="s">
        <v>888</v>
      </c>
      <c r="F1428" s="4">
        <v>39688</v>
      </c>
      <c r="G1428" s="11">
        <v>0</v>
      </c>
      <c r="H1428" s="11">
        <v>6000000</v>
      </c>
    </row>
    <row r="1429" spans="1:8" x14ac:dyDescent="0.2">
      <c r="A1429" t="s">
        <v>3203</v>
      </c>
      <c r="B1429" s="1" t="s">
        <v>3204</v>
      </c>
      <c r="C1429" s="11">
        <v>9000000</v>
      </c>
      <c r="D1429" t="s">
        <v>685</v>
      </c>
      <c r="E1429" t="s">
        <v>888</v>
      </c>
      <c r="F1429" s="4">
        <v>40393</v>
      </c>
      <c r="G1429" s="11">
        <v>0</v>
      </c>
      <c r="H1429" s="11">
        <v>9000000</v>
      </c>
    </row>
    <row r="1430" spans="1:8" x14ac:dyDescent="0.2">
      <c r="A1430" t="s">
        <v>3859</v>
      </c>
      <c r="B1430" s="1" t="s">
        <v>3860</v>
      </c>
      <c r="C1430" s="11">
        <v>500000</v>
      </c>
      <c r="D1430" t="s">
        <v>685</v>
      </c>
      <c r="E1430" t="s">
        <v>3031</v>
      </c>
      <c r="F1430" s="4">
        <v>40532</v>
      </c>
      <c r="G1430" s="11">
        <v>0</v>
      </c>
      <c r="H1430" s="11">
        <v>500000</v>
      </c>
    </row>
    <row r="1431" spans="1:8" x14ac:dyDescent="0.2">
      <c r="A1431" t="s">
        <v>1085</v>
      </c>
      <c r="B1431" s="1" t="s">
        <v>2573</v>
      </c>
      <c r="C1431" s="11">
        <v>500000</v>
      </c>
      <c r="D1431" t="s">
        <v>685</v>
      </c>
      <c r="E1431" t="s">
        <v>888</v>
      </c>
      <c r="F1431" s="4">
        <v>39793</v>
      </c>
      <c r="G1431" s="11">
        <v>475000</v>
      </c>
      <c r="H1431" s="11">
        <v>25000</v>
      </c>
    </row>
    <row r="1432" spans="1:8" x14ac:dyDescent="0.2">
      <c r="A1432" t="s">
        <v>2752</v>
      </c>
      <c r="B1432" s="1" t="s">
        <v>782</v>
      </c>
      <c r="C1432" s="11">
        <v>1500000</v>
      </c>
      <c r="D1432" t="s">
        <v>685</v>
      </c>
      <c r="E1432" t="s">
        <v>888</v>
      </c>
      <c r="F1432" s="4">
        <v>39856</v>
      </c>
      <c r="G1432" s="11">
        <v>0</v>
      </c>
      <c r="H1432" s="11">
        <v>1500000</v>
      </c>
    </row>
    <row r="1433" spans="1:8" x14ac:dyDescent="0.2">
      <c r="A1433" t="s">
        <v>3205</v>
      </c>
      <c r="B1433" s="1" t="s">
        <v>1161</v>
      </c>
      <c r="C1433" s="11">
        <v>4000000</v>
      </c>
      <c r="D1433" t="s">
        <v>685</v>
      </c>
      <c r="E1433" t="s">
        <v>888</v>
      </c>
      <c r="F1433" s="4">
        <v>39688</v>
      </c>
      <c r="G1433" s="11">
        <v>2000000</v>
      </c>
      <c r="H1433" s="11">
        <v>2000000</v>
      </c>
    </row>
    <row r="1434" spans="1:8" x14ac:dyDescent="0.2">
      <c r="A1434" t="s">
        <v>3206</v>
      </c>
      <c r="B1434" s="1" t="s">
        <v>1162</v>
      </c>
      <c r="C1434" s="11">
        <v>1000000</v>
      </c>
      <c r="D1434" t="s">
        <v>685</v>
      </c>
      <c r="E1434" t="s">
        <v>888</v>
      </c>
      <c r="F1434" s="4">
        <v>39736</v>
      </c>
      <c r="G1434" s="11">
        <v>0</v>
      </c>
      <c r="H1434" s="11">
        <v>1000000</v>
      </c>
    </row>
    <row r="1435" spans="1:8" x14ac:dyDescent="0.2">
      <c r="A1435" t="s">
        <v>3207</v>
      </c>
      <c r="B1435" s="1" t="s">
        <v>1163</v>
      </c>
      <c r="C1435" s="11">
        <v>1000000</v>
      </c>
      <c r="D1435" t="s">
        <v>685</v>
      </c>
      <c r="E1435" t="s">
        <v>888</v>
      </c>
      <c r="F1435" s="4">
        <v>39751</v>
      </c>
      <c r="G1435" s="11">
        <v>0</v>
      </c>
      <c r="H1435" s="11">
        <v>1000000</v>
      </c>
    </row>
    <row r="1436" spans="1:8" x14ac:dyDescent="0.2">
      <c r="A1436" t="s">
        <v>3208</v>
      </c>
      <c r="B1436" s="1" t="s">
        <v>2571</v>
      </c>
      <c r="C1436" s="11">
        <v>1000000</v>
      </c>
      <c r="D1436" t="s">
        <v>685</v>
      </c>
      <c r="E1436" t="s">
        <v>888</v>
      </c>
      <c r="F1436" s="4">
        <v>39793</v>
      </c>
      <c r="G1436" s="11">
        <v>0</v>
      </c>
      <c r="H1436" s="11">
        <v>1000000</v>
      </c>
    </row>
    <row r="1437" spans="1:8" x14ac:dyDescent="0.2">
      <c r="A1437" t="s">
        <v>2753</v>
      </c>
      <c r="B1437" s="1" t="s">
        <v>1165</v>
      </c>
      <c r="C1437" s="11">
        <v>3000000</v>
      </c>
      <c r="D1437" t="s">
        <v>685</v>
      </c>
      <c r="E1437" t="s">
        <v>444</v>
      </c>
      <c r="F1437" s="4">
        <v>39699</v>
      </c>
      <c r="G1437" s="11">
        <v>2925000</v>
      </c>
      <c r="H1437" s="11">
        <v>75000</v>
      </c>
    </row>
    <row r="1438" spans="1:8" x14ac:dyDescent="0.2">
      <c r="A1438" t="s">
        <v>2893</v>
      </c>
      <c r="B1438" s="1" t="s">
        <v>1199</v>
      </c>
      <c r="C1438" s="11">
        <v>500000</v>
      </c>
      <c r="D1438" t="s">
        <v>685</v>
      </c>
      <c r="E1438" t="s">
        <v>888</v>
      </c>
      <c r="F1438" s="4">
        <v>39736</v>
      </c>
      <c r="G1438" s="11">
        <v>487500</v>
      </c>
      <c r="H1438" s="11">
        <v>12500</v>
      </c>
    </row>
    <row r="1439" spans="1:8" x14ac:dyDescent="0.2">
      <c r="A1439" t="s">
        <v>3209</v>
      </c>
      <c r="B1439" s="1" t="s">
        <v>629</v>
      </c>
      <c r="C1439" s="11">
        <v>500000</v>
      </c>
      <c r="D1439" t="s">
        <v>685</v>
      </c>
      <c r="E1439" t="s">
        <v>888</v>
      </c>
      <c r="F1439" s="4">
        <v>39856</v>
      </c>
      <c r="G1439" s="11">
        <v>500000</v>
      </c>
      <c r="H1439" s="11">
        <v>0</v>
      </c>
    </row>
    <row r="1440" spans="1:8" x14ac:dyDescent="0.2">
      <c r="A1440" t="s">
        <v>3210</v>
      </c>
      <c r="B1440" s="1" t="s">
        <v>774</v>
      </c>
      <c r="C1440" s="11">
        <v>500000</v>
      </c>
      <c r="D1440" t="s">
        <v>685</v>
      </c>
      <c r="E1440" t="s">
        <v>888</v>
      </c>
      <c r="F1440" s="4">
        <v>39856</v>
      </c>
      <c r="G1440" s="11">
        <v>384717</v>
      </c>
      <c r="H1440" s="11">
        <v>115283</v>
      </c>
    </row>
    <row r="1441" spans="1:8" x14ac:dyDescent="0.2">
      <c r="A1441" t="s">
        <v>2894</v>
      </c>
      <c r="B1441" s="1" t="s">
        <v>2108</v>
      </c>
      <c r="C1441" s="11">
        <v>350000</v>
      </c>
      <c r="D1441" t="s">
        <v>685</v>
      </c>
      <c r="E1441" t="s">
        <v>885</v>
      </c>
      <c r="F1441" s="4">
        <v>39930</v>
      </c>
      <c r="G1441" s="11">
        <v>0</v>
      </c>
      <c r="H1441" s="11">
        <v>350000</v>
      </c>
    </row>
    <row r="1442" spans="1:8" x14ac:dyDescent="0.2">
      <c r="A1442" t="s">
        <v>2895</v>
      </c>
      <c r="B1442" s="1" t="s">
        <v>2755</v>
      </c>
      <c r="C1442" s="11">
        <v>500000</v>
      </c>
      <c r="D1442" t="s">
        <v>685</v>
      </c>
      <c r="E1442" t="s">
        <v>888</v>
      </c>
      <c r="F1442" s="4">
        <v>39930</v>
      </c>
      <c r="G1442" s="11">
        <v>475000</v>
      </c>
      <c r="H1442" s="11">
        <v>25000</v>
      </c>
    </row>
    <row r="1443" spans="1:8" x14ac:dyDescent="0.2">
      <c r="A1443" t="s">
        <v>3211</v>
      </c>
      <c r="B1443" s="1" t="s">
        <v>145</v>
      </c>
      <c r="C1443" s="11">
        <v>5000000</v>
      </c>
      <c r="D1443" t="s">
        <v>685</v>
      </c>
      <c r="E1443" t="s">
        <v>888</v>
      </c>
      <c r="F1443" s="4">
        <v>40226</v>
      </c>
      <c r="G1443" s="11">
        <v>5000000</v>
      </c>
      <c r="H1443" s="11">
        <v>0</v>
      </c>
    </row>
    <row r="1444" spans="1:8" x14ac:dyDescent="0.2">
      <c r="A1444" t="s">
        <v>3527</v>
      </c>
      <c r="B1444" s="1" t="s">
        <v>3218</v>
      </c>
      <c r="C1444" s="11">
        <v>500000</v>
      </c>
      <c r="D1444" t="s">
        <v>685</v>
      </c>
      <c r="E1444" t="s">
        <v>888</v>
      </c>
      <c r="F1444" s="4">
        <v>40483</v>
      </c>
      <c r="G1444" s="11">
        <v>362500</v>
      </c>
      <c r="H1444" s="11">
        <v>137500</v>
      </c>
    </row>
    <row r="1445" spans="1:8" x14ac:dyDescent="0.2">
      <c r="A1445" t="s">
        <v>3212</v>
      </c>
      <c r="B1445" s="1" t="s">
        <v>112</v>
      </c>
      <c r="C1445" s="11">
        <v>500000</v>
      </c>
      <c r="D1445" t="s">
        <v>685</v>
      </c>
      <c r="E1445" t="s">
        <v>888</v>
      </c>
      <c r="F1445" s="4">
        <v>40213</v>
      </c>
      <c r="G1445" s="11">
        <v>0</v>
      </c>
      <c r="H1445" s="11">
        <v>500000</v>
      </c>
    </row>
    <row r="1446" spans="1:8" x14ac:dyDescent="0.2">
      <c r="A1446" t="s">
        <v>3213</v>
      </c>
      <c r="B1446" s="1" t="s">
        <v>2117</v>
      </c>
      <c r="C1446" s="11">
        <v>250000</v>
      </c>
      <c r="D1446" t="s">
        <v>685</v>
      </c>
      <c r="E1446" t="s">
        <v>1904</v>
      </c>
      <c r="F1446" s="4">
        <v>39930</v>
      </c>
      <c r="G1446" s="11">
        <v>0</v>
      </c>
      <c r="H1446" s="11">
        <v>250000</v>
      </c>
    </row>
    <row r="1447" spans="1:8" x14ac:dyDescent="0.2">
      <c r="A1447" t="s">
        <v>3214</v>
      </c>
      <c r="B1447" s="1" t="s">
        <v>111</v>
      </c>
      <c r="C1447" s="11">
        <v>500000</v>
      </c>
      <c r="D1447" t="s">
        <v>685</v>
      </c>
      <c r="E1447" t="s">
        <v>1904</v>
      </c>
      <c r="F1447" s="4">
        <v>40213</v>
      </c>
      <c r="G1447" s="11">
        <v>0</v>
      </c>
      <c r="H1447" s="11">
        <v>500000</v>
      </c>
    </row>
    <row r="1448" spans="1:8" x14ac:dyDescent="0.2">
      <c r="A1448" t="s">
        <v>3528</v>
      </c>
      <c r="B1448" s="1" t="s">
        <v>2896</v>
      </c>
      <c r="C1448" s="11">
        <v>250000</v>
      </c>
      <c r="D1448" t="s">
        <v>685</v>
      </c>
      <c r="E1448" t="s">
        <v>444</v>
      </c>
      <c r="F1448" s="4">
        <v>40325</v>
      </c>
      <c r="G1448" s="11">
        <v>0</v>
      </c>
      <c r="H1448" s="11">
        <v>250000</v>
      </c>
    </row>
    <row r="1449" spans="1:8" x14ac:dyDescent="0.2">
      <c r="A1449" t="s">
        <v>3529</v>
      </c>
      <c r="B1449" s="1" t="s">
        <v>3530</v>
      </c>
      <c r="C1449" s="11">
        <v>250000</v>
      </c>
      <c r="D1449" t="s">
        <v>685</v>
      </c>
      <c r="E1449" t="s">
        <v>1904</v>
      </c>
      <c r="F1449" s="4">
        <v>40504</v>
      </c>
      <c r="G1449" s="11">
        <v>0</v>
      </c>
      <c r="H1449" s="11">
        <v>250000</v>
      </c>
    </row>
    <row r="1450" spans="1:8" x14ac:dyDescent="0.2">
      <c r="A1450" t="s">
        <v>3531</v>
      </c>
      <c r="B1450" s="1" t="s">
        <v>2899</v>
      </c>
      <c r="C1450" s="11">
        <v>4000000</v>
      </c>
      <c r="D1450" t="s">
        <v>685</v>
      </c>
      <c r="E1450" t="s">
        <v>444</v>
      </c>
      <c r="F1450" s="4">
        <v>40345</v>
      </c>
      <c r="G1450" s="11">
        <v>697325</v>
      </c>
      <c r="H1450" s="11">
        <v>3302675</v>
      </c>
    </row>
    <row r="1451" spans="1:8" x14ac:dyDescent="0.2">
      <c r="A1451" t="s">
        <v>3532</v>
      </c>
      <c r="B1451" s="1" t="s">
        <v>2900</v>
      </c>
      <c r="C1451" s="11">
        <v>500000</v>
      </c>
      <c r="D1451" t="s">
        <v>685</v>
      </c>
      <c r="E1451" t="s">
        <v>444</v>
      </c>
      <c r="F1451" s="4">
        <v>40345</v>
      </c>
      <c r="G1451" s="11">
        <v>0</v>
      </c>
      <c r="H1451" s="11">
        <v>500000</v>
      </c>
    </row>
    <row r="1452" spans="1:8" x14ac:dyDescent="0.2">
      <c r="A1452" t="s">
        <v>3533</v>
      </c>
      <c r="B1452" s="1" t="s">
        <v>2901</v>
      </c>
      <c r="C1452" s="11">
        <v>500000</v>
      </c>
      <c r="D1452" t="s">
        <v>685</v>
      </c>
      <c r="E1452" t="s">
        <v>444</v>
      </c>
      <c r="F1452" s="4">
        <v>40346</v>
      </c>
      <c r="G1452" s="11">
        <v>0</v>
      </c>
      <c r="H1452" s="11">
        <v>500000</v>
      </c>
    </row>
    <row r="1453" spans="1:8" x14ac:dyDescent="0.2">
      <c r="A1453" t="s">
        <v>3534</v>
      </c>
      <c r="B1453" s="1" t="s">
        <v>3535</v>
      </c>
      <c r="C1453" s="11">
        <v>3000000</v>
      </c>
      <c r="D1453" t="s">
        <v>685</v>
      </c>
      <c r="E1453" t="s">
        <v>444</v>
      </c>
      <c r="F1453" s="4">
        <v>40497</v>
      </c>
      <c r="G1453" s="11">
        <v>0</v>
      </c>
      <c r="H1453" s="11">
        <v>3000000</v>
      </c>
    </row>
    <row r="1454" spans="1:8" x14ac:dyDescent="0.2">
      <c r="A1454" t="s">
        <v>3536</v>
      </c>
      <c r="B1454" s="1" t="s">
        <v>2903</v>
      </c>
      <c r="C1454" s="11">
        <v>500000</v>
      </c>
      <c r="D1454" t="s">
        <v>685</v>
      </c>
      <c r="E1454" t="s">
        <v>444</v>
      </c>
      <c r="F1454" s="4">
        <v>40346</v>
      </c>
      <c r="G1454" s="11">
        <v>487500</v>
      </c>
      <c r="H1454" s="11">
        <v>12500</v>
      </c>
    </row>
    <row r="1455" spans="1:8" x14ac:dyDescent="0.2">
      <c r="A1455" t="s">
        <v>4081</v>
      </c>
      <c r="B1455" s="1" t="s">
        <v>2902</v>
      </c>
      <c r="C1455" s="11">
        <v>500000</v>
      </c>
      <c r="D1455" t="s">
        <v>685</v>
      </c>
      <c r="E1455" t="s">
        <v>444</v>
      </c>
      <c r="F1455" s="4">
        <v>40346</v>
      </c>
      <c r="G1455" s="11">
        <v>487500</v>
      </c>
      <c r="H1455" s="11">
        <v>12500</v>
      </c>
    </row>
    <row r="1456" spans="1:8" x14ac:dyDescent="0.2">
      <c r="A1456" t="s">
        <v>3537</v>
      </c>
      <c r="B1456" s="1" t="s">
        <v>2898</v>
      </c>
      <c r="C1456" s="11">
        <v>4000000</v>
      </c>
      <c r="D1456" t="s">
        <v>685</v>
      </c>
      <c r="E1456" t="s">
        <v>888</v>
      </c>
      <c r="F1456" s="4">
        <v>40325</v>
      </c>
      <c r="G1456" s="11">
        <v>0</v>
      </c>
      <c r="H1456" s="11">
        <v>4000000</v>
      </c>
    </row>
    <row r="1457" spans="1:8" x14ac:dyDescent="0.2">
      <c r="A1457" t="s">
        <v>3538</v>
      </c>
      <c r="B1457" s="1" t="s">
        <v>3215</v>
      </c>
      <c r="C1457" s="11">
        <v>2000000</v>
      </c>
      <c r="D1457" t="s">
        <v>685</v>
      </c>
      <c r="E1457" t="s">
        <v>888</v>
      </c>
      <c r="F1457" s="4">
        <v>40414</v>
      </c>
      <c r="G1457" s="11">
        <v>0</v>
      </c>
      <c r="H1457" s="11">
        <v>2000000</v>
      </c>
    </row>
    <row r="1458" spans="1:8" x14ac:dyDescent="0.2">
      <c r="A1458" t="s">
        <v>4131</v>
      </c>
      <c r="B1458" s="1" t="s">
        <v>3861</v>
      </c>
      <c r="C1458" s="11">
        <v>500000</v>
      </c>
      <c r="D1458" t="s">
        <v>685</v>
      </c>
      <c r="E1458" t="s">
        <v>888</v>
      </c>
      <c r="F1458" s="4">
        <v>40519</v>
      </c>
      <c r="G1458" s="11">
        <v>201839</v>
      </c>
      <c r="H1458" s="11">
        <v>298161</v>
      </c>
    </row>
    <row r="1459" spans="1:8" x14ac:dyDescent="0.2">
      <c r="A1459" t="s">
        <v>4426</v>
      </c>
      <c r="B1459" s="1" t="s">
        <v>3877</v>
      </c>
      <c r="C1459" s="11">
        <v>1500000</v>
      </c>
      <c r="D1459" t="s">
        <v>685</v>
      </c>
      <c r="E1459" t="s">
        <v>888</v>
      </c>
      <c r="F1459" s="4">
        <v>40555</v>
      </c>
      <c r="G1459" s="11">
        <v>0</v>
      </c>
      <c r="H1459" s="11">
        <v>1500000</v>
      </c>
    </row>
    <row r="1460" spans="1:8" x14ac:dyDescent="0.2">
      <c r="A1460" t="s">
        <v>4152</v>
      </c>
      <c r="B1460" s="1" t="s">
        <v>3872</v>
      </c>
      <c r="C1460" s="11">
        <v>1000000</v>
      </c>
      <c r="D1460" t="s">
        <v>685</v>
      </c>
      <c r="E1460" t="s">
        <v>3031</v>
      </c>
      <c r="F1460" s="4">
        <v>40532</v>
      </c>
      <c r="G1460" s="11">
        <v>0</v>
      </c>
      <c r="H1460" s="11">
        <v>1000000</v>
      </c>
    </row>
    <row r="1461" spans="1:8" x14ac:dyDescent="0.2">
      <c r="A1461" t="s">
        <v>4219</v>
      </c>
      <c r="B1461" s="1" t="s">
        <v>3854</v>
      </c>
      <c r="C1461" s="11">
        <v>500000</v>
      </c>
      <c r="D1461" t="s">
        <v>685</v>
      </c>
      <c r="E1461" t="s">
        <v>3031</v>
      </c>
      <c r="F1461" s="4">
        <v>40532</v>
      </c>
      <c r="G1461" s="11">
        <v>0</v>
      </c>
      <c r="H1461" s="11">
        <v>500000</v>
      </c>
    </row>
    <row r="1462" spans="1:8" x14ac:dyDescent="0.2">
      <c r="A1462" t="s">
        <v>4220</v>
      </c>
      <c r="B1462" s="1" t="s">
        <v>3855</v>
      </c>
      <c r="C1462" s="11">
        <v>250000</v>
      </c>
      <c r="D1462" t="s">
        <v>685</v>
      </c>
      <c r="E1462" t="s">
        <v>3031</v>
      </c>
      <c r="F1462" s="4">
        <v>40553</v>
      </c>
      <c r="G1462" s="11">
        <v>0</v>
      </c>
      <c r="H1462" s="11">
        <v>250000</v>
      </c>
    </row>
    <row r="1463" spans="1:8" x14ac:dyDescent="0.2">
      <c r="A1463" t="s">
        <v>4221</v>
      </c>
      <c r="B1463" s="1" t="s">
        <v>3856</v>
      </c>
      <c r="C1463" s="11">
        <v>250000</v>
      </c>
      <c r="D1463" t="s">
        <v>685</v>
      </c>
      <c r="E1463" t="s">
        <v>3031</v>
      </c>
      <c r="F1463" s="4">
        <v>40553</v>
      </c>
      <c r="G1463" s="11">
        <v>0</v>
      </c>
      <c r="H1463" s="11">
        <v>250000</v>
      </c>
    </row>
    <row r="1464" spans="1:8" x14ac:dyDescent="0.2">
      <c r="A1464" t="s">
        <v>4287</v>
      </c>
      <c r="B1464" s="1" t="s">
        <v>3864</v>
      </c>
      <c r="C1464" s="11">
        <v>2000000</v>
      </c>
      <c r="D1464" t="s">
        <v>685</v>
      </c>
      <c r="E1464" t="s">
        <v>3031</v>
      </c>
      <c r="F1464" s="4">
        <v>40519</v>
      </c>
      <c r="G1464" s="11">
        <v>1950000</v>
      </c>
      <c r="H1464" s="11">
        <v>50000</v>
      </c>
    </row>
    <row r="1465" spans="1:8" x14ac:dyDescent="0.2">
      <c r="A1465" t="s">
        <v>4342</v>
      </c>
      <c r="B1465" s="1" t="s">
        <v>4316</v>
      </c>
      <c r="C1465" s="11">
        <v>2500000</v>
      </c>
      <c r="D1465" t="s">
        <v>685</v>
      </c>
      <c r="E1465" t="s">
        <v>2107</v>
      </c>
      <c r="F1465" s="4">
        <v>40557</v>
      </c>
      <c r="G1465" s="11">
        <v>2437500</v>
      </c>
      <c r="H1465" s="11">
        <v>62500</v>
      </c>
    </row>
    <row r="1466" spans="1:8" x14ac:dyDescent="0.2">
      <c r="A1466" t="s">
        <v>4463</v>
      </c>
      <c r="B1466" s="1" t="s">
        <v>3869</v>
      </c>
      <c r="C1466" s="11">
        <v>300000</v>
      </c>
      <c r="D1466" t="s">
        <v>685</v>
      </c>
      <c r="E1466" t="s">
        <v>3008</v>
      </c>
      <c r="F1466" s="4">
        <v>40532</v>
      </c>
      <c r="G1466" s="11">
        <v>0</v>
      </c>
      <c r="H1466" s="11">
        <v>300000</v>
      </c>
    </row>
    <row r="1467" spans="1:8" x14ac:dyDescent="0.2">
      <c r="A1467" t="s">
        <v>4442</v>
      </c>
      <c r="B1467" s="1" t="s">
        <v>3865</v>
      </c>
      <c r="C1467" s="11">
        <v>500000</v>
      </c>
      <c r="D1467" t="s">
        <v>685</v>
      </c>
      <c r="E1467" t="s">
        <v>3031</v>
      </c>
      <c r="F1467" s="4">
        <v>40532</v>
      </c>
      <c r="G1467" s="11">
        <v>0</v>
      </c>
      <c r="H1467" s="11">
        <v>500000</v>
      </c>
    </row>
    <row r="1468" spans="1:8" x14ac:dyDescent="0.2">
      <c r="A1468" t="s">
        <v>4376</v>
      </c>
      <c r="B1468" s="1" t="s">
        <v>3862</v>
      </c>
      <c r="C1468" s="11">
        <v>250000</v>
      </c>
      <c r="D1468" t="s">
        <v>685</v>
      </c>
      <c r="E1468" t="s">
        <v>3031</v>
      </c>
      <c r="F1468" s="4">
        <v>40519</v>
      </c>
      <c r="G1468" s="11">
        <v>0</v>
      </c>
      <c r="H1468" s="11">
        <v>250000</v>
      </c>
    </row>
    <row r="1469" spans="1:8" x14ac:dyDescent="0.2">
      <c r="A1469" t="s">
        <v>4377</v>
      </c>
      <c r="B1469" s="1" t="s">
        <v>3863</v>
      </c>
      <c r="C1469" s="11">
        <v>250000</v>
      </c>
      <c r="D1469" t="s">
        <v>685</v>
      </c>
      <c r="E1469" t="s">
        <v>3031</v>
      </c>
      <c r="F1469" s="4">
        <v>40556</v>
      </c>
      <c r="G1469" s="11">
        <v>0</v>
      </c>
      <c r="H1469" s="11">
        <v>250000</v>
      </c>
    </row>
    <row r="1470" spans="1:8" x14ac:dyDescent="0.2">
      <c r="A1470" t="s">
        <v>4475</v>
      </c>
      <c r="B1470" s="1" t="s">
        <v>3871</v>
      </c>
      <c r="C1470" s="11">
        <v>500000</v>
      </c>
      <c r="D1470" t="s">
        <v>685</v>
      </c>
      <c r="E1470" t="s">
        <v>3031</v>
      </c>
      <c r="F1470" s="4">
        <v>40532</v>
      </c>
      <c r="G1470" s="11">
        <v>0</v>
      </c>
      <c r="H1470" s="11">
        <v>500000</v>
      </c>
    </row>
    <row r="1471" spans="1:8" x14ac:dyDescent="0.2">
      <c r="A1471" t="s">
        <v>4443</v>
      </c>
      <c r="B1471" s="1" t="s">
        <v>3875</v>
      </c>
      <c r="C1471" s="11">
        <v>500000</v>
      </c>
      <c r="D1471" t="s">
        <v>685</v>
      </c>
      <c r="E1471" t="s">
        <v>3031</v>
      </c>
      <c r="F1471" s="4">
        <v>40546</v>
      </c>
      <c r="G1471" s="11">
        <v>0</v>
      </c>
      <c r="H1471" s="11">
        <v>500000</v>
      </c>
    </row>
    <row r="1472" spans="1:8" x14ac:dyDescent="0.2">
      <c r="A1472" t="s">
        <v>2754</v>
      </c>
      <c r="B1472" s="1" t="s">
        <v>1264</v>
      </c>
      <c r="C1472" s="11">
        <v>0</v>
      </c>
      <c r="D1472" t="s">
        <v>685</v>
      </c>
      <c r="E1472" t="s">
        <v>444</v>
      </c>
      <c r="F1472" s="4">
        <v>39062</v>
      </c>
      <c r="G1472" s="11">
        <v>0</v>
      </c>
      <c r="H1472" s="11">
        <v>0</v>
      </c>
    </row>
    <row r="1473" spans="1:8" x14ac:dyDescent="0.2">
      <c r="A1473" t="s">
        <v>607</v>
      </c>
      <c r="B1473" s="1" t="s">
        <v>2572</v>
      </c>
      <c r="C1473" s="11">
        <v>0</v>
      </c>
      <c r="D1473" t="s">
        <v>685</v>
      </c>
      <c r="E1473" t="s">
        <v>888</v>
      </c>
      <c r="F1473" s="4">
        <v>39793</v>
      </c>
      <c r="G1473" s="11">
        <v>0</v>
      </c>
      <c r="H1473" s="11">
        <v>0</v>
      </c>
    </row>
    <row r="1474" spans="1:8" x14ac:dyDescent="0.2">
      <c r="A1474" t="s">
        <v>2756</v>
      </c>
      <c r="B1474" s="1" t="s">
        <v>2116</v>
      </c>
      <c r="C1474" s="11">
        <v>500000</v>
      </c>
      <c r="D1474" t="s">
        <v>685</v>
      </c>
      <c r="E1474" t="s">
        <v>888</v>
      </c>
      <c r="F1474" s="4">
        <v>39930</v>
      </c>
      <c r="G1474" s="11">
        <v>0</v>
      </c>
      <c r="H1474" s="11">
        <v>500000</v>
      </c>
    </row>
    <row r="1475" spans="1:8" x14ac:dyDescent="0.2">
      <c r="A1475" t="s">
        <v>4132</v>
      </c>
      <c r="B1475" s="1" t="s">
        <v>3866</v>
      </c>
      <c r="C1475" s="11">
        <v>350000</v>
      </c>
      <c r="D1475" t="s">
        <v>685</v>
      </c>
      <c r="E1475" t="s">
        <v>3008</v>
      </c>
      <c r="F1475" s="4">
        <v>40532</v>
      </c>
      <c r="G1475" s="11">
        <v>0</v>
      </c>
      <c r="H1475" s="11">
        <v>350000</v>
      </c>
    </row>
    <row r="1476" spans="1:8" x14ac:dyDescent="0.2">
      <c r="A1476" t="s">
        <v>3867</v>
      </c>
      <c r="B1476" s="1" t="s">
        <v>3868</v>
      </c>
      <c r="C1476" s="11">
        <v>250000</v>
      </c>
      <c r="D1476" t="s">
        <v>685</v>
      </c>
      <c r="E1476" t="s">
        <v>3008</v>
      </c>
      <c r="F1476" s="4">
        <v>40532</v>
      </c>
      <c r="G1476" s="11">
        <v>0</v>
      </c>
      <c r="H1476" s="11">
        <v>250000</v>
      </c>
    </row>
    <row r="1477" spans="1:8" x14ac:dyDescent="0.2">
      <c r="A1477" t="s">
        <v>4582</v>
      </c>
      <c r="B1477" s="1" t="s">
        <v>4583</v>
      </c>
      <c r="C1477" s="11">
        <v>2500000</v>
      </c>
      <c r="D1477" t="s">
        <v>685</v>
      </c>
      <c r="E1477" t="s">
        <v>3031</v>
      </c>
      <c r="F1477" s="4">
        <v>41316</v>
      </c>
      <c r="G1477" s="11">
        <v>0</v>
      </c>
      <c r="H1477" s="11">
        <v>2500000</v>
      </c>
    </row>
    <row r="1478" spans="1:8" x14ac:dyDescent="0.2">
      <c r="A1478" t="s">
        <v>4584</v>
      </c>
      <c r="B1478" s="1" t="s">
        <v>4585</v>
      </c>
      <c r="C1478" s="11">
        <v>2500000</v>
      </c>
      <c r="D1478" t="s">
        <v>685</v>
      </c>
      <c r="E1478" t="s">
        <v>444</v>
      </c>
      <c r="F1478" s="4">
        <v>41316</v>
      </c>
      <c r="G1478" s="11">
        <v>0</v>
      </c>
      <c r="H1478" s="11">
        <v>2500000</v>
      </c>
    </row>
    <row r="1479" spans="1:8" x14ac:dyDescent="0.2">
      <c r="A1479" t="s">
        <v>3219</v>
      </c>
      <c r="B1479" s="1" t="s">
        <v>250</v>
      </c>
      <c r="C1479" s="11">
        <v>0</v>
      </c>
      <c r="D1479" t="s">
        <v>685</v>
      </c>
      <c r="E1479" t="s">
        <v>885</v>
      </c>
      <c r="F1479" s="4">
        <v>38426</v>
      </c>
      <c r="G1479" s="11">
        <v>0</v>
      </c>
      <c r="H1479" s="11">
        <v>0</v>
      </c>
    </row>
    <row r="1480" spans="1:8" x14ac:dyDescent="0.2">
      <c r="A1480" t="s">
        <v>3220</v>
      </c>
      <c r="B1480" s="1" t="s">
        <v>3221</v>
      </c>
      <c r="C1480" s="11">
        <v>0</v>
      </c>
      <c r="D1480" t="s">
        <v>685</v>
      </c>
      <c r="E1480" t="s">
        <v>3008</v>
      </c>
      <c r="F1480" s="4">
        <v>40393</v>
      </c>
      <c r="G1480" s="11">
        <v>0</v>
      </c>
      <c r="H1480" s="11">
        <v>0</v>
      </c>
    </row>
    <row r="1481" spans="1:8" x14ac:dyDescent="0.2">
      <c r="A1481" t="s">
        <v>4082</v>
      </c>
      <c r="B1481" s="1" t="s">
        <v>3870</v>
      </c>
      <c r="C1481" s="11">
        <v>0</v>
      </c>
      <c r="D1481" t="s">
        <v>685</v>
      </c>
      <c r="E1481" t="s">
        <v>3031</v>
      </c>
      <c r="F1481" s="4">
        <v>40532</v>
      </c>
      <c r="G1481" s="11">
        <v>0</v>
      </c>
      <c r="H1481" s="11">
        <v>0</v>
      </c>
    </row>
    <row r="1482" spans="1:8" x14ac:dyDescent="0.2">
      <c r="A1482" t="s">
        <v>4378</v>
      </c>
      <c r="B1482" s="1" t="s">
        <v>2897</v>
      </c>
      <c r="C1482" s="11">
        <v>0</v>
      </c>
      <c r="D1482" t="s">
        <v>685</v>
      </c>
      <c r="E1482" t="s">
        <v>888</v>
      </c>
      <c r="F1482" s="4">
        <v>40316</v>
      </c>
      <c r="G1482" s="11">
        <v>0</v>
      </c>
      <c r="H1482" s="11">
        <v>0</v>
      </c>
    </row>
    <row r="1483" spans="1:8" x14ac:dyDescent="0.2">
      <c r="A1483" t="s">
        <v>4379</v>
      </c>
      <c r="B1483" s="1" t="s">
        <v>3876</v>
      </c>
      <c r="C1483" s="11">
        <v>0</v>
      </c>
      <c r="D1483" t="s">
        <v>685</v>
      </c>
      <c r="E1483" t="s">
        <v>3031</v>
      </c>
      <c r="F1483" s="4">
        <v>40546</v>
      </c>
      <c r="G1483" s="11">
        <v>0</v>
      </c>
      <c r="H1483" s="11">
        <v>0</v>
      </c>
    </row>
    <row r="1484" spans="1:8" x14ac:dyDescent="0.2">
      <c r="A1484" t="s">
        <v>4380</v>
      </c>
      <c r="B1484" s="1" t="s">
        <v>3216</v>
      </c>
      <c r="C1484" s="11">
        <v>0</v>
      </c>
      <c r="D1484" t="s">
        <v>685</v>
      </c>
      <c r="E1484" t="s">
        <v>888</v>
      </c>
      <c r="F1484" s="4">
        <v>40345</v>
      </c>
      <c r="G1484" s="11">
        <v>0</v>
      </c>
      <c r="H1484" s="11">
        <v>0</v>
      </c>
    </row>
    <row r="1485" spans="1:8" x14ac:dyDescent="0.2">
      <c r="A1485" t="s">
        <v>4381</v>
      </c>
      <c r="B1485" s="1" t="s">
        <v>3217</v>
      </c>
      <c r="C1485" s="11">
        <v>0</v>
      </c>
      <c r="D1485" t="s">
        <v>685</v>
      </c>
      <c r="E1485" t="s">
        <v>888</v>
      </c>
      <c r="F1485" s="4">
        <v>40436</v>
      </c>
      <c r="G1485" s="11">
        <v>0</v>
      </c>
      <c r="H1485" s="11">
        <v>0</v>
      </c>
    </row>
    <row r="1486" spans="1:8" x14ac:dyDescent="0.2">
      <c r="A1486" t="s">
        <v>4464</v>
      </c>
      <c r="B1486" s="1" t="s">
        <v>3874</v>
      </c>
      <c r="C1486" s="11">
        <v>0</v>
      </c>
      <c r="D1486" t="s">
        <v>685</v>
      </c>
      <c r="E1486" t="s">
        <v>3031</v>
      </c>
      <c r="F1486" s="4">
        <v>40546</v>
      </c>
      <c r="G1486" s="11">
        <v>0</v>
      </c>
      <c r="H1486" s="11">
        <v>0</v>
      </c>
    </row>
    <row r="1487" spans="1:8" x14ac:dyDescent="0.2">
      <c r="A1487" t="s">
        <v>4427</v>
      </c>
      <c r="B1487" s="1" t="s">
        <v>3878</v>
      </c>
      <c r="C1487" s="11">
        <v>750000</v>
      </c>
      <c r="D1487" t="s">
        <v>3879</v>
      </c>
      <c r="E1487" t="s">
        <v>3031</v>
      </c>
      <c r="F1487" s="4">
        <v>40546</v>
      </c>
      <c r="G1487" s="11">
        <v>0</v>
      </c>
      <c r="H1487" s="11">
        <v>750000</v>
      </c>
    </row>
    <row r="1488" spans="1:8" x14ac:dyDescent="0.2">
      <c r="A1488" t="s">
        <v>4586</v>
      </c>
      <c r="B1488" s="1" t="s">
        <v>4587</v>
      </c>
      <c r="C1488" s="11">
        <v>2400000</v>
      </c>
      <c r="D1488" t="s">
        <v>3879</v>
      </c>
      <c r="E1488" t="s">
        <v>3031</v>
      </c>
      <c r="F1488" s="4">
        <v>41316</v>
      </c>
      <c r="G1488" s="11">
        <v>0</v>
      </c>
      <c r="H1488" s="11">
        <v>2400000</v>
      </c>
    </row>
    <row r="1489" spans="1:8" x14ac:dyDescent="0.2">
      <c r="A1489" t="s">
        <v>267</v>
      </c>
      <c r="B1489" s="1" t="s">
        <v>268</v>
      </c>
      <c r="C1489" s="11">
        <v>10000000</v>
      </c>
      <c r="D1489" t="s">
        <v>269</v>
      </c>
      <c r="E1489" t="s">
        <v>1560</v>
      </c>
      <c r="G1489" s="11">
        <v>10000000</v>
      </c>
      <c r="H1489" s="11">
        <v>0</v>
      </c>
    </row>
    <row r="1490" spans="1:8" x14ac:dyDescent="0.2">
      <c r="A1490" t="s">
        <v>291</v>
      </c>
      <c r="B1490" s="1" t="s">
        <v>292</v>
      </c>
      <c r="C1490" s="11">
        <v>5000000</v>
      </c>
      <c r="D1490" t="s">
        <v>269</v>
      </c>
      <c r="E1490" t="s">
        <v>1577</v>
      </c>
      <c r="F1490" s="4">
        <v>34151</v>
      </c>
      <c r="G1490" s="11">
        <v>5000000</v>
      </c>
      <c r="H1490" s="11">
        <v>0</v>
      </c>
    </row>
    <row r="1491" spans="1:8" x14ac:dyDescent="0.2">
      <c r="A1491" t="s">
        <v>340</v>
      </c>
      <c r="B1491" s="1" t="s">
        <v>341</v>
      </c>
      <c r="C1491" s="11">
        <v>2850000</v>
      </c>
      <c r="D1491" t="s">
        <v>269</v>
      </c>
      <c r="E1491" t="s">
        <v>290</v>
      </c>
      <c r="F1491" s="4">
        <v>34151</v>
      </c>
      <c r="G1491" s="11">
        <v>2850000</v>
      </c>
      <c r="H1491" s="11">
        <v>0</v>
      </c>
    </row>
    <row r="1492" spans="1:8" x14ac:dyDescent="0.2">
      <c r="A1492" t="s">
        <v>1772</v>
      </c>
      <c r="B1492" s="1" t="s">
        <v>1344</v>
      </c>
      <c r="C1492" s="11">
        <v>0</v>
      </c>
      <c r="D1492" t="s">
        <v>269</v>
      </c>
      <c r="E1492" t="s">
        <v>313</v>
      </c>
      <c r="F1492" s="4">
        <v>34151</v>
      </c>
      <c r="G1492" s="11">
        <v>0</v>
      </c>
      <c r="H1492" s="11">
        <v>0</v>
      </c>
    </row>
    <row r="1493" spans="1:8" x14ac:dyDescent="0.2">
      <c r="A1493" t="s">
        <v>2005</v>
      </c>
      <c r="B1493" s="1" t="s">
        <v>2006</v>
      </c>
      <c r="C1493" s="11">
        <v>4500000</v>
      </c>
      <c r="D1493" t="s">
        <v>269</v>
      </c>
      <c r="E1493" t="s">
        <v>969</v>
      </c>
      <c r="F1493" s="4">
        <v>36510</v>
      </c>
      <c r="G1493" s="11">
        <v>1406885</v>
      </c>
      <c r="H1493" s="11">
        <v>3093115</v>
      </c>
    </row>
    <row r="1494" spans="1:8" x14ac:dyDescent="0.2">
      <c r="A1494" t="s">
        <v>2456</v>
      </c>
      <c r="B1494" s="1" t="s">
        <v>2457</v>
      </c>
      <c r="C1494" s="11">
        <v>3000000</v>
      </c>
      <c r="D1494" t="s">
        <v>269</v>
      </c>
      <c r="E1494" t="s">
        <v>885</v>
      </c>
      <c r="F1494" s="4">
        <v>38219</v>
      </c>
      <c r="G1494" s="11">
        <v>3000000</v>
      </c>
      <c r="H1494" s="11">
        <v>0</v>
      </c>
    </row>
    <row r="1495" spans="1:8" x14ac:dyDescent="0.2">
      <c r="A1495" t="s">
        <v>1501</v>
      </c>
      <c r="B1495" s="1" t="s">
        <v>233</v>
      </c>
      <c r="C1495" s="11">
        <v>3000000</v>
      </c>
      <c r="D1495" t="s">
        <v>269</v>
      </c>
      <c r="E1495" t="s">
        <v>885</v>
      </c>
      <c r="F1495" s="4">
        <v>38219</v>
      </c>
      <c r="G1495" s="11">
        <v>2754932</v>
      </c>
      <c r="H1495" s="11">
        <v>245068</v>
      </c>
    </row>
    <row r="1496" spans="1:8" x14ac:dyDescent="0.2">
      <c r="A1496" t="s">
        <v>1502</v>
      </c>
      <c r="B1496" s="1" t="s">
        <v>234</v>
      </c>
      <c r="C1496" s="11">
        <v>3000000</v>
      </c>
      <c r="D1496" t="s">
        <v>269</v>
      </c>
      <c r="E1496" t="s">
        <v>885</v>
      </c>
      <c r="F1496" s="4">
        <v>38219</v>
      </c>
      <c r="G1496" s="11">
        <v>1744120</v>
      </c>
      <c r="H1496" s="11">
        <v>1255880</v>
      </c>
    </row>
    <row r="1497" spans="1:8" x14ac:dyDescent="0.2">
      <c r="A1497" t="s">
        <v>3880</v>
      </c>
      <c r="B1497" s="1" t="s">
        <v>3542</v>
      </c>
      <c r="C1497" s="11">
        <v>2000000</v>
      </c>
      <c r="D1497" t="s">
        <v>269</v>
      </c>
      <c r="E1497" t="s">
        <v>885</v>
      </c>
      <c r="F1497" s="4">
        <v>40472</v>
      </c>
      <c r="G1497" s="11">
        <v>0</v>
      </c>
      <c r="H1497" s="11">
        <v>2000000</v>
      </c>
    </row>
    <row r="1498" spans="1:8" x14ac:dyDescent="0.2">
      <c r="A1498" t="s">
        <v>1345</v>
      </c>
      <c r="B1498" s="1" t="s">
        <v>2459</v>
      </c>
      <c r="C1498" s="11">
        <v>1000000</v>
      </c>
      <c r="D1498" t="s">
        <v>269</v>
      </c>
      <c r="E1498" t="s">
        <v>969</v>
      </c>
      <c r="F1498" s="4">
        <v>37746</v>
      </c>
      <c r="G1498" s="11">
        <v>1000000</v>
      </c>
      <c r="H1498" s="11">
        <v>0</v>
      </c>
    </row>
    <row r="1499" spans="1:8" x14ac:dyDescent="0.2">
      <c r="A1499" t="s">
        <v>2458</v>
      </c>
      <c r="B1499" s="1" t="s">
        <v>2460</v>
      </c>
      <c r="C1499" s="11">
        <v>1000000</v>
      </c>
      <c r="D1499" t="s">
        <v>269</v>
      </c>
      <c r="E1499" t="s">
        <v>969</v>
      </c>
      <c r="F1499" s="4">
        <v>38101</v>
      </c>
      <c r="G1499" s="11">
        <v>1000000</v>
      </c>
      <c r="H1499" s="11">
        <v>0</v>
      </c>
    </row>
    <row r="1500" spans="1:8" x14ac:dyDescent="0.2">
      <c r="A1500" t="s">
        <v>4083</v>
      </c>
      <c r="B1500" s="1" t="s">
        <v>3896</v>
      </c>
      <c r="C1500" s="11">
        <v>250000</v>
      </c>
      <c r="D1500" t="s">
        <v>269</v>
      </c>
      <c r="E1500" t="s">
        <v>3031</v>
      </c>
      <c r="F1500" s="4">
        <v>40553</v>
      </c>
      <c r="G1500" s="11">
        <v>193750</v>
      </c>
      <c r="H1500" s="11">
        <v>56250</v>
      </c>
    </row>
    <row r="1501" spans="1:8" x14ac:dyDescent="0.2">
      <c r="A1501" t="s">
        <v>2467</v>
      </c>
      <c r="B1501" s="1" t="s">
        <v>2468</v>
      </c>
      <c r="C1501" s="11">
        <v>2500000</v>
      </c>
      <c r="D1501" t="s">
        <v>269</v>
      </c>
      <c r="E1501" t="s">
        <v>885</v>
      </c>
      <c r="F1501" s="4">
        <v>38219</v>
      </c>
      <c r="G1501" s="11">
        <v>2500000</v>
      </c>
      <c r="H1501" s="11">
        <v>0</v>
      </c>
    </row>
    <row r="1502" spans="1:8" x14ac:dyDescent="0.2">
      <c r="A1502" t="s">
        <v>1885</v>
      </c>
      <c r="B1502" s="1" t="s">
        <v>1886</v>
      </c>
      <c r="C1502" s="11">
        <v>0</v>
      </c>
      <c r="D1502" t="s">
        <v>269</v>
      </c>
      <c r="E1502" t="s">
        <v>885</v>
      </c>
      <c r="F1502" s="4">
        <v>39170</v>
      </c>
      <c r="G1502" s="11">
        <v>0</v>
      </c>
      <c r="H1502" s="11">
        <v>0</v>
      </c>
    </row>
    <row r="1503" spans="1:8" x14ac:dyDescent="0.2">
      <c r="A1503" t="s">
        <v>2527</v>
      </c>
      <c r="B1503" s="1" t="s">
        <v>2528</v>
      </c>
      <c r="C1503" s="11">
        <v>1800000</v>
      </c>
      <c r="D1503" t="s">
        <v>269</v>
      </c>
      <c r="E1503" t="s">
        <v>885</v>
      </c>
      <c r="F1503" s="4">
        <v>38421</v>
      </c>
      <c r="G1503" s="11">
        <v>1800000</v>
      </c>
      <c r="H1503" s="11">
        <v>0</v>
      </c>
    </row>
    <row r="1504" spans="1:8" x14ac:dyDescent="0.2">
      <c r="A1504" t="s">
        <v>179</v>
      </c>
      <c r="B1504" s="1" t="s">
        <v>180</v>
      </c>
      <c r="C1504" s="11">
        <v>2000000</v>
      </c>
      <c r="D1504" t="s">
        <v>269</v>
      </c>
      <c r="E1504" t="s">
        <v>885</v>
      </c>
      <c r="F1504" s="4">
        <v>38421</v>
      </c>
      <c r="G1504" s="11">
        <v>2000000</v>
      </c>
      <c r="H1504" s="11">
        <v>0</v>
      </c>
    </row>
    <row r="1505" spans="1:8" x14ac:dyDescent="0.2">
      <c r="A1505" t="s">
        <v>2151</v>
      </c>
      <c r="B1505" s="1" t="s">
        <v>1197</v>
      </c>
      <c r="C1505" s="11">
        <v>200000</v>
      </c>
      <c r="D1505" t="s">
        <v>269</v>
      </c>
      <c r="E1505" t="s">
        <v>888</v>
      </c>
      <c r="F1505" s="4">
        <v>39736</v>
      </c>
      <c r="G1505" s="11">
        <v>200000</v>
      </c>
      <c r="H1505" s="11">
        <v>0</v>
      </c>
    </row>
    <row r="1506" spans="1:8" x14ac:dyDescent="0.2">
      <c r="A1506" t="s">
        <v>2152</v>
      </c>
      <c r="B1506" s="1" t="s">
        <v>2574</v>
      </c>
      <c r="C1506" s="11">
        <v>100000</v>
      </c>
      <c r="D1506" t="s">
        <v>269</v>
      </c>
      <c r="E1506" t="s">
        <v>888</v>
      </c>
      <c r="F1506" s="4">
        <v>39793</v>
      </c>
      <c r="G1506" s="11">
        <v>100000</v>
      </c>
      <c r="H1506" s="11">
        <v>0</v>
      </c>
    </row>
    <row r="1507" spans="1:8" x14ac:dyDescent="0.2">
      <c r="A1507" t="s">
        <v>113</v>
      </c>
      <c r="B1507" s="1" t="s">
        <v>114</v>
      </c>
      <c r="C1507" s="11">
        <v>200000</v>
      </c>
      <c r="D1507" t="s">
        <v>269</v>
      </c>
      <c r="E1507" t="s">
        <v>888</v>
      </c>
      <c r="F1507" s="4">
        <v>40213</v>
      </c>
      <c r="G1507" s="11">
        <v>200000</v>
      </c>
      <c r="H1507" s="11">
        <v>0</v>
      </c>
    </row>
    <row r="1508" spans="1:8" x14ac:dyDescent="0.2">
      <c r="A1508" t="s">
        <v>448</v>
      </c>
      <c r="B1508" s="1" t="s">
        <v>2153</v>
      </c>
      <c r="C1508" s="11">
        <v>2000000</v>
      </c>
      <c r="D1508" t="s">
        <v>269</v>
      </c>
      <c r="E1508" t="s">
        <v>969</v>
      </c>
      <c r="F1508" s="4">
        <v>37727</v>
      </c>
      <c r="G1508" s="11">
        <v>0</v>
      </c>
      <c r="H1508" s="11">
        <v>2000000</v>
      </c>
    </row>
    <row r="1509" spans="1:8" x14ac:dyDescent="0.2">
      <c r="A1509" t="s">
        <v>967</v>
      </c>
      <c r="B1509" s="1" t="s">
        <v>968</v>
      </c>
      <c r="C1509" s="11">
        <v>200000</v>
      </c>
      <c r="D1509" t="s">
        <v>269</v>
      </c>
      <c r="E1509" t="s">
        <v>969</v>
      </c>
      <c r="F1509" s="4">
        <v>39930</v>
      </c>
      <c r="G1509" s="11">
        <v>0</v>
      </c>
      <c r="H1509" s="11">
        <v>200000</v>
      </c>
    </row>
    <row r="1510" spans="1:8" x14ac:dyDescent="0.2">
      <c r="A1510" t="s">
        <v>970</v>
      </c>
      <c r="B1510" s="1" t="s">
        <v>4133</v>
      </c>
      <c r="C1510" s="11">
        <v>500000</v>
      </c>
      <c r="D1510" t="s">
        <v>269</v>
      </c>
      <c r="E1510" t="s">
        <v>969</v>
      </c>
      <c r="F1510" s="4">
        <v>39930</v>
      </c>
      <c r="G1510" s="11">
        <v>0</v>
      </c>
      <c r="H1510" s="11">
        <v>500000</v>
      </c>
    </row>
    <row r="1511" spans="1:8" x14ac:dyDescent="0.2">
      <c r="A1511" t="s">
        <v>3881</v>
      </c>
      <c r="B1511" s="1" t="s">
        <v>3230</v>
      </c>
      <c r="C1511" s="11">
        <v>2000000</v>
      </c>
      <c r="D1511" t="s">
        <v>269</v>
      </c>
      <c r="E1511" t="s">
        <v>969</v>
      </c>
      <c r="F1511" s="4">
        <v>40401</v>
      </c>
      <c r="G1511" s="11">
        <v>0</v>
      </c>
      <c r="H1511" s="11">
        <v>2000000</v>
      </c>
    </row>
    <row r="1512" spans="1:8" x14ac:dyDescent="0.2">
      <c r="A1512" t="s">
        <v>1842</v>
      </c>
      <c r="B1512" s="1" t="s">
        <v>1530</v>
      </c>
      <c r="C1512" s="11">
        <v>500000</v>
      </c>
      <c r="D1512" t="s">
        <v>269</v>
      </c>
      <c r="E1512" t="s">
        <v>516</v>
      </c>
      <c r="F1512" s="4">
        <v>38842</v>
      </c>
      <c r="G1512" s="11">
        <v>500000</v>
      </c>
      <c r="H1512" s="11">
        <v>0</v>
      </c>
    </row>
    <row r="1513" spans="1:8" x14ac:dyDescent="0.2">
      <c r="A1513" t="s">
        <v>2184</v>
      </c>
      <c r="B1513" s="1" t="s">
        <v>1927</v>
      </c>
      <c r="C1513" s="11">
        <v>2500000</v>
      </c>
      <c r="D1513" t="s">
        <v>269</v>
      </c>
      <c r="E1513" t="s">
        <v>444</v>
      </c>
      <c r="F1513" s="4">
        <v>39097</v>
      </c>
      <c r="G1513" s="11">
        <v>0</v>
      </c>
      <c r="H1513" s="11">
        <v>2500000</v>
      </c>
    </row>
    <row r="1514" spans="1:8" x14ac:dyDescent="0.2">
      <c r="A1514" t="s">
        <v>2185</v>
      </c>
      <c r="B1514" s="1" t="s">
        <v>1928</v>
      </c>
      <c r="C1514" s="11">
        <v>500000</v>
      </c>
      <c r="D1514" t="s">
        <v>269</v>
      </c>
      <c r="E1514" t="s">
        <v>444</v>
      </c>
      <c r="F1514" s="4">
        <v>39246</v>
      </c>
      <c r="G1514" s="11">
        <v>0</v>
      </c>
      <c r="H1514" s="11">
        <v>500000</v>
      </c>
    </row>
    <row r="1515" spans="1:8" x14ac:dyDescent="0.2">
      <c r="A1515" t="s">
        <v>551</v>
      </c>
      <c r="B1515" s="1" t="s">
        <v>1451</v>
      </c>
      <c r="C1515" s="11">
        <v>1000000</v>
      </c>
      <c r="D1515" t="s">
        <v>269</v>
      </c>
      <c r="E1515" t="s">
        <v>885</v>
      </c>
      <c r="F1515" s="4">
        <v>38791</v>
      </c>
      <c r="G1515" s="11">
        <v>1000000</v>
      </c>
      <c r="H1515" s="11">
        <v>0</v>
      </c>
    </row>
    <row r="1516" spans="1:8" x14ac:dyDescent="0.2">
      <c r="A1516" t="s">
        <v>732</v>
      </c>
      <c r="B1516" s="1" t="s">
        <v>1495</v>
      </c>
      <c r="C1516" s="11">
        <v>1000000</v>
      </c>
      <c r="D1516" t="s">
        <v>269</v>
      </c>
      <c r="E1516" t="s">
        <v>885</v>
      </c>
      <c r="F1516" s="4">
        <v>38944</v>
      </c>
      <c r="G1516" s="11">
        <v>1000000</v>
      </c>
      <c r="H1516" s="11">
        <v>0</v>
      </c>
    </row>
    <row r="1517" spans="1:8" x14ac:dyDescent="0.2">
      <c r="A1517" t="s">
        <v>733</v>
      </c>
      <c r="B1517" s="1" t="s">
        <v>1496</v>
      </c>
      <c r="C1517" s="11">
        <v>1000000</v>
      </c>
      <c r="D1517" t="s">
        <v>269</v>
      </c>
      <c r="E1517" t="s">
        <v>885</v>
      </c>
      <c r="F1517" s="4">
        <v>38974</v>
      </c>
      <c r="G1517" s="11">
        <v>1000000</v>
      </c>
      <c r="H1517" s="11">
        <v>0</v>
      </c>
    </row>
    <row r="1518" spans="1:8" x14ac:dyDescent="0.2">
      <c r="A1518" t="s">
        <v>734</v>
      </c>
      <c r="B1518" s="1" t="s">
        <v>1497</v>
      </c>
      <c r="C1518" s="11">
        <v>2000000</v>
      </c>
      <c r="D1518" t="s">
        <v>269</v>
      </c>
      <c r="E1518" t="s">
        <v>885</v>
      </c>
      <c r="F1518" s="4">
        <v>39062</v>
      </c>
      <c r="G1518" s="11">
        <v>2000000</v>
      </c>
      <c r="H1518" s="11">
        <v>0</v>
      </c>
    </row>
    <row r="1519" spans="1:8" x14ac:dyDescent="0.2">
      <c r="A1519" t="s">
        <v>1086</v>
      </c>
      <c r="B1519" s="1" t="s">
        <v>1087</v>
      </c>
      <c r="C1519" s="11">
        <v>100000</v>
      </c>
      <c r="D1519" t="s">
        <v>269</v>
      </c>
      <c r="E1519" t="s">
        <v>885</v>
      </c>
      <c r="F1519" s="4">
        <v>39945</v>
      </c>
      <c r="G1519" s="11">
        <v>0</v>
      </c>
      <c r="H1519" s="11">
        <v>100000</v>
      </c>
    </row>
    <row r="1520" spans="1:8" x14ac:dyDescent="0.2">
      <c r="A1520" t="s">
        <v>3882</v>
      </c>
      <c r="B1520" s="1" t="s">
        <v>3883</v>
      </c>
      <c r="C1520" s="11">
        <v>250000</v>
      </c>
      <c r="D1520" t="s">
        <v>269</v>
      </c>
      <c r="E1520" t="s">
        <v>3031</v>
      </c>
      <c r="F1520" s="4">
        <v>40553</v>
      </c>
      <c r="G1520" s="11">
        <v>0</v>
      </c>
      <c r="H1520" s="11">
        <v>250000</v>
      </c>
    </row>
    <row r="1521" spans="1:8" x14ac:dyDescent="0.2">
      <c r="A1521" t="s">
        <v>863</v>
      </c>
      <c r="B1521" s="1" t="s">
        <v>3884</v>
      </c>
      <c r="C1521" s="11">
        <v>2000000</v>
      </c>
      <c r="D1521" t="s">
        <v>269</v>
      </c>
      <c r="E1521" t="s">
        <v>444</v>
      </c>
      <c r="F1521" s="4">
        <v>39097</v>
      </c>
      <c r="G1521" s="11">
        <v>2000000</v>
      </c>
      <c r="H1521" s="11">
        <v>0</v>
      </c>
    </row>
    <row r="1522" spans="1:8" x14ac:dyDescent="0.2">
      <c r="A1522" t="s">
        <v>920</v>
      </c>
      <c r="B1522" s="1" t="s">
        <v>760</v>
      </c>
      <c r="C1522" s="11">
        <v>1250000</v>
      </c>
      <c r="D1522" t="s">
        <v>269</v>
      </c>
      <c r="E1522" t="s">
        <v>444</v>
      </c>
      <c r="F1522" s="4">
        <v>39736</v>
      </c>
      <c r="G1522" s="11">
        <v>1250000</v>
      </c>
      <c r="H1522" s="11">
        <v>0</v>
      </c>
    </row>
    <row r="1523" spans="1:8" x14ac:dyDescent="0.2">
      <c r="A1523" t="s">
        <v>761</v>
      </c>
      <c r="B1523" s="1" t="s">
        <v>762</v>
      </c>
      <c r="C1523" s="11">
        <v>1000000</v>
      </c>
      <c r="D1523" t="s">
        <v>269</v>
      </c>
      <c r="E1523" t="s">
        <v>444</v>
      </c>
      <c r="F1523" s="4">
        <v>39856</v>
      </c>
      <c r="G1523" s="11">
        <v>1000000</v>
      </c>
      <c r="H1523" s="11">
        <v>0</v>
      </c>
    </row>
    <row r="1524" spans="1:8" x14ac:dyDescent="0.2">
      <c r="A1524" t="s">
        <v>115</v>
      </c>
      <c r="B1524" s="1" t="s">
        <v>116</v>
      </c>
      <c r="C1524" s="11">
        <v>200000</v>
      </c>
      <c r="D1524" t="s">
        <v>269</v>
      </c>
      <c r="E1524" t="s">
        <v>888</v>
      </c>
      <c r="F1524" s="4">
        <v>40213</v>
      </c>
      <c r="G1524" s="11">
        <v>200000</v>
      </c>
      <c r="H1524" s="11">
        <v>0</v>
      </c>
    </row>
    <row r="1525" spans="1:8" x14ac:dyDescent="0.2">
      <c r="A1525" t="s">
        <v>3885</v>
      </c>
      <c r="B1525" s="1" t="s">
        <v>3884</v>
      </c>
      <c r="C1525" s="11">
        <v>500000</v>
      </c>
      <c r="D1525" t="s">
        <v>269</v>
      </c>
      <c r="G1525" s="11">
        <v>500000</v>
      </c>
      <c r="H1525" s="11">
        <v>0</v>
      </c>
    </row>
    <row r="1526" spans="1:8" x14ac:dyDescent="0.2">
      <c r="A1526" t="s">
        <v>1088</v>
      </c>
      <c r="B1526" s="1" t="s">
        <v>1282</v>
      </c>
      <c r="C1526" s="11">
        <v>5000000</v>
      </c>
      <c r="D1526" t="s">
        <v>269</v>
      </c>
      <c r="E1526" t="s">
        <v>516</v>
      </c>
      <c r="F1526" s="4">
        <v>39062</v>
      </c>
      <c r="G1526" s="11">
        <v>5000000</v>
      </c>
      <c r="H1526" s="11">
        <v>0</v>
      </c>
    </row>
    <row r="1527" spans="1:8" x14ac:dyDescent="0.2">
      <c r="A1527" t="s">
        <v>2757</v>
      </c>
      <c r="B1527" s="1" t="s">
        <v>927</v>
      </c>
      <c r="C1527" s="11">
        <v>5000000</v>
      </c>
      <c r="D1527" t="s">
        <v>269</v>
      </c>
      <c r="E1527" t="s">
        <v>888</v>
      </c>
      <c r="F1527" s="4">
        <v>39688</v>
      </c>
      <c r="G1527" s="11">
        <v>5000000</v>
      </c>
      <c r="H1527" s="11">
        <v>0</v>
      </c>
    </row>
    <row r="1528" spans="1:8" x14ac:dyDescent="0.2">
      <c r="A1528" t="s">
        <v>2758</v>
      </c>
      <c r="B1528" s="1" t="s">
        <v>928</v>
      </c>
      <c r="C1528" s="11">
        <v>500000</v>
      </c>
      <c r="D1528" t="s">
        <v>269</v>
      </c>
      <c r="E1528" t="s">
        <v>888</v>
      </c>
      <c r="F1528" s="4">
        <v>39717</v>
      </c>
      <c r="G1528" s="11">
        <v>500000</v>
      </c>
      <c r="H1528" s="11">
        <v>0</v>
      </c>
    </row>
    <row r="1529" spans="1:8" x14ac:dyDescent="0.2">
      <c r="A1529" t="s">
        <v>2759</v>
      </c>
      <c r="B1529" s="1" t="s">
        <v>929</v>
      </c>
      <c r="C1529" s="11">
        <v>500000</v>
      </c>
      <c r="D1529" t="s">
        <v>269</v>
      </c>
      <c r="E1529" t="s">
        <v>888</v>
      </c>
      <c r="F1529" s="4">
        <v>39717</v>
      </c>
      <c r="G1529" s="11">
        <v>500000</v>
      </c>
      <c r="H1529" s="11">
        <v>0</v>
      </c>
    </row>
    <row r="1530" spans="1:8" x14ac:dyDescent="0.2">
      <c r="A1530" t="s">
        <v>2760</v>
      </c>
      <c r="B1530" s="1" t="s">
        <v>996</v>
      </c>
      <c r="C1530" s="11">
        <v>250000</v>
      </c>
      <c r="D1530" t="s">
        <v>269</v>
      </c>
      <c r="E1530" t="s">
        <v>888</v>
      </c>
      <c r="F1530" s="4">
        <v>39930</v>
      </c>
      <c r="G1530" s="11">
        <v>186026</v>
      </c>
      <c r="H1530" s="11">
        <v>63974</v>
      </c>
    </row>
    <row r="1531" spans="1:8" x14ac:dyDescent="0.2">
      <c r="A1531" t="s">
        <v>2761</v>
      </c>
      <c r="B1531" s="1" t="s">
        <v>122</v>
      </c>
      <c r="C1531" s="11">
        <v>750000</v>
      </c>
      <c r="D1531" t="s">
        <v>269</v>
      </c>
      <c r="E1531" t="s">
        <v>516</v>
      </c>
      <c r="F1531" s="4">
        <v>40260</v>
      </c>
      <c r="G1531" s="11">
        <v>683974</v>
      </c>
      <c r="H1531" s="11">
        <v>66026</v>
      </c>
    </row>
    <row r="1532" spans="1:8" x14ac:dyDescent="0.2">
      <c r="A1532" t="s">
        <v>4494</v>
      </c>
      <c r="B1532" s="1" t="s">
        <v>4495</v>
      </c>
      <c r="C1532" s="11">
        <v>500000</v>
      </c>
      <c r="D1532" t="s">
        <v>269</v>
      </c>
      <c r="E1532" t="s">
        <v>3031</v>
      </c>
      <c r="F1532" s="4">
        <v>40497</v>
      </c>
      <c r="G1532" s="11">
        <v>0</v>
      </c>
      <c r="H1532" s="11">
        <v>500000</v>
      </c>
    </row>
    <row r="1533" spans="1:8" x14ac:dyDescent="0.2">
      <c r="A1533" t="s">
        <v>1089</v>
      </c>
      <c r="B1533" s="1" t="s">
        <v>1155</v>
      </c>
      <c r="C1533" s="11">
        <v>1022083</v>
      </c>
      <c r="D1533" t="s">
        <v>269</v>
      </c>
      <c r="E1533" t="s">
        <v>888</v>
      </c>
      <c r="F1533" s="4">
        <v>39688</v>
      </c>
      <c r="G1533" s="11">
        <v>1022083</v>
      </c>
      <c r="H1533" s="11">
        <v>0</v>
      </c>
    </row>
    <row r="1534" spans="1:8" x14ac:dyDescent="0.2">
      <c r="A1534" t="s">
        <v>1090</v>
      </c>
      <c r="B1534" s="1" t="s">
        <v>1091</v>
      </c>
      <c r="C1534" s="11">
        <v>0</v>
      </c>
      <c r="D1534" t="s">
        <v>269</v>
      </c>
      <c r="E1534" t="s">
        <v>888</v>
      </c>
      <c r="F1534" s="4">
        <v>39987</v>
      </c>
      <c r="G1534" s="11">
        <v>0</v>
      </c>
      <c r="H1534" s="11">
        <v>0</v>
      </c>
    </row>
    <row r="1535" spans="1:8" x14ac:dyDescent="0.2">
      <c r="A1535" t="s">
        <v>2762</v>
      </c>
      <c r="B1535" s="1" t="s">
        <v>2576</v>
      </c>
      <c r="C1535" s="11">
        <v>200000</v>
      </c>
      <c r="D1535" t="s">
        <v>269</v>
      </c>
      <c r="E1535" t="s">
        <v>888</v>
      </c>
      <c r="F1535" s="4">
        <v>39793</v>
      </c>
      <c r="G1535" s="11">
        <v>200000</v>
      </c>
      <c r="H1535" s="11">
        <v>0</v>
      </c>
    </row>
    <row r="1536" spans="1:8" x14ac:dyDescent="0.2">
      <c r="A1536" t="s">
        <v>2763</v>
      </c>
      <c r="B1536" s="1" t="s">
        <v>1095</v>
      </c>
      <c r="C1536" s="11">
        <v>200000</v>
      </c>
      <c r="D1536" t="s">
        <v>269</v>
      </c>
      <c r="E1536" t="s">
        <v>888</v>
      </c>
      <c r="F1536" s="4">
        <v>39987</v>
      </c>
      <c r="G1536" s="11">
        <v>200000</v>
      </c>
      <c r="H1536" s="11">
        <v>0</v>
      </c>
    </row>
    <row r="1537" spans="1:8" x14ac:dyDescent="0.2">
      <c r="A1537" t="s">
        <v>2904</v>
      </c>
      <c r="B1537" s="1" t="s">
        <v>2905</v>
      </c>
      <c r="C1537" s="11">
        <v>1000000</v>
      </c>
      <c r="D1537" t="s">
        <v>269</v>
      </c>
      <c r="E1537" t="s">
        <v>888</v>
      </c>
      <c r="F1537" s="4">
        <v>40289</v>
      </c>
      <c r="G1537" s="11">
        <v>965000</v>
      </c>
      <c r="H1537" s="11">
        <v>35000</v>
      </c>
    </row>
    <row r="1538" spans="1:8" x14ac:dyDescent="0.2">
      <c r="A1538" t="s">
        <v>608</v>
      </c>
      <c r="B1538" s="1" t="s">
        <v>776</v>
      </c>
      <c r="C1538" s="11">
        <v>2000000</v>
      </c>
      <c r="D1538" t="s">
        <v>269</v>
      </c>
      <c r="E1538" t="s">
        <v>888</v>
      </c>
      <c r="F1538" s="4">
        <v>39856</v>
      </c>
      <c r="G1538" s="11">
        <v>2000000</v>
      </c>
      <c r="H1538" s="11">
        <v>0</v>
      </c>
    </row>
    <row r="1539" spans="1:8" x14ac:dyDescent="0.2">
      <c r="A1539" t="s">
        <v>1683</v>
      </c>
      <c r="B1539" s="1" t="s">
        <v>2067</v>
      </c>
      <c r="C1539" s="11">
        <v>800000</v>
      </c>
      <c r="D1539" t="s">
        <v>269</v>
      </c>
      <c r="E1539" t="s">
        <v>888</v>
      </c>
      <c r="F1539" s="4">
        <v>39890</v>
      </c>
      <c r="G1539" s="11">
        <v>800000</v>
      </c>
      <c r="H1539" s="11">
        <v>0</v>
      </c>
    </row>
    <row r="1540" spans="1:8" x14ac:dyDescent="0.2">
      <c r="A1540" t="s">
        <v>1684</v>
      </c>
      <c r="B1540" s="1" t="s">
        <v>1096</v>
      </c>
      <c r="C1540" s="11">
        <v>250000</v>
      </c>
      <c r="D1540" t="s">
        <v>269</v>
      </c>
      <c r="E1540" t="s">
        <v>888</v>
      </c>
      <c r="F1540" s="4">
        <v>39987</v>
      </c>
      <c r="G1540" s="11">
        <v>250000</v>
      </c>
      <c r="H1540" s="11">
        <v>0</v>
      </c>
    </row>
    <row r="1541" spans="1:8" x14ac:dyDescent="0.2">
      <c r="A1541" t="s">
        <v>117</v>
      </c>
      <c r="B1541" s="1" t="s">
        <v>118</v>
      </c>
      <c r="C1541" s="11">
        <v>400000</v>
      </c>
      <c r="D1541" t="s">
        <v>269</v>
      </c>
      <c r="E1541" t="s">
        <v>888</v>
      </c>
      <c r="F1541" s="4">
        <v>40217</v>
      </c>
      <c r="G1541" s="11">
        <v>400000</v>
      </c>
      <c r="H1541" s="11">
        <v>0</v>
      </c>
    </row>
    <row r="1542" spans="1:8" x14ac:dyDescent="0.2">
      <c r="A1542" t="s">
        <v>2906</v>
      </c>
      <c r="B1542" s="1" t="s">
        <v>2907</v>
      </c>
      <c r="C1542" s="11">
        <v>500000</v>
      </c>
      <c r="D1542" t="s">
        <v>269</v>
      </c>
      <c r="E1542" t="s">
        <v>885</v>
      </c>
      <c r="F1542" s="4">
        <v>40325</v>
      </c>
      <c r="G1542" s="11">
        <v>500000</v>
      </c>
      <c r="H1542" s="11">
        <v>0</v>
      </c>
    </row>
    <row r="1543" spans="1:8" x14ac:dyDescent="0.2">
      <c r="A1543" t="s">
        <v>2972</v>
      </c>
      <c r="B1543" s="1" t="s">
        <v>2973</v>
      </c>
      <c r="C1543" s="11">
        <v>2000000</v>
      </c>
      <c r="D1543" t="s">
        <v>269</v>
      </c>
      <c r="E1543" t="s">
        <v>888</v>
      </c>
      <c r="F1543" s="4">
        <v>40374</v>
      </c>
      <c r="G1543" s="11">
        <v>1851250</v>
      </c>
      <c r="H1543" s="11">
        <v>148750</v>
      </c>
    </row>
    <row r="1544" spans="1:8" x14ac:dyDescent="0.2">
      <c r="A1544" t="s">
        <v>119</v>
      </c>
      <c r="B1544" s="1" t="s">
        <v>1202</v>
      </c>
      <c r="C1544" s="11">
        <v>500000</v>
      </c>
      <c r="D1544" t="s">
        <v>269</v>
      </c>
      <c r="E1544" t="s">
        <v>888</v>
      </c>
      <c r="F1544" s="4">
        <v>39736</v>
      </c>
      <c r="G1544" s="11">
        <v>500000</v>
      </c>
      <c r="H1544" s="11">
        <v>0</v>
      </c>
    </row>
    <row r="1545" spans="1:8" x14ac:dyDescent="0.2">
      <c r="A1545" t="s">
        <v>120</v>
      </c>
      <c r="B1545" s="1" t="s">
        <v>1092</v>
      </c>
      <c r="C1545" s="11">
        <v>250000</v>
      </c>
      <c r="D1545" t="s">
        <v>269</v>
      </c>
      <c r="E1545" t="s">
        <v>787</v>
      </c>
      <c r="F1545" s="4">
        <v>39945</v>
      </c>
      <c r="G1545" s="11">
        <v>250000</v>
      </c>
      <c r="H1545" s="11">
        <v>0</v>
      </c>
    </row>
    <row r="1546" spans="1:8" x14ac:dyDescent="0.2">
      <c r="A1546" t="s">
        <v>121</v>
      </c>
      <c r="B1546" s="1" t="s">
        <v>1093</v>
      </c>
      <c r="C1546" s="11">
        <v>250000</v>
      </c>
      <c r="D1546" t="s">
        <v>269</v>
      </c>
      <c r="E1546" t="s">
        <v>888</v>
      </c>
      <c r="F1546" s="4">
        <v>40056</v>
      </c>
      <c r="G1546" s="11">
        <v>250000</v>
      </c>
      <c r="H1546" s="11">
        <v>0</v>
      </c>
    </row>
    <row r="1547" spans="1:8" x14ac:dyDescent="0.2">
      <c r="A1547" t="s">
        <v>2764</v>
      </c>
      <c r="B1547" s="1" t="s">
        <v>2765</v>
      </c>
      <c r="C1547" s="11">
        <v>250000</v>
      </c>
      <c r="D1547" t="s">
        <v>269</v>
      </c>
      <c r="E1547" t="s">
        <v>888</v>
      </c>
      <c r="F1547" s="4">
        <v>40234</v>
      </c>
      <c r="G1547" s="11">
        <v>250000</v>
      </c>
      <c r="H1547" s="11">
        <v>0</v>
      </c>
    </row>
    <row r="1548" spans="1:8" x14ac:dyDescent="0.2">
      <c r="A1548" t="s">
        <v>2908</v>
      </c>
      <c r="B1548" s="1" t="s">
        <v>2909</v>
      </c>
      <c r="C1548" s="11">
        <v>500000</v>
      </c>
      <c r="D1548" t="s">
        <v>269</v>
      </c>
      <c r="E1548" t="s">
        <v>888</v>
      </c>
      <c r="F1548" s="4">
        <v>40346</v>
      </c>
      <c r="G1548" s="11">
        <v>500000</v>
      </c>
      <c r="H1548" s="11">
        <v>0</v>
      </c>
    </row>
    <row r="1549" spans="1:8" x14ac:dyDescent="0.2">
      <c r="A1549" t="s">
        <v>3224</v>
      </c>
      <c r="B1549" s="1" t="s">
        <v>3225</v>
      </c>
      <c r="C1549" s="11">
        <v>7500000</v>
      </c>
      <c r="D1549" t="s">
        <v>269</v>
      </c>
      <c r="E1549" t="s">
        <v>888</v>
      </c>
      <c r="F1549" s="4">
        <v>40414</v>
      </c>
      <c r="G1549" s="11">
        <v>7407500</v>
      </c>
      <c r="H1549" s="11">
        <v>92500</v>
      </c>
    </row>
    <row r="1550" spans="1:8" x14ac:dyDescent="0.2">
      <c r="A1550" t="s">
        <v>4588</v>
      </c>
      <c r="B1550" s="1" t="s">
        <v>4589</v>
      </c>
      <c r="C1550" s="11">
        <v>10000000</v>
      </c>
      <c r="D1550" t="s">
        <v>269</v>
      </c>
      <c r="E1550" t="s">
        <v>888</v>
      </c>
      <c r="F1550" s="4">
        <v>41316</v>
      </c>
      <c r="G1550" s="11">
        <v>0</v>
      </c>
      <c r="H1550" s="11">
        <v>10000000</v>
      </c>
    </row>
    <row r="1551" spans="1:8" x14ac:dyDescent="0.2">
      <c r="A1551" t="s">
        <v>2910</v>
      </c>
      <c r="B1551" s="1" t="s">
        <v>1531</v>
      </c>
      <c r="C1551" s="11">
        <v>1649000</v>
      </c>
      <c r="D1551" t="s">
        <v>269</v>
      </c>
      <c r="E1551" t="s">
        <v>885</v>
      </c>
      <c r="F1551" s="4">
        <v>38856</v>
      </c>
      <c r="G1551" s="11">
        <v>1649000</v>
      </c>
      <c r="H1551" s="11">
        <v>0</v>
      </c>
    </row>
    <row r="1552" spans="1:8" x14ac:dyDescent="0.2">
      <c r="A1552" t="s">
        <v>2911</v>
      </c>
      <c r="B1552" s="1" t="s">
        <v>3226</v>
      </c>
      <c r="C1552" s="11">
        <v>200000</v>
      </c>
      <c r="D1552" t="s">
        <v>269</v>
      </c>
      <c r="E1552" t="s">
        <v>885</v>
      </c>
      <c r="F1552" s="4">
        <v>40316</v>
      </c>
      <c r="G1552" s="11">
        <v>153775</v>
      </c>
      <c r="H1552" s="11">
        <v>46225</v>
      </c>
    </row>
    <row r="1553" spans="1:8" x14ac:dyDescent="0.2">
      <c r="A1553" t="s">
        <v>2912</v>
      </c>
      <c r="B1553" s="1" t="s">
        <v>2575</v>
      </c>
      <c r="C1553" s="11">
        <v>500000</v>
      </c>
      <c r="D1553" t="s">
        <v>269</v>
      </c>
      <c r="E1553" t="s">
        <v>888</v>
      </c>
      <c r="F1553" s="4">
        <v>39793</v>
      </c>
      <c r="G1553" s="11">
        <v>0</v>
      </c>
      <c r="H1553" s="11">
        <v>500000</v>
      </c>
    </row>
    <row r="1554" spans="1:8" x14ac:dyDescent="0.2">
      <c r="A1554" t="s">
        <v>2913</v>
      </c>
      <c r="B1554" s="1" t="s">
        <v>1094</v>
      </c>
      <c r="C1554" s="11">
        <v>500000</v>
      </c>
      <c r="D1554" t="s">
        <v>269</v>
      </c>
      <c r="E1554" t="s">
        <v>888</v>
      </c>
      <c r="F1554" s="4">
        <v>39987</v>
      </c>
      <c r="G1554" s="11">
        <v>0</v>
      </c>
      <c r="H1554" s="11">
        <v>500000</v>
      </c>
    </row>
    <row r="1555" spans="1:8" x14ac:dyDescent="0.2">
      <c r="A1555" t="s">
        <v>3540</v>
      </c>
      <c r="B1555" s="1" t="s">
        <v>3541</v>
      </c>
      <c r="C1555" s="11">
        <v>500000</v>
      </c>
      <c r="D1555" t="s">
        <v>269</v>
      </c>
      <c r="E1555" t="s">
        <v>888</v>
      </c>
      <c r="F1555" s="4">
        <v>40504</v>
      </c>
      <c r="G1555" s="11">
        <v>0</v>
      </c>
      <c r="H1555" s="11">
        <v>500000</v>
      </c>
    </row>
    <row r="1556" spans="1:8" x14ac:dyDescent="0.2">
      <c r="A1556" t="s">
        <v>3886</v>
      </c>
      <c r="B1556" s="1" t="s">
        <v>3887</v>
      </c>
      <c r="C1556" s="11">
        <v>250000</v>
      </c>
      <c r="D1556" t="s">
        <v>3888</v>
      </c>
      <c r="E1556" t="s">
        <v>888</v>
      </c>
      <c r="F1556" s="4">
        <v>40519</v>
      </c>
      <c r="G1556" s="11">
        <v>0</v>
      </c>
      <c r="H1556" s="11">
        <v>250000</v>
      </c>
    </row>
    <row r="1557" spans="1:8" x14ac:dyDescent="0.2">
      <c r="A1557" t="s">
        <v>3227</v>
      </c>
      <c r="B1557" s="1" t="s">
        <v>1182</v>
      </c>
      <c r="C1557" s="11">
        <v>300000</v>
      </c>
      <c r="D1557" t="s">
        <v>269</v>
      </c>
      <c r="E1557" t="s">
        <v>888</v>
      </c>
      <c r="F1557" s="4">
        <v>39717</v>
      </c>
      <c r="G1557" s="11">
        <v>0</v>
      </c>
      <c r="H1557" s="11">
        <v>300000</v>
      </c>
    </row>
    <row r="1558" spans="1:8" x14ac:dyDescent="0.2">
      <c r="A1558" t="s">
        <v>3228</v>
      </c>
      <c r="B1558" s="1" t="s">
        <v>3229</v>
      </c>
      <c r="C1558" s="11">
        <v>300000</v>
      </c>
      <c r="D1558" t="s">
        <v>269</v>
      </c>
      <c r="E1558" t="s">
        <v>888</v>
      </c>
      <c r="F1558" s="4">
        <v>40463</v>
      </c>
      <c r="G1558" s="11">
        <v>0</v>
      </c>
      <c r="H1558" s="11">
        <v>300000</v>
      </c>
    </row>
    <row r="1559" spans="1:8" x14ac:dyDescent="0.2">
      <c r="A1559" t="s">
        <v>4288</v>
      </c>
      <c r="B1559" s="1" t="s">
        <v>3543</v>
      </c>
      <c r="C1559" s="11">
        <v>2750000</v>
      </c>
      <c r="D1559" t="s">
        <v>269</v>
      </c>
      <c r="E1559" t="s">
        <v>3031</v>
      </c>
      <c r="F1559" s="4">
        <v>40497</v>
      </c>
      <c r="G1559" s="11">
        <v>0</v>
      </c>
      <c r="H1559" s="11">
        <v>2750000</v>
      </c>
    </row>
    <row r="1560" spans="1:8" x14ac:dyDescent="0.2">
      <c r="A1560" t="s">
        <v>4489</v>
      </c>
      <c r="B1560" s="1" t="s">
        <v>3543</v>
      </c>
      <c r="C1560" s="11">
        <v>2477917</v>
      </c>
      <c r="D1560" t="s">
        <v>269</v>
      </c>
      <c r="E1560" t="s">
        <v>3031</v>
      </c>
      <c r="F1560" s="4">
        <v>41234</v>
      </c>
      <c r="G1560" s="11">
        <v>0</v>
      </c>
      <c r="H1560" s="11">
        <v>2477917</v>
      </c>
    </row>
    <row r="1561" spans="1:8" x14ac:dyDescent="0.2">
      <c r="A1561" t="s">
        <v>4134</v>
      </c>
      <c r="B1561" s="1" t="s">
        <v>4135</v>
      </c>
      <c r="C1561" s="11">
        <v>1500000</v>
      </c>
      <c r="D1561" t="s">
        <v>269</v>
      </c>
      <c r="E1561" t="s">
        <v>3031</v>
      </c>
      <c r="F1561" s="4">
        <v>40497</v>
      </c>
      <c r="G1561" s="11">
        <v>0</v>
      </c>
      <c r="H1561" s="11">
        <v>1500000</v>
      </c>
    </row>
    <row r="1562" spans="1:8" x14ac:dyDescent="0.2">
      <c r="A1562" t="s">
        <v>4222</v>
      </c>
      <c r="B1562" s="1" t="s">
        <v>3897</v>
      </c>
      <c r="C1562" s="11">
        <v>1000000</v>
      </c>
      <c r="D1562" t="s">
        <v>269</v>
      </c>
      <c r="E1562" t="s">
        <v>3031</v>
      </c>
      <c r="F1562" s="4">
        <v>40553</v>
      </c>
      <c r="G1562" s="11">
        <v>0</v>
      </c>
      <c r="H1562" s="11">
        <v>1000000</v>
      </c>
    </row>
    <row r="1563" spans="1:8" x14ac:dyDescent="0.2">
      <c r="A1563" t="s">
        <v>4317</v>
      </c>
      <c r="B1563" s="1" t="s">
        <v>3889</v>
      </c>
      <c r="C1563" s="11">
        <v>250000</v>
      </c>
      <c r="D1563" t="s">
        <v>269</v>
      </c>
      <c r="E1563" t="s">
        <v>3031</v>
      </c>
      <c r="F1563" s="4">
        <v>40519</v>
      </c>
      <c r="G1563" s="11">
        <v>0</v>
      </c>
      <c r="H1563" s="11">
        <v>250000</v>
      </c>
    </row>
    <row r="1564" spans="1:8" x14ac:dyDescent="0.2">
      <c r="A1564" t="s">
        <v>4318</v>
      </c>
      <c r="B1564" s="1" t="s">
        <v>3890</v>
      </c>
      <c r="C1564" s="11">
        <v>500000</v>
      </c>
      <c r="D1564" t="s">
        <v>269</v>
      </c>
      <c r="E1564" t="s">
        <v>3031</v>
      </c>
      <c r="F1564" s="4">
        <v>40546</v>
      </c>
      <c r="G1564" s="11">
        <v>0</v>
      </c>
      <c r="H1564" s="11">
        <v>500000</v>
      </c>
    </row>
    <row r="1565" spans="1:8" x14ac:dyDescent="0.2">
      <c r="A1565" t="s">
        <v>4319</v>
      </c>
      <c r="B1565" s="1" t="s">
        <v>3891</v>
      </c>
      <c r="C1565" s="11">
        <v>250000</v>
      </c>
      <c r="D1565" t="s">
        <v>269</v>
      </c>
      <c r="E1565" t="s">
        <v>3031</v>
      </c>
      <c r="F1565" s="4">
        <v>40553</v>
      </c>
      <c r="G1565" s="11">
        <v>0</v>
      </c>
      <c r="H1565" s="11">
        <v>250000</v>
      </c>
    </row>
    <row r="1566" spans="1:8" x14ac:dyDescent="0.2">
      <c r="A1566" t="s">
        <v>4382</v>
      </c>
      <c r="B1566" s="1" t="s">
        <v>3892</v>
      </c>
      <c r="C1566" s="11">
        <v>500000</v>
      </c>
      <c r="D1566" t="s">
        <v>269</v>
      </c>
      <c r="E1566" t="s">
        <v>885</v>
      </c>
      <c r="F1566" s="4">
        <v>40515</v>
      </c>
      <c r="G1566" s="11">
        <v>0</v>
      </c>
      <c r="H1566" s="11">
        <v>500000</v>
      </c>
    </row>
    <row r="1567" spans="1:8" x14ac:dyDescent="0.2">
      <c r="A1567" t="s">
        <v>4444</v>
      </c>
      <c r="B1567" s="1" t="s">
        <v>3893</v>
      </c>
      <c r="C1567" s="11">
        <v>250000</v>
      </c>
      <c r="D1567" t="s">
        <v>269</v>
      </c>
      <c r="E1567" t="s">
        <v>3031</v>
      </c>
      <c r="F1567" s="4">
        <v>40546</v>
      </c>
      <c r="G1567" s="11">
        <v>0</v>
      </c>
      <c r="H1567" s="11">
        <v>250000</v>
      </c>
    </row>
    <row r="1568" spans="1:8" x14ac:dyDescent="0.2">
      <c r="A1568" t="s">
        <v>4428</v>
      </c>
      <c r="B1568" s="1" t="s">
        <v>3894</v>
      </c>
      <c r="C1568" s="11">
        <v>500000</v>
      </c>
      <c r="D1568" t="s">
        <v>269</v>
      </c>
      <c r="E1568" t="s">
        <v>885</v>
      </c>
      <c r="F1568" s="4">
        <v>40546</v>
      </c>
      <c r="G1568" s="11">
        <v>0</v>
      </c>
      <c r="H1568" s="11">
        <v>500000</v>
      </c>
    </row>
    <row r="1569" spans="1:8" x14ac:dyDescent="0.2">
      <c r="A1569" t="s">
        <v>4465</v>
      </c>
      <c r="B1569" s="1" t="s">
        <v>3895</v>
      </c>
      <c r="C1569" s="11">
        <v>250000</v>
      </c>
      <c r="D1569" t="s">
        <v>269</v>
      </c>
      <c r="E1569" t="s">
        <v>3031</v>
      </c>
      <c r="F1569" s="4">
        <v>40553</v>
      </c>
      <c r="G1569" s="11">
        <v>0</v>
      </c>
      <c r="H1569" s="11">
        <v>250000</v>
      </c>
    </row>
    <row r="1570" spans="1:8" x14ac:dyDescent="0.2">
      <c r="A1570" t="s">
        <v>2766</v>
      </c>
      <c r="B1570" s="1" t="s">
        <v>1930</v>
      </c>
      <c r="C1570" s="11">
        <v>0</v>
      </c>
      <c r="D1570" t="s">
        <v>269</v>
      </c>
      <c r="E1570" t="s">
        <v>885</v>
      </c>
      <c r="F1570" s="4">
        <v>39118</v>
      </c>
      <c r="G1570" s="11">
        <v>0</v>
      </c>
      <c r="H1570" s="11">
        <v>0</v>
      </c>
    </row>
    <row r="1571" spans="1:8" x14ac:dyDescent="0.2">
      <c r="A1571" t="s">
        <v>4590</v>
      </c>
      <c r="B1571" s="1" t="s">
        <v>4591</v>
      </c>
      <c r="C1571" s="11">
        <v>3000000</v>
      </c>
      <c r="D1571" t="s">
        <v>269</v>
      </c>
      <c r="E1571" t="s">
        <v>3031</v>
      </c>
      <c r="F1571" s="4">
        <v>41316</v>
      </c>
      <c r="G1571" s="11">
        <v>0</v>
      </c>
      <c r="H1571" s="11">
        <v>3000000</v>
      </c>
    </row>
    <row r="1572" spans="1:8" x14ac:dyDescent="0.2">
      <c r="A1572" t="s">
        <v>2681</v>
      </c>
      <c r="B1572" s="1" t="s">
        <v>2683</v>
      </c>
      <c r="C1572" s="11">
        <v>1000000</v>
      </c>
      <c r="D1572" t="s">
        <v>2684</v>
      </c>
      <c r="E1572" t="s">
        <v>516</v>
      </c>
      <c r="F1572" s="4">
        <v>38217</v>
      </c>
      <c r="G1572" s="11">
        <v>1000000</v>
      </c>
      <c r="H1572" s="11">
        <v>0</v>
      </c>
    </row>
    <row r="1573" spans="1:8" x14ac:dyDescent="0.2">
      <c r="A1573" t="s">
        <v>455</v>
      </c>
      <c r="B1573" s="1" t="s">
        <v>2683</v>
      </c>
      <c r="C1573" s="11">
        <v>1800000</v>
      </c>
      <c r="D1573" t="s">
        <v>2684</v>
      </c>
      <c r="E1573" t="s">
        <v>516</v>
      </c>
      <c r="F1573" s="4">
        <v>38217</v>
      </c>
      <c r="G1573" s="11">
        <v>1428298</v>
      </c>
      <c r="H1573" s="11">
        <v>371702</v>
      </c>
    </row>
    <row r="1574" spans="1:8" x14ac:dyDescent="0.2">
      <c r="A1574" t="s">
        <v>173</v>
      </c>
      <c r="B1574" s="1" t="s">
        <v>174</v>
      </c>
      <c r="C1574" s="11">
        <v>1000000</v>
      </c>
      <c r="D1574" t="s">
        <v>2684</v>
      </c>
      <c r="E1574" t="s">
        <v>885</v>
      </c>
      <c r="F1574" s="4">
        <v>38421</v>
      </c>
      <c r="G1574" s="11">
        <v>1000000</v>
      </c>
      <c r="H1574" s="11">
        <v>0</v>
      </c>
    </row>
    <row r="1575" spans="1:8" x14ac:dyDescent="0.2">
      <c r="A1575" t="s">
        <v>1646</v>
      </c>
      <c r="B1575" s="1" t="s">
        <v>1647</v>
      </c>
      <c r="C1575" s="11">
        <v>600000</v>
      </c>
      <c r="D1575" t="s">
        <v>2684</v>
      </c>
      <c r="E1575" t="s">
        <v>885</v>
      </c>
      <c r="F1575" s="4">
        <v>39149</v>
      </c>
      <c r="G1575" s="11">
        <v>600000</v>
      </c>
      <c r="H1575" s="11">
        <v>0</v>
      </c>
    </row>
    <row r="1576" spans="1:8" x14ac:dyDescent="0.2">
      <c r="A1576" t="s">
        <v>954</v>
      </c>
      <c r="B1576" s="1" t="s">
        <v>411</v>
      </c>
      <c r="C1576" s="11">
        <v>600000</v>
      </c>
      <c r="D1576" t="s">
        <v>2684</v>
      </c>
      <c r="E1576" t="s">
        <v>444</v>
      </c>
      <c r="F1576" s="4">
        <v>39358</v>
      </c>
      <c r="G1576" s="11">
        <v>0</v>
      </c>
      <c r="H1576" s="11">
        <v>600000</v>
      </c>
    </row>
    <row r="1577" spans="1:8" x14ac:dyDescent="0.2">
      <c r="A1577" t="s">
        <v>4136</v>
      </c>
      <c r="B1577" s="1" t="s">
        <v>3231</v>
      </c>
      <c r="C1577" s="11">
        <v>1000000</v>
      </c>
      <c r="D1577" t="s">
        <v>2684</v>
      </c>
      <c r="E1577" t="s">
        <v>888</v>
      </c>
      <c r="F1577" s="4">
        <v>40436</v>
      </c>
      <c r="G1577" s="11">
        <v>898691</v>
      </c>
      <c r="H1577" s="11">
        <v>101309</v>
      </c>
    </row>
    <row r="1578" spans="1:8" x14ac:dyDescent="0.2">
      <c r="A1578" t="s">
        <v>2767</v>
      </c>
      <c r="B1578" s="1" t="s">
        <v>230</v>
      </c>
      <c r="C1578" s="11">
        <v>0</v>
      </c>
      <c r="D1578" t="s">
        <v>2684</v>
      </c>
      <c r="E1578" t="s">
        <v>885</v>
      </c>
      <c r="F1578" s="4">
        <v>38217</v>
      </c>
      <c r="G1578" s="11">
        <v>0</v>
      </c>
      <c r="H1578" s="11">
        <v>0</v>
      </c>
    </row>
    <row r="1579" spans="1:8" x14ac:dyDescent="0.2">
      <c r="A1579" t="s">
        <v>3898</v>
      </c>
      <c r="B1579" s="1" t="s">
        <v>3899</v>
      </c>
      <c r="C1579" s="11">
        <v>1000000</v>
      </c>
      <c r="D1579" t="s">
        <v>2684</v>
      </c>
      <c r="E1579" t="s">
        <v>3031</v>
      </c>
      <c r="F1579" s="4">
        <v>40546</v>
      </c>
      <c r="G1579" s="11">
        <v>0</v>
      </c>
      <c r="H1579" s="11">
        <v>1000000</v>
      </c>
    </row>
    <row r="1580" spans="1:8" x14ac:dyDescent="0.2">
      <c r="A1580" t="s">
        <v>3900</v>
      </c>
      <c r="B1580" s="1" t="s">
        <v>3901</v>
      </c>
      <c r="C1580" s="11">
        <v>500000</v>
      </c>
      <c r="D1580" t="s">
        <v>2684</v>
      </c>
      <c r="E1580" t="s">
        <v>3031</v>
      </c>
      <c r="F1580" s="4">
        <v>40553</v>
      </c>
      <c r="G1580" s="11">
        <v>0</v>
      </c>
      <c r="H1580" s="11">
        <v>500000</v>
      </c>
    </row>
    <row r="1581" spans="1:8" x14ac:dyDescent="0.2">
      <c r="A1581" t="s">
        <v>2223</v>
      </c>
      <c r="B1581" s="1" t="s">
        <v>2224</v>
      </c>
      <c r="C1581" s="11">
        <v>1500000</v>
      </c>
      <c r="D1581" t="s">
        <v>2225</v>
      </c>
      <c r="E1581" t="s">
        <v>969</v>
      </c>
      <c r="F1581" s="4">
        <v>37384</v>
      </c>
      <c r="G1581" s="11">
        <v>1500000</v>
      </c>
      <c r="H1581" s="11">
        <v>0</v>
      </c>
    </row>
    <row r="1582" spans="1:8" x14ac:dyDescent="0.2">
      <c r="A1582" t="s">
        <v>3902</v>
      </c>
      <c r="B1582" s="1" t="s">
        <v>3903</v>
      </c>
      <c r="C1582" s="11">
        <v>275000</v>
      </c>
      <c r="D1582" t="s">
        <v>2225</v>
      </c>
      <c r="E1582" t="s">
        <v>888</v>
      </c>
      <c r="F1582" s="4">
        <v>40553</v>
      </c>
      <c r="G1582" s="11">
        <v>0</v>
      </c>
      <c r="H1582" s="11">
        <v>275000</v>
      </c>
    </row>
    <row r="1583" spans="1:8" x14ac:dyDescent="0.2">
      <c r="A1583" t="s">
        <v>1558</v>
      </c>
      <c r="B1583" s="1" t="s">
        <v>2154</v>
      </c>
      <c r="C1583" s="11">
        <v>10000000</v>
      </c>
      <c r="D1583" t="s">
        <v>1559</v>
      </c>
      <c r="E1583" t="s">
        <v>1560</v>
      </c>
      <c r="G1583" s="11">
        <v>10000000</v>
      </c>
      <c r="H1583" s="11">
        <v>0</v>
      </c>
    </row>
    <row r="1584" spans="1:8" x14ac:dyDescent="0.2">
      <c r="A1584" t="s">
        <v>1565</v>
      </c>
      <c r="B1584" s="1" t="s">
        <v>1566</v>
      </c>
      <c r="C1584" s="11">
        <v>185000000</v>
      </c>
      <c r="D1584" t="s">
        <v>1559</v>
      </c>
      <c r="E1584" t="s">
        <v>1567</v>
      </c>
      <c r="G1584" s="11">
        <v>185000000</v>
      </c>
      <c r="H1584" s="11">
        <v>0</v>
      </c>
    </row>
    <row r="1585" spans="1:8" x14ac:dyDescent="0.2">
      <c r="A1585" t="s">
        <v>1568</v>
      </c>
      <c r="B1585" s="1" t="s">
        <v>1569</v>
      </c>
      <c r="C1585" s="11">
        <v>23800000</v>
      </c>
      <c r="D1585" t="s">
        <v>1559</v>
      </c>
      <c r="E1585" t="s">
        <v>1560</v>
      </c>
      <c r="G1585" s="11">
        <v>23800000</v>
      </c>
      <c r="H1585" s="11">
        <v>0</v>
      </c>
    </row>
    <row r="1586" spans="1:8" x14ac:dyDescent="0.2">
      <c r="A1586" t="s">
        <v>1570</v>
      </c>
      <c r="B1586" s="1" t="s">
        <v>1571</v>
      </c>
      <c r="C1586" s="11">
        <v>212000</v>
      </c>
      <c r="D1586" t="s">
        <v>1559</v>
      </c>
      <c r="E1586" t="s">
        <v>1564</v>
      </c>
      <c r="G1586" s="11">
        <v>212000</v>
      </c>
      <c r="H1586" s="11">
        <v>0</v>
      </c>
    </row>
    <row r="1587" spans="1:8" x14ac:dyDescent="0.2">
      <c r="A1587" t="s">
        <v>1572</v>
      </c>
      <c r="B1587" s="1" t="s">
        <v>1573</v>
      </c>
      <c r="C1587" s="11">
        <v>1000000</v>
      </c>
      <c r="D1587" t="s">
        <v>1559</v>
      </c>
      <c r="E1587" t="s">
        <v>1574</v>
      </c>
      <c r="G1587" s="11">
        <v>1000000</v>
      </c>
      <c r="H1587" s="11">
        <v>0</v>
      </c>
    </row>
    <row r="1588" spans="1:8" x14ac:dyDescent="0.2">
      <c r="A1588" t="s">
        <v>1575</v>
      </c>
      <c r="B1588" s="1" t="s">
        <v>1576</v>
      </c>
      <c r="C1588" s="11">
        <v>2000000</v>
      </c>
      <c r="D1588" t="s">
        <v>1559</v>
      </c>
      <c r="E1588" t="s">
        <v>1577</v>
      </c>
      <c r="G1588" s="11">
        <v>2000000</v>
      </c>
      <c r="H1588" s="11">
        <v>0</v>
      </c>
    </row>
    <row r="1589" spans="1:8" x14ac:dyDescent="0.2">
      <c r="A1589" t="s">
        <v>298</v>
      </c>
      <c r="B1589" s="1" t="s">
        <v>299</v>
      </c>
      <c r="C1589" s="11">
        <v>1500000</v>
      </c>
      <c r="D1589" t="s">
        <v>1559</v>
      </c>
      <c r="E1589" t="s">
        <v>1577</v>
      </c>
      <c r="F1589" s="4">
        <v>34151</v>
      </c>
      <c r="G1589" s="11">
        <v>1500000</v>
      </c>
      <c r="H1589" s="11">
        <v>0</v>
      </c>
    </row>
    <row r="1590" spans="1:8" x14ac:dyDescent="0.2">
      <c r="A1590" t="s">
        <v>300</v>
      </c>
      <c r="B1590" s="1" t="s">
        <v>301</v>
      </c>
      <c r="C1590" s="11">
        <v>1400000</v>
      </c>
      <c r="D1590" t="s">
        <v>1559</v>
      </c>
      <c r="E1590" t="s">
        <v>290</v>
      </c>
      <c r="F1590" s="4">
        <v>34151</v>
      </c>
      <c r="G1590" s="11">
        <v>1399999.9999999998</v>
      </c>
      <c r="H1590" s="11">
        <v>0</v>
      </c>
    </row>
    <row r="1591" spans="1:8" x14ac:dyDescent="0.2">
      <c r="A1591" t="s">
        <v>302</v>
      </c>
      <c r="B1591" s="1" t="s">
        <v>303</v>
      </c>
      <c r="C1591" s="11">
        <v>1000000</v>
      </c>
      <c r="D1591" t="s">
        <v>1559</v>
      </c>
      <c r="E1591" t="s">
        <v>1577</v>
      </c>
      <c r="F1591" s="4">
        <v>34151</v>
      </c>
      <c r="G1591" s="11">
        <v>1000000</v>
      </c>
      <c r="H1591" s="11">
        <v>0</v>
      </c>
    </row>
    <row r="1592" spans="1:8" x14ac:dyDescent="0.2">
      <c r="A1592" t="s">
        <v>311</v>
      </c>
      <c r="B1592" s="1" t="s">
        <v>312</v>
      </c>
      <c r="C1592" s="11">
        <v>8000000</v>
      </c>
      <c r="D1592" t="s">
        <v>1559</v>
      </c>
      <c r="E1592" t="s">
        <v>313</v>
      </c>
      <c r="F1592" s="4">
        <v>34151</v>
      </c>
      <c r="G1592" s="11">
        <v>8000000</v>
      </c>
      <c r="H1592" s="11">
        <v>0</v>
      </c>
    </row>
    <row r="1593" spans="1:8" x14ac:dyDescent="0.2">
      <c r="A1593" t="s">
        <v>314</v>
      </c>
      <c r="B1593" s="1" t="s">
        <v>808</v>
      </c>
      <c r="C1593" s="11">
        <v>2265000</v>
      </c>
      <c r="D1593" t="s">
        <v>1559</v>
      </c>
      <c r="E1593" t="s">
        <v>1577</v>
      </c>
      <c r="F1593" s="4">
        <v>34151</v>
      </c>
      <c r="G1593" s="11">
        <v>2265000</v>
      </c>
      <c r="H1593" s="11">
        <v>0</v>
      </c>
    </row>
    <row r="1594" spans="1:8" x14ac:dyDescent="0.2">
      <c r="A1594" t="s">
        <v>317</v>
      </c>
      <c r="B1594" s="1" t="s">
        <v>318</v>
      </c>
      <c r="C1594" s="11">
        <v>2200000</v>
      </c>
      <c r="D1594" t="s">
        <v>1559</v>
      </c>
      <c r="E1594" t="s">
        <v>290</v>
      </c>
      <c r="F1594" s="4">
        <v>34151</v>
      </c>
      <c r="G1594" s="11">
        <v>2198102</v>
      </c>
      <c r="H1594" s="11">
        <v>1898</v>
      </c>
    </row>
    <row r="1595" spans="1:8" x14ac:dyDescent="0.2">
      <c r="A1595" t="s">
        <v>319</v>
      </c>
      <c r="B1595" s="1" t="s">
        <v>320</v>
      </c>
      <c r="C1595" s="11">
        <v>4400000</v>
      </c>
      <c r="D1595" t="s">
        <v>1559</v>
      </c>
      <c r="E1595" t="s">
        <v>1577</v>
      </c>
      <c r="F1595" s="4">
        <v>34151</v>
      </c>
      <c r="G1595" s="11">
        <v>4400000</v>
      </c>
      <c r="H1595" s="11">
        <v>0</v>
      </c>
    </row>
    <row r="1596" spans="1:8" x14ac:dyDescent="0.2">
      <c r="A1596" t="s">
        <v>321</v>
      </c>
      <c r="B1596" s="1" t="s">
        <v>322</v>
      </c>
      <c r="C1596" s="11">
        <v>4000000</v>
      </c>
      <c r="D1596" t="s">
        <v>1559</v>
      </c>
      <c r="E1596" t="s">
        <v>1577</v>
      </c>
      <c r="F1596" s="4">
        <v>34151</v>
      </c>
      <c r="G1596" s="11">
        <v>4000000</v>
      </c>
      <c r="H1596" s="11">
        <v>0</v>
      </c>
    </row>
    <row r="1597" spans="1:8" x14ac:dyDescent="0.2">
      <c r="A1597" t="s">
        <v>323</v>
      </c>
      <c r="B1597" s="1" t="s">
        <v>324</v>
      </c>
      <c r="C1597" s="11">
        <v>35000000</v>
      </c>
      <c r="D1597" t="s">
        <v>1559</v>
      </c>
      <c r="E1597" t="s">
        <v>1577</v>
      </c>
      <c r="F1597" s="4">
        <v>34151</v>
      </c>
      <c r="G1597" s="11">
        <v>35000000</v>
      </c>
      <c r="H1597" s="11">
        <v>0</v>
      </c>
    </row>
    <row r="1598" spans="1:8" x14ac:dyDescent="0.2">
      <c r="A1598" t="s">
        <v>325</v>
      </c>
      <c r="B1598" s="1" t="s">
        <v>326</v>
      </c>
      <c r="C1598" s="11">
        <v>1550000</v>
      </c>
      <c r="D1598" t="s">
        <v>1559</v>
      </c>
      <c r="E1598" t="s">
        <v>1577</v>
      </c>
      <c r="F1598" s="4">
        <v>34151</v>
      </c>
      <c r="G1598" s="11">
        <v>1550000</v>
      </c>
      <c r="H1598" s="11">
        <v>0</v>
      </c>
    </row>
    <row r="1599" spans="1:8" x14ac:dyDescent="0.2">
      <c r="A1599" t="s">
        <v>332</v>
      </c>
      <c r="B1599" s="1" t="s">
        <v>333</v>
      </c>
      <c r="C1599" s="11">
        <v>500000</v>
      </c>
      <c r="D1599" t="s">
        <v>1559</v>
      </c>
      <c r="E1599" t="s">
        <v>290</v>
      </c>
      <c r="F1599" s="4">
        <v>34151</v>
      </c>
      <c r="G1599" s="11">
        <v>500000</v>
      </c>
      <c r="H1599" s="11">
        <v>0</v>
      </c>
    </row>
    <row r="1600" spans="1:8" x14ac:dyDescent="0.2">
      <c r="A1600" t="s">
        <v>334</v>
      </c>
      <c r="B1600" s="1" t="s">
        <v>335</v>
      </c>
      <c r="C1600" s="11">
        <v>500000</v>
      </c>
      <c r="D1600" t="s">
        <v>1559</v>
      </c>
      <c r="E1600" t="s">
        <v>969</v>
      </c>
      <c r="F1600" s="4">
        <v>36719</v>
      </c>
      <c r="G1600" s="11">
        <v>500000</v>
      </c>
      <c r="H1600" s="11">
        <v>0</v>
      </c>
    </row>
    <row r="1601" spans="1:8" x14ac:dyDescent="0.2">
      <c r="A1601" t="s">
        <v>336</v>
      </c>
      <c r="B1601" s="1" t="s">
        <v>337</v>
      </c>
      <c r="C1601" s="11">
        <v>3500000</v>
      </c>
      <c r="D1601" t="s">
        <v>1559</v>
      </c>
      <c r="E1601" t="s">
        <v>290</v>
      </c>
      <c r="F1601" s="4">
        <v>34151</v>
      </c>
      <c r="G1601" s="11">
        <v>3499999.9999999995</v>
      </c>
      <c r="H1601" s="11">
        <v>0</v>
      </c>
    </row>
    <row r="1602" spans="1:8" x14ac:dyDescent="0.2">
      <c r="A1602" t="s">
        <v>338</v>
      </c>
      <c r="B1602" s="1" t="s">
        <v>339</v>
      </c>
      <c r="C1602" s="11">
        <v>1000000</v>
      </c>
      <c r="D1602" t="s">
        <v>1559</v>
      </c>
      <c r="E1602" t="s">
        <v>1577</v>
      </c>
      <c r="F1602" s="4">
        <v>34151</v>
      </c>
      <c r="G1602" s="11">
        <v>1000000</v>
      </c>
      <c r="H1602" s="11">
        <v>0</v>
      </c>
    </row>
    <row r="1603" spans="1:8" x14ac:dyDescent="0.2">
      <c r="A1603" t="s">
        <v>344</v>
      </c>
      <c r="B1603" s="1" t="s">
        <v>345</v>
      </c>
      <c r="C1603" s="11">
        <v>2177000</v>
      </c>
      <c r="D1603" t="s">
        <v>1559</v>
      </c>
      <c r="E1603" t="s">
        <v>313</v>
      </c>
      <c r="F1603" s="4">
        <v>34151</v>
      </c>
      <c r="G1603" s="11">
        <v>2177000</v>
      </c>
      <c r="H1603" s="11">
        <v>0</v>
      </c>
    </row>
    <row r="1604" spans="1:8" x14ac:dyDescent="0.2">
      <c r="A1604" t="s">
        <v>349</v>
      </c>
      <c r="B1604" s="1" t="s">
        <v>350</v>
      </c>
      <c r="C1604" s="11">
        <v>3250000</v>
      </c>
      <c r="D1604" t="s">
        <v>1559</v>
      </c>
      <c r="E1604" t="s">
        <v>313</v>
      </c>
      <c r="F1604" s="4">
        <v>34151</v>
      </c>
      <c r="G1604" s="11">
        <v>3250000.0000000005</v>
      </c>
      <c r="H1604" s="11">
        <v>0</v>
      </c>
    </row>
    <row r="1605" spans="1:8" x14ac:dyDescent="0.2">
      <c r="A1605" t="s">
        <v>351</v>
      </c>
      <c r="B1605" s="1" t="s">
        <v>352</v>
      </c>
      <c r="C1605" s="11">
        <v>1100000</v>
      </c>
      <c r="D1605" t="s">
        <v>1559</v>
      </c>
      <c r="E1605" t="s">
        <v>1577</v>
      </c>
      <c r="F1605" s="4">
        <v>34151</v>
      </c>
      <c r="G1605" s="11">
        <v>1098761.3999999999</v>
      </c>
      <c r="H1605" s="11">
        <v>1238.5999999999999</v>
      </c>
    </row>
    <row r="1606" spans="1:8" x14ac:dyDescent="0.2">
      <c r="A1606" t="s">
        <v>353</v>
      </c>
      <c r="B1606" s="1" t="s">
        <v>354</v>
      </c>
      <c r="C1606" s="11">
        <v>3700000</v>
      </c>
      <c r="D1606" t="s">
        <v>1559</v>
      </c>
      <c r="E1606" t="s">
        <v>290</v>
      </c>
      <c r="F1606" s="4">
        <v>34151</v>
      </c>
      <c r="G1606" s="11">
        <v>3700000</v>
      </c>
      <c r="H1606" s="11">
        <v>0</v>
      </c>
    </row>
    <row r="1607" spans="1:8" x14ac:dyDescent="0.2">
      <c r="A1607" t="s">
        <v>374</v>
      </c>
      <c r="B1607" s="1" t="s">
        <v>375</v>
      </c>
      <c r="C1607" s="11">
        <v>0</v>
      </c>
      <c r="D1607" t="s">
        <v>1559</v>
      </c>
      <c r="E1607" t="s">
        <v>290</v>
      </c>
      <c r="F1607" s="4">
        <v>34151</v>
      </c>
      <c r="G1607" s="11">
        <v>0</v>
      </c>
      <c r="H1607" s="11">
        <v>0</v>
      </c>
    </row>
    <row r="1608" spans="1:8" x14ac:dyDescent="0.2">
      <c r="A1608" t="s">
        <v>376</v>
      </c>
      <c r="B1608" s="1" t="s">
        <v>377</v>
      </c>
      <c r="C1608" s="11">
        <v>507000</v>
      </c>
      <c r="D1608" t="s">
        <v>1559</v>
      </c>
      <c r="E1608" t="s">
        <v>1564</v>
      </c>
      <c r="F1608" s="4">
        <v>34151</v>
      </c>
      <c r="G1608" s="11">
        <v>507000</v>
      </c>
      <c r="H1608" s="11">
        <v>0</v>
      </c>
    </row>
    <row r="1609" spans="1:8" x14ac:dyDescent="0.2">
      <c r="A1609" t="s">
        <v>378</v>
      </c>
      <c r="B1609" s="1" t="s">
        <v>379</v>
      </c>
      <c r="C1609" s="11">
        <v>0</v>
      </c>
      <c r="D1609" t="s">
        <v>1559</v>
      </c>
      <c r="E1609" t="s">
        <v>1577</v>
      </c>
      <c r="F1609" s="4">
        <v>34151</v>
      </c>
      <c r="G1609" s="11">
        <v>0</v>
      </c>
      <c r="H1609" s="11">
        <v>0</v>
      </c>
    </row>
    <row r="1610" spans="1:8" x14ac:dyDescent="0.2">
      <c r="A1610" t="s">
        <v>380</v>
      </c>
      <c r="B1610" s="1" t="s">
        <v>381</v>
      </c>
      <c r="C1610" s="11">
        <v>6000000</v>
      </c>
      <c r="D1610" t="s">
        <v>1559</v>
      </c>
      <c r="E1610" t="s">
        <v>1577</v>
      </c>
      <c r="F1610" s="4">
        <v>34151</v>
      </c>
      <c r="G1610" s="11">
        <v>6000000</v>
      </c>
      <c r="H1610" s="11">
        <v>0</v>
      </c>
    </row>
    <row r="1611" spans="1:8" x14ac:dyDescent="0.2">
      <c r="A1611" t="s">
        <v>1702</v>
      </c>
      <c r="B1611" s="1" t="s">
        <v>1703</v>
      </c>
      <c r="C1611" s="11">
        <v>0</v>
      </c>
      <c r="D1611" t="s">
        <v>1559</v>
      </c>
      <c r="E1611" t="s">
        <v>1577</v>
      </c>
      <c r="F1611" s="4">
        <v>34151</v>
      </c>
      <c r="G1611" s="11">
        <v>0</v>
      </c>
      <c r="H1611" s="11">
        <v>0</v>
      </c>
    </row>
    <row r="1612" spans="1:8" x14ac:dyDescent="0.2">
      <c r="A1612" t="s">
        <v>1704</v>
      </c>
      <c r="B1612" s="1" t="s">
        <v>1705</v>
      </c>
      <c r="C1612" s="11">
        <v>1000000</v>
      </c>
      <c r="D1612" t="s">
        <v>1559</v>
      </c>
      <c r="E1612" t="s">
        <v>1577</v>
      </c>
      <c r="F1612" s="4">
        <v>34151</v>
      </c>
      <c r="G1612" s="11">
        <v>848503.64</v>
      </c>
      <c r="H1612" s="11">
        <v>151496.35999999999</v>
      </c>
    </row>
    <row r="1613" spans="1:8" x14ac:dyDescent="0.2">
      <c r="A1613" t="s">
        <v>1777</v>
      </c>
      <c r="B1613" s="1" t="s">
        <v>1778</v>
      </c>
      <c r="C1613" s="11">
        <v>2500000</v>
      </c>
      <c r="D1613" t="s">
        <v>1559</v>
      </c>
      <c r="E1613" t="s">
        <v>1710</v>
      </c>
      <c r="F1613" s="4">
        <v>35817</v>
      </c>
      <c r="G1613" s="11">
        <v>2500000</v>
      </c>
      <c r="H1613" s="11">
        <v>0</v>
      </c>
    </row>
    <row r="1614" spans="1:8" x14ac:dyDescent="0.2">
      <c r="A1614" t="s">
        <v>480</v>
      </c>
      <c r="B1614" s="1" t="s">
        <v>481</v>
      </c>
      <c r="C1614" s="11">
        <v>10000000</v>
      </c>
      <c r="D1614" t="s">
        <v>1559</v>
      </c>
      <c r="E1614" t="s">
        <v>1710</v>
      </c>
      <c r="F1614" s="4">
        <v>35747</v>
      </c>
      <c r="G1614" s="11">
        <v>10000000.000000002</v>
      </c>
      <c r="H1614" s="11">
        <v>0</v>
      </c>
    </row>
    <row r="1615" spans="1:8" x14ac:dyDescent="0.2">
      <c r="A1615" t="s">
        <v>482</v>
      </c>
      <c r="B1615" s="1" t="s">
        <v>483</v>
      </c>
      <c r="C1615" s="11">
        <v>20000000</v>
      </c>
      <c r="D1615" t="s">
        <v>1559</v>
      </c>
      <c r="E1615" t="s">
        <v>1710</v>
      </c>
      <c r="F1615" s="4">
        <v>36349</v>
      </c>
      <c r="G1615" s="11">
        <v>20000000</v>
      </c>
      <c r="H1615" s="11">
        <v>0</v>
      </c>
    </row>
    <row r="1616" spans="1:8" x14ac:dyDescent="0.2">
      <c r="A1616" t="s">
        <v>484</v>
      </c>
      <c r="B1616" s="1" t="s">
        <v>485</v>
      </c>
      <c r="C1616" s="11">
        <v>4500000</v>
      </c>
      <c r="D1616" t="s">
        <v>1559</v>
      </c>
      <c r="E1616" t="s">
        <v>1564</v>
      </c>
      <c r="F1616" s="4">
        <v>37720</v>
      </c>
      <c r="G1616" s="11">
        <v>4500000</v>
      </c>
      <c r="H1616" s="11">
        <v>0</v>
      </c>
    </row>
    <row r="1617" spans="1:8" x14ac:dyDescent="0.2">
      <c r="A1617" t="s">
        <v>499</v>
      </c>
      <c r="B1617" s="1" t="s">
        <v>500</v>
      </c>
      <c r="C1617" s="11">
        <v>2500000</v>
      </c>
      <c r="D1617" t="s">
        <v>1559</v>
      </c>
      <c r="E1617" t="s">
        <v>1710</v>
      </c>
      <c r="F1617" s="4">
        <v>35996</v>
      </c>
      <c r="G1617" s="11">
        <v>2500000</v>
      </c>
      <c r="H1617" s="11">
        <v>0</v>
      </c>
    </row>
    <row r="1618" spans="1:8" x14ac:dyDescent="0.2">
      <c r="A1618" t="s">
        <v>521</v>
      </c>
      <c r="B1618" s="1" t="s">
        <v>522</v>
      </c>
      <c r="C1618" s="11">
        <v>1000000</v>
      </c>
      <c r="D1618" t="s">
        <v>1559</v>
      </c>
      <c r="E1618" t="s">
        <v>1710</v>
      </c>
      <c r="F1618" s="4">
        <v>35817</v>
      </c>
      <c r="G1618" s="11">
        <v>1000000</v>
      </c>
      <c r="H1618" s="11">
        <v>0</v>
      </c>
    </row>
    <row r="1619" spans="1:8" x14ac:dyDescent="0.2">
      <c r="A1619" t="s">
        <v>523</v>
      </c>
      <c r="B1619" s="1" t="s">
        <v>524</v>
      </c>
      <c r="C1619" s="11">
        <v>1000000</v>
      </c>
      <c r="D1619" t="s">
        <v>1559</v>
      </c>
      <c r="E1619" t="s">
        <v>1710</v>
      </c>
      <c r="F1619" s="4">
        <v>35817</v>
      </c>
      <c r="G1619" s="11">
        <v>1000000</v>
      </c>
      <c r="H1619" s="11">
        <v>0</v>
      </c>
    </row>
    <row r="1620" spans="1:8" x14ac:dyDescent="0.2">
      <c r="A1620" t="s">
        <v>586</v>
      </c>
      <c r="B1620" s="1" t="s">
        <v>587</v>
      </c>
      <c r="C1620" s="11">
        <v>2640733</v>
      </c>
      <c r="D1620" t="s">
        <v>1559</v>
      </c>
      <c r="E1620" t="s">
        <v>969</v>
      </c>
      <c r="F1620" s="4">
        <v>36719</v>
      </c>
      <c r="G1620" s="11">
        <v>2640733</v>
      </c>
      <c r="H1620" s="11">
        <v>0</v>
      </c>
    </row>
    <row r="1621" spans="1:8" x14ac:dyDescent="0.2">
      <c r="A1621" t="s">
        <v>588</v>
      </c>
      <c r="B1621" s="1" t="s">
        <v>589</v>
      </c>
      <c r="C1621" s="11">
        <v>17500000</v>
      </c>
      <c r="D1621" t="s">
        <v>1559</v>
      </c>
      <c r="E1621" t="s">
        <v>1710</v>
      </c>
      <c r="F1621" s="4">
        <v>36278</v>
      </c>
      <c r="G1621" s="11">
        <v>17500000.000000004</v>
      </c>
      <c r="H1621" s="11">
        <v>0</v>
      </c>
    </row>
    <row r="1622" spans="1:8" x14ac:dyDescent="0.2">
      <c r="A1622" t="s">
        <v>1941</v>
      </c>
      <c r="B1622" s="1" t="s">
        <v>1942</v>
      </c>
      <c r="C1622" s="11">
        <v>7000000</v>
      </c>
      <c r="D1622" t="s">
        <v>1559</v>
      </c>
      <c r="E1622" t="s">
        <v>516</v>
      </c>
      <c r="F1622" s="4">
        <v>37579</v>
      </c>
      <c r="G1622" s="11">
        <v>7000000</v>
      </c>
      <c r="H1622" s="11">
        <v>0</v>
      </c>
    </row>
    <row r="1623" spans="1:8" x14ac:dyDescent="0.2">
      <c r="A1623" t="s">
        <v>1943</v>
      </c>
      <c r="B1623" s="1" t="s">
        <v>1944</v>
      </c>
      <c r="C1623" s="11">
        <v>2500000</v>
      </c>
      <c r="D1623" t="s">
        <v>1559</v>
      </c>
      <c r="E1623" t="s">
        <v>969</v>
      </c>
      <c r="F1623" s="4">
        <v>36578</v>
      </c>
      <c r="G1623" s="11">
        <v>2500000</v>
      </c>
      <c r="H1623" s="11">
        <v>0</v>
      </c>
    </row>
    <row r="1624" spans="1:8" x14ac:dyDescent="0.2">
      <c r="A1624" t="s">
        <v>1952</v>
      </c>
      <c r="B1624" s="1" t="s">
        <v>1953</v>
      </c>
      <c r="C1624" s="11">
        <v>2500000</v>
      </c>
      <c r="D1624" t="s">
        <v>1559</v>
      </c>
      <c r="E1624" t="s">
        <v>1710</v>
      </c>
      <c r="F1624" s="4">
        <v>37189</v>
      </c>
      <c r="G1624" s="11">
        <v>2500000</v>
      </c>
      <c r="H1624" s="11">
        <v>0</v>
      </c>
    </row>
    <row r="1625" spans="1:8" x14ac:dyDescent="0.2">
      <c r="A1625" t="s">
        <v>1954</v>
      </c>
      <c r="B1625" s="1" t="s">
        <v>1955</v>
      </c>
      <c r="C1625" s="11">
        <v>2000000</v>
      </c>
      <c r="D1625" t="s">
        <v>1559</v>
      </c>
      <c r="E1625" t="s">
        <v>1710</v>
      </c>
      <c r="F1625" s="4">
        <v>37189</v>
      </c>
      <c r="G1625" s="11">
        <v>2000000</v>
      </c>
      <c r="H1625" s="11">
        <v>0</v>
      </c>
    </row>
    <row r="1626" spans="1:8" x14ac:dyDescent="0.2">
      <c r="A1626" t="s">
        <v>1959</v>
      </c>
      <c r="B1626" s="1" t="s">
        <v>1960</v>
      </c>
      <c r="C1626" s="11">
        <v>5000000</v>
      </c>
      <c r="D1626" t="s">
        <v>1559</v>
      </c>
      <c r="E1626" t="s">
        <v>969</v>
      </c>
      <c r="F1626" s="4">
        <v>36731</v>
      </c>
      <c r="G1626" s="11">
        <v>4998897</v>
      </c>
      <c r="H1626" s="11">
        <v>1103</v>
      </c>
    </row>
    <row r="1627" spans="1:8" x14ac:dyDescent="0.2">
      <c r="A1627" t="s">
        <v>1993</v>
      </c>
      <c r="B1627" s="1" t="s">
        <v>1994</v>
      </c>
      <c r="C1627" s="11">
        <v>227800</v>
      </c>
      <c r="D1627" t="s">
        <v>1559</v>
      </c>
      <c r="E1627" t="s">
        <v>1710</v>
      </c>
      <c r="F1627" s="4">
        <v>36719</v>
      </c>
      <c r="G1627" s="11">
        <v>227800</v>
      </c>
      <c r="H1627" s="11">
        <v>0</v>
      </c>
    </row>
    <row r="1628" spans="1:8" x14ac:dyDescent="0.2">
      <c r="A1628" t="s">
        <v>1995</v>
      </c>
      <c r="B1628" s="1" t="s">
        <v>1996</v>
      </c>
      <c r="C1628" s="11">
        <v>85000000</v>
      </c>
      <c r="D1628" t="s">
        <v>1559</v>
      </c>
      <c r="E1628" t="s">
        <v>1710</v>
      </c>
      <c r="F1628" s="4">
        <v>36934</v>
      </c>
      <c r="G1628" s="11">
        <v>85000000</v>
      </c>
      <c r="H1628" s="11">
        <v>0</v>
      </c>
    </row>
    <row r="1629" spans="1:8" x14ac:dyDescent="0.2">
      <c r="A1629" t="s">
        <v>1997</v>
      </c>
      <c r="B1629" s="1" t="s">
        <v>1998</v>
      </c>
      <c r="C1629" s="11">
        <v>85000000</v>
      </c>
      <c r="D1629" t="s">
        <v>1559</v>
      </c>
      <c r="E1629" t="s">
        <v>1710</v>
      </c>
      <c r="F1629" s="4">
        <v>36934</v>
      </c>
      <c r="G1629" s="11">
        <v>85000000</v>
      </c>
      <c r="H1629" s="11">
        <v>0</v>
      </c>
    </row>
    <row r="1630" spans="1:8" x14ac:dyDescent="0.2">
      <c r="A1630" t="s">
        <v>2003</v>
      </c>
      <c r="B1630" s="1" t="s">
        <v>2004</v>
      </c>
      <c r="C1630" s="11">
        <v>10000000</v>
      </c>
      <c r="D1630" t="s">
        <v>1559</v>
      </c>
      <c r="E1630" t="s">
        <v>1710</v>
      </c>
      <c r="F1630" s="4">
        <v>36881</v>
      </c>
      <c r="G1630" s="11">
        <v>10000000</v>
      </c>
      <c r="H1630" s="11">
        <v>0</v>
      </c>
    </row>
    <row r="1631" spans="1:8" x14ac:dyDescent="0.2">
      <c r="A1631" t="s">
        <v>2014</v>
      </c>
      <c r="B1631" s="1" t="s">
        <v>2015</v>
      </c>
      <c r="C1631" s="11">
        <v>22500000</v>
      </c>
      <c r="D1631" t="s">
        <v>1559</v>
      </c>
      <c r="E1631" t="s">
        <v>1710</v>
      </c>
      <c r="F1631" s="4">
        <v>36776</v>
      </c>
      <c r="G1631" s="11">
        <v>22499999.530000001</v>
      </c>
      <c r="H1631" s="11">
        <v>0.47</v>
      </c>
    </row>
    <row r="1632" spans="1:8" x14ac:dyDescent="0.2">
      <c r="A1632" t="s">
        <v>1376</v>
      </c>
      <c r="B1632" s="1" t="s">
        <v>1377</v>
      </c>
      <c r="C1632" s="11">
        <v>2000000</v>
      </c>
      <c r="D1632" t="s">
        <v>1559</v>
      </c>
      <c r="E1632" t="s">
        <v>969</v>
      </c>
      <c r="F1632" s="4">
        <v>36469</v>
      </c>
      <c r="G1632" s="11">
        <v>1975460</v>
      </c>
      <c r="H1632" s="11">
        <v>24540</v>
      </c>
    </row>
    <row r="1633" spans="1:8" x14ac:dyDescent="0.2">
      <c r="A1633" t="s">
        <v>2016</v>
      </c>
      <c r="B1633" s="1" t="s">
        <v>2017</v>
      </c>
      <c r="C1633" s="11">
        <v>1800000</v>
      </c>
      <c r="D1633" t="s">
        <v>1559</v>
      </c>
      <c r="E1633" t="s">
        <v>969</v>
      </c>
      <c r="F1633" s="4">
        <v>36719</v>
      </c>
      <c r="G1633" s="11">
        <v>1800000</v>
      </c>
      <c r="H1633" s="11">
        <v>0</v>
      </c>
    </row>
    <row r="1634" spans="1:8" x14ac:dyDescent="0.2">
      <c r="A1634" t="s">
        <v>2023</v>
      </c>
      <c r="B1634" s="1" t="s">
        <v>2024</v>
      </c>
      <c r="C1634" s="11">
        <v>15000000</v>
      </c>
      <c r="D1634" t="s">
        <v>1559</v>
      </c>
      <c r="E1634" t="s">
        <v>969</v>
      </c>
      <c r="F1634" s="4">
        <v>36795</v>
      </c>
      <c r="G1634" s="11">
        <v>15000000</v>
      </c>
      <c r="H1634" s="11">
        <v>0</v>
      </c>
    </row>
    <row r="1635" spans="1:8" x14ac:dyDescent="0.2">
      <c r="A1635" t="s">
        <v>2027</v>
      </c>
      <c r="B1635" s="1" t="s">
        <v>2028</v>
      </c>
      <c r="C1635" s="11">
        <v>2700000</v>
      </c>
      <c r="D1635" t="s">
        <v>1559</v>
      </c>
      <c r="E1635" t="s">
        <v>313</v>
      </c>
      <c r="F1635" s="4">
        <v>36719</v>
      </c>
      <c r="G1635" s="11">
        <v>2700000</v>
      </c>
      <c r="H1635" s="11">
        <v>0</v>
      </c>
    </row>
    <row r="1636" spans="1:8" x14ac:dyDescent="0.2">
      <c r="A1636" t="s">
        <v>2029</v>
      </c>
      <c r="B1636" s="1" t="s">
        <v>2030</v>
      </c>
      <c r="C1636" s="11">
        <v>2500000</v>
      </c>
      <c r="D1636" t="s">
        <v>1559</v>
      </c>
      <c r="E1636" t="s">
        <v>2107</v>
      </c>
      <c r="F1636" s="4">
        <v>36934</v>
      </c>
      <c r="G1636" s="11">
        <v>2500000</v>
      </c>
      <c r="H1636" s="11">
        <v>0</v>
      </c>
    </row>
    <row r="1637" spans="1:8" x14ac:dyDescent="0.2">
      <c r="A1637" t="s">
        <v>2039</v>
      </c>
      <c r="B1637" s="1" t="s">
        <v>2040</v>
      </c>
      <c r="C1637" s="11">
        <v>1000000</v>
      </c>
      <c r="D1637" t="s">
        <v>1559</v>
      </c>
      <c r="E1637" t="s">
        <v>1577</v>
      </c>
      <c r="F1637" s="4">
        <v>36549</v>
      </c>
      <c r="G1637" s="11">
        <v>748578</v>
      </c>
      <c r="H1637" s="11">
        <v>251422</v>
      </c>
    </row>
    <row r="1638" spans="1:8" x14ac:dyDescent="0.2">
      <c r="A1638" t="s">
        <v>2060</v>
      </c>
      <c r="B1638" s="1" t="s">
        <v>2061</v>
      </c>
      <c r="C1638" s="11">
        <v>3150000</v>
      </c>
      <c r="D1638" t="s">
        <v>1559</v>
      </c>
      <c r="E1638" t="s">
        <v>290</v>
      </c>
      <c r="F1638" s="4">
        <v>36549</v>
      </c>
      <c r="G1638" s="11">
        <v>3150000</v>
      </c>
      <c r="H1638" s="11">
        <v>0</v>
      </c>
    </row>
    <row r="1639" spans="1:8" x14ac:dyDescent="0.2">
      <c r="A1639" t="s">
        <v>689</v>
      </c>
      <c r="B1639" s="1" t="s">
        <v>690</v>
      </c>
      <c r="C1639" s="11">
        <v>4000000</v>
      </c>
      <c r="D1639" t="s">
        <v>1559</v>
      </c>
      <c r="E1639" t="s">
        <v>1710</v>
      </c>
      <c r="F1639" s="4">
        <v>36236</v>
      </c>
      <c r="G1639" s="11">
        <v>4000000</v>
      </c>
      <c r="H1639" s="11">
        <v>0</v>
      </c>
    </row>
    <row r="1640" spans="1:8" x14ac:dyDescent="0.2">
      <c r="A1640" t="s">
        <v>817</v>
      </c>
      <c r="B1640" s="1" t="s">
        <v>818</v>
      </c>
      <c r="C1640" s="11">
        <v>5000000</v>
      </c>
      <c r="D1640" t="s">
        <v>1559</v>
      </c>
      <c r="E1640" t="s">
        <v>1710</v>
      </c>
      <c r="F1640" s="4">
        <v>35996</v>
      </c>
      <c r="G1640" s="11">
        <v>5000000</v>
      </c>
      <c r="H1640" s="11">
        <v>0</v>
      </c>
    </row>
    <row r="1641" spans="1:8" x14ac:dyDescent="0.2">
      <c r="A1641" t="s">
        <v>819</v>
      </c>
      <c r="B1641" s="1" t="s">
        <v>820</v>
      </c>
      <c r="C1641" s="11">
        <v>5000000</v>
      </c>
      <c r="D1641" t="s">
        <v>1559</v>
      </c>
      <c r="E1641" t="s">
        <v>969</v>
      </c>
      <c r="F1641" s="4">
        <v>37244</v>
      </c>
      <c r="G1641" s="11">
        <v>5000000</v>
      </c>
      <c r="H1641" s="11">
        <v>0</v>
      </c>
    </row>
    <row r="1642" spans="1:8" x14ac:dyDescent="0.2">
      <c r="A1642" t="s">
        <v>821</v>
      </c>
      <c r="B1642" s="1" t="s">
        <v>822</v>
      </c>
      <c r="C1642" s="11">
        <v>2500000</v>
      </c>
      <c r="D1642" t="s">
        <v>1559</v>
      </c>
      <c r="E1642" t="s">
        <v>969</v>
      </c>
      <c r="F1642" s="4">
        <v>37244</v>
      </c>
      <c r="G1642" s="11">
        <v>2500000</v>
      </c>
      <c r="H1642" s="11">
        <v>0</v>
      </c>
    </row>
    <row r="1643" spans="1:8" x14ac:dyDescent="0.2">
      <c r="A1643" t="s">
        <v>823</v>
      </c>
      <c r="B1643" s="1" t="s">
        <v>824</v>
      </c>
      <c r="C1643" s="11">
        <v>5000000</v>
      </c>
      <c r="D1643" t="s">
        <v>1559</v>
      </c>
      <c r="E1643" t="s">
        <v>885</v>
      </c>
      <c r="F1643" s="4">
        <v>38244</v>
      </c>
      <c r="G1643" s="11">
        <v>5000000</v>
      </c>
      <c r="H1643" s="11">
        <v>0</v>
      </c>
    </row>
    <row r="1644" spans="1:8" x14ac:dyDescent="0.2">
      <c r="A1644" t="s">
        <v>1532</v>
      </c>
      <c r="B1644" s="1" t="s">
        <v>1533</v>
      </c>
      <c r="C1644" s="11">
        <v>500000</v>
      </c>
      <c r="D1644" t="s">
        <v>1559</v>
      </c>
      <c r="E1644" t="s">
        <v>885</v>
      </c>
      <c r="F1644" s="4">
        <v>38876</v>
      </c>
      <c r="G1644" s="11">
        <v>500000</v>
      </c>
      <c r="H1644" s="11">
        <v>0</v>
      </c>
    </row>
    <row r="1645" spans="1:8" x14ac:dyDescent="0.2">
      <c r="A1645" t="s">
        <v>1623</v>
      </c>
      <c r="B1645" s="1" t="s">
        <v>1624</v>
      </c>
      <c r="C1645" s="11">
        <v>500000</v>
      </c>
      <c r="D1645" t="s">
        <v>1559</v>
      </c>
      <c r="E1645" t="s">
        <v>885</v>
      </c>
      <c r="F1645" s="4">
        <v>38916</v>
      </c>
      <c r="G1645" s="11">
        <v>500000</v>
      </c>
      <c r="H1645" s="11">
        <v>0</v>
      </c>
    </row>
    <row r="1646" spans="1:8" x14ac:dyDescent="0.2">
      <c r="A1646" t="s">
        <v>1879</v>
      </c>
      <c r="B1646" s="1" t="s">
        <v>1880</v>
      </c>
      <c r="C1646" s="11">
        <v>250000</v>
      </c>
      <c r="D1646" t="s">
        <v>1559</v>
      </c>
      <c r="E1646" t="s">
        <v>885</v>
      </c>
      <c r="F1646" s="4">
        <v>39118</v>
      </c>
      <c r="G1646" s="11">
        <v>250000</v>
      </c>
      <c r="H1646" s="11">
        <v>0</v>
      </c>
    </row>
    <row r="1647" spans="1:8" x14ac:dyDescent="0.2">
      <c r="A1647" t="s">
        <v>883</v>
      </c>
      <c r="B1647" s="1" t="s">
        <v>884</v>
      </c>
      <c r="C1647" s="11">
        <v>1000000</v>
      </c>
      <c r="D1647" t="s">
        <v>1559</v>
      </c>
      <c r="E1647" t="s">
        <v>885</v>
      </c>
      <c r="F1647" s="4">
        <v>39651</v>
      </c>
      <c r="G1647" s="11">
        <v>1000000</v>
      </c>
      <c r="H1647" s="11">
        <v>0</v>
      </c>
    </row>
    <row r="1648" spans="1:8" x14ac:dyDescent="0.2">
      <c r="A1648" t="s">
        <v>891</v>
      </c>
      <c r="B1648" s="1" t="s">
        <v>892</v>
      </c>
      <c r="C1648" s="11">
        <v>250000</v>
      </c>
      <c r="D1648" t="s">
        <v>1559</v>
      </c>
      <c r="E1648" t="s">
        <v>885</v>
      </c>
      <c r="F1648" s="4">
        <v>39772</v>
      </c>
      <c r="G1648" s="11">
        <v>250000</v>
      </c>
      <c r="H1648" s="11">
        <v>0</v>
      </c>
    </row>
    <row r="1649" spans="1:8" x14ac:dyDescent="0.2">
      <c r="A1649" t="s">
        <v>2914</v>
      </c>
      <c r="B1649" s="1" t="s">
        <v>2915</v>
      </c>
      <c r="C1649" s="11">
        <v>250000</v>
      </c>
      <c r="D1649" t="s">
        <v>1559</v>
      </c>
      <c r="E1649" t="s">
        <v>885</v>
      </c>
      <c r="F1649" s="4">
        <v>40325</v>
      </c>
      <c r="G1649" s="11">
        <v>250000</v>
      </c>
      <c r="H1649" s="11">
        <v>0</v>
      </c>
    </row>
    <row r="1650" spans="1:8" x14ac:dyDescent="0.2">
      <c r="A1650" t="s">
        <v>3232</v>
      </c>
      <c r="B1650" s="1" t="s">
        <v>3233</v>
      </c>
      <c r="C1650" s="11">
        <v>1000000</v>
      </c>
      <c r="D1650" t="s">
        <v>1559</v>
      </c>
      <c r="E1650" t="s">
        <v>885</v>
      </c>
      <c r="F1650" s="4">
        <v>40407</v>
      </c>
      <c r="G1650" s="11">
        <v>1000000</v>
      </c>
      <c r="H1650" s="11">
        <v>0</v>
      </c>
    </row>
    <row r="1651" spans="1:8" x14ac:dyDescent="0.2">
      <c r="A1651" t="s">
        <v>2194</v>
      </c>
      <c r="B1651" s="1" t="s">
        <v>2195</v>
      </c>
      <c r="C1651" s="11">
        <v>0</v>
      </c>
      <c r="D1651" t="s">
        <v>1559</v>
      </c>
      <c r="E1651" t="s">
        <v>1710</v>
      </c>
      <c r="F1651" s="4">
        <v>35996</v>
      </c>
      <c r="G1651" s="11">
        <v>0</v>
      </c>
      <c r="H1651" s="11">
        <v>0</v>
      </c>
    </row>
    <row r="1652" spans="1:8" x14ac:dyDescent="0.2">
      <c r="A1652" t="s">
        <v>1378</v>
      </c>
      <c r="B1652" s="1" t="s">
        <v>1379</v>
      </c>
      <c r="C1652" s="11">
        <v>500000</v>
      </c>
      <c r="D1652" t="s">
        <v>1559</v>
      </c>
      <c r="E1652" t="s">
        <v>1710</v>
      </c>
      <c r="F1652" s="4">
        <v>36282</v>
      </c>
      <c r="G1652" s="11">
        <v>418334</v>
      </c>
      <c r="H1652" s="11">
        <v>81666</v>
      </c>
    </row>
    <row r="1653" spans="1:8" x14ac:dyDescent="0.2">
      <c r="A1653" t="s">
        <v>2196</v>
      </c>
      <c r="B1653" s="1" t="s">
        <v>2197</v>
      </c>
      <c r="C1653" s="11">
        <v>750000</v>
      </c>
      <c r="D1653" t="s">
        <v>1559</v>
      </c>
      <c r="E1653" t="s">
        <v>969</v>
      </c>
      <c r="F1653" s="4">
        <v>36719</v>
      </c>
      <c r="G1653" s="11">
        <v>750000</v>
      </c>
      <c r="H1653" s="11">
        <v>0</v>
      </c>
    </row>
    <row r="1654" spans="1:8" x14ac:dyDescent="0.2">
      <c r="A1654" t="s">
        <v>123</v>
      </c>
      <c r="B1654" s="1" t="s">
        <v>1117</v>
      </c>
      <c r="C1654" s="11">
        <v>250000</v>
      </c>
      <c r="D1654" t="s">
        <v>1559</v>
      </c>
      <c r="E1654" t="s">
        <v>888</v>
      </c>
      <c r="F1654" s="4">
        <v>39945</v>
      </c>
      <c r="G1654" s="11">
        <v>250000</v>
      </c>
      <c r="H1654" s="11">
        <v>0</v>
      </c>
    </row>
    <row r="1655" spans="1:8" x14ac:dyDescent="0.2">
      <c r="A1655" t="s">
        <v>2198</v>
      </c>
      <c r="B1655" s="1" t="s">
        <v>2199</v>
      </c>
      <c r="C1655" s="11">
        <v>2000000</v>
      </c>
      <c r="D1655" t="s">
        <v>1559</v>
      </c>
      <c r="E1655" t="s">
        <v>1710</v>
      </c>
      <c r="F1655" s="4">
        <v>36719</v>
      </c>
      <c r="G1655" s="11">
        <v>2000000</v>
      </c>
      <c r="H1655" s="11">
        <v>0</v>
      </c>
    </row>
    <row r="1656" spans="1:8" x14ac:dyDescent="0.2">
      <c r="A1656" t="s">
        <v>2200</v>
      </c>
      <c r="B1656" s="1" t="s">
        <v>1503</v>
      </c>
      <c r="C1656" s="11">
        <v>1500000</v>
      </c>
      <c r="D1656" t="s">
        <v>1559</v>
      </c>
      <c r="E1656" t="s">
        <v>969</v>
      </c>
      <c r="F1656" s="4">
        <v>36719</v>
      </c>
      <c r="G1656" s="11">
        <v>1500000</v>
      </c>
      <c r="H1656" s="11">
        <v>0</v>
      </c>
    </row>
    <row r="1657" spans="1:8" x14ac:dyDescent="0.2">
      <c r="A1657" t="s">
        <v>2201</v>
      </c>
      <c r="B1657" s="1" t="s">
        <v>2202</v>
      </c>
      <c r="C1657" s="11">
        <v>1000000</v>
      </c>
      <c r="D1657" t="s">
        <v>1559</v>
      </c>
      <c r="E1657" t="s">
        <v>969</v>
      </c>
      <c r="F1657" s="4">
        <v>37071</v>
      </c>
      <c r="G1657" s="11">
        <v>0</v>
      </c>
      <c r="H1657" s="11">
        <v>1000000</v>
      </c>
    </row>
    <row r="1658" spans="1:8" x14ac:dyDescent="0.2">
      <c r="A1658" t="s">
        <v>2203</v>
      </c>
      <c r="B1658" s="1" t="s">
        <v>2204</v>
      </c>
      <c r="C1658" s="11">
        <v>0</v>
      </c>
      <c r="D1658" t="s">
        <v>1559</v>
      </c>
      <c r="E1658" t="s">
        <v>969</v>
      </c>
      <c r="F1658" s="4">
        <v>36719</v>
      </c>
      <c r="G1658" s="11">
        <v>0</v>
      </c>
      <c r="H1658" s="11">
        <v>0</v>
      </c>
    </row>
    <row r="1659" spans="1:8" x14ac:dyDescent="0.2">
      <c r="A1659" t="s">
        <v>2232</v>
      </c>
      <c r="B1659" s="1" t="s">
        <v>2233</v>
      </c>
      <c r="C1659" s="11">
        <v>8000000</v>
      </c>
      <c r="D1659" t="s">
        <v>1559</v>
      </c>
      <c r="E1659" t="s">
        <v>969</v>
      </c>
      <c r="F1659" s="4">
        <v>37613</v>
      </c>
      <c r="G1659" s="11">
        <v>8000000</v>
      </c>
      <c r="H1659" s="11">
        <v>0</v>
      </c>
    </row>
    <row r="1660" spans="1:8" x14ac:dyDescent="0.2">
      <c r="A1660" t="s">
        <v>2241</v>
      </c>
      <c r="B1660" s="1" t="s">
        <v>2242</v>
      </c>
      <c r="C1660" s="11">
        <v>3742000</v>
      </c>
      <c r="D1660" t="s">
        <v>1559</v>
      </c>
      <c r="E1660" t="s">
        <v>969</v>
      </c>
      <c r="F1660" s="4">
        <v>37608</v>
      </c>
      <c r="G1660" s="11">
        <v>3742000</v>
      </c>
      <c r="H1660" s="11">
        <v>0</v>
      </c>
    </row>
    <row r="1661" spans="1:8" x14ac:dyDescent="0.2">
      <c r="A1661" t="s">
        <v>2243</v>
      </c>
      <c r="B1661" s="1" t="s">
        <v>2244</v>
      </c>
      <c r="C1661" s="11">
        <v>4500000</v>
      </c>
      <c r="D1661" t="s">
        <v>1559</v>
      </c>
      <c r="E1661" t="s">
        <v>2107</v>
      </c>
      <c r="F1661" s="4">
        <v>37760</v>
      </c>
      <c r="G1661" s="11">
        <v>4500000</v>
      </c>
      <c r="H1661" s="11">
        <v>0</v>
      </c>
    </row>
    <row r="1662" spans="1:8" x14ac:dyDescent="0.2">
      <c r="A1662" t="s">
        <v>2245</v>
      </c>
      <c r="B1662" s="1" t="s">
        <v>2246</v>
      </c>
      <c r="C1662" s="11">
        <v>1250000</v>
      </c>
      <c r="D1662" t="s">
        <v>1559</v>
      </c>
      <c r="E1662" t="s">
        <v>969</v>
      </c>
      <c r="F1662" s="4">
        <v>37579</v>
      </c>
      <c r="G1662" s="11">
        <v>1250000</v>
      </c>
      <c r="H1662" s="11">
        <v>0</v>
      </c>
    </row>
    <row r="1663" spans="1:8" x14ac:dyDescent="0.2">
      <c r="A1663" t="s">
        <v>2247</v>
      </c>
      <c r="B1663" s="1" t="s">
        <v>2248</v>
      </c>
      <c r="C1663" s="11">
        <v>0</v>
      </c>
      <c r="D1663" t="s">
        <v>1559</v>
      </c>
      <c r="E1663" t="s">
        <v>516</v>
      </c>
      <c r="F1663" s="4">
        <v>37579</v>
      </c>
      <c r="G1663" s="11">
        <v>0</v>
      </c>
      <c r="H1663" s="11">
        <v>0</v>
      </c>
    </row>
    <row r="1664" spans="1:8" x14ac:dyDescent="0.2">
      <c r="A1664" t="s">
        <v>2285</v>
      </c>
      <c r="B1664" s="1" t="s">
        <v>2286</v>
      </c>
      <c r="C1664" s="11">
        <v>2300000</v>
      </c>
      <c r="D1664" t="s">
        <v>1559</v>
      </c>
      <c r="E1664" t="s">
        <v>2107</v>
      </c>
      <c r="F1664" s="4">
        <v>37595</v>
      </c>
      <c r="G1664" s="11">
        <v>2300000</v>
      </c>
      <c r="H1664" s="11">
        <v>0</v>
      </c>
    </row>
    <row r="1665" spans="1:8" x14ac:dyDescent="0.2">
      <c r="A1665" t="s">
        <v>2287</v>
      </c>
      <c r="B1665" s="1" t="s">
        <v>2288</v>
      </c>
      <c r="C1665" s="11">
        <v>5800000</v>
      </c>
      <c r="D1665" t="s">
        <v>1559</v>
      </c>
      <c r="E1665" t="s">
        <v>516</v>
      </c>
      <c r="F1665" s="4">
        <v>37597</v>
      </c>
      <c r="G1665" s="11">
        <v>5800000</v>
      </c>
      <c r="H1665" s="11">
        <v>0</v>
      </c>
    </row>
    <row r="1666" spans="1:8" x14ac:dyDescent="0.2">
      <c r="A1666" t="s">
        <v>2299</v>
      </c>
      <c r="B1666" s="1" t="s">
        <v>2300</v>
      </c>
      <c r="C1666" s="11">
        <v>850000</v>
      </c>
      <c r="D1666" t="s">
        <v>1559</v>
      </c>
      <c r="E1666" t="s">
        <v>969</v>
      </c>
      <c r="F1666" s="4">
        <v>36719</v>
      </c>
      <c r="G1666" s="11">
        <v>0</v>
      </c>
      <c r="H1666" s="11">
        <v>850000</v>
      </c>
    </row>
    <row r="1667" spans="1:8" x14ac:dyDescent="0.2">
      <c r="A1667" t="s">
        <v>2309</v>
      </c>
      <c r="B1667" s="1" t="s">
        <v>2310</v>
      </c>
      <c r="C1667" s="11">
        <v>18000000</v>
      </c>
      <c r="D1667" t="s">
        <v>1559</v>
      </c>
      <c r="E1667" t="s">
        <v>969</v>
      </c>
      <c r="F1667" s="4">
        <v>36685</v>
      </c>
      <c r="G1667" s="11">
        <v>18000000</v>
      </c>
      <c r="H1667" s="11">
        <v>0</v>
      </c>
    </row>
    <row r="1668" spans="1:8" x14ac:dyDescent="0.2">
      <c r="A1668" t="s">
        <v>2341</v>
      </c>
      <c r="B1668" s="1" t="s">
        <v>2342</v>
      </c>
      <c r="C1668" s="11">
        <v>5000000</v>
      </c>
      <c r="D1668" t="s">
        <v>1559</v>
      </c>
      <c r="E1668" t="s">
        <v>2107</v>
      </c>
      <c r="F1668" s="4">
        <v>37579</v>
      </c>
      <c r="G1668" s="11">
        <v>5000000</v>
      </c>
      <c r="H1668" s="11">
        <v>0</v>
      </c>
    </row>
    <row r="1669" spans="1:8" x14ac:dyDescent="0.2">
      <c r="A1669" t="s">
        <v>2343</v>
      </c>
      <c r="B1669" s="1" t="s">
        <v>2344</v>
      </c>
      <c r="C1669" s="11">
        <v>500000</v>
      </c>
      <c r="D1669" t="s">
        <v>1559</v>
      </c>
      <c r="E1669" t="s">
        <v>885</v>
      </c>
      <c r="F1669" s="4">
        <v>38428</v>
      </c>
      <c r="G1669" s="11">
        <v>500000</v>
      </c>
      <c r="H1669" s="11">
        <v>0</v>
      </c>
    </row>
    <row r="1670" spans="1:8" x14ac:dyDescent="0.2">
      <c r="A1670" t="s">
        <v>1629</v>
      </c>
      <c r="B1670" s="1" t="s">
        <v>1630</v>
      </c>
      <c r="C1670" s="11">
        <v>1000000</v>
      </c>
      <c r="D1670" t="s">
        <v>1559</v>
      </c>
      <c r="E1670" t="s">
        <v>885</v>
      </c>
      <c r="F1670" s="4">
        <v>38985</v>
      </c>
      <c r="G1670" s="11">
        <v>1000000</v>
      </c>
      <c r="H1670" s="11">
        <v>0</v>
      </c>
    </row>
    <row r="1671" spans="1:8" x14ac:dyDescent="0.2">
      <c r="A1671" t="s">
        <v>1631</v>
      </c>
      <c r="B1671" s="1" t="s">
        <v>1632</v>
      </c>
      <c r="C1671" s="11">
        <v>1925000</v>
      </c>
      <c r="D1671" t="s">
        <v>1559</v>
      </c>
      <c r="E1671" t="s">
        <v>885</v>
      </c>
      <c r="F1671" s="4">
        <v>38985</v>
      </c>
      <c r="G1671" s="11">
        <v>1925000</v>
      </c>
      <c r="H1671" s="11">
        <v>0</v>
      </c>
    </row>
    <row r="1672" spans="1:8" x14ac:dyDescent="0.2">
      <c r="A1672" t="s">
        <v>893</v>
      </c>
      <c r="B1672" s="1" t="s">
        <v>894</v>
      </c>
      <c r="C1672" s="11">
        <v>1250000</v>
      </c>
      <c r="D1672" t="s">
        <v>1559</v>
      </c>
      <c r="E1672" t="s">
        <v>885</v>
      </c>
      <c r="F1672" s="4">
        <v>39751</v>
      </c>
      <c r="G1672" s="11">
        <v>1250000</v>
      </c>
      <c r="H1672" s="11">
        <v>0</v>
      </c>
    </row>
    <row r="1673" spans="1:8" x14ac:dyDescent="0.2">
      <c r="A1673" t="s">
        <v>3904</v>
      </c>
      <c r="B1673" s="1" t="s">
        <v>3905</v>
      </c>
      <c r="C1673" s="11">
        <v>250000</v>
      </c>
      <c r="D1673" t="s">
        <v>1559</v>
      </c>
      <c r="E1673" t="s">
        <v>2107</v>
      </c>
      <c r="F1673" s="4">
        <v>40532</v>
      </c>
      <c r="G1673" s="11">
        <v>0</v>
      </c>
      <c r="H1673" s="11">
        <v>250000</v>
      </c>
    </row>
    <row r="1674" spans="1:8" x14ac:dyDescent="0.2">
      <c r="A1674" t="s">
        <v>2359</v>
      </c>
      <c r="B1674" s="1" t="s">
        <v>2360</v>
      </c>
      <c r="C1674" s="11">
        <v>1000000</v>
      </c>
      <c r="D1674" t="s">
        <v>1559</v>
      </c>
      <c r="E1674" t="s">
        <v>516</v>
      </c>
      <c r="F1674" s="4">
        <v>37613</v>
      </c>
      <c r="G1674" s="11">
        <v>1000000</v>
      </c>
      <c r="H1674" s="11">
        <v>0</v>
      </c>
    </row>
    <row r="1675" spans="1:8" x14ac:dyDescent="0.2">
      <c r="A1675" t="s">
        <v>2362</v>
      </c>
      <c r="B1675" s="1" t="s">
        <v>2363</v>
      </c>
      <c r="C1675" s="11">
        <v>350000</v>
      </c>
      <c r="D1675" t="s">
        <v>1559</v>
      </c>
      <c r="E1675" t="s">
        <v>516</v>
      </c>
      <c r="F1675" s="4">
        <v>37725</v>
      </c>
      <c r="G1675" s="11">
        <v>350000</v>
      </c>
      <c r="H1675" s="11">
        <v>0</v>
      </c>
    </row>
    <row r="1676" spans="1:8" x14ac:dyDescent="0.2">
      <c r="A1676" t="s">
        <v>2364</v>
      </c>
      <c r="B1676" s="1" t="s">
        <v>2365</v>
      </c>
      <c r="C1676" s="11">
        <v>5000000</v>
      </c>
      <c r="D1676" t="s">
        <v>1559</v>
      </c>
      <c r="E1676" t="s">
        <v>516</v>
      </c>
      <c r="F1676" s="4">
        <v>37609</v>
      </c>
      <c r="G1676" s="11">
        <v>5000000</v>
      </c>
      <c r="H1676" s="11">
        <v>0</v>
      </c>
    </row>
    <row r="1677" spans="1:8" x14ac:dyDescent="0.2">
      <c r="A1677" t="s">
        <v>2373</v>
      </c>
      <c r="B1677" s="1" t="s">
        <v>2374</v>
      </c>
      <c r="C1677" s="11">
        <v>12500000</v>
      </c>
      <c r="D1677" t="s">
        <v>1559</v>
      </c>
      <c r="E1677" t="s">
        <v>969</v>
      </c>
      <c r="F1677" s="4">
        <v>37533</v>
      </c>
      <c r="G1677" s="11">
        <v>12500000</v>
      </c>
      <c r="H1677" s="11">
        <v>0</v>
      </c>
    </row>
    <row r="1678" spans="1:8" x14ac:dyDescent="0.2">
      <c r="A1678" t="s">
        <v>2375</v>
      </c>
      <c r="B1678" s="1" t="s">
        <v>2374</v>
      </c>
      <c r="C1678" s="11">
        <v>12500000</v>
      </c>
      <c r="D1678" t="s">
        <v>1559</v>
      </c>
      <c r="E1678" t="s">
        <v>516</v>
      </c>
      <c r="F1678" s="4">
        <v>37579</v>
      </c>
      <c r="G1678" s="11">
        <v>12500000</v>
      </c>
      <c r="H1678" s="11">
        <v>0</v>
      </c>
    </row>
    <row r="1679" spans="1:8" x14ac:dyDescent="0.2">
      <c r="A1679" t="s">
        <v>1534</v>
      </c>
      <c r="B1679" s="1" t="s">
        <v>1535</v>
      </c>
      <c r="C1679" s="11">
        <v>25000000</v>
      </c>
      <c r="D1679" t="s">
        <v>1559</v>
      </c>
      <c r="E1679" t="s">
        <v>885</v>
      </c>
      <c r="F1679" s="4">
        <v>38881</v>
      </c>
      <c r="G1679" s="11">
        <v>25000000</v>
      </c>
      <c r="H1679" s="11">
        <v>0</v>
      </c>
    </row>
    <row r="1680" spans="1:8" x14ac:dyDescent="0.2">
      <c r="A1680" t="s">
        <v>746</v>
      </c>
      <c r="B1680" s="1" t="s">
        <v>747</v>
      </c>
      <c r="C1680" s="11">
        <v>15000000</v>
      </c>
      <c r="D1680" t="s">
        <v>1559</v>
      </c>
      <c r="E1680" t="s">
        <v>885</v>
      </c>
      <c r="F1680" s="4">
        <v>39856</v>
      </c>
      <c r="G1680" s="11">
        <v>15000000</v>
      </c>
      <c r="H1680" s="11">
        <v>0</v>
      </c>
    </row>
    <row r="1681" spans="1:8" x14ac:dyDescent="0.2">
      <c r="A1681" t="s">
        <v>3234</v>
      </c>
      <c r="B1681" s="1" t="s">
        <v>3235</v>
      </c>
      <c r="C1681" s="11">
        <v>10000000</v>
      </c>
      <c r="D1681" t="s">
        <v>1559</v>
      </c>
      <c r="E1681" t="s">
        <v>516</v>
      </c>
      <c r="F1681" s="4">
        <v>40414</v>
      </c>
      <c r="G1681" s="11">
        <v>8145747</v>
      </c>
      <c r="H1681" s="11">
        <v>1854253</v>
      </c>
    </row>
    <row r="1682" spans="1:8" x14ac:dyDescent="0.2">
      <c r="A1682" t="s">
        <v>4592</v>
      </c>
      <c r="B1682" s="1" t="s">
        <v>4593</v>
      </c>
      <c r="C1682" s="11">
        <v>5000000</v>
      </c>
      <c r="D1682" t="s">
        <v>1559</v>
      </c>
      <c r="E1682" t="s">
        <v>885</v>
      </c>
      <c r="F1682" s="4">
        <v>41316</v>
      </c>
      <c r="G1682" s="11">
        <v>0</v>
      </c>
      <c r="H1682" s="11">
        <v>5000000</v>
      </c>
    </row>
    <row r="1683" spans="1:8" x14ac:dyDescent="0.2">
      <c r="A1683" t="s">
        <v>2376</v>
      </c>
      <c r="B1683" s="1" t="s">
        <v>2377</v>
      </c>
      <c r="C1683" s="11">
        <v>1000000</v>
      </c>
      <c r="D1683" t="s">
        <v>1559</v>
      </c>
      <c r="E1683" t="s">
        <v>516</v>
      </c>
      <c r="F1683" s="4">
        <v>37613</v>
      </c>
      <c r="G1683" s="11">
        <v>1000000</v>
      </c>
      <c r="H1683" s="11">
        <v>0</v>
      </c>
    </row>
    <row r="1684" spans="1:8" x14ac:dyDescent="0.2">
      <c r="A1684" t="s">
        <v>2379</v>
      </c>
      <c r="B1684" s="1" t="s">
        <v>2380</v>
      </c>
      <c r="C1684" s="11">
        <v>1000000</v>
      </c>
      <c r="D1684" t="s">
        <v>1559</v>
      </c>
      <c r="E1684" t="s">
        <v>516</v>
      </c>
      <c r="F1684" s="4">
        <v>37613</v>
      </c>
      <c r="G1684" s="11">
        <v>1000000</v>
      </c>
      <c r="H1684" s="11">
        <v>0</v>
      </c>
    </row>
    <row r="1685" spans="1:8" x14ac:dyDescent="0.2">
      <c r="A1685" t="s">
        <v>1504</v>
      </c>
      <c r="B1685" s="1" t="s">
        <v>1412</v>
      </c>
      <c r="C1685" s="11">
        <v>575000</v>
      </c>
      <c r="D1685" t="s">
        <v>1559</v>
      </c>
      <c r="E1685" t="s">
        <v>516</v>
      </c>
      <c r="F1685" s="4">
        <v>38588</v>
      </c>
      <c r="G1685" s="11">
        <v>575000</v>
      </c>
      <c r="H1685" s="11">
        <v>0</v>
      </c>
    </row>
    <row r="1686" spans="1:8" x14ac:dyDescent="0.2">
      <c r="A1686" t="s">
        <v>2396</v>
      </c>
      <c r="B1686" s="1" t="s">
        <v>2397</v>
      </c>
      <c r="C1686" s="11">
        <v>1000000</v>
      </c>
      <c r="D1686" t="s">
        <v>1559</v>
      </c>
      <c r="E1686" t="s">
        <v>969</v>
      </c>
      <c r="F1686" s="4">
        <v>36719</v>
      </c>
      <c r="G1686" s="11">
        <v>975000</v>
      </c>
      <c r="H1686" s="11">
        <v>25000</v>
      </c>
    </row>
    <row r="1687" spans="1:8" x14ac:dyDescent="0.2">
      <c r="A1687" t="s">
        <v>2417</v>
      </c>
      <c r="B1687" s="1" t="s">
        <v>2418</v>
      </c>
      <c r="C1687" s="11">
        <v>3500000</v>
      </c>
      <c r="D1687" t="s">
        <v>1559</v>
      </c>
      <c r="E1687" t="s">
        <v>2107</v>
      </c>
      <c r="F1687" s="4">
        <v>37579</v>
      </c>
      <c r="G1687" s="11">
        <v>3500000</v>
      </c>
      <c r="H1687" s="11">
        <v>0</v>
      </c>
    </row>
    <row r="1688" spans="1:8" x14ac:dyDescent="0.2">
      <c r="A1688" t="s">
        <v>2419</v>
      </c>
      <c r="B1688" s="1" t="s">
        <v>2420</v>
      </c>
      <c r="C1688" s="11">
        <v>500000</v>
      </c>
      <c r="D1688" t="s">
        <v>1559</v>
      </c>
      <c r="E1688" t="s">
        <v>885</v>
      </c>
      <c r="F1688" s="4">
        <v>38757</v>
      </c>
      <c r="G1688" s="11">
        <v>500000</v>
      </c>
      <c r="H1688" s="11">
        <v>0</v>
      </c>
    </row>
    <row r="1689" spans="1:8" x14ac:dyDescent="0.2">
      <c r="A1689" t="s">
        <v>1380</v>
      </c>
      <c r="B1689" s="1" t="s">
        <v>57</v>
      </c>
      <c r="C1689" s="11">
        <v>500000</v>
      </c>
      <c r="D1689" t="s">
        <v>1559</v>
      </c>
      <c r="E1689" t="s">
        <v>885</v>
      </c>
      <c r="F1689" s="4">
        <v>38757</v>
      </c>
      <c r="G1689" s="11">
        <v>500000</v>
      </c>
      <c r="H1689" s="11">
        <v>0</v>
      </c>
    </row>
    <row r="1690" spans="1:8" x14ac:dyDescent="0.2">
      <c r="A1690" t="s">
        <v>1381</v>
      </c>
      <c r="B1690" s="1" t="s">
        <v>58</v>
      </c>
      <c r="C1690" s="11">
        <v>500000</v>
      </c>
      <c r="D1690" t="s">
        <v>1559</v>
      </c>
      <c r="E1690" t="s">
        <v>885</v>
      </c>
      <c r="F1690" s="4">
        <v>38757</v>
      </c>
      <c r="G1690" s="11">
        <v>500000</v>
      </c>
      <c r="H1690" s="11">
        <v>0</v>
      </c>
    </row>
    <row r="1691" spans="1:8" x14ac:dyDescent="0.2">
      <c r="A1691" t="s">
        <v>1633</v>
      </c>
      <c r="B1691" s="1" t="s">
        <v>1506</v>
      </c>
      <c r="C1691" s="11">
        <v>500000</v>
      </c>
      <c r="D1691" t="s">
        <v>1559</v>
      </c>
      <c r="E1691" t="s">
        <v>1564</v>
      </c>
      <c r="F1691" s="4">
        <v>38912</v>
      </c>
      <c r="G1691" s="11">
        <v>500000</v>
      </c>
      <c r="H1691" s="11">
        <v>0</v>
      </c>
    </row>
    <row r="1692" spans="1:8" x14ac:dyDescent="0.2">
      <c r="A1692" t="s">
        <v>958</v>
      </c>
      <c r="B1692" s="1" t="s">
        <v>959</v>
      </c>
      <c r="C1692" s="11">
        <v>3000000</v>
      </c>
      <c r="D1692" t="s">
        <v>1559</v>
      </c>
      <c r="E1692" t="s">
        <v>888</v>
      </c>
      <c r="F1692" s="4">
        <v>39890</v>
      </c>
      <c r="G1692" s="11">
        <v>0</v>
      </c>
      <c r="H1692" s="11">
        <v>3000000</v>
      </c>
    </row>
    <row r="1693" spans="1:8" x14ac:dyDescent="0.2">
      <c r="A1693" t="s">
        <v>2454</v>
      </c>
      <c r="B1693" s="1" t="s">
        <v>2455</v>
      </c>
      <c r="C1693" s="11">
        <v>2500000</v>
      </c>
      <c r="D1693" t="s">
        <v>1559</v>
      </c>
      <c r="E1693" t="s">
        <v>516</v>
      </c>
      <c r="F1693" s="4">
        <v>37722</v>
      </c>
      <c r="G1693" s="11">
        <v>2500000</v>
      </c>
      <c r="H1693" s="11">
        <v>0</v>
      </c>
    </row>
    <row r="1694" spans="1:8" x14ac:dyDescent="0.2">
      <c r="A1694" t="s">
        <v>1382</v>
      </c>
      <c r="B1694" s="1" t="s">
        <v>1410</v>
      </c>
      <c r="C1694" s="11">
        <v>2500000</v>
      </c>
      <c r="D1694" t="s">
        <v>1559</v>
      </c>
      <c r="E1694" t="s">
        <v>516</v>
      </c>
      <c r="F1694" s="4">
        <v>38791</v>
      </c>
      <c r="G1694" s="11">
        <v>2500000</v>
      </c>
      <c r="H1694" s="11">
        <v>0</v>
      </c>
    </row>
    <row r="1695" spans="1:8" x14ac:dyDescent="0.2">
      <c r="A1695" t="s">
        <v>726</v>
      </c>
      <c r="B1695" s="1" t="s">
        <v>1541</v>
      </c>
      <c r="C1695" s="11">
        <v>1500000</v>
      </c>
      <c r="D1695" t="s">
        <v>1559</v>
      </c>
      <c r="E1695" t="s">
        <v>885</v>
      </c>
      <c r="F1695" s="4">
        <v>38840</v>
      </c>
      <c r="G1695" s="11">
        <v>400000</v>
      </c>
      <c r="H1695" s="11">
        <v>1100000</v>
      </c>
    </row>
    <row r="1696" spans="1:8" x14ac:dyDescent="0.2">
      <c r="A1696" t="s">
        <v>2916</v>
      </c>
      <c r="B1696" s="1" t="s">
        <v>2917</v>
      </c>
      <c r="C1696" s="11">
        <v>1300000</v>
      </c>
      <c r="D1696" t="s">
        <v>1559</v>
      </c>
      <c r="E1696" t="s">
        <v>444</v>
      </c>
      <c r="F1696" s="4">
        <v>40325</v>
      </c>
      <c r="G1696" s="11">
        <v>0</v>
      </c>
      <c r="H1696" s="11">
        <v>1300000</v>
      </c>
    </row>
    <row r="1697" spans="1:8" x14ac:dyDescent="0.2">
      <c r="A1697" t="s">
        <v>2477</v>
      </c>
      <c r="B1697" s="1" t="s">
        <v>452</v>
      </c>
      <c r="C1697" s="11">
        <v>1000000</v>
      </c>
      <c r="D1697" t="s">
        <v>1559</v>
      </c>
      <c r="E1697" t="s">
        <v>516</v>
      </c>
      <c r="F1697" s="4">
        <v>38244</v>
      </c>
      <c r="G1697" s="11">
        <v>1000000</v>
      </c>
      <c r="H1697" s="11">
        <v>0</v>
      </c>
    </row>
    <row r="1698" spans="1:8" x14ac:dyDescent="0.2">
      <c r="A1698" t="s">
        <v>2494</v>
      </c>
      <c r="B1698" s="1" t="s">
        <v>2495</v>
      </c>
      <c r="C1698" s="11">
        <v>2000000</v>
      </c>
      <c r="D1698" t="s">
        <v>1559</v>
      </c>
      <c r="E1698" t="s">
        <v>313</v>
      </c>
      <c r="F1698" s="4">
        <v>38406</v>
      </c>
      <c r="G1698" s="11">
        <v>0</v>
      </c>
      <c r="H1698" s="11">
        <v>2000000</v>
      </c>
    </row>
    <row r="1699" spans="1:8" x14ac:dyDescent="0.2">
      <c r="A1699" t="s">
        <v>2603</v>
      </c>
      <c r="B1699" s="1" t="s">
        <v>2604</v>
      </c>
      <c r="C1699" s="11">
        <v>30000000</v>
      </c>
      <c r="D1699" t="s">
        <v>1559</v>
      </c>
      <c r="E1699" t="s">
        <v>885</v>
      </c>
      <c r="F1699" s="4">
        <v>38322</v>
      </c>
      <c r="G1699" s="11">
        <v>30000000</v>
      </c>
      <c r="H1699" s="11">
        <v>0</v>
      </c>
    </row>
    <row r="1700" spans="1:8" x14ac:dyDescent="0.2">
      <c r="A1700" t="s">
        <v>2605</v>
      </c>
      <c r="B1700" s="1" t="s">
        <v>2606</v>
      </c>
      <c r="C1700" s="11">
        <v>2000000</v>
      </c>
      <c r="D1700" t="s">
        <v>1559</v>
      </c>
      <c r="E1700" t="s">
        <v>885</v>
      </c>
      <c r="F1700" s="4">
        <v>38244</v>
      </c>
      <c r="G1700" s="11">
        <v>2000000</v>
      </c>
      <c r="H1700" s="11">
        <v>0</v>
      </c>
    </row>
    <row r="1701" spans="1:8" x14ac:dyDescent="0.2">
      <c r="A1701" t="s">
        <v>2607</v>
      </c>
      <c r="B1701" s="1" t="s">
        <v>453</v>
      </c>
      <c r="C1701" s="11">
        <v>5000000</v>
      </c>
      <c r="D1701" t="s">
        <v>1559</v>
      </c>
      <c r="E1701" t="s">
        <v>885</v>
      </c>
      <c r="F1701" s="4">
        <v>38244</v>
      </c>
      <c r="G1701" s="11">
        <v>5000000</v>
      </c>
      <c r="H1701" s="11">
        <v>0</v>
      </c>
    </row>
    <row r="1702" spans="1:8" x14ac:dyDescent="0.2">
      <c r="A1702" t="s">
        <v>2608</v>
      </c>
      <c r="B1702" s="1" t="s">
        <v>2609</v>
      </c>
      <c r="C1702" s="11">
        <v>800000</v>
      </c>
      <c r="D1702" t="s">
        <v>1559</v>
      </c>
      <c r="E1702" t="s">
        <v>885</v>
      </c>
      <c r="F1702" s="4">
        <v>38244</v>
      </c>
      <c r="G1702" s="11">
        <v>800000</v>
      </c>
      <c r="H1702" s="11">
        <v>0</v>
      </c>
    </row>
    <row r="1703" spans="1:8" x14ac:dyDescent="0.2">
      <c r="A1703" t="s">
        <v>1536</v>
      </c>
      <c r="B1703" s="1" t="s">
        <v>1537</v>
      </c>
      <c r="C1703" s="11">
        <v>400000</v>
      </c>
      <c r="D1703" t="s">
        <v>1559</v>
      </c>
      <c r="E1703" t="s">
        <v>885</v>
      </c>
      <c r="F1703" s="4">
        <v>38873</v>
      </c>
      <c r="G1703" s="11">
        <v>400000</v>
      </c>
      <c r="H1703" s="11">
        <v>0</v>
      </c>
    </row>
    <row r="1704" spans="1:8" x14ac:dyDescent="0.2">
      <c r="A1704" t="s">
        <v>2610</v>
      </c>
      <c r="B1704" s="1" t="s">
        <v>2611</v>
      </c>
      <c r="C1704" s="11">
        <v>6000000</v>
      </c>
      <c r="D1704" t="s">
        <v>1559</v>
      </c>
      <c r="E1704" t="s">
        <v>885</v>
      </c>
      <c r="F1704" s="4">
        <v>38244</v>
      </c>
      <c r="G1704" s="11">
        <v>5850000</v>
      </c>
      <c r="H1704" s="11">
        <v>150000</v>
      </c>
    </row>
    <row r="1705" spans="1:8" x14ac:dyDescent="0.2">
      <c r="A1705" t="s">
        <v>2612</v>
      </c>
      <c r="B1705" s="1" t="s">
        <v>2613</v>
      </c>
      <c r="C1705" s="11">
        <v>1100000</v>
      </c>
      <c r="D1705" t="s">
        <v>1559</v>
      </c>
      <c r="E1705" t="s">
        <v>885</v>
      </c>
      <c r="F1705" s="4">
        <v>38244</v>
      </c>
      <c r="G1705" s="11">
        <v>1100000</v>
      </c>
      <c r="H1705" s="11">
        <v>0</v>
      </c>
    </row>
    <row r="1706" spans="1:8" x14ac:dyDescent="0.2">
      <c r="A1706" t="s">
        <v>2614</v>
      </c>
      <c r="B1706" s="1" t="s">
        <v>451</v>
      </c>
      <c r="C1706" s="11">
        <v>2000000</v>
      </c>
      <c r="D1706" t="s">
        <v>1559</v>
      </c>
      <c r="E1706" t="s">
        <v>516</v>
      </c>
      <c r="F1706" s="4">
        <v>38187</v>
      </c>
      <c r="G1706" s="11">
        <v>2000000</v>
      </c>
      <c r="H1706" s="11">
        <v>0</v>
      </c>
    </row>
    <row r="1707" spans="1:8" x14ac:dyDescent="0.2">
      <c r="A1707" t="s">
        <v>2618</v>
      </c>
      <c r="B1707" s="1" t="s">
        <v>2619</v>
      </c>
      <c r="C1707" s="11">
        <v>1000000</v>
      </c>
      <c r="D1707" t="s">
        <v>1559</v>
      </c>
      <c r="E1707" t="s">
        <v>2620</v>
      </c>
      <c r="F1707" s="4">
        <v>38273</v>
      </c>
      <c r="G1707" s="11">
        <v>1000000</v>
      </c>
      <c r="H1707" s="11">
        <v>0</v>
      </c>
    </row>
    <row r="1708" spans="1:8" x14ac:dyDescent="0.2">
      <c r="A1708" t="s">
        <v>1383</v>
      </c>
      <c r="B1708" s="1" t="s">
        <v>2619</v>
      </c>
      <c r="C1708" s="11">
        <v>500000</v>
      </c>
      <c r="D1708" t="s">
        <v>1559</v>
      </c>
      <c r="E1708" t="s">
        <v>2620</v>
      </c>
      <c r="F1708" s="4">
        <v>38273</v>
      </c>
      <c r="G1708" s="11">
        <v>500000</v>
      </c>
      <c r="H1708" s="11">
        <v>0</v>
      </c>
    </row>
    <row r="1709" spans="1:8" x14ac:dyDescent="0.2">
      <c r="A1709" t="s">
        <v>1384</v>
      </c>
      <c r="B1709" s="1" t="s">
        <v>2619</v>
      </c>
      <c r="C1709" s="11">
        <v>500000</v>
      </c>
      <c r="D1709" t="s">
        <v>1559</v>
      </c>
      <c r="E1709" t="s">
        <v>2620</v>
      </c>
      <c r="F1709" s="4">
        <v>38273</v>
      </c>
      <c r="G1709" s="11">
        <v>500000</v>
      </c>
      <c r="H1709" s="11">
        <v>0</v>
      </c>
    </row>
    <row r="1710" spans="1:8" x14ac:dyDescent="0.2">
      <c r="A1710" t="s">
        <v>2621</v>
      </c>
      <c r="B1710" s="1" t="s">
        <v>2622</v>
      </c>
      <c r="C1710" s="11">
        <v>10000000</v>
      </c>
      <c r="D1710" t="s">
        <v>1559</v>
      </c>
      <c r="E1710" t="s">
        <v>885</v>
      </c>
      <c r="F1710" s="4">
        <v>38187</v>
      </c>
      <c r="G1710" s="11">
        <v>10000000</v>
      </c>
      <c r="H1710" s="11">
        <v>0</v>
      </c>
    </row>
    <row r="1711" spans="1:8" x14ac:dyDescent="0.2">
      <c r="A1711" t="s">
        <v>2623</v>
      </c>
      <c r="B1711" s="1" t="s">
        <v>2624</v>
      </c>
      <c r="C1711" s="11">
        <v>5000000</v>
      </c>
      <c r="D1711" t="s">
        <v>1559</v>
      </c>
      <c r="E1711" t="s">
        <v>885</v>
      </c>
      <c r="F1711" s="4">
        <v>38338</v>
      </c>
      <c r="G1711" s="11">
        <v>5000000</v>
      </c>
      <c r="H1711" s="11">
        <v>0</v>
      </c>
    </row>
    <row r="1712" spans="1:8" x14ac:dyDescent="0.2">
      <c r="A1712" t="s">
        <v>1385</v>
      </c>
      <c r="B1712" s="1" t="s">
        <v>2624</v>
      </c>
      <c r="C1712" s="11">
        <v>1000000</v>
      </c>
      <c r="D1712" t="s">
        <v>1559</v>
      </c>
      <c r="E1712" t="s">
        <v>885</v>
      </c>
      <c r="F1712" s="4">
        <v>38338</v>
      </c>
      <c r="G1712" s="11">
        <v>1000000</v>
      </c>
      <c r="H1712" s="11">
        <v>0</v>
      </c>
    </row>
    <row r="1713" spans="1:8" x14ac:dyDescent="0.2">
      <c r="A1713" t="s">
        <v>2625</v>
      </c>
      <c r="B1713" s="1" t="s">
        <v>2626</v>
      </c>
      <c r="C1713" s="11">
        <v>1500000</v>
      </c>
      <c r="D1713" t="s">
        <v>1559</v>
      </c>
      <c r="E1713" t="s">
        <v>2107</v>
      </c>
      <c r="F1713" s="4">
        <v>37613</v>
      </c>
      <c r="G1713" s="11">
        <v>1057396</v>
      </c>
      <c r="H1713" s="11">
        <v>442604</v>
      </c>
    </row>
    <row r="1714" spans="1:8" x14ac:dyDescent="0.2">
      <c r="A1714" t="s">
        <v>3238</v>
      </c>
      <c r="B1714" s="1" t="s">
        <v>2066</v>
      </c>
      <c r="C1714" s="11">
        <v>400000</v>
      </c>
      <c r="D1714" t="s">
        <v>1559</v>
      </c>
      <c r="E1714" t="s">
        <v>888</v>
      </c>
      <c r="F1714" s="4">
        <v>39856</v>
      </c>
      <c r="G1714" s="11">
        <v>0</v>
      </c>
      <c r="H1714" s="11">
        <v>400000</v>
      </c>
    </row>
    <row r="1715" spans="1:8" x14ac:dyDescent="0.2">
      <c r="A1715" t="s">
        <v>2629</v>
      </c>
      <c r="B1715" s="1" t="s">
        <v>2630</v>
      </c>
      <c r="C1715" s="11">
        <v>5000000</v>
      </c>
      <c r="D1715" t="s">
        <v>1559</v>
      </c>
      <c r="E1715" t="s">
        <v>516</v>
      </c>
      <c r="F1715" s="4">
        <v>37609</v>
      </c>
      <c r="G1715" s="11">
        <v>5000000</v>
      </c>
      <c r="H1715" s="11">
        <v>0</v>
      </c>
    </row>
    <row r="1716" spans="1:8" x14ac:dyDescent="0.2">
      <c r="A1716" t="s">
        <v>2636</v>
      </c>
      <c r="B1716" s="1" t="s">
        <v>2637</v>
      </c>
      <c r="C1716" s="11">
        <v>5000000</v>
      </c>
      <c r="D1716" t="s">
        <v>1559</v>
      </c>
      <c r="E1716" t="s">
        <v>885</v>
      </c>
      <c r="F1716" s="4">
        <v>38244</v>
      </c>
      <c r="G1716" s="11">
        <v>5000000</v>
      </c>
      <c r="H1716" s="11">
        <v>0</v>
      </c>
    </row>
    <row r="1717" spans="1:8" x14ac:dyDescent="0.2">
      <c r="A1717" t="s">
        <v>2638</v>
      </c>
      <c r="B1717" s="1" t="s">
        <v>2639</v>
      </c>
      <c r="C1717" s="11">
        <v>2620000</v>
      </c>
      <c r="D1717" t="s">
        <v>1559</v>
      </c>
      <c r="E1717" t="s">
        <v>885</v>
      </c>
      <c r="F1717" s="4">
        <v>38244</v>
      </c>
      <c r="G1717" s="11">
        <v>0</v>
      </c>
      <c r="H1717" s="11">
        <v>2620000</v>
      </c>
    </row>
    <row r="1718" spans="1:8" x14ac:dyDescent="0.2">
      <c r="A1718" t="s">
        <v>2640</v>
      </c>
      <c r="B1718" s="1" t="s">
        <v>2641</v>
      </c>
      <c r="C1718" s="11">
        <v>500000</v>
      </c>
      <c r="D1718" t="s">
        <v>1559</v>
      </c>
      <c r="E1718" t="s">
        <v>516</v>
      </c>
      <c r="F1718" s="4">
        <v>38408</v>
      </c>
      <c r="G1718" s="11">
        <v>500000</v>
      </c>
      <c r="H1718" s="11">
        <v>0</v>
      </c>
    </row>
    <row r="1719" spans="1:8" x14ac:dyDescent="0.2">
      <c r="A1719" t="s">
        <v>4594</v>
      </c>
      <c r="B1719" s="1" t="s">
        <v>2645</v>
      </c>
      <c r="C1719" s="11">
        <v>0</v>
      </c>
      <c r="D1719" t="s">
        <v>1559</v>
      </c>
      <c r="E1719" t="s">
        <v>516</v>
      </c>
      <c r="F1719" s="4">
        <v>37579</v>
      </c>
      <c r="G1719" s="11">
        <v>0</v>
      </c>
      <c r="H1719" s="11">
        <v>0</v>
      </c>
    </row>
    <row r="1720" spans="1:8" x14ac:dyDescent="0.2">
      <c r="A1720" t="s">
        <v>2655</v>
      </c>
      <c r="B1720" s="1" t="s">
        <v>2656</v>
      </c>
      <c r="C1720" s="11">
        <v>1500000</v>
      </c>
      <c r="D1720" t="s">
        <v>1559</v>
      </c>
      <c r="E1720" t="s">
        <v>516</v>
      </c>
      <c r="F1720" s="4">
        <v>37722</v>
      </c>
      <c r="G1720" s="11">
        <v>1500000</v>
      </c>
      <c r="H1720" s="11">
        <v>0</v>
      </c>
    </row>
    <row r="1721" spans="1:8" x14ac:dyDescent="0.2">
      <c r="A1721" t="s">
        <v>1386</v>
      </c>
      <c r="B1721" s="1" t="s">
        <v>454</v>
      </c>
      <c r="C1721" s="11">
        <v>500000</v>
      </c>
      <c r="D1721" t="s">
        <v>1559</v>
      </c>
      <c r="E1721" t="s">
        <v>2107</v>
      </c>
      <c r="F1721" s="4">
        <v>38244</v>
      </c>
      <c r="G1721" s="11">
        <v>195339</v>
      </c>
      <c r="H1721" s="11">
        <v>304661</v>
      </c>
    </row>
    <row r="1722" spans="1:8" x14ac:dyDescent="0.2">
      <c r="A1722" t="s">
        <v>2657</v>
      </c>
      <c r="B1722" s="1" t="s">
        <v>2658</v>
      </c>
      <c r="C1722" s="11">
        <v>1000000</v>
      </c>
      <c r="D1722" t="s">
        <v>1559</v>
      </c>
      <c r="E1722" t="s">
        <v>516</v>
      </c>
      <c r="F1722" s="4">
        <v>38380</v>
      </c>
      <c r="G1722" s="11">
        <v>874802</v>
      </c>
      <c r="H1722" s="11">
        <v>125198</v>
      </c>
    </row>
    <row r="1723" spans="1:8" x14ac:dyDescent="0.2">
      <c r="A1723" t="s">
        <v>2659</v>
      </c>
      <c r="B1723" s="1" t="s">
        <v>2660</v>
      </c>
      <c r="C1723" s="11">
        <v>10000000</v>
      </c>
      <c r="D1723" t="s">
        <v>1559</v>
      </c>
      <c r="E1723" t="s">
        <v>885</v>
      </c>
      <c r="F1723" s="4">
        <v>38244</v>
      </c>
      <c r="G1723" s="11">
        <v>10000000</v>
      </c>
      <c r="H1723" s="11">
        <v>0</v>
      </c>
    </row>
    <row r="1724" spans="1:8" x14ac:dyDescent="0.2">
      <c r="A1724" t="s">
        <v>900</v>
      </c>
      <c r="B1724" s="1" t="s">
        <v>901</v>
      </c>
      <c r="C1724" s="11">
        <v>500000</v>
      </c>
      <c r="D1724" t="s">
        <v>1559</v>
      </c>
      <c r="E1724" t="s">
        <v>888</v>
      </c>
      <c r="F1724" s="4">
        <v>39751</v>
      </c>
      <c r="G1724" s="11">
        <v>0</v>
      </c>
      <c r="H1724" s="11">
        <v>500000</v>
      </c>
    </row>
    <row r="1725" spans="1:8" x14ac:dyDescent="0.2">
      <c r="A1725" t="s">
        <v>960</v>
      </c>
      <c r="B1725" s="1" t="s">
        <v>961</v>
      </c>
      <c r="C1725" s="11">
        <v>1000000</v>
      </c>
      <c r="D1725" t="s">
        <v>1559</v>
      </c>
      <c r="E1725" t="s">
        <v>888</v>
      </c>
      <c r="F1725" s="4">
        <v>39890</v>
      </c>
      <c r="G1725" s="11">
        <v>0</v>
      </c>
      <c r="H1725" s="11">
        <v>1000000</v>
      </c>
    </row>
    <row r="1726" spans="1:8" x14ac:dyDescent="0.2">
      <c r="A1726" t="s">
        <v>1097</v>
      </c>
      <c r="B1726" s="1" t="s">
        <v>1098</v>
      </c>
      <c r="C1726" s="11">
        <v>2000000</v>
      </c>
      <c r="D1726" t="s">
        <v>1559</v>
      </c>
      <c r="E1726" t="s">
        <v>888</v>
      </c>
      <c r="F1726" s="4">
        <v>39961</v>
      </c>
      <c r="G1726" s="11">
        <v>0</v>
      </c>
      <c r="H1726" s="11">
        <v>2000000</v>
      </c>
    </row>
    <row r="1727" spans="1:8" x14ac:dyDescent="0.2">
      <c r="A1727" t="s">
        <v>1099</v>
      </c>
      <c r="B1727" s="1" t="s">
        <v>1100</v>
      </c>
      <c r="C1727" s="11">
        <v>2000000</v>
      </c>
      <c r="D1727" t="s">
        <v>1559</v>
      </c>
      <c r="E1727" t="s">
        <v>888</v>
      </c>
      <c r="F1727" s="4">
        <v>39979</v>
      </c>
      <c r="G1727" s="11">
        <v>0</v>
      </c>
      <c r="H1727" s="11">
        <v>2000000</v>
      </c>
    </row>
    <row r="1728" spans="1:8" x14ac:dyDescent="0.2">
      <c r="A1728" t="s">
        <v>3239</v>
      </c>
      <c r="B1728" s="1" t="s">
        <v>3240</v>
      </c>
      <c r="C1728" s="11">
        <v>6000000</v>
      </c>
      <c r="D1728" t="s">
        <v>1559</v>
      </c>
      <c r="E1728" t="s">
        <v>888</v>
      </c>
      <c r="F1728" s="4">
        <v>40414</v>
      </c>
      <c r="G1728" s="11">
        <v>0</v>
      </c>
      <c r="H1728" s="11">
        <v>6000000</v>
      </c>
    </row>
    <row r="1729" spans="1:8" x14ac:dyDescent="0.2">
      <c r="A1729" t="s">
        <v>3241</v>
      </c>
      <c r="B1729" s="1" t="s">
        <v>3544</v>
      </c>
      <c r="C1729" s="11">
        <v>2000000</v>
      </c>
      <c r="D1729" t="s">
        <v>1559</v>
      </c>
      <c r="E1729" t="s">
        <v>888</v>
      </c>
      <c r="F1729" s="4">
        <v>40476</v>
      </c>
      <c r="G1729" s="11">
        <v>0</v>
      </c>
      <c r="H1729" s="11">
        <v>2000000</v>
      </c>
    </row>
    <row r="1730" spans="1:8" x14ac:dyDescent="0.2">
      <c r="A1730" t="s">
        <v>3906</v>
      </c>
      <c r="B1730" s="1" t="s">
        <v>3907</v>
      </c>
      <c r="C1730" s="11">
        <v>1200000</v>
      </c>
      <c r="D1730" t="s">
        <v>1559</v>
      </c>
      <c r="E1730" t="s">
        <v>888</v>
      </c>
      <c r="F1730" s="4">
        <v>40532</v>
      </c>
      <c r="G1730" s="11">
        <v>0</v>
      </c>
      <c r="H1730" s="11">
        <v>1200000</v>
      </c>
    </row>
    <row r="1731" spans="1:8" x14ac:dyDescent="0.2">
      <c r="A1731" t="s">
        <v>460</v>
      </c>
      <c r="B1731" s="1" t="s">
        <v>1399</v>
      </c>
      <c r="C1731" s="11">
        <v>500000</v>
      </c>
      <c r="D1731" t="s">
        <v>1559</v>
      </c>
      <c r="E1731" t="s">
        <v>885</v>
      </c>
      <c r="F1731" s="4">
        <v>38428</v>
      </c>
      <c r="G1731" s="11">
        <v>500000</v>
      </c>
      <c r="H1731" s="11">
        <v>0</v>
      </c>
    </row>
    <row r="1732" spans="1:8" x14ac:dyDescent="0.2">
      <c r="A1732" t="s">
        <v>476</v>
      </c>
      <c r="B1732" s="1" t="s">
        <v>247</v>
      </c>
      <c r="C1732" s="11">
        <v>2500000</v>
      </c>
      <c r="D1732" t="s">
        <v>1559</v>
      </c>
      <c r="E1732" t="s">
        <v>885</v>
      </c>
      <c r="F1732" s="4">
        <v>38378</v>
      </c>
      <c r="G1732" s="11">
        <v>2500000</v>
      </c>
      <c r="H1732" s="11">
        <v>0</v>
      </c>
    </row>
    <row r="1733" spans="1:8" x14ac:dyDescent="0.2">
      <c r="A1733" t="s">
        <v>1602</v>
      </c>
      <c r="B1733" s="1" t="s">
        <v>240</v>
      </c>
      <c r="C1733" s="11">
        <v>10000000</v>
      </c>
      <c r="D1733" t="s">
        <v>1559</v>
      </c>
      <c r="E1733" t="s">
        <v>885</v>
      </c>
      <c r="F1733" s="4">
        <v>38244</v>
      </c>
      <c r="G1733" s="11">
        <v>10000000</v>
      </c>
      <c r="H1733" s="11">
        <v>0</v>
      </c>
    </row>
    <row r="1734" spans="1:8" x14ac:dyDescent="0.2">
      <c r="A1734" t="s">
        <v>965</v>
      </c>
      <c r="B1734" s="1" t="s">
        <v>966</v>
      </c>
      <c r="C1734" s="11">
        <v>2000000</v>
      </c>
      <c r="D1734" t="s">
        <v>1559</v>
      </c>
      <c r="E1734" t="s">
        <v>885</v>
      </c>
      <c r="F1734" s="4">
        <v>39930</v>
      </c>
      <c r="G1734" s="11">
        <v>2000000</v>
      </c>
      <c r="H1734" s="11">
        <v>0</v>
      </c>
    </row>
    <row r="1735" spans="1:8" x14ac:dyDescent="0.2">
      <c r="A1735" t="s">
        <v>3242</v>
      </c>
      <c r="B1735" s="1" t="s">
        <v>3243</v>
      </c>
      <c r="C1735" s="11">
        <v>1000000</v>
      </c>
      <c r="D1735" t="s">
        <v>1559</v>
      </c>
      <c r="E1735" t="s">
        <v>885</v>
      </c>
      <c r="F1735" s="4">
        <v>40487</v>
      </c>
      <c r="G1735" s="11">
        <v>1000000</v>
      </c>
      <c r="H1735" s="11">
        <v>0</v>
      </c>
    </row>
    <row r="1736" spans="1:8" x14ac:dyDescent="0.2">
      <c r="A1736" t="s">
        <v>3244</v>
      </c>
      <c r="B1736" s="1" t="s">
        <v>3245</v>
      </c>
      <c r="C1736" s="11">
        <v>7000000</v>
      </c>
      <c r="D1736" t="s">
        <v>1559</v>
      </c>
      <c r="E1736" t="s">
        <v>885</v>
      </c>
      <c r="F1736" s="4">
        <v>40487</v>
      </c>
      <c r="G1736" s="11">
        <v>7000000</v>
      </c>
      <c r="H1736" s="11">
        <v>0</v>
      </c>
    </row>
    <row r="1737" spans="1:8" x14ac:dyDescent="0.2">
      <c r="A1737" t="s">
        <v>1836</v>
      </c>
      <c r="B1737" s="1" t="s">
        <v>1420</v>
      </c>
      <c r="C1737" s="11">
        <v>500000</v>
      </c>
      <c r="D1737" t="s">
        <v>1559</v>
      </c>
      <c r="E1737" t="s">
        <v>885</v>
      </c>
      <c r="F1737" s="4">
        <v>38601</v>
      </c>
      <c r="G1737" s="11">
        <v>500000</v>
      </c>
      <c r="H1737" s="11">
        <v>0</v>
      </c>
    </row>
    <row r="1738" spans="1:8" x14ac:dyDescent="0.2">
      <c r="A1738" t="s">
        <v>1838</v>
      </c>
      <c r="B1738" s="1" t="s">
        <v>418</v>
      </c>
      <c r="C1738" s="11">
        <v>1000000</v>
      </c>
      <c r="D1738" t="s">
        <v>1559</v>
      </c>
      <c r="E1738" t="s">
        <v>516</v>
      </c>
      <c r="F1738" s="4">
        <v>38747</v>
      </c>
      <c r="G1738" s="11">
        <v>1000000</v>
      </c>
      <c r="H1738" s="11">
        <v>0</v>
      </c>
    </row>
    <row r="1739" spans="1:8" x14ac:dyDescent="0.2">
      <c r="A1739" t="s">
        <v>752</v>
      </c>
      <c r="B1739" s="1" t="s">
        <v>753</v>
      </c>
      <c r="C1739" s="11">
        <v>1000000</v>
      </c>
      <c r="D1739" t="s">
        <v>1559</v>
      </c>
      <c r="E1739" t="s">
        <v>444</v>
      </c>
      <c r="F1739" s="4">
        <v>39856</v>
      </c>
      <c r="G1739" s="11">
        <v>1000000</v>
      </c>
      <c r="H1739" s="11">
        <v>0</v>
      </c>
    </row>
    <row r="1740" spans="1:8" x14ac:dyDescent="0.2">
      <c r="A1740" t="s">
        <v>60</v>
      </c>
      <c r="B1740" s="1" t="s">
        <v>4</v>
      </c>
      <c r="C1740" s="11">
        <v>0</v>
      </c>
      <c r="D1740" t="s">
        <v>1559</v>
      </c>
      <c r="E1740" t="s">
        <v>516</v>
      </c>
      <c r="F1740" s="4">
        <v>38791</v>
      </c>
      <c r="G1740" s="11">
        <v>0</v>
      </c>
      <c r="H1740" s="11">
        <v>0</v>
      </c>
    </row>
    <row r="1741" spans="1:8" x14ac:dyDescent="0.2">
      <c r="A1741" t="s">
        <v>1845</v>
      </c>
      <c r="B1741" s="1" t="s">
        <v>1</v>
      </c>
      <c r="C1741" s="11">
        <v>500000</v>
      </c>
      <c r="D1741" t="s">
        <v>1559</v>
      </c>
      <c r="E1741" t="s">
        <v>885</v>
      </c>
      <c r="F1741" s="4">
        <v>38785</v>
      </c>
      <c r="G1741" s="11">
        <v>500000</v>
      </c>
      <c r="H1741" s="11">
        <v>0</v>
      </c>
    </row>
    <row r="1742" spans="1:8" x14ac:dyDescent="0.2">
      <c r="A1742" t="s">
        <v>1846</v>
      </c>
      <c r="B1742" s="1" t="s">
        <v>1538</v>
      </c>
      <c r="C1742" s="11">
        <v>500000</v>
      </c>
      <c r="D1742" t="s">
        <v>1559</v>
      </c>
      <c r="E1742" t="s">
        <v>885</v>
      </c>
      <c r="F1742" s="4">
        <v>38841</v>
      </c>
      <c r="G1742" s="11">
        <v>500000</v>
      </c>
      <c r="H1742" s="11">
        <v>0</v>
      </c>
    </row>
    <row r="1743" spans="1:8" x14ac:dyDescent="0.2">
      <c r="A1743" t="s">
        <v>1896</v>
      </c>
      <c r="B1743" s="1" t="s">
        <v>1659</v>
      </c>
      <c r="C1743" s="11">
        <v>500000</v>
      </c>
      <c r="D1743" t="s">
        <v>1559</v>
      </c>
      <c r="E1743" t="s">
        <v>885</v>
      </c>
      <c r="F1743" s="4">
        <v>38944</v>
      </c>
      <c r="G1743" s="11">
        <v>500000</v>
      </c>
      <c r="H1743" s="11">
        <v>0</v>
      </c>
    </row>
    <row r="1744" spans="1:8" x14ac:dyDescent="0.2">
      <c r="A1744" t="s">
        <v>1897</v>
      </c>
      <c r="B1744" s="1" t="s">
        <v>1660</v>
      </c>
      <c r="C1744" s="11">
        <v>500000</v>
      </c>
      <c r="D1744" t="s">
        <v>1559</v>
      </c>
      <c r="E1744" t="s">
        <v>885</v>
      </c>
      <c r="F1744" s="4">
        <v>38985</v>
      </c>
      <c r="G1744" s="11">
        <v>500000</v>
      </c>
      <c r="H1744" s="11">
        <v>0</v>
      </c>
    </row>
    <row r="1745" spans="1:8" x14ac:dyDescent="0.2">
      <c r="A1745" t="s">
        <v>907</v>
      </c>
      <c r="B1745" s="1" t="s">
        <v>908</v>
      </c>
      <c r="C1745" s="11">
        <v>500000</v>
      </c>
      <c r="D1745" t="s">
        <v>1559</v>
      </c>
      <c r="E1745" t="s">
        <v>885</v>
      </c>
      <c r="F1745" s="4">
        <v>39717</v>
      </c>
      <c r="G1745" s="11">
        <v>500000</v>
      </c>
      <c r="H1745" s="11">
        <v>0</v>
      </c>
    </row>
    <row r="1746" spans="1:8" x14ac:dyDescent="0.2">
      <c r="A1746" t="s">
        <v>3545</v>
      </c>
      <c r="B1746" s="1" t="s">
        <v>3546</v>
      </c>
      <c r="C1746" s="11">
        <v>500000</v>
      </c>
      <c r="D1746" t="s">
        <v>1559</v>
      </c>
      <c r="E1746" t="s">
        <v>885</v>
      </c>
      <c r="F1746" s="4">
        <v>40500</v>
      </c>
      <c r="G1746" s="11">
        <v>500000</v>
      </c>
      <c r="H1746" s="11">
        <v>0</v>
      </c>
    </row>
    <row r="1747" spans="1:8" x14ac:dyDescent="0.2">
      <c r="A1747" t="s">
        <v>3547</v>
      </c>
      <c r="B1747" s="1" t="s">
        <v>3548</v>
      </c>
      <c r="C1747" s="11">
        <v>250000</v>
      </c>
      <c r="D1747" t="s">
        <v>1559</v>
      </c>
      <c r="E1747" t="s">
        <v>885</v>
      </c>
      <c r="F1747" s="4">
        <v>40504</v>
      </c>
      <c r="G1747" s="11">
        <v>250000</v>
      </c>
      <c r="H1747" s="11">
        <v>0</v>
      </c>
    </row>
    <row r="1748" spans="1:8" x14ac:dyDescent="0.2">
      <c r="A1748" t="s">
        <v>3908</v>
      </c>
      <c r="B1748" s="1" t="s">
        <v>3909</v>
      </c>
      <c r="C1748" s="11">
        <v>250000</v>
      </c>
      <c r="D1748" t="s">
        <v>1559</v>
      </c>
      <c r="E1748" t="s">
        <v>885</v>
      </c>
      <c r="F1748" s="4">
        <v>40546</v>
      </c>
      <c r="G1748" s="11">
        <v>250000</v>
      </c>
      <c r="H1748" s="11">
        <v>0</v>
      </c>
    </row>
    <row r="1749" spans="1:8" x14ac:dyDescent="0.2">
      <c r="A1749" t="s">
        <v>3910</v>
      </c>
      <c r="B1749" s="1" t="s">
        <v>3911</v>
      </c>
      <c r="C1749" s="11">
        <v>250000</v>
      </c>
      <c r="D1749" t="s">
        <v>1559</v>
      </c>
      <c r="E1749" t="s">
        <v>885</v>
      </c>
      <c r="F1749" s="4">
        <v>40553</v>
      </c>
      <c r="G1749" s="11">
        <v>250000</v>
      </c>
      <c r="H1749" s="11">
        <v>0</v>
      </c>
    </row>
    <row r="1750" spans="1:8" x14ac:dyDescent="0.2">
      <c r="A1750" t="s">
        <v>1827</v>
      </c>
      <c r="B1750" s="1" t="s">
        <v>242</v>
      </c>
      <c r="C1750" s="11">
        <v>750000</v>
      </c>
      <c r="D1750" t="s">
        <v>1559</v>
      </c>
      <c r="E1750" t="s">
        <v>885</v>
      </c>
      <c r="F1750" s="4">
        <v>38244</v>
      </c>
      <c r="G1750" s="11">
        <v>750000</v>
      </c>
      <c r="H1750" s="11">
        <v>0</v>
      </c>
    </row>
    <row r="1751" spans="1:8" x14ac:dyDescent="0.2">
      <c r="A1751" t="s">
        <v>1901</v>
      </c>
      <c r="B1751" s="1" t="s">
        <v>1675</v>
      </c>
      <c r="C1751" s="11">
        <v>1000000</v>
      </c>
      <c r="D1751" t="s">
        <v>1559</v>
      </c>
      <c r="E1751" t="s">
        <v>885</v>
      </c>
      <c r="F1751" s="4">
        <v>38916</v>
      </c>
      <c r="G1751" s="11">
        <v>1000000</v>
      </c>
      <c r="H1751" s="11">
        <v>0</v>
      </c>
    </row>
    <row r="1752" spans="1:8" x14ac:dyDescent="0.2">
      <c r="A1752" t="s">
        <v>1902</v>
      </c>
      <c r="B1752" s="1" t="s">
        <v>1903</v>
      </c>
      <c r="C1752" s="11">
        <v>250000</v>
      </c>
      <c r="D1752" t="s">
        <v>1559</v>
      </c>
      <c r="E1752" t="s">
        <v>1904</v>
      </c>
      <c r="F1752" s="4">
        <v>39149</v>
      </c>
      <c r="G1752" s="11">
        <v>250000</v>
      </c>
      <c r="H1752" s="11">
        <v>0</v>
      </c>
    </row>
    <row r="1753" spans="1:8" x14ac:dyDescent="0.2">
      <c r="A1753" t="s">
        <v>1875</v>
      </c>
      <c r="B1753" s="1" t="s">
        <v>1548</v>
      </c>
      <c r="C1753" s="11">
        <v>500000</v>
      </c>
      <c r="D1753" t="s">
        <v>1559</v>
      </c>
      <c r="E1753" t="s">
        <v>516</v>
      </c>
      <c r="F1753" s="4">
        <v>38856</v>
      </c>
      <c r="G1753" s="11">
        <v>500000</v>
      </c>
      <c r="H1753" s="11">
        <v>0</v>
      </c>
    </row>
    <row r="1754" spans="1:8" x14ac:dyDescent="0.2">
      <c r="A1754" t="s">
        <v>1905</v>
      </c>
      <c r="B1754" s="1" t="s">
        <v>1665</v>
      </c>
      <c r="C1754" s="11">
        <v>500000</v>
      </c>
      <c r="D1754" t="s">
        <v>1559</v>
      </c>
      <c r="E1754" t="s">
        <v>516</v>
      </c>
      <c r="F1754" s="4">
        <v>38905</v>
      </c>
      <c r="G1754" s="11">
        <v>500000</v>
      </c>
      <c r="H1754" s="11">
        <v>0</v>
      </c>
    </row>
    <row r="1755" spans="1:8" x14ac:dyDescent="0.2">
      <c r="A1755" t="s">
        <v>1862</v>
      </c>
      <c r="B1755" s="1" t="s">
        <v>1542</v>
      </c>
      <c r="C1755" s="11">
        <v>500000</v>
      </c>
      <c r="D1755" t="s">
        <v>1559</v>
      </c>
      <c r="E1755" t="s">
        <v>885</v>
      </c>
      <c r="F1755" s="4">
        <v>38841</v>
      </c>
      <c r="G1755" s="11">
        <v>0</v>
      </c>
      <c r="H1755" s="11">
        <v>500000</v>
      </c>
    </row>
    <row r="1756" spans="1:8" x14ac:dyDescent="0.2">
      <c r="A1756" t="s">
        <v>1876</v>
      </c>
      <c r="B1756" s="1" t="s">
        <v>1543</v>
      </c>
      <c r="C1756" s="11">
        <v>500000</v>
      </c>
      <c r="D1756" t="s">
        <v>1559</v>
      </c>
      <c r="E1756" t="s">
        <v>885</v>
      </c>
      <c r="F1756" s="4">
        <v>38877</v>
      </c>
      <c r="G1756" s="11">
        <v>0</v>
      </c>
      <c r="H1756" s="11">
        <v>500000</v>
      </c>
    </row>
    <row r="1757" spans="1:8" x14ac:dyDescent="0.2">
      <c r="A1757" t="s">
        <v>857</v>
      </c>
      <c r="B1757" s="1" t="s">
        <v>1914</v>
      </c>
      <c r="C1757" s="11">
        <v>500000</v>
      </c>
      <c r="D1757" t="s">
        <v>1559</v>
      </c>
      <c r="E1757" t="s">
        <v>885</v>
      </c>
      <c r="F1757" s="4">
        <v>39118</v>
      </c>
      <c r="G1757" s="11">
        <v>0</v>
      </c>
      <c r="H1757" s="11">
        <v>500000</v>
      </c>
    </row>
    <row r="1758" spans="1:8" x14ac:dyDescent="0.2">
      <c r="A1758" t="s">
        <v>1863</v>
      </c>
      <c r="B1758" s="1" t="s">
        <v>3</v>
      </c>
      <c r="C1758" s="11">
        <v>3000000</v>
      </c>
      <c r="D1758" t="s">
        <v>1559</v>
      </c>
      <c r="E1758" t="s">
        <v>885</v>
      </c>
      <c r="F1758" s="4">
        <v>38791</v>
      </c>
      <c r="G1758" s="11">
        <v>2802377</v>
      </c>
      <c r="H1758" s="11">
        <v>197623</v>
      </c>
    </row>
    <row r="1759" spans="1:8" x14ac:dyDescent="0.2">
      <c r="A1759" t="s">
        <v>1865</v>
      </c>
      <c r="B1759" s="1" t="s">
        <v>7</v>
      </c>
      <c r="C1759" s="11">
        <v>1000000</v>
      </c>
      <c r="D1759" t="s">
        <v>1559</v>
      </c>
      <c r="E1759" t="s">
        <v>885</v>
      </c>
      <c r="F1759" s="4">
        <v>38806</v>
      </c>
      <c r="G1759" s="11">
        <v>1000000</v>
      </c>
      <c r="H1759" s="11">
        <v>0</v>
      </c>
    </row>
    <row r="1760" spans="1:8" x14ac:dyDescent="0.2">
      <c r="A1760" t="s">
        <v>1866</v>
      </c>
      <c r="B1760" s="1" t="s">
        <v>8</v>
      </c>
      <c r="C1760" s="11">
        <v>1000000</v>
      </c>
      <c r="D1760" t="s">
        <v>1559</v>
      </c>
      <c r="E1760" t="s">
        <v>885</v>
      </c>
      <c r="F1760" s="4">
        <v>38806</v>
      </c>
      <c r="G1760" s="11">
        <v>1000000</v>
      </c>
      <c r="H1760" s="11">
        <v>0</v>
      </c>
    </row>
    <row r="1761" spans="1:8" x14ac:dyDescent="0.2">
      <c r="A1761" t="s">
        <v>1867</v>
      </c>
      <c r="B1761" s="1" t="s">
        <v>387</v>
      </c>
      <c r="C1761" s="11">
        <v>3000000</v>
      </c>
      <c r="D1761" t="s">
        <v>1559</v>
      </c>
      <c r="E1761" t="s">
        <v>885</v>
      </c>
      <c r="F1761" s="4">
        <v>38812</v>
      </c>
      <c r="G1761" s="11">
        <v>3000000</v>
      </c>
      <c r="H1761" s="11">
        <v>0</v>
      </c>
    </row>
    <row r="1762" spans="1:8" x14ac:dyDescent="0.2">
      <c r="A1762" t="s">
        <v>2155</v>
      </c>
      <c r="B1762" s="1" t="s">
        <v>388</v>
      </c>
      <c r="C1762" s="11">
        <v>750000</v>
      </c>
      <c r="D1762" t="s">
        <v>1559</v>
      </c>
      <c r="E1762" t="s">
        <v>1577</v>
      </c>
      <c r="F1762" s="4">
        <v>39961</v>
      </c>
      <c r="G1762" s="11">
        <v>750000</v>
      </c>
      <c r="H1762" s="11">
        <v>0</v>
      </c>
    </row>
    <row r="1763" spans="1:8" x14ac:dyDescent="0.2">
      <c r="A1763" t="s">
        <v>1688</v>
      </c>
      <c r="B1763" s="1" t="s">
        <v>1103</v>
      </c>
      <c r="C1763" s="11">
        <v>200000</v>
      </c>
      <c r="D1763" t="s">
        <v>1559</v>
      </c>
      <c r="E1763" t="s">
        <v>1577</v>
      </c>
      <c r="F1763" s="4">
        <v>40056</v>
      </c>
      <c r="G1763" s="11">
        <v>200000</v>
      </c>
      <c r="H1763" s="11">
        <v>0</v>
      </c>
    </row>
    <row r="1764" spans="1:8" x14ac:dyDescent="0.2">
      <c r="A1764" t="s">
        <v>2768</v>
      </c>
      <c r="B1764" s="1" t="s">
        <v>2769</v>
      </c>
      <c r="C1764" s="11">
        <v>500000</v>
      </c>
      <c r="D1764" t="s">
        <v>1559</v>
      </c>
      <c r="E1764" t="s">
        <v>1577</v>
      </c>
      <c r="F1764" s="4">
        <v>40247</v>
      </c>
      <c r="G1764" s="11">
        <v>500000</v>
      </c>
      <c r="H1764" s="11">
        <v>0</v>
      </c>
    </row>
    <row r="1765" spans="1:8" x14ac:dyDescent="0.2">
      <c r="A1765" t="s">
        <v>1868</v>
      </c>
      <c r="B1765" s="1" t="s">
        <v>1617</v>
      </c>
      <c r="C1765" s="11">
        <v>500000</v>
      </c>
      <c r="D1765" t="s">
        <v>1559</v>
      </c>
      <c r="E1765" t="s">
        <v>885</v>
      </c>
      <c r="F1765" s="4">
        <v>38840</v>
      </c>
      <c r="G1765" s="11">
        <v>500000</v>
      </c>
      <c r="H1765" s="11">
        <v>0</v>
      </c>
    </row>
    <row r="1766" spans="1:8" x14ac:dyDescent="0.2">
      <c r="A1766" t="s">
        <v>1358</v>
      </c>
      <c r="B1766" s="1" t="s">
        <v>1913</v>
      </c>
      <c r="C1766" s="11">
        <v>1000000</v>
      </c>
      <c r="D1766" t="s">
        <v>1559</v>
      </c>
      <c r="E1766" t="s">
        <v>885</v>
      </c>
      <c r="F1766" s="4">
        <v>39195</v>
      </c>
      <c r="G1766" s="11">
        <v>1000000</v>
      </c>
      <c r="H1766" s="11">
        <v>0</v>
      </c>
    </row>
    <row r="1767" spans="1:8" x14ac:dyDescent="0.2">
      <c r="A1767" t="s">
        <v>1870</v>
      </c>
      <c r="B1767" s="1" t="s">
        <v>1436</v>
      </c>
      <c r="C1767" s="11">
        <v>500000</v>
      </c>
      <c r="D1767" t="s">
        <v>1559</v>
      </c>
      <c r="E1767" t="s">
        <v>516</v>
      </c>
      <c r="F1767" s="4">
        <v>38679</v>
      </c>
      <c r="G1767" s="11">
        <v>500000</v>
      </c>
      <c r="H1767" s="11">
        <v>0</v>
      </c>
    </row>
    <row r="1768" spans="1:8" x14ac:dyDescent="0.2">
      <c r="A1768" t="s">
        <v>1822</v>
      </c>
      <c r="B1768" s="1" t="s">
        <v>196</v>
      </c>
      <c r="C1768" s="11">
        <v>2000000</v>
      </c>
      <c r="D1768" t="s">
        <v>1559</v>
      </c>
      <c r="E1768" t="s">
        <v>516</v>
      </c>
      <c r="F1768" s="4">
        <v>37579</v>
      </c>
      <c r="G1768" s="11">
        <v>2000000</v>
      </c>
      <c r="H1768" s="11">
        <v>0</v>
      </c>
    </row>
    <row r="1769" spans="1:8" x14ac:dyDescent="0.2">
      <c r="A1769" t="s">
        <v>1831</v>
      </c>
      <c r="B1769" s="1" t="s">
        <v>241</v>
      </c>
      <c r="C1769" s="11">
        <v>5000000</v>
      </c>
      <c r="D1769" t="s">
        <v>1559</v>
      </c>
      <c r="E1769" t="s">
        <v>885</v>
      </c>
      <c r="F1769" s="4">
        <v>38244</v>
      </c>
      <c r="G1769" s="11">
        <v>5000000</v>
      </c>
      <c r="H1769" s="11">
        <v>0</v>
      </c>
    </row>
    <row r="1770" spans="1:8" x14ac:dyDescent="0.2">
      <c r="A1770" t="s">
        <v>756</v>
      </c>
      <c r="B1770" s="1" t="s">
        <v>757</v>
      </c>
      <c r="C1770" s="11">
        <v>10000000</v>
      </c>
      <c r="D1770" t="s">
        <v>1559</v>
      </c>
      <c r="E1770" t="s">
        <v>885</v>
      </c>
      <c r="F1770" s="4">
        <v>39856</v>
      </c>
      <c r="G1770" s="11">
        <v>10000000</v>
      </c>
      <c r="H1770" s="11">
        <v>0</v>
      </c>
    </row>
    <row r="1771" spans="1:8" x14ac:dyDescent="0.2">
      <c r="A1771" t="s">
        <v>3246</v>
      </c>
      <c r="B1771" s="1" t="s">
        <v>3247</v>
      </c>
      <c r="C1771" s="11">
        <v>2000000</v>
      </c>
      <c r="D1771" t="s">
        <v>1559</v>
      </c>
      <c r="E1771" t="s">
        <v>885</v>
      </c>
      <c r="F1771" s="4">
        <v>40431</v>
      </c>
      <c r="G1771" s="11">
        <v>2000000</v>
      </c>
      <c r="H1771" s="11">
        <v>0</v>
      </c>
    </row>
    <row r="1772" spans="1:8" x14ac:dyDescent="0.2">
      <c r="A1772" t="s">
        <v>3549</v>
      </c>
      <c r="B1772" s="1" t="s">
        <v>3550</v>
      </c>
      <c r="C1772" s="11">
        <v>2000000</v>
      </c>
      <c r="D1772" t="s">
        <v>1559</v>
      </c>
      <c r="E1772" t="s">
        <v>885</v>
      </c>
      <c r="F1772" s="4">
        <v>40499</v>
      </c>
      <c r="G1772" s="11">
        <v>2000000</v>
      </c>
      <c r="H1772" s="11">
        <v>0</v>
      </c>
    </row>
    <row r="1773" spans="1:8" x14ac:dyDescent="0.2">
      <c r="A1773" t="s">
        <v>2007</v>
      </c>
      <c r="B1773" s="1" t="s">
        <v>623</v>
      </c>
      <c r="C1773" s="11">
        <v>2000000</v>
      </c>
      <c r="D1773" t="s">
        <v>1559</v>
      </c>
      <c r="E1773" t="s">
        <v>444</v>
      </c>
      <c r="F1773" s="4">
        <v>38912</v>
      </c>
      <c r="G1773" s="11">
        <v>2000000</v>
      </c>
      <c r="H1773" s="11">
        <v>0</v>
      </c>
    </row>
    <row r="1774" spans="1:8" x14ac:dyDescent="0.2">
      <c r="A1774" t="s">
        <v>1442</v>
      </c>
      <c r="B1774" s="1" t="s">
        <v>1544</v>
      </c>
      <c r="C1774" s="11">
        <v>300000</v>
      </c>
      <c r="D1774" t="s">
        <v>1559</v>
      </c>
      <c r="E1774" t="s">
        <v>516</v>
      </c>
      <c r="F1774" s="4">
        <v>38841</v>
      </c>
      <c r="G1774" s="11">
        <v>300000</v>
      </c>
      <c r="H1774" s="11">
        <v>0</v>
      </c>
    </row>
    <row r="1775" spans="1:8" x14ac:dyDescent="0.2">
      <c r="A1775" t="s">
        <v>1452</v>
      </c>
      <c r="B1775" s="1" t="s">
        <v>1545</v>
      </c>
      <c r="C1775" s="11">
        <v>300000</v>
      </c>
      <c r="D1775" t="s">
        <v>1559</v>
      </c>
      <c r="E1775" t="s">
        <v>516</v>
      </c>
      <c r="F1775" s="4">
        <v>38841</v>
      </c>
      <c r="G1775" s="11">
        <v>300000</v>
      </c>
      <c r="H1775" s="11">
        <v>0</v>
      </c>
    </row>
    <row r="1776" spans="1:8" x14ac:dyDescent="0.2">
      <c r="A1776" t="s">
        <v>1444</v>
      </c>
      <c r="B1776" s="1" t="s">
        <v>9</v>
      </c>
      <c r="C1776" s="11">
        <v>0</v>
      </c>
      <c r="D1776" t="s">
        <v>1559</v>
      </c>
      <c r="E1776" t="s">
        <v>885</v>
      </c>
      <c r="F1776" s="4">
        <v>38806</v>
      </c>
      <c r="G1776" s="11">
        <v>0</v>
      </c>
      <c r="H1776" s="11">
        <v>0</v>
      </c>
    </row>
    <row r="1777" spans="1:8" x14ac:dyDescent="0.2">
      <c r="A1777" t="s">
        <v>1445</v>
      </c>
      <c r="B1777" s="1" t="s">
        <v>2</v>
      </c>
      <c r="C1777" s="11">
        <v>500000</v>
      </c>
      <c r="D1777" t="s">
        <v>1559</v>
      </c>
      <c r="E1777" t="s">
        <v>885</v>
      </c>
      <c r="F1777" s="4">
        <v>38785</v>
      </c>
      <c r="G1777" s="11">
        <v>500000</v>
      </c>
      <c r="H1777" s="11">
        <v>0</v>
      </c>
    </row>
    <row r="1778" spans="1:8" x14ac:dyDescent="0.2">
      <c r="A1778" t="s">
        <v>1446</v>
      </c>
      <c r="B1778" s="1" t="s">
        <v>1614</v>
      </c>
      <c r="C1778" s="11">
        <v>500000</v>
      </c>
      <c r="D1778" t="s">
        <v>1559</v>
      </c>
      <c r="E1778" t="s">
        <v>885</v>
      </c>
      <c r="F1778" s="4">
        <v>38785</v>
      </c>
      <c r="G1778" s="11">
        <v>500000</v>
      </c>
      <c r="H1778" s="11">
        <v>0</v>
      </c>
    </row>
    <row r="1779" spans="1:8" x14ac:dyDescent="0.2">
      <c r="A1779" t="s">
        <v>1467</v>
      </c>
      <c r="B1779" s="1" t="s">
        <v>1661</v>
      </c>
      <c r="C1779" s="11">
        <v>500000</v>
      </c>
      <c r="D1779" t="s">
        <v>1559</v>
      </c>
      <c r="E1779" t="s">
        <v>885</v>
      </c>
      <c r="F1779" s="4">
        <v>39062</v>
      </c>
      <c r="G1779" s="11">
        <v>500000</v>
      </c>
      <c r="H1779" s="11">
        <v>0</v>
      </c>
    </row>
    <row r="1780" spans="1:8" x14ac:dyDescent="0.2">
      <c r="A1780" t="s">
        <v>1468</v>
      </c>
      <c r="B1780" s="1" t="s">
        <v>1669</v>
      </c>
      <c r="C1780" s="11">
        <v>500000</v>
      </c>
      <c r="D1780" t="s">
        <v>1559</v>
      </c>
      <c r="E1780" t="s">
        <v>516</v>
      </c>
      <c r="F1780" s="4">
        <v>38944</v>
      </c>
      <c r="G1780" s="11">
        <v>500000</v>
      </c>
      <c r="H1780" s="11">
        <v>0</v>
      </c>
    </row>
    <row r="1781" spans="1:8" x14ac:dyDescent="0.2">
      <c r="A1781" t="s">
        <v>1469</v>
      </c>
      <c r="B1781" s="1" t="s">
        <v>1670</v>
      </c>
      <c r="C1781" s="11">
        <v>500000</v>
      </c>
      <c r="D1781" t="s">
        <v>1559</v>
      </c>
      <c r="E1781" t="s">
        <v>516</v>
      </c>
      <c r="F1781" s="4">
        <v>38944</v>
      </c>
      <c r="G1781" s="11">
        <v>500000</v>
      </c>
      <c r="H1781" s="11">
        <v>0</v>
      </c>
    </row>
    <row r="1782" spans="1:8" x14ac:dyDescent="0.2">
      <c r="A1782" t="s">
        <v>1470</v>
      </c>
      <c r="B1782" s="1" t="s">
        <v>1672</v>
      </c>
      <c r="C1782" s="11">
        <v>500000</v>
      </c>
      <c r="D1782" t="s">
        <v>1559</v>
      </c>
      <c r="E1782" t="s">
        <v>516</v>
      </c>
      <c r="F1782" s="4">
        <v>38944</v>
      </c>
      <c r="G1782" s="11">
        <v>500000</v>
      </c>
      <c r="H1782" s="11">
        <v>0</v>
      </c>
    </row>
    <row r="1783" spans="1:8" x14ac:dyDescent="0.2">
      <c r="A1783" t="s">
        <v>2156</v>
      </c>
      <c r="B1783" s="1" t="s">
        <v>3551</v>
      </c>
      <c r="C1783" s="11">
        <v>1500000</v>
      </c>
      <c r="D1783" t="s">
        <v>1559</v>
      </c>
      <c r="E1783" t="s">
        <v>516</v>
      </c>
      <c r="F1783" s="4">
        <v>39881</v>
      </c>
      <c r="G1783" s="11">
        <v>1500000</v>
      </c>
      <c r="H1783" s="11">
        <v>0</v>
      </c>
    </row>
    <row r="1784" spans="1:8" x14ac:dyDescent="0.2">
      <c r="A1784" t="s">
        <v>1471</v>
      </c>
      <c r="B1784" s="1" t="s">
        <v>1921</v>
      </c>
      <c r="C1784" s="11">
        <v>500000</v>
      </c>
      <c r="D1784" t="s">
        <v>1559</v>
      </c>
      <c r="E1784" t="s">
        <v>444</v>
      </c>
      <c r="F1784" s="4">
        <v>39062</v>
      </c>
      <c r="G1784" s="11">
        <v>500000</v>
      </c>
      <c r="H1784" s="11">
        <v>0</v>
      </c>
    </row>
    <row r="1785" spans="1:8" x14ac:dyDescent="0.2">
      <c r="A1785" t="s">
        <v>2770</v>
      </c>
      <c r="B1785" s="1" t="s">
        <v>2771</v>
      </c>
      <c r="C1785" s="11">
        <v>1000000</v>
      </c>
      <c r="D1785" t="s">
        <v>1559</v>
      </c>
      <c r="E1785" t="s">
        <v>888</v>
      </c>
      <c r="F1785" s="4">
        <v>40232</v>
      </c>
      <c r="G1785" s="11">
        <v>1000000</v>
      </c>
      <c r="H1785" s="11">
        <v>0</v>
      </c>
    </row>
    <row r="1786" spans="1:8" x14ac:dyDescent="0.2">
      <c r="A1786" t="s">
        <v>1473</v>
      </c>
      <c r="B1786" s="1" t="s">
        <v>1919</v>
      </c>
      <c r="C1786" s="11">
        <v>1400000</v>
      </c>
      <c r="D1786" t="s">
        <v>1559</v>
      </c>
      <c r="E1786" t="s">
        <v>444</v>
      </c>
      <c r="F1786" s="4">
        <v>38985</v>
      </c>
      <c r="G1786" s="11">
        <v>1400000</v>
      </c>
      <c r="H1786" s="11">
        <v>0</v>
      </c>
    </row>
    <row r="1787" spans="1:8" x14ac:dyDescent="0.2">
      <c r="A1787" t="s">
        <v>1476</v>
      </c>
      <c r="B1787" s="1" t="s">
        <v>1622</v>
      </c>
      <c r="C1787" s="11">
        <v>2359267</v>
      </c>
      <c r="D1787" t="s">
        <v>1559</v>
      </c>
      <c r="E1787" t="s">
        <v>885</v>
      </c>
      <c r="F1787" s="4">
        <v>39021</v>
      </c>
      <c r="G1787" s="11">
        <v>2359267</v>
      </c>
      <c r="H1787" s="11">
        <v>0</v>
      </c>
    </row>
    <row r="1788" spans="1:8" x14ac:dyDescent="0.2">
      <c r="A1788" t="s">
        <v>1477</v>
      </c>
      <c r="B1788" s="1" t="s">
        <v>1878</v>
      </c>
      <c r="C1788" s="11">
        <v>500000</v>
      </c>
      <c r="D1788" t="s">
        <v>1559</v>
      </c>
      <c r="E1788" t="s">
        <v>885</v>
      </c>
      <c r="F1788" s="4">
        <v>39168</v>
      </c>
      <c r="G1788" s="11">
        <v>297221</v>
      </c>
      <c r="H1788" s="11">
        <v>202779</v>
      </c>
    </row>
    <row r="1789" spans="1:8" x14ac:dyDescent="0.2">
      <c r="A1789" t="s">
        <v>974</v>
      </c>
      <c r="B1789" s="1" t="s">
        <v>975</v>
      </c>
      <c r="C1789" s="11">
        <v>1000000</v>
      </c>
      <c r="D1789" t="s">
        <v>1559</v>
      </c>
      <c r="E1789" t="s">
        <v>888</v>
      </c>
      <c r="F1789" s="4">
        <v>39930</v>
      </c>
      <c r="G1789" s="11">
        <v>0</v>
      </c>
      <c r="H1789" s="11">
        <v>1000000</v>
      </c>
    </row>
    <row r="1790" spans="1:8" x14ac:dyDescent="0.2">
      <c r="A1790" t="s">
        <v>1101</v>
      </c>
      <c r="B1790" s="1" t="s">
        <v>1102</v>
      </c>
      <c r="C1790" s="11">
        <v>1000000</v>
      </c>
      <c r="D1790" t="s">
        <v>1559</v>
      </c>
      <c r="E1790" t="s">
        <v>516</v>
      </c>
      <c r="F1790" s="4">
        <v>39961</v>
      </c>
      <c r="G1790" s="11">
        <v>0</v>
      </c>
      <c r="H1790" s="11">
        <v>1000000</v>
      </c>
    </row>
    <row r="1791" spans="1:8" x14ac:dyDescent="0.2">
      <c r="A1791" t="s">
        <v>124</v>
      </c>
      <c r="B1791" s="1" t="s">
        <v>125</v>
      </c>
      <c r="C1791" s="11">
        <v>750000</v>
      </c>
      <c r="D1791" t="s">
        <v>1559</v>
      </c>
      <c r="E1791" t="s">
        <v>516</v>
      </c>
      <c r="F1791" s="4">
        <v>40213</v>
      </c>
      <c r="G1791" s="11">
        <v>0</v>
      </c>
      <c r="H1791" s="11">
        <v>750000</v>
      </c>
    </row>
    <row r="1792" spans="1:8" x14ac:dyDescent="0.2">
      <c r="A1792" t="s">
        <v>3249</v>
      </c>
      <c r="B1792" s="1" t="s">
        <v>3250</v>
      </c>
      <c r="C1792" s="11">
        <v>1670000</v>
      </c>
      <c r="D1792" t="s">
        <v>1559</v>
      </c>
      <c r="E1792" t="s">
        <v>516</v>
      </c>
      <c r="F1792" s="4">
        <v>40407</v>
      </c>
      <c r="G1792" s="11">
        <v>0</v>
      </c>
      <c r="H1792" s="11">
        <v>1670000</v>
      </c>
    </row>
    <row r="1793" spans="1:8" x14ac:dyDescent="0.2">
      <c r="A1793" t="s">
        <v>3912</v>
      </c>
      <c r="B1793" s="1" t="s">
        <v>4084</v>
      </c>
      <c r="C1793" s="11">
        <v>2000000</v>
      </c>
      <c r="D1793" t="s">
        <v>1559</v>
      </c>
      <c r="E1793" t="s">
        <v>888</v>
      </c>
      <c r="F1793" s="4">
        <v>39856</v>
      </c>
      <c r="G1793" s="11">
        <v>0</v>
      </c>
      <c r="H1793" s="11">
        <v>2000000</v>
      </c>
    </row>
    <row r="1794" spans="1:8" x14ac:dyDescent="0.2">
      <c r="A1794" t="s">
        <v>4085</v>
      </c>
      <c r="B1794" s="1" t="s">
        <v>4086</v>
      </c>
      <c r="C1794" s="11">
        <v>2000000</v>
      </c>
      <c r="D1794" t="s">
        <v>1559</v>
      </c>
      <c r="E1794" t="s">
        <v>1710</v>
      </c>
      <c r="G1794" s="11">
        <v>0</v>
      </c>
      <c r="H1794" s="11">
        <v>2000000</v>
      </c>
    </row>
    <row r="1795" spans="1:8" x14ac:dyDescent="0.2">
      <c r="A1795" t="s">
        <v>1481</v>
      </c>
      <c r="B1795" s="1" t="s">
        <v>248</v>
      </c>
      <c r="C1795" s="11">
        <v>0</v>
      </c>
      <c r="D1795" t="s">
        <v>1559</v>
      </c>
      <c r="E1795" t="s">
        <v>885</v>
      </c>
      <c r="F1795" s="4">
        <v>38974</v>
      </c>
      <c r="G1795" s="11">
        <v>0</v>
      </c>
      <c r="H1795" s="11">
        <v>0</v>
      </c>
    </row>
    <row r="1796" spans="1:8" x14ac:dyDescent="0.2">
      <c r="A1796" t="s">
        <v>1455</v>
      </c>
      <c r="B1796" s="1" t="s">
        <v>126</v>
      </c>
      <c r="C1796" s="11">
        <v>1000000</v>
      </c>
      <c r="D1796" t="s">
        <v>1559</v>
      </c>
      <c r="E1796" t="s">
        <v>516</v>
      </c>
      <c r="F1796" s="4">
        <v>38852</v>
      </c>
      <c r="G1796" s="11">
        <v>0</v>
      </c>
      <c r="H1796" s="11">
        <v>1000000</v>
      </c>
    </row>
    <row r="1797" spans="1:8" x14ac:dyDescent="0.2">
      <c r="A1797" t="s">
        <v>1447</v>
      </c>
      <c r="B1797" s="1" t="s">
        <v>1448</v>
      </c>
      <c r="C1797" s="11">
        <v>1000000</v>
      </c>
      <c r="D1797" t="s">
        <v>1559</v>
      </c>
      <c r="E1797" t="s">
        <v>885</v>
      </c>
      <c r="F1797" s="4">
        <v>38652</v>
      </c>
      <c r="G1797" s="11">
        <v>1000000</v>
      </c>
      <c r="H1797" s="11">
        <v>0</v>
      </c>
    </row>
    <row r="1798" spans="1:8" x14ac:dyDescent="0.2">
      <c r="A1798" t="s">
        <v>1456</v>
      </c>
      <c r="B1798" s="1" t="s">
        <v>1457</v>
      </c>
      <c r="C1798" s="11">
        <v>1000000</v>
      </c>
      <c r="D1798" t="s">
        <v>1559</v>
      </c>
      <c r="E1798" t="s">
        <v>885</v>
      </c>
      <c r="F1798" s="4">
        <v>38856</v>
      </c>
      <c r="G1798" s="11">
        <v>1000000</v>
      </c>
      <c r="H1798" s="11">
        <v>0</v>
      </c>
    </row>
    <row r="1799" spans="1:8" x14ac:dyDescent="0.2">
      <c r="A1799" t="s">
        <v>1458</v>
      </c>
      <c r="B1799" s="1" t="s">
        <v>1459</v>
      </c>
      <c r="C1799" s="11">
        <v>1000000</v>
      </c>
      <c r="D1799" t="s">
        <v>1559</v>
      </c>
      <c r="E1799" t="s">
        <v>885</v>
      </c>
      <c r="F1799" s="4">
        <v>38873</v>
      </c>
      <c r="G1799" s="11">
        <v>1000000</v>
      </c>
      <c r="H1799" s="11">
        <v>0</v>
      </c>
    </row>
    <row r="1800" spans="1:8" x14ac:dyDescent="0.2">
      <c r="A1800" t="s">
        <v>1487</v>
      </c>
      <c r="B1800" s="1" t="s">
        <v>1245</v>
      </c>
      <c r="C1800" s="11">
        <v>500000</v>
      </c>
      <c r="D1800" t="s">
        <v>1559</v>
      </c>
      <c r="E1800" t="s">
        <v>444</v>
      </c>
      <c r="F1800" s="4">
        <v>39168</v>
      </c>
      <c r="G1800" s="11">
        <v>500000</v>
      </c>
      <c r="H1800" s="11">
        <v>0</v>
      </c>
    </row>
    <row r="1801" spans="1:8" x14ac:dyDescent="0.2">
      <c r="A1801" t="s">
        <v>809</v>
      </c>
      <c r="B1801" s="1" t="s">
        <v>6</v>
      </c>
      <c r="C1801" s="11">
        <v>0</v>
      </c>
      <c r="D1801" t="s">
        <v>1559</v>
      </c>
      <c r="E1801" t="s">
        <v>1564</v>
      </c>
      <c r="F1801" s="4">
        <v>38806</v>
      </c>
      <c r="G1801" s="11">
        <v>0</v>
      </c>
      <c r="H1801" s="11">
        <v>0</v>
      </c>
    </row>
    <row r="1802" spans="1:8" x14ac:dyDescent="0.2">
      <c r="A1802" t="s">
        <v>1490</v>
      </c>
      <c r="B1802" s="1" t="s">
        <v>651</v>
      </c>
      <c r="C1802" s="11">
        <v>1500000</v>
      </c>
      <c r="D1802" t="s">
        <v>1559</v>
      </c>
      <c r="E1802" t="s">
        <v>444</v>
      </c>
      <c r="F1802" s="4">
        <v>38974</v>
      </c>
      <c r="G1802" s="11">
        <v>1500000</v>
      </c>
      <c r="H1802" s="11">
        <v>0</v>
      </c>
    </row>
    <row r="1803" spans="1:8" x14ac:dyDescent="0.2">
      <c r="A1803" t="s">
        <v>758</v>
      </c>
      <c r="B1803" s="1" t="s">
        <v>759</v>
      </c>
      <c r="C1803" s="11">
        <v>1000000</v>
      </c>
      <c r="D1803" t="s">
        <v>1559</v>
      </c>
      <c r="E1803" t="s">
        <v>444</v>
      </c>
      <c r="F1803" s="4">
        <v>39856</v>
      </c>
      <c r="G1803" s="11">
        <v>1000000</v>
      </c>
      <c r="H1803" s="11">
        <v>0</v>
      </c>
    </row>
    <row r="1804" spans="1:8" x14ac:dyDescent="0.2">
      <c r="A1804" t="s">
        <v>3251</v>
      </c>
      <c r="B1804" s="1" t="s">
        <v>3252</v>
      </c>
      <c r="C1804" s="11">
        <v>1500000</v>
      </c>
      <c r="D1804" t="s">
        <v>1559</v>
      </c>
      <c r="E1804" t="s">
        <v>444</v>
      </c>
      <c r="F1804" s="4">
        <v>40407</v>
      </c>
      <c r="G1804" s="11">
        <v>1500000</v>
      </c>
      <c r="H1804" s="11">
        <v>0</v>
      </c>
    </row>
    <row r="1805" spans="1:8" x14ac:dyDescent="0.2">
      <c r="A1805" t="s">
        <v>3913</v>
      </c>
      <c r="B1805" s="1" t="s">
        <v>3914</v>
      </c>
      <c r="C1805" s="11">
        <v>500000</v>
      </c>
      <c r="D1805" t="s">
        <v>1559</v>
      </c>
      <c r="E1805" t="s">
        <v>3031</v>
      </c>
      <c r="F1805" s="4">
        <v>40532</v>
      </c>
      <c r="G1805" s="11">
        <v>0</v>
      </c>
      <c r="H1805" s="11">
        <v>500000</v>
      </c>
    </row>
    <row r="1806" spans="1:8" x14ac:dyDescent="0.2">
      <c r="A1806" t="s">
        <v>1450</v>
      </c>
      <c r="B1806" s="1" t="s">
        <v>1539</v>
      </c>
      <c r="C1806" s="11">
        <v>500000</v>
      </c>
      <c r="D1806" t="s">
        <v>1559</v>
      </c>
      <c r="E1806" t="s">
        <v>313</v>
      </c>
      <c r="F1806" s="4">
        <v>38835</v>
      </c>
      <c r="G1806" s="11">
        <v>500000</v>
      </c>
      <c r="H1806" s="11">
        <v>0</v>
      </c>
    </row>
    <row r="1807" spans="1:8" x14ac:dyDescent="0.2">
      <c r="A1807" t="s">
        <v>853</v>
      </c>
      <c r="B1807" s="1" t="s">
        <v>1540</v>
      </c>
      <c r="C1807" s="11">
        <v>1000000</v>
      </c>
      <c r="D1807" t="s">
        <v>1559</v>
      </c>
      <c r="E1807" t="s">
        <v>313</v>
      </c>
      <c r="F1807" s="4">
        <v>38835</v>
      </c>
      <c r="G1807" s="11">
        <v>829421</v>
      </c>
      <c r="H1807" s="11">
        <v>170579</v>
      </c>
    </row>
    <row r="1808" spans="1:8" x14ac:dyDescent="0.2">
      <c r="A1808" t="s">
        <v>216</v>
      </c>
      <c r="B1808" s="1" t="s">
        <v>405</v>
      </c>
      <c r="C1808" s="11">
        <v>2500000</v>
      </c>
      <c r="D1808" t="s">
        <v>1559</v>
      </c>
      <c r="E1808" t="s">
        <v>444</v>
      </c>
      <c r="F1808" s="4">
        <v>39325</v>
      </c>
      <c r="G1808" s="11">
        <v>2500000</v>
      </c>
      <c r="H1808" s="11">
        <v>0</v>
      </c>
    </row>
    <row r="1809" spans="1:8" x14ac:dyDescent="0.2">
      <c r="A1809" t="s">
        <v>3253</v>
      </c>
      <c r="B1809" s="1" t="s">
        <v>3254</v>
      </c>
      <c r="C1809" s="11">
        <v>5000000</v>
      </c>
      <c r="D1809" t="s">
        <v>1559</v>
      </c>
      <c r="E1809" t="s">
        <v>3008</v>
      </c>
      <c r="F1809" s="4">
        <v>40407</v>
      </c>
      <c r="G1809" s="11">
        <v>0</v>
      </c>
      <c r="H1809" s="11">
        <v>5000000</v>
      </c>
    </row>
    <row r="1810" spans="1:8" x14ac:dyDescent="0.2">
      <c r="A1810" t="s">
        <v>1971</v>
      </c>
      <c r="B1810" s="1" t="s">
        <v>1972</v>
      </c>
      <c r="C1810" s="11">
        <v>500000</v>
      </c>
      <c r="D1810" t="s">
        <v>1559</v>
      </c>
      <c r="E1810" t="s">
        <v>444</v>
      </c>
      <c r="F1810" s="4">
        <v>39062</v>
      </c>
      <c r="G1810" s="11">
        <v>500000</v>
      </c>
      <c r="H1810" s="11">
        <v>0</v>
      </c>
    </row>
    <row r="1811" spans="1:8" x14ac:dyDescent="0.2">
      <c r="A1811" t="s">
        <v>1973</v>
      </c>
      <c r="B1811" s="1" t="s">
        <v>1974</v>
      </c>
      <c r="C1811" s="11">
        <v>1000000</v>
      </c>
      <c r="D1811" t="s">
        <v>1559</v>
      </c>
      <c r="E1811" t="s">
        <v>444</v>
      </c>
      <c r="F1811" s="4">
        <v>39266</v>
      </c>
      <c r="G1811" s="11">
        <v>1000000</v>
      </c>
      <c r="H1811" s="11">
        <v>0</v>
      </c>
    </row>
    <row r="1812" spans="1:8" x14ac:dyDescent="0.2">
      <c r="A1812" t="s">
        <v>1975</v>
      </c>
      <c r="B1812" s="1" t="s">
        <v>1976</v>
      </c>
      <c r="C1812" s="11">
        <v>1000000</v>
      </c>
      <c r="D1812" t="s">
        <v>1559</v>
      </c>
      <c r="E1812" t="s">
        <v>444</v>
      </c>
      <c r="F1812" s="4">
        <v>39266</v>
      </c>
      <c r="G1812" s="11">
        <v>1000000</v>
      </c>
      <c r="H1812" s="11">
        <v>0</v>
      </c>
    </row>
    <row r="1813" spans="1:8" x14ac:dyDescent="0.2">
      <c r="A1813" t="s">
        <v>217</v>
      </c>
      <c r="B1813" s="1" t="s">
        <v>1260</v>
      </c>
      <c r="C1813" s="11">
        <v>2000000</v>
      </c>
      <c r="D1813" t="s">
        <v>1559</v>
      </c>
      <c r="E1813" t="s">
        <v>1577</v>
      </c>
      <c r="F1813" s="4">
        <v>39204</v>
      </c>
      <c r="G1813" s="11">
        <v>2000000</v>
      </c>
      <c r="H1813" s="11">
        <v>0</v>
      </c>
    </row>
    <row r="1814" spans="1:8" x14ac:dyDescent="0.2">
      <c r="A1814" t="s">
        <v>1303</v>
      </c>
      <c r="B1814" s="1" t="s">
        <v>1432</v>
      </c>
      <c r="C1814" s="11">
        <v>250000</v>
      </c>
      <c r="D1814" t="s">
        <v>1559</v>
      </c>
      <c r="E1814" t="s">
        <v>885</v>
      </c>
      <c r="F1814" s="4">
        <v>38677</v>
      </c>
      <c r="G1814" s="11">
        <v>250000</v>
      </c>
      <c r="H1814" s="11">
        <v>0</v>
      </c>
    </row>
    <row r="1815" spans="1:8" x14ac:dyDescent="0.2">
      <c r="A1815" t="s">
        <v>1978</v>
      </c>
      <c r="B1815" s="1" t="s">
        <v>1546</v>
      </c>
      <c r="C1815" s="11">
        <v>4650000</v>
      </c>
      <c r="D1815" t="s">
        <v>1559</v>
      </c>
      <c r="E1815" t="s">
        <v>516</v>
      </c>
      <c r="F1815" s="4">
        <v>38852</v>
      </c>
      <c r="G1815" s="11">
        <v>4650000</v>
      </c>
      <c r="H1815" s="11">
        <v>0</v>
      </c>
    </row>
    <row r="1816" spans="1:8" x14ac:dyDescent="0.2">
      <c r="A1816" t="s">
        <v>218</v>
      </c>
      <c r="B1816" s="1" t="s">
        <v>1373</v>
      </c>
      <c r="C1816" s="11">
        <v>1000000</v>
      </c>
      <c r="D1816" t="s">
        <v>1559</v>
      </c>
      <c r="E1816" t="s">
        <v>444</v>
      </c>
      <c r="F1816" s="4">
        <v>39248</v>
      </c>
      <c r="G1816" s="11">
        <v>1000000</v>
      </c>
      <c r="H1816" s="11">
        <v>0</v>
      </c>
    </row>
    <row r="1817" spans="1:8" x14ac:dyDescent="0.2">
      <c r="A1817" t="s">
        <v>219</v>
      </c>
      <c r="B1817" s="1" t="s">
        <v>1394</v>
      </c>
      <c r="C1817" s="11">
        <v>500000</v>
      </c>
      <c r="D1817" t="s">
        <v>1559</v>
      </c>
      <c r="E1817" t="s">
        <v>444</v>
      </c>
      <c r="F1817" s="4">
        <v>39414</v>
      </c>
      <c r="G1817" s="11">
        <v>500000</v>
      </c>
      <c r="H1817" s="11">
        <v>0</v>
      </c>
    </row>
    <row r="1818" spans="1:8" x14ac:dyDescent="0.2">
      <c r="A1818" t="s">
        <v>917</v>
      </c>
      <c r="B1818" s="1" t="s">
        <v>918</v>
      </c>
      <c r="C1818" s="11">
        <v>3000000</v>
      </c>
      <c r="D1818" t="s">
        <v>1559</v>
      </c>
      <c r="E1818" t="s">
        <v>444</v>
      </c>
      <c r="F1818" s="4">
        <v>39772</v>
      </c>
      <c r="G1818" s="11">
        <v>3000000</v>
      </c>
      <c r="H1818" s="11">
        <v>0</v>
      </c>
    </row>
    <row r="1819" spans="1:8" x14ac:dyDescent="0.2">
      <c r="A1819" t="s">
        <v>919</v>
      </c>
      <c r="B1819" s="1" t="s">
        <v>609</v>
      </c>
      <c r="C1819" s="11">
        <v>450000</v>
      </c>
      <c r="D1819" t="s">
        <v>1559</v>
      </c>
      <c r="E1819" t="s">
        <v>444</v>
      </c>
      <c r="F1819" s="4">
        <v>39772</v>
      </c>
      <c r="G1819" s="11">
        <v>450000</v>
      </c>
      <c r="H1819" s="11">
        <v>0</v>
      </c>
    </row>
    <row r="1820" spans="1:8" x14ac:dyDescent="0.2">
      <c r="A1820" t="s">
        <v>3255</v>
      </c>
      <c r="B1820" s="1" t="s">
        <v>3256</v>
      </c>
      <c r="C1820" s="11">
        <v>1000000</v>
      </c>
      <c r="D1820" t="s">
        <v>1559</v>
      </c>
      <c r="E1820" t="s">
        <v>888</v>
      </c>
      <c r="F1820" s="4">
        <v>40407</v>
      </c>
      <c r="G1820" s="11">
        <v>1000000</v>
      </c>
      <c r="H1820" s="11">
        <v>0</v>
      </c>
    </row>
    <row r="1821" spans="1:8" x14ac:dyDescent="0.2">
      <c r="A1821" t="s">
        <v>3552</v>
      </c>
      <c r="B1821" s="1" t="s">
        <v>3553</v>
      </c>
      <c r="C1821" s="11">
        <v>200000</v>
      </c>
      <c r="D1821" t="s">
        <v>1559</v>
      </c>
      <c r="E1821" t="s">
        <v>444</v>
      </c>
      <c r="F1821" s="4">
        <v>40504</v>
      </c>
      <c r="G1821" s="11">
        <v>46250</v>
      </c>
      <c r="H1821" s="11">
        <v>153750</v>
      </c>
    </row>
    <row r="1822" spans="1:8" x14ac:dyDescent="0.2">
      <c r="A1822" t="s">
        <v>865</v>
      </c>
      <c r="B1822" s="1" t="s">
        <v>1371</v>
      </c>
      <c r="C1822" s="11">
        <v>250000</v>
      </c>
      <c r="D1822" t="s">
        <v>1559</v>
      </c>
      <c r="E1822" t="s">
        <v>444</v>
      </c>
      <c r="F1822" s="4">
        <v>39246</v>
      </c>
      <c r="G1822" s="11">
        <v>250000</v>
      </c>
      <c r="H1822" s="11">
        <v>0</v>
      </c>
    </row>
    <row r="1823" spans="1:8" x14ac:dyDescent="0.2">
      <c r="A1823" t="s">
        <v>867</v>
      </c>
      <c r="B1823" s="1" t="s">
        <v>1271</v>
      </c>
      <c r="C1823" s="11">
        <v>2200000</v>
      </c>
      <c r="D1823" t="s">
        <v>1559</v>
      </c>
      <c r="E1823" t="s">
        <v>444</v>
      </c>
      <c r="F1823" s="4">
        <v>39062</v>
      </c>
      <c r="G1823" s="11">
        <v>2200000</v>
      </c>
      <c r="H1823" s="11">
        <v>0</v>
      </c>
    </row>
    <row r="1824" spans="1:8" x14ac:dyDescent="0.2">
      <c r="A1824" t="s">
        <v>3554</v>
      </c>
      <c r="B1824" s="1" t="s">
        <v>3340</v>
      </c>
      <c r="C1824" s="11">
        <v>500000</v>
      </c>
      <c r="D1824" t="s">
        <v>1559</v>
      </c>
      <c r="E1824" t="s">
        <v>885</v>
      </c>
      <c r="F1824" s="4">
        <v>40436</v>
      </c>
      <c r="G1824" s="11">
        <v>500000</v>
      </c>
      <c r="H1824" s="11">
        <v>0</v>
      </c>
    </row>
    <row r="1825" spans="1:8" x14ac:dyDescent="0.2">
      <c r="A1825" t="s">
        <v>3555</v>
      </c>
      <c r="B1825" s="1" t="s">
        <v>3341</v>
      </c>
      <c r="C1825" s="11">
        <v>300000</v>
      </c>
      <c r="D1825" t="s">
        <v>1559</v>
      </c>
      <c r="E1825" t="s">
        <v>885</v>
      </c>
      <c r="F1825" s="4">
        <v>40463</v>
      </c>
      <c r="G1825" s="11">
        <v>300000</v>
      </c>
      <c r="H1825" s="11">
        <v>0</v>
      </c>
    </row>
    <row r="1826" spans="1:8" x14ac:dyDescent="0.2">
      <c r="A1826" t="s">
        <v>4087</v>
      </c>
      <c r="B1826" s="1" t="s">
        <v>3916</v>
      </c>
      <c r="C1826" s="11">
        <v>1000000</v>
      </c>
      <c r="D1826" t="s">
        <v>1559</v>
      </c>
      <c r="E1826" t="s">
        <v>888</v>
      </c>
      <c r="F1826" s="4">
        <v>40520</v>
      </c>
      <c r="G1826" s="11">
        <v>185109</v>
      </c>
      <c r="H1826" s="11">
        <v>814891</v>
      </c>
    </row>
    <row r="1827" spans="1:8" x14ac:dyDescent="0.2">
      <c r="A1827" t="s">
        <v>4595</v>
      </c>
      <c r="B1827" s="1" t="s">
        <v>4596</v>
      </c>
      <c r="C1827" s="11">
        <v>5000000</v>
      </c>
      <c r="D1827" t="s">
        <v>1559</v>
      </c>
      <c r="E1827" t="s">
        <v>3031</v>
      </c>
      <c r="F1827" s="4">
        <v>41316</v>
      </c>
      <c r="G1827" s="11">
        <v>0</v>
      </c>
      <c r="H1827" s="11">
        <v>5000000</v>
      </c>
    </row>
    <row r="1828" spans="1:8" x14ac:dyDescent="0.2">
      <c r="A1828" t="s">
        <v>868</v>
      </c>
      <c r="B1828" s="1" t="s">
        <v>1262</v>
      </c>
      <c r="C1828" s="11">
        <v>1000000</v>
      </c>
      <c r="D1828" t="s">
        <v>1559</v>
      </c>
      <c r="E1828" t="s">
        <v>444</v>
      </c>
      <c r="F1828" s="4">
        <v>39213</v>
      </c>
      <c r="G1828" s="11">
        <v>1000000</v>
      </c>
      <c r="H1828" s="11">
        <v>0</v>
      </c>
    </row>
    <row r="1829" spans="1:8" x14ac:dyDescent="0.2">
      <c r="A1829" t="s">
        <v>763</v>
      </c>
      <c r="B1829" s="1" t="s">
        <v>764</v>
      </c>
      <c r="C1829" s="11">
        <v>2000000</v>
      </c>
      <c r="D1829" t="s">
        <v>1559</v>
      </c>
      <c r="E1829" t="s">
        <v>444</v>
      </c>
      <c r="F1829" s="4">
        <v>39856</v>
      </c>
      <c r="G1829" s="11">
        <v>2000000</v>
      </c>
      <c r="H1829" s="11">
        <v>0</v>
      </c>
    </row>
    <row r="1830" spans="1:8" x14ac:dyDescent="0.2">
      <c r="A1830" t="s">
        <v>869</v>
      </c>
      <c r="B1830" s="1" t="s">
        <v>1977</v>
      </c>
      <c r="C1830" s="11">
        <v>2000000</v>
      </c>
      <c r="D1830" t="s">
        <v>1559</v>
      </c>
      <c r="E1830" t="s">
        <v>1577</v>
      </c>
      <c r="F1830" s="4">
        <v>39238</v>
      </c>
      <c r="G1830" s="11">
        <v>2000000</v>
      </c>
      <c r="H1830" s="11">
        <v>0</v>
      </c>
    </row>
    <row r="1831" spans="1:8" x14ac:dyDescent="0.2">
      <c r="A1831" t="s">
        <v>977</v>
      </c>
      <c r="B1831" s="1" t="s">
        <v>1166</v>
      </c>
      <c r="C1831" s="11">
        <v>1000000</v>
      </c>
      <c r="D1831" t="s">
        <v>1559</v>
      </c>
      <c r="E1831" t="s">
        <v>1577</v>
      </c>
      <c r="F1831" s="4">
        <v>39702</v>
      </c>
      <c r="G1831" s="11">
        <v>1000000</v>
      </c>
      <c r="H1831" s="11">
        <v>0</v>
      </c>
    </row>
    <row r="1832" spans="1:8" x14ac:dyDescent="0.2">
      <c r="A1832" t="s">
        <v>870</v>
      </c>
      <c r="B1832" s="1" t="s">
        <v>638</v>
      </c>
      <c r="C1832" s="11">
        <v>2000000</v>
      </c>
      <c r="D1832" t="s">
        <v>1559</v>
      </c>
      <c r="E1832" t="s">
        <v>885</v>
      </c>
      <c r="F1832" s="4">
        <v>38905</v>
      </c>
      <c r="G1832" s="11">
        <v>2000000</v>
      </c>
      <c r="H1832" s="11">
        <v>0</v>
      </c>
    </row>
    <row r="1833" spans="1:8" x14ac:dyDescent="0.2">
      <c r="A1833" t="s">
        <v>2577</v>
      </c>
      <c r="B1833" s="1" t="s">
        <v>639</v>
      </c>
      <c r="C1833" s="11">
        <v>1000000</v>
      </c>
      <c r="D1833" t="s">
        <v>1559</v>
      </c>
      <c r="E1833" t="s">
        <v>885</v>
      </c>
      <c r="F1833" s="4">
        <v>38905</v>
      </c>
      <c r="G1833" s="11">
        <v>1000000</v>
      </c>
      <c r="H1833" s="11">
        <v>0</v>
      </c>
    </row>
    <row r="1834" spans="1:8" x14ac:dyDescent="0.2">
      <c r="A1834" t="s">
        <v>2578</v>
      </c>
      <c r="B1834" s="1" t="s">
        <v>610</v>
      </c>
      <c r="C1834" s="11">
        <v>500000</v>
      </c>
      <c r="D1834" t="s">
        <v>1559</v>
      </c>
      <c r="E1834" t="s">
        <v>885</v>
      </c>
      <c r="F1834" s="4">
        <v>38905</v>
      </c>
      <c r="G1834" s="11">
        <v>500000</v>
      </c>
      <c r="H1834" s="11">
        <v>0</v>
      </c>
    </row>
    <row r="1835" spans="1:8" x14ac:dyDescent="0.2">
      <c r="A1835" t="s">
        <v>876</v>
      </c>
      <c r="B1835" s="1" t="s">
        <v>682</v>
      </c>
      <c r="C1835" s="11">
        <v>2000000</v>
      </c>
      <c r="D1835" t="s">
        <v>1559</v>
      </c>
      <c r="E1835" t="s">
        <v>885</v>
      </c>
      <c r="F1835" s="4">
        <v>39008</v>
      </c>
      <c r="G1835" s="11">
        <v>2000000</v>
      </c>
      <c r="H1835" s="11">
        <v>0</v>
      </c>
    </row>
    <row r="1836" spans="1:8" x14ac:dyDescent="0.2">
      <c r="A1836" t="s">
        <v>854</v>
      </c>
      <c r="B1836" s="1" t="s">
        <v>1547</v>
      </c>
      <c r="C1836" s="11">
        <v>25000000</v>
      </c>
      <c r="D1836" t="s">
        <v>1559</v>
      </c>
      <c r="E1836" t="s">
        <v>516</v>
      </c>
      <c r="F1836" s="4">
        <v>38852</v>
      </c>
      <c r="G1836" s="11">
        <v>25000000</v>
      </c>
      <c r="H1836" s="11">
        <v>0</v>
      </c>
    </row>
    <row r="1837" spans="1:8" x14ac:dyDescent="0.2">
      <c r="A1837" t="s">
        <v>923</v>
      </c>
      <c r="B1837" s="1" t="s">
        <v>924</v>
      </c>
      <c r="C1837" s="11">
        <v>5000000</v>
      </c>
      <c r="D1837" t="s">
        <v>1559</v>
      </c>
      <c r="E1837" t="s">
        <v>516</v>
      </c>
      <c r="F1837" s="4">
        <v>39735</v>
      </c>
      <c r="G1837" s="11">
        <v>5000000</v>
      </c>
      <c r="H1837" s="11">
        <v>0</v>
      </c>
    </row>
    <row r="1838" spans="1:8" x14ac:dyDescent="0.2">
      <c r="A1838" t="s">
        <v>2772</v>
      </c>
      <c r="B1838" s="1" t="s">
        <v>2773</v>
      </c>
      <c r="C1838" s="11">
        <v>2000000</v>
      </c>
      <c r="D1838" t="s">
        <v>1559</v>
      </c>
      <c r="E1838" t="s">
        <v>516</v>
      </c>
      <c r="F1838" s="4">
        <v>40232</v>
      </c>
      <c r="G1838" s="11">
        <v>2000000</v>
      </c>
      <c r="H1838" s="11">
        <v>0</v>
      </c>
    </row>
    <row r="1839" spans="1:8" x14ac:dyDescent="0.2">
      <c r="A1839" t="s">
        <v>2918</v>
      </c>
      <c r="B1839" s="1" t="s">
        <v>2919</v>
      </c>
      <c r="C1839" s="11">
        <v>2000000</v>
      </c>
      <c r="D1839" t="s">
        <v>1559</v>
      </c>
      <c r="E1839" t="s">
        <v>516</v>
      </c>
      <c r="F1839" s="4">
        <v>40325</v>
      </c>
      <c r="G1839" s="11">
        <v>2000000</v>
      </c>
      <c r="H1839" s="11">
        <v>0</v>
      </c>
    </row>
    <row r="1840" spans="1:8" x14ac:dyDescent="0.2">
      <c r="A1840" t="s">
        <v>2974</v>
      </c>
      <c r="B1840" s="1" t="s">
        <v>2975</v>
      </c>
      <c r="C1840" s="11">
        <v>2000000</v>
      </c>
      <c r="D1840" t="s">
        <v>1559</v>
      </c>
      <c r="E1840" t="s">
        <v>516</v>
      </c>
      <c r="F1840" s="4">
        <v>40374</v>
      </c>
      <c r="G1840" s="11">
        <v>2000000</v>
      </c>
      <c r="H1840" s="11">
        <v>0</v>
      </c>
    </row>
    <row r="1841" spans="1:8" x14ac:dyDescent="0.2">
      <c r="A1841" t="s">
        <v>3556</v>
      </c>
      <c r="B1841" s="1" t="s">
        <v>3557</v>
      </c>
      <c r="C1841" s="11">
        <v>1000000</v>
      </c>
      <c r="D1841" t="s">
        <v>1559</v>
      </c>
      <c r="E1841" t="s">
        <v>516</v>
      </c>
      <c r="F1841" s="4">
        <v>40499</v>
      </c>
      <c r="G1841" s="11">
        <v>1000000</v>
      </c>
      <c r="H1841" s="11">
        <v>0</v>
      </c>
    </row>
    <row r="1842" spans="1:8" x14ac:dyDescent="0.2">
      <c r="A1842" t="s">
        <v>3558</v>
      </c>
      <c r="B1842" s="1" t="s">
        <v>3559</v>
      </c>
      <c r="C1842" s="11">
        <v>10000000</v>
      </c>
      <c r="D1842" t="s">
        <v>1559</v>
      </c>
      <c r="E1842" t="s">
        <v>516</v>
      </c>
      <c r="F1842" s="4">
        <v>40499</v>
      </c>
      <c r="G1842" s="11">
        <v>9501000</v>
      </c>
      <c r="H1842" s="11">
        <v>499000</v>
      </c>
    </row>
    <row r="1843" spans="1:8" x14ac:dyDescent="0.2">
      <c r="A1843" t="s">
        <v>3915</v>
      </c>
      <c r="B1843" s="1" t="s">
        <v>3559</v>
      </c>
      <c r="C1843" s="11">
        <v>450000</v>
      </c>
      <c r="D1843" t="s">
        <v>1559</v>
      </c>
      <c r="E1843" t="s">
        <v>516</v>
      </c>
      <c r="F1843" s="4">
        <v>40546</v>
      </c>
      <c r="G1843" s="11">
        <v>0</v>
      </c>
      <c r="H1843" s="11">
        <v>450000</v>
      </c>
    </row>
    <row r="1844" spans="1:8" x14ac:dyDescent="0.2">
      <c r="A1844" t="s">
        <v>727</v>
      </c>
      <c r="B1844" s="1" t="s">
        <v>1419</v>
      </c>
      <c r="C1844" s="11">
        <v>1500000</v>
      </c>
      <c r="D1844" t="s">
        <v>1559</v>
      </c>
      <c r="E1844" t="s">
        <v>885</v>
      </c>
      <c r="F1844" s="4">
        <v>38601</v>
      </c>
      <c r="G1844" s="11">
        <v>0</v>
      </c>
      <c r="H1844" s="11">
        <v>1500000</v>
      </c>
    </row>
    <row r="1845" spans="1:8" x14ac:dyDescent="0.2">
      <c r="A1845" t="s">
        <v>4487</v>
      </c>
      <c r="B1845" s="1" t="s">
        <v>1550</v>
      </c>
      <c r="C1845" s="11">
        <v>500000</v>
      </c>
      <c r="D1845" t="s">
        <v>1559</v>
      </c>
      <c r="E1845" t="s">
        <v>885</v>
      </c>
      <c r="F1845" s="4">
        <v>38873</v>
      </c>
      <c r="G1845" s="11">
        <v>0</v>
      </c>
      <c r="H1845" s="11">
        <v>500000</v>
      </c>
    </row>
    <row r="1846" spans="1:8" x14ac:dyDescent="0.2">
      <c r="A1846" t="s">
        <v>744</v>
      </c>
      <c r="B1846" s="1" t="s">
        <v>2191</v>
      </c>
      <c r="C1846" s="11">
        <v>1000000</v>
      </c>
      <c r="D1846" t="s">
        <v>1559</v>
      </c>
      <c r="E1846" t="s">
        <v>1577</v>
      </c>
      <c r="F1846" s="4">
        <v>39394</v>
      </c>
      <c r="G1846" s="11">
        <v>1000000</v>
      </c>
      <c r="H1846" s="11">
        <v>0</v>
      </c>
    </row>
    <row r="1847" spans="1:8" x14ac:dyDescent="0.2">
      <c r="A1847" t="s">
        <v>2157</v>
      </c>
      <c r="B1847" s="1" t="s">
        <v>2158</v>
      </c>
      <c r="C1847" s="11">
        <v>1000000</v>
      </c>
      <c r="D1847" t="s">
        <v>1559</v>
      </c>
      <c r="E1847" t="s">
        <v>1577</v>
      </c>
      <c r="F1847" s="4">
        <v>40100</v>
      </c>
      <c r="G1847" s="11">
        <v>1000000</v>
      </c>
      <c r="H1847" s="11">
        <v>0</v>
      </c>
    </row>
    <row r="1848" spans="1:8" x14ac:dyDescent="0.2">
      <c r="A1848" t="s">
        <v>741</v>
      </c>
      <c r="B1848" s="1" t="s">
        <v>1272</v>
      </c>
      <c r="C1848" s="11">
        <v>1500000</v>
      </c>
      <c r="D1848" t="s">
        <v>1559</v>
      </c>
      <c r="E1848" t="s">
        <v>444</v>
      </c>
      <c r="F1848" s="4">
        <v>39062</v>
      </c>
      <c r="G1848" s="11">
        <v>1263909</v>
      </c>
      <c r="H1848" s="11">
        <v>236091</v>
      </c>
    </row>
    <row r="1849" spans="1:8" x14ac:dyDescent="0.2">
      <c r="A1849" t="s">
        <v>941</v>
      </c>
      <c r="B1849" s="1" t="s">
        <v>1257</v>
      </c>
      <c r="C1849" s="11">
        <v>500000</v>
      </c>
      <c r="D1849" t="s">
        <v>1559</v>
      </c>
      <c r="E1849" t="s">
        <v>444</v>
      </c>
      <c r="F1849" s="4">
        <v>39162</v>
      </c>
      <c r="G1849" s="11">
        <v>500000</v>
      </c>
      <c r="H1849" s="11">
        <v>0</v>
      </c>
    </row>
    <row r="1850" spans="1:8" x14ac:dyDescent="0.2">
      <c r="A1850" t="s">
        <v>942</v>
      </c>
      <c r="B1850" s="1" t="s">
        <v>1370</v>
      </c>
      <c r="C1850" s="11">
        <v>1000000</v>
      </c>
      <c r="D1850" t="s">
        <v>1559</v>
      </c>
      <c r="E1850" t="s">
        <v>444</v>
      </c>
      <c r="F1850" s="4">
        <v>39246</v>
      </c>
      <c r="G1850" s="11">
        <v>1000000</v>
      </c>
      <c r="H1850" s="11">
        <v>0</v>
      </c>
    </row>
    <row r="1851" spans="1:8" x14ac:dyDescent="0.2">
      <c r="A1851" t="s">
        <v>3917</v>
      </c>
      <c r="B1851" s="1" t="s">
        <v>3342</v>
      </c>
      <c r="C1851" s="11">
        <v>1500000</v>
      </c>
      <c r="D1851" t="s">
        <v>1559</v>
      </c>
      <c r="E1851" t="s">
        <v>885</v>
      </c>
      <c r="F1851" s="4">
        <v>40436</v>
      </c>
      <c r="G1851" s="11">
        <v>1500000</v>
      </c>
      <c r="H1851" s="11">
        <v>0</v>
      </c>
    </row>
    <row r="1852" spans="1:8" x14ac:dyDescent="0.2">
      <c r="A1852" t="s">
        <v>3918</v>
      </c>
      <c r="B1852" s="1" t="s">
        <v>3343</v>
      </c>
      <c r="C1852" s="11">
        <v>1000000</v>
      </c>
      <c r="D1852" t="s">
        <v>1559</v>
      </c>
      <c r="E1852" t="s">
        <v>885</v>
      </c>
      <c r="F1852" s="4">
        <v>40463</v>
      </c>
      <c r="G1852" s="11">
        <v>1000000</v>
      </c>
      <c r="H1852" s="11">
        <v>0</v>
      </c>
    </row>
    <row r="1853" spans="1:8" x14ac:dyDescent="0.2">
      <c r="A1853" t="s">
        <v>3919</v>
      </c>
      <c r="B1853" s="1" t="s">
        <v>3590</v>
      </c>
      <c r="C1853" s="11">
        <v>1000000</v>
      </c>
      <c r="D1853" t="s">
        <v>1559</v>
      </c>
      <c r="E1853" t="s">
        <v>3031</v>
      </c>
      <c r="F1853" s="4">
        <v>40500</v>
      </c>
      <c r="G1853" s="11">
        <v>490248</v>
      </c>
      <c r="H1853" s="11">
        <v>509752</v>
      </c>
    </row>
    <row r="1854" spans="1:8" x14ac:dyDescent="0.2">
      <c r="A1854" t="s">
        <v>3920</v>
      </c>
      <c r="B1854" s="1" t="s">
        <v>3921</v>
      </c>
      <c r="C1854" s="11">
        <v>1000000</v>
      </c>
      <c r="D1854" t="s">
        <v>1559</v>
      </c>
      <c r="E1854" t="s">
        <v>3031</v>
      </c>
      <c r="F1854" s="4">
        <v>40532</v>
      </c>
      <c r="G1854" s="11">
        <v>0</v>
      </c>
      <c r="H1854" s="11">
        <v>1000000</v>
      </c>
    </row>
    <row r="1855" spans="1:8" x14ac:dyDescent="0.2">
      <c r="A1855" t="s">
        <v>3922</v>
      </c>
      <c r="B1855" s="1" t="s">
        <v>3923</v>
      </c>
      <c r="C1855" s="11">
        <v>500000</v>
      </c>
      <c r="D1855" t="s">
        <v>1559</v>
      </c>
      <c r="E1855" t="s">
        <v>3031</v>
      </c>
      <c r="F1855" s="4">
        <v>40546</v>
      </c>
      <c r="G1855" s="11">
        <v>0</v>
      </c>
      <c r="H1855" s="11">
        <v>500000</v>
      </c>
    </row>
    <row r="1856" spans="1:8" x14ac:dyDescent="0.2">
      <c r="A1856" t="s">
        <v>951</v>
      </c>
      <c r="B1856" s="1" t="s">
        <v>401</v>
      </c>
      <c r="C1856" s="11">
        <v>1000000</v>
      </c>
      <c r="D1856" t="s">
        <v>1559</v>
      </c>
      <c r="E1856" t="s">
        <v>444</v>
      </c>
      <c r="F1856" s="4">
        <v>39277</v>
      </c>
      <c r="G1856" s="11">
        <v>968460</v>
      </c>
      <c r="H1856" s="11">
        <v>31540</v>
      </c>
    </row>
    <row r="1857" spans="1:8" x14ac:dyDescent="0.2">
      <c r="A1857" t="s">
        <v>3924</v>
      </c>
      <c r="B1857" s="1" t="s">
        <v>3925</v>
      </c>
      <c r="C1857" s="11">
        <v>500000</v>
      </c>
      <c r="D1857" t="s">
        <v>1559</v>
      </c>
      <c r="E1857" t="s">
        <v>3031</v>
      </c>
      <c r="F1857" s="4">
        <v>40532</v>
      </c>
      <c r="G1857" s="11">
        <v>0</v>
      </c>
      <c r="H1857" s="11">
        <v>500000</v>
      </c>
    </row>
    <row r="1858" spans="1:8" x14ac:dyDescent="0.2">
      <c r="A1858" t="s">
        <v>953</v>
      </c>
      <c r="B1858" s="1" t="s">
        <v>408</v>
      </c>
      <c r="C1858" s="11">
        <v>500000</v>
      </c>
      <c r="D1858" t="s">
        <v>1559</v>
      </c>
      <c r="E1858" t="s">
        <v>885</v>
      </c>
      <c r="F1858" s="4">
        <v>39329</v>
      </c>
      <c r="G1858" s="11">
        <v>0</v>
      </c>
      <c r="H1858" s="11">
        <v>500000</v>
      </c>
    </row>
    <row r="1859" spans="1:8" x14ac:dyDescent="0.2">
      <c r="A1859" t="s">
        <v>955</v>
      </c>
      <c r="B1859" s="1" t="s">
        <v>409</v>
      </c>
      <c r="C1859" s="11">
        <v>1500000</v>
      </c>
      <c r="D1859" t="s">
        <v>1559</v>
      </c>
      <c r="E1859" t="s">
        <v>885</v>
      </c>
      <c r="F1859" s="4">
        <v>39329</v>
      </c>
      <c r="G1859" s="11">
        <v>1466594</v>
      </c>
      <c r="H1859" s="11">
        <v>33406</v>
      </c>
    </row>
    <row r="1860" spans="1:8" x14ac:dyDescent="0.2">
      <c r="A1860" t="s">
        <v>1104</v>
      </c>
      <c r="B1860" s="1" t="s">
        <v>1242</v>
      </c>
      <c r="C1860" s="11">
        <v>2000000</v>
      </c>
      <c r="D1860" t="s">
        <v>1559</v>
      </c>
      <c r="E1860" t="s">
        <v>885</v>
      </c>
      <c r="F1860" s="4">
        <v>39168</v>
      </c>
      <c r="G1860" s="11">
        <v>2000000</v>
      </c>
      <c r="H1860" s="11">
        <v>0</v>
      </c>
    </row>
    <row r="1861" spans="1:8" x14ac:dyDescent="0.2">
      <c r="A1861" t="s">
        <v>3257</v>
      </c>
      <c r="B1861" s="1" t="s">
        <v>1242</v>
      </c>
      <c r="C1861" s="11">
        <v>1000000</v>
      </c>
      <c r="D1861" t="s">
        <v>1559</v>
      </c>
      <c r="E1861" t="s">
        <v>885</v>
      </c>
      <c r="F1861" s="4">
        <v>40414</v>
      </c>
      <c r="G1861" s="11">
        <v>536120</v>
      </c>
      <c r="H1861" s="11">
        <v>463880</v>
      </c>
    </row>
    <row r="1862" spans="1:8" x14ac:dyDescent="0.2">
      <c r="A1862" t="s">
        <v>1105</v>
      </c>
      <c r="B1862" s="1" t="s">
        <v>1190</v>
      </c>
      <c r="C1862" s="11">
        <v>2000000</v>
      </c>
      <c r="D1862" t="s">
        <v>1559</v>
      </c>
      <c r="E1862" t="s">
        <v>444</v>
      </c>
      <c r="F1862" s="4">
        <v>39720</v>
      </c>
      <c r="G1862" s="11">
        <v>0</v>
      </c>
      <c r="H1862" s="11">
        <v>2000000</v>
      </c>
    </row>
    <row r="1863" spans="1:8" x14ac:dyDescent="0.2">
      <c r="A1863" t="s">
        <v>1106</v>
      </c>
      <c r="B1863" s="1" t="s">
        <v>1222</v>
      </c>
      <c r="C1863" s="11">
        <v>900000</v>
      </c>
      <c r="D1863" t="s">
        <v>1559</v>
      </c>
      <c r="E1863" t="s">
        <v>888</v>
      </c>
      <c r="F1863" s="4">
        <v>39772</v>
      </c>
      <c r="G1863" s="11">
        <v>900000</v>
      </c>
      <c r="H1863" s="11">
        <v>0</v>
      </c>
    </row>
    <row r="1864" spans="1:8" x14ac:dyDescent="0.2">
      <c r="A1864" t="s">
        <v>2159</v>
      </c>
      <c r="B1864" s="1" t="s">
        <v>2584</v>
      </c>
      <c r="C1864" s="11">
        <v>1300000</v>
      </c>
      <c r="D1864" t="s">
        <v>1559</v>
      </c>
      <c r="E1864" t="s">
        <v>888</v>
      </c>
      <c r="F1864" s="4">
        <v>39793</v>
      </c>
      <c r="G1864" s="11">
        <v>1300000</v>
      </c>
      <c r="H1864" s="11">
        <v>0</v>
      </c>
    </row>
    <row r="1865" spans="1:8" x14ac:dyDescent="0.2">
      <c r="A1865" t="s">
        <v>3560</v>
      </c>
      <c r="B1865" s="1" t="s">
        <v>3337</v>
      </c>
      <c r="C1865" s="11">
        <v>1000000</v>
      </c>
      <c r="D1865" t="s">
        <v>1559</v>
      </c>
      <c r="E1865" t="s">
        <v>888</v>
      </c>
      <c r="F1865" s="4">
        <v>40435</v>
      </c>
      <c r="G1865" s="11">
        <v>0</v>
      </c>
      <c r="H1865" s="11">
        <v>1000000</v>
      </c>
    </row>
    <row r="1866" spans="1:8" x14ac:dyDescent="0.2">
      <c r="A1866" t="s">
        <v>1107</v>
      </c>
      <c r="B1866" s="1" t="s">
        <v>1224</v>
      </c>
      <c r="C1866" s="11">
        <v>450000</v>
      </c>
      <c r="D1866" t="s">
        <v>1559</v>
      </c>
      <c r="E1866" t="s">
        <v>444</v>
      </c>
      <c r="F1866" s="4">
        <v>39772</v>
      </c>
      <c r="G1866" s="11">
        <v>450000</v>
      </c>
      <c r="H1866" s="11">
        <v>0</v>
      </c>
    </row>
    <row r="1867" spans="1:8" x14ac:dyDescent="0.2">
      <c r="A1867" t="s">
        <v>2160</v>
      </c>
      <c r="B1867" s="1" t="s">
        <v>1225</v>
      </c>
      <c r="C1867" s="11">
        <v>400000</v>
      </c>
      <c r="D1867" t="s">
        <v>1559</v>
      </c>
      <c r="E1867" t="s">
        <v>888</v>
      </c>
      <c r="F1867" s="4">
        <v>39772</v>
      </c>
      <c r="G1867" s="11">
        <v>0</v>
      </c>
      <c r="H1867" s="11">
        <v>400000</v>
      </c>
    </row>
    <row r="1868" spans="1:8" x14ac:dyDescent="0.2">
      <c r="A1868" t="s">
        <v>1108</v>
      </c>
      <c r="B1868" s="1" t="s">
        <v>2579</v>
      </c>
      <c r="C1868" s="11">
        <v>13500000</v>
      </c>
      <c r="D1868" t="s">
        <v>1559</v>
      </c>
      <c r="E1868" t="s">
        <v>888</v>
      </c>
      <c r="F1868" s="4">
        <v>39793</v>
      </c>
      <c r="G1868" s="11">
        <v>13500000</v>
      </c>
      <c r="H1868" s="11">
        <v>0</v>
      </c>
    </row>
    <row r="1869" spans="1:8" x14ac:dyDescent="0.2">
      <c r="A1869" t="s">
        <v>1109</v>
      </c>
      <c r="B1869" s="1" t="s">
        <v>631</v>
      </c>
      <c r="C1869" s="11">
        <v>1000000</v>
      </c>
      <c r="D1869" t="s">
        <v>1559</v>
      </c>
      <c r="E1869" t="s">
        <v>888</v>
      </c>
      <c r="F1869" s="4">
        <v>39856</v>
      </c>
      <c r="G1869" s="11">
        <v>1000000</v>
      </c>
      <c r="H1869" s="11">
        <v>0</v>
      </c>
    </row>
    <row r="1870" spans="1:8" x14ac:dyDescent="0.2">
      <c r="A1870" t="s">
        <v>1110</v>
      </c>
      <c r="B1870" s="1" t="s">
        <v>773</v>
      </c>
      <c r="C1870" s="11">
        <v>500000</v>
      </c>
      <c r="D1870" t="s">
        <v>1559</v>
      </c>
      <c r="E1870" t="s">
        <v>888</v>
      </c>
      <c r="F1870" s="4">
        <v>39856</v>
      </c>
      <c r="G1870" s="11">
        <v>425000</v>
      </c>
      <c r="H1870" s="11">
        <v>75000</v>
      </c>
    </row>
    <row r="1871" spans="1:8" x14ac:dyDescent="0.2">
      <c r="A1871" t="s">
        <v>611</v>
      </c>
      <c r="B1871" s="1" t="s">
        <v>1368</v>
      </c>
      <c r="C1871" s="11">
        <v>500000</v>
      </c>
      <c r="D1871" t="s">
        <v>1559</v>
      </c>
      <c r="E1871" t="s">
        <v>885</v>
      </c>
      <c r="F1871" s="4">
        <v>39245</v>
      </c>
      <c r="G1871" s="11">
        <v>500000</v>
      </c>
      <c r="H1871" s="11">
        <v>0</v>
      </c>
    </row>
    <row r="1872" spans="1:8" x14ac:dyDescent="0.2">
      <c r="A1872" t="s">
        <v>127</v>
      </c>
      <c r="B1872" s="1" t="s">
        <v>397</v>
      </c>
      <c r="C1872" s="11">
        <v>500000</v>
      </c>
      <c r="D1872" t="s">
        <v>1559</v>
      </c>
      <c r="E1872" t="s">
        <v>516</v>
      </c>
      <c r="F1872" s="4">
        <v>39277</v>
      </c>
      <c r="G1872" s="11">
        <v>500000</v>
      </c>
      <c r="H1872" s="11">
        <v>0</v>
      </c>
    </row>
    <row r="1873" spans="1:8" x14ac:dyDescent="0.2">
      <c r="A1873" t="s">
        <v>128</v>
      </c>
      <c r="B1873" s="1" t="s">
        <v>398</v>
      </c>
      <c r="C1873" s="11">
        <v>500000</v>
      </c>
      <c r="D1873" t="s">
        <v>1559</v>
      </c>
      <c r="E1873" t="s">
        <v>516</v>
      </c>
      <c r="F1873" s="4">
        <v>39277</v>
      </c>
      <c r="G1873" s="11">
        <v>500000</v>
      </c>
      <c r="H1873" s="11">
        <v>0</v>
      </c>
    </row>
    <row r="1874" spans="1:8" x14ac:dyDescent="0.2">
      <c r="A1874" t="s">
        <v>129</v>
      </c>
      <c r="B1874" s="1" t="s">
        <v>630</v>
      </c>
      <c r="C1874" s="11">
        <v>1500000</v>
      </c>
      <c r="D1874" t="s">
        <v>1559</v>
      </c>
      <c r="E1874" t="s">
        <v>885</v>
      </c>
      <c r="F1874" s="4">
        <v>39856</v>
      </c>
      <c r="G1874" s="11">
        <v>1500000</v>
      </c>
      <c r="H1874" s="11">
        <v>0</v>
      </c>
    </row>
    <row r="1875" spans="1:8" x14ac:dyDescent="0.2">
      <c r="A1875" t="s">
        <v>2161</v>
      </c>
      <c r="B1875" s="1" t="s">
        <v>2582</v>
      </c>
      <c r="C1875" s="11">
        <v>250000</v>
      </c>
      <c r="D1875" t="s">
        <v>1559</v>
      </c>
      <c r="E1875" t="s">
        <v>885</v>
      </c>
      <c r="F1875" s="4">
        <v>39793</v>
      </c>
      <c r="G1875" s="11">
        <v>250000</v>
      </c>
      <c r="H1875" s="11">
        <v>0</v>
      </c>
    </row>
    <row r="1876" spans="1:8" x14ac:dyDescent="0.2">
      <c r="A1876" t="s">
        <v>2162</v>
      </c>
      <c r="B1876" s="1" t="s">
        <v>2581</v>
      </c>
      <c r="C1876" s="11">
        <v>2000000</v>
      </c>
      <c r="D1876" t="s">
        <v>1559</v>
      </c>
      <c r="E1876" t="s">
        <v>888</v>
      </c>
      <c r="F1876" s="4">
        <v>39793</v>
      </c>
      <c r="G1876" s="11">
        <v>2000000</v>
      </c>
      <c r="H1876" s="11">
        <v>0</v>
      </c>
    </row>
    <row r="1877" spans="1:8" x14ac:dyDescent="0.2">
      <c r="A1877" t="s">
        <v>2163</v>
      </c>
      <c r="B1877" s="1" t="s">
        <v>1113</v>
      </c>
      <c r="C1877" s="11">
        <v>500000</v>
      </c>
      <c r="D1877" t="s">
        <v>1559</v>
      </c>
      <c r="E1877" t="s">
        <v>888</v>
      </c>
      <c r="F1877" s="4">
        <v>39945</v>
      </c>
      <c r="G1877" s="11">
        <v>180392</v>
      </c>
      <c r="H1877" s="11">
        <v>319608</v>
      </c>
    </row>
    <row r="1878" spans="1:8" x14ac:dyDescent="0.2">
      <c r="A1878" t="s">
        <v>3258</v>
      </c>
      <c r="B1878" s="1" t="s">
        <v>3259</v>
      </c>
      <c r="C1878" s="11">
        <v>1500000</v>
      </c>
      <c r="D1878" t="s">
        <v>1559</v>
      </c>
      <c r="E1878" t="s">
        <v>888</v>
      </c>
      <c r="F1878" s="4">
        <v>40463</v>
      </c>
      <c r="G1878" s="11">
        <v>0</v>
      </c>
      <c r="H1878" s="11">
        <v>1500000</v>
      </c>
    </row>
    <row r="1879" spans="1:8" x14ac:dyDescent="0.2">
      <c r="A1879" t="s">
        <v>3561</v>
      </c>
      <c r="B1879" s="1" t="s">
        <v>3562</v>
      </c>
      <c r="C1879" s="11">
        <v>5000000</v>
      </c>
      <c r="D1879" t="s">
        <v>1559</v>
      </c>
      <c r="E1879" t="s">
        <v>888</v>
      </c>
      <c r="F1879" s="4">
        <v>40499</v>
      </c>
      <c r="G1879" s="11">
        <v>0</v>
      </c>
      <c r="H1879" s="11">
        <v>5000000</v>
      </c>
    </row>
    <row r="1880" spans="1:8" x14ac:dyDescent="0.2">
      <c r="A1880" t="s">
        <v>3926</v>
      </c>
      <c r="B1880" s="1" t="s">
        <v>3927</v>
      </c>
      <c r="C1880" s="11">
        <v>2000000</v>
      </c>
      <c r="D1880" t="s">
        <v>1559</v>
      </c>
      <c r="E1880" t="s">
        <v>888</v>
      </c>
      <c r="F1880" s="4">
        <v>40546</v>
      </c>
      <c r="G1880" s="11">
        <v>0</v>
      </c>
      <c r="H1880" s="11">
        <v>2000000</v>
      </c>
    </row>
    <row r="1881" spans="1:8" x14ac:dyDescent="0.2">
      <c r="A1881" t="s">
        <v>3928</v>
      </c>
      <c r="B1881" s="1" t="s">
        <v>3929</v>
      </c>
      <c r="C1881" s="11">
        <v>750000</v>
      </c>
      <c r="D1881" t="s">
        <v>1559</v>
      </c>
      <c r="E1881" t="s">
        <v>888</v>
      </c>
      <c r="F1881" s="4">
        <v>40546</v>
      </c>
      <c r="G1881" s="11">
        <v>0</v>
      </c>
      <c r="H1881" s="11">
        <v>750000</v>
      </c>
    </row>
    <row r="1882" spans="1:8" x14ac:dyDescent="0.2">
      <c r="A1882" t="s">
        <v>130</v>
      </c>
      <c r="B1882" s="1" t="s">
        <v>2580</v>
      </c>
      <c r="C1882" s="11">
        <v>1000000</v>
      </c>
      <c r="D1882" t="s">
        <v>1559</v>
      </c>
      <c r="E1882" t="s">
        <v>888</v>
      </c>
      <c r="F1882" s="4">
        <v>39793</v>
      </c>
      <c r="G1882" s="11">
        <v>515413</v>
      </c>
      <c r="H1882" s="11">
        <v>484587</v>
      </c>
    </row>
    <row r="1883" spans="1:8" x14ac:dyDescent="0.2">
      <c r="A1883" t="s">
        <v>612</v>
      </c>
      <c r="B1883" s="1" t="s">
        <v>632</v>
      </c>
      <c r="C1883" s="11">
        <v>900000</v>
      </c>
      <c r="D1883" t="s">
        <v>1559</v>
      </c>
      <c r="E1883" t="s">
        <v>888</v>
      </c>
      <c r="F1883" s="4">
        <v>39828</v>
      </c>
      <c r="G1883" s="11">
        <v>900000</v>
      </c>
      <c r="H1883" s="11">
        <v>0</v>
      </c>
    </row>
    <row r="1884" spans="1:8" x14ac:dyDescent="0.2">
      <c r="A1884" t="s">
        <v>2164</v>
      </c>
      <c r="B1884" s="1" t="s">
        <v>976</v>
      </c>
      <c r="C1884" s="11">
        <v>1000000</v>
      </c>
      <c r="D1884" t="s">
        <v>1559</v>
      </c>
      <c r="E1884" t="s">
        <v>885</v>
      </c>
      <c r="F1884" s="4">
        <v>39930</v>
      </c>
      <c r="G1884" s="11">
        <v>1000000</v>
      </c>
      <c r="H1884" s="11">
        <v>0</v>
      </c>
    </row>
    <row r="1885" spans="1:8" x14ac:dyDescent="0.2">
      <c r="A1885" t="s">
        <v>613</v>
      </c>
      <c r="B1885" s="1" t="s">
        <v>1945</v>
      </c>
      <c r="C1885" s="11">
        <v>1000000</v>
      </c>
      <c r="D1885" t="s">
        <v>1559</v>
      </c>
      <c r="E1885" t="s">
        <v>969</v>
      </c>
      <c r="F1885" s="4">
        <v>37637</v>
      </c>
      <c r="G1885" s="11">
        <v>1000000</v>
      </c>
      <c r="H1885" s="11">
        <v>0</v>
      </c>
    </row>
    <row r="1886" spans="1:8" x14ac:dyDescent="0.2">
      <c r="A1886" t="s">
        <v>614</v>
      </c>
      <c r="B1886" s="1" t="s">
        <v>1375</v>
      </c>
      <c r="C1886" s="11">
        <v>1000000</v>
      </c>
      <c r="D1886" t="s">
        <v>1559</v>
      </c>
      <c r="E1886" t="s">
        <v>885</v>
      </c>
      <c r="F1886" s="4">
        <v>38791</v>
      </c>
      <c r="G1886" s="11">
        <v>1000000</v>
      </c>
      <c r="H1886" s="11">
        <v>0</v>
      </c>
    </row>
    <row r="1887" spans="1:8" x14ac:dyDescent="0.2">
      <c r="A1887" t="s">
        <v>615</v>
      </c>
      <c r="B1887" s="1" t="s">
        <v>1375</v>
      </c>
      <c r="C1887" s="11">
        <v>500000</v>
      </c>
      <c r="D1887" t="s">
        <v>1559</v>
      </c>
      <c r="E1887" t="s">
        <v>885</v>
      </c>
      <c r="F1887" s="4">
        <v>38791</v>
      </c>
      <c r="G1887" s="11">
        <v>500000</v>
      </c>
      <c r="H1887" s="11">
        <v>0</v>
      </c>
    </row>
    <row r="1888" spans="1:8" x14ac:dyDescent="0.2">
      <c r="A1888" t="s">
        <v>616</v>
      </c>
      <c r="B1888" s="1" t="s">
        <v>1375</v>
      </c>
      <c r="C1888" s="11">
        <v>500000</v>
      </c>
      <c r="D1888" t="s">
        <v>1559</v>
      </c>
      <c r="E1888" t="s">
        <v>885</v>
      </c>
      <c r="F1888" s="4">
        <v>38791</v>
      </c>
      <c r="G1888" s="11">
        <v>425000</v>
      </c>
      <c r="H1888" s="11">
        <v>75000</v>
      </c>
    </row>
    <row r="1889" spans="1:8" x14ac:dyDescent="0.2">
      <c r="A1889" t="s">
        <v>2165</v>
      </c>
      <c r="B1889" s="1" t="s">
        <v>6</v>
      </c>
      <c r="C1889" s="11">
        <v>3000000</v>
      </c>
      <c r="D1889" t="s">
        <v>1559</v>
      </c>
      <c r="E1889" t="s">
        <v>1564</v>
      </c>
      <c r="F1889" s="4">
        <v>40106</v>
      </c>
      <c r="G1889" s="11">
        <v>0</v>
      </c>
      <c r="H1889" s="11">
        <v>3000000</v>
      </c>
    </row>
    <row r="1890" spans="1:8" x14ac:dyDescent="0.2">
      <c r="A1890" t="s">
        <v>1686</v>
      </c>
      <c r="B1890" s="1" t="s">
        <v>1114</v>
      </c>
      <c r="C1890" s="11">
        <v>2500000</v>
      </c>
      <c r="D1890" t="s">
        <v>1559</v>
      </c>
      <c r="E1890" t="s">
        <v>888</v>
      </c>
      <c r="F1890" s="4">
        <v>39898</v>
      </c>
      <c r="G1890" s="11">
        <v>2030825</v>
      </c>
      <c r="H1890" s="11">
        <v>469175</v>
      </c>
    </row>
    <row r="1891" spans="1:8" x14ac:dyDescent="0.2">
      <c r="A1891" t="s">
        <v>617</v>
      </c>
      <c r="B1891" s="1" t="s">
        <v>775</v>
      </c>
      <c r="C1891" s="11">
        <v>500000</v>
      </c>
      <c r="D1891" t="s">
        <v>1559</v>
      </c>
      <c r="E1891" t="s">
        <v>885</v>
      </c>
      <c r="F1891" s="4">
        <v>39856</v>
      </c>
      <c r="G1891" s="11">
        <v>487500</v>
      </c>
      <c r="H1891" s="11">
        <v>12500</v>
      </c>
    </row>
    <row r="1892" spans="1:8" x14ac:dyDescent="0.2">
      <c r="A1892" t="s">
        <v>131</v>
      </c>
      <c r="B1892" s="1" t="s">
        <v>2098</v>
      </c>
      <c r="C1892" s="11">
        <v>1500000</v>
      </c>
      <c r="D1892" t="s">
        <v>1559</v>
      </c>
      <c r="E1892" t="s">
        <v>888</v>
      </c>
      <c r="F1892" s="4">
        <v>39890</v>
      </c>
      <c r="G1892" s="11">
        <v>1493489</v>
      </c>
      <c r="H1892" s="11">
        <v>6511</v>
      </c>
    </row>
    <row r="1893" spans="1:8" x14ac:dyDescent="0.2">
      <c r="A1893" t="s">
        <v>132</v>
      </c>
      <c r="B1893" s="1" t="s">
        <v>2099</v>
      </c>
      <c r="C1893" s="11">
        <v>1500000</v>
      </c>
      <c r="D1893" t="s">
        <v>1559</v>
      </c>
      <c r="E1893" t="s">
        <v>888</v>
      </c>
      <c r="F1893" s="4">
        <v>39890</v>
      </c>
      <c r="G1893" s="11">
        <v>1500000</v>
      </c>
      <c r="H1893" s="11">
        <v>0</v>
      </c>
    </row>
    <row r="1894" spans="1:8" x14ac:dyDescent="0.2">
      <c r="A1894" t="s">
        <v>3260</v>
      </c>
      <c r="B1894" s="1" t="s">
        <v>3261</v>
      </c>
      <c r="C1894" s="11">
        <v>1000000</v>
      </c>
      <c r="D1894" t="s">
        <v>1559</v>
      </c>
      <c r="E1894" t="s">
        <v>516</v>
      </c>
      <c r="F1894" s="4">
        <v>40407</v>
      </c>
      <c r="G1894" s="11">
        <v>0</v>
      </c>
      <c r="H1894" s="11">
        <v>1000000</v>
      </c>
    </row>
    <row r="1895" spans="1:8" x14ac:dyDescent="0.2">
      <c r="A1895" t="s">
        <v>3563</v>
      </c>
      <c r="B1895" s="1" t="s">
        <v>3564</v>
      </c>
      <c r="C1895" s="11">
        <v>7500000</v>
      </c>
      <c r="D1895" t="s">
        <v>1559</v>
      </c>
      <c r="E1895" t="s">
        <v>3031</v>
      </c>
      <c r="F1895" s="4">
        <v>40499</v>
      </c>
      <c r="G1895" s="11">
        <v>3048374</v>
      </c>
      <c r="H1895" s="11">
        <v>4451626</v>
      </c>
    </row>
    <row r="1896" spans="1:8" x14ac:dyDescent="0.2">
      <c r="A1896" t="s">
        <v>3930</v>
      </c>
      <c r="B1896" s="1" t="s">
        <v>3931</v>
      </c>
      <c r="C1896" s="11">
        <v>500000</v>
      </c>
      <c r="D1896" t="s">
        <v>1559</v>
      </c>
      <c r="E1896" t="s">
        <v>3031</v>
      </c>
      <c r="F1896" s="4">
        <v>40546</v>
      </c>
      <c r="G1896" s="11">
        <v>0</v>
      </c>
      <c r="H1896" s="11">
        <v>500000</v>
      </c>
    </row>
    <row r="1897" spans="1:8" x14ac:dyDescent="0.2">
      <c r="A1897" t="s">
        <v>3932</v>
      </c>
      <c r="B1897" s="1" t="s">
        <v>3933</v>
      </c>
      <c r="C1897" s="11">
        <v>250000</v>
      </c>
      <c r="D1897" t="s">
        <v>1559</v>
      </c>
      <c r="E1897" t="s">
        <v>3031</v>
      </c>
      <c r="F1897" s="4">
        <v>40546</v>
      </c>
      <c r="G1897" s="11">
        <v>0</v>
      </c>
      <c r="H1897" s="11">
        <v>250000</v>
      </c>
    </row>
    <row r="1898" spans="1:8" x14ac:dyDescent="0.2">
      <c r="A1898" t="s">
        <v>4597</v>
      </c>
      <c r="B1898" s="1" t="s">
        <v>4598</v>
      </c>
      <c r="C1898" s="11">
        <v>1300000</v>
      </c>
      <c r="D1898" t="s">
        <v>1559</v>
      </c>
      <c r="E1898" t="s">
        <v>888</v>
      </c>
      <c r="F1898" s="4">
        <v>41316</v>
      </c>
      <c r="G1898" s="11">
        <v>0</v>
      </c>
      <c r="H1898" s="11">
        <v>1300000</v>
      </c>
    </row>
    <row r="1899" spans="1:8" x14ac:dyDescent="0.2">
      <c r="A1899" t="s">
        <v>133</v>
      </c>
      <c r="B1899" s="1" t="s">
        <v>2095</v>
      </c>
      <c r="C1899" s="11">
        <v>2500000</v>
      </c>
      <c r="D1899" t="s">
        <v>1559</v>
      </c>
      <c r="E1899" t="s">
        <v>444</v>
      </c>
      <c r="F1899" s="4">
        <v>39890</v>
      </c>
      <c r="G1899" s="11">
        <v>2500000</v>
      </c>
      <c r="H1899" s="11">
        <v>0</v>
      </c>
    </row>
    <row r="1900" spans="1:8" x14ac:dyDescent="0.2">
      <c r="A1900" t="s">
        <v>2774</v>
      </c>
      <c r="B1900" s="1" t="s">
        <v>2775</v>
      </c>
      <c r="C1900" s="11">
        <v>1500000</v>
      </c>
      <c r="D1900" t="s">
        <v>1559</v>
      </c>
      <c r="E1900" t="s">
        <v>444</v>
      </c>
      <c r="F1900" s="4">
        <v>40232</v>
      </c>
      <c r="G1900" s="11">
        <v>721570</v>
      </c>
      <c r="H1900" s="11">
        <v>778430</v>
      </c>
    </row>
    <row r="1901" spans="1:8" x14ac:dyDescent="0.2">
      <c r="A1901" t="s">
        <v>2920</v>
      </c>
      <c r="B1901" s="1" t="s">
        <v>1118</v>
      </c>
      <c r="C1901" s="11">
        <v>1000000</v>
      </c>
      <c r="D1901" t="s">
        <v>1559</v>
      </c>
      <c r="E1901" t="s">
        <v>444</v>
      </c>
      <c r="F1901" s="4">
        <v>39961</v>
      </c>
      <c r="G1901" s="11">
        <v>1000000</v>
      </c>
      <c r="H1901" s="11">
        <v>0</v>
      </c>
    </row>
    <row r="1902" spans="1:8" x14ac:dyDescent="0.2">
      <c r="A1902" t="s">
        <v>2921</v>
      </c>
      <c r="B1902" s="1" t="s">
        <v>1118</v>
      </c>
      <c r="C1902" s="11">
        <v>500000</v>
      </c>
      <c r="D1902" t="s">
        <v>1559</v>
      </c>
      <c r="E1902" t="s">
        <v>444</v>
      </c>
      <c r="F1902" s="4">
        <v>40071</v>
      </c>
      <c r="G1902" s="11">
        <v>500000</v>
      </c>
      <c r="H1902" s="11">
        <v>0</v>
      </c>
    </row>
    <row r="1903" spans="1:8" x14ac:dyDescent="0.2">
      <c r="A1903" t="s">
        <v>2922</v>
      </c>
      <c r="B1903" s="1" t="s">
        <v>136</v>
      </c>
      <c r="C1903" s="11">
        <v>500000</v>
      </c>
      <c r="D1903" t="s">
        <v>1559</v>
      </c>
      <c r="E1903" t="s">
        <v>444</v>
      </c>
      <c r="F1903" s="4">
        <v>40217</v>
      </c>
      <c r="G1903" s="11">
        <v>460000</v>
      </c>
      <c r="H1903" s="11">
        <v>40000</v>
      </c>
    </row>
    <row r="1904" spans="1:8" x14ac:dyDescent="0.2">
      <c r="A1904" t="s">
        <v>2776</v>
      </c>
      <c r="B1904" s="1" t="s">
        <v>2091</v>
      </c>
      <c r="C1904" s="11">
        <v>300000</v>
      </c>
      <c r="D1904" t="s">
        <v>1559</v>
      </c>
      <c r="E1904" t="s">
        <v>888</v>
      </c>
      <c r="F1904" s="4">
        <v>39890</v>
      </c>
      <c r="G1904" s="11">
        <v>0</v>
      </c>
      <c r="H1904" s="11">
        <v>300000</v>
      </c>
    </row>
    <row r="1905" spans="1:8" x14ac:dyDescent="0.2">
      <c r="A1905" t="s">
        <v>2777</v>
      </c>
      <c r="B1905" s="1" t="s">
        <v>777</v>
      </c>
      <c r="C1905" s="11">
        <v>1000000</v>
      </c>
      <c r="D1905" t="s">
        <v>1559</v>
      </c>
      <c r="E1905" t="s">
        <v>888</v>
      </c>
      <c r="F1905" s="4">
        <v>39856</v>
      </c>
      <c r="G1905" s="11">
        <v>1000000</v>
      </c>
      <c r="H1905" s="11">
        <v>0</v>
      </c>
    </row>
    <row r="1906" spans="1:8" x14ac:dyDescent="0.2">
      <c r="A1906" t="s">
        <v>2778</v>
      </c>
      <c r="B1906" s="1" t="s">
        <v>2068</v>
      </c>
      <c r="C1906" s="11">
        <v>250000</v>
      </c>
      <c r="D1906" t="s">
        <v>1559</v>
      </c>
      <c r="E1906" t="s">
        <v>888</v>
      </c>
      <c r="F1906" s="4">
        <v>39890</v>
      </c>
      <c r="G1906" s="11">
        <v>250000</v>
      </c>
      <c r="H1906" s="11">
        <v>0</v>
      </c>
    </row>
    <row r="1907" spans="1:8" x14ac:dyDescent="0.2">
      <c r="A1907" t="s">
        <v>2779</v>
      </c>
      <c r="B1907" s="1" t="s">
        <v>2069</v>
      </c>
      <c r="C1907" s="11">
        <v>250000</v>
      </c>
      <c r="D1907" t="s">
        <v>1559</v>
      </c>
      <c r="E1907" t="s">
        <v>888</v>
      </c>
      <c r="F1907" s="4">
        <v>39897</v>
      </c>
      <c r="G1907" s="11">
        <v>250000</v>
      </c>
      <c r="H1907" s="11">
        <v>0</v>
      </c>
    </row>
    <row r="1908" spans="1:8" x14ac:dyDescent="0.2">
      <c r="A1908" t="s">
        <v>3262</v>
      </c>
      <c r="B1908" s="1" t="s">
        <v>3263</v>
      </c>
      <c r="C1908" s="11">
        <v>1000000</v>
      </c>
      <c r="D1908" t="s">
        <v>1559</v>
      </c>
      <c r="E1908" t="s">
        <v>444</v>
      </c>
      <c r="F1908" s="4">
        <v>40401</v>
      </c>
      <c r="G1908" s="11">
        <v>1000000</v>
      </c>
      <c r="H1908" s="11">
        <v>0</v>
      </c>
    </row>
    <row r="1909" spans="1:8" x14ac:dyDescent="0.2">
      <c r="A1909" t="s">
        <v>3264</v>
      </c>
      <c r="B1909" s="1" t="s">
        <v>3265</v>
      </c>
      <c r="C1909" s="11">
        <v>1500000</v>
      </c>
      <c r="D1909" t="s">
        <v>1559</v>
      </c>
      <c r="E1909" t="s">
        <v>888</v>
      </c>
      <c r="F1909" s="4">
        <v>40407</v>
      </c>
      <c r="G1909" s="11">
        <v>500000</v>
      </c>
      <c r="H1909" s="11">
        <v>1000000</v>
      </c>
    </row>
    <row r="1910" spans="1:8" x14ac:dyDescent="0.2">
      <c r="A1910" t="s">
        <v>2780</v>
      </c>
      <c r="B1910" s="1" t="s">
        <v>634</v>
      </c>
      <c r="C1910" s="11">
        <v>5000000</v>
      </c>
      <c r="D1910" t="s">
        <v>1559</v>
      </c>
      <c r="E1910" t="s">
        <v>888</v>
      </c>
      <c r="F1910" s="4">
        <v>39856</v>
      </c>
      <c r="G1910" s="11">
        <v>3770000</v>
      </c>
      <c r="H1910" s="11">
        <v>1230000</v>
      </c>
    </row>
    <row r="1911" spans="1:8" x14ac:dyDescent="0.2">
      <c r="A1911" t="s">
        <v>2781</v>
      </c>
      <c r="B1911" s="1" t="s">
        <v>2094</v>
      </c>
      <c r="C1911" s="11">
        <v>1000000</v>
      </c>
      <c r="D1911" t="s">
        <v>1559</v>
      </c>
      <c r="E1911" t="s">
        <v>888</v>
      </c>
      <c r="F1911" s="4">
        <v>39890</v>
      </c>
      <c r="G1911" s="11">
        <v>950000</v>
      </c>
      <c r="H1911" s="11">
        <v>50000</v>
      </c>
    </row>
    <row r="1912" spans="1:8" x14ac:dyDescent="0.2">
      <c r="A1912" t="s">
        <v>2782</v>
      </c>
      <c r="B1912" s="1" t="s">
        <v>887</v>
      </c>
      <c r="C1912" s="11">
        <v>2500000</v>
      </c>
      <c r="D1912" t="s">
        <v>1559</v>
      </c>
      <c r="E1912" t="s">
        <v>888</v>
      </c>
      <c r="F1912" s="4">
        <v>39659</v>
      </c>
      <c r="G1912" s="11">
        <v>0</v>
      </c>
      <c r="H1912" s="11">
        <v>2500000</v>
      </c>
    </row>
    <row r="1913" spans="1:8" x14ac:dyDescent="0.2">
      <c r="A1913" t="s">
        <v>2783</v>
      </c>
      <c r="B1913" s="1" t="s">
        <v>2079</v>
      </c>
      <c r="C1913" s="11">
        <v>350000</v>
      </c>
      <c r="D1913" t="s">
        <v>1559</v>
      </c>
      <c r="E1913" t="s">
        <v>888</v>
      </c>
      <c r="F1913" s="4">
        <v>39890</v>
      </c>
      <c r="G1913" s="11">
        <v>350000</v>
      </c>
      <c r="H1913" s="11">
        <v>0</v>
      </c>
    </row>
    <row r="1914" spans="1:8" x14ac:dyDescent="0.2">
      <c r="A1914" t="s">
        <v>2784</v>
      </c>
      <c r="B1914" s="1" t="s">
        <v>2118</v>
      </c>
      <c r="C1914" s="11">
        <v>250000</v>
      </c>
      <c r="D1914" t="s">
        <v>1559</v>
      </c>
      <c r="E1914" t="s">
        <v>888</v>
      </c>
      <c r="F1914" s="4">
        <v>39930</v>
      </c>
      <c r="G1914" s="11">
        <v>250000</v>
      </c>
      <c r="H1914" s="11">
        <v>0</v>
      </c>
    </row>
    <row r="1915" spans="1:8" x14ac:dyDescent="0.2">
      <c r="A1915" t="s">
        <v>2976</v>
      </c>
      <c r="B1915" s="1" t="s">
        <v>135</v>
      </c>
      <c r="C1915" s="11">
        <v>250000</v>
      </c>
      <c r="D1915" t="s">
        <v>1559</v>
      </c>
      <c r="E1915" t="s">
        <v>888</v>
      </c>
      <c r="F1915" s="4">
        <v>40217</v>
      </c>
      <c r="G1915" s="11">
        <v>236500</v>
      </c>
      <c r="H1915" s="11">
        <v>13500</v>
      </c>
    </row>
    <row r="1916" spans="1:8" x14ac:dyDescent="0.2">
      <c r="A1916" t="s">
        <v>3266</v>
      </c>
      <c r="B1916" s="1" t="s">
        <v>3267</v>
      </c>
      <c r="C1916" s="11">
        <v>500000</v>
      </c>
      <c r="D1916" t="s">
        <v>1559</v>
      </c>
      <c r="E1916" t="s">
        <v>888</v>
      </c>
      <c r="F1916" s="4">
        <v>40436</v>
      </c>
      <c r="G1916" s="11">
        <v>0</v>
      </c>
      <c r="H1916" s="11">
        <v>500000</v>
      </c>
    </row>
    <row r="1917" spans="1:8" x14ac:dyDescent="0.2">
      <c r="A1917" t="s">
        <v>3934</v>
      </c>
      <c r="B1917" s="1" t="s">
        <v>3935</v>
      </c>
      <c r="C1917" s="11">
        <v>300000</v>
      </c>
      <c r="D1917" t="s">
        <v>1559</v>
      </c>
      <c r="E1917" t="s">
        <v>3031</v>
      </c>
      <c r="F1917" s="4">
        <v>40546</v>
      </c>
      <c r="G1917" s="11">
        <v>0</v>
      </c>
      <c r="H1917" s="11">
        <v>300000</v>
      </c>
    </row>
    <row r="1918" spans="1:8" x14ac:dyDescent="0.2">
      <c r="A1918" t="s">
        <v>2923</v>
      </c>
      <c r="B1918" s="1" t="s">
        <v>1505</v>
      </c>
      <c r="C1918" s="11">
        <v>500000</v>
      </c>
      <c r="D1918" t="s">
        <v>1559</v>
      </c>
      <c r="E1918" t="s">
        <v>888</v>
      </c>
      <c r="F1918" s="4">
        <v>39930</v>
      </c>
      <c r="G1918" s="11">
        <v>0</v>
      </c>
      <c r="H1918" s="11">
        <v>500000</v>
      </c>
    </row>
    <row r="1919" spans="1:8" x14ac:dyDescent="0.2">
      <c r="A1919" t="s">
        <v>2924</v>
      </c>
      <c r="B1919" s="1" t="s">
        <v>1111</v>
      </c>
      <c r="C1919" s="11">
        <v>1000000</v>
      </c>
      <c r="D1919" t="s">
        <v>1559</v>
      </c>
      <c r="E1919" t="s">
        <v>2107</v>
      </c>
      <c r="F1919" s="4">
        <v>40056</v>
      </c>
      <c r="G1919" s="11">
        <v>0</v>
      </c>
      <c r="H1919" s="11">
        <v>1000000</v>
      </c>
    </row>
    <row r="1920" spans="1:8" x14ac:dyDescent="0.2">
      <c r="A1920" t="s">
        <v>3268</v>
      </c>
      <c r="B1920" s="1" t="s">
        <v>1112</v>
      </c>
      <c r="C1920" s="11">
        <v>500000</v>
      </c>
      <c r="D1920" t="s">
        <v>1559</v>
      </c>
      <c r="E1920" t="s">
        <v>2107</v>
      </c>
      <c r="F1920" s="4">
        <v>40056</v>
      </c>
      <c r="G1920" s="11">
        <v>0</v>
      </c>
      <c r="H1920" s="11">
        <v>500000</v>
      </c>
    </row>
    <row r="1921" spans="1:8" x14ac:dyDescent="0.2">
      <c r="A1921" t="s">
        <v>2925</v>
      </c>
      <c r="B1921" s="1" t="s">
        <v>671</v>
      </c>
      <c r="C1921" s="11">
        <v>7500000</v>
      </c>
      <c r="D1921" t="s">
        <v>1559</v>
      </c>
      <c r="E1921" t="s">
        <v>885</v>
      </c>
      <c r="F1921" s="4">
        <v>38985</v>
      </c>
      <c r="G1921" s="11">
        <v>0</v>
      </c>
      <c r="H1921" s="11">
        <v>7500000</v>
      </c>
    </row>
    <row r="1922" spans="1:8" x14ac:dyDescent="0.2">
      <c r="A1922" t="s">
        <v>2926</v>
      </c>
      <c r="B1922" s="1" t="s">
        <v>672</v>
      </c>
      <c r="C1922" s="11">
        <v>2000000</v>
      </c>
      <c r="D1922" t="s">
        <v>1559</v>
      </c>
      <c r="E1922" t="s">
        <v>885</v>
      </c>
      <c r="F1922" s="4">
        <v>38985</v>
      </c>
      <c r="G1922" s="11">
        <v>0</v>
      </c>
      <c r="H1922" s="11">
        <v>2000000</v>
      </c>
    </row>
    <row r="1923" spans="1:8" x14ac:dyDescent="0.2">
      <c r="A1923" t="s">
        <v>2927</v>
      </c>
      <c r="B1923" s="1" t="s">
        <v>2114</v>
      </c>
      <c r="C1923" s="11">
        <v>250000</v>
      </c>
      <c r="D1923" t="s">
        <v>1559</v>
      </c>
      <c r="E1923" t="s">
        <v>888</v>
      </c>
      <c r="F1923" s="4">
        <v>39930</v>
      </c>
      <c r="G1923" s="11">
        <v>250000</v>
      </c>
      <c r="H1923" s="11">
        <v>0</v>
      </c>
    </row>
    <row r="1924" spans="1:8" x14ac:dyDescent="0.2">
      <c r="A1924" t="s">
        <v>2928</v>
      </c>
      <c r="B1924" s="1" t="s">
        <v>1115</v>
      </c>
      <c r="C1924" s="11">
        <v>250000</v>
      </c>
      <c r="D1924" t="s">
        <v>1559</v>
      </c>
      <c r="E1924" t="s">
        <v>888</v>
      </c>
      <c r="F1924" s="4">
        <v>39961</v>
      </c>
      <c r="G1924" s="11">
        <v>225000</v>
      </c>
      <c r="H1924" s="11">
        <v>25000</v>
      </c>
    </row>
    <row r="1925" spans="1:8" x14ac:dyDescent="0.2">
      <c r="A1925" t="s">
        <v>2929</v>
      </c>
      <c r="B1925" s="1" t="s">
        <v>2082</v>
      </c>
      <c r="C1925" s="11">
        <v>550000</v>
      </c>
      <c r="D1925" t="s">
        <v>1559</v>
      </c>
      <c r="E1925" t="s">
        <v>888</v>
      </c>
      <c r="F1925" s="4">
        <v>39890</v>
      </c>
      <c r="G1925" s="11">
        <v>0</v>
      </c>
      <c r="H1925" s="11">
        <v>550000</v>
      </c>
    </row>
    <row r="1926" spans="1:8" x14ac:dyDescent="0.2">
      <c r="A1926" t="s">
        <v>3269</v>
      </c>
      <c r="B1926" s="1" t="s">
        <v>134</v>
      </c>
      <c r="C1926" s="11">
        <v>550000</v>
      </c>
      <c r="D1926" t="s">
        <v>1559</v>
      </c>
      <c r="E1926" t="s">
        <v>888</v>
      </c>
      <c r="F1926" s="4">
        <v>40213</v>
      </c>
      <c r="G1926" s="11">
        <v>0</v>
      </c>
      <c r="H1926" s="11">
        <v>550000</v>
      </c>
    </row>
    <row r="1927" spans="1:8" x14ac:dyDescent="0.2">
      <c r="A1927" t="s">
        <v>2930</v>
      </c>
      <c r="B1927" s="1" t="s">
        <v>890</v>
      </c>
      <c r="C1927" s="11">
        <v>5500000</v>
      </c>
      <c r="D1927" t="s">
        <v>1559</v>
      </c>
      <c r="E1927" t="s">
        <v>444</v>
      </c>
      <c r="F1927" s="4">
        <v>39751</v>
      </c>
      <c r="G1927" s="11">
        <v>4828020</v>
      </c>
      <c r="H1927" s="11">
        <v>671980</v>
      </c>
    </row>
    <row r="1928" spans="1:8" x14ac:dyDescent="0.2">
      <c r="A1928" t="s">
        <v>3270</v>
      </c>
      <c r="B1928" s="1" t="s">
        <v>3271</v>
      </c>
      <c r="C1928" s="11">
        <v>1500000</v>
      </c>
      <c r="D1928" t="s">
        <v>1559</v>
      </c>
      <c r="E1928" t="s">
        <v>444</v>
      </c>
      <c r="F1928" s="4">
        <v>40407</v>
      </c>
      <c r="G1928" s="11">
        <v>0</v>
      </c>
      <c r="H1928" s="11">
        <v>1500000</v>
      </c>
    </row>
    <row r="1929" spans="1:8" x14ac:dyDescent="0.2">
      <c r="A1929" t="s">
        <v>2931</v>
      </c>
      <c r="B1929" s="1" t="s">
        <v>931</v>
      </c>
      <c r="C1929" s="11">
        <v>2000000</v>
      </c>
      <c r="D1929" t="s">
        <v>1559</v>
      </c>
      <c r="E1929" t="s">
        <v>885</v>
      </c>
      <c r="F1929" s="4">
        <v>39890</v>
      </c>
      <c r="G1929" s="11">
        <v>0</v>
      </c>
      <c r="H1929" s="11">
        <v>2000000</v>
      </c>
    </row>
    <row r="1930" spans="1:8" x14ac:dyDescent="0.2">
      <c r="A1930" t="s">
        <v>2977</v>
      </c>
      <c r="B1930" s="1" t="s">
        <v>137</v>
      </c>
      <c r="C1930" s="11">
        <v>500000</v>
      </c>
      <c r="D1930" t="s">
        <v>1559</v>
      </c>
      <c r="E1930" t="s">
        <v>888</v>
      </c>
      <c r="F1930" s="4">
        <v>40217</v>
      </c>
      <c r="G1930" s="11">
        <v>500000</v>
      </c>
      <c r="H1930" s="11">
        <v>0</v>
      </c>
    </row>
    <row r="1931" spans="1:8" x14ac:dyDescent="0.2">
      <c r="A1931" t="s">
        <v>2978</v>
      </c>
      <c r="B1931" s="1" t="s">
        <v>138</v>
      </c>
      <c r="C1931" s="11">
        <v>500000</v>
      </c>
      <c r="D1931" t="s">
        <v>1559</v>
      </c>
      <c r="E1931" t="s">
        <v>888</v>
      </c>
      <c r="F1931" s="4">
        <v>40217</v>
      </c>
      <c r="G1931" s="11">
        <v>475000</v>
      </c>
      <c r="H1931" s="11">
        <v>25000</v>
      </c>
    </row>
    <row r="1932" spans="1:8" x14ac:dyDescent="0.2">
      <c r="A1932" t="s">
        <v>4088</v>
      </c>
      <c r="B1932" s="1" t="s">
        <v>1183</v>
      </c>
      <c r="C1932" s="11">
        <v>1000000</v>
      </c>
      <c r="D1932" t="s">
        <v>1559</v>
      </c>
      <c r="E1932" t="s">
        <v>444</v>
      </c>
      <c r="F1932" s="4">
        <v>39717</v>
      </c>
      <c r="G1932" s="11">
        <v>0</v>
      </c>
      <c r="H1932" s="11">
        <v>1000000</v>
      </c>
    </row>
    <row r="1933" spans="1:8" x14ac:dyDescent="0.2">
      <c r="A1933" t="s">
        <v>3272</v>
      </c>
      <c r="B1933" s="1" t="s">
        <v>2583</v>
      </c>
      <c r="C1933" s="11">
        <v>3250000</v>
      </c>
      <c r="D1933" t="s">
        <v>1559</v>
      </c>
      <c r="E1933" t="s">
        <v>885</v>
      </c>
      <c r="F1933" s="4">
        <v>39793</v>
      </c>
      <c r="G1933" s="11">
        <v>3250000</v>
      </c>
      <c r="H1933" s="11">
        <v>0</v>
      </c>
    </row>
    <row r="1934" spans="1:8" x14ac:dyDescent="0.2">
      <c r="A1934" t="s">
        <v>3273</v>
      </c>
      <c r="B1934" s="1" t="s">
        <v>2932</v>
      </c>
      <c r="C1934" s="11">
        <v>1100000</v>
      </c>
      <c r="D1934" t="s">
        <v>1559</v>
      </c>
      <c r="E1934" t="s">
        <v>888</v>
      </c>
      <c r="F1934" s="4">
        <v>40316</v>
      </c>
      <c r="G1934" s="11">
        <v>883578</v>
      </c>
      <c r="H1934" s="11">
        <v>216422</v>
      </c>
    </row>
    <row r="1935" spans="1:8" x14ac:dyDescent="0.2">
      <c r="A1935" t="s">
        <v>3274</v>
      </c>
      <c r="B1935" s="1" t="s">
        <v>147</v>
      </c>
      <c r="C1935" s="11">
        <v>1200000</v>
      </c>
      <c r="D1935" t="s">
        <v>1559</v>
      </c>
      <c r="E1935" t="s">
        <v>888</v>
      </c>
      <c r="F1935" s="4">
        <v>40226</v>
      </c>
      <c r="G1935" s="11">
        <v>1139698</v>
      </c>
      <c r="H1935" s="11">
        <v>60302</v>
      </c>
    </row>
    <row r="1936" spans="1:8" x14ac:dyDescent="0.2">
      <c r="A1936" t="s">
        <v>3275</v>
      </c>
      <c r="B1936" s="1" t="s">
        <v>3276</v>
      </c>
      <c r="C1936" s="11">
        <v>2000000</v>
      </c>
      <c r="D1936" t="s">
        <v>1559</v>
      </c>
      <c r="E1936" t="s">
        <v>888</v>
      </c>
      <c r="F1936" s="4">
        <v>40232</v>
      </c>
      <c r="G1936" s="11">
        <v>2000000</v>
      </c>
      <c r="H1936" s="11">
        <v>0</v>
      </c>
    </row>
    <row r="1937" spans="1:8" x14ac:dyDescent="0.2">
      <c r="A1937" t="s">
        <v>3937</v>
      </c>
      <c r="B1937" s="1" t="s">
        <v>3938</v>
      </c>
      <c r="C1937" s="11">
        <v>1000000</v>
      </c>
      <c r="D1937" t="s">
        <v>1559</v>
      </c>
      <c r="E1937" t="s">
        <v>888</v>
      </c>
      <c r="F1937" s="4">
        <v>40532</v>
      </c>
      <c r="G1937" s="11">
        <v>886855</v>
      </c>
      <c r="H1937" s="11">
        <v>113145</v>
      </c>
    </row>
    <row r="1938" spans="1:8" x14ac:dyDescent="0.2">
      <c r="A1938" t="s">
        <v>3277</v>
      </c>
      <c r="B1938" s="1" t="s">
        <v>1119</v>
      </c>
      <c r="C1938" s="11">
        <v>2000000</v>
      </c>
      <c r="D1938" t="s">
        <v>1559</v>
      </c>
      <c r="E1938" t="s">
        <v>888</v>
      </c>
      <c r="F1938" s="4">
        <v>39961</v>
      </c>
      <c r="G1938" s="11">
        <v>0</v>
      </c>
      <c r="H1938" s="11">
        <v>2000000</v>
      </c>
    </row>
    <row r="1939" spans="1:8" x14ac:dyDescent="0.2">
      <c r="A1939" t="s">
        <v>3565</v>
      </c>
      <c r="B1939" s="1" t="s">
        <v>3320</v>
      </c>
      <c r="C1939" s="11">
        <v>2000000</v>
      </c>
      <c r="D1939" t="s">
        <v>1559</v>
      </c>
      <c r="E1939" t="s">
        <v>888</v>
      </c>
      <c r="F1939" s="4">
        <v>40407</v>
      </c>
      <c r="G1939" s="11">
        <v>0</v>
      </c>
      <c r="H1939" s="11">
        <v>2000000</v>
      </c>
    </row>
    <row r="1940" spans="1:8" x14ac:dyDescent="0.2">
      <c r="A1940" t="s">
        <v>4320</v>
      </c>
      <c r="B1940" s="1" t="s">
        <v>2204</v>
      </c>
      <c r="C1940" s="11">
        <v>1500000</v>
      </c>
      <c r="D1940" t="s">
        <v>1559</v>
      </c>
      <c r="E1940" t="s">
        <v>969</v>
      </c>
      <c r="F1940" s="4">
        <v>36719</v>
      </c>
      <c r="G1940" s="11">
        <v>0</v>
      </c>
      <c r="H1940" s="11">
        <v>1500000</v>
      </c>
    </row>
    <row r="1941" spans="1:8" x14ac:dyDescent="0.2">
      <c r="A1941" t="s">
        <v>3278</v>
      </c>
      <c r="B1941" s="1" t="s">
        <v>4445</v>
      </c>
      <c r="C1941" s="11">
        <v>1000000</v>
      </c>
      <c r="D1941" t="s">
        <v>1559</v>
      </c>
      <c r="E1941" t="s">
        <v>885</v>
      </c>
      <c r="F1941" s="4">
        <v>40232</v>
      </c>
      <c r="G1941" s="11">
        <v>1000000</v>
      </c>
      <c r="H1941" s="11">
        <v>0</v>
      </c>
    </row>
    <row r="1942" spans="1:8" x14ac:dyDescent="0.2">
      <c r="A1942" t="s">
        <v>3279</v>
      </c>
      <c r="B1942" s="1" t="s">
        <v>2934</v>
      </c>
      <c r="C1942" s="11">
        <v>500000</v>
      </c>
      <c r="D1942" t="s">
        <v>1559</v>
      </c>
      <c r="E1942" t="s">
        <v>885</v>
      </c>
      <c r="F1942" s="4">
        <v>40325</v>
      </c>
      <c r="G1942" s="11">
        <v>500000</v>
      </c>
      <c r="H1942" s="11">
        <v>0</v>
      </c>
    </row>
    <row r="1943" spans="1:8" x14ac:dyDescent="0.2">
      <c r="A1943" t="s">
        <v>3280</v>
      </c>
      <c r="B1943" s="1" t="s">
        <v>139</v>
      </c>
      <c r="C1943" s="11">
        <v>500000</v>
      </c>
      <c r="D1943" t="s">
        <v>1559</v>
      </c>
      <c r="E1943" t="s">
        <v>888</v>
      </c>
      <c r="F1943" s="4">
        <v>40217</v>
      </c>
      <c r="G1943" s="11">
        <v>0</v>
      </c>
      <c r="H1943" s="11">
        <v>500000</v>
      </c>
    </row>
    <row r="1944" spans="1:8" x14ac:dyDescent="0.2">
      <c r="A1944" t="s">
        <v>3281</v>
      </c>
      <c r="B1944" s="1" t="s">
        <v>2792</v>
      </c>
      <c r="C1944" s="11">
        <v>500000</v>
      </c>
      <c r="D1944" t="s">
        <v>1559</v>
      </c>
      <c r="E1944" t="s">
        <v>444</v>
      </c>
      <c r="F1944" s="4">
        <v>40234</v>
      </c>
      <c r="G1944" s="11">
        <v>500000</v>
      </c>
      <c r="H1944" s="11">
        <v>0</v>
      </c>
    </row>
    <row r="1945" spans="1:8" x14ac:dyDescent="0.2">
      <c r="A1945" t="s">
        <v>3282</v>
      </c>
      <c r="B1945" s="1" t="s">
        <v>3283</v>
      </c>
      <c r="C1945" s="11">
        <v>250000</v>
      </c>
      <c r="D1945" t="s">
        <v>1559</v>
      </c>
      <c r="E1945" t="s">
        <v>444</v>
      </c>
      <c r="F1945" s="4">
        <v>40463</v>
      </c>
      <c r="G1945" s="11">
        <v>250000</v>
      </c>
      <c r="H1945" s="11">
        <v>0</v>
      </c>
    </row>
    <row r="1946" spans="1:8" x14ac:dyDescent="0.2">
      <c r="A1946" t="s">
        <v>3284</v>
      </c>
      <c r="B1946" s="1" t="s">
        <v>142</v>
      </c>
      <c r="C1946" s="11">
        <v>250000</v>
      </c>
      <c r="D1946" t="s">
        <v>1559</v>
      </c>
      <c r="E1946" t="s">
        <v>888</v>
      </c>
      <c r="F1946" s="4">
        <v>40217</v>
      </c>
      <c r="G1946" s="11">
        <v>250000</v>
      </c>
      <c r="H1946" s="11">
        <v>0</v>
      </c>
    </row>
    <row r="1947" spans="1:8" x14ac:dyDescent="0.2">
      <c r="A1947" t="s">
        <v>3285</v>
      </c>
      <c r="B1947" s="1" t="s">
        <v>140</v>
      </c>
      <c r="C1947" s="11">
        <v>500000</v>
      </c>
      <c r="D1947" t="s">
        <v>1559</v>
      </c>
      <c r="E1947" t="s">
        <v>888</v>
      </c>
      <c r="F1947" s="4">
        <v>40217</v>
      </c>
      <c r="G1947" s="11">
        <v>0</v>
      </c>
      <c r="H1947" s="11">
        <v>500000</v>
      </c>
    </row>
    <row r="1948" spans="1:8" x14ac:dyDescent="0.2">
      <c r="A1948" t="s">
        <v>3286</v>
      </c>
      <c r="B1948" s="1" t="s">
        <v>3287</v>
      </c>
      <c r="C1948" s="11">
        <v>10000000</v>
      </c>
      <c r="D1948" t="s">
        <v>1559</v>
      </c>
      <c r="E1948" t="s">
        <v>3008</v>
      </c>
      <c r="F1948" s="4">
        <v>40394</v>
      </c>
      <c r="G1948" s="11">
        <v>9438476</v>
      </c>
      <c r="H1948" s="11">
        <v>561524</v>
      </c>
    </row>
    <row r="1949" spans="1:8" x14ac:dyDescent="0.2">
      <c r="A1949" t="s">
        <v>3939</v>
      </c>
      <c r="B1949" s="1" t="s">
        <v>3940</v>
      </c>
      <c r="C1949" s="11">
        <v>9500000</v>
      </c>
      <c r="D1949" t="s">
        <v>1559</v>
      </c>
      <c r="E1949" t="s">
        <v>3031</v>
      </c>
      <c r="F1949" s="4">
        <v>40511</v>
      </c>
      <c r="G1949" s="11">
        <v>0</v>
      </c>
      <c r="H1949" s="11">
        <v>9500000</v>
      </c>
    </row>
    <row r="1950" spans="1:8" x14ac:dyDescent="0.2">
      <c r="A1950" t="s">
        <v>3288</v>
      </c>
      <c r="B1950" s="1" t="s">
        <v>2794</v>
      </c>
      <c r="C1950" s="11">
        <v>3000000</v>
      </c>
      <c r="D1950" t="s">
        <v>1559</v>
      </c>
      <c r="E1950" t="s">
        <v>888</v>
      </c>
      <c r="F1950" s="4">
        <v>40247</v>
      </c>
      <c r="G1950" s="11">
        <v>2611918</v>
      </c>
      <c r="H1950" s="11">
        <v>388082</v>
      </c>
    </row>
    <row r="1951" spans="1:8" x14ac:dyDescent="0.2">
      <c r="A1951" t="s">
        <v>3289</v>
      </c>
      <c r="B1951" s="1" t="s">
        <v>2793</v>
      </c>
      <c r="C1951" s="11">
        <v>200000</v>
      </c>
      <c r="D1951" t="s">
        <v>1559</v>
      </c>
      <c r="E1951" t="s">
        <v>888</v>
      </c>
      <c r="F1951" s="4">
        <v>40234</v>
      </c>
      <c r="G1951" s="11">
        <v>185000</v>
      </c>
      <c r="H1951" s="11">
        <v>15000</v>
      </c>
    </row>
    <row r="1952" spans="1:8" x14ac:dyDescent="0.2">
      <c r="A1952" t="s">
        <v>3290</v>
      </c>
      <c r="B1952" s="1" t="s">
        <v>3291</v>
      </c>
      <c r="C1952" s="11">
        <v>1000000</v>
      </c>
      <c r="D1952" t="s">
        <v>1559</v>
      </c>
      <c r="E1952" t="s">
        <v>888</v>
      </c>
      <c r="F1952" s="4">
        <v>40407</v>
      </c>
      <c r="G1952" s="11">
        <v>0</v>
      </c>
      <c r="H1952" s="11">
        <v>1000000</v>
      </c>
    </row>
    <row r="1953" spans="1:8" x14ac:dyDescent="0.2">
      <c r="A1953" t="s">
        <v>3292</v>
      </c>
      <c r="B1953" s="1" t="s">
        <v>141</v>
      </c>
      <c r="C1953" s="11">
        <v>500000</v>
      </c>
      <c r="D1953" t="s">
        <v>1559</v>
      </c>
      <c r="E1953" t="s">
        <v>888</v>
      </c>
      <c r="F1953" s="4">
        <v>40217</v>
      </c>
      <c r="G1953" s="11">
        <v>0</v>
      </c>
      <c r="H1953" s="11">
        <v>500000</v>
      </c>
    </row>
    <row r="1954" spans="1:8" x14ac:dyDescent="0.2">
      <c r="A1954" t="s">
        <v>3293</v>
      </c>
      <c r="B1954" s="1" t="s">
        <v>3294</v>
      </c>
      <c r="C1954" s="11">
        <v>5000000</v>
      </c>
      <c r="D1954" t="s">
        <v>1559</v>
      </c>
      <c r="E1954" t="s">
        <v>888</v>
      </c>
      <c r="F1954" s="4">
        <v>40394</v>
      </c>
      <c r="G1954" s="11">
        <v>4413939</v>
      </c>
      <c r="H1954" s="11">
        <v>586061</v>
      </c>
    </row>
    <row r="1955" spans="1:8" x14ac:dyDescent="0.2">
      <c r="A1955" t="s">
        <v>3295</v>
      </c>
      <c r="B1955" s="1" t="s">
        <v>3296</v>
      </c>
      <c r="C1955" s="11">
        <v>1500000</v>
      </c>
      <c r="D1955" t="s">
        <v>1559</v>
      </c>
      <c r="E1955" t="s">
        <v>888</v>
      </c>
      <c r="F1955" s="4">
        <v>40393</v>
      </c>
      <c r="G1955" s="11">
        <v>1500000</v>
      </c>
      <c r="H1955" s="11">
        <v>0</v>
      </c>
    </row>
    <row r="1956" spans="1:8" x14ac:dyDescent="0.2">
      <c r="A1956" t="s">
        <v>3392</v>
      </c>
      <c r="B1956" s="1" t="s">
        <v>3328</v>
      </c>
      <c r="C1956" s="11">
        <v>4500000</v>
      </c>
      <c r="D1956" t="s">
        <v>1559</v>
      </c>
      <c r="E1956" t="s">
        <v>888</v>
      </c>
      <c r="F1956" s="4">
        <v>40393</v>
      </c>
      <c r="G1956" s="11">
        <v>3891771</v>
      </c>
      <c r="H1956" s="11">
        <v>608229</v>
      </c>
    </row>
    <row r="1957" spans="1:8" x14ac:dyDescent="0.2">
      <c r="A1957" t="s">
        <v>3297</v>
      </c>
      <c r="B1957" s="1" t="s">
        <v>3298</v>
      </c>
      <c r="C1957" s="11">
        <v>2000000</v>
      </c>
      <c r="D1957" t="s">
        <v>1559</v>
      </c>
      <c r="E1957" t="s">
        <v>885</v>
      </c>
      <c r="F1957" s="4">
        <v>40414</v>
      </c>
      <c r="G1957" s="11">
        <v>1950000</v>
      </c>
      <c r="H1957" s="11">
        <v>50000</v>
      </c>
    </row>
    <row r="1958" spans="1:8" x14ac:dyDescent="0.2">
      <c r="A1958" t="s">
        <v>3299</v>
      </c>
      <c r="B1958" s="1" t="s">
        <v>3300</v>
      </c>
      <c r="C1958" s="11">
        <v>750000</v>
      </c>
      <c r="D1958" t="s">
        <v>1559</v>
      </c>
      <c r="E1958" t="s">
        <v>3008</v>
      </c>
      <c r="F1958" s="4">
        <v>40407</v>
      </c>
      <c r="G1958" s="11">
        <v>750000</v>
      </c>
      <c r="H1958" s="11">
        <v>0</v>
      </c>
    </row>
    <row r="1959" spans="1:8" x14ac:dyDescent="0.2">
      <c r="A1959" t="s">
        <v>3301</v>
      </c>
      <c r="B1959" s="1" t="s">
        <v>3302</v>
      </c>
      <c r="C1959" s="11">
        <v>12000000</v>
      </c>
      <c r="D1959" t="s">
        <v>1559</v>
      </c>
      <c r="E1959" t="s">
        <v>3008</v>
      </c>
      <c r="F1959" s="4">
        <v>40385</v>
      </c>
      <c r="G1959" s="11">
        <v>4424756</v>
      </c>
      <c r="H1959" s="11">
        <v>7575244</v>
      </c>
    </row>
    <row r="1960" spans="1:8" x14ac:dyDescent="0.2">
      <c r="A1960" t="s">
        <v>3303</v>
      </c>
      <c r="B1960" s="1" t="s">
        <v>3304</v>
      </c>
      <c r="C1960" s="11">
        <v>15500000</v>
      </c>
      <c r="D1960" t="s">
        <v>1559</v>
      </c>
      <c r="E1960" t="s">
        <v>888</v>
      </c>
      <c r="F1960" s="4">
        <v>40407</v>
      </c>
      <c r="G1960" s="11">
        <v>2956128</v>
      </c>
      <c r="H1960" s="11">
        <v>12543872</v>
      </c>
    </row>
    <row r="1961" spans="1:8" x14ac:dyDescent="0.2">
      <c r="A1961" t="s">
        <v>3305</v>
      </c>
      <c r="B1961" s="1" t="s">
        <v>3306</v>
      </c>
      <c r="C1961" s="11">
        <v>500000</v>
      </c>
      <c r="D1961" t="s">
        <v>1559</v>
      </c>
      <c r="E1961" t="s">
        <v>888</v>
      </c>
      <c r="F1961" s="4">
        <v>40393</v>
      </c>
      <c r="G1961" s="11">
        <v>500000</v>
      </c>
      <c r="H1961" s="11">
        <v>0</v>
      </c>
    </row>
    <row r="1962" spans="1:8" x14ac:dyDescent="0.2">
      <c r="A1962" t="s">
        <v>3307</v>
      </c>
      <c r="B1962" s="1" t="s">
        <v>3308</v>
      </c>
      <c r="C1962" s="11">
        <v>250000</v>
      </c>
      <c r="D1962" t="s">
        <v>1559</v>
      </c>
      <c r="E1962" t="s">
        <v>888</v>
      </c>
      <c r="F1962" s="4">
        <v>40393</v>
      </c>
      <c r="G1962" s="11">
        <v>147931</v>
      </c>
      <c r="H1962" s="11">
        <v>102069</v>
      </c>
    </row>
    <row r="1963" spans="1:8" x14ac:dyDescent="0.2">
      <c r="A1963" t="s">
        <v>3309</v>
      </c>
      <c r="B1963" s="1" t="s">
        <v>3310</v>
      </c>
      <c r="C1963" s="11">
        <v>1750000</v>
      </c>
      <c r="D1963" t="s">
        <v>1559</v>
      </c>
      <c r="E1963" t="s">
        <v>888</v>
      </c>
      <c r="F1963" s="4">
        <v>40393</v>
      </c>
      <c r="G1963" s="11">
        <v>0</v>
      </c>
      <c r="H1963" s="11">
        <v>1750000</v>
      </c>
    </row>
    <row r="1964" spans="1:8" x14ac:dyDescent="0.2">
      <c r="A1964" t="s">
        <v>3942</v>
      </c>
      <c r="B1964" s="1" t="s">
        <v>4089</v>
      </c>
      <c r="C1964" s="11">
        <v>250000</v>
      </c>
      <c r="D1964" t="s">
        <v>1559</v>
      </c>
      <c r="E1964" t="s">
        <v>888</v>
      </c>
      <c r="F1964" s="4">
        <v>40546</v>
      </c>
      <c r="G1964" s="11">
        <v>0</v>
      </c>
      <c r="H1964" s="11">
        <v>250000</v>
      </c>
    </row>
    <row r="1965" spans="1:8" x14ac:dyDescent="0.2">
      <c r="A1965" t="s">
        <v>3311</v>
      </c>
      <c r="B1965" s="1" t="s">
        <v>3312</v>
      </c>
      <c r="C1965" s="11">
        <v>7000000</v>
      </c>
      <c r="D1965" t="s">
        <v>1559</v>
      </c>
      <c r="E1965" t="s">
        <v>3008</v>
      </c>
      <c r="F1965" s="4">
        <v>40394</v>
      </c>
      <c r="G1965" s="11">
        <v>0</v>
      </c>
      <c r="H1965" s="11">
        <v>7000000</v>
      </c>
    </row>
    <row r="1966" spans="1:8" x14ac:dyDescent="0.2">
      <c r="A1966" t="s">
        <v>3313</v>
      </c>
      <c r="B1966" s="1" t="s">
        <v>144</v>
      </c>
      <c r="C1966" s="11">
        <v>1000000</v>
      </c>
      <c r="D1966" t="s">
        <v>1559</v>
      </c>
      <c r="E1966" t="s">
        <v>888</v>
      </c>
      <c r="F1966" s="4">
        <v>40217</v>
      </c>
      <c r="G1966" s="11">
        <v>0</v>
      </c>
      <c r="H1966" s="11">
        <v>1000000</v>
      </c>
    </row>
    <row r="1967" spans="1:8" x14ac:dyDescent="0.2">
      <c r="A1967" t="s">
        <v>3314</v>
      </c>
      <c r="B1967" s="1" t="s">
        <v>3315</v>
      </c>
      <c r="C1967" s="11">
        <v>1000000</v>
      </c>
      <c r="D1967" t="s">
        <v>1559</v>
      </c>
      <c r="E1967" t="s">
        <v>888</v>
      </c>
      <c r="F1967" s="4">
        <v>40401</v>
      </c>
      <c r="G1967" s="11">
        <v>0</v>
      </c>
      <c r="H1967" s="11">
        <v>1000000</v>
      </c>
    </row>
    <row r="1968" spans="1:8" x14ac:dyDescent="0.2">
      <c r="A1968" t="s">
        <v>3566</v>
      </c>
      <c r="B1968" s="1" t="s">
        <v>3334</v>
      </c>
      <c r="C1968" s="11">
        <v>1000000</v>
      </c>
      <c r="D1968" t="s">
        <v>1559</v>
      </c>
      <c r="E1968" t="s">
        <v>516</v>
      </c>
      <c r="F1968" s="4">
        <v>40407</v>
      </c>
      <c r="G1968" s="11">
        <v>0</v>
      </c>
      <c r="H1968" s="11">
        <v>1000000</v>
      </c>
    </row>
    <row r="1969" spans="1:8" x14ac:dyDescent="0.2">
      <c r="A1969" t="s">
        <v>3567</v>
      </c>
      <c r="B1969" s="1" t="s">
        <v>1120</v>
      </c>
      <c r="C1969" s="11">
        <v>2500000</v>
      </c>
      <c r="D1969" t="s">
        <v>1559</v>
      </c>
      <c r="E1969" t="s">
        <v>888</v>
      </c>
      <c r="F1969" s="4">
        <v>39961</v>
      </c>
      <c r="G1969" s="11">
        <v>0</v>
      </c>
      <c r="H1969" s="11">
        <v>2500000</v>
      </c>
    </row>
    <row r="1970" spans="1:8" x14ac:dyDescent="0.2">
      <c r="A1970" t="s">
        <v>3568</v>
      </c>
      <c r="B1970" s="1" t="s">
        <v>3321</v>
      </c>
      <c r="C1970" s="11">
        <v>2500000</v>
      </c>
      <c r="D1970" t="s">
        <v>1559</v>
      </c>
      <c r="E1970" t="s">
        <v>888</v>
      </c>
      <c r="F1970" s="4">
        <v>40407</v>
      </c>
      <c r="G1970" s="11">
        <v>0</v>
      </c>
      <c r="H1970" s="11">
        <v>2500000</v>
      </c>
    </row>
    <row r="1971" spans="1:8" x14ac:dyDescent="0.2">
      <c r="A1971" t="s">
        <v>3569</v>
      </c>
      <c r="B1971" s="1" t="s">
        <v>3329</v>
      </c>
      <c r="C1971" s="11">
        <v>10000000</v>
      </c>
      <c r="D1971" t="s">
        <v>1559</v>
      </c>
      <c r="E1971" t="s">
        <v>444</v>
      </c>
      <c r="F1971" s="4">
        <v>40394</v>
      </c>
      <c r="G1971" s="11">
        <v>5019886</v>
      </c>
      <c r="H1971" s="11">
        <v>4980114</v>
      </c>
    </row>
    <row r="1972" spans="1:8" x14ac:dyDescent="0.2">
      <c r="A1972" t="s">
        <v>3570</v>
      </c>
      <c r="B1972" s="1" t="s">
        <v>2791</v>
      </c>
      <c r="C1972" s="11">
        <v>1000000</v>
      </c>
      <c r="D1972" t="s">
        <v>1559</v>
      </c>
      <c r="E1972" t="s">
        <v>888</v>
      </c>
      <c r="F1972" s="4">
        <v>40232</v>
      </c>
      <c r="G1972" s="11">
        <v>1000000</v>
      </c>
      <c r="H1972" s="11">
        <v>0</v>
      </c>
    </row>
    <row r="1973" spans="1:8" x14ac:dyDescent="0.2">
      <c r="A1973" t="s">
        <v>3571</v>
      </c>
      <c r="B1973" s="1" t="s">
        <v>2933</v>
      </c>
      <c r="C1973" s="11">
        <v>4000000</v>
      </c>
      <c r="D1973" t="s">
        <v>1559</v>
      </c>
      <c r="E1973" t="s">
        <v>888</v>
      </c>
      <c r="F1973" s="4">
        <v>40345</v>
      </c>
      <c r="G1973" s="11">
        <v>4000000</v>
      </c>
      <c r="H1973" s="11">
        <v>0</v>
      </c>
    </row>
    <row r="1974" spans="1:8" x14ac:dyDescent="0.2">
      <c r="A1974" t="s">
        <v>3572</v>
      </c>
      <c r="B1974" s="1" t="s">
        <v>3325</v>
      </c>
      <c r="C1974" s="11">
        <v>1000000</v>
      </c>
      <c r="D1974" t="s">
        <v>1559</v>
      </c>
      <c r="E1974" t="s">
        <v>888</v>
      </c>
      <c r="F1974" s="4">
        <v>40420</v>
      </c>
      <c r="G1974" s="11">
        <v>1000000</v>
      </c>
      <c r="H1974" s="11">
        <v>0</v>
      </c>
    </row>
    <row r="1975" spans="1:8" x14ac:dyDescent="0.2">
      <c r="A1975" t="s">
        <v>3573</v>
      </c>
      <c r="B1975" s="1" t="s">
        <v>3326</v>
      </c>
      <c r="C1975" s="11">
        <v>500000</v>
      </c>
      <c r="D1975" t="s">
        <v>1559</v>
      </c>
      <c r="E1975" t="s">
        <v>888</v>
      </c>
      <c r="F1975" s="4">
        <v>40472</v>
      </c>
      <c r="G1975" s="11">
        <v>400000</v>
      </c>
      <c r="H1975" s="11">
        <v>100000</v>
      </c>
    </row>
    <row r="1976" spans="1:8" x14ac:dyDescent="0.2">
      <c r="A1976" t="s">
        <v>3574</v>
      </c>
      <c r="B1976" s="1" t="s">
        <v>3331</v>
      </c>
      <c r="C1976" s="11">
        <v>5000000</v>
      </c>
      <c r="D1976" t="s">
        <v>1559</v>
      </c>
      <c r="E1976" t="s">
        <v>3008</v>
      </c>
      <c r="F1976" s="4">
        <v>40407</v>
      </c>
      <c r="G1976" s="11">
        <v>0</v>
      </c>
      <c r="H1976" s="11">
        <v>5000000</v>
      </c>
    </row>
    <row r="1977" spans="1:8" x14ac:dyDescent="0.2">
      <c r="A1977" t="s">
        <v>3575</v>
      </c>
      <c r="B1977" s="1" t="s">
        <v>3338</v>
      </c>
      <c r="C1977" s="11">
        <v>30000000</v>
      </c>
      <c r="D1977" t="s">
        <v>1559</v>
      </c>
      <c r="E1977" t="s">
        <v>516</v>
      </c>
      <c r="F1977" s="4">
        <v>40431</v>
      </c>
      <c r="G1977" s="11">
        <v>0</v>
      </c>
      <c r="H1977" s="11">
        <v>30000000</v>
      </c>
    </row>
    <row r="1978" spans="1:8" x14ac:dyDescent="0.2">
      <c r="A1978" t="s">
        <v>3576</v>
      </c>
      <c r="B1978" s="1" t="s">
        <v>3335</v>
      </c>
      <c r="C1978" s="11">
        <v>2500000</v>
      </c>
      <c r="D1978" t="s">
        <v>1559</v>
      </c>
      <c r="E1978" t="s">
        <v>888</v>
      </c>
      <c r="F1978" s="4">
        <v>40414</v>
      </c>
      <c r="G1978" s="11">
        <v>0</v>
      </c>
      <c r="H1978" s="11">
        <v>2500000</v>
      </c>
    </row>
    <row r="1979" spans="1:8" x14ac:dyDescent="0.2">
      <c r="A1979" t="s">
        <v>3577</v>
      </c>
      <c r="B1979" s="1" t="s">
        <v>2937</v>
      </c>
      <c r="C1979" s="11">
        <v>1000000</v>
      </c>
      <c r="D1979" t="s">
        <v>1559</v>
      </c>
      <c r="E1979" t="s">
        <v>885</v>
      </c>
      <c r="F1979" s="4">
        <v>40345</v>
      </c>
      <c r="G1979" s="11">
        <v>1000000</v>
      </c>
      <c r="H1979" s="11">
        <v>0</v>
      </c>
    </row>
    <row r="1980" spans="1:8" x14ac:dyDescent="0.2">
      <c r="A1980" t="s">
        <v>3578</v>
      </c>
      <c r="B1980" s="1" t="s">
        <v>3579</v>
      </c>
      <c r="C1980" s="11">
        <v>500000</v>
      </c>
      <c r="D1980" t="s">
        <v>1559</v>
      </c>
      <c r="E1980" t="s">
        <v>888</v>
      </c>
      <c r="F1980" s="4">
        <v>39961</v>
      </c>
      <c r="G1980" s="11">
        <v>500000</v>
      </c>
      <c r="H1980" s="11">
        <v>0</v>
      </c>
    </row>
    <row r="1981" spans="1:8" x14ac:dyDescent="0.2">
      <c r="A1981" t="s">
        <v>3580</v>
      </c>
      <c r="B1981" s="1" t="s">
        <v>3581</v>
      </c>
      <c r="C1981" s="11">
        <v>500000</v>
      </c>
      <c r="D1981" t="s">
        <v>1559</v>
      </c>
      <c r="E1981" t="s">
        <v>888</v>
      </c>
      <c r="F1981" s="4">
        <v>39961</v>
      </c>
      <c r="G1981" s="11">
        <v>500000</v>
      </c>
      <c r="H1981" s="11">
        <v>0</v>
      </c>
    </row>
    <row r="1982" spans="1:8" x14ac:dyDescent="0.2">
      <c r="A1982" t="s">
        <v>3582</v>
      </c>
      <c r="B1982" s="1" t="s">
        <v>3583</v>
      </c>
      <c r="C1982" s="11">
        <v>500000</v>
      </c>
      <c r="D1982" t="s">
        <v>1559</v>
      </c>
      <c r="E1982" t="s">
        <v>888</v>
      </c>
      <c r="F1982" s="4">
        <v>40325</v>
      </c>
      <c r="G1982" s="11">
        <v>450000</v>
      </c>
      <c r="H1982" s="11">
        <v>50000</v>
      </c>
    </row>
    <row r="1983" spans="1:8" x14ac:dyDescent="0.2">
      <c r="A1983" t="s">
        <v>4137</v>
      </c>
      <c r="B1983" s="1" t="s">
        <v>2979</v>
      </c>
      <c r="C1983" s="11">
        <v>1500000</v>
      </c>
      <c r="D1983" t="s">
        <v>1559</v>
      </c>
      <c r="E1983" t="s">
        <v>888</v>
      </c>
      <c r="F1983" s="4">
        <v>40374</v>
      </c>
      <c r="G1983" s="11">
        <v>0</v>
      </c>
      <c r="H1983" s="11">
        <v>1500000</v>
      </c>
    </row>
    <row r="1984" spans="1:8" x14ac:dyDescent="0.2">
      <c r="A1984" t="s">
        <v>3584</v>
      </c>
      <c r="B1984" s="1" t="s">
        <v>3248</v>
      </c>
      <c r="C1984" s="11">
        <v>1000000</v>
      </c>
      <c r="D1984" t="s">
        <v>1559</v>
      </c>
      <c r="E1984" t="s">
        <v>3008</v>
      </c>
      <c r="F1984" s="4">
        <v>40414</v>
      </c>
      <c r="G1984" s="11">
        <v>0</v>
      </c>
      <c r="H1984" s="11">
        <v>1000000</v>
      </c>
    </row>
    <row r="1985" spans="1:8" x14ac:dyDescent="0.2">
      <c r="A1985" t="s">
        <v>3943</v>
      </c>
      <c r="B1985" s="1" t="s">
        <v>3236</v>
      </c>
      <c r="C1985" s="11">
        <v>1875000</v>
      </c>
      <c r="D1985" t="s">
        <v>1559</v>
      </c>
      <c r="E1985" t="s">
        <v>444</v>
      </c>
      <c r="F1985" s="4">
        <v>40414</v>
      </c>
      <c r="G1985" s="11">
        <v>0</v>
      </c>
      <c r="H1985" s="11">
        <v>1875000</v>
      </c>
    </row>
    <row r="1986" spans="1:8" x14ac:dyDescent="0.2">
      <c r="A1986" t="s">
        <v>3944</v>
      </c>
      <c r="B1986" s="1" t="s">
        <v>3237</v>
      </c>
      <c r="C1986" s="11">
        <v>625000</v>
      </c>
      <c r="D1986" t="s">
        <v>1559</v>
      </c>
      <c r="E1986" t="s">
        <v>444</v>
      </c>
      <c r="F1986" s="4">
        <v>40463</v>
      </c>
      <c r="G1986" s="11">
        <v>0</v>
      </c>
      <c r="H1986" s="11">
        <v>625000</v>
      </c>
    </row>
    <row r="1987" spans="1:8" x14ac:dyDescent="0.2">
      <c r="A1987" t="s">
        <v>3945</v>
      </c>
      <c r="B1987" s="1" t="s">
        <v>3330</v>
      </c>
      <c r="C1987" s="11">
        <v>1000000</v>
      </c>
      <c r="D1987" t="s">
        <v>1559</v>
      </c>
      <c r="E1987" t="s">
        <v>885</v>
      </c>
      <c r="F1987" s="4">
        <v>40407</v>
      </c>
      <c r="G1987" s="11">
        <v>734554</v>
      </c>
      <c r="H1987" s="11">
        <v>265446</v>
      </c>
    </row>
    <row r="1988" spans="1:8" x14ac:dyDescent="0.2">
      <c r="A1988" t="s">
        <v>3585</v>
      </c>
      <c r="B1988" s="1" t="s">
        <v>2936</v>
      </c>
      <c r="C1988" s="11">
        <v>1000000</v>
      </c>
      <c r="D1988" t="s">
        <v>1559</v>
      </c>
      <c r="E1988" t="s">
        <v>888</v>
      </c>
      <c r="F1988" s="4">
        <v>40280</v>
      </c>
      <c r="G1988" s="11">
        <v>0</v>
      </c>
      <c r="H1988" s="11">
        <v>1000000</v>
      </c>
    </row>
    <row r="1989" spans="1:8" x14ac:dyDescent="0.2">
      <c r="A1989" t="s">
        <v>3586</v>
      </c>
      <c r="B1989" s="1" t="s">
        <v>3327</v>
      </c>
      <c r="C1989" s="11">
        <v>700000</v>
      </c>
      <c r="D1989" t="s">
        <v>1559</v>
      </c>
      <c r="E1989" t="s">
        <v>888</v>
      </c>
      <c r="F1989" s="4">
        <v>40463</v>
      </c>
      <c r="G1989" s="11">
        <v>0</v>
      </c>
      <c r="H1989" s="11">
        <v>700000</v>
      </c>
    </row>
    <row r="1990" spans="1:8" x14ac:dyDescent="0.2">
      <c r="A1990" t="s">
        <v>3946</v>
      </c>
      <c r="B1990" s="1" t="s">
        <v>143</v>
      </c>
      <c r="C1990" s="11">
        <v>500000</v>
      </c>
      <c r="D1990" t="s">
        <v>1559</v>
      </c>
      <c r="E1990" t="s">
        <v>885</v>
      </c>
      <c r="F1990" s="4">
        <v>40217</v>
      </c>
      <c r="G1990" s="11">
        <v>500000</v>
      </c>
      <c r="H1990" s="11">
        <v>0</v>
      </c>
    </row>
    <row r="1991" spans="1:8" x14ac:dyDescent="0.2">
      <c r="A1991" t="s">
        <v>3947</v>
      </c>
      <c r="B1991" s="1" t="s">
        <v>3323</v>
      </c>
      <c r="C1991" s="11">
        <v>1750000</v>
      </c>
      <c r="D1991" t="s">
        <v>1559</v>
      </c>
      <c r="E1991" t="s">
        <v>444</v>
      </c>
      <c r="F1991" s="4">
        <v>40407</v>
      </c>
      <c r="G1991" s="11">
        <v>1073587</v>
      </c>
      <c r="H1991" s="11">
        <v>676413</v>
      </c>
    </row>
    <row r="1992" spans="1:8" x14ac:dyDescent="0.2">
      <c r="A1992" t="s">
        <v>3948</v>
      </c>
      <c r="B1992" s="1" t="s">
        <v>3324</v>
      </c>
      <c r="C1992" s="11">
        <v>250000</v>
      </c>
      <c r="D1992" t="s">
        <v>1559</v>
      </c>
      <c r="E1992" t="s">
        <v>444</v>
      </c>
      <c r="F1992" s="4">
        <v>40436</v>
      </c>
      <c r="G1992" s="11">
        <v>0</v>
      </c>
      <c r="H1992" s="11">
        <v>250000</v>
      </c>
    </row>
    <row r="1993" spans="1:8" x14ac:dyDescent="0.2">
      <c r="A1993" t="s">
        <v>3587</v>
      </c>
      <c r="B1993" s="1" t="s">
        <v>3344</v>
      </c>
      <c r="C1993" s="11">
        <v>5000000</v>
      </c>
      <c r="D1993" t="s">
        <v>1559</v>
      </c>
      <c r="E1993" t="s">
        <v>3008</v>
      </c>
      <c r="F1993" s="4">
        <v>40448</v>
      </c>
      <c r="G1993" s="11">
        <v>0</v>
      </c>
      <c r="H1993" s="11">
        <v>5000000</v>
      </c>
    </row>
    <row r="1994" spans="1:8" x14ac:dyDescent="0.2">
      <c r="A1994" t="s">
        <v>3949</v>
      </c>
      <c r="B1994" s="1" t="s">
        <v>3346</v>
      </c>
      <c r="C1994" s="11">
        <v>750000</v>
      </c>
      <c r="D1994" t="s">
        <v>1559</v>
      </c>
      <c r="E1994" t="s">
        <v>444</v>
      </c>
      <c r="F1994" s="4">
        <v>40463</v>
      </c>
      <c r="G1994" s="11">
        <v>750000</v>
      </c>
      <c r="H1994" s="11">
        <v>0</v>
      </c>
    </row>
    <row r="1995" spans="1:8" x14ac:dyDescent="0.2">
      <c r="A1995" t="s">
        <v>3950</v>
      </c>
      <c r="B1995" s="1" t="s">
        <v>3347</v>
      </c>
      <c r="C1995" s="11">
        <v>750000</v>
      </c>
      <c r="D1995" t="s">
        <v>1559</v>
      </c>
      <c r="E1995" t="s">
        <v>444</v>
      </c>
      <c r="F1995" s="4">
        <v>40463</v>
      </c>
      <c r="G1995" s="11">
        <v>750000</v>
      </c>
      <c r="H1995" s="11">
        <v>0</v>
      </c>
    </row>
    <row r="1996" spans="1:8" x14ac:dyDescent="0.2">
      <c r="A1996" t="s">
        <v>3951</v>
      </c>
      <c r="B1996" s="1" t="s">
        <v>3348</v>
      </c>
      <c r="C1996" s="11">
        <v>2300000</v>
      </c>
      <c r="D1996" t="s">
        <v>1559</v>
      </c>
      <c r="E1996" t="s">
        <v>444</v>
      </c>
      <c r="F1996" s="4">
        <v>40463</v>
      </c>
      <c r="G1996" s="11">
        <v>1239540</v>
      </c>
      <c r="H1996" s="11">
        <v>1060460</v>
      </c>
    </row>
    <row r="1997" spans="1:8" x14ac:dyDescent="0.2">
      <c r="A1997" t="s">
        <v>4223</v>
      </c>
      <c r="B1997" s="1" t="s">
        <v>3339</v>
      </c>
      <c r="C1997" s="11">
        <v>1000000</v>
      </c>
      <c r="D1997" t="s">
        <v>1559</v>
      </c>
      <c r="E1997" t="s">
        <v>888</v>
      </c>
      <c r="F1997" s="4">
        <v>40436</v>
      </c>
      <c r="G1997" s="11">
        <v>0</v>
      </c>
      <c r="H1997" s="11">
        <v>1000000</v>
      </c>
    </row>
    <row r="1998" spans="1:8" x14ac:dyDescent="0.2">
      <c r="A1998" t="s">
        <v>3588</v>
      </c>
      <c r="B1998" s="1" t="s">
        <v>2126</v>
      </c>
      <c r="C1998" s="11">
        <v>5000000</v>
      </c>
      <c r="D1998" t="s">
        <v>1559</v>
      </c>
      <c r="E1998" t="s">
        <v>516</v>
      </c>
      <c r="F1998" s="4">
        <v>39930</v>
      </c>
      <c r="G1998" s="11">
        <v>3339580</v>
      </c>
      <c r="H1998" s="11">
        <v>1660420</v>
      </c>
    </row>
    <row r="1999" spans="1:8" x14ac:dyDescent="0.2">
      <c r="A1999" t="s">
        <v>3589</v>
      </c>
      <c r="B1999" s="1" t="s">
        <v>3319</v>
      </c>
      <c r="C1999" s="11">
        <v>13000000</v>
      </c>
      <c r="D1999" t="s">
        <v>1559</v>
      </c>
      <c r="E1999" t="s">
        <v>516</v>
      </c>
      <c r="F1999" s="4">
        <v>40407</v>
      </c>
      <c r="G1999" s="11">
        <v>0</v>
      </c>
      <c r="H1999" s="11">
        <v>13000000</v>
      </c>
    </row>
    <row r="2000" spans="1:8" x14ac:dyDescent="0.2">
      <c r="A2000" t="s">
        <v>3952</v>
      </c>
      <c r="B2000" s="1" t="s">
        <v>3358</v>
      </c>
      <c r="C2000" s="11">
        <v>1000000</v>
      </c>
      <c r="D2000" t="s">
        <v>1559</v>
      </c>
      <c r="E2000" t="s">
        <v>3031</v>
      </c>
      <c r="F2000" s="4">
        <v>40471</v>
      </c>
      <c r="G2000" s="11">
        <v>0</v>
      </c>
      <c r="H2000" s="11">
        <v>1000000</v>
      </c>
    </row>
    <row r="2001" spans="1:8" x14ac:dyDescent="0.2">
      <c r="A2001" t="s">
        <v>3953</v>
      </c>
      <c r="B2001" s="1" t="s">
        <v>3353</v>
      </c>
      <c r="C2001" s="11">
        <v>1250000</v>
      </c>
      <c r="D2001" t="s">
        <v>1559</v>
      </c>
      <c r="E2001" t="s">
        <v>888</v>
      </c>
      <c r="F2001" s="4">
        <v>40487</v>
      </c>
      <c r="G2001" s="11">
        <v>0</v>
      </c>
      <c r="H2001" s="11">
        <v>1250000</v>
      </c>
    </row>
    <row r="2002" spans="1:8" x14ac:dyDescent="0.2">
      <c r="A2002" t="s">
        <v>3954</v>
      </c>
      <c r="B2002" s="1" t="s">
        <v>3354</v>
      </c>
      <c r="C2002" s="11">
        <v>1250000</v>
      </c>
      <c r="D2002" t="s">
        <v>1559</v>
      </c>
      <c r="E2002" t="s">
        <v>888</v>
      </c>
      <c r="F2002" s="4">
        <v>40487</v>
      </c>
      <c r="G2002" s="11">
        <v>0</v>
      </c>
      <c r="H2002" s="11">
        <v>1250000</v>
      </c>
    </row>
    <row r="2003" spans="1:8" x14ac:dyDescent="0.2">
      <c r="A2003" t="s">
        <v>3955</v>
      </c>
      <c r="B2003" s="1" t="s">
        <v>3597</v>
      </c>
      <c r="C2003" s="11">
        <v>1000000</v>
      </c>
      <c r="D2003" t="s">
        <v>1559</v>
      </c>
      <c r="E2003" t="s">
        <v>3031</v>
      </c>
      <c r="F2003" s="4">
        <v>40499</v>
      </c>
      <c r="G2003" s="11">
        <v>956609</v>
      </c>
      <c r="H2003" s="11">
        <v>43391</v>
      </c>
    </row>
    <row r="2004" spans="1:8" x14ac:dyDescent="0.2">
      <c r="A2004" t="s">
        <v>3956</v>
      </c>
      <c r="B2004" s="1" t="s">
        <v>3594</v>
      </c>
      <c r="C2004" s="11">
        <v>10000000</v>
      </c>
      <c r="D2004" t="s">
        <v>1559</v>
      </c>
      <c r="E2004" t="s">
        <v>3031</v>
      </c>
      <c r="F2004" s="4">
        <v>40499</v>
      </c>
      <c r="G2004" s="11">
        <v>513067</v>
      </c>
      <c r="H2004" s="11">
        <v>9486933</v>
      </c>
    </row>
    <row r="2005" spans="1:8" x14ac:dyDescent="0.2">
      <c r="A2005" t="s">
        <v>4042</v>
      </c>
      <c r="B2005" s="1" t="s">
        <v>4001</v>
      </c>
      <c r="C2005" s="11">
        <v>5000000</v>
      </c>
      <c r="D2005" t="s">
        <v>1559</v>
      </c>
      <c r="E2005" t="s">
        <v>516</v>
      </c>
      <c r="F2005" s="4">
        <v>40519</v>
      </c>
      <c r="G2005" s="11">
        <v>0</v>
      </c>
      <c r="H2005" s="11">
        <v>5000000</v>
      </c>
    </row>
    <row r="2006" spans="1:8" x14ac:dyDescent="0.2">
      <c r="A2006" t="s">
        <v>4043</v>
      </c>
      <c r="B2006" s="1" t="s">
        <v>3967</v>
      </c>
      <c r="C2006" s="11">
        <v>1000000</v>
      </c>
      <c r="D2006" t="s">
        <v>1559</v>
      </c>
      <c r="E2006" t="s">
        <v>516</v>
      </c>
      <c r="F2006" s="4">
        <v>40519</v>
      </c>
      <c r="G2006" s="11">
        <v>0</v>
      </c>
      <c r="H2006" s="11">
        <v>1000000</v>
      </c>
    </row>
    <row r="2007" spans="1:8" x14ac:dyDescent="0.2">
      <c r="A2007" t="s">
        <v>3957</v>
      </c>
      <c r="B2007" s="1" t="s">
        <v>3359</v>
      </c>
      <c r="C2007" s="11">
        <v>2500000</v>
      </c>
      <c r="D2007" t="s">
        <v>1559</v>
      </c>
      <c r="E2007" t="s">
        <v>888</v>
      </c>
      <c r="F2007" s="4">
        <v>40472</v>
      </c>
      <c r="G2007" s="11">
        <v>0</v>
      </c>
      <c r="H2007" s="11">
        <v>2500000</v>
      </c>
    </row>
    <row r="2008" spans="1:8" x14ac:dyDescent="0.2">
      <c r="A2008" t="s">
        <v>3958</v>
      </c>
      <c r="B2008" s="1" t="s">
        <v>2935</v>
      </c>
      <c r="C2008" s="11">
        <v>2000000</v>
      </c>
      <c r="D2008" t="s">
        <v>1559</v>
      </c>
      <c r="E2008" t="s">
        <v>888</v>
      </c>
      <c r="F2008" s="4">
        <v>40289</v>
      </c>
      <c r="G2008" s="11">
        <v>0</v>
      </c>
      <c r="H2008" s="11">
        <v>2000000</v>
      </c>
    </row>
    <row r="2009" spans="1:8" x14ac:dyDescent="0.2">
      <c r="A2009" t="s">
        <v>3959</v>
      </c>
      <c r="B2009" s="1" t="s">
        <v>335</v>
      </c>
      <c r="C2009" s="11">
        <v>1000000</v>
      </c>
      <c r="D2009" t="s">
        <v>1559</v>
      </c>
      <c r="E2009" t="s">
        <v>3031</v>
      </c>
      <c r="F2009" s="4">
        <v>40504</v>
      </c>
      <c r="G2009" s="11">
        <v>0</v>
      </c>
      <c r="H2009" s="11">
        <v>1000000</v>
      </c>
    </row>
    <row r="2010" spans="1:8" x14ac:dyDescent="0.2">
      <c r="A2010" t="s">
        <v>3960</v>
      </c>
      <c r="B2010" s="1" t="s">
        <v>3593</v>
      </c>
      <c r="C2010" s="11">
        <v>1000000</v>
      </c>
      <c r="D2010" t="s">
        <v>1559</v>
      </c>
      <c r="E2010" t="s">
        <v>3031</v>
      </c>
      <c r="F2010" s="4">
        <v>40500</v>
      </c>
      <c r="G2010" s="11">
        <v>0</v>
      </c>
      <c r="H2010" s="11">
        <v>1000000</v>
      </c>
    </row>
    <row r="2011" spans="1:8" x14ac:dyDescent="0.2">
      <c r="A2011" t="s">
        <v>4090</v>
      </c>
      <c r="B2011" s="1" t="s">
        <v>3595</v>
      </c>
      <c r="C2011" s="11">
        <v>2500000</v>
      </c>
      <c r="D2011" t="s">
        <v>1559</v>
      </c>
      <c r="E2011" t="s">
        <v>3031</v>
      </c>
      <c r="F2011" s="4">
        <v>40499</v>
      </c>
      <c r="G2011" s="11">
        <v>0</v>
      </c>
      <c r="H2011" s="11">
        <v>2500000</v>
      </c>
    </row>
    <row r="2012" spans="1:8" x14ac:dyDescent="0.2">
      <c r="A2012" t="s">
        <v>4091</v>
      </c>
      <c r="B2012" s="1" t="s">
        <v>3600</v>
      </c>
      <c r="C2012" s="11">
        <v>7500000</v>
      </c>
      <c r="D2012" t="s">
        <v>1559</v>
      </c>
      <c r="E2012" t="s">
        <v>3008</v>
      </c>
      <c r="F2012" s="4">
        <v>40498</v>
      </c>
      <c r="G2012" s="11">
        <v>0</v>
      </c>
      <c r="H2012" s="11">
        <v>7500000</v>
      </c>
    </row>
    <row r="2013" spans="1:8" x14ac:dyDescent="0.2">
      <c r="A2013" t="s">
        <v>4092</v>
      </c>
      <c r="B2013" s="1" t="s">
        <v>3356</v>
      </c>
      <c r="C2013" s="11">
        <v>500000</v>
      </c>
      <c r="D2013" t="s">
        <v>1559</v>
      </c>
      <c r="E2013" t="s">
        <v>3031</v>
      </c>
      <c r="F2013" s="4">
        <v>40483</v>
      </c>
      <c r="G2013" s="11">
        <v>405463</v>
      </c>
      <c r="H2013" s="11">
        <v>94537</v>
      </c>
    </row>
    <row r="2014" spans="1:8" x14ac:dyDescent="0.2">
      <c r="A2014" t="s">
        <v>4224</v>
      </c>
      <c r="B2014" s="1" t="s">
        <v>3962</v>
      </c>
      <c r="C2014" s="11">
        <v>7500000</v>
      </c>
      <c r="D2014" t="s">
        <v>1559</v>
      </c>
      <c r="E2014" t="s">
        <v>3031</v>
      </c>
      <c r="F2014" s="4">
        <v>40511</v>
      </c>
      <c r="G2014" s="11">
        <v>0</v>
      </c>
      <c r="H2014" s="11">
        <v>7500000</v>
      </c>
    </row>
    <row r="2015" spans="1:8" x14ac:dyDescent="0.2">
      <c r="A2015" t="s">
        <v>4289</v>
      </c>
      <c r="B2015" s="1" t="s">
        <v>3973</v>
      </c>
      <c r="C2015" s="11">
        <v>2000000</v>
      </c>
      <c r="D2015" t="s">
        <v>1559</v>
      </c>
      <c r="E2015" t="s">
        <v>3031</v>
      </c>
      <c r="F2015" s="4">
        <v>40511</v>
      </c>
      <c r="G2015" s="11">
        <v>0</v>
      </c>
      <c r="H2015" s="11">
        <v>2000000</v>
      </c>
    </row>
    <row r="2016" spans="1:8" x14ac:dyDescent="0.2">
      <c r="A2016" t="s">
        <v>4138</v>
      </c>
      <c r="B2016" s="1" t="s">
        <v>3965</v>
      </c>
      <c r="C2016" s="11">
        <v>10000000</v>
      </c>
      <c r="D2016" t="s">
        <v>1559</v>
      </c>
      <c r="E2016" t="s">
        <v>3031</v>
      </c>
      <c r="F2016" s="4">
        <v>40511</v>
      </c>
      <c r="G2016" s="11">
        <v>4855169</v>
      </c>
      <c r="H2016" s="11">
        <v>5144831</v>
      </c>
    </row>
    <row r="2017" spans="1:8" x14ac:dyDescent="0.2">
      <c r="A2017" t="s">
        <v>4290</v>
      </c>
      <c r="B2017" s="1" t="s">
        <v>3601</v>
      </c>
      <c r="C2017" s="11">
        <v>1100000</v>
      </c>
      <c r="D2017" t="s">
        <v>1559</v>
      </c>
      <c r="E2017" t="s">
        <v>444</v>
      </c>
      <c r="F2017" s="4">
        <v>40498</v>
      </c>
      <c r="G2017" s="11">
        <v>0</v>
      </c>
      <c r="H2017" s="11">
        <v>1100000</v>
      </c>
    </row>
    <row r="2018" spans="1:8" x14ac:dyDescent="0.2">
      <c r="A2018" t="s">
        <v>4225</v>
      </c>
      <c r="B2018" s="1" t="s">
        <v>3349</v>
      </c>
      <c r="C2018" s="11">
        <v>3000000</v>
      </c>
      <c r="D2018" t="s">
        <v>1559</v>
      </c>
      <c r="E2018" t="s">
        <v>3031</v>
      </c>
      <c r="F2018" s="4">
        <v>40471</v>
      </c>
      <c r="G2018" s="11">
        <v>0</v>
      </c>
      <c r="H2018" s="11">
        <v>3000000</v>
      </c>
    </row>
    <row r="2019" spans="1:8" x14ac:dyDescent="0.2">
      <c r="A2019" t="s">
        <v>4226</v>
      </c>
      <c r="B2019" s="1" t="s">
        <v>3350</v>
      </c>
      <c r="C2019" s="11">
        <v>1400000</v>
      </c>
      <c r="D2019" t="s">
        <v>1559</v>
      </c>
      <c r="E2019" t="s">
        <v>3031</v>
      </c>
      <c r="F2019" s="4">
        <v>40471</v>
      </c>
      <c r="G2019" s="11">
        <v>0</v>
      </c>
      <c r="H2019" s="11">
        <v>1400000</v>
      </c>
    </row>
    <row r="2020" spans="1:8" x14ac:dyDescent="0.2">
      <c r="A2020" t="s">
        <v>4227</v>
      </c>
      <c r="B2020" s="1" t="s">
        <v>3351</v>
      </c>
      <c r="C2020" s="11">
        <v>1000000</v>
      </c>
      <c r="D2020" t="s">
        <v>1559</v>
      </c>
      <c r="E2020" t="s">
        <v>3031</v>
      </c>
      <c r="F2020" s="4">
        <v>40471</v>
      </c>
      <c r="G2020" s="11">
        <v>0</v>
      </c>
      <c r="H2020" s="11">
        <v>1000000</v>
      </c>
    </row>
    <row r="2021" spans="1:8" x14ac:dyDescent="0.2">
      <c r="A2021" t="s">
        <v>4228</v>
      </c>
      <c r="B2021" s="1" t="s">
        <v>3352</v>
      </c>
      <c r="C2021" s="11">
        <v>600000</v>
      </c>
      <c r="D2021" t="s">
        <v>1559</v>
      </c>
      <c r="E2021" t="s">
        <v>3031</v>
      </c>
      <c r="F2021" s="4">
        <v>40472</v>
      </c>
      <c r="G2021" s="11">
        <v>0</v>
      </c>
      <c r="H2021" s="11">
        <v>600000</v>
      </c>
    </row>
    <row r="2022" spans="1:8" x14ac:dyDescent="0.2">
      <c r="A2022" t="s">
        <v>4291</v>
      </c>
      <c r="B2022" s="1" t="s">
        <v>3980</v>
      </c>
      <c r="C2022" s="11">
        <v>5000000</v>
      </c>
      <c r="D2022" t="s">
        <v>1559</v>
      </c>
      <c r="E2022" t="s">
        <v>3031</v>
      </c>
      <c r="F2022" s="4">
        <v>40532</v>
      </c>
      <c r="G2022" s="11">
        <v>0</v>
      </c>
      <c r="H2022" s="11">
        <v>5000000</v>
      </c>
    </row>
    <row r="2023" spans="1:8" x14ac:dyDescent="0.2">
      <c r="A2023" t="s">
        <v>4343</v>
      </c>
      <c r="B2023" s="1" t="s">
        <v>3598</v>
      </c>
      <c r="C2023" s="11">
        <v>1000000</v>
      </c>
      <c r="D2023" t="s">
        <v>1559</v>
      </c>
      <c r="E2023" t="s">
        <v>3008</v>
      </c>
      <c r="F2023" s="4">
        <v>40498</v>
      </c>
      <c r="G2023" s="11">
        <v>0</v>
      </c>
      <c r="H2023" s="11">
        <v>1000000</v>
      </c>
    </row>
    <row r="2024" spans="1:8" x14ac:dyDescent="0.2">
      <c r="A2024" t="s">
        <v>4292</v>
      </c>
      <c r="B2024" s="1" t="s">
        <v>3602</v>
      </c>
      <c r="C2024" s="11">
        <v>250000</v>
      </c>
      <c r="D2024" t="s">
        <v>1559</v>
      </c>
      <c r="E2024" t="s">
        <v>3031</v>
      </c>
      <c r="F2024" s="4">
        <v>40504</v>
      </c>
      <c r="G2024" s="11">
        <v>0</v>
      </c>
      <c r="H2024" s="11">
        <v>250000</v>
      </c>
    </row>
    <row r="2025" spans="1:8" x14ac:dyDescent="0.2">
      <c r="A2025" t="s">
        <v>4293</v>
      </c>
      <c r="B2025" s="1" t="s">
        <v>3966</v>
      </c>
      <c r="C2025" s="11">
        <v>1000000</v>
      </c>
      <c r="D2025" t="s">
        <v>1559</v>
      </c>
      <c r="E2025" t="s">
        <v>3031</v>
      </c>
      <c r="F2025" s="4">
        <v>40520</v>
      </c>
      <c r="G2025" s="11">
        <v>0</v>
      </c>
      <c r="H2025" s="11">
        <v>1000000</v>
      </c>
    </row>
    <row r="2026" spans="1:8" x14ac:dyDescent="0.2">
      <c r="A2026" t="s">
        <v>4294</v>
      </c>
      <c r="B2026" s="1" t="s">
        <v>3963</v>
      </c>
      <c r="C2026" s="11">
        <v>2000000</v>
      </c>
      <c r="D2026" t="s">
        <v>1559</v>
      </c>
      <c r="E2026" t="s">
        <v>3031</v>
      </c>
      <c r="F2026" s="4">
        <v>40511</v>
      </c>
      <c r="G2026" s="11">
        <v>1950000</v>
      </c>
      <c r="H2026" s="11">
        <v>50000</v>
      </c>
    </row>
    <row r="2027" spans="1:8" x14ac:dyDescent="0.2">
      <c r="A2027" t="s">
        <v>4139</v>
      </c>
      <c r="B2027" s="1" t="s">
        <v>3592</v>
      </c>
      <c r="C2027" s="11">
        <v>750000</v>
      </c>
      <c r="D2027" t="s">
        <v>1559</v>
      </c>
      <c r="E2027" t="s">
        <v>3031</v>
      </c>
      <c r="F2027" s="4">
        <v>40504</v>
      </c>
      <c r="G2027" s="11">
        <v>386681</v>
      </c>
      <c r="H2027" s="11">
        <v>363319</v>
      </c>
    </row>
    <row r="2028" spans="1:8" x14ac:dyDescent="0.2">
      <c r="A2028" t="s">
        <v>4295</v>
      </c>
      <c r="B2028" s="1" t="s">
        <v>3964</v>
      </c>
      <c r="C2028" s="11">
        <v>1000000</v>
      </c>
      <c r="D2028" t="s">
        <v>1559</v>
      </c>
      <c r="E2028" t="s">
        <v>3031</v>
      </c>
      <c r="F2028" s="4">
        <v>40511</v>
      </c>
      <c r="G2028" s="11">
        <v>0</v>
      </c>
      <c r="H2028" s="11">
        <v>1000000</v>
      </c>
    </row>
    <row r="2029" spans="1:8" x14ac:dyDescent="0.2">
      <c r="A2029" t="s">
        <v>4140</v>
      </c>
      <c r="B2029" s="1" t="s">
        <v>3596</v>
      </c>
      <c r="C2029" s="11">
        <v>1000000</v>
      </c>
      <c r="D2029" t="s">
        <v>1559</v>
      </c>
      <c r="E2029" t="s">
        <v>3031</v>
      </c>
      <c r="F2029" s="4">
        <v>40499</v>
      </c>
      <c r="G2029" s="11">
        <v>0</v>
      </c>
      <c r="H2029" s="11">
        <v>1000000</v>
      </c>
    </row>
    <row r="2030" spans="1:8" x14ac:dyDescent="0.2">
      <c r="A2030" t="s">
        <v>4296</v>
      </c>
      <c r="B2030" s="1" t="s">
        <v>3982</v>
      </c>
      <c r="C2030" s="11">
        <v>1000000</v>
      </c>
      <c r="D2030" t="s">
        <v>1559</v>
      </c>
      <c r="E2030" t="s">
        <v>3031</v>
      </c>
      <c r="F2030" s="4">
        <v>40532</v>
      </c>
      <c r="G2030" s="11">
        <v>0</v>
      </c>
      <c r="H2030" s="11">
        <v>1000000</v>
      </c>
    </row>
    <row r="2031" spans="1:8" x14ac:dyDescent="0.2">
      <c r="A2031" t="s">
        <v>4297</v>
      </c>
      <c r="B2031" s="1" t="s">
        <v>3591</v>
      </c>
      <c r="C2031" s="11">
        <v>250000</v>
      </c>
      <c r="D2031" t="s">
        <v>1559</v>
      </c>
      <c r="E2031" t="s">
        <v>3031</v>
      </c>
      <c r="F2031" s="4">
        <v>40504</v>
      </c>
      <c r="G2031" s="11">
        <v>158783</v>
      </c>
      <c r="H2031" s="11">
        <v>91217</v>
      </c>
    </row>
    <row r="2032" spans="1:8" x14ac:dyDescent="0.2">
      <c r="A2032" t="s">
        <v>4298</v>
      </c>
      <c r="B2032" s="1" t="s">
        <v>3974</v>
      </c>
      <c r="C2032" s="11">
        <v>250000</v>
      </c>
      <c r="D2032" t="s">
        <v>1559</v>
      </c>
      <c r="E2032" t="s">
        <v>3031</v>
      </c>
      <c r="F2032" s="4">
        <v>40515</v>
      </c>
      <c r="G2032" s="11">
        <v>0</v>
      </c>
      <c r="H2032" s="11">
        <v>250000</v>
      </c>
    </row>
    <row r="2033" spans="1:8" x14ac:dyDescent="0.2">
      <c r="A2033" t="s">
        <v>4476</v>
      </c>
      <c r="B2033" s="1" t="s">
        <v>3996</v>
      </c>
      <c r="C2033" s="11">
        <v>250000</v>
      </c>
      <c r="D2033" t="s">
        <v>1559</v>
      </c>
      <c r="E2033" t="s">
        <v>3031</v>
      </c>
      <c r="F2033" s="4">
        <v>40546</v>
      </c>
      <c r="G2033" s="11">
        <v>0</v>
      </c>
      <c r="H2033" s="11">
        <v>250000</v>
      </c>
    </row>
    <row r="2034" spans="1:8" x14ac:dyDescent="0.2">
      <c r="A2034" t="s">
        <v>4477</v>
      </c>
      <c r="B2034" s="1" t="s">
        <v>3997</v>
      </c>
      <c r="C2034" s="11">
        <v>2000000</v>
      </c>
      <c r="D2034" t="s">
        <v>1559</v>
      </c>
      <c r="E2034" t="s">
        <v>3031</v>
      </c>
      <c r="F2034" s="4">
        <v>40546</v>
      </c>
      <c r="G2034" s="11">
        <v>0</v>
      </c>
      <c r="H2034" s="11">
        <v>2000000</v>
      </c>
    </row>
    <row r="2035" spans="1:8" x14ac:dyDescent="0.2">
      <c r="A2035" t="s">
        <v>4321</v>
      </c>
      <c r="B2035" s="1" t="s">
        <v>3316</v>
      </c>
      <c r="C2035" s="11">
        <v>500000</v>
      </c>
      <c r="D2035" t="s">
        <v>1559</v>
      </c>
      <c r="E2035" t="s">
        <v>444</v>
      </c>
      <c r="F2035" s="4">
        <v>39856</v>
      </c>
      <c r="G2035" s="11">
        <v>0</v>
      </c>
      <c r="H2035" s="11">
        <v>500000</v>
      </c>
    </row>
    <row r="2036" spans="1:8" x14ac:dyDescent="0.2">
      <c r="A2036" t="s">
        <v>4322</v>
      </c>
      <c r="B2036" s="1" t="s">
        <v>3317</v>
      </c>
      <c r="C2036" s="11">
        <v>500000</v>
      </c>
      <c r="D2036" t="s">
        <v>1559</v>
      </c>
      <c r="E2036" t="s">
        <v>444</v>
      </c>
      <c r="F2036" s="4">
        <v>40436</v>
      </c>
      <c r="G2036" s="11">
        <v>0</v>
      </c>
      <c r="H2036" s="11">
        <v>500000</v>
      </c>
    </row>
    <row r="2037" spans="1:8" x14ac:dyDescent="0.2">
      <c r="A2037" t="s">
        <v>4323</v>
      </c>
      <c r="B2037" s="1" t="s">
        <v>3318</v>
      </c>
      <c r="C2037" s="11">
        <v>250000</v>
      </c>
      <c r="D2037" t="s">
        <v>1559</v>
      </c>
      <c r="E2037" t="s">
        <v>444</v>
      </c>
      <c r="F2037" s="4">
        <v>40463</v>
      </c>
      <c r="G2037" s="11">
        <v>0</v>
      </c>
      <c r="H2037" s="11">
        <v>250000</v>
      </c>
    </row>
    <row r="2038" spans="1:8" x14ac:dyDescent="0.2">
      <c r="A2038" t="s">
        <v>4141</v>
      </c>
      <c r="B2038" s="1" t="s">
        <v>3345</v>
      </c>
      <c r="C2038" s="11">
        <v>1500000</v>
      </c>
      <c r="D2038" t="s">
        <v>1559</v>
      </c>
      <c r="E2038" t="s">
        <v>888</v>
      </c>
      <c r="F2038" s="4">
        <v>40463</v>
      </c>
      <c r="G2038" s="11">
        <v>1440204</v>
      </c>
      <c r="H2038" s="11">
        <v>59796</v>
      </c>
    </row>
    <row r="2039" spans="1:8" x14ac:dyDescent="0.2">
      <c r="A2039" t="s">
        <v>4142</v>
      </c>
      <c r="B2039" s="1" t="s">
        <v>3357</v>
      </c>
      <c r="C2039" s="11">
        <v>750000</v>
      </c>
      <c r="D2039" t="s">
        <v>1559</v>
      </c>
      <c r="E2039" t="s">
        <v>444</v>
      </c>
      <c r="F2039" s="4">
        <v>40483</v>
      </c>
      <c r="G2039" s="11">
        <v>750000</v>
      </c>
      <c r="H2039" s="11">
        <v>0</v>
      </c>
    </row>
    <row r="2040" spans="1:8" x14ac:dyDescent="0.2">
      <c r="A2040" t="s">
        <v>4143</v>
      </c>
      <c r="B2040" s="1" t="s">
        <v>3961</v>
      </c>
      <c r="C2040" s="11">
        <v>750000</v>
      </c>
      <c r="D2040" t="s">
        <v>1559</v>
      </c>
      <c r="E2040" t="s">
        <v>885</v>
      </c>
      <c r="F2040" s="4">
        <v>40532</v>
      </c>
      <c r="G2040" s="11">
        <v>199</v>
      </c>
      <c r="H2040" s="11">
        <v>749801</v>
      </c>
    </row>
    <row r="2041" spans="1:8" x14ac:dyDescent="0.2">
      <c r="A2041" t="s">
        <v>4144</v>
      </c>
      <c r="B2041" s="1" t="s">
        <v>3983</v>
      </c>
      <c r="C2041" s="11">
        <v>1000000</v>
      </c>
      <c r="D2041" t="s">
        <v>1559</v>
      </c>
      <c r="E2041" t="s">
        <v>3031</v>
      </c>
      <c r="F2041" s="4">
        <v>40532</v>
      </c>
      <c r="G2041" s="11">
        <v>0</v>
      </c>
      <c r="H2041" s="11">
        <v>1000000</v>
      </c>
    </row>
    <row r="2042" spans="1:8" x14ac:dyDescent="0.2">
      <c r="A2042" t="s">
        <v>4145</v>
      </c>
      <c r="B2042" s="1" t="s">
        <v>3984</v>
      </c>
      <c r="C2042" s="11">
        <v>400000</v>
      </c>
      <c r="D2042" t="s">
        <v>1559</v>
      </c>
      <c r="E2042" t="s">
        <v>3031</v>
      </c>
      <c r="F2042" s="4">
        <v>40546</v>
      </c>
      <c r="G2042" s="11">
        <v>0</v>
      </c>
      <c r="H2042" s="11">
        <v>400000</v>
      </c>
    </row>
    <row r="2043" spans="1:8" x14ac:dyDescent="0.2">
      <c r="A2043" t="s">
        <v>4229</v>
      </c>
      <c r="B2043" s="1" t="s">
        <v>3999</v>
      </c>
      <c r="C2043" s="11">
        <v>2000000</v>
      </c>
      <c r="D2043" t="s">
        <v>1559</v>
      </c>
      <c r="E2043" t="s">
        <v>3031</v>
      </c>
      <c r="F2043" s="4">
        <v>40553</v>
      </c>
      <c r="G2043" s="11">
        <v>0</v>
      </c>
      <c r="H2043" s="11">
        <v>2000000</v>
      </c>
    </row>
    <row r="2044" spans="1:8" x14ac:dyDescent="0.2">
      <c r="A2044" t="s">
        <v>4230</v>
      </c>
      <c r="B2044" s="1" t="s">
        <v>4000</v>
      </c>
      <c r="C2044" s="11">
        <v>1000000</v>
      </c>
      <c r="D2044" t="s">
        <v>1559</v>
      </c>
      <c r="E2044" t="s">
        <v>3031</v>
      </c>
      <c r="F2044" s="4">
        <v>40553</v>
      </c>
      <c r="G2044" s="11">
        <v>0</v>
      </c>
      <c r="H2044" s="11">
        <v>1000000</v>
      </c>
    </row>
    <row r="2045" spans="1:8" x14ac:dyDescent="0.2">
      <c r="A2045" t="s">
        <v>4231</v>
      </c>
      <c r="B2045" s="1" t="s">
        <v>3987</v>
      </c>
      <c r="C2045" s="11">
        <v>500000</v>
      </c>
      <c r="D2045" t="s">
        <v>1559</v>
      </c>
      <c r="E2045" t="s">
        <v>3031</v>
      </c>
      <c r="F2045" s="4">
        <v>40546</v>
      </c>
      <c r="G2045" s="11">
        <v>0</v>
      </c>
      <c r="H2045" s="11">
        <v>500000</v>
      </c>
    </row>
    <row r="2046" spans="1:8" x14ac:dyDescent="0.2">
      <c r="A2046" t="s">
        <v>4146</v>
      </c>
      <c r="B2046" s="1" t="s">
        <v>3333</v>
      </c>
      <c r="C2046" s="11">
        <v>2000000</v>
      </c>
      <c r="D2046" t="s">
        <v>1559</v>
      </c>
      <c r="E2046" t="s">
        <v>888</v>
      </c>
      <c r="F2046" s="4">
        <v>40407</v>
      </c>
      <c r="G2046" s="11">
        <v>627157</v>
      </c>
      <c r="H2046" s="11">
        <v>1372843</v>
      </c>
    </row>
    <row r="2047" spans="1:8" x14ac:dyDescent="0.2">
      <c r="A2047" t="s">
        <v>4383</v>
      </c>
      <c r="B2047" s="1" t="s">
        <v>3332</v>
      </c>
      <c r="C2047" s="11">
        <v>1970000</v>
      </c>
      <c r="D2047" t="s">
        <v>1559</v>
      </c>
      <c r="E2047" t="s">
        <v>3008</v>
      </c>
      <c r="F2047" s="4">
        <v>40407</v>
      </c>
      <c r="G2047" s="11">
        <v>0</v>
      </c>
      <c r="H2047" s="11">
        <v>1970000</v>
      </c>
    </row>
    <row r="2048" spans="1:8" x14ac:dyDescent="0.2">
      <c r="A2048" t="s">
        <v>4466</v>
      </c>
      <c r="B2048" s="1" t="s">
        <v>3977</v>
      </c>
      <c r="C2048" s="11">
        <v>900000</v>
      </c>
      <c r="D2048" t="s">
        <v>1559</v>
      </c>
      <c r="E2048" t="s">
        <v>888</v>
      </c>
      <c r="F2048" s="4">
        <v>40532</v>
      </c>
      <c r="G2048" s="11">
        <v>0</v>
      </c>
      <c r="H2048" s="11">
        <v>900000</v>
      </c>
    </row>
    <row r="2049" spans="1:8" x14ac:dyDescent="0.2">
      <c r="A2049" t="s">
        <v>4467</v>
      </c>
      <c r="B2049" s="1" t="s">
        <v>3978</v>
      </c>
      <c r="C2049" s="11">
        <v>1000000</v>
      </c>
      <c r="D2049" t="s">
        <v>1559</v>
      </c>
      <c r="E2049" t="s">
        <v>444</v>
      </c>
      <c r="F2049" s="4">
        <v>40532</v>
      </c>
      <c r="G2049" s="11">
        <v>0</v>
      </c>
      <c r="H2049" s="11">
        <v>1000000</v>
      </c>
    </row>
    <row r="2050" spans="1:8" x14ac:dyDescent="0.2">
      <c r="A2050" t="s">
        <v>4468</v>
      </c>
      <c r="B2050" s="1" t="s">
        <v>3979</v>
      </c>
      <c r="C2050" s="11">
        <v>2000000</v>
      </c>
      <c r="D2050" t="s">
        <v>1559</v>
      </c>
      <c r="E2050" t="s">
        <v>888</v>
      </c>
      <c r="F2050" s="4">
        <v>40546</v>
      </c>
      <c r="G2050" s="11">
        <v>0</v>
      </c>
      <c r="H2050" s="11">
        <v>2000000</v>
      </c>
    </row>
    <row r="2051" spans="1:8" x14ac:dyDescent="0.2">
      <c r="A2051" t="s">
        <v>4232</v>
      </c>
      <c r="B2051" s="1" t="s">
        <v>3989</v>
      </c>
      <c r="C2051" s="11">
        <v>450000</v>
      </c>
      <c r="D2051" t="s">
        <v>1559</v>
      </c>
      <c r="E2051" t="s">
        <v>3031</v>
      </c>
      <c r="F2051" s="4">
        <v>40546</v>
      </c>
      <c r="G2051" s="11">
        <v>0</v>
      </c>
      <c r="H2051" s="11">
        <v>450000</v>
      </c>
    </row>
    <row r="2052" spans="1:8" x14ac:dyDescent="0.2">
      <c r="A2052" t="s">
        <v>4324</v>
      </c>
      <c r="B2052" s="1" t="s">
        <v>3355</v>
      </c>
      <c r="C2052" s="11">
        <v>2000000</v>
      </c>
      <c r="D2052" t="s">
        <v>1559</v>
      </c>
      <c r="E2052" t="s">
        <v>3031</v>
      </c>
      <c r="F2052" s="4">
        <v>40483</v>
      </c>
      <c r="G2052" s="11">
        <v>1228103</v>
      </c>
      <c r="H2052" s="11">
        <v>771897</v>
      </c>
    </row>
    <row r="2053" spans="1:8" x14ac:dyDescent="0.2">
      <c r="A2053" t="s">
        <v>4429</v>
      </c>
      <c r="B2053" s="1" t="s">
        <v>3991</v>
      </c>
      <c r="C2053" s="11">
        <v>500000</v>
      </c>
      <c r="D2053" t="s">
        <v>1559</v>
      </c>
      <c r="E2053" t="s">
        <v>3031</v>
      </c>
      <c r="F2053" s="4">
        <v>40546</v>
      </c>
      <c r="G2053" s="11">
        <v>0</v>
      </c>
      <c r="H2053" s="11">
        <v>500000</v>
      </c>
    </row>
    <row r="2054" spans="1:8" x14ac:dyDescent="0.2">
      <c r="A2054" t="s">
        <v>4430</v>
      </c>
      <c r="B2054" s="1" t="s">
        <v>3992</v>
      </c>
      <c r="C2054" s="11">
        <v>2000000</v>
      </c>
      <c r="D2054" t="s">
        <v>1559</v>
      </c>
      <c r="E2054" t="s">
        <v>3031</v>
      </c>
      <c r="F2054" s="4">
        <v>40546</v>
      </c>
      <c r="G2054" s="11">
        <v>0</v>
      </c>
      <c r="H2054" s="11">
        <v>2000000</v>
      </c>
    </row>
    <row r="2055" spans="1:8" x14ac:dyDescent="0.2">
      <c r="A2055" t="s">
        <v>4431</v>
      </c>
      <c r="B2055" s="1" t="s">
        <v>3993</v>
      </c>
      <c r="C2055" s="11">
        <v>250000</v>
      </c>
      <c r="D2055" t="s">
        <v>1559</v>
      </c>
      <c r="E2055" t="s">
        <v>3031</v>
      </c>
      <c r="F2055" s="4">
        <v>40556</v>
      </c>
      <c r="G2055" s="11">
        <v>0</v>
      </c>
      <c r="H2055" s="11">
        <v>250000</v>
      </c>
    </row>
    <row r="2056" spans="1:8" x14ac:dyDescent="0.2">
      <c r="A2056" t="s">
        <v>4325</v>
      </c>
      <c r="B2056" s="1" t="s">
        <v>4061</v>
      </c>
      <c r="C2056" s="11">
        <v>2750000</v>
      </c>
      <c r="D2056" t="s">
        <v>1559</v>
      </c>
      <c r="E2056" t="s">
        <v>3031</v>
      </c>
      <c r="F2056" s="4">
        <v>40557</v>
      </c>
      <c r="G2056" s="11">
        <v>0</v>
      </c>
      <c r="H2056" s="11">
        <v>2750000</v>
      </c>
    </row>
    <row r="2057" spans="1:8" x14ac:dyDescent="0.2">
      <c r="A2057" t="s">
        <v>4384</v>
      </c>
      <c r="B2057" s="1" t="s">
        <v>3998</v>
      </c>
      <c r="C2057" s="11">
        <v>1000000</v>
      </c>
      <c r="D2057" t="s">
        <v>1559</v>
      </c>
      <c r="E2057" t="s">
        <v>3031</v>
      </c>
      <c r="F2057" s="4">
        <v>40546</v>
      </c>
      <c r="G2057" s="11">
        <v>0</v>
      </c>
      <c r="H2057" s="11">
        <v>1000000</v>
      </c>
    </row>
    <row r="2058" spans="1:8" x14ac:dyDescent="0.2">
      <c r="A2058" t="s">
        <v>4299</v>
      </c>
      <c r="B2058" s="1" t="s">
        <v>3599</v>
      </c>
      <c r="C2058" s="11">
        <v>9000000</v>
      </c>
      <c r="D2058" t="s">
        <v>1559</v>
      </c>
      <c r="E2058" t="s">
        <v>888</v>
      </c>
      <c r="F2058" s="4">
        <v>40499</v>
      </c>
      <c r="G2058" s="11">
        <v>2506853</v>
      </c>
      <c r="H2058" s="11">
        <v>6493147</v>
      </c>
    </row>
    <row r="2059" spans="1:8" x14ac:dyDescent="0.2">
      <c r="A2059" t="s">
        <v>4300</v>
      </c>
      <c r="B2059" s="1" t="s">
        <v>4233</v>
      </c>
      <c r="C2059" s="11">
        <v>1500000</v>
      </c>
      <c r="D2059" t="s">
        <v>1559</v>
      </c>
      <c r="E2059" t="s">
        <v>888</v>
      </c>
      <c r="F2059" s="4">
        <v>40851</v>
      </c>
      <c r="G2059" s="11">
        <v>0</v>
      </c>
      <c r="H2059" s="11">
        <v>1500000</v>
      </c>
    </row>
    <row r="2060" spans="1:8" x14ac:dyDescent="0.2">
      <c r="A2060" t="s">
        <v>4599</v>
      </c>
      <c r="B2060" s="1" t="s">
        <v>4600</v>
      </c>
      <c r="C2060" s="11">
        <v>3000000</v>
      </c>
      <c r="D2060" t="s">
        <v>1559</v>
      </c>
      <c r="E2060" t="s">
        <v>888</v>
      </c>
      <c r="F2060" s="4">
        <v>41316</v>
      </c>
      <c r="G2060" s="11">
        <v>0</v>
      </c>
      <c r="H2060" s="11">
        <v>3000000</v>
      </c>
    </row>
    <row r="2061" spans="1:8" x14ac:dyDescent="0.2">
      <c r="A2061" t="s">
        <v>4344</v>
      </c>
      <c r="B2061" s="1" t="s">
        <v>3968</v>
      </c>
      <c r="C2061" s="11">
        <v>2000000</v>
      </c>
      <c r="D2061" t="s">
        <v>1559</v>
      </c>
      <c r="E2061" t="s">
        <v>888</v>
      </c>
      <c r="F2061" s="4">
        <v>40519</v>
      </c>
      <c r="G2061" s="11">
        <v>0</v>
      </c>
      <c r="H2061" s="11">
        <v>2000000</v>
      </c>
    </row>
    <row r="2062" spans="1:8" x14ac:dyDescent="0.2">
      <c r="A2062" t="s">
        <v>4345</v>
      </c>
      <c r="B2062" s="1" t="s">
        <v>3969</v>
      </c>
      <c r="C2062" s="11">
        <v>1000000</v>
      </c>
      <c r="D2062" t="s">
        <v>1559</v>
      </c>
      <c r="E2062" t="s">
        <v>888</v>
      </c>
      <c r="F2062" s="4">
        <v>40519</v>
      </c>
      <c r="G2062" s="11">
        <v>0</v>
      </c>
      <c r="H2062" s="11">
        <v>1000000</v>
      </c>
    </row>
    <row r="2063" spans="1:8" x14ac:dyDescent="0.2">
      <c r="A2063" t="s">
        <v>4346</v>
      </c>
      <c r="B2063" s="1" t="s">
        <v>3970</v>
      </c>
      <c r="C2063" s="11">
        <v>250000</v>
      </c>
      <c r="D2063" t="s">
        <v>1559</v>
      </c>
      <c r="E2063" t="s">
        <v>888</v>
      </c>
      <c r="F2063" s="4">
        <v>40532</v>
      </c>
      <c r="G2063" s="11">
        <v>0</v>
      </c>
      <c r="H2063" s="11">
        <v>250000</v>
      </c>
    </row>
    <row r="2064" spans="1:8" x14ac:dyDescent="0.2">
      <c r="A2064" t="s">
        <v>4347</v>
      </c>
      <c r="B2064" s="1" t="s">
        <v>3971</v>
      </c>
      <c r="C2064" s="11">
        <v>250000</v>
      </c>
      <c r="D2064" t="s">
        <v>1559</v>
      </c>
      <c r="E2064" t="s">
        <v>888</v>
      </c>
      <c r="F2064" s="4">
        <v>40546</v>
      </c>
      <c r="G2064" s="11">
        <v>0</v>
      </c>
      <c r="H2064" s="11">
        <v>250000</v>
      </c>
    </row>
    <row r="2065" spans="1:8" x14ac:dyDescent="0.2">
      <c r="A2065" t="s">
        <v>4348</v>
      </c>
      <c r="B2065" s="1" t="s">
        <v>3972</v>
      </c>
      <c r="C2065" s="11">
        <v>400000</v>
      </c>
      <c r="D2065" t="s">
        <v>1559</v>
      </c>
      <c r="E2065" t="s">
        <v>888</v>
      </c>
      <c r="F2065" s="4">
        <v>40546</v>
      </c>
      <c r="G2065" s="11">
        <v>0</v>
      </c>
      <c r="H2065" s="11">
        <v>400000</v>
      </c>
    </row>
    <row r="2066" spans="1:8" x14ac:dyDescent="0.2">
      <c r="A2066" t="s">
        <v>4385</v>
      </c>
      <c r="B2066" s="1" t="s">
        <v>3976</v>
      </c>
      <c r="C2066" s="11">
        <v>500000</v>
      </c>
      <c r="D2066" t="s">
        <v>1559</v>
      </c>
      <c r="E2066" t="s">
        <v>444</v>
      </c>
      <c r="F2066" s="4">
        <v>40515</v>
      </c>
      <c r="G2066" s="11">
        <v>487500</v>
      </c>
      <c r="H2066" s="11">
        <v>12500</v>
      </c>
    </row>
    <row r="2067" spans="1:8" x14ac:dyDescent="0.2">
      <c r="A2067" t="s">
        <v>4469</v>
      </c>
      <c r="B2067" s="1" t="s">
        <v>3985</v>
      </c>
      <c r="C2067" s="11">
        <v>500000</v>
      </c>
      <c r="D2067" t="s">
        <v>1559</v>
      </c>
      <c r="E2067" t="s">
        <v>444</v>
      </c>
      <c r="F2067" s="4">
        <v>40532</v>
      </c>
      <c r="G2067" s="11">
        <v>0</v>
      </c>
      <c r="H2067" s="11">
        <v>500000</v>
      </c>
    </row>
    <row r="2068" spans="1:8" x14ac:dyDescent="0.2">
      <c r="A2068" t="s">
        <v>4432</v>
      </c>
      <c r="B2068" s="1" t="s">
        <v>3986</v>
      </c>
      <c r="C2068" s="11">
        <v>500000</v>
      </c>
      <c r="D2068" t="s">
        <v>1559</v>
      </c>
      <c r="E2068" t="s">
        <v>3031</v>
      </c>
      <c r="F2068" s="4">
        <v>40532</v>
      </c>
      <c r="G2068" s="11">
        <v>0</v>
      </c>
      <c r="H2068" s="11">
        <v>500000</v>
      </c>
    </row>
    <row r="2069" spans="1:8" x14ac:dyDescent="0.2">
      <c r="A2069" t="s">
        <v>4433</v>
      </c>
      <c r="B2069" s="1" t="s">
        <v>3990</v>
      </c>
      <c r="C2069" s="11">
        <v>250000</v>
      </c>
      <c r="D2069" t="s">
        <v>1559</v>
      </c>
      <c r="E2069" t="s">
        <v>3031</v>
      </c>
      <c r="F2069" s="4">
        <v>40546</v>
      </c>
      <c r="G2069" s="11">
        <v>0</v>
      </c>
      <c r="H2069" s="11">
        <v>250000</v>
      </c>
    </row>
    <row r="2070" spans="1:8" x14ac:dyDescent="0.2">
      <c r="A2070" t="s">
        <v>4434</v>
      </c>
      <c r="B2070" s="1" t="s">
        <v>3994</v>
      </c>
      <c r="C2070" s="11">
        <v>400000</v>
      </c>
      <c r="D2070" t="s">
        <v>1559</v>
      </c>
      <c r="E2070" t="s">
        <v>888</v>
      </c>
      <c r="F2070" s="4">
        <v>40546</v>
      </c>
      <c r="G2070" s="11">
        <v>0</v>
      </c>
      <c r="H2070" s="11">
        <v>400000</v>
      </c>
    </row>
    <row r="2071" spans="1:8" x14ac:dyDescent="0.2">
      <c r="A2071" t="s">
        <v>4446</v>
      </c>
      <c r="B2071" s="1" t="s">
        <v>3995</v>
      </c>
      <c r="C2071" s="11">
        <v>500000</v>
      </c>
      <c r="D2071" t="s">
        <v>1559</v>
      </c>
      <c r="E2071" t="s">
        <v>3031</v>
      </c>
      <c r="F2071" s="4">
        <v>40546</v>
      </c>
      <c r="G2071" s="11">
        <v>0</v>
      </c>
      <c r="H2071" s="11">
        <v>500000</v>
      </c>
    </row>
    <row r="2072" spans="1:8" x14ac:dyDescent="0.2">
      <c r="A2072" t="s">
        <v>2785</v>
      </c>
      <c r="B2072" s="1" t="s">
        <v>1243</v>
      </c>
      <c r="C2072" s="11">
        <v>1500000</v>
      </c>
      <c r="D2072" t="s">
        <v>1559</v>
      </c>
      <c r="E2072" t="s">
        <v>885</v>
      </c>
      <c r="F2072" s="4">
        <v>39168</v>
      </c>
      <c r="G2072" s="11">
        <v>0</v>
      </c>
      <c r="H2072" s="11">
        <v>1500000</v>
      </c>
    </row>
    <row r="2073" spans="1:8" x14ac:dyDescent="0.2">
      <c r="A2073" t="s">
        <v>618</v>
      </c>
      <c r="B2073" s="1" t="s">
        <v>1226</v>
      </c>
      <c r="C2073" s="11">
        <v>0</v>
      </c>
      <c r="D2073" t="s">
        <v>1559</v>
      </c>
      <c r="E2073" t="s">
        <v>888</v>
      </c>
      <c r="F2073" s="4">
        <v>39772</v>
      </c>
      <c r="G2073" s="11">
        <v>0</v>
      </c>
      <c r="H2073" s="11">
        <v>0</v>
      </c>
    </row>
    <row r="2074" spans="1:8" x14ac:dyDescent="0.2">
      <c r="A2074" t="s">
        <v>619</v>
      </c>
      <c r="B2074" s="1" t="s">
        <v>552</v>
      </c>
      <c r="C2074" s="11">
        <v>0</v>
      </c>
      <c r="D2074" t="s">
        <v>1559</v>
      </c>
      <c r="E2074" t="s">
        <v>1710</v>
      </c>
      <c r="F2074" s="4">
        <v>36685</v>
      </c>
      <c r="G2074" s="11">
        <v>0</v>
      </c>
      <c r="H2074" s="11">
        <v>0</v>
      </c>
    </row>
    <row r="2075" spans="1:8" x14ac:dyDescent="0.2">
      <c r="A2075" t="s">
        <v>2786</v>
      </c>
      <c r="B2075" s="1" t="s">
        <v>633</v>
      </c>
      <c r="C2075" s="11">
        <v>0</v>
      </c>
      <c r="D2075" t="s">
        <v>1559</v>
      </c>
      <c r="E2075" t="s">
        <v>888</v>
      </c>
      <c r="F2075" s="4">
        <v>39856</v>
      </c>
      <c r="G2075" s="11">
        <v>0</v>
      </c>
      <c r="H2075" s="11">
        <v>0</v>
      </c>
    </row>
    <row r="2076" spans="1:8" x14ac:dyDescent="0.2">
      <c r="A2076" t="s">
        <v>2787</v>
      </c>
      <c r="B2076" s="1" t="s">
        <v>2078</v>
      </c>
      <c r="C2076" s="11">
        <v>0</v>
      </c>
      <c r="D2076" t="s">
        <v>1559</v>
      </c>
      <c r="E2076" t="s">
        <v>888</v>
      </c>
      <c r="F2076" s="4">
        <v>39890</v>
      </c>
      <c r="G2076" s="11">
        <v>0</v>
      </c>
      <c r="H2076" s="11">
        <v>0</v>
      </c>
    </row>
    <row r="2077" spans="1:8" x14ac:dyDescent="0.2">
      <c r="A2077" t="s">
        <v>2788</v>
      </c>
      <c r="B2077" s="1" t="s">
        <v>3322</v>
      </c>
      <c r="C2077" s="11">
        <v>0</v>
      </c>
      <c r="D2077" t="s">
        <v>1559</v>
      </c>
      <c r="E2077" t="s">
        <v>888</v>
      </c>
      <c r="F2077" s="4">
        <v>39961</v>
      </c>
      <c r="G2077" s="11">
        <v>0</v>
      </c>
      <c r="H2077" s="11">
        <v>0</v>
      </c>
    </row>
    <row r="2078" spans="1:8" x14ac:dyDescent="0.2">
      <c r="A2078" t="s">
        <v>2789</v>
      </c>
      <c r="B2078" s="1" t="s">
        <v>192</v>
      </c>
      <c r="C2078" s="11">
        <v>0</v>
      </c>
      <c r="D2078" t="s">
        <v>1559</v>
      </c>
      <c r="E2078" t="s">
        <v>1710</v>
      </c>
      <c r="F2078" s="4">
        <v>35985</v>
      </c>
      <c r="G2078" s="11">
        <v>0</v>
      </c>
      <c r="H2078" s="11">
        <v>0</v>
      </c>
    </row>
    <row r="2079" spans="1:8" x14ac:dyDescent="0.2">
      <c r="A2079" t="s">
        <v>2790</v>
      </c>
      <c r="B2079" s="1" t="s">
        <v>146</v>
      </c>
      <c r="C2079" s="11">
        <v>0</v>
      </c>
      <c r="D2079" t="s">
        <v>1559</v>
      </c>
      <c r="E2079" t="s">
        <v>888</v>
      </c>
      <c r="F2079" s="4">
        <v>40226</v>
      </c>
      <c r="G2079" s="11">
        <v>0</v>
      </c>
      <c r="H2079" s="11">
        <v>0</v>
      </c>
    </row>
    <row r="2080" spans="1:8" x14ac:dyDescent="0.2">
      <c r="A2080" t="s">
        <v>4601</v>
      </c>
      <c r="B2080" s="1" t="s">
        <v>4602</v>
      </c>
      <c r="C2080" s="11">
        <v>15000000</v>
      </c>
      <c r="D2080" t="s">
        <v>1559</v>
      </c>
      <c r="E2080" t="s">
        <v>444</v>
      </c>
      <c r="F2080" s="4">
        <v>41316</v>
      </c>
      <c r="G2080" s="11">
        <v>0</v>
      </c>
      <c r="H2080" s="11">
        <v>15000000</v>
      </c>
    </row>
    <row r="2081" spans="1:8" x14ac:dyDescent="0.2">
      <c r="A2081" t="s">
        <v>4603</v>
      </c>
      <c r="B2081" s="1" t="s">
        <v>4604</v>
      </c>
      <c r="C2081" s="11">
        <v>4000000</v>
      </c>
      <c r="D2081" t="s">
        <v>1559</v>
      </c>
      <c r="E2081" t="s">
        <v>3031</v>
      </c>
      <c r="F2081" s="4">
        <v>41316</v>
      </c>
      <c r="G2081" s="11">
        <v>0</v>
      </c>
      <c r="H2081" s="11">
        <v>4000000</v>
      </c>
    </row>
    <row r="2082" spans="1:8" x14ac:dyDescent="0.2">
      <c r="A2082" t="s">
        <v>4605</v>
      </c>
      <c r="B2082" s="1" t="s">
        <v>4606</v>
      </c>
      <c r="C2082" s="11">
        <v>3000000</v>
      </c>
      <c r="D2082" t="s">
        <v>1559</v>
      </c>
      <c r="E2082" t="s">
        <v>3031</v>
      </c>
      <c r="F2082" s="4">
        <v>41316</v>
      </c>
      <c r="G2082" s="11">
        <v>0</v>
      </c>
      <c r="H2082" s="11">
        <v>3000000</v>
      </c>
    </row>
    <row r="2083" spans="1:8" x14ac:dyDescent="0.2">
      <c r="A2083" t="s">
        <v>4607</v>
      </c>
      <c r="B2083" s="1" t="s">
        <v>4608</v>
      </c>
      <c r="C2083" s="11">
        <v>2500000</v>
      </c>
      <c r="D2083" t="s">
        <v>1559</v>
      </c>
      <c r="E2083" t="s">
        <v>888</v>
      </c>
      <c r="F2083" s="4">
        <v>41316</v>
      </c>
      <c r="G2083" s="11">
        <v>0</v>
      </c>
      <c r="H2083" s="11">
        <v>2500000</v>
      </c>
    </row>
    <row r="2084" spans="1:8" x14ac:dyDescent="0.2">
      <c r="A2084" t="s">
        <v>4609</v>
      </c>
      <c r="B2084" s="1" t="s">
        <v>4610</v>
      </c>
      <c r="C2084" s="11">
        <v>1000000</v>
      </c>
      <c r="D2084" t="s">
        <v>1559</v>
      </c>
      <c r="E2084" t="s">
        <v>3031</v>
      </c>
      <c r="F2084" s="4">
        <v>41316</v>
      </c>
      <c r="G2084" s="11">
        <v>0</v>
      </c>
      <c r="H2084" s="11">
        <v>1000000</v>
      </c>
    </row>
    <row r="2085" spans="1:8" x14ac:dyDescent="0.2">
      <c r="A2085" t="s">
        <v>4611</v>
      </c>
      <c r="B2085" s="1" t="s">
        <v>4612</v>
      </c>
      <c r="C2085" s="11">
        <v>500000</v>
      </c>
      <c r="D2085" t="s">
        <v>1559</v>
      </c>
      <c r="E2085" t="s">
        <v>3031</v>
      </c>
      <c r="F2085" s="4">
        <v>41316</v>
      </c>
      <c r="G2085" s="11">
        <v>0</v>
      </c>
      <c r="H2085" s="11">
        <v>500000</v>
      </c>
    </row>
    <row r="2086" spans="1:8" x14ac:dyDescent="0.2">
      <c r="A2086" t="s">
        <v>4613</v>
      </c>
      <c r="B2086" s="1" t="s">
        <v>4614</v>
      </c>
      <c r="C2086" s="11">
        <v>3000000</v>
      </c>
      <c r="D2086" t="s">
        <v>1559</v>
      </c>
      <c r="E2086" t="s">
        <v>885</v>
      </c>
      <c r="F2086" s="4">
        <v>41316</v>
      </c>
      <c r="G2086" s="11">
        <v>0</v>
      </c>
      <c r="H2086" s="11">
        <v>3000000</v>
      </c>
    </row>
    <row r="2087" spans="1:8" x14ac:dyDescent="0.2">
      <c r="A2087" t="s">
        <v>4615</v>
      </c>
      <c r="B2087" s="1" t="s">
        <v>4616</v>
      </c>
      <c r="C2087" s="11">
        <v>1500000</v>
      </c>
      <c r="D2087" t="s">
        <v>1559</v>
      </c>
      <c r="E2087" t="s">
        <v>3031</v>
      </c>
      <c r="F2087" s="4">
        <v>41316</v>
      </c>
      <c r="G2087" s="11">
        <v>0</v>
      </c>
      <c r="H2087" s="11">
        <v>1500000</v>
      </c>
    </row>
    <row r="2088" spans="1:8" x14ac:dyDescent="0.2">
      <c r="A2088" t="s">
        <v>3360</v>
      </c>
      <c r="B2088" s="1" t="s">
        <v>239</v>
      </c>
      <c r="C2088" s="11">
        <v>0</v>
      </c>
      <c r="D2088" t="s">
        <v>1559</v>
      </c>
      <c r="E2088" t="s">
        <v>885</v>
      </c>
      <c r="F2088" s="4">
        <v>38244</v>
      </c>
      <c r="G2088" s="11">
        <v>0</v>
      </c>
      <c r="H2088" s="11">
        <v>0</v>
      </c>
    </row>
    <row r="2089" spans="1:8" x14ac:dyDescent="0.2">
      <c r="A2089" t="s">
        <v>4386</v>
      </c>
      <c r="B2089" s="1" t="s">
        <v>2084</v>
      </c>
      <c r="C2089" s="11">
        <v>0</v>
      </c>
      <c r="D2089" t="s">
        <v>1559</v>
      </c>
      <c r="E2089" t="s">
        <v>888</v>
      </c>
      <c r="F2089" s="4">
        <v>39890</v>
      </c>
      <c r="G2089" s="11">
        <v>0</v>
      </c>
      <c r="H2089" s="11">
        <v>0</v>
      </c>
    </row>
    <row r="2090" spans="1:8" x14ac:dyDescent="0.2">
      <c r="A2090" t="s">
        <v>3361</v>
      </c>
      <c r="B2090" s="1" t="s">
        <v>5</v>
      </c>
      <c r="C2090" s="11">
        <v>0</v>
      </c>
      <c r="D2090" t="s">
        <v>1559</v>
      </c>
      <c r="E2090" t="s">
        <v>2107</v>
      </c>
      <c r="F2090" s="4">
        <v>38791</v>
      </c>
      <c r="G2090" s="11">
        <v>0</v>
      </c>
      <c r="H2090" s="11">
        <v>0</v>
      </c>
    </row>
    <row r="2091" spans="1:8" x14ac:dyDescent="0.2">
      <c r="A2091" t="s">
        <v>3362</v>
      </c>
      <c r="B2091" s="1" t="s">
        <v>1505</v>
      </c>
      <c r="C2091" s="11">
        <v>0</v>
      </c>
      <c r="D2091" t="s">
        <v>1559</v>
      </c>
      <c r="E2091" t="s">
        <v>885</v>
      </c>
      <c r="F2091" s="4">
        <v>38912</v>
      </c>
      <c r="G2091" s="11">
        <v>0</v>
      </c>
      <c r="H2091" s="11">
        <v>0</v>
      </c>
    </row>
    <row r="2092" spans="1:8" x14ac:dyDescent="0.2">
      <c r="A2092" t="s">
        <v>3363</v>
      </c>
      <c r="B2092" s="1" t="s">
        <v>1549</v>
      </c>
      <c r="C2092" s="11">
        <v>0</v>
      </c>
      <c r="D2092" t="s">
        <v>1559</v>
      </c>
      <c r="E2092" t="s">
        <v>516</v>
      </c>
      <c r="F2092" s="4">
        <v>38856</v>
      </c>
      <c r="G2092" s="11">
        <v>0</v>
      </c>
      <c r="H2092" s="11">
        <v>0</v>
      </c>
    </row>
    <row r="2093" spans="1:8" x14ac:dyDescent="0.2">
      <c r="A2093" t="s">
        <v>3364</v>
      </c>
      <c r="B2093" s="1" t="s">
        <v>1194</v>
      </c>
      <c r="C2093" s="11">
        <v>0</v>
      </c>
      <c r="D2093" t="s">
        <v>1559</v>
      </c>
      <c r="E2093" t="s">
        <v>888</v>
      </c>
      <c r="F2093" s="4">
        <v>39736</v>
      </c>
      <c r="G2093" s="11">
        <v>0</v>
      </c>
      <c r="H2093" s="11">
        <v>0</v>
      </c>
    </row>
    <row r="2094" spans="1:8" x14ac:dyDescent="0.2">
      <c r="A2094" t="s">
        <v>3365</v>
      </c>
      <c r="B2094" s="1" t="s">
        <v>1116</v>
      </c>
      <c r="C2094" s="11">
        <v>0</v>
      </c>
      <c r="D2094" t="s">
        <v>1559</v>
      </c>
      <c r="E2094" t="s">
        <v>888</v>
      </c>
      <c r="F2094" s="4">
        <v>39945</v>
      </c>
      <c r="G2094" s="11">
        <v>0</v>
      </c>
      <c r="H2094" s="11">
        <v>0</v>
      </c>
    </row>
    <row r="2095" spans="1:8" x14ac:dyDescent="0.2">
      <c r="A2095" t="s">
        <v>4387</v>
      </c>
      <c r="B2095" s="1" t="s">
        <v>3941</v>
      </c>
      <c r="C2095" s="11">
        <v>0</v>
      </c>
      <c r="D2095" t="s">
        <v>1559</v>
      </c>
      <c r="E2095" t="s">
        <v>888</v>
      </c>
      <c r="F2095" s="4">
        <v>40511</v>
      </c>
      <c r="G2095" s="11">
        <v>0</v>
      </c>
      <c r="H2095" s="11">
        <v>0</v>
      </c>
    </row>
    <row r="2096" spans="1:8" x14ac:dyDescent="0.2">
      <c r="A2096" t="s">
        <v>4234</v>
      </c>
      <c r="B2096" s="1" t="s">
        <v>655</v>
      </c>
      <c r="C2096" s="11">
        <v>0</v>
      </c>
      <c r="D2096" t="s">
        <v>1559</v>
      </c>
      <c r="E2096" t="s">
        <v>444</v>
      </c>
      <c r="F2096" s="4">
        <v>38974</v>
      </c>
      <c r="G2096" s="11">
        <v>0</v>
      </c>
      <c r="H2096" s="11">
        <v>0</v>
      </c>
    </row>
    <row r="2097" spans="1:8" x14ac:dyDescent="0.2">
      <c r="A2097" t="s">
        <v>4235</v>
      </c>
      <c r="B2097" s="1" t="s">
        <v>2644</v>
      </c>
      <c r="C2097" s="11">
        <v>0</v>
      </c>
      <c r="D2097" t="s">
        <v>1559</v>
      </c>
      <c r="E2097" t="s">
        <v>516</v>
      </c>
      <c r="F2097" s="4">
        <v>37722</v>
      </c>
      <c r="G2097" s="11">
        <v>0</v>
      </c>
      <c r="H2097" s="11">
        <v>0</v>
      </c>
    </row>
    <row r="2098" spans="1:8" x14ac:dyDescent="0.2">
      <c r="A2098" t="s">
        <v>4388</v>
      </c>
      <c r="B2098" s="1" t="s">
        <v>3336</v>
      </c>
      <c r="C2098" s="11">
        <v>0</v>
      </c>
      <c r="D2098" t="s">
        <v>1559</v>
      </c>
      <c r="E2098" t="s">
        <v>888</v>
      </c>
      <c r="F2098" s="4">
        <v>40436</v>
      </c>
      <c r="G2098" s="11">
        <v>0</v>
      </c>
      <c r="H2098" s="11">
        <v>0</v>
      </c>
    </row>
    <row r="2099" spans="1:8" x14ac:dyDescent="0.2">
      <c r="A2099" t="s">
        <v>4389</v>
      </c>
      <c r="B2099" s="1" t="s">
        <v>3936</v>
      </c>
      <c r="C2099" s="11">
        <v>0</v>
      </c>
      <c r="D2099" t="s">
        <v>1559</v>
      </c>
      <c r="E2099" t="s">
        <v>888</v>
      </c>
      <c r="F2099" s="4">
        <v>40532</v>
      </c>
      <c r="G2099" s="11">
        <v>0</v>
      </c>
      <c r="H2099" s="11">
        <v>0</v>
      </c>
    </row>
    <row r="2100" spans="1:8" x14ac:dyDescent="0.2">
      <c r="A2100" t="s">
        <v>4390</v>
      </c>
      <c r="B2100" s="1" t="s">
        <v>1396</v>
      </c>
      <c r="C2100" s="11">
        <v>0</v>
      </c>
      <c r="D2100" t="s">
        <v>1559</v>
      </c>
      <c r="E2100" t="s">
        <v>885</v>
      </c>
      <c r="F2100" s="4">
        <v>39414</v>
      </c>
      <c r="G2100" s="11">
        <v>0</v>
      </c>
      <c r="H2100" s="11">
        <v>0</v>
      </c>
    </row>
    <row r="2101" spans="1:8" x14ac:dyDescent="0.2">
      <c r="A2101" t="s">
        <v>4391</v>
      </c>
      <c r="B2101" s="1" t="s">
        <v>2058</v>
      </c>
      <c r="C2101" s="11">
        <v>0</v>
      </c>
      <c r="D2101" t="s">
        <v>1559</v>
      </c>
      <c r="E2101" t="s">
        <v>444</v>
      </c>
      <c r="F2101" s="4">
        <v>39519</v>
      </c>
      <c r="G2101" s="11">
        <v>0</v>
      </c>
      <c r="H2101" s="11">
        <v>0</v>
      </c>
    </row>
    <row r="2102" spans="1:8" x14ac:dyDescent="0.2">
      <c r="A2102" t="s">
        <v>4392</v>
      </c>
      <c r="B2102" s="1" t="s">
        <v>2089</v>
      </c>
      <c r="C2102" s="11">
        <v>0</v>
      </c>
      <c r="D2102" t="s">
        <v>1559</v>
      </c>
      <c r="E2102" t="s">
        <v>888</v>
      </c>
      <c r="F2102" s="4">
        <v>39890</v>
      </c>
      <c r="G2102" s="11">
        <v>0</v>
      </c>
      <c r="H2102" s="11">
        <v>0</v>
      </c>
    </row>
    <row r="2103" spans="1:8" x14ac:dyDescent="0.2">
      <c r="A2103" t="s">
        <v>4393</v>
      </c>
      <c r="B2103" s="1" t="s">
        <v>2100</v>
      </c>
      <c r="C2103" s="11">
        <v>0</v>
      </c>
      <c r="D2103" t="s">
        <v>1559</v>
      </c>
      <c r="E2103" t="s">
        <v>888</v>
      </c>
      <c r="F2103" s="4">
        <v>39897</v>
      </c>
      <c r="G2103" s="11">
        <v>0</v>
      </c>
      <c r="H2103" s="11">
        <v>0</v>
      </c>
    </row>
    <row r="2104" spans="1:8" x14ac:dyDescent="0.2">
      <c r="A2104" t="s">
        <v>4394</v>
      </c>
      <c r="B2104" s="1" t="s">
        <v>3981</v>
      </c>
      <c r="C2104" s="11">
        <v>0</v>
      </c>
      <c r="D2104" t="s">
        <v>1559</v>
      </c>
      <c r="E2104" t="s">
        <v>3031</v>
      </c>
      <c r="F2104" s="4">
        <v>40532</v>
      </c>
      <c r="G2104" s="11">
        <v>0</v>
      </c>
      <c r="H2104" s="11">
        <v>0</v>
      </c>
    </row>
    <row r="2105" spans="1:8" x14ac:dyDescent="0.2">
      <c r="A2105" t="s">
        <v>4395</v>
      </c>
      <c r="B2105" s="1" t="s">
        <v>3988</v>
      </c>
      <c r="C2105" s="11">
        <v>0</v>
      </c>
      <c r="D2105" t="s">
        <v>1559</v>
      </c>
      <c r="E2105" t="s">
        <v>3031</v>
      </c>
      <c r="F2105" s="4">
        <v>40546</v>
      </c>
      <c r="G2105" s="11">
        <v>0</v>
      </c>
      <c r="H2105" s="11">
        <v>0</v>
      </c>
    </row>
    <row r="2106" spans="1:8" x14ac:dyDescent="0.2">
      <c r="A2106" t="s">
        <v>4470</v>
      </c>
      <c r="B2106" s="1" t="s">
        <v>3975</v>
      </c>
      <c r="C2106" s="11">
        <v>0</v>
      </c>
      <c r="D2106" t="s">
        <v>1559</v>
      </c>
      <c r="E2106" t="s">
        <v>3031</v>
      </c>
      <c r="F2106" s="4">
        <v>40515</v>
      </c>
      <c r="G2106" s="11">
        <v>0</v>
      </c>
      <c r="H2106" s="11">
        <v>0</v>
      </c>
    </row>
    <row r="2107" spans="1:8" x14ac:dyDescent="0.2">
      <c r="A2107" t="s">
        <v>1956</v>
      </c>
      <c r="B2107" s="1" t="s">
        <v>1957</v>
      </c>
      <c r="C2107" s="11">
        <v>500000</v>
      </c>
      <c r="D2107" t="s">
        <v>1958</v>
      </c>
      <c r="E2107" t="s">
        <v>969</v>
      </c>
      <c r="F2107" s="4">
        <v>36629</v>
      </c>
      <c r="G2107" s="11">
        <v>500000</v>
      </c>
      <c r="H2107" s="11">
        <v>0</v>
      </c>
    </row>
    <row r="2108" spans="1:8" x14ac:dyDescent="0.2">
      <c r="A2108" t="s">
        <v>815</v>
      </c>
      <c r="B2108" s="1" t="s">
        <v>816</v>
      </c>
      <c r="C2108" s="11">
        <v>15000000</v>
      </c>
      <c r="D2108" t="s">
        <v>1958</v>
      </c>
      <c r="E2108" t="s">
        <v>969</v>
      </c>
      <c r="F2108" s="4">
        <v>37167</v>
      </c>
      <c r="G2108" s="11">
        <v>15000000</v>
      </c>
      <c r="H2108" s="11">
        <v>0</v>
      </c>
    </row>
    <row r="2109" spans="1:8" x14ac:dyDescent="0.2">
      <c r="A2109" t="s">
        <v>2281</v>
      </c>
      <c r="B2109" s="1" t="s">
        <v>2282</v>
      </c>
      <c r="C2109" s="11">
        <v>2000000</v>
      </c>
      <c r="D2109" t="s">
        <v>1958</v>
      </c>
      <c r="E2109" t="s">
        <v>969</v>
      </c>
      <c r="F2109" s="4">
        <v>37532</v>
      </c>
      <c r="G2109" s="11">
        <v>2000000</v>
      </c>
      <c r="H2109" s="11">
        <v>0</v>
      </c>
    </row>
    <row r="2110" spans="1:8" x14ac:dyDescent="0.2">
      <c r="A2110" t="s">
        <v>2663</v>
      </c>
      <c r="B2110" s="1" t="s">
        <v>417</v>
      </c>
      <c r="C2110" s="11">
        <v>500000</v>
      </c>
      <c r="D2110" t="s">
        <v>1958</v>
      </c>
      <c r="E2110" t="s">
        <v>516</v>
      </c>
      <c r="F2110" s="4">
        <v>38747</v>
      </c>
      <c r="G2110" s="11">
        <v>500000</v>
      </c>
      <c r="H2110" s="11">
        <v>0</v>
      </c>
    </row>
    <row r="2111" spans="1:8" x14ac:dyDescent="0.2">
      <c r="A2111" t="s">
        <v>1121</v>
      </c>
      <c r="B2111" s="1" t="s">
        <v>1168</v>
      </c>
      <c r="C2111" s="11">
        <v>1000000</v>
      </c>
      <c r="D2111" t="s">
        <v>1958</v>
      </c>
      <c r="E2111" t="s">
        <v>444</v>
      </c>
      <c r="F2111" s="4">
        <v>39702</v>
      </c>
      <c r="G2111" s="11">
        <v>0</v>
      </c>
      <c r="H2111" s="11">
        <v>1000000</v>
      </c>
    </row>
    <row r="2112" spans="1:8" x14ac:dyDescent="0.2">
      <c r="A2112" t="s">
        <v>2314</v>
      </c>
      <c r="B2112" s="1" t="s">
        <v>1821</v>
      </c>
      <c r="C2112" s="11">
        <v>300000</v>
      </c>
      <c r="D2112" t="s">
        <v>2315</v>
      </c>
      <c r="E2112" t="s">
        <v>2107</v>
      </c>
      <c r="F2112" s="4">
        <v>37582</v>
      </c>
      <c r="G2112" s="11">
        <v>300000</v>
      </c>
      <c r="H2112" s="11">
        <v>0</v>
      </c>
    </row>
    <row r="2113" spans="1:8" x14ac:dyDescent="0.2">
      <c r="A2113" t="s">
        <v>11</v>
      </c>
      <c r="B2113" s="1" t="s">
        <v>12</v>
      </c>
      <c r="C2113" s="11">
        <v>100000</v>
      </c>
      <c r="D2113" t="s">
        <v>2315</v>
      </c>
      <c r="E2113" t="s">
        <v>2107</v>
      </c>
      <c r="F2113" s="4">
        <v>37582</v>
      </c>
      <c r="G2113" s="11">
        <v>100000</v>
      </c>
      <c r="H2113" s="11">
        <v>0</v>
      </c>
    </row>
    <row r="2114" spans="1:8" x14ac:dyDescent="0.2">
      <c r="A2114" t="s">
        <v>4236</v>
      </c>
      <c r="B2114" s="1" t="s">
        <v>4002</v>
      </c>
      <c r="C2114" s="11">
        <v>1000000</v>
      </c>
      <c r="D2114" t="s">
        <v>2315</v>
      </c>
      <c r="E2114" t="s">
        <v>3031</v>
      </c>
      <c r="F2114" s="4">
        <v>40546</v>
      </c>
      <c r="G2114" s="11">
        <v>556535</v>
      </c>
      <c r="H2114" s="11">
        <v>443465</v>
      </c>
    </row>
    <row r="2115" spans="1:8" x14ac:dyDescent="0.2">
      <c r="A2115" t="s">
        <v>2234</v>
      </c>
      <c r="B2115" s="1" t="s">
        <v>2235</v>
      </c>
      <c r="C2115" s="11">
        <v>500000</v>
      </c>
      <c r="D2115" t="s">
        <v>2236</v>
      </c>
      <c r="E2115" t="s">
        <v>969</v>
      </c>
      <c r="F2115" s="4">
        <v>36872</v>
      </c>
      <c r="G2115" s="11">
        <v>500000</v>
      </c>
      <c r="H2115" s="11">
        <v>0</v>
      </c>
    </row>
    <row r="2116" spans="1:8" x14ac:dyDescent="0.2">
      <c r="A2116" t="s">
        <v>2361</v>
      </c>
      <c r="B2116" s="1" t="s">
        <v>446</v>
      </c>
      <c r="C2116" s="11">
        <v>5000000</v>
      </c>
      <c r="D2116" t="s">
        <v>2236</v>
      </c>
      <c r="E2116" t="s">
        <v>516</v>
      </c>
      <c r="F2116" s="4">
        <v>37600</v>
      </c>
      <c r="G2116" s="11">
        <v>5000000</v>
      </c>
      <c r="H2116" s="11">
        <v>0</v>
      </c>
    </row>
    <row r="2117" spans="1:8" x14ac:dyDescent="0.2">
      <c r="A2117" t="s">
        <v>2465</v>
      </c>
      <c r="B2117" s="1" t="s">
        <v>2466</v>
      </c>
      <c r="C2117" s="11">
        <v>600000</v>
      </c>
      <c r="D2117" t="s">
        <v>2236</v>
      </c>
      <c r="E2117" t="s">
        <v>885</v>
      </c>
      <c r="F2117" s="4">
        <v>38310</v>
      </c>
      <c r="G2117" s="11">
        <v>600000</v>
      </c>
      <c r="H2117" s="11">
        <v>0</v>
      </c>
    </row>
    <row r="2118" spans="1:8" x14ac:dyDescent="0.2">
      <c r="A2118" t="s">
        <v>13</v>
      </c>
      <c r="B2118" s="1" t="s">
        <v>1507</v>
      </c>
      <c r="C2118" s="11">
        <v>600000</v>
      </c>
      <c r="D2118" t="s">
        <v>2236</v>
      </c>
      <c r="E2118" t="s">
        <v>885</v>
      </c>
      <c r="F2118" s="4">
        <v>38310</v>
      </c>
      <c r="G2118" s="11">
        <v>600000</v>
      </c>
      <c r="H2118" s="11">
        <v>0</v>
      </c>
    </row>
    <row r="2119" spans="1:8" x14ac:dyDescent="0.2">
      <c r="A2119" t="s">
        <v>991</v>
      </c>
      <c r="B2119" s="1" t="s">
        <v>1136</v>
      </c>
      <c r="C2119" s="11">
        <v>1000000</v>
      </c>
      <c r="D2119" t="s">
        <v>2236</v>
      </c>
      <c r="E2119" t="s">
        <v>888</v>
      </c>
      <c r="F2119" s="4">
        <v>39685</v>
      </c>
      <c r="G2119" s="11">
        <v>1000000</v>
      </c>
      <c r="H2119" s="11">
        <v>0</v>
      </c>
    </row>
    <row r="2120" spans="1:8" x14ac:dyDescent="0.2">
      <c r="A2120" t="s">
        <v>2795</v>
      </c>
      <c r="B2120" s="1" t="s">
        <v>1122</v>
      </c>
      <c r="C2120" s="11">
        <v>3000000</v>
      </c>
      <c r="D2120" t="s">
        <v>2236</v>
      </c>
      <c r="E2120" t="s">
        <v>444</v>
      </c>
      <c r="F2120" s="4">
        <v>39961</v>
      </c>
      <c r="G2120" s="11">
        <v>2925000</v>
      </c>
      <c r="H2120" s="11">
        <v>75000</v>
      </c>
    </row>
    <row r="2121" spans="1:8" x14ac:dyDescent="0.2">
      <c r="A2121" t="s">
        <v>4003</v>
      </c>
      <c r="B2121" s="1" t="s">
        <v>1135</v>
      </c>
      <c r="C2121" s="11">
        <v>500000</v>
      </c>
      <c r="D2121" t="s">
        <v>2236</v>
      </c>
      <c r="E2121" t="s">
        <v>885</v>
      </c>
      <c r="F2121" s="4">
        <v>39685</v>
      </c>
      <c r="G2121" s="11">
        <v>0</v>
      </c>
      <c r="H2121" s="11">
        <v>500000</v>
      </c>
    </row>
    <row r="2122" spans="1:8" x14ac:dyDescent="0.2">
      <c r="A2122" t="s">
        <v>4326</v>
      </c>
      <c r="B2122" s="1" t="s">
        <v>4004</v>
      </c>
      <c r="C2122" s="11">
        <v>250000</v>
      </c>
      <c r="D2122" t="s">
        <v>2236</v>
      </c>
      <c r="E2122" t="s">
        <v>444</v>
      </c>
      <c r="F2122" s="4">
        <v>40519</v>
      </c>
      <c r="G2122" s="11">
        <v>0</v>
      </c>
      <c r="H2122" s="11">
        <v>250000</v>
      </c>
    </row>
    <row r="2123" spans="1:8" x14ac:dyDescent="0.2">
      <c r="A2123" t="s">
        <v>4327</v>
      </c>
      <c r="B2123" s="1" t="s">
        <v>4005</v>
      </c>
      <c r="C2123" s="11">
        <v>500000</v>
      </c>
      <c r="D2123" t="s">
        <v>2236</v>
      </c>
      <c r="E2123" t="s">
        <v>444</v>
      </c>
      <c r="F2123" s="4">
        <v>40546</v>
      </c>
      <c r="G2123" s="11">
        <v>0</v>
      </c>
      <c r="H2123" s="11">
        <v>500000</v>
      </c>
    </row>
    <row r="2124" spans="1:8" x14ac:dyDescent="0.2">
      <c r="A2124" t="s">
        <v>4617</v>
      </c>
      <c r="B2124" s="1" t="s">
        <v>4618</v>
      </c>
      <c r="C2124" s="11">
        <v>750000</v>
      </c>
      <c r="D2124" t="s">
        <v>2236</v>
      </c>
      <c r="E2124" t="s">
        <v>444</v>
      </c>
      <c r="F2124" s="4">
        <v>41316</v>
      </c>
      <c r="G2124" s="11">
        <v>0</v>
      </c>
      <c r="H2124" s="11">
        <v>750000</v>
      </c>
    </row>
    <row r="2125" spans="1:8" x14ac:dyDescent="0.2">
      <c r="A2125" t="s">
        <v>4396</v>
      </c>
      <c r="B2125" s="1" t="s">
        <v>4006</v>
      </c>
      <c r="C2125" s="11">
        <v>500000</v>
      </c>
      <c r="D2125" t="s">
        <v>2236</v>
      </c>
      <c r="E2125" t="s">
        <v>3031</v>
      </c>
      <c r="F2125" s="4">
        <v>40546</v>
      </c>
      <c r="G2125" s="11">
        <v>0</v>
      </c>
      <c r="H2125" s="11">
        <v>500000</v>
      </c>
    </row>
    <row r="2126" spans="1:8" x14ac:dyDescent="0.2">
      <c r="A2126" t="s">
        <v>4435</v>
      </c>
      <c r="B2126" s="1" t="s">
        <v>4007</v>
      </c>
      <c r="C2126" s="11">
        <v>250000</v>
      </c>
      <c r="D2126" t="s">
        <v>2236</v>
      </c>
      <c r="E2126" t="s">
        <v>888</v>
      </c>
      <c r="F2126" s="4">
        <v>40546</v>
      </c>
      <c r="G2126" s="11">
        <v>0</v>
      </c>
      <c r="H2126" s="11">
        <v>250000</v>
      </c>
    </row>
    <row r="2127" spans="1:8" x14ac:dyDescent="0.2">
      <c r="A2127" t="s">
        <v>4436</v>
      </c>
      <c r="B2127" s="1" t="s">
        <v>4437</v>
      </c>
      <c r="C2127" s="11">
        <v>250000</v>
      </c>
      <c r="D2127" t="s">
        <v>2236</v>
      </c>
      <c r="E2127" t="s">
        <v>444</v>
      </c>
      <c r="F2127" s="4">
        <v>40546</v>
      </c>
      <c r="G2127" s="11">
        <v>0</v>
      </c>
      <c r="H2127" s="11">
        <v>250000</v>
      </c>
    </row>
    <row r="2128" spans="1:8" x14ac:dyDescent="0.2">
      <c r="A2128" t="s">
        <v>4447</v>
      </c>
      <c r="B2128" s="1" t="s">
        <v>4008</v>
      </c>
      <c r="C2128" s="11">
        <v>500000</v>
      </c>
      <c r="D2128" t="s">
        <v>2236</v>
      </c>
      <c r="E2128" t="s">
        <v>3031</v>
      </c>
      <c r="F2128" s="4">
        <v>40546</v>
      </c>
      <c r="G2128" s="11">
        <v>0</v>
      </c>
      <c r="H2128" s="11">
        <v>500000</v>
      </c>
    </row>
    <row r="2129" spans="1:8" x14ac:dyDescent="0.2">
      <c r="A2129" t="s">
        <v>1935</v>
      </c>
      <c r="B2129" s="1" t="s">
        <v>1156</v>
      </c>
      <c r="C2129" s="11">
        <v>4000000</v>
      </c>
      <c r="D2129" t="s">
        <v>1157</v>
      </c>
      <c r="E2129" t="s">
        <v>888</v>
      </c>
      <c r="F2129" s="4">
        <v>39688</v>
      </c>
      <c r="G2129" s="11">
        <v>4000000</v>
      </c>
      <c r="H2129" s="11">
        <v>0</v>
      </c>
    </row>
    <row r="2130" spans="1:8" x14ac:dyDescent="0.2">
      <c r="A2130" t="s">
        <v>1936</v>
      </c>
      <c r="B2130" s="1" t="s">
        <v>635</v>
      </c>
      <c r="C2130" s="11">
        <v>500000</v>
      </c>
      <c r="D2130" t="s">
        <v>1157</v>
      </c>
      <c r="E2130" t="s">
        <v>888</v>
      </c>
      <c r="F2130" s="4">
        <v>39699</v>
      </c>
      <c r="G2130" s="11">
        <v>387500</v>
      </c>
      <c r="H2130" s="11">
        <v>112500</v>
      </c>
    </row>
    <row r="2131" spans="1:8" x14ac:dyDescent="0.2">
      <c r="A2131" t="s">
        <v>1937</v>
      </c>
      <c r="B2131" s="1" t="s">
        <v>636</v>
      </c>
      <c r="C2131" s="11">
        <v>0</v>
      </c>
      <c r="D2131" t="s">
        <v>1157</v>
      </c>
      <c r="E2131" t="s">
        <v>888</v>
      </c>
      <c r="F2131" s="4">
        <v>39856</v>
      </c>
      <c r="G2131" s="11">
        <v>0</v>
      </c>
      <c r="H2131" s="11">
        <v>0</v>
      </c>
    </row>
    <row r="2132" spans="1:8" x14ac:dyDescent="0.2">
      <c r="A2132" t="s">
        <v>4448</v>
      </c>
      <c r="B2132" s="1" t="s">
        <v>4009</v>
      </c>
      <c r="C2132" s="11">
        <v>1250000</v>
      </c>
      <c r="D2132" t="s">
        <v>1157</v>
      </c>
      <c r="E2132" t="s">
        <v>3031</v>
      </c>
      <c r="F2132" s="4">
        <v>40546</v>
      </c>
      <c r="G2132" s="11">
        <v>1045598</v>
      </c>
      <c r="H2132" s="11">
        <v>204402</v>
      </c>
    </row>
    <row r="2133" spans="1:8" x14ac:dyDescent="0.2">
      <c r="A2133" t="s">
        <v>1690</v>
      </c>
      <c r="B2133" s="1" t="s">
        <v>1691</v>
      </c>
      <c r="C2133" s="11">
        <v>2682000</v>
      </c>
      <c r="D2133" t="s">
        <v>1692</v>
      </c>
      <c r="E2133" t="s">
        <v>290</v>
      </c>
      <c r="F2133" s="4">
        <v>34151</v>
      </c>
      <c r="G2133" s="11">
        <v>2682000.0000000005</v>
      </c>
      <c r="H2133" s="11">
        <v>0</v>
      </c>
    </row>
    <row r="2134" spans="1:8" x14ac:dyDescent="0.2">
      <c r="A2134" t="s">
        <v>14</v>
      </c>
      <c r="B2134" s="1" t="s">
        <v>15</v>
      </c>
      <c r="C2134" s="11">
        <v>2000000</v>
      </c>
      <c r="D2134" t="s">
        <v>1692</v>
      </c>
      <c r="E2134" t="s">
        <v>516</v>
      </c>
      <c r="F2134" s="4">
        <v>37722</v>
      </c>
      <c r="G2134" s="11">
        <v>2000000</v>
      </c>
      <c r="H2134" s="11">
        <v>0</v>
      </c>
    </row>
    <row r="2135" spans="1:8" x14ac:dyDescent="0.2">
      <c r="A2135" t="s">
        <v>16</v>
      </c>
      <c r="B2135" s="1" t="s">
        <v>17</v>
      </c>
      <c r="C2135" s="11">
        <v>1000000</v>
      </c>
      <c r="D2135" t="s">
        <v>1692</v>
      </c>
      <c r="E2135" t="s">
        <v>885</v>
      </c>
      <c r="F2135" s="4">
        <v>38791</v>
      </c>
      <c r="G2135" s="11">
        <v>1000000</v>
      </c>
      <c r="H2135" s="11">
        <v>0</v>
      </c>
    </row>
    <row r="2136" spans="1:8" x14ac:dyDescent="0.2">
      <c r="A2136" t="s">
        <v>1494</v>
      </c>
      <c r="B2136" s="1" t="s">
        <v>624</v>
      </c>
      <c r="C2136" s="11">
        <v>1000000</v>
      </c>
      <c r="D2136" t="s">
        <v>1692</v>
      </c>
      <c r="E2136" t="s">
        <v>444</v>
      </c>
      <c r="F2136" s="4">
        <v>38912</v>
      </c>
      <c r="G2136" s="11">
        <v>1000000</v>
      </c>
      <c r="H2136" s="11">
        <v>0</v>
      </c>
    </row>
    <row r="2137" spans="1:8" x14ac:dyDescent="0.2">
      <c r="A2137" t="s">
        <v>2796</v>
      </c>
      <c r="B2137" s="1" t="s">
        <v>1186</v>
      </c>
      <c r="C2137" s="11">
        <v>500000</v>
      </c>
      <c r="D2137" t="s">
        <v>1692</v>
      </c>
      <c r="E2137" t="s">
        <v>444</v>
      </c>
      <c r="F2137" s="4">
        <v>39717</v>
      </c>
      <c r="G2137" s="11">
        <v>500000</v>
      </c>
      <c r="H2137" s="11">
        <v>0</v>
      </c>
    </row>
    <row r="2138" spans="1:8" x14ac:dyDescent="0.2">
      <c r="A2138" t="s">
        <v>3603</v>
      </c>
      <c r="B2138" s="1" t="s">
        <v>3604</v>
      </c>
      <c r="C2138" s="11">
        <v>1250000</v>
      </c>
      <c r="D2138" t="s">
        <v>1692</v>
      </c>
      <c r="E2138" t="s">
        <v>3031</v>
      </c>
      <c r="F2138" s="4">
        <v>40504</v>
      </c>
      <c r="G2138" s="11">
        <v>277044</v>
      </c>
      <c r="H2138" s="11">
        <v>972956</v>
      </c>
    </row>
    <row r="2139" spans="1:8" x14ac:dyDescent="0.2">
      <c r="A2139" t="s">
        <v>3366</v>
      </c>
      <c r="B2139" s="1" t="s">
        <v>646</v>
      </c>
      <c r="C2139" s="11">
        <v>10000000</v>
      </c>
      <c r="D2139" t="s">
        <v>1692</v>
      </c>
      <c r="E2139" t="s">
        <v>444</v>
      </c>
      <c r="F2139" s="4">
        <v>38971</v>
      </c>
      <c r="G2139" s="11">
        <v>10000000</v>
      </c>
      <c r="H2139" s="11">
        <v>0</v>
      </c>
    </row>
    <row r="2140" spans="1:8" x14ac:dyDescent="0.2">
      <c r="A2140" t="s">
        <v>4237</v>
      </c>
      <c r="B2140" s="1" t="s">
        <v>3367</v>
      </c>
      <c r="C2140" s="11">
        <v>500000</v>
      </c>
      <c r="D2140" t="s">
        <v>1692</v>
      </c>
      <c r="E2140" t="s">
        <v>3031</v>
      </c>
      <c r="F2140" s="4">
        <v>40483</v>
      </c>
      <c r="G2140" s="11">
        <v>0</v>
      </c>
      <c r="H2140" s="11">
        <v>500000</v>
      </c>
    </row>
    <row r="2141" spans="1:8" x14ac:dyDescent="0.2">
      <c r="A2141" t="s">
        <v>4301</v>
      </c>
      <c r="B2141" s="1" t="s">
        <v>4147</v>
      </c>
      <c r="C2141" s="11">
        <v>1500000</v>
      </c>
      <c r="D2141" t="s">
        <v>1692</v>
      </c>
      <c r="E2141" t="s">
        <v>3031</v>
      </c>
      <c r="F2141" s="4">
        <v>40515</v>
      </c>
      <c r="G2141" s="11">
        <v>0</v>
      </c>
      <c r="H2141" s="11">
        <v>1500000</v>
      </c>
    </row>
    <row r="2142" spans="1:8" x14ac:dyDescent="0.2">
      <c r="A2142" t="s">
        <v>4619</v>
      </c>
      <c r="B2142" s="1" t="s">
        <v>4620</v>
      </c>
      <c r="C2142" s="11">
        <v>1000000</v>
      </c>
      <c r="D2142" t="s">
        <v>1692</v>
      </c>
      <c r="E2142" t="s">
        <v>3031</v>
      </c>
      <c r="F2142" s="4">
        <v>41316</v>
      </c>
      <c r="G2142" s="11">
        <v>0</v>
      </c>
      <c r="H2142" s="11">
        <v>1000000</v>
      </c>
    </row>
    <row r="2143" spans="1:8" x14ac:dyDescent="0.2">
      <c r="A2143" t="s">
        <v>2484</v>
      </c>
      <c r="B2143" s="1" t="s">
        <v>2485</v>
      </c>
      <c r="C2143" s="11">
        <v>1000000</v>
      </c>
      <c r="D2143" t="s">
        <v>2486</v>
      </c>
      <c r="E2143" t="s">
        <v>885</v>
      </c>
      <c r="F2143" s="4">
        <v>38268</v>
      </c>
      <c r="G2143" s="11">
        <v>1000000</v>
      </c>
      <c r="H2143" s="11">
        <v>0</v>
      </c>
    </row>
    <row r="2144" spans="1:8" x14ac:dyDescent="0.2">
      <c r="A2144" t="s">
        <v>2938</v>
      </c>
      <c r="B2144" s="1" t="s">
        <v>1123</v>
      </c>
      <c r="C2144" s="11">
        <v>1000000</v>
      </c>
      <c r="D2144" t="s">
        <v>1124</v>
      </c>
      <c r="E2144" t="s">
        <v>444</v>
      </c>
      <c r="F2144" s="4">
        <v>39961</v>
      </c>
      <c r="G2144" s="11">
        <v>1000000</v>
      </c>
      <c r="H2144" s="11">
        <v>0</v>
      </c>
    </row>
    <row r="2145" spans="1:8" x14ac:dyDescent="0.2">
      <c r="A2145" t="s">
        <v>2939</v>
      </c>
      <c r="B2145" s="1" t="s">
        <v>4010</v>
      </c>
      <c r="C2145" s="11">
        <v>1000000</v>
      </c>
      <c r="D2145" t="s">
        <v>1124</v>
      </c>
      <c r="E2145" t="s">
        <v>444</v>
      </c>
      <c r="F2145" s="4">
        <v>39961</v>
      </c>
      <c r="G2145" s="11">
        <v>166222</v>
      </c>
      <c r="H2145" s="11">
        <v>833778</v>
      </c>
    </row>
    <row r="2146" spans="1:8" x14ac:dyDescent="0.2">
      <c r="A2146" t="s">
        <v>4011</v>
      </c>
      <c r="B2146" s="1" t="s">
        <v>4012</v>
      </c>
      <c r="C2146" s="11">
        <v>1000000</v>
      </c>
      <c r="D2146" t="s">
        <v>1124</v>
      </c>
      <c r="E2146" t="s">
        <v>444</v>
      </c>
      <c r="F2146" s="4">
        <v>40519</v>
      </c>
      <c r="G2146" s="11">
        <v>0</v>
      </c>
      <c r="H2146" s="11">
        <v>1000000</v>
      </c>
    </row>
    <row r="2147" spans="1:8" x14ac:dyDescent="0.2">
      <c r="A2147" t="s">
        <v>4013</v>
      </c>
      <c r="B2147" s="1" t="s">
        <v>4014</v>
      </c>
      <c r="C2147" s="11">
        <v>1000000</v>
      </c>
      <c r="D2147" t="s">
        <v>1124</v>
      </c>
      <c r="E2147" t="s">
        <v>444</v>
      </c>
      <c r="F2147" s="4">
        <v>40520</v>
      </c>
      <c r="G2147" s="11">
        <v>0</v>
      </c>
      <c r="H2147" s="11">
        <v>1000000</v>
      </c>
    </row>
    <row r="2148" spans="1:8" x14ac:dyDescent="0.2">
      <c r="A2148" t="s">
        <v>1982</v>
      </c>
      <c r="B2148" s="1" t="s">
        <v>1983</v>
      </c>
      <c r="C2148" s="11">
        <v>600000</v>
      </c>
      <c r="D2148" t="s">
        <v>1984</v>
      </c>
      <c r="E2148" t="s">
        <v>969</v>
      </c>
      <c r="F2148" s="4">
        <v>36652</v>
      </c>
      <c r="G2148" s="11">
        <v>600000</v>
      </c>
      <c r="H2148" s="11">
        <v>0</v>
      </c>
    </row>
    <row r="2149" spans="1:8" x14ac:dyDescent="0.2">
      <c r="A2149" t="s">
        <v>2940</v>
      </c>
      <c r="B2149" s="1" t="s">
        <v>1125</v>
      </c>
      <c r="C2149" s="11">
        <v>3000000</v>
      </c>
      <c r="D2149" t="s">
        <v>1984</v>
      </c>
      <c r="E2149" t="s">
        <v>444</v>
      </c>
      <c r="F2149" s="4">
        <v>39961</v>
      </c>
      <c r="G2149" s="11">
        <v>2925000</v>
      </c>
      <c r="H2149" s="11">
        <v>75000</v>
      </c>
    </row>
    <row r="2150" spans="1:8" x14ac:dyDescent="0.2">
      <c r="A2150" t="s">
        <v>4238</v>
      </c>
      <c r="B2150" s="1" t="s">
        <v>3605</v>
      </c>
      <c r="C2150" s="11">
        <v>3000000</v>
      </c>
      <c r="D2150" t="s">
        <v>1984</v>
      </c>
      <c r="E2150" t="s">
        <v>3031</v>
      </c>
      <c r="F2150" s="4">
        <v>40497</v>
      </c>
      <c r="G2150" s="11">
        <v>0</v>
      </c>
      <c r="H2150" s="11">
        <v>3000000</v>
      </c>
    </row>
    <row r="2151" spans="1:8" x14ac:dyDescent="0.2">
      <c r="A2151" t="s">
        <v>4016</v>
      </c>
      <c r="B2151" s="1" t="s">
        <v>4017</v>
      </c>
      <c r="C2151" s="11">
        <v>500000</v>
      </c>
      <c r="D2151" t="s">
        <v>1984</v>
      </c>
      <c r="E2151" t="s">
        <v>3031</v>
      </c>
      <c r="F2151" s="4">
        <v>40546</v>
      </c>
      <c r="G2151" s="11">
        <v>0</v>
      </c>
      <c r="H2151" s="11">
        <v>500000</v>
      </c>
    </row>
    <row r="2152" spans="1:8" x14ac:dyDescent="0.2">
      <c r="A2152" t="s">
        <v>4093</v>
      </c>
      <c r="B2152" s="1" t="s">
        <v>4015</v>
      </c>
      <c r="C2152" s="11">
        <v>0</v>
      </c>
      <c r="D2152" t="s">
        <v>1984</v>
      </c>
      <c r="E2152" t="s">
        <v>3031</v>
      </c>
      <c r="F2152" s="4">
        <v>40519</v>
      </c>
      <c r="G2152" s="11">
        <v>0</v>
      </c>
      <c r="H2152" s="11">
        <v>0</v>
      </c>
    </row>
    <row r="2153" spans="1:8" x14ac:dyDescent="0.2">
      <c r="A2153" t="s">
        <v>713</v>
      </c>
      <c r="B2153" s="1" t="s">
        <v>714</v>
      </c>
      <c r="C2153" s="11">
        <v>3350000</v>
      </c>
      <c r="D2153" t="s">
        <v>715</v>
      </c>
      <c r="E2153" t="s">
        <v>969</v>
      </c>
      <c r="F2153" s="4">
        <v>36913</v>
      </c>
      <c r="G2153" s="11">
        <v>3350000</v>
      </c>
      <c r="H2153" s="11">
        <v>0</v>
      </c>
    </row>
    <row r="2154" spans="1:8" x14ac:dyDescent="0.2">
      <c r="A2154" t="s">
        <v>2941</v>
      </c>
      <c r="B2154" s="1" t="s">
        <v>1158</v>
      </c>
      <c r="C2154" s="11">
        <v>9000000</v>
      </c>
      <c r="D2154" t="s">
        <v>715</v>
      </c>
      <c r="E2154" t="s">
        <v>888</v>
      </c>
      <c r="F2154" s="4">
        <v>39688</v>
      </c>
      <c r="G2154" s="11">
        <v>9000000</v>
      </c>
      <c r="H2154" s="11">
        <v>0</v>
      </c>
    </row>
    <row r="2155" spans="1:8" x14ac:dyDescent="0.2">
      <c r="A2155" t="s">
        <v>3368</v>
      </c>
      <c r="B2155" s="1" t="s">
        <v>3369</v>
      </c>
      <c r="C2155" s="11">
        <v>1000000</v>
      </c>
      <c r="D2155" t="s">
        <v>715</v>
      </c>
      <c r="E2155" t="s">
        <v>888</v>
      </c>
      <c r="F2155" s="4">
        <v>40393</v>
      </c>
      <c r="G2155" s="11">
        <v>1000000</v>
      </c>
      <c r="H2155" s="11">
        <v>0</v>
      </c>
    </row>
    <row r="2156" spans="1:8" x14ac:dyDescent="0.2">
      <c r="A2156" t="s">
        <v>3370</v>
      </c>
      <c r="B2156" s="1" t="s">
        <v>2059</v>
      </c>
      <c r="C2156" s="11">
        <v>500000</v>
      </c>
      <c r="D2156" t="s">
        <v>715</v>
      </c>
      <c r="E2156" t="s">
        <v>885</v>
      </c>
      <c r="F2156" s="4">
        <v>39539</v>
      </c>
      <c r="G2156" s="11">
        <v>237500</v>
      </c>
      <c r="H2156" s="11">
        <v>262500</v>
      </c>
    </row>
    <row r="2157" spans="1:8" x14ac:dyDescent="0.2">
      <c r="A2157" t="s">
        <v>3371</v>
      </c>
      <c r="B2157" s="1" t="s">
        <v>404</v>
      </c>
      <c r="C2157" s="11">
        <v>1000000</v>
      </c>
      <c r="D2157" t="s">
        <v>715</v>
      </c>
      <c r="E2157" t="s">
        <v>888</v>
      </c>
      <c r="F2157" s="4">
        <v>40232</v>
      </c>
      <c r="G2157" s="11">
        <v>873503</v>
      </c>
      <c r="H2157" s="11">
        <v>126497</v>
      </c>
    </row>
    <row r="2158" spans="1:8" x14ac:dyDescent="0.2">
      <c r="A2158" t="s">
        <v>3606</v>
      </c>
      <c r="B2158" s="1" t="s">
        <v>3372</v>
      </c>
      <c r="C2158" s="11">
        <v>1500000</v>
      </c>
      <c r="D2158" t="s">
        <v>715</v>
      </c>
      <c r="E2158" t="s">
        <v>444</v>
      </c>
      <c r="F2158" s="4">
        <v>40414</v>
      </c>
      <c r="G2158" s="11">
        <v>0</v>
      </c>
      <c r="H2158" s="11">
        <v>1500000</v>
      </c>
    </row>
    <row r="2159" spans="1:8" x14ac:dyDescent="0.2">
      <c r="A2159" t="s">
        <v>2797</v>
      </c>
      <c r="B2159" s="1" t="s">
        <v>404</v>
      </c>
      <c r="C2159" s="11">
        <v>0</v>
      </c>
      <c r="D2159" t="s">
        <v>715</v>
      </c>
      <c r="E2159" t="s">
        <v>885</v>
      </c>
      <c r="F2159" s="4">
        <v>39321</v>
      </c>
      <c r="G2159" s="11">
        <v>0</v>
      </c>
      <c r="H2159" s="11">
        <v>0</v>
      </c>
    </row>
    <row r="2160" spans="1:8" x14ac:dyDescent="0.2">
      <c r="A2160" t="s">
        <v>844</v>
      </c>
      <c r="B2160" s="1" t="s">
        <v>845</v>
      </c>
      <c r="C2160" s="11">
        <v>900000</v>
      </c>
      <c r="D2160" t="s">
        <v>846</v>
      </c>
      <c r="E2160" t="s">
        <v>969</v>
      </c>
      <c r="F2160" s="4">
        <v>36664</v>
      </c>
      <c r="G2160" s="11">
        <v>900000</v>
      </c>
      <c r="H2160" s="11">
        <v>0</v>
      </c>
    </row>
    <row r="2161" spans="1:8" x14ac:dyDescent="0.2">
      <c r="A2161" t="s">
        <v>2798</v>
      </c>
      <c r="B2161" s="1" t="s">
        <v>1126</v>
      </c>
      <c r="C2161" s="11">
        <v>500000</v>
      </c>
      <c r="D2161" t="s">
        <v>846</v>
      </c>
      <c r="E2161" t="s">
        <v>888</v>
      </c>
      <c r="F2161" s="4">
        <v>39961</v>
      </c>
      <c r="G2161" s="11">
        <v>0</v>
      </c>
      <c r="H2161" s="11">
        <v>500000</v>
      </c>
    </row>
    <row r="2162" spans="1:8" x14ac:dyDescent="0.2">
      <c r="A2162" t="s">
        <v>3374</v>
      </c>
      <c r="B2162" s="1" t="s">
        <v>227</v>
      </c>
      <c r="C2162" s="11">
        <v>0</v>
      </c>
      <c r="D2162" t="s">
        <v>846</v>
      </c>
      <c r="E2162" t="s">
        <v>885</v>
      </c>
      <c r="F2162" s="4">
        <v>38213</v>
      </c>
      <c r="G2162" s="11">
        <v>0</v>
      </c>
      <c r="H2162" s="11">
        <v>0</v>
      </c>
    </row>
    <row r="2163" spans="1:8" x14ac:dyDescent="0.2">
      <c r="A2163" t="s">
        <v>1769</v>
      </c>
      <c r="B2163" s="1" t="s">
        <v>1770</v>
      </c>
      <c r="C2163" s="11">
        <v>1500000</v>
      </c>
      <c r="D2163" t="s">
        <v>1771</v>
      </c>
      <c r="E2163" t="s">
        <v>1710</v>
      </c>
      <c r="F2163" s="4">
        <v>35898</v>
      </c>
      <c r="G2163" s="11">
        <v>1482780.9799999997</v>
      </c>
      <c r="H2163" s="11">
        <v>17219.02</v>
      </c>
    </row>
    <row r="2164" spans="1:8" x14ac:dyDescent="0.2">
      <c r="A2164" t="s">
        <v>582</v>
      </c>
      <c r="B2164" s="1" t="s">
        <v>583</v>
      </c>
      <c r="C2164" s="11">
        <v>1000000</v>
      </c>
      <c r="D2164" t="s">
        <v>1771</v>
      </c>
      <c r="E2164" t="s">
        <v>969</v>
      </c>
      <c r="F2164" s="4">
        <v>36545</v>
      </c>
      <c r="G2164" s="11">
        <v>964649</v>
      </c>
      <c r="H2164" s="11">
        <v>35351</v>
      </c>
    </row>
    <row r="2165" spans="1:8" x14ac:dyDescent="0.2">
      <c r="A2165" t="s">
        <v>2430</v>
      </c>
      <c r="B2165" s="1" t="s">
        <v>2431</v>
      </c>
      <c r="C2165" s="11">
        <v>3200000</v>
      </c>
      <c r="D2165" t="s">
        <v>1771</v>
      </c>
      <c r="E2165" t="s">
        <v>516</v>
      </c>
      <c r="F2165" s="4">
        <v>37720</v>
      </c>
      <c r="G2165" s="11">
        <v>3200000.0000000005</v>
      </c>
      <c r="H2165" s="11">
        <v>0</v>
      </c>
    </row>
    <row r="2166" spans="1:8" x14ac:dyDescent="0.2">
      <c r="A2166" t="s">
        <v>2432</v>
      </c>
      <c r="B2166" s="1" t="s">
        <v>2433</v>
      </c>
      <c r="C2166" s="11">
        <v>4750000</v>
      </c>
      <c r="D2166" t="s">
        <v>1771</v>
      </c>
      <c r="E2166" t="s">
        <v>516</v>
      </c>
      <c r="F2166" s="4">
        <v>38213</v>
      </c>
      <c r="G2166" s="11">
        <v>4750000</v>
      </c>
      <c r="H2166" s="11">
        <v>0</v>
      </c>
    </row>
    <row r="2167" spans="1:8" x14ac:dyDescent="0.2">
      <c r="A2167" t="s">
        <v>220</v>
      </c>
      <c r="B2167" s="1" t="s">
        <v>399</v>
      </c>
      <c r="C2167" s="11">
        <v>1000000</v>
      </c>
      <c r="D2167" t="s">
        <v>1771</v>
      </c>
      <c r="E2167" t="s">
        <v>444</v>
      </c>
      <c r="F2167" s="4">
        <v>39277</v>
      </c>
      <c r="G2167" s="11">
        <v>1000000</v>
      </c>
      <c r="H2167" s="11">
        <v>0</v>
      </c>
    </row>
    <row r="2168" spans="1:8" x14ac:dyDescent="0.2">
      <c r="A2168" t="s">
        <v>620</v>
      </c>
      <c r="B2168" s="1" t="s">
        <v>2076</v>
      </c>
      <c r="C2168" s="11">
        <v>1400000</v>
      </c>
      <c r="D2168" t="s">
        <v>1771</v>
      </c>
      <c r="E2168" t="s">
        <v>888</v>
      </c>
      <c r="F2168" s="4">
        <v>39898</v>
      </c>
      <c r="G2168" s="11">
        <v>1400000</v>
      </c>
      <c r="H2168" s="11">
        <v>0</v>
      </c>
    </row>
    <row r="2169" spans="1:8" x14ac:dyDescent="0.2">
      <c r="A2169" t="s">
        <v>148</v>
      </c>
      <c r="B2169" s="1" t="s">
        <v>2076</v>
      </c>
      <c r="C2169" s="11">
        <v>500000</v>
      </c>
      <c r="D2169" t="s">
        <v>1771</v>
      </c>
      <c r="E2169" t="s">
        <v>888</v>
      </c>
      <c r="F2169" s="4">
        <v>40212</v>
      </c>
      <c r="G2169" s="11">
        <v>0</v>
      </c>
      <c r="H2169" s="11">
        <v>500000</v>
      </c>
    </row>
    <row r="2170" spans="1:8" x14ac:dyDescent="0.2">
      <c r="A2170" t="s">
        <v>149</v>
      </c>
      <c r="B2170" s="1" t="s">
        <v>150</v>
      </c>
      <c r="C2170" s="11">
        <v>250000</v>
      </c>
      <c r="D2170" t="s">
        <v>1771</v>
      </c>
      <c r="E2170" t="s">
        <v>888</v>
      </c>
      <c r="F2170" s="4">
        <v>40212</v>
      </c>
      <c r="G2170" s="11">
        <v>0</v>
      </c>
      <c r="H2170" s="11">
        <v>250000</v>
      </c>
    </row>
    <row r="2171" spans="1:8" x14ac:dyDescent="0.2">
      <c r="A2171" t="s">
        <v>4239</v>
      </c>
      <c r="B2171" s="1" t="s">
        <v>3607</v>
      </c>
      <c r="C2171" s="11">
        <v>2500000</v>
      </c>
      <c r="D2171" t="s">
        <v>1771</v>
      </c>
      <c r="E2171" t="s">
        <v>888</v>
      </c>
      <c r="F2171" s="4">
        <v>40497</v>
      </c>
      <c r="G2171" s="11">
        <v>0</v>
      </c>
      <c r="H2171" s="11">
        <v>2500000</v>
      </c>
    </row>
    <row r="2172" spans="1:8" x14ac:dyDescent="0.2">
      <c r="A2172" t="s">
        <v>4397</v>
      </c>
      <c r="B2172" s="1" t="s">
        <v>4019</v>
      </c>
      <c r="C2172" s="11">
        <v>0</v>
      </c>
      <c r="D2172" t="s">
        <v>1771</v>
      </c>
      <c r="E2172" t="s">
        <v>3031</v>
      </c>
      <c r="F2172" s="4">
        <v>40546</v>
      </c>
      <c r="G2172" s="11">
        <v>0</v>
      </c>
      <c r="H2172" s="11">
        <v>0</v>
      </c>
    </row>
    <row r="2173" spans="1:8" x14ac:dyDescent="0.2">
      <c r="A2173" t="s">
        <v>4398</v>
      </c>
      <c r="B2173" s="1" t="s">
        <v>4020</v>
      </c>
      <c r="C2173" s="11">
        <v>0</v>
      </c>
      <c r="D2173" t="s">
        <v>1771</v>
      </c>
      <c r="E2173" t="s">
        <v>444</v>
      </c>
      <c r="F2173" s="4">
        <v>40553</v>
      </c>
      <c r="G2173" s="11">
        <v>0</v>
      </c>
      <c r="H2173" s="11">
        <v>0</v>
      </c>
    </row>
    <row r="2174" spans="1:8" x14ac:dyDescent="0.2">
      <c r="A2174" t="s">
        <v>273</v>
      </c>
      <c r="B2174" s="1" t="s">
        <v>274</v>
      </c>
      <c r="C2174" s="11">
        <v>1000000</v>
      </c>
      <c r="D2174" t="s">
        <v>275</v>
      </c>
      <c r="E2174" t="s">
        <v>1560</v>
      </c>
      <c r="G2174" s="11">
        <v>1000000</v>
      </c>
      <c r="H2174" s="11">
        <v>0</v>
      </c>
    </row>
    <row r="2175" spans="1:8" x14ac:dyDescent="0.2">
      <c r="A2175" t="s">
        <v>1785</v>
      </c>
      <c r="B2175" s="1" t="s">
        <v>1786</v>
      </c>
      <c r="C2175" s="11">
        <v>1350000</v>
      </c>
      <c r="D2175" t="s">
        <v>275</v>
      </c>
      <c r="E2175" t="s">
        <v>1710</v>
      </c>
      <c r="F2175" s="4">
        <v>35958</v>
      </c>
      <c r="G2175" s="11">
        <v>1350000</v>
      </c>
      <c r="H2175" s="11">
        <v>0</v>
      </c>
    </row>
    <row r="2176" spans="1:8" x14ac:dyDescent="0.2">
      <c r="A2176" t="s">
        <v>1987</v>
      </c>
      <c r="B2176" s="1" t="s">
        <v>1988</v>
      </c>
      <c r="C2176" s="11">
        <v>1750000</v>
      </c>
      <c r="D2176" t="s">
        <v>275</v>
      </c>
      <c r="E2176" t="s">
        <v>2107</v>
      </c>
      <c r="F2176" s="4">
        <v>36850</v>
      </c>
      <c r="G2176" s="11">
        <v>1750000</v>
      </c>
      <c r="H2176" s="11">
        <v>0</v>
      </c>
    </row>
    <row r="2177" spans="1:8" x14ac:dyDescent="0.2">
      <c r="A2177" t="s">
        <v>825</v>
      </c>
      <c r="B2177" s="1" t="s">
        <v>826</v>
      </c>
      <c r="C2177" s="11">
        <v>2400000</v>
      </c>
      <c r="D2177" t="s">
        <v>275</v>
      </c>
      <c r="E2177" t="s">
        <v>1710</v>
      </c>
      <c r="F2177" s="4">
        <v>36878</v>
      </c>
      <c r="G2177" s="11">
        <v>2400000</v>
      </c>
      <c r="H2177" s="11">
        <v>0</v>
      </c>
    </row>
    <row r="2178" spans="1:8" x14ac:dyDescent="0.2">
      <c r="A2178" t="s">
        <v>827</v>
      </c>
      <c r="B2178" s="1" t="s">
        <v>828</v>
      </c>
      <c r="C2178" s="11">
        <v>1000000</v>
      </c>
      <c r="D2178" t="s">
        <v>275</v>
      </c>
      <c r="E2178" t="s">
        <v>516</v>
      </c>
      <c r="F2178" s="4">
        <v>38215</v>
      </c>
      <c r="G2178" s="11">
        <v>1000000</v>
      </c>
      <c r="H2178" s="11">
        <v>0</v>
      </c>
    </row>
    <row r="2179" spans="1:8" x14ac:dyDescent="0.2">
      <c r="A2179" t="s">
        <v>2277</v>
      </c>
      <c r="B2179" s="1" t="s">
        <v>2278</v>
      </c>
      <c r="C2179" s="11">
        <v>750000</v>
      </c>
      <c r="D2179" t="s">
        <v>275</v>
      </c>
      <c r="E2179" t="s">
        <v>516</v>
      </c>
      <c r="F2179" s="4">
        <v>37613</v>
      </c>
      <c r="G2179" s="11">
        <v>750000</v>
      </c>
      <c r="H2179" s="11">
        <v>0</v>
      </c>
    </row>
    <row r="2180" spans="1:8" x14ac:dyDescent="0.2">
      <c r="A2180" t="s">
        <v>2471</v>
      </c>
      <c r="B2180" s="1" t="s">
        <v>2472</v>
      </c>
      <c r="C2180" s="11">
        <v>1000000</v>
      </c>
      <c r="D2180" t="s">
        <v>275</v>
      </c>
      <c r="E2180" t="s">
        <v>516</v>
      </c>
      <c r="F2180" s="4">
        <v>38215</v>
      </c>
      <c r="G2180" s="11">
        <v>1000000</v>
      </c>
      <c r="H2180" s="11">
        <v>0</v>
      </c>
    </row>
    <row r="2181" spans="1:8" x14ac:dyDescent="0.2">
      <c r="A2181" t="s">
        <v>2492</v>
      </c>
      <c r="B2181" s="1" t="s">
        <v>2493</v>
      </c>
      <c r="C2181" s="11">
        <v>9000000</v>
      </c>
      <c r="D2181" t="s">
        <v>275</v>
      </c>
      <c r="E2181" t="s">
        <v>885</v>
      </c>
      <c r="F2181" s="4">
        <v>38215</v>
      </c>
      <c r="G2181" s="11">
        <v>9000000</v>
      </c>
      <c r="H2181" s="11">
        <v>0</v>
      </c>
    </row>
    <row r="2182" spans="1:8" x14ac:dyDescent="0.2">
      <c r="A2182" t="s">
        <v>2498</v>
      </c>
      <c r="B2182" s="1" t="s">
        <v>2499</v>
      </c>
      <c r="C2182" s="11">
        <v>1000000</v>
      </c>
      <c r="D2182" t="s">
        <v>275</v>
      </c>
      <c r="E2182" t="s">
        <v>885</v>
      </c>
      <c r="F2182" s="4">
        <v>38215</v>
      </c>
      <c r="G2182" s="11">
        <v>1000000</v>
      </c>
      <c r="H2182" s="11">
        <v>0</v>
      </c>
    </row>
    <row r="2183" spans="1:8" x14ac:dyDescent="0.2">
      <c r="A2183" t="s">
        <v>2691</v>
      </c>
      <c r="B2183" s="1" t="s">
        <v>2692</v>
      </c>
      <c r="C2183" s="11">
        <v>1000000</v>
      </c>
      <c r="D2183" t="s">
        <v>275</v>
      </c>
      <c r="E2183" t="s">
        <v>885</v>
      </c>
      <c r="F2183" s="4">
        <v>38492</v>
      </c>
      <c r="G2183" s="11">
        <v>1000000</v>
      </c>
      <c r="H2183" s="11">
        <v>0</v>
      </c>
    </row>
    <row r="2184" spans="1:8" x14ac:dyDescent="0.2">
      <c r="A2184" t="s">
        <v>18</v>
      </c>
      <c r="B2184" s="1" t="s">
        <v>2692</v>
      </c>
      <c r="C2184" s="11">
        <v>750000</v>
      </c>
      <c r="D2184" t="s">
        <v>275</v>
      </c>
      <c r="E2184" t="s">
        <v>885</v>
      </c>
      <c r="F2184" s="4">
        <v>38492</v>
      </c>
      <c r="G2184" s="11">
        <v>750000</v>
      </c>
      <c r="H2184" s="11">
        <v>0</v>
      </c>
    </row>
    <row r="2185" spans="1:8" x14ac:dyDescent="0.2">
      <c r="A2185" t="s">
        <v>19</v>
      </c>
      <c r="B2185" s="1" t="s">
        <v>2692</v>
      </c>
      <c r="C2185" s="11">
        <v>750000</v>
      </c>
      <c r="D2185" t="s">
        <v>275</v>
      </c>
      <c r="E2185" t="s">
        <v>885</v>
      </c>
      <c r="F2185" s="4">
        <v>38492</v>
      </c>
      <c r="G2185" s="11">
        <v>750000</v>
      </c>
      <c r="H2185" s="11">
        <v>0</v>
      </c>
    </row>
    <row r="2186" spans="1:8" x14ac:dyDescent="0.2">
      <c r="A2186" t="s">
        <v>1847</v>
      </c>
      <c r="B2186" s="1" t="s">
        <v>1613</v>
      </c>
      <c r="C2186" s="11">
        <v>500000</v>
      </c>
      <c r="D2186" t="s">
        <v>275</v>
      </c>
      <c r="E2186" t="s">
        <v>516</v>
      </c>
      <c r="F2186" s="4">
        <v>38721</v>
      </c>
      <c r="G2186" s="11">
        <v>500000</v>
      </c>
      <c r="H2186" s="11">
        <v>0</v>
      </c>
    </row>
    <row r="2187" spans="1:8" x14ac:dyDescent="0.2">
      <c r="A2187" t="s">
        <v>1848</v>
      </c>
      <c r="B2187" s="1" t="s">
        <v>415</v>
      </c>
      <c r="C2187" s="11">
        <v>250000</v>
      </c>
      <c r="D2187" t="s">
        <v>275</v>
      </c>
      <c r="E2187" t="s">
        <v>516</v>
      </c>
      <c r="F2187" s="4">
        <v>38747</v>
      </c>
      <c r="G2187" s="11">
        <v>250000</v>
      </c>
      <c r="H2187" s="11">
        <v>0</v>
      </c>
    </row>
    <row r="2188" spans="1:8" x14ac:dyDescent="0.2">
      <c r="A2188" t="s">
        <v>394</v>
      </c>
      <c r="B2188" s="1" t="s">
        <v>395</v>
      </c>
      <c r="C2188" s="11">
        <v>1250000</v>
      </c>
      <c r="D2188" t="s">
        <v>275</v>
      </c>
      <c r="E2188" t="s">
        <v>516</v>
      </c>
      <c r="F2188" s="4">
        <v>39321</v>
      </c>
      <c r="G2188" s="11">
        <v>1200000</v>
      </c>
      <c r="H2188" s="11">
        <v>50000</v>
      </c>
    </row>
    <row r="2189" spans="1:8" x14ac:dyDescent="0.2">
      <c r="A2189" t="s">
        <v>735</v>
      </c>
      <c r="B2189" s="1" t="s">
        <v>1925</v>
      </c>
      <c r="C2189" s="11">
        <v>500000</v>
      </c>
      <c r="D2189" t="s">
        <v>275</v>
      </c>
      <c r="E2189" t="s">
        <v>885</v>
      </c>
      <c r="F2189" s="4">
        <v>39097</v>
      </c>
      <c r="G2189" s="11">
        <v>500000</v>
      </c>
      <c r="H2189" s="11">
        <v>0</v>
      </c>
    </row>
    <row r="2190" spans="1:8" x14ac:dyDescent="0.2">
      <c r="A2190" t="s">
        <v>736</v>
      </c>
      <c r="B2190" s="1" t="s">
        <v>1926</v>
      </c>
      <c r="C2190" s="11">
        <v>250000</v>
      </c>
      <c r="D2190" t="s">
        <v>275</v>
      </c>
      <c r="E2190" t="s">
        <v>885</v>
      </c>
      <c r="F2190" s="4">
        <v>39118</v>
      </c>
      <c r="G2190" s="11">
        <v>250000</v>
      </c>
      <c r="H2190" s="11">
        <v>0</v>
      </c>
    </row>
    <row r="2191" spans="1:8" x14ac:dyDescent="0.2">
      <c r="A2191" t="s">
        <v>948</v>
      </c>
      <c r="B2191" s="1" t="s">
        <v>2188</v>
      </c>
      <c r="C2191" s="11">
        <v>250000</v>
      </c>
      <c r="D2191" t="s">
        <v>275</v>
      </c>
      <c r="E2191" t="s">
        <v>885</v>
      </c>
      <c r="F2191" s="4">
        <v>39394</v>
      </c>
      <c r="G2191" s="11">
        <v>250000</v>
      </c>
      <c r="H2191" s="11">
        <v>0</v>
      </c>
    </row>
    <row r="2192" spans="1:8" x14ac:dyDescent="0.2">
      <c r="A2192" t="s">
        <v>4021</v>
      </c>
      <c r="B2192" s="1" t="s">
        <v>4022</v>
      </c>
      <c r="C2192" s="11">
        <v>500000</v>
      </c>
      <c r="D2192" t="s">
        <v>275</v>
      </c>
      <c r="E2192" t="s">
        <v>888</v>
      </c>
      <c r="F2192" s="4">
        <v>40546</v>
      </c>
      <c r="G2192" s="11">
        <v>500000</v>
      </c>
      <c r="H2192" s="11">
        <v>0</v>
      </c>
    </row>
    <row r="2193" spans="1:8" x14ac:dyDescent="0.2">
      <c r="A2193" t="s">
        <v>987</v>
      </c>
      <c r="B2193" s="1" t="s">
        <v>988</v>
      </c>
      <c r="C2193" s="11">
        <v>2000000</v>
      </c>
      <c r="D2193" t="s">
        <v>275</v>
      </c>
      <c r="E2193" t="s">
        <v>444</v>
      </c>
      <c r="F2193" s="4">
        <v>39688</v>
      </c>
      <c r="G2193" s="11">
        <v>0</v>
      </c>
      <c r="H2193" s="11">
        <v>2000000</v>
      </c>
    </row>
    <row r="2194" spans="1:8" x14ac:dyDescent="0.2">
      <c r="A2194" t="s">
        <v>4023</v>
      </c>
      <c r="B2194" s="1" t="s">
        <v>4024</v>
      </c>
      <c r="C2194" s="11">
        <v>250000</v>
      </c>
      <c r="D2194" t="s">
        <v>275</v>
      </c>
      <c r="E2194" t="s">
        <v>3031</v>
      </c>
      <c r="F2194" s="4">
        <v>40532</v>
      </c>
      <c r="G2194" s="11">
        <v>0</v>
      </c>
      <c r="H2194" s="11">
        <v>250000</v>
      </c>
    </row>
    <row r="2195" spans="1:8" x14ac:dyDescent="0.2">
      <c r="A2195" t="s">
        <v>2167</v>
      </c>
      <c r="B2195" s="1" t="s">
        <v>1192</v>
      </c>
      <c r="C2195" s="11">
        <v>1000000</v>
      </c>
      <c r="D2195" t="s">
        <v>275</v>
      </c>
      <c r="E2195" t="s">
        <v>888</v>
      </c>
      <c r="F2195" s="4">
        <v>39735</v>
      </c>
      <c r="G2195" s="11">
        <v>1000000</v>
      </c>
      <c r="H2195" s="11">
        <v>0</v>
      </c>
    </row>
    <row r="2196" spans="1:8" x14ac:dyDescent="0.2">
      <c r="A2196" t="s">
        <v>621</v>
      </c>
      <c r="B2196" s="1" t="s">
        <v>1193</v>
      </c>
      <c r="C2196" s="11">
        <v>500000</v>
      </c>
      <c r="D2196" t="s">
        <v>275</v>
      </c>
      <c r="E2196" t="s">
        <v>888</v>
      </c>
      <c r="F2196" s="4">
        <v>39751</v>
      </c>
      <c r="G2196" s="11">
        <v>500000</v>
      </c>
      <c r="H2196" s="11">
        <v>0</v>
      </c>
    </row>
    <row r="2197" spans="1:8" x14ac:dyDescent="0.2">
      <c r="A2197" t="s">
        <v>1938</v>
      </c>
      <c r="B2197" s="1" t="s">
        <v>784</v>
      </c>
      <c r="C2197" s="11">
        <v>500000</v>
      </c>
      <c r="D2197" t="s">
        <v>275</v>
      </c>
      <c r="E2197" t="s">
        <v>885</v>
      </c>
      <c r="F2197" s="4">
        <v>39881</v>
      </c>
      <c r="G2197" s="11">
        <v>484701</v>
      </c>
      <c r="H2197" s="11">
        <v>15299</v>
      </c>
    </row>
    <row r="2198" spans="1:8" x14ac:dyDescent="0.2">
      <c r="A2198" t="s">
        <v>151</v>
      </c>
      <c r="B2198" s="1" t="s">
        <v>781</v>
      </c>
      <c r="C2198" s="11">
        <v>250000</v>
      </c>
      <c r="D2198" t="s">
        <v>275</v>
      </c>
      <c r="E2198" t="s">
        <v>888</v>
      </c>
      <c r="F2198" s="4">
        <v>39856</v>
      </c>
      <c r="G2198" s="11">
        <v>0</v>
      </c>
      <c r="H2198" s="11">
        <v>250000</v>
      </c>
    </row>
    <row r="2199" spans="1:8" x14ac:dyDescent="0.2">
      <c r="A2199" t="s">
        <v>2799</v>
      </c>
      <c r="B2199" s="1" t="s">
        <v>778</v>
      </c>
      <c r="C2199" s="11">
        <v>500000</v>
      </c>
      <c r="D2199" t="s">
        <v>275</v>
      </c>
      <c r="E2199" t="s">
        <v>444</v>
      </c>
      <c r="F2199" s="4">
        <v>39856</v>
      </c>
      <c r="G2199" s="11">
        <v>500000</v>
      </c>
      <c r="H2199" s="11">
        <v>0</v>
      </c>
    </row>
    <row r="2200" spans="1:8" x14ac:dyDescent="0.2">
      <c r="A2200" t="s">
        <v>2942</v>
      </c>
      <c r="B2200" s="1" t="s">
        <v>2070</v>
      </c>
      <c r="C2200" s="11">
        <v>250000</v>
      </c>
      <c r="D2200" t="s">
        <v>275</v>
      </c>
      <c r="E2200" t="s">
        <v>444</v>
      </c>
      <c r="F2200" s="4">
        <v>39897</v>
      </c>
      <c r="G2200" s="11">
        <v>250000</v>
      </c>
      <c r="H2200" s="11">
        <v>0</v>
      </c>
    </row>
    <row r="2201" spans="1:8" x14ac:dyDescent="0.2">
      <c r="A2201" t="s">
        <v>2800</v>
      </c>
      <c r="B2201" s="1" t="s">
        <v>779</v>
      </c>
      <c r="C2201" s="11">
        <v>500000</v>
      </c>
      <c r="D2201" t="s">
        <v>275</v>
      </c>
      <c r="E2201" t="s">
        <v>885</v>
      </c>
      <c r="F2201" s="4">
        <v>39856</v>
      </c>
      <c r="G2201" s="11">
        <v>487500</v>
      </c>
      <c r="H2201" s="11">
        <v>12500</v>
      </c>
    </row>
    <row r="2202" spans="1:8" x14ac:dyDescent="0.2">
      <c r="A2202" t="s">
        <v>3375</v>
      </c>
      <c r="B2202" s="1" t="s">
        <v>152</v>
      </c>
      <c r="C2202" s="11">
        <v>500000</v>
      </c>
      <c r="D2202" t="s">
        <v>275</v>
      </c>
      <c r="E2202" t="s">
        <v>888</v>
      </c>
      <c r="F2202" s="4">
        <v>40217</v>
      </c>
      <c r="G2202" s="11">
        <v>500000</v>
      </c>
      <c r="H2202" s="11">
        <v>0</v>
      </c>
    </row>
    <row r="2203" spans="1:8" x14ac:dyDescent="0.2">
      <c r="A2203" t="s">
        <v>4025</v>
      </c>
      <c r="B2203" s="1" t="s">
        <v>4026</v>
      </c>
      <c r="C2203" s="11">
        <v>600000</v>
      </c>
      <c r="D2203" t="s">
        <v>275</v>
      </c>
      <c r="E2203" t="s">
        <v>3031</v>
      </c>
      <c r="F2203" s="4">
        <v>40532</v>
      </c>
      <c r="G2203" s="11">
        <v>550500</v>
      </c>
      <c r="H2203" s="11">
        <v>49500</v>
      </c>
    </row>
    <row r="2204" spans="1:8" x14ac:dyDescent="0.2">
      <c r="A2204" t="s">
        <v>3608</v>
      </c>
      <c r="B2204" s="1" t="s">
        <v>3376</v>
      </c>
      <c r="C2204" s="11">
        <v>5000000</v>
      </c>
      <c r="D2204" t="s">
        <v>275</v>
      </c>
      <c r="E2204" t="s">
        <v>3008</v>
      </c>
      <c r="F2204" s="4">
        <v>40420</v>
      </c>
      <c r="G2204" s="11">
        <v>1500000</v>
      </c>
      <c r="H2204" s="11">
        <v>3500000</v>
      </c>
    </row>
    <row r="2205" spans="1:8" x14ac:dyDescent="0.2">
      <c r="A2205" t="s">
        <v>4240</v>
      </c>
      <c r="B2205" s="1" t="s">
        <v>3377</v>
      </c>
      <c r="C2205" s="11">
        <v>500000</v>
      </c>
      <c r="D2205" t="s">
        <v>275</v>
      </c>
      <c r="E2205" t="s">
        <v>444</v>
      </c>
      <c r="F2205" s="4">
        <v>40463</v>
      </c>
      <c r="G2205" s="11">
        <v>0</v>
      </c>
      <c r="H2205" s="11">
        <v>500000</v>
      </c>
    </row>
    <row r="2206" spans="1:8" x14ac:dyDescent="0.2">
      <c r="A2206" t="s">
        <v>4241</v>
      </c>
      <c r="B2206" s="1" t="s">
        <v>3378</v>
      </c>
      <c r="C2206" s="11">
        <v>350000</v>
      </c>
      <c r="D2206" t="s">
        <v>275</v>
      </c>
      <c r="E2206" t="s">
        <v>888</v>
      </c>
      <c r="F2206" s="4">
        <v>40463</v>
      </c>
      <c r="G2206" s="11">
        <v>0</v>
      </c>
      <c r="H2206" s="11">
        <v>350000</v>
      </c>
    </row>
    <row r="2207" spans="1:8" x14ac:dyDescent="0.2">
      <c r="A2207" t="s">
        <v>4242</v>
      </c>
      <c r="B2207" s="1" t="s">
        <v>3610</v>
      </c>
      <c r="C2207" s="11">
        <v>350000</v>
      </c>
      <c r="D2207" t="s">
        <v>275</v>
      </c>
      <c r="E2207" t="s">
        <v>3031</v>
      </c>
      <c r="F2207" s="4">
        <v>40504</v>
      </c>
      <c r="G2207" s="11">
        <v>343000</v>
      </c>
      <c r="H2207" s="11">
        <v>7000</v>
      </c>
    </row>
    <row r="2208" spans="1:8" x14ac:dyDescent="0.2">
      <c r="A2208" t="s">
        <v>4148</v>
      </c>
      <c r="B2208" s="1" t="s">
        <v>3609</v>
      </c>
      <c r="C2208" s="11">
        <v>1000000</v>
      </c>
      <c r="D2208" t="s">
        <v>275</v>
      </c>
      <c r="E2208" t="s">
        <v>885</v>
      </c>
      <c r="F2208" s="4">
        <v>40497</v>
      </c>
      <c r="G2208" s="11">
        <v>507070</v>
      </c>
      <c r="H2208" s="11">
        <v>492930</v>
      </c>
    </row>
    <row r="2209" spans="1:8" x14ac:dyDescent="0.2">
      <c r="A2209" t="s">
        <v>4302</v>
      </c>
      <c r="B2209" s="1" t="s">
        <v>3379</v>
      </c>
      <c r="C2209" s="11">
        <v>500000</v>
      </c>
      <c r="D2209" t="s">
        <v>275</v>
      </c>
      <c r="E2209" t="s">
        <v>888</v>
      </c>
      <c r="F2209" s="4">
        <v>40472</v>
      </c>
      <c r="G2209" s="11">
        <v>0</v>
      </c>
      <c r="H2209" s="11">
        <v>500000</v>
      </c>
    </row>
    <row r="2210" spans="1:8" x14ac:dyDescent="0.2">
      <c r="A2210" t="s">
        <v>4243</v>
      </c>
      <c r="B2210" s="1" t="s">
        <v>4029</v>
      </c>
      <c r="C2210" s="11">
        <v>650000</v>
      </c>
      <c r="D2210" t="s">
        <v>275</v>
      </c>
      <c r="E2210" t="s">
        <v>3031</v>
      </c>
      <c r="F2210" s="4">
        <v>40546</v>
      </c>
      <c r="G2210" s="11">
        <v>0</v>
      </c>
      <c r="H2210" s="11">
        <v>650000</v>
      </c>
    </row>
    <row r="2211" spans="1:8" x14ac:dyDescent="0.2">
      <c r="A2211" t="s">
        <v>4438</v>
      </c>
      <c r="B2211" s="1" t="s">
        <v>4027</v>
      </c>
      <c r="C2211" s="11">
        <v>400000</v>
      </c>
      <c r="D2211" t="s">
        <v>275</v>
      </c>
      <c r="E2211" t="s">
        <v>3031</v>
      </c>
      <c r="F2211" s="4">
        <v>40532</v>
      </c>
      <c r="G2211" s="11">
        <v>0</v>
      </c>
      <c r="H2211" s="11">
        <v>400000</v>
      </c>
    </row>
    <row r="2212" spans="1:8" x14ac:dyDescent="0.2">
      <c r="A2212" t="s">
        <v>4488</v>
      </c>
      <c r="B2212" s="1" t="s">
        <v>4028</v>
      </c>
      <c r="C2212" s="11">
        <v>250000</v>
      </c>
      <c r="D2212" t="s">
        <v>275</v>
      </c>
      <c r="E2212" t="s">
        <v>3031</v>
      </c>
      <c r="F2212" s="4">
        <v>40532</v>
      </c>
      <c r="G2212" s="11">
        <v>0</v>
      </c>
      <c r="H2212" s="11">
        <v>250000</v>
      </c>
    </row>
    <row r="2213" spans="1:8" x14ac:dyDescent="0.2">
      <c r="A2213" t="s">
        <v>4621</v>
      </c>
      <c r="B2213" s="1" t="s">
        <v>4622</v>
      </c>
      <c r="C2213" s="11">
        <v>1500000</v>
      </c>
      <c r="D2213" t="s">
        <v>275</v>
      </c>
      <c r="E2213" t="s">
        <v>3031</v>
      </c>
      <c r="F2213" s="4">
        <v>41316</v>
      </c>
      <c r="G2213" s="11">
        <v>0</v>
      </c>
      <c r="H2213" s="11">
        <v>1500000</v>
      </c>
    </row>
    <row r="2214" spans="1:8" x14ac:dyDescent="0.2">
      <c r="A2214" t="s">
        <v>4399</v>
      </c>
      <c r="B2214" s="1" t="s">
        <v>1252</v>
      </c>
      <c r="C2214" s="11">
        <v>0</v>
      </c>
      <c r="D2214" t="s">
        <v>275</v>
      </c>
      <c r="E2214" t="s">
        <v>885</v>
      </c>
      <c r="F2214" s="4">
        <v>39170</v>
      </c>
      <c r="G2214" s="11">
        <v>0</v>
      </c>
      <c r="H2214" s="11">
        <v>0</v>
      </c>
    </row>
    <row r="2215" spans="1:8" x14ac:dyDescent="0.2">
      <c r="A2215" t="s">
        <v>3380</v>
      </c>
      <c r="B2215" s="1" t="s">
        <v>2168</v>
      </c>
      <c r="C2215" s="11">
        <v>250000</v>
      </c>
      <c r="D2215" t="s">
        <v>2169</v>
      </c>
      <c r="E2215" t="s">
        <v>888</v>
      </c>
      <c r="F2215" s="4">
        <v>40100</v>
      </c>
      <c r="G2215" s="11">
        <v>0</v>
      </c>
      <c r="H2215" s="11">
        <v>250000</v>
      </c>
    </row>
    <row r="2216" spans="1:8" x14ac:dyDescent="0.2">
      <c r="A2216" t="s">
        <v>258</v>
      </c>
      <c r="B2216" s="1" t="s">
        <v>259</v>
      </c>
      <c r="C2216" s="11">
        <v>2521560</v>
      </c>
      <c r="D2216" t="s">
        <v>260</v>
      </c>
      <c r="E2216" t="s">
        <v>1564</v>
      </c>
      <c r="G2216" s="11">
        <v>2521560</v>
      </c>
      <c r="H2216" s="11">
        <v>0</v>
      </c>
    </row>
    <row r="2217" spans="1:8" x14ac:dyDescent="0.2">
      <c r="A2217" t="s">
        <v>261</v>
      </c>
      <c r="B2217" s="1" t="s">
        <v>262</v>
      </c>
      <c r="C2217" s="11">
        <v>2169240</v>
      </c>
      <c r="D2217" t="s">
        <v>260</v>
      </c>
      <c r="E2217" t="s">
        <v>1564</v>
      </c>
      <c r="G2217" s="11">
        <v>2169240</v>
      </c>
      <c r="H2217" s="11">
        <v>0</v>
      </c>
    </row>
    <row r="2218" spans="1:8" x14ac:dyDescent="0.2">
      <c r="A2218" t="s">
        <v>263</v>
      </c>
      <c r="B2218" s="1" t="s">
        <v>264</v>
      </c>
      <c r="C2218" s="11">
        <v>1167500</v>
      </c>
      <c r="D2218" t="s">
        <v>260</v>
      </c>
      <c r="E2218" t="s">
        <v>1564</v>
      </c>
      <c r="G2218" s="11">
        <v>1167500</v>
      </c>
      <c r="H2218" s="11">
        <v>0</v>
      </c>
    </row>
    <row r="2219" spans="1:8" x14ac:dyDescent="0.2">
      <c r="A2219" t="s">
        <v>265</v>
      </c>
      <c r="B2219" s="1" t="s">
        <v>266</v>
      </c>
      <c r="C2219" s="11">
        <v>1300000</v>
      </c>
      <c r="D2219" t="s">
        <v>260</v>
      </c>
      <c r="E2219" t="s">
        <v>1564</v>
      </c>
      <c r="G2219" s="11">
        <v>1300000</v>
      </c>
      <c r="H2219" s="11">
        <v>0</v>
      </c>
    </row>
    <row r="2220" spans="1:8" x14ac:dyDescent="0.2">
      <c r="A2220" t="s">
        <v>1720</v>
      </c>
      <c r="B2220" s="1" t="s">
        <v>1721</v>
      </c>
      <c r="C2220" s="11">
        <v>3500000</v>
      </c>
      <c r="D2220" t="s">
        <v>260</v>
      </c>
      <c r="E2220" t="s">
        <v>1577</v>
      </c>
      <c r="F2220" s="4">
        <v>34151</v>
      </c>
      <c r="G2220" s="11">
        <v>3500000</v>
      </c>
      <c r="H2220" s="11">
        <v>0</v>
      </c>
    </row>
    <row r="2221" spans="1:8" x14ac:dyDescent="0.2">
      <c r="A2221" t="s">
        <v>1746</v>
      </c>
      <c r="B2221" s="1" t="s">
        <v>1747</v>
      </c>
      <c r="C2221" s="11">
        <v>3000000</v>
      </c>
      <c r="D2221" t="s">
        <v>260</v>
      </c>
      <c r="E2221" t="s">
        <v>313</v>
      </c>
      <c r="F2221" s="4">
        <v>34151</v>
      </c>
      <c r="G2221" s="11">
        <v>3000000</v>
      </c>
      <c r="H2221" s="11">
        <v>0</v>
      </c>
    </row>
    <row r="2222" spans="1:8" x14ac:dyDescent="0.2">
      <c r="A2222" t="s">
        <v>1779</v>
      </c>
      <c r="B2222" s="1" t="s">
        <v>1780</v>
      </c>
      <c r="C2222" s="11">
        <v>1000000</v>
      </c>
      <c r="D2222" t="s">
        <v>260</v>
      </c>
      <c r="E2222" t="s">
        <v>1710</v>
      </c>
      <c r="F2222" s="4">
        <v>35958</v>
      </c>
      <c r="G2222" s="11">
        <v>1000000</v>
      </c>
      <c r="H2222" s="11">
        <v>0</v>
      </c>
    </row>
    <row r="2223" spans="1:8" x14ac:dyDescent="0.2">
      <c r="A2223" t="s">
        <v>1783</v>
      </c>
      <c r="B2223" s="1" t="s">
        <v>1784</v>
      </c>
      <c r="C2223" s="11">
        <v>3000000</v>
      </c>
      <c r="D2223" t="s">
        <v>260</v>
      </c>
      <c r="E2223" t="s">
        <v>1710</v>
      </c>
      <c r="F2223" s="4">
        <v>35985</v>
      </c>
      <c r="G2223" s="11">
        <v>3000000</v>
      </c>
      <c r="H2223" s="11">
        <v>0</v>
      </c>
    </row>
    <row r="2224" spans="1:8" x14ac:dyDescent="0.2">
      <c r="A2224" t="s">
        <v>1790</v>
      </c>
      <c r="B2224" s="1" t="s">
        <v>1791</v>
      </c>
      <c r="C2224" s="11">
        <v>2500000</v>
      </c>
      <c r="D2224" t="s">
        <v>260</v>
      </c>
      <c r="E2224" t="s">
        <v>1710</v>
      </c>
      <c r="F2224" s="4">
        <v>35958</v>
      </c>
      <c r="G2224" s="11">
        <v>2500000</v>
      </c>
      <c r="H2224" s="11">
        <v>0</v>
      </c>
    </row>
    <row r="2225" spans="1:8" x14ac:dyDescent="0.2">
      <c r="A2225" t="s">
        <v>1792</v>
      </c>
      <c r="B2225" s="5" t="s">
        <v>1793</v>
      </c>
      <c r="C2225" s="17">
        <v>1125000</v>
      </c>
      <c r="D2225" t="s">
        <v>260</v>
      </c>
      <c r="E2225" t="s">
        <v>1710</v>
      </c>
      <c r="F2225" s="4">
        <v>35958</v>
      </c>
      <c r="G2225" s="17">
        <v>1125000</v>
      </c>
      <c r="H2225" s="17">
        <v>0</v>
      </c>
    </row>
    <row r="2226" spans="1:8" x14ac:dyDescent="0.2">
      <c r="A2226" t="s">
        <v>2021</v>
      </c>
      <c r="B2226" s="5" t="s">
        <v>2022</v>
      </c>
      <c r="C2226" s="17">
        <v>2000000</v>
      </c>
      <c r="D2226" t="s">
        <v>260</v>
      </c>
      <c r="E2226" t="s">
        <v>1710</v>
      </c>
      <c r="F2226" s="4">
        <v>36878</v>
      </c>
      <c r="G2226" s="17">
        <v>2000000</v>
      </c>
      <c r="H2226" s="17">
        <v>0</v>
      </c>
    </row>
    <row r="2227" spans="1:8" x14ac:dyDescent="0.2">
      <c r="A2227" t="s">
        <v>697</v>
      </c>
      <c r="B2227" s="5" t="s">
        <v>698</v>
      </c>
      <c r="C2227" s="17">
        <v>3000000</v>
      </c>
      <c r="D2227" t="s">
        <v>260</v>
      </c>
      <c r="E2227" t="s">
        <v>313</v>
      </c>
      <c r="F2227" s="4">
        <v>36865</v>
      </c>
      <c r="G2227" s="17">
        <v>2988229</v>
      </c>
      <c r="H2227" s="17">
        <v>11771</v>
      </c>
    </row>
    <row r="2228" spans="1:8" x14ac:dyDescent="0.2">
      <c r="A2228" t="s">
        <v>2440</v>
      </c>
      <c r="B2228" s="5" t="s">
        <v>2441</v>
      </c>
      <c r="C2228" s="17">
        <v>5000000</v>
      </c>
      <c r="D2228" t="s">
        <v>260</v>
      </c>
      <c r="E2228" t="s">
        <v>516</v>
      </c>
      <c r="F2228" s="4">
        <v>38099</v>
      </c>
      <c r="G2228" s="17">
        <v>5000000</v>
      </c>
      <c r="H2228" s="17">
        <v>0</v>
      </c>
    </row>
    <row r="2229" spans="1:8" x14ac:dyDescent="0.2">
      <c r="A2229" t="s">
        <v>1636</v>
      </c>
      <c r="B2229" s="5" t="s">
        <v>1637</v>
      </c>
      <c r="C2229" s="17">
        <v>1000000</v>
      </c>
      <c r="D2229" t="s">
        <v>260</v>
      </c>
      <c r="E2229" t="s">
        <v>885</v>
      </c>
      <c r="F2229" s="4">
        <v>38946</v>
      </c>
      <c r="G2229" s="17">
        <v>1000000</v>
      </c>
      <c r="H2229" s="17">
        <v>0</v>
      </c>
    </row>
    <row r="2230" spans="1:8" x14ac:dyDescent="0.2">
      <c r="A2230" t="s">
        <v>856</v>
      </c>
      <c r="B2230" s="5" t="s">
        <v>1269</v>
      </c>
      <c r="C2230" s="17">
        <v>500000</v>
      </c>
      <c r="D2230" t="s">
        <v>260</v>
      </c>
      <c r="E2230" t="s">
        <v>444</v>
      </c>
      <c r="F2230" s="4">
        <v>39062</v>
      </c>
      <c r="G2230" s="17">
        <v>500000</v>
      </c>
      <c r="H2230" s="17">
        <v>0</v>
      </c>
    </row>
    <row r="2231" spans="1:8" x14ac:dyDescent="0.2">
      <c r="A2231" t="s">
        <v>2490</v>
      </c>
      <c r="B2231" s="5" t="s">
        <v>2491</v>
      </c>
      <c r="C2231" s="17">
        <v>500000</v>
      </c>
      <c r="D2231" t="s">
        <v>260</v>
      </c>
      <c r="E2231" t="s">
        <v>885</v>
      </c>
      <c r="F2231" s="4">
        <v>38215</v>
      </c>
      <c r="G2231" s="17">
        <v>500000</v>
      </c>
      <c r="H2231" s="17">
        <v>0</v>
      </c>
    </row>
    <row r="2232" spans="1:8" x14ac:dyDescent="0.2">
      <c r="A2232" t="s">
        <v>2507</v>
      </c>
      <c r="B2232" s="5" t="s">
        <v>2508</v>
      </c>
      <c r="C2232" s="17">
        <v>5000000</v>
      </c>
      <c r="D2232" t="s">
        <v>260</v>
      </c>
      <c r="E2232" t="s">
        <v>885</v>
      </c>
      <c r="F2232" s="4">
        <v>38215</v>
      </c>
      <c r="G2232" s="17">
        <v>5000000</v>
      </c>
      <c r="H2232" s="17">
        <v>0</v>
      </c>
    </row>
    <row r="2233" spans="1:8" x14ac:dyDescent="0.2">
      <c r="A2233" t="s">
        <v>2525</v>
      </c>
      <c r="B2233" s="5" t="s">
        <v>2526</v>
      </c>
      <c r="C2233" s="17">
        <v>5000000</v>
      </c>
      <c r="D2233" t="s">
        <v>260</v>
      </c>
      <c r="E2233" t="s">
        <v>885</v>
      </c>
      <c r="F2233" s="4">
        <v>38273</v>
      </c>
      <c r="G2233" s="17">
        <v>5000000</v>
      </c>
      <c r="H2233" s="17">
        <v>0</v>
      </c>
    </row>
    <row r="2234" spans="1:8" x14ac:dyDescent="0.2">
      <c r="A2234" t="s">
        <v>1887</v>
      </c>
      <c r="B2234" s="5" t="s">
        <v>1888</v>
      </c>
      <c r="C2234" s="17">
        <v>1000000</v>
      </c>
      <c r="D2234" t="s">
        <v>260</v>
      </c>
      <c r="E2234" t="s">
        <v>885</v>
      </c>
      <c r="F2234" s="4">
        <v>39170</v>
      </c>
      <c r="G2234" s="17">
        <v>1000000</v>
      </c>
      <c r="H2234" s="17">
        <v>0</v>
      </c>
    </row>
    <row r="2235" spans="1:8" x14ac:dyDescent="0.2">
      <c r="A2235" t="s">
        <v>182</v>
      </c>
      <c r="B2235" s="5" t="s">
        <v>183</v>
      </c>
      <c r="C2235" s="17">
        <v>500000</v>
      </c>
      <c r="D2235" t="s">
        <v>260</v>
      </c>
      <c r="E2235" t="s">
        <v>885</v>
      </c>
      <c r="F2235" s="4">
        <v>38215</v>
      </c>
      <c r="G2235" s="17">
        <v>500000</v>
      </c>
      <c r="H2235" s="17">
        <v>0</v>
      </c>
    </row>
    <row r="2236" spans="1:8" x14ac:dyDescent="0.2">
      <c r="A2236" t="s">
        <v>186</v>
      </c>
      <c r="B2236" s="5" t="s">
        <v>187</v>
      </c>
      <c r="C2236" s="17">
        <v>500000</v>
      </c>
      <c r="D2236" t="s">
        <v>260</v>
      </c>
      <c r="E2236" t="s">
        <v>885</v>
      </c>
      <c r="F2236" s="4">
        <v>38215</v>
      </c>
      <c r="G2236" s="17">
        <v>500000</v>
      </c>
      <c r="H2236" s="17">
        <v>0</v>
      </c>
    </row>
    <row r="2237" spans="1:8" x14ac:dyDescent="0.2">
      <c r="A2237" t="s">
        <v>20</v>
      </c>
      <c r="B2237" s="5" t="s">
        <v>228</v>
      </c>
      <c r="C2237" s="17">
        <v>750000</v>
      </c>
      <c r="D2237" t="s">
        <v>260</v>
      </c>
      <c r="E2237" t="s">
        <v>885</v>
      </c>
      <c r="F2237" s="4">
        <v>38215</v>
      </c>
      <c r="G2237" s="17">
        <v>527661</v>
      </c>
      <c r="H2237" s="17">
        <v>222339</v>
      </c>
    </row>
    <row r="2238" spans="1:8" x14ac:dyDescent="0.2">
      <c r="A2238" t="s">
        <v>1551</v>
      </c>
      <c r="B2238" s="5" t="s">
        <v>1552</v>
      </c>
      <c r="C2238" s="17">
        <v>1000000</v>
      </c>
      <c r="D2238" t="s">
        <v>260</v>
      </c>
      <c r="E2238" t="s">
        <v>885</v>
      </c>
      <c r="F2238" s="4">
        <v>38215</v>
      </c>
      <c r="G2238" s="17">
        <v>1000000</v>
      </c>
      <c r="H2238" s="17">
        <v>0</v>
      </c>
    </row>
    <row r="2239" spans="1:8" x14ac:dyDescent="0.2">
      <c r="A2239" t="s">
        <v>1390</v>
      </c>
      <c r="B2239" s="5" t="s">
        <v>1920</v>
      </c>
      <c r="C2239" s="17">
        <v>500000</v>
      </c>
      <c r="D2239" t="s">
        <v>260</v>
      </c>
      <c r="E2239" t="s">
        <v>444</v>
      </c>
      <c r="F2239" s="4">
        <v>39062</v>
      </c>
      <c r="G2239" s="17">
        <v>0</v>
      </c>
      <c r="H2239" s="17">
        <v>500000</v>
      </c>
    </row>
    <row r="2240" spans="1:8" x14ac:dyDescent="0.2">
      <c r="A2240" t="s">
        <v>2585</v>
      </c>
      <c r="B2240" s="5" t="s">
        <v>848</v>
      </c>
      <c r="C2240" s="17">
        <v>500000</v>
      </c>
      <c r="D2240" t="s">
        <v>260</v>
      </c>
      <c r="E2240" t="s">
        <v>885</v>
      </c>
      <c r="F2240" s="4">
        <v>39118</v>
      </c>
      <c r="G2240" s="17">
        <v>500000</v>
      </c>
      <c r="H2240" s="17">
        <v>0</v>
      </c>
    </row>
    <row r="2241" spans="1:8" x14ac:dyDescent="0.2">
      <c r="A2241" t="s">
        <v>2586</v>
      </c>
      <c r="B2241" s="5" t="s">
        <v>849</v>
      </c>
      <c r="C2241" s="17">
        <v>100000</v>
      </c>
      <c r="D2241" t="s">
        <v>260</v>
      </c>
      <c r="E2241" t="s">
        <v>885</v>
      </c>
      <c r="F2241" s="4">
        <v>39149</v>
      </c>
      <c r="G2241" s="17">
        <v>100000</v>
      </c>
      <c r="H2241" s="17">
        <v>0</v>
      </c>
    </row>
    <row r="2242" spans="1:8" x14ac:dyDescent="0.2">
      <c r="A2242" t="s">
        <v>2587</v>
      </c>
      <c r="B2242" s="5" t="s">
        <v>1228</v>
      </c>
      <c r="C2242" s="17">
        <v>100000</v>
      </c>
      <c r="D2242" t="s">
        <v>260</v>
      </c>
      <c r="E2242" t="s">
        <v>885</v>
      </c>
      <c r="F2242" s="4">
        <v>39149</v>
      </c>
      <c r="G2242" s="17">
        <v>100000</v>
      </c>
      <c r="H2242" s="17">
        <v>0</v>
      </c>
    </row>
    <row r="2243" spans="1:8" x14ac:dyDescent="0.2">
      <c r="A2243" t="s">
        <v>2588</v>
      </c>
      <c r="B2243" s="5" t="s">
        <v>1229</v>
      </c>
      <c r="C2243" s="17">
        <v>500000</v>
      </c>
      <c r="D2243" t="s">
        <v>260</v>
      </c>
      <c r="E2243" t="s">
        <v>885</v>
      </c>
      <c r="F2243" s="4">
        <v>39170</v>
      </c>
      <c r="G2243" s="17">
        <v>500000</v>
      </c>
      <c r="H2243" s="17">
        <v>0</v>
      </c>
    </row>
    <row r="2244" spans="1:8" x14ac:dyDescent="0.2">
      <c r="A2244" t="s">
        <v>1979</v>
      </c>
      <c r="B2244" s="5" t="s">
        <v>1255</v>
      </c>
      <c r="C2244" s="17">
        <v>500000</v>
      </c>
      <c r="D2244" t="s">
        <v>260</v>
      </c>
      <c r="E2244" t="s">
        <v>444</v>
      </c>
      <c r="F2244" s="4">
        <v>39170</v>
      </c>
      <c r="G2244" s="17">
        <v>487500</v>
      </c>
      <c r="H2244" s="17">
        <v>12500</v>
      </c>
    </row>
    <row r="2245" spans="1:8" x14ac:dyDescent="0.2">
      <c r="A2245" t="s">
        <v>2170</v>
      </c>
      <c r="B2245" s="5" t="s">
        <v>1132</v>
      </c>
      <c r="C2245" s="17">
        <v>500000</v>
      </c>
      <c r="D2245" t="s">
        <v>260</v>
      </c>
      <c r="E2245" t="s">
        <v>885</v>
      </c>
      <c r="F2245" s="4">
        <v>39945</v>
      </c>
      <c r="G2245" s="17">
        <v>416855</v>
      </c>
      <c r="H2245" s="17">
        <v>83145</v>
      </c>
    </row>
    <row r="2246" spans="1:8" x14ac:dyDescent="0.2">
      <c r="A2246" t="s">
        <v>2943</v>
      </c>
      <c r="B2246" s="5" t="s">
        <v>2112</v>
      </c>
      <c r="C2246" s="17">
        <v>500000</v>
      </c>
      <c r="D2246" t="s">
        <v>260</v>
      </c>
      <c r="E2246" t="s">
        <v>888</v>
      </c>
      <c r="F2246" s="4">
        <v>39930</v>
      </c>
      <c r="G2246" s="17">
        <v>500000</v>
      </c>
      <c r="H2246" s="17">
        <v>0</v>
      </c>
    </row>
    <row r="2247" spans="1:8" x14ac:dyDescent="0.2">
      <c r="A2247" t="s">
        <v>2944</v>
      </c>
      <c r="B2247" s="5" t="s">
        <v>1127</v>
      </c>
      <c r="C2247" s="17">
        <v>500000</v>
      </c>
      <c r="D2247" t="s">
        <v>260</v>
      </c>
      <c r="E2247" t="s">
        <v>888</v>
      </c>
      <c r="F2247" s="4">
        <v>39945</v>
      </c>
      <c r="G2247" s="17">
        <v>500000</v>
      </c>
      <c r="H2247" s="17">
        <v>0</v>
      </c>
    </row>
    <row r="2248" spans="1:8" x14ac:dyDescent="0.2">
      <c r="A2248" t="s">
        <v>2945</v>
      </c>
      <c r="B2248" s="5" t="s">
        <v>1128</v>
      </c>
      <c r="C2248" s="17">
        <v>500000</v>
      </c>
      <c r="D2248" t="s">
        <v>260</v>
      </c>
      <c r="E2248" t="s">
        <v>888</v>
      </c>
      <c r="F2248" s="4">
        <v>39987</v>
      </c>
      <c r="G2248" s="17">
        <v>500000</v>
      </c>
      <c r="H2248" s="17">
        <v>0</v>
      </c>
    </row>
    <row r="2249" spans="1:8" x14ac:dyDescent="0.2">
      <c r="A2249" t="s">
        <v>2946</v>
      </c>
      <c r="B2249" s="5" t="s">
        <v>153</v>
      </c>
      <c r="C2249" s="17">
        <v>3000000</v>
      </c>
      <c r="D2249" t="s">
        <v>260</v>
      </c>
      <c r="E2249" t="s">
        <v>888</v>
      </c>
      <c r="F2249" s="4">
        <v>40226</v>
      </c>
      <c r="G2249" s="17">
        <v>3000000</v>
      </c>
      <c r="H2249" s="17">
        <v>0</v>
      </c>
    </row>
    <row r="2250" spans="1:8" x14ac:dyDescent="0.2">
      <c r="A2250" t="s">
        <v>2801</v>
      </c>
      <c r="B2250" s="5" t="s">
        <v>1129</v>
      </c>
      <c r="C2250" s="17">
        <v>250000</v>
      </c>
      <c r="D2250" t="s">
        <v>260</v>
      </c>
      <c r="E2250" t="s">
        <v>885</v>
      </c>
      <c r="F2250" s="4">
        <v>39945</v>
      </c>
      <c r="G2250" s="17">
        <v>250000</v>
      </c>
      <c r="H2250" s="17">
        <v>0</v>
      </c>
    </row>
    <row r="2251" spans="1:8" x14ac:dyDescent="0.2">
      <c r="A2251" t="s">
        <v>2802</v>
      </c>
      <c r="B2251" s="5" t="s">
        <v>1130</v>
      </c>
      <c r="C2251" s="17">
        <v>150000</v>
      </c>
      <c r="D2251" t="s">
        <v>260</v>
      </c>
      <c r="E2251" t="s">
        <v>885</v>
      </c>
      <c r="F2251" s="4">
        <v>39987</v>
      </c>
      <c r="G2251" s="17">
        <v>150000</v>
      </c>
      <c r="H2251" s="17">
        <v>0</v>
      </c>
    </row>
    <row r="2252" spans="1:8" x14ac:dyDescent="0.2">
      <c r="A2252" t="s">
        <v>2803</v>
      </c>
      <c r="B2252" s="5" t="s">
        <v>1131</v>
      </c>
      <c r="C2252" s="17">
        <v>500000</v>
      </c>
      <c r="D2252" t="s">
        <v>260</v>
      </c>
      <c r="E2252" t="s">
        <v>885</v>
      </c>
      <c r="F2252" s="4">
        <v>40025</v>
      </c>
      <c r="G2252" s="17">
        <v>147049</v>
      </c>
      <c r="H2252" s="17">
        <v>352951</v>
      </c>
    </row>
    <row r="2253" spans="1:8" x14ac:dyDescent="0.2">
      <c r="A2253" t="s">
        <v>3381</v>
      </c>
      <c r="B2253" s="5" t="s">
        <v>4244</v>
      </c>
      <c r="C2253" s="17">
        <v>500000</v>
      </c>
      <c r="D2253" t="s">
        <v>260</v>
      </c>
      <c r="E2253" t="s">
        <v>516</v>
      </c>
      <c r="F2253" s="4">
        <v>40316</v>
      </c>
      <c r="G2253" s="17">
        <v>153706</v>
      </c>
      <c r="H2253" s="17">
        <v>346294</v>
      </c>
    </row>
    <row r="2254" spans="1:8" x14ac:dyDescent="0.2">
      <c r="A2254" t="s">
        <v>3382</v>
      </c>
      <c r="B2254" s="5" t="s">
        <v>2947</v>
      </c>
      <c r="C2254" s="17">
        <v>500000</v>
      </c>
      <c r="D2254" t="s">
        <v>260</v>
      </c>
      <c r="E2254" t="s">
        <v>516</v>
      </c>
      <c r="F2254" s="4">
        <v>40325</v>
      </c>
      <c r="G2254" s="17">
        <v>485500</v>
      </c>
      <c r="H2254" s="17">
        <v>14500</v>
      </c>
    </row>
    <row r="2255" spans="1:8" x14ac:dyDescent="0.2">
      <c r="A2255" t="s">
        <v>3383</v>
      </c>
      <c r="B2255" s="5" t="s">
        <v>3384</v>
      </c>
      <c r="C2255" s="17">
        <v>1000000</v>
      </c>
      <c r="D2255" t="s">
        <v>260</v>
      </c>
      <c r="E2255" t="s">
        <v>888</v>
      </c>
      <c r="F2255" s="4">
        <v>40401</v>
      </c>
      <c r="G2255" s="17">
        <v>0</v>
      </c>
      <c r="H2255" s="17">
        <v>1000000</v>
      </c>
    </row>
    <row r="2256" spans="1:8" x14ac:dyDescent="0.2">
      <c r="A2256" t="s">
        <v>4478</v>
      </c>
      <c r="B2256" s="5" t="s">
        <v>4479</v>
      </c>
      <c r="C2256" s="17">
        <v>10000000</v>
      </c>
      <c r="D2256" t="s">
        <v>260</v>
      </c>
      <c r="E2256" t="s">
        <v>3031</v>
      </c>
      <c r="F2256" s="4">
        <v>40546</v>
      </c>
      <c r="G2256" s="17">
        <v>0</v>
      </c>
      <c r="H2256" s="17">
        <v>10000000</v>
      </c>
    </row>
    <row r="2257" spans="1:8" x14ac:dyDescent="0.2">
      <c r="A2257" t="s">
        <v>3611</v>
      </c>
      <c r="B2257" s="5" t="s">
        <v>3385</v>
      </c>
      <c r="C2257" s="17">
        <v>6000000</v>
      </c>
      <c r="D2257" t="s">
        <v>260</v>
      </c>
      <c r="E2257" t="s">
        <v>888</v>
      </c>
      <c r="F2257" s="4">
        <v>40436</v>
      </c>
      <c r="G2257" s="17">
        <v>0</v>
      </c>
      <c r="H2257" s="17">
        <v>6000000</v>
      </c>
    </row>
    <row r="2258" spans="1:8" x14ac:dyDescent="0.2">
      <c r="A2258" t="s">
        <v>4449</v>
      </c>
      <c r="B2258" s="5" t="s">
        <v>4094</v>
      </c>
      <c r="C2258" s="17">
        <v>250000</v>
      </c>
      <c r="D2258" t="s">
        <v>260</v>
      </c>
      <c r="E2258" t="s">
        <v>3031</v>
      </c>
      <c r="F2258" s="4">
        <v>40557</v>
      </c>
      <c r="G2258" s="17">
        <v>0</v>
      </c>
      <c r="H2258" s="17">
        <v>250000</v>
      </c>
    </row>
    <row r="2259" spans="1:8" x14ac:dyDescent="0.2">
      <c r="A2259" t="s">
        <v>4450</v>
      </c>
      <c r="B2259" s="5" t="s">
        <v>4095</v>
      </c>
      <c r="C2259" s="17">
        <v>250000</v>
      </c>
      <c r="D2259" t="s">
        <v>260</v>
      </c>
      <c r="E2259" t="s">
        <v>3031</v>
      </c>
      <c r="F2259" s="4">
        <v>40557</v>
      </c>
      <c r="G2259" s="17">
        <v>0</v>
      </c>
      <c r="H2259" s="17">
        <v>250000</v>
      </c>
    </row>
    <row r="2260" spans="1:8" x14ac:dyDescent="0.2">
      <c r="A2260" t="s">
        <v>4623</v>
      </c>
      <c r="B2260" s="5" t="s">
        <v>4624</v>
      </c>
      <c r="C2260" s="17">
        <v>500000</v>
      </c>
      <c r="D2260" t="s">
        <v>260</v>
      </c>
      <c r="E2260" t="s">
        <v>3031</v>
      </c>
      <c r="F2260" s="4">
        <v>41316</v>
      </c>
      <c r="G2260" s="17">
        <v>0</v>
      </c>
      <c r="H2260" s="17">
        <v>500000</v>
      </c>
    </row>
    <row r="2261" spans="1:8" x14ac:dyDescent="0.2">
      <c r="A2261" t="s">
        <v>4030</v>
      </c>
      <c r="B2261" s="5" t="s">
        <v>4031</v>
      </c>
      <c r="C2261" s="17">
        <v>375000</v>
      </c>
      <c r="D2261" t="s">
        <v>260</v>
      </c>
      <c r="E2261" t="s">
        <v>3031</v>
      </c>
      <c r="F2261" s="4">
        <v>40546</v>
      </c>
      <c r="G2261" s="17">
        <v>0</v>
      </c>
      <c r="H2261" s="17">
        <v>375000</v>
      </c>
    </row>
    <row r="2262" spans="1:8" x14ac:dyDescent="0.2">
      <c r="A2262" t="s">
        <v>4625</v>
      </c>
      <c r="B2262" s="5" t="s">
        <v>4626</v>
      </c>
      <c r="C2262" s="17">
        <v>1000000</v>
      </c>
      <c r="D2262" t="s">
        <v>260</v>
      </c>
      <c r="E2262" t="s">
        <v>3031</v>
      </c>
      <c r="F2262" s="4">
        <v>41316</v>
      </c>
      <c r="G2262" s="17">
        <v>0</v>
      </c>
      <c r="H2262" s="17">
        <v>1000000</v>
      </c>
    </row>
    <row r="2263" spans="1:8" x14ac:dyDescent="0.2">
      <c r="A2263" t="s">
        <v>4627</v>
      </c>
      <c r="B2263" s="5" t="s">
        <v>4628</v>
      </c>
      <c r="C2263" s="17">
        <v>1000000</v>
      </c>
      <c r="D2263" t="s">
        <v>260</v>
      </c>
      <c r="E2263" t="s">
        <v>888</v>
      </c>
      <c r="F2263" s="4">
        <v>41316</v>
      </c>
      <c r="G2263" s="17">
        <v>0</v>
      </c>
      <c r="H2263" s="17">
        <v>1000000</v>
      </c>
    </row>
    <row r="2264" spans="1:8" x14ac:dyDescent="0.2">
      <c r="A2264" t="s">
        <v>3386</v>
      </c>
      <c r="B2264" s="5" t="s">
        <v>208</v>
      </c>
      <c r="C2264" s="17">
        <v>0</v>
      </c>
      <c r="D2264" t="s">
        <v>260</v>
      </c>
      <c r="E2264" t="s">
        <v>2107</v>
      </c>
      <c r="F2264" s="4">
        <v>37720</v>
      </c>
      <c r="G2264" s="17">
        <v>0</v>
      </c>
      <c r="H2264" s="17">
        <v>0</v>
      </c>
    </row>
    <row r="2265" spans="1:8" x14ac:dyDescent="0.2">
      <c r="A2265" t="s">
        <v>2732</v>
      </c>
      <c r="B2265" s="5" t="s">
        <v>2101</v>
      </c>
      <c r="C2265" s="17">
        <v>1000000</v>
      </c>
      <c r="D2265" t="s">
        <v>2949</v>
      </c>
      <c r="E2265" t="s">
        <v>888</v>
      </c>
      <c r="F2265" s="4">
        <v>39897</v>
      </c>
      <c r="G2265" s="17">
        <v>975000</v>
      </c>
      <c r="H2265" s="17">
        <v>25000</v>
      </c>
    </row>
    <row r="2266" spans="1:8" x14ac:dyDescent="0.2">
      <c r="A2266" t="s">
        <v>3774</v>
      </c>
      <c r="B2266" s="5" t="s">
        <v>3775</v>
      </c>
      <c r="C2266" s="17">
        <v>500000</v>
      </c>
      <c r="D2266" t="s">
        <v>2949</v>
      </c>
      <c r="E2266" t="s">
        <v>888</v>
      </c>
      <c r="F2266" s="4">
        <v>40546</v>
      </c>
      <c r="G2266" s="17">
        <v>0</v>
      </c>
      <c r="H2266" s="17">
        <v>500000</v>
      </c>
    </row>
    <row r="2267" spans="1:8" x14ac:dyDescent="0.2">
      <c r="A2267" t="s">
        <v>3612</v>
      </c>
      <c r="B2267" s="5" t="s">
        <v>2948</v>
      </c>
      <c r="C2267" s="17">
        <v>1500000</v>
      </c>
      <c r="D2267" t="s">
        <v>2949</v>
      </c>
      <c r="E2267" t="s">
        <v>888</v>
      </c>
      <c r="F2267" s="4">
        <v>40346</v>
      </c>
      <c r="G2267" s="17">
        <v>0</v>
      </c>
      <c r="H2267" s="17">
        <v>1500000</v>
      </c>
    </row>
    <row r="2268" spans="1:8" x14ac:dyDescent="0.2">
      <c r="A2268" t="s">
        <v>355</v>
      </c>
      <c r="B2268" s="5" t="s">
        <v>356</v>
      </c>
      <c r="C2268" s="17">
        <v>1642000</v>
      </c>
      <c r="D2268" t="s">
        <v>357</v>
      </c>
      <c r="E2268" t="s">
        <v>290</v>
      </c>
      <c r="F2268" s="4">
        <v>34151</v>
      </c>
      <c r="G2268" s="17">
        <v>1642000</v>
      </c>
      <c r="H2268" s="17">
        <v>0</v>
      </c>
    </row>
    <row r="2269" spans="1:8" x14ac:dyDescent="0.2">
      <c r="A2269" t="s">
        <v>360</v>
      </c>
      <c r="B2269" s="5" t="s">
        <v>361</v>
      </c>
      <c r="C2269" s="17">
        <v>1200000</v>
      </c>
      <c r="D2269" t="s">
        <v>357</v>
      </c>
      <c r="E2269" t="s">
        <v>290</v>
      </c>
      <c r="F2269" s="4">
        <v>34151</v>
      </c>
      <c r="G2269" s="17">
        <v>1200000</v>
      </c>
      <c r="H2269" s="17">
        <v>0</v>
      </c>
    </row>
    <row r="2270" spans="1:8" x14ac:dyDescent="0.2">
      <c r="A2270" t="s">
        <v>716</v>
      </c>
      <c r="B2270" s="5" t="s">
        <v>812</v>
      </c>
      <c r="C2270" s="17">
        <v>4000000</v>
      </c>
      <c r="D2270" t="s">
        <v>357</v>
      </c>
      <c r="E2270" t="s">
        <v>969</v>
      </c>
      <c r="F2270" s="4">
        <v>36929</v>
      </c>
      <c r="G2270" s="17">
        <v>4000000</v>
      </c>
      <c r="H2270" s="17">
        <v>0</v>
      </c>
    </row>
    <row r="2271" spans="1:8" x14ac:dyDescent="0.2">
      <c r="A2271" t="s">
        <v>2209</v>
      </c>
      <c r="B2271" s="5" t="s">
        <v>2210</v>
      </c>
      <c r="C2271" s="17">
        <v>3500000</v>
      </c>
      <c r="D2271" t="s">
        <v>357</v>
      </c>
      <c r="E2271" t="s">
        <v>969</v>
      </c>
      <c r="F2271" s="4">
        <v>37174</v>
      </c>
      <c r="G2271" s="17">
        <v>3500000</v>
      </c>
      <c r="H2271" s="17">
        <v>0</v>
      </c>
    </row>
    <row r="2272" spans="1:8" x14ac:dyDescent="0.2">
      <c r="A2272" t="s">
        <v>2307</v>
      </c>
      <c r="B2272" s="5" t="s">
        <v>2308</v>
      </c>
      <c r="C2272" s="17">
        <v>12000000</v>
      </c>
      <c r="D2272" t="s">
        <v>357</v>
      </c>
      <c r="E2272" t="s">
        <v>969</v>
      </c>
      <c r="F2272" s="4">
        <v>37558</v>
      </c>
      <c r="G2272" s="17">
        <v>12000000</v>
      </c>
      <c r="H2272" s="17">
        <v>0</v>
      </c>
    </row>
    <row r="2273" spans="1:8" x14ac:dyDescent="0.2">
      <c r="A2273" t="s">
        <v>21</v>
      </c>
      <c r="B2273" s="5" t="s">
        <v>22</v>
      </c>
      <c r="C2273" s="17">
        <v>1500000</v>
      </c>
      <c r="D2273" t="s">
        <v>357</v>
      </c>
      <c r="E2273" t="s">
        <v>885</v>
      </c>
      <c r="F2273" s="4">
        <v>38790</v>
      </c>
      <c r="G2273" s="17">
        <v>1500000</v>
      </c>
      <c r="H2273" s="17">
        <v>0</v>
      </c>
    </row>
    <row r="2274" spans="1:8" x14ac:dyDescent="0.2">
      <c r="A2274" t="s">
        <v>2332</v>
      </c>
      <c r="B2274" s="5" t="s">
        <v>2333</v>
      </c>
      <c r="C2274" s="17">
        <v>500000</v>
      </c>
      <c r="D2274" t="s">
        <v>357</v>
      </c>
      <c r="E2274" t="s">
        <v>516</v>
      </c>
      <c r="F2274" s="4">
        <v>37610</v>
      </c>
      <c r="G2274" s="17">
        <v>500000</v>
      </c>
      <c r="H2274" s="17">
        <v>0</v>
      </c>
    </row>
    <row r="2275" spans="1:8" x14ac:dyDescent="0.2">
      <c r="A2275" t="s">
        <v>2469</v>
      </c>
      <c r="B2275" s="5" t="s">
        <v>2470</v>
      </c>
      <c r="C2275" s="17">
        <v>5000000</v>
      </c>
      <c r="D2275" t="s">
        <v>357</v>
      </c>
      <c r="E2275" t="s">
        <v>885</v>
      </c>
      <c r="F2275" s="4">
        <v>38216</v>
      </c>
      <c r="G2275" s="17">
        <v>5000000</v>
      </c>
      <c r="H2275" s="17">
        <v>0</v>
      </c>
    </row>
    <row r="2276" spans="1:8" x14ac:dyDescent="0.2">
      <c r="A2276" t="s">
        <v>2515</v>
      </c>
      <c r="B2276" s="5" t="s">
        <v>1824</v>
      </c>
      <c r="C2276" s="17">
        <v>6000000</v>
      </c>
      <c r="D2276" t="s">
        <v>357</v>
      </c>
      <c r="E2276" t="s">
        <v>885</v>
      </c>
      <c r="F2276" s="4">
        <v>38259</v>
      </c>
      <c r="G2276" s="17">
        <v>6000000</v>
      </c>
      <c r="H2276" s="17">
        <v>0</v>
      </c>
    </row>
    <row r="2277" spans="1:8" x14ac:dyDescent="0.2">
      <c r="A2277" t="s">
        <v>810</v>
      </c>
      <c r="B2277" s="5" t="s">
        <v>648</v>
      </c>
      <c r="C2277" s="17">
        <v>7000000</v>
      </c>
      <c r="D2277" t="s">
        <v>357</v>
      </c>
      <c r="E2277" t="s">
        <v>885</v>
      </c>
      <c r="F2277" s="4">
        <v>38974</v>
      </c>
      <c r="G2277" s="17">
        <v>4622425.96</v>
      </c>
      <c r="H2277" s="17">
        <v>2377574.04</v>
      </c>
    </row>
    <row r="2278" spans="1:8" x14ac:dyDescent="0.2">
      <c r="A2278" t="s">
        <v>2589</v>
      </c>
      <c r="B2278" s="5" t="s">
        <v>1939</v>
      </c>
      <c r="C2278" s="17">
        <v>250000</v>
      </c>
      <c r="D2278" t="s">
        <v>357</v>
      </c>
      <c r="E2278" t="s">
        <v>444</v>
      </c>
      <c r="F2278" s="4">
        <v>39245</v>
      </c>
      <c r="G2278" s="17">
        <v>250000</v>
      </c>
      <c r="H2278" s="17">
        <v>0</v>
      </c>
    </row>
    <row r="2279" spans="1:8" x14ac:dyDescent="0.2">
      <c r="A2279" t="s">
        <v>2590</v>
      </c>
      <c r="B2279" s="5" t="s">
        <v>1134</v>
      </c>
      <c r="C2279" s="17">
        <v>2500000</v>
      </c>
      <c r="D2279" t="s">
        <v>357</v>
      </c>
      <c r="E2279" t="s">
        <v>888</v>
      </c>
      <c r="F2279" s="4">
        <v>39688</v>
      </c>
      <c r="G2279" s="17">
        <v>2500000</v>
      </c>
      <c r="H2279" s="17">
        <v>0</v>
      </c>
    </row>
    <row r="2280" spans="1:8" x14ac:dyDescent="0.2">
      <c r="A2280" t="s">
        <v>1133</v>
      </c>
      <c r="B2280" s="5" t="s">
        <v>1159</v>
      </c>
      <c r="C2280" s="17">
        <v>2500000</v>
      </c>
      <c r="D2280" t="s">
        <v>357</v>
      </c>
      <c r="E2280" t="s">
        <v>888</v>
      </c>
      <c r="F2280" s="4">
        <v>39688</v>
      </c>
      <c r="G2280" s="17">
        <v>2500000</v>
      </c>
      <c r="H2280" s="17">
        <v>0</v>
      </c>
    </row>
    <row r="2281" spans="1:8" x14ac:dyDescent="0.2">
      <c r="A2281" t="s">
        <v>154</v>
      </c>
      <c r="B2281" s="5" t="s">
        <v>999</v>
      </c>
      <c r="C2281" s="17">
        <v>1200000</v>
      </c>
      <c r="D2281" t="s">
        <v>357</v>
      </c>
      <c r="E2281" t="s">
        <v>787</v>
      </c>
      <c r="F2281" s="4">
        <v>39930</v>
      </c>
      <c r="G2281" s="17">
        <v>1200000</v>
      </c>
      <c r="H2281" s="17">
        <v>0</v>
      </c>
    </row>
    <row r="2282" spans="1:8" x14ac:dyDescent="0.2">
      <c r="A2282" t="s">
        <v>155</v>
      </c>
      <c r="B2282" s="5" t="s">
        <v>156</v>
      </c>
      <c r="C2282" s="17">
        <v>150000</v>
      </c>
      <c r="D2282" t="s">
        <v>357</v>
      </c>
      <c r="E2282" t="s">
        <v>888</v>
      </c>
      <c r="F2282" s="4">
        <v>40213</v>
      </c>
      <c r="G2282" s="17">
        <v>150000</v>
      </c>
      <c r="H2282" s="17">
        <v>0</v>
      </c>
    </row>
    <row r="2283" spans="1:8" x14ac:dyDescent="0.2">
      <c r="A2283" t="s">
        <v>157</v>
      </c>
      <c r="B2283" s="5" t="s">
        <v>158</v>
      </c>
      <c r="C2283" s="17">
        <v>150000</v>
      </c>
      <c r="D2283" t="s">
        <v>357</v>
      </c>
      <c r="E2283" t="s">
        <v>888</v>
      </c>
      <c r="F2283" s="4">
        <v>40217</v>
      </c>
      <c r="G2283" s="17">
        <v>150000</v>
      </c>
      <c r="H2283" s="17">
        <v>0</v>
      </c>
    </row>
    <row r="2284" spans="1:8" x14ac:dyDescent="0.2">
      <c r="A2284" t="s">
        <v>1940</v>
      </c>
      <c r="B2284" s="5" t="s">
        <v>811</v>
      </c>
      <c r="C2284" s="17">
        <v>1500000</v>
      </c>
      <c r="D2284" t="s">
        <v>357</v>
      </c>
      <c r="E2284" t="s">
        <v>444</v>
      </c>
      <c r="F2284" s="4">
        <v>39497</v>
      </c>
      <c r="G2284" s="17">
        <v>0</v>
      </c>
      <c r="H2284" s="17">
        <v>1500000</v>
      </c>
    </row>
    <row r="2285" spans="1:8" x14ac:dyDescent="0.2">
      <c r="A2285" t="s">
        <v>159</v>
      </c>
      <c r="B2285" s="5" t="s">
        <v>2106</v>
      </c>
      <c r="C2285" s="17">
        <v>1000000</v>
      </c>
      <c r="D2285" t="s">
        <v>357</v>
      </c>
      <c r="E2285" t="s">
        <v>2107</v>
      </c>
      <c r="F2285" s="4">
        <v>39930</v>
      </c>
      <c r="G2285" s="17">
        <v>1000000</v>
      </c>
      <c r="H2285" s="17">
        <v>0</v>
      </c>
    </row>
    <row r="2286" spans="1:8" x14ac:dyDescent="0.2">
      <c r="A2286" t="s">
        <v>3387</v>
      </c>
      <c r="B2286" s="5" t="s">
        <v>2805</v>
      </c>
      <c r="C2286" s="17">
        <v>14000000</v>
      </c>
      <c r="D2286" t="s">
        <v>357</v>
      </c>
      <c r="E2286" t="s">
        <v>516</v>
      </c>
      <c r="F2286" s="4">
        <v>40260</v>
      </c>
      <c r="G2286" s="17">
        <v>13860000</v>
      </c>
      <c r="H2286" s="17">
        <v>140000</v>
      </c>
    </row>
    <row r="2287" spans="1:8" x14ac:dyDescent="0.2">
      <c r="A2287" t="s">
        <v>4032</v>
      </c>
      <c r="B2287" s="5" t="s">
        <v>3388</v>
      </c>
      <c r="C2287" s="17">
        <v>1000000</v>
      </c>
      <c r="D2287" t="s">
        <v>357</v>
      </c>
      <c r="E2287" t="s">
        <v>888</v>
      </c>
      <c r="F2287" s="4">
        <v>40393</v>
      </c>
      <c r="G2287" s="17">
        <v>1000000</v>
      </c>
      <c r="H2287" s="17">
        <v>0</v>
      </c>
    </row>
    <row r="2288" spans="1:8" x14ac:dyDescent="0.2">
      <c r="A2288" t="s">
        <v>4033</v>
      </c>
      <c r="B2288" s="5" t="s">
        <v>3389</v>
      </c>
      <c r="C2288" s="17">
        <v>1000000</v>
      </c>
      <c r="D2288" t="s">
        <v>357</v>
      </c>
      <c r="E2288" t="s">
        <v>888</v>
      </c>
      <c r="F2288" s="4">
        <v>40393</v>
      </c>
      <c r="G2288" s="17">
        <v>1000000</v>
      </c>
      <c r="H2288" s="17">
        <v>0</v>
      </c>
    </row>
    <row r="2289" spans="1:8" x14ac:dyDescent="0.2">
      <c r="A2289" t="s">
        <v>4034</v>
      </c>
      <c r="B2289" s="5" t="s">
        <v>3390</v>
      </c>
      <c r="C2289" s="17">
        <v>1370000</v>
      </c>
      <c r="D2289" t="s">
        <v>357</v>
      </c>
      <c r="E2289" t="s">
        <v>888</v>
      </c>
      <c r="F2289" s="4">
        <v>40393</v>
      </c>
      <c r="G2289" s="17">
        <v>301073</v>
      </c>
      <c r="H2289" s="17">
        <v>1068927</v>
      </c>
    </row>
    <row r="2290" spans="1:8" x14ac:dyDescent="0.2">
      <c r="A2290" t="s">
        <v>4035</v>
      </c>
      <c r="B2290" s="5" t="s">
        <v>3391</v>
      </c>
      <c r="C2290" s="17">
        <v>5000000</v>
      </c>
      <c r="D2290" t="s">
        <v>357</v>
      </c>
      <c r="E2290" t="s">
        <v>888</v>
      </c>
      <c r="F2290" s="4">
        <v>40487</v>
      </c>
      <c r="G2290" s="17">
        <v>0</v>
      </c>
      <c r="H2290" s="17">
        <v>5000000</v>
      </c>
    </row>
    <row r="2291" spans="1:8" x14ac:dyDescent="0.2">
      <c r="A2291" t="s">
        <v>2804</v>
      </c>
      <c r="B2291" s="5" t="s">
        <v>0</v>
      </c>
      <c r="C2291" s="17">
        <v>250000</v>
      </c>
      <c r="D2291" t="s">
        <v>357</v>
      </c>
      <c r="E2291" t="s">
        <v>516</v>
      </c>
      <c r="F2291" s="4">
        <v>39414</v>
      </c>
      <c r="G2291" s="17">
        <v>0</v>
      </c>
      <c r="H2291" s="17">
        <v>250000</v>
      </c>
    </row>
    <row r="2292" spans="1:8" x14ac:dyDescent="0.2">
      <c r="A2292" t="s">
        <v>4036</v>
      </c>
      <c r="B2292" s="5" t="s">
        <v>4037</v>
      </c>
      <c r="C2292" s="17">
        <v>250000</v>
      </c>
      <c r="D2292" t="s">
        <v>357</v>
      </c>
      <c r="E2292" t="s">
        <v>3031</v>
      </c>
      <c r="F2292" s="4">
        <v>40519</v>
      </c>
      <c r="G2292" s="17">
        <v>0</v>
      </c>
      <c r="H2292" s="17">
        <v>250000</v>
      </c>
    </row>
    <row r="2293" spans="1:8" x14ac:dyDescent="0.2">
      <c r="A2293" t="s">
        <v>4038</v>
      </c>
      <c r="B2293" s="5" t="s">
        <v>4039</v>
      </c>
      <c r="C2293" s="17">
        <v>250000</v>
      </c>
      <c r="D2293" t="s">
        <v>357</v>
      </c>
      <c r="E2293" t="s">
        <v>3031</v>
      </c>
      <c r="F2293" s="4">
        <v>40546</v>
      </c>
      <c r="G2293" s="17">
        <v>0</v>
      </c>
      <c r="H2293" s="17">
        <v>250000</v>
      </c>
    </row>
    <row r="2294" spans="1:8" x14ac:dyDescent="0.2">
      <c r="A2294" t="s">
        <v>4245</v>
      </c>
      <c r="B2294" s="5" t="s">
        <v>4040</v>
      </c>
      <c r="C2294" s="17">
        <v>250000</v>
      </c>
      <c r="D2294" t="s">
        <v>357</v>
      </c>
      <c r="E2294" t="s">
        <v>3031</v>
      </c>
      <c r="F2294" s="4">
        <v>40519</v>
      </c>
      <c r="G2294" s="17">
        <v>0</v>
      </c>
      <c r="H2294" s="17">
        <v>250000</v>
      </c>
    </row>
    <row r="2295" spans="1:8" x14ac:dyDescent="0.2">
      <c r="A2295" t="s">
        <v>4246</v>
      </c>
      <c r="B2295" s="5" t="s">
        <v>4041</v>
      </c>
      <c r="C2295" s="17">
        <v>250000</v>
      </c>
      <c r="D2295" t="s">
        <v>357</v>
      </c>
      <c r="E2295" t="s">
        <v>3031</v>
      </c>
      <c r="F2295" s="4">
        <v>40546</v>
      </c>
      <c r="G2295" s="17">
        <v>0</v>
      </c>
      <c r="H2295" s="17">
        <v>250000</v>
      </c>
    </row>
    <row r="2296" spans="1:8" x14ac:dyDescent="0.2">
      <c r="A2296" t="s">
        <v>4400</v>
      </c>
      <c r="B2296" s="5" t="s">
        <v>1369</v>
      </c>
      <c r="C2296" s="17">
        <v>0</v>
      </c>
      <c r="D2296" t="s">
        <v>357</v>
      </c>
      <c r="E2296" t="s">
        <v>444</v>
      </c>
      <c r="F2296" s="4">
        <v>40212</v>
      </c>
      <c r="G2296" s="17">
        <v>0</v>
      </c>
      <c r="H2296" s="17">
        <v>0</v>
      </c>
    </row>
    <row r="2298" spans="1:8" x14ac:dyDescent="0.2">
      <c r="B2298" s="3" t="s">
        <v>26</v>
      </c>
      <c r="C2298" s="11">
        <f>SUM(C7:C2297)</f>
        <v>5066666849</v>
      </c>
      <c r="G2298" s="11">
        <f>SUM(G7:G2297)</f>
        <v>3752897264.3700004</v>
      </c>
      <c r="H2298" s="11">
        <f>SUM(H7:H2297)</f>
        <v>1313769584.6300001</v>
      </c>
    </row>
  </sheetData>
  <sheetProtection password="8FF2" sheet="1" autoFilter="0"/>
  <mergeCells count="4">
    <mergeCell ref="A1:H1"/>
    <mergeCell ref="A2:H2"/>
    <mergeCell ref="A3:H3"/>
    <mergeCell ref="A4:H4"/>
  </mergeCells>
  <phoneticPr fontId="0" type="noConversion"/>
  <pageMargins left="0.38" right="0.75" top="0.24" bottom="0.51" header="0.2" footer="0.17"/>
  <pageSetup scale="68" fitToHeight="42" orientation="landscape" r:id="rId1"/>
  <headerFooter alignWithMargins="0">
    <oddFooter>&amp;L&amp;D&amp;C&amp;F&amp;R&amp;P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92"/>
  <sheetViews>
    <sheetView zoomScale="90" zoomScaleNormal="90" workbookViewId="0">
      <pane ySplit="6" topLeftCell="A7" activePane="bottomLeft" state="frozen"/>
      <selection pane="bottomLeft" activeCell="A2" sqref="A2:E2"/>
    </sheetView>
  </sheetViews>
  <sheetFormatPr defaultRowHeight="12.75" x14ac:dyDescent="0.2"/>
  <cols>
    <col min="1" max="1" width="15.140625" customWidth="1"/>
    <col min="2" max="2" width="21.5703125" style="10" customWidth="1"/>
    <col min="3" max="3" width="17.5703125" style="11" customWidth="1"/>
    <col min="4" max="4" width="17.7109375" style="10" customWidth="1"/>
    <col min="5" max="5" width="15.140625" style="9" customWidth="1"/>
  </cols>
  <sheetData>
    <row r="1" spans="1:31" s="8" customFormat="1" ht="19.5" x14ac:dyDescent="0.25">
      <c r="A1" s="24" t="s">
        <v>4629</v>
      </c>
      <c r="B1" s="24"/>
      <c r="C1" s="24"/>
      <c r="D1" s="24"/>
      <c r="E1" s="24"/>
      <c r="F1" s="19"/>
    </row>
    <row r="2" spans="1:31" s="8" customFormat="1" ht="18" x14ac:dyDescent="0.25">
      <c r="A2" s="25" t="s">
        <v>4630</v>
      </c>
      <c r="B2" s="25"/>
      <c r="C2" s="25"/>
      <c r="D2" s="25"/>
      <c r="E2" s="25"/>
      <c r="F2" s="20"/>
    </row>
    <row r="3" spans="1:31" s="8" customFormat="1" ht="18" x14ac:dyDescent="0.25">
      <c r="A3" s="25" t="s">
        <v>4631</v>
      </c>
      <c r="B3" s="25"/>
      <c r="C3" s="25"/>
      <c r="D3" s="25"/>
      <c r="E3" s="25"/>
      <c r="F3" s="20"/>
    </row>
    <row r="4" spans="1:31" s="8" customFormat="1" ht="18" x14ac:dyDescent="0.25">
      <c r="A4" s="25" t="s">
        <v>4632</v>
      </c>
      <c r="B4" s="25"/>
      <c r="C4" s="25"/>
      <c r="D4" s="25"/>
      <c r="E4" s="25"/>
      <c r="F4" s="21"/>
    </row>
    <row r="6" spans="1:31" s="12" customFormat="1" x14ac:dyDescent="0.2">
      <c r="A6" s="18" t="s">
        <v>1556</v>
      </c>
      <c r="B6" t="s">
        <v>4633</v>
      </c>
      <c r="C6" t="s">
        <v>4635</v>
      </c>
      <c r="D6" t="s">
        <v>4636</v>
      </c>
      <c r="E6" t="s">
        <v>27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">
      <c r="A7" t="s">
        <v>2020</v>
      </c>
      <c r="B7" s="10">
        <v>40750000</v>
      </c>
      <c r="C7" s="10">
        <v>34596788</v>
      </c>
      <c r="D7" s="10">
        <v>6153212</v>
      </c>
      <c r="E7" s="9">
        <v>12</v>
      </c>
      <c r="H7" s="6"/>
      <c r="I7" s="7"/>
      <c r="J7" s="7"/>
      <c r="K7" s="7"/>
      <c r="L7" s="7"/>
    </row>
    <row r="8" spans="1:31" x14ac:dyDescent="0.2">
      <c r="A8" t="s">
        <v>1563</v>
      </c>
      <c r="B8" s="10">
        <v>931567254</v>
      </c>
      <c r="C8" s="10">
        <v>743005238.05999994</v>
      </c>
      <c r="D8" s="10">
        <v>188562015.94</v>
      </c>
      <c r="E8" s="9">
        <v>344</v>
      </c>
      <c r="H8" s="6"/>
      <c r="I8" s="7"/>
      <c r="J8" s="7"/>
      <c r="K8" s="7"/>
      <c r="L8" s="7"/>
    </row>
    <row r="9" spans="1:31" x14ac:dyDescent="0.2">
      <c r="A9" t="s">
        <v>701</v>
      </c>
      <c r="B9" s="10">
        <v>12650000</v>
      </c>
      <c r="C9" s="10">
        <v>7948136</v>
      </c>
      <c r="D9" s="10">
        <v>4701864</v>
      </c>
      <c r="E9" s="9">
        <v>10</v>
      </c>
    </row>
    <row r="10" spans="1:31" x14ac:dyDescent="0.2">
      <c r="A10" t="s">
        <v>348</v>
      </c>
      <c r="B10" s="10">
        <v>41250000</v>
      </c>
      <c r="C10" s="10">
        <v>36691184</v>
      </c>
      <c r="D10" s="10">
        <v>4558816</v>
      </c>
      <c r="E10" s="9">
        <v>34</v>
      </c>
    </row>
    <row r="11" spans="1:31" x14ac:dyDescent="0.2">
      <c r="A11" t="s">
        <v>1723</v>
      </c>
      <c r="B11" s="10">
        <v>27500000</v>
      </c>
      <c r="C11" s="10">
        <v>27500000</v>
      </c>
      <c r="D11" s="10">
        <v>0</v>
      </c>
      <c r="E11" s="9">
        <v>4</v>
      </c>
    </row>
    <row r="12" spans="1:31" x14ac:dyDescent="0.2">
      <c r="A12" t="s">
        <v>306</v>
      </c>
      <c r="B12" s="10">
        <v>101050000</v>
      </c>
      <c r="C12" s="10">
        <v>66934949</v>
      </c>
      <c r="D12" s="10">
        <v>34115051</v>
      </c>
      <c r="E12" s="9">
        <v>61</v>
      </c>
    </row>
    <row r="13" spans="1:31" x14ac:dyDescent="0.2">
      <c r="A13" t="s">
        <v>370</v>
      </c>
      <c r="B13" s="10">
        <v>66105000</v>
      </c>
      <c r="C13" s="10">
        <v>58670804.989999995</v>
      </c>
      <c r="D13" s="10">
        <v>7434195.0099999998</v>
      </c>
      <c r="E13" s="9">
        <v>20</v>
      </c>
    </row>
    <row r="14" spans="1:31" x14ac:dyDescent="0.2">
      <c r="A14" t="s">
        <v>520</v>
      </c>
      <c r="B14" s="10">
        <v>26750000</v>
      </c>
      <c r="C14" s="10">
        <v>19750000</v>
      </c>
      <c r="D14" s="10">
        <v>7000000</v>
      </c>
      <c r="E14" s="9">
        <v>5</v>
      </c>
    </row>
    <row r="15" spans="1:31" x14ac:dyDescent="0.2">
      <c r="A15" t="s">
        <v>284</v>
      </c>
      <c r="B15" s="10">
        <v>76043105</v>
      </c>
      <c r="C15" s="10">
        <v>52316313.149999999</v>
      </c>
      <c r="D15" s="10">
        <v>23726791.850000001</v>
      </c>
      <c r="E15" s="9">
        <v>61</v>
      </c>
    </row>
    <row r="16" spans="1:31" x14ac:dyDescent="0.2">
      <c r="A16" t="s">
        <v>488</v>
      </c>
      <c r="B16" s="10">
        <v>17259000</v>
      </c>
      <c r="C16" s="10">
        <v>10240366</v>
      </c>
      <c r="D16" s="10">
        <v>7018634</v>
      </c>
      <c r="E16" s="9">
        <v>13</v>
      </c>
    </row>
    <row r="17" spans="1:5" x14ac:dyDescent="0.2">
      <c r="A17" t="s">
        <v>373</v>
      </c>
      <c r="B17" s="10">
        <v>74500090</v>
      </c>
      <c r="C17" s="10">
        <v>48491663</v>
      </c>
      <c r="D17" s="10">
        <v>26008427</v>
      </c>
      <c r="E17" s="9">
        <v>29</v>
      </c>
    </row>
    <row r="18" spans="1:5" x14ac:dyDescent="0.2">
      <c r="A18" t="s">
        <v>2323</v>
      </c>
      <c r="B18" s="10">
        <v>400000</v>
      </c>
      <c r="C18" s="10">
        <v>400000</v>
      </c>
      <c r="D18" s="10">
        <v>0</v>
      </c>
      <c r="E18" s="9">
        <v>1</v>
      </c>
    </row>
    <row r="19" spans="1:5" x14ac:dyDescent="0.2">
      <c r="A19" t="s">
        <v>2654</v>
      </c>
      <c r="B19" s="10">
        <v>10700000</v>
      </c>
      <c r="C19" s="10">
        <v>3925000</v>
      </c>
      <c r="D19" s="10">
        <v>6775000</v>
      </c>
      <c r="E19" s="9">
        <v>9</v>
      </c>
    </row>
    <row r="20" spans="1:5" x14ac:dyDescent="0.2">
      <c r="A20" t="s">
        <v>2336</v>
      </c>
      <c r="B20" s="10">
        <v>33050000</v>
      </c>
      <c r="C20" s="10">
        <v>19700000</v>
      </c>
      <c r="D20" s="10">
        <v>13350000</v>
      </c>
      <c r="E20" s="9">
        <v>16</v>
      </c>
    </row>
    <row r="21" spans="1:5" x14ac:dyDescent="0.2">
      <c r="A21" t="s">
        <v>2368</v>
      </c>
      <c r="B21" s="10">
        <v>34400000</v>
      </c>
      <c r="C21" s="10">
        <v>25302591</v>
      </c>
      <c r="D21" s="10">
        <v>9097409</v>
      </c>
      <c r="E21" s="9">
        <v>41</v>
      </c>
    </row>
    <row r="22" spans="1:5" x14ac:dyDescent="0.2">
      <c r="A22" t="s">
        <v>226</v>
      </c>
      <c r="B22" s="10">
        <v>3550000</v>
      </c>
      <c r="C22" s="10">
        <v>2700000</v>
      </c>
      <c r="D22" s="10">
        <v>850000</v>
      </c>
      <c r="E22" s="9">
        <v>3</v>
      </c>
    </row>
    <row r="23" spans="1:5" x14ac:dyDescent="0.2">
      <c r="A23" t="s">
        <v>572</v>
      </c>
      <c r="B23" s="10">
        <v>33740000</v>
      </c>
      <c r="C23" s="10">
        <v>25758530</v>
      </c>
      <c r="D23" s="10">
        <v>7981470</v>
      </c>
      <c r="E23" s="9">
        <v>14</v>
      </c>
    </row>
    <row r="24" spans="1:5" x14ac:dyDescent="0.2">
      <c r="A24" t="s">
        <v>281</v>
      </c>
      <c r="B24" s="10">
        <v>10802000</v>
      </c>
      <c r="C24" s="10">
        <v>10777000</v>
      </c>
      <c r="D24" s="10">
        <v>25000</v>
      </c>
      <c r="E24" s="9">
        <v>8</v>
      </c>
    </row>
    <row r="25" spans="1:5" x14ac:dyDescent="0.2">
      <c r="A25" t="s">
        <v>2047</v>
      </c>
      <c r="B25" s="10">
        <v>3550000</v>
      </c>
      <c r="C25" s="10">
        <v>3550000</v>
      </c>
      <c r="D25" s="10">
        <v>0</v>
      </c>
      <c r="E25" s="9">
        <v>7</v>
      </c>
    </row>
    <row r="26" spans="1:5" x14ac:dyDescent="0.2">
      <c r="A26" t="s">
        <v>278</v>
      </c>
      <c r="B26" s="10">
        <v>15150000</v>
      </c>
      <c r="C26" s="10">
        <v>15150000</v>
      </c>
      <c r="D26" s="10">
        <v>0</v>
      </c>
      <c r="E26" s="9">
        <v>10</v>
      </c>
    </row>
    <row r="27" spans="1:5" x14ac:dyDescent="0.2">
      <c r="A27" t="s">
        <v>1789</v>
      </c>
      <c r="B27" s="10">
        <v>48750000</v>
      </c>
      <c r="C27" s="10">
        <v>39743463</v>
      </c>
      <c r="D27" s="10">
        <v>9006537</v>
      </c>
      <c r="E27" s="9">
        <v>14</v>
      </c>
    </row>
    <row r="28" spans="1:5" x14ac:dyDescent="0.2">
      <c r="A28" t="s">
        <v>1715</v>
      </c>
      <c r="B28" s="10">
        <v>195325000</v>
      </c>
      <c r="C28" s="10">
        <v>170901481</v>
      </c>
      <c r="D28" s="10">
        <v>24423519</v>
      </c>
      <c r="E28" s="9">
        <v>53</v>
      </c>
    </row>
    <row r="29" spans="1:5" x14ac:dyDescent="0.2">
      <c r="A29" t="s">
        <v>2251</v>
      </c>
      <c r="B29" s="10">
        <v>134591000</v>
      </c>
      <c r="C29" s="10">
        <v>71018953</v>
      </c>
      <c r="D29" s="10">
        <v>63572047</v>
      </c>
      <c r="E29" s="9">
        <v>74</v>
      </c>
    </row>
    <row r="30" spans="1:5" x14ac:dyDescent="0.2">
      <c r="A30" t="s">
        <v>2313</v>
      </c>
      <c r="B30" s="10">
        <v>10000000</v>
      </c>
      <c r="C30" s="10">
        <v>6639529</v>
      </c>
      <c r="D30" s="10">
        <v>3360471</v>
      </c>
      <c r="E30" s="9">
        <v>6</v>
      </c>
    </row>
    <row r="31" spans="1:5" x14ac:dyDescent="0.2">
      <c r="A31" t="s">
        <v>295</v>
      </c>
      <c r="B31" s="10">
        <v>150621000</v>
      </c>
      <c r="C31" s="10">
        <v>129783417.66</v>
      </c>
      <c r="D31" s="10">
        <v>20837582.34</v>
      </c>
      <c r="E31" s="9">
        <v>51</v>
      </c>
    </row>
    <row r="32" spans="1:5" x14ac:dyDescent="0.2">
      <c r="A32" t="s">
        <v>1701</v>
      </c>
      <c r="B32" s="10">
        <v>26719300</v>
      </c>
      <c r="C32" s="10">
        <v>21370572</v>
      </c>
      <c r="D32" s="10">
        <v>5348728</v>
      </c>
      <c r="E32" s="9">
        <v>18</v>
      </c>
    </row>
    <row r="33" spans="1:5" x14ac:dyDescent="0.2">
      <c r="A33" t="s">
        <v>2674</v>
      </c>
      <c r="B33" s="10">
        <v>0</v>
      </c>
      <c r="C33" s="10">
        <v>0</v>
      </c>
      <c r="D33" s="10">
        <v>0</v>
      </c>
      <c r="E33" s="9">
        <v>2</v>
      </c>
    </row>
    <row r="34" spans="1:5" x14ac:dyDescent="0.2">
      <c r="A34" t="s">
        <v>3476</v>
      </c>
      <c r="B34" s="10">
        <v>5000000</v>
      </c>
      <c r="C34" s="10">
        <v>56665</v>
      </c>
      <c r="D34" s="10">
        <v>4943335</v>
      </c>
      <c r="E34" s="9">
        <v>5</v>
      </c>
    </row>
    <row r="35" spans="1:5" x14ac:dyDescent="0.2">
      <c r="A35" t="s">
        <v>2592</v>
      </c>
      <c r="B35" s="10">
        <v>3000000</v>
      </c>
      <c r="C35" s="10">
        <v>3000000</v>
      </c>
      <c r="D35" s="10">
        <v>0</v>
      </c>
      <c r="E35" s="9">
        <v>1</v>
      </c>
    </row>
    <row r="36" spans="1:5" x14ac:dyDescent="0.2">
      <c r="A36" t="s">
        <v>1808</v>
      </c>
      <c r="B36" s="10">
        <v>14000000</v>
      </c>
      <c r="C36" s="10">
        <v>12783781</v>
      </c>
      <c r="D36" s="10">
        <v>1216219</v>
      </c>
      <c r="E36" s="9">
        <v>15</v>
      </c>
    </row>
    <row r="37" spans="1:5" x14ac:dyDescent="0.2">
      <c r="A37" t="s">
        <v>2514</v>
      </c>
      <c r="B37" s="10">
        <v>2000000</v>
      </c>
      <c r="C37" s="10">
        <v>0</v>
      </c>
      <c r="D37" s="10">
        <v>2000000</v>
      </c>
      <c r="E37" s="9">
        <v>3</v>
      </c>
    </row>
    <row r="38" spans="1:5" x14ac:dyDescent="0.2">
      <c r="A38" t="s">
        <v>688</v>
      </c>
      <c r="B38" s="10">
        <v>22926000</v>
      </c>
      <c r="C38" s="10">
        <v>6037500</v>
      </c>
      <c r="D38" s="10">
        <v>16888500</v>
      </c>
      <c r="E38" s="9">
        <v>21</v>
      </c>
    </row>
    <row r="39" spans="1:5" x14ac:dyDescent="0.2">
      <c r="A39" t="s">
        <v>2270</v>
      </c>
      <c r="B39" s="10">
        <v>10809000</v>
      </c>
      <c r="C39" s="10">
        <v>3759000</v>
      </c>
      <c r="D39" s="10">
        <v>7050000</v>
      </c>
      <c r="E39" s="9">
        <v>9</v>
      </c>
    </row>
    <row r="40" spans="1:5" x14ac:dyDescent="0.2">
      <c r="A40" t="s">
        <v>2427</v>
      </c>
      <c r="B40" s="10">
        <v>3000000</v>
      </c>
      <c r="C40" s="10">
        <v>2985000</v>
      </c>
      <c r="D40" s="10">
        <v>15000</v>
      </c>
      <c r="E40" s="9">
        <v>1</v>
      </c>
    </row>
    <row r="41" spans="1:5" x14ac:dyDescent="0.2">
      <c r="A41" t="s">
        <v>257</v>
      </c>
      <c r="B41" s="10">
        <v>176364000</v>
      </c>
      <c r="C41" s="10">
        <v>129527905.25</v>
      </c>
      <c r="D41" s="10">
        <v>46836094.75</v>
      </c>
      <c r="E41" s="9">
        <v>56</v>
      </c>
    </row>
    <row r="42" spans="1:5" x14ac:dyDescent="0.2">
      <c r="A42" t="s">
        <v>289</v>
      </c>
      <c r="B42" s="10">
        <v>133000000</v>
      </c>
      <c r="C42" s="10">
        <v>98606111</v>
      </c>
      <c r="D42" s="10">
        <v>34393889</v>
      </c>
      <c r="E42" s="9">
        <v>58</v>
      </c>
    </row>
    <row r="43" spans="1:5" x14ac:dyDescent="0.2">
      <c r="A43" t="s">
        <v>272</v>
      </c>
      <c r="B43" s="10">
        <v>30160000</v>
      </c>
      <c r="C43" s="10">
        <v>21820076</v>
      </c>
      <c r="D43" s="10">
        <v>8339924</v>
      </c>
      <c r="E43" s="9">
        <v>18</v>
      </c>
    </row>
    <row r="44" spans="1:5" x14ac:dyDescent="0.2">
      <c r="A44" t="s">
        <v>712</v>
      </c>
      <c r="B44" s="10">
        <v>11800000</v>
      </c>
      <c r="C44" s="10">
        <v>6534586</v>
      </c>
      <c r="D44" s="10">
        <v>5265414</v>
      </c>
      <c r="E44" s="9">
        <v>9</v>
      </c>
    </row>
    <row r="45" spans="1:5" x14ac:dyDescent="0.2">
      <c r="A45" t="s">
        <v>1774</v>
      </c>
      <c r="B45" s="10">
        <v>139375000</v>
      </c>
      <c r="C45" s="10">
        <v>79673267</v>
      </c>
      <c r="D45" s="10">
        <v>59701733</v>
      </c>
      <c r="E45" s="9">
        <v>115</v>
      </c>
    </row>
    <row r="46" spans="1:5" x14ac:dyDescent="0.2">
      <c r="A46" t="s">
        <v>329</v>
      </c>
      <c r="B46" s="10">
        <v>104670000</v>
      </c>
      <c r="C46" s="10">
        <v>79606986</v>
      </c>
      <c r="D46" s="10">
        <v>25063014</v>
      </c>
      <c r="E46" s="9">
        <v>67</v>
      </c>
    </row>
    <row r="47" spans="1:5" x14ac:dyDescent="0.2">
      <c r="A47" t="s">
        <v>503</v>
      </c>
      <c r="B47" s="10">
        <v>30050000</v>
      </c>
      <c r="C47" s="10">
        <v>26899325</v>
      </c>
      <c r="D47" s="10">
        <v>3150675</v>
      </c>
      <c r="E47" s="9">
        <v>18</v>
      </c>
    </row>
    <row r="48" spans="1:5" x14ac:dyDescent="0.2">
      <c r="A48" t="s">
        <v>2177</v>
      </c>
      <c r="B48" s="10">
        <v>12137000</v>
      </c>
      <c r="C48" s="10">
        <v>11072607</v>
      </c>
      <c r="D48" s="10">
        <v>1064393</v>
      </c>
      <c r="E48" s="9">
        <v>14</v>
      </c>
    </row>
    <row r="49" spans="1:5" x14ac:dyDescent="0.2">
      <c r="A49" t="s">
        <v>575</v>
      </c>
      <c r="B49" s="10">
        <v>34575000</v>
      </c>
      <c r="C49" s="10">
        <v>21455261.75</v>
      </c>
      <c r="D49" s="10">
        <v>13119738.25</v>
      </c>
      <c r="E49" s="9">
        <v>20</v>
      </c>
    </row>
    <row r="50" spans="1:5" x14ac:dyDescent="0.2">
      <c r="A50" t="s">
        <v>839</v>
      </c>
      <c r="B50" s="10">
        <v>4426000</v>
      </c>
      <c r="C50" s="10">
        <v>2359646</v>
      </c>
      <c r="D50" s="10">
        <v>2066354</v>
      </c>
      <c r="E50" s="9">
        <v>3</v>
      </c>
    </row>
    <row r="51" spans="1:5" x14ac:dyDescent="0.2">
      <c r="A51" t="s">
        <v>1760</v>
      </c>
      <c r="B51" s="10">
        <v>31825000</v>
      </c>
      <c r="C51" s="10">
        <v>10293750</v>
      </c>
      <c r="D51" s="10">
        <v>21531250</v>
      </c>
      <c r="E51" s="9">
        <v>15</v>
      </c>
    </row>
    <row r="52" spans="1:5" x14ac:dyDescent="0.2">
      <c r="A52" t="s">
        <v>685</v>
      </c>
      <c r="B52" s="10">
        <v>116680000</v>
      </c>
      <c r="C52" s="10">
        <v>60100636</v>
      </c>
      <c r="D52" s="10">
        <v>56579364</v>
      </c>
      <c r="E52" s="9">
        <v>92</v>
      </c>
    </row>
    <row r="53" spans="1:5" x14ac:dyDescent="0.2">
      <c r="A53" t="s">
        <v>3879</v>
      </c>
      <c r="B53" s="10">
        <v>3150000</v>
      </c>
      <c r="C53" s="10">
        <v>0</v>
      </c>
      <c r="D53" s="10">
        <v>3150000</v>
      </c>
      <c r="E53" s="9">
        <v>2</v>
      </c>
    </row>
    <row r="54" spans="1:5" x14ac:dyDescent="0.2">
      <c r="A54" t="s">
        <v>269</v>
      </c>
      <c r="B54" s="10">
        <v>118449000</v>
      </c>
      <c r="C54" s="10">
        <v>77218295</v>
      </c>
      <c r="D54" s="10">
        <v>41230705</v>
      </c>
      <c r="E54" s="9">
        <v>83</v>
      </c>
    </row>
    <row r="55" spans="1:5" x14ac:dyDescent="0.2">
      <c r="A55" t="s">
        <v>2684</v>
      </c>
      <c r="B55" s="10">
        <v>7500000</v>
      </c>
      <c r="C55" s="10">
        <v>4926989</v>
      </c>
      <c r="D55" s="10">
        <v>2573011</v>
      </c>
      <c r="E55" s="9">
        <v>9</v>
      </c>
    </row>
    <row r="56" spans="1:5" x14ac:dyDescent="0.2">
      <c r="A56" t="s">
        <v>2225</v>
      </c>
      <c r="B56" s="10">
        <v>1775000</v>
      </c>
      <c r="C56" s="10">
        <v>1500000</v>
      </c>
      <c r="D56" s="10">
        <v>275000</v>
      </c>
      <c r="E56" s="9">
        <v>2</v>
      </c>
    </row>
    <row r="57" spans="1:5" x14ac:dyDescent="0.2">
      <c r="A57" t="s">
        <v>1559</v>
      </c>
      <c r="B57" s="10">
        <v>1587840800</v>
      </c>
      <c r="C57" s="10">
        <v>1202227496.5699999</v>
      </c>
      <c r="D57" s="10">
        <v>385613303.43000001</v>
      </c>
      <c r="E57" s="9">
        <v>524</v>
      </c>
    </row>
    <row r="58" spans="1:5" x14ac:dyDescent="0.2">
      <c r="A58" t="s">
        <v>1958</v>
      </c>
      <c r="B58" s="10">
        <v>19000000</v>
      </c>
      <c r="C58" s="10">
        <v>18000000</v>
      </c>
      <c r="D58" s="10">
        <v>1000000</v>
      </c>
      <c r="E58" s="9">
        <v>5</v>
      </c>
    </row>
    <row r="59" spans="1:5" x14ac:dyDescent="0.2">
      <c r="A59" t="s">
        <v>2315</v>
      </c>
      <c r="B59" s="10">
        <v>1400000</v>
      </c>
      <c r="C59" s="10">
        <v>956535</v>
      </c>
      <c r="D59" s="10">
        <v>443465</v>
      </c>
      <c r="E59" s="9">
        <v>3</v>
      </c>
    </row>
    <row r="60" spans="1:5" x14ac:dyDescent="0.2">
      <c r="A60" t="s">
        <v>2236</v>
      </c>
      <c r="B60" s="10">
        <v>14200000</v>
      </c>
      <c r="C60" s="10">
        <v>10625000</v>
      </c>
      <c r="D60" s="10">
        <v>3575000</v>
      </c>
      <c r="E60" s="9">
        <v>14</v>
      </c>
    </row>
    <row r="61" spans="1:5" x14ac:dyDescent="0.2">
      <c r="A61" t="s">
        <v>1157</v>
      </c>
      <c r="B61" s="10">
        <v>5750000</v>
      </c>
      <c r="C61" s="10">
        <v>5433098</v>
      </c>
      <c r="D61" s="10">
        <v>316902</v>
      </c>
      <c r="E61" s="9">
        <v>4</v>
      </c>
    </row>
    <row r="62" spans="1:5" x14ac:dyDescent="0.2">
      <c r="A62" t="s">
        <v>1692</v>
      </c>
      <c r="B62" s="10">
        <v>21432000</v>
      </c>
      <c r="C62" s="10">
        <v>17459044</v>
      </c>
      <c r="D62" s="10">
        <v>3972956</v>
      </c>
      <c r="E62" s="9">
        <v>10</v>
      </c>
    </row>
    <row r="63" spans="1:5" x14ac:dyDescent="0.2">
      <c r="A63" t="s">
        <v>2486</v>
      </c>
      <c r="B63" s="10">
        <v>1000000</v>
      </c>
      <c r="C63" s="10">
        <v>1000000</v>
      </c>
      <c r="D63" s="10">
        <v>0</v>
      </c>
      <c r="E63" s="9">
        <v>1</v>
      </c>
    </row>
    <row r="64" spans="1:5" x14ac:dyDescent="0.2">
      <c r="A64" t="s">
        <v>1124</v>
      </c>
      <c r="B64" s="10">
        <v>4000000</v>
      </c>
      <c r="C64" s="10">
        <v>1166222</v>
      </c>
      <c r="D64" s="10">
        <v>2833778</v>
      </c>
      <c r="E64" s="9">
        <v>4</v>
      </c>
    </row>
    <row r="65" spans="1:5" x14ac:dyDescent="0.2">
      <c r="A65" t="s">
        <v>1984</v>
      </c>
      <c r="B65" s="10">
        <v>7100000</v>
      </c>
      <c r="C65" s="10">
        <v>3525000</v>
      </c>
      <c r="D65" s="10">
        <v>3575000</v>
      </c>
      <c r="E65" s="9">
        <v>5</v>
      </c>
    </row>
    <row r="66" spans="1:5" x14ac:dyDescent="0.2">
      <c r="A66" t="s">
        <v>715</v>
      </c>
      <c r="B66" s="10">
        <v>16350000</v>
      </c>
      <c r="C66" s="10">
        <v>14461003</v>
      </c>
      <c r="D66" s="10">
        <v>1888997</v>
      </c>
      <c r="E66" s="9">
        <v>7</v>
      </c>
    </row>
    <row r="67" spans="1:5" x14ac:dyDescent="0.2">
      <c r="A67" t="s">
        <v>846</v>
      </c>
      <c r="B67" s="10">
        <v>1400000</v>
      </c>
      <c r="C67" s="10">
        <v>900000</v>
      </c>
      <c r="D67" s="10">
        <v>500000</v>
      </c>
      <c r="E67" s="9">
        <v>3</v>
      </c>
    </row>
    <row r="68" spans="1:5" x14ac:dyDescent="0.2">
      <c r="A68" t="s">
        <v>1771</v>
      </c>
      <c r="B68" s="10">
        <v>16100000</v>
      </c>
      <c r="C68" s="10">
        <v>12797429.98</v>
      </c>
      <c r="D68" s="10">
        <v>3302570.02</v>
      </c>
      <c r="E68" s="9">
        <v>11</v>
      </c>
    </row>
    <row r="69" spans="1:5" x14ac:dyDescent="0.2">
      <c r="A69" t="s">
        <v>275</v>
      </c>
      <c r="B69" s="10">
        <v>42600000</v>
      </c>
      <c r="C69" s="10">
        <v>31822771</v>
      </c>
      <c r="D69" s="10">
        <v>10777229</v>
      </c>
      <c r="E69" s="9">
        <v>41</v>
      </c>
    </row>
    <row r="70" spans="1:5" x14ac:dyDescent="0.2">
      <c r="A70" t="s">
        <v>2169</v>
      </c>
      <c r="B70" s="10">
        <v>250000</v>
      </c>
      <c r="C70" s="10">
        <v>0</v>
      </c>
      <c r="D70" s="10">
        <v>250000</v>
      </c>
      <c r="E70" s="9">
        <v>1</v>
      </c>
    </row>
    <row r="71" spans="1:5" x14ac:dyDescent="0.2">
      <c r="A71" t="s">
        <v>260</v>
      </c>
      <c r="B71" s="10">
        <v>76508300</v>
      </c>
      <c r="C71" s="10">
        <v>54589800</v>
      </c>
      <c r="D71" s="10">
        <v>21918500</v>
      </c>
      <c r="E71" s="9">
        <v>49</v>
      </c>
    </row>
    <row r="72" spans="1:5" x14ac:dyDescent="0.2">
      <c r="A72" t="s">
        <v>2949</v>
      </c>
      <c r="B72" s="10">
        <v>3000000</v>
      </c>
      <c r="C72" s="10">
        <v>975000</v>
      </c>
      <c r="D72" s="10">
        <v>2025000</v>
      </c>
      <c r="E72" s="9">
        <v>3</v>
      </c>
    </row>
    <row r="73" spans="1:5" x14ac:dyDescent="0.2">
      <c r="A73" t="s">
        <v>357</v>
      </c>
      <c r="B73" s="10">
        <v>75212000</v>
      </c>
      <c r="C73" s="10">
        <v>63875498.960000001</v>
      </c>
      <c r="D73" s="10">
        <v>11336501.039999999</v>
      </c>
      <c r="E73" s="9">
        <v>29</v>
      </c>
    </row>
    <row r="74" spans="1:5" x14ac:dyDescent="0.2">
      <c r="A74" t="s">
        <v>553</v>
      </c>
      <c r="B74" s="10">
        <v>30080000</v>
      </c>
      <c r="C74" s="10">
        <v>0</v>
      </c>
      <c r="D74" s="10">
        <v>30080000</v>
      </c>
      <c r="E74" s="9">
        <v>20</v>
      </c>
    </row>
    <row r="75" spans="1:5" x14ac:dyDescent="0.2">
      <c r="A75" t="s">
        <v>1553</v>
      </c>
      <c r="B75" s="10">
        <v>5066666849</v>
      </c>
      <c r="C75" s="10">
        <v>3752897264.3700004</v>
      </c>
      <c r="D75" s="10">
        <v>1313769584.6299999</v>
      </c>
      <c r="E75" s="9">
        <v>2290</v>
      </c>
    </row>
    <row r="76" spans="1:5" x14ac:dyDescent="0.2">
      <c r="C76" s="10"/>
    </row>
    <row r="77" spans="1:5" x14ac:dyDescent="0.2">
      <c r="C77" s="10"/>
    </row>
    <row r="78" spans="1:5" x14ac:dyDescent="0.2">
      <c r="C78" s="10"/>
    </row>
    <row r="79" spans="1:5" x14ac:dyDescent="0.2">
      <c r="C79" s="10"/>
    </row>
    <row r="80" spans="1:5" x14ac:dyDescent="0.2">
      <c r="C80" s="10"/>
    </row>
    <row r="81" spans="3:3" x14ac:dyDescent="0.2">
      <c r="C81" s="10"/>
    </row>
    <row r="82" spans="3:3" x14ac:dyDescent="0.2">
      <c r="C82" s="10"/>
    </row>
    <row r="83" spans="3:3" x14ac:dyDescent="0.2">
      <c r="C83" s="10"/>
    </row>
    <row r="84" spans="3:3" x14ac:dyDescent="0.2">
      <c r="C84" s="10"/>
    </row>
    <row r="85" spans="3:3" x14ac:dyDescent="0.2">
      <c r="C85" s="10"/>
    </row>
    <row r="86" spans="3:3" x14ac:dyDescent="0.2">
      <c r="C86" s="10"/>
    </row>
    <row r="87" spans="3:3" x14ac:dyDescent="0.2">
      <c r="C87" s="10"/>
    </row>
    <row r="88" spans="3:3" x14ac:dyDescent="0.2">
      <c r="C88" s="10"/>
    </row>
    <row r="89" spans="3:3" x14ac:dyDescent="0.2">
      <c r="C89" s="10"/>
    </row>
    <row r="90" spans="3:3" x14ac:dyDescent="0.2">
      <c r="C90" s="10"/>
    </row>
    <row r="91" spans="3:3" x14ac:dyDescent="0.2">
      <c r="C91" s="10"/>
    </row>
    <row r="92" spans="3:3" x14ac:dyDescent="0.2">
      <c r="C92" s="10"/>
    </row>
    <row r="93" spans="3:3" x14ac:dyDescent="0.2">
      <c r="C93" s="10"/>
    </row>
    <row r="94" spans="3:3" x14ac:dyDescent="0.2">
      <c r="C94" s="10"/>
    </row>
    <row r="95" spans="3:3" x14ac:dyDescent="0.2">
      <c r="C95" s="10"/>
    </row>
    <row r="96" spans="3:3" x14ac:dyDescent="0.2">
      <c r="C96" s="10"/>
    </row>
    <row r="97" spans="3:3" x14ac:dyDescent="0.2">
      <c r="C97" s="10"/>
    </row>
    <row r="98" spans="3:3" x14ac:dyDescent="0.2">
      <c r="C98" s="10"/>
    </row>
    <row r="99" spans="3:3" x14ac:dyDescent="0.2">
      <c r="C99" s="10"/>
    </row>
    <row r="100" spans="3:3" x14ac:dyDescent="0.2">
      <c r="C100" s="10"/>
    </row>
    <row r="101" spans="3:3" x14ac:dyDescent="0.2">
      <c r="C101" s="10"/>
    </row>
    <row r="102" spans="3:3" x14ac:dyDescent="0.2">
      <c r="C102" s="10"/>
    </row>
    <row r="103" spans="3:3" x14ac:dyDescent="0.2">
      <c r="C103" s="10"/>
    </row>
    <row r="104" spans="3:3" x14ac:dyDescent="0.2">
      <c r="C104" s="10"/>
    </row>
    <row r="105" spans="3:3" x14ac:dyDescent="0.2">
      <c r="C105" s="10"/>
    </row>
    <row r="106" spans="3:3" x14ac:dyDescent="0.2">
      <c r="C106" s="10"/>
    </row>
    <row r="107" spans="3:3" x14ac:dyDescent="0.2">
      <c r="C107" s="10"/>
    </row>
    <row r="108" spans="3:3" x14ac:dyDescent="0.2">
      <c r="C108" s="10"/>
    </row>
    <row r="109" spans="3:3" x14ac:dyDescent="0.2">
      <c r="C109" s="10"/>
    </row>
    <row r="110" spans="3:3" x14ac:dyDescent="0.2">
      <c r="C110" s="10"/>
    </row>
    <row r="111" spans="3:3" x14ac:dyDescent="0.2">
      <c r="C111" s="10"/>
    </row>
    <row r="112" spans="3:3" x14ac:dyDescent="0.2">
      <c r="C112" s="10"/>
    </row>
    <row r="113" spans="3:3" x14ac:dyDescent="0.2">
      <c r="C113" s="10"/>
    </row>
    <row r="114" spans="3:3" x14ac:dyDescent="0.2">
      <c r="C114" s="10"/>
    </row>
    <row r="115" spans="3:3" x14ac:dyDescent="0.2">
      <c r="C115" s="10"/>
    </row>
    <row r="116" spans="3:3" x14ac:dyDescent="0.2">
      <c r="C116" s="10"/>
    </row>
    <row r="117" spans="3:3" x14ac:dyDescent="0.2">
      <c r="C117" s="10"/>
    </row>
    <row r="118" spans="3:3" x14ac:dyDescent="0.2">
      <c r="C118" s="10"/>
    </row>
    <row r="119" spans="3:3" x14ac:dyDescent="0.2">
      <c r="C119" s="10"/>
    </row>
    <row r="120" spans="3:3" x14ac:dyDescent="0.2">
      <c r="C120" s="10"/>
    </row>
    <row r="121" spans="3:3" x14ac:dyDescent="0.2">
      <c r="C121" s="10"/>
    </row>
    <row r="122" spans="3:3" x14ac:dyDescent="0.2">
      <c r="C122" s="10"/>
    </row>
    <row r="123" spans="3:3" x14ac:dyDescent="0.2">
      <c r="C123" s="10"/>
    </row>
    <row r="124" spans="3:3" x14ac:dyDescent="0.2">
      <c r="C124" s="10"/>
    </row>
    <row r="125" spans="3:3" x14ac:dyDescent="0.2">
      <c r="C125" s="10"/>
    </row>
    <row r="126" spans="3:3" x14ac:dyDescent="0.2">
      <c r="C126" s="10"/>
    </row>
    <row r="127" spans="3:3" x14ac:dyDescent="0.2">
      <c r="C127" s="10"/>
    </row>
    <row r="128" spans="3:3" x14ac:dyDescent="0.2">
      <c r="C128" s="10"/>
    </row>
    <row r="129" spans="3:3" x14ac:dyDescent="0.2">
      <c r="C129" s="10"/>
    </row>
    <row r="130" spans="3:3" x14ac:dyDescent="0.2">
      <c r="C130" s="10"/>
    </row>
    <row r="131" spans="3:3" x14ac:dyDescent="0.2">
      <c r="C131" s="10"/>
    </row>
    <row r="132" spans="3:3" x14ac:dyDescent="0.2">
      <c r="C132" s="10"/>
    </row>
    <row r="133" spans="3:3" x14ac:dyDescent="0.2">
      <c r="C133" s="10"/>
    </row>
    <row r="134" spans="3:3" x14ac:dyDescent="0.2">
      <c r="C134" s="10"/>
    </row>
    <row r="135" spans="3:3" x14ac:dyDescent="0.2">
      <c r="C135" s="10"/>
    </row>
    <row r="136" spans="3:3" x14ac:dyDescent="0.2">
      <c r="C136" s="10"/>
    </row>
    <row r="137" spans="3:3" x14ac:dyDescent="0.2">
      <c r="C137" s="10"/>
    </row>
    <row r="138" spans="3:3" x14ac:dyDescent="0.2">
      <c r="C138" s="10"/>
    </row>
    <row r="139" spans="3:3" x14ac:dyDescent="0.2">
      <c r="C139" s="10"/>
    </row>
    <row r="140" spans="3:3" x14ac:dyDescent="0.2">
      <c r="C140" s="10"/>
    </row>
    <row r="141" spans="3:3" x14ac:dyDescent="0.2">
      <c r="C141" s="10"/>
    </row>
    <row r="142" spans="3:3" x14ac:dyDescent="0.2">
      <c r="C142" s="10"/>
    </row>
    <row r="143" spans="3:3" x14ac:dyDescent="0.2">
      <c r="C143" s="10"/>
    </row>
    <row r="144" spans="3:3" x14ac:dyDescent="0.2">
      <c r="C144" s="10"/>
    </row>
    <row r="145" spans="3:3" x14ac:dyDescent="0.2">
      <c r="C145" s="10"/>
    </row>
    <row r="146" spans="3:3" x14ac:dyDescent="0.2">
      <c r="C146" s="10"/>
    </row>
    <row r="147" spans="3:3" x14ac:dyDescent="0.2">
      <c r="C147" s="10"/>
    </row>
    <row r="148" spans="3:3" x14ac:dyDescent="0.2">
      <c r="C148" s="10"/>
    </row>
    <row r="149" spans="3:3" x14ac:dyDescent="0.2">
      <c r="C149" s="10"/>
    </row>
    <row r="150" spans="3:3" x14ac:dyDescent="0.2">
      <c r="C150" s="10"/>
    </row>
    <row r="151" spans="3:3" x14ac:dyDescent="0.2">
      <c r="C151" s="10"/>
    </row>
    <row r="152" spans="3:3" x14ac:dyDescent="0.2">
      <c r="C152" s="10"/>
    </row>
    <row r="153" spans="3:3" x14ac:dyDescent="0.2">
      <c r="C153" s="10"/>
    </row>
    <row r="154" spans="3:3" x14ac:dyDescent="0.2">
      <c r="C154" s="10"/>
    </row>
    <row r="155" spans="3:3" x14ac:dyDescent="0.2">
      <c r="C155" s="10"/>
    </row>
    <row r="156" spans="3:3" x14ac:dyDescent="0.2">
      <c r="C156" s="10"/>
    </row>
    <row r="157" spans="3:3" x14ac:dyDescent="0.2">
      <c r="C157" s="10"/>
    </row>
    <row r="158" spans="3:3" x14ac:dyDescent="0.2">
      <c r="C158" s="10"/>
    </row>
    <row r="159" spans="3:3" x14ac:dyDescent="0.2">
      <c r="C159" s="10"/>
    </row>
    <row r="160" spans="3:3" x14ac:dyDescent="0.2">
      <c r="C160" s="10"/>
    </row>
    <row r="161" spans="3:3" x14ac:dyDescent="0.2">
      <c r="C161" s="10"/>
    </row>
    <row r="162" spans="3:3" x14ac:dyDescent="0.2">
      <c r="C162" s="10"/>
    </row>
    <row r="163" spans="3:3" x14ac:dyDescent="0.2">
      <c r="C163" s="10"/>
    </row>
    <row r="164" spans="3:3" x14ac:dyDescent="0.2">
      <c r="C164" s="10"/>
    </row>
    <row r="165" spans="3:3" x14ac:dyDescent="0.2">
      <c r="C165" s="10"/>
    </row>
    <row r="166" spans="3:3" x14ac:dyDescent="0.2">
      <c r="C166" s="10"/>
    </row>
    <row r="167" spans="3:3" x14ac:dyDescent="0.2">
      <c r="C167" s="10"/>
    </row>
    <row r="168" spans="3:3" x14ac:dyDescent="0.2">
      <c r="C168" s="10"/>
    </row>
    <row r="169" spans="3:3" x14ac:dyDescent="0.2">
      <c r="C169" s="10"/>
    </row>
    <row r="170" spans="3:3" x14ac:dyDescent="0.2">
      <c r="C170" s="10"/>
    </row>
    <row r="171" spans="3:3" x14ac:dyDescent="0.2">
      <c r="C171" s="10"/>
    </row>
    <row r="172" spans="3:3" x14ac:dyDescent="0.2">
      <c r="C172" s="10"/>
    </row>
    <row r="173" spans="3:3" x14ac:dyDescent="0.2">
      <c r="C173" s="10"/>
    </row>
    <row r="174" spans="3:3" x14ac:dyDescent="0.2">
      <c r="C174" s="10"/>
    </row>
    <row r="175" spans="3:3" x14ac:dyDescent="0.2">
      <c r="C175" s="10"/>
    </row>
    <row r="176" spans="3:3" x14ac:dyDescent="0.2">
      <c r="C176" s="10"/>
    </row>
    <row r="177" spans="3:3" x14ac:dyDescent="0.2">
      <c r="C177" s="10"/>
    </row>
    <row r="178" spans="3:3" x14ac:dyDescent="0.2">
      <c r="C178" s="10"/>
    </row>
    <row r="179" spans="3:3" x14ac:dyDescent="0.2">
      <c r="C179" s="10"/>
    </row>
    <row r="180" spans="3:3" x14ac:dyDescent="0.2">
      <c r="C180" s="10"/>
    </row>
    <row r="181" spans="3:3" x14ac:dyDescent="0.2">
      <c r="C181" s="10"/>
    </row>
    <row r="182" spans="3:3" x14ac:dyDescent="0.2">
      <c r="C182" s="10"/>
    </row>
    <row r="183" spans="3:3" x14ac:dyDescent="0.2">
      <c r="C183" s="10"/>
    </row>
    <row r="184" spans="3:3" x14ac:dyDescent="0.2">
      <c r="C184" s="10"/>
    </row>
    <row r="185" spans="3:3" x14ac:dyDescent="0.2">
      <c r="C185" s="10"/>
    </row>
    <row r="186" spans="3:3" x14ac:dyDescent="0.2">
      <c r="C186" s="10"/>
    </row>
    <row r="187" spans="3:3" x14ac:dyDescent="0.2">
      <c r="C187" s="10"/>
    </row>
    <row r="188" spans="3:3" x14ac:dyDescent="0.2">
      <c r="C188" s="10"/>
    </row>
    <row r="189" spans="3:3" x14ac:dyDescent="0.2">
      <c r="C189" s="10"/>
    </row>
    <row r="190" spans="3:3" x14ac:dyDescent="0.2">
      <c r="C190" s="10"/>
    </row>
    <row r="191" spans="3:3" x14ac:dyDescent="0.2">
      <c r="C191" s="10"/>
    </row>
    <row r="192" spans="3:3" x14ac:dyDescent="0.2">
      <c r="C192" s="10"/>
    </row>
  </sheetData>
  <sheetProtection password="8FF2" sheet="1" autoFilter="0" pivotTables="0"/>
  <mergeCells count="4">
    <mergeCell ref="A1:E1"/>
    <mergeCell ref="A2:E2"/>
    <mergeCell ref="A3:E3"/>
    <mergeCell ref="A4:E4"/>
  </mergeCells>
  <phoneticPr fontId="0" type="noConversion"/>
  <printOptions horizontalCentered="1" verticalCentered="1"/>
  <pageMargins left="0.75" right="0.75" top="0.62" bottom="0.57999999999999996" header="0.5" footer="0.26"/>
  <pageSetup scale="76" orientation="portrait" r:id="rId2"/>
  <headerFooter alignWithMargins="0">
    <oddFooter>&amp;L&amp;D&amp;C&amp;F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Project Level Data</vt:lpstr>
      <vt:lpstr>County Summary</vt:lpstr>
      <vt:lpstr>'County Summary'!Print_Area</vt:lpstr>
      <vt:lpstr>'Project Level Data'!Print_Titles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JimB</dc:creator>
  <cp:lastModifiedBy>Newton, Carol (SS)</cp:lastModifiedBy>
  <cp:lastPrinted>2011-06-14T17:31:44Z</cp:lastPrinted>
  <dcterms:created xsi:type="dcterms:W3CDTF">2006-02-21T16:37:50Z</dcterms:created>
  <dcterms:modified xsi:type="dcterms:W3CDTF">2013-03-12T16:18:04Z</dcterms:modified>
</cp:coreProperties>
</file>