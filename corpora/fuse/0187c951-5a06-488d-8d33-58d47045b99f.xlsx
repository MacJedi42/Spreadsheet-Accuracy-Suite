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<sst xmlns="http://schemas.openxmlformats.org/spreadsheetml/2006/main" count="95" uniqueCount="95">
  <si>
    <t/>
  </si>
  <si>
    <t>ID:</t>
  </si>
  <si>
    <t>00069980</t>
  </si>
  <si>
    <t>Notes/Supplemental Information:</t>
  </si>
  <si>
    <t>REIT Name:</t>
  </si>
  <si>
    <t>Alexandria Real Estate Equities,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</si>
  <si>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</si>
  <si>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</si>
  <si>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</si>
  <si>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</si>
  <si>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</si>
  <si>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</si>
  <si>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</si>
  <si>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</si>
  <si>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</si>
  <si>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</si>
  <si>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</si>
  <si>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</si>
  <si>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</si>
  <si>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</si>
  <si>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</si>
  <si>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</si>
  <si>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</si>
  <si>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</si>
  <si>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</si>
  <si>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</si>
  <si>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</si>
  <si>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</si>
  <si>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</si>
  <si>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</si>
  <si>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</si>
  <si>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</si>
  <si>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</si>
  <si>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</si>
  <si>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</si>
  <si>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</si>
  <si>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</si>
  <si>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</si>
  <si>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</si>
  <si>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</si>
  <si>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</si>
  <si>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</si>
  <si>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</si>
  <si>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</si>
  <si>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</si>
  <si>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</si>
  <si>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</si>
  <si>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</si>
  <si>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</si>
  <si>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</si>
  <si>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</si>
  <si>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</si>
  <si>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</si>
  <si>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</si>
  <si>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</si>
  <si>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</si>
  <si>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</si>
  <si>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</si>
  <si>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</si>
  <si>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</si>
  <si>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</si>
  <si>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</si>
  <si>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</si>
  <si>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</si>
  <si>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</si>
  <si>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</si>
  <si>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</si>
  <si>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</si>
  <si>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</si>
  <si>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</si>
  <si>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</si>
  <si>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</si>
  <si>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</si>
  <si>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</si>
  <si>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</si>
  <si>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</si>
  <si>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</si>
  <si>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</si>
  <si>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</si>
  <si>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</si>
  <si>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</si>
  <si>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</si>
  <si>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</si>
  <si>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</si>
  <si>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</si>
  <si>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015271109</t>
  </si>
  <si>
    <t>ARE</t>
  </si>
  <si>
    <t>8.375% PFD, Series C</t>
  </si>
  <si>
    <t>015271406</t>
  </si>
  <si>
    <t>ARE - C</t>
  </si>
  <si>
    <t>7.00% PFD, Series D</t>
  </si>
  <si>
    <t>015271505</t>
  </si>
  <si>
    <t>6.45% PFD, Series E</t>
  </si>
  <si>
    <t>015271703</t>
  </si>
  <si>
    <t>ARE - 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</si>
</sst>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workbookViewId="0">
      <pane ySplit="18" topLeftCell="A19" activePane="bottomLeft" state="frozen"/>
      <selection pane="bottomLeft" activeCell="A35" sqref="A35"/>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41274</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40907</v>
      </c>
      <c r="H20" s="62">
        <v>40905</v>
      </c>
      <c r="I20" s="62">
        <v>40925</v>
      </c>
      <c r="J20" s="63">
        <v>0.49</v>
      </c>
      <c r="K20" s="53"/>
      <c r="L20" s="53"/>
      <c r="M20" s="53">
        <f>N20+O20+V20+Z20+AB20</f>
      </c>
      <c r="N20" s="63">
        <f>J20*0.85</f>
      </c>
      <c r="O20" s="64"/>
      <c r="P20" s="55"/>
      <c r="Q20" s="65">
        <f>SUM(N20:O20)</f>
      </c>
      <c r="R20" s="63"/>
      <c r="S20" s="55"/>
      <c r="T20" s="55"/>
      <c r="U20" s="63"/>
      <c r="V20" s="63">
        <f>J20*0.104</f>
      </c>
      <c r="W20" s="63"/>
      <c r="X20" s="55"/>
      <c r="Y20" s="63"/>
      <c r="Z20" s="63">
        <f>J20*0.046</f>
      </c>
      <c r="AA20" s="55"/>
      <c r="AB20" s="63"/>
      <c r="AC20" s="63"/>
      <c r="AD20" s="55"/>
      <c r="AE20" s="55"/>
      <c r="AF20" s="66"/>
      <c r="AG20" s="37"/>
    </row>
    <row r="21">
      <c r="A21" s="59" t="s">
        <v>84</v>
      </c>
      <c r="B21" s="60" t="s">
        <v>85</v>
      </c>
      <c r="C21" s="60" t="s">
        <v>86</v>
      </c>
      <c r="D21" s="61"/>
      <c r="E21" s="61"/>
      <c r="F21" s="61"/>
      <c r="G21" s="62">
        <v>40998</v>
      </c>
      <c r="H21" s="62">
        <v>40996</v>
      </c>
      <c r="I21" s="62">
        <v>41012</v>
      </c>
      <c r="J21" s="63">
        <v>0.49</v>
      </c>
      <c r="K21" s="53"/>
      <c r="L21" s="53"/>
      <c r="M21" s="53">
        <f ref="M21:M23" t="shared" si="1">N21+O21+V21+Z21+AB21</f>
      </c>
      <c r="N21" s="63">
        <f>J21*0.85</f>
      </c>
      <c r="O21" s="64"/>
      <c r="P21" s="55"/>
      <c r="Q21" s="65">
        <f>SUM(N21:O21)</f>
      </c>
      <c r="R21" s="63"/>
      <c r="S21" s="55"/>
      <c r="T21" s="55"/>
      <c r="U21" s="63"/>
      <c r="V21" s="63">
        <f>J21*0.104</f>
      </c>
      <c r="W21" s="63"/>
      <c r="X21" s="55"/>
      <c r="Y21" s="63"/>
      <c r="Z21" s="63">
        <f>J21*0.046</f>
      </c>
      <c r="AA21" s="55"/>
      <c r="AB21" s="63"/>
      <c r="AC21" s="63"/>
      <c r="AD21" s="55"/>
      <c r="AE21" s="55"/>
      <c r="AF21" s="66"/>
      <c r="AG21" s="37"/>
    </row>
    <row r="22">
      <c r="A22" s="59" t="s">
        <v>84</v>
      </c>
      <c r="B22" s="60" t="s">
        <v>85</v>
      </c>
      <c r="C22" s="60" t="s">
        <v>86</v>
      </c>
      <c r="D22" s="61"/>
      <c r="E22" s="61"/>
      <c r="F22" s="61"/>
      <c r="G22" s="62">
        <v>41089</v>
      </c>
      <c r="H22" s="62">
        <v>41087</v>
      </c>
      <c r="I22" s="62">
        <v>41106</v>
      </c>
      <c r="J22" s="63">
        <v>0.51</v>
      </c>
      <c r="K22" s="53"/>
      <c r="L22" s="53"/>
      <c r="M22" s="53">
        <f t="shared" si="1"/>
      </c>
      <c r="N22" s="63">
        <f>J22*0.85</f>
      </c>
      <c r="O22" s="67"/>
      <c r="P22" s="68"/>
      <c r="Q22" s="65">
        <f>SUM(N22:O22)</f>
      </c>
      <c r="R22" s="53"/>
      <c r="S22" s="68"/>
      <c r="T22" s="68"/>
      <c r="U22" s="53"/>
      <c r="V22" s="63">
        <f>J22*0.104</f>
      </c>
      <c r="W22" s="53"/>
      <c r="X22" s="68"/>
      <c r="Y22" s="53"/>
      <c r="Z22" s="63">
        <f>J22*0.046</f>
      </c>
      <c r="AA22" s="68"/>
      <c r="AB22" s="53"/>
      <c r="AC22" s="53"/>
      <c r="AD22" s="68"/>
      <c r="AE22" s="68"/>
      <c r="AF22" s="70"/>
      <c r="AG22" s="37"/>
    </row>
    <row r="23">
      <c r="A23" s="59" t="s">
        <v>84</v>
      </c>
      <c r="B23" s="60" t="s">
        <v>85</v>
      </c>
      <c r="C23" s="60" t="s">
        <v>86</v>
      </c>
      <c r="D23" s="61"/>
      <c r="E23" s="61"/>
      <c r="F23" s="61"/>
      <c r="G23" s="62">
        <v>41180</v>
      </c>
      <c r="H23" s="62">
        <v>41178</v>
      </c>
      <c r="I23" s="62">
        <v>41197</v>
      </c>
      <c r="J23" s="63">
        <v>0.53</v>
      </c>
      <c r="K23" s="53"/>
      <c r="L23" s="53"/>
      <c r="M23" s="53">
        <f t="shared" si="1"/>
      </c>
      <c r="N23" s="63">
        <f>J23*0.85</f>
      </c>
      <c r="O23" s="67"/>
      <c r="P23" s="68"/>
      <c r="Q23" s="65">
        <f>SUM(N23:O23)</f>
      </c>
      <c r="R23" s="53"/>
      <c r="S23" s="68"/>
      <c r="T23" s="68"/>
      <c r="U23" s="53"/>
      <c r="V23" s="63">
        <f>J23*0.104</f>
      </c>
      <c r="W23" s="53"/>
      <c r="X23" s="68"/>
      <c r="Y23" s="53"/>
      <c r="Z23" s="63">
        <f>J23*0.046</f>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40907</v>
      </c>
      <c r="H26" s="62">
        <v>40905</v>
      </c>
      <c r="I26" s="62">
        <v>40925</v>
      </c>
      <c r="J26" s="63">
        <v>0.5234375</v>
      </c>
      <c r="K26" s="53"/>
      <c r="L26" s="53"/>
      <c r="M26" s="53">
        <f ref="M26:M27" t="shared" si="2">N26+O26+V26+Z26+AB26</f>
      </c>
      <c r="N26" s="63">
        <f>J26*0.891</f>
      </c>
      <c r="O26" s="64"/>
      <c r="P26" s="55"/>
      <c r="Q26" s="65">
        <f>SUM(N26:O26)</f>
      </c>
      <c r="R26" s="63"/>
      <c r="S26" s="55"/>
      <c r="T26" s="55"/>
      <c r="U26" s="63"/>
      <c r="V26" s="63">
        <f>J26*0.109</f>
      </c>
      <c r="W26" s="63"/>
      <c r="X26" s="55"/>
      <c r="Y26" s="63"/>
      <c r="Z26" s="63"/>
      <c r="AA26" s="55"/>
      <c r="AB26" s="63"/>
      <c r="AC26" s="63"/>
      <c r="AD26" s="55"/>
      <c r="AE26" s="55"/>
      <c r="AF26" s="66"/>
      <c r="AG26" s="37"/>
    </row>
    <row r="27">
      <c r="A27" s="59" t="s">
        <v>87</v>
      </c>
      <c r="B27" s="60" t="s">
        <v>88</v>
      </c>
      <c r="C27" s="60" t="s">
        <v>89</v>
      </c>
      <c r="D27" s="61"/>
      <c r="E27" s="61"/>
      <c r="F27" s="61"/>
      <c r="G27" s="62">
        <v>40998</v>
      </c>
      <c r="H27" s="62">
        <v>40996</v>
      </c>
      <c r="I27" s="62">
        <v>41012</v>
      </c>
      <c r="J27" s="63">
        <v>0.5234375</v>
      </c>
      <c r="K27" s="53"/>
      <c r="L27" s="53"/>
      <c r="M27" s="53">
        <f t="shared" si="2"/>
      </c>
      <c r="N27" s="63">
        <f>J27*0.891</f>
      </c>
      <c r="O27" s="64"/>
      <c r="P27" s="55"/>
      <c r="Q27" s="65">
        <f>SUM(N27:O27)</f>
      </c>
      <c r="R27" s="63"/>
      <c r="S27" s="55"/>
      <c r="T27" s="55"/>
      <c r="U27" s="63"/>
      <c r="V27" s="63">
        <f>J27*0.109</f>
      </c>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90</v>
      </c>
      <c r="B32" s="60" t="s">
        <v>91</v>
      </c>
      <c r="C32" s="60"/>
      <c r="D32" s="61"/>
      <c r="E32" s="61"/>
      <c r="F32" s="61"/>
      <c r="G32" s="62">
        <v>40907</v>
      </c>
      <c r="H32" s="62">
        <v>40905</v>
      </c>
      <c r="I32" s="62">
        <v>40925</v>
      </c>
      <c r="J32" s="63">
        <v>0.4375</v>
      </c>
      <c r="K32" s="53"/>
      <c r="L32" s="53"/>
      <c r="M32" s="53">
        <f ref="M32:M35" t="shared" si="3">N32+O32+V32+Z32+AB32</f>
      </c>
      <c r="N32" s="63">
        <f>J32*0.891</f>
      </c>
      <c r="O32" s="64"/>
      <c r="P32" s="55"/>
      <c r="Q32" s="65">
        <f>SUM(N32:O32)</f>
      </c>
      <c r="R32" s="63"/>
      <c r="S32" s="55"/>
      <c r="T32" s="55"/>
      <c r="U32" s="63"/>
      <c r="V32" s="63">
        <f>J32*0.109</f>
      </c>
      <c r="W32" s="63"/>
      <c r="X32" s="55"/>
      <c r="Y32" s="63"/>
      <c r="Z32" s="63"/>
      <c r="AA32" s="55"/>
      <c r="AB32" s="63"/>
      <c r="AC32" s="63"/>
      <c r="AD32" s="55"/>
      <c r="AE32" s="55"/>
      <c r="AF32" s="66"/>
      <c r="AG32" s="37"/>
    </row>
    <row r="33">
      <c r="A33" s="59" t="s">
        <v>90</v>
      </c>
      <c r="B33" s="60" t="s">
        <v>91</v>
      </c>
      <c r="C33" s="60"/>
      <c r="D33" s="61"/>
      <c r="E33" s="61"/>
      <c r="F33" s="61"/>
      <c r="G33" s="62">
        <v>40998</v>
      </c>
      <c r="H33" s="62">
        <v>40996</v>
      </c>
      <c r="I33" s="62">
        <v>41012</v>
      </c>
      <c r="J33" s="63">
        <v>0.4375</v>
      </c>
      <c r="K33" s="53"/>
      <c r="L33" s="53"/>
      <c r="M33" s="53">
        <f t="shared" si="3"/>
      </c>
      <c r="N33" s="63">
        <f>J33*0.891</f>
      </c>
      <c r="O33" s="64"/>
      <c r="P33" s="55"/>
      <c r="Q33" s="65">
        <f>SUM(N33:O33)</f>
      </c>
      <c r="R33" s="63"/>
      <c r="S33" s="55"/>
      <c r="T33" s="55"/>
      <c r="U33" s="63"/>
      <c r="V33" s="63">
        <f>J33*0.109</f>
      </c>
      <c r="W33" s="63"/>
      <c r="X33" s="55"/>
      <c r="Y33" s="63"/>
      <c r="Z33" s="63"/>
      <c r="AA33" s="55"/>
      <c r="AB33" s="63"/>
      <c r="AC33" s="63"/>
      <c r="AD33" s="55"/>
      <c r="AE33" s="55"/>
      <c r="AF33" s="66"/>
      <c r="AG33" s="37"/>
    </row>
    <row r="34">
      <c r="A34" s="59" t="s">
        <v>90</v>
      </c>
      <c r="B34" s="60" t="s">
        <v>91</v>
      </c>
      <c r="C34" s="60"/>
      <c r="D34" s="61"/>
      <c r="E34" s="61"/>
      <c r="F34" s="61"/>
      <c r="G34" s="62">
        <v>41089</v>
      </c>
      <c r="H34" s="62">
        <v>41087</v>
      </c>
      <c r="I34" s="62">
        <v>41106</v>
      </c>
      <c r="J34" s="63">
        <v>0.4375</v>
      </c>
      <c r="K34" s="53"/>
      <c r="L34" s="53"/>
      <c r="M34" s="53">
        <f t="shared" si="3"/>
      </c>
      <c r="N34" s="63">
        <f>J34*0.891</f>
      </c>
      <c r="O34" s="67"/>
      <c r="P34" s="68"/>
      <c r="Q34" s="65">
        <f>SUM(N34:O34)</f>
      </c>
      <c r="R34" s="53"/>
      <c r="S34" s="68"/>
      <c r="T34" s="68"/>
      <c r="U34" s="53"/>
      <c r="V34" s="63">
        <f>J34*0.109</f>
      </c>
      <c r="W34" s="53"/>
      <c r="X34" s="68"/>
      <c r="Y34" s="53"/>
      <c r="Z34" s="53"/>
      <c r="AA34" s="68"/>
      <c r="AB34" s="53"/>
      <c r="AC34" s="53"/>
      <c r="AD34" s="68"/>
      <c r="AE34" s="68"/>
      <c r="AF34" s="70"/>
      <c r="AG34" s="37"/>
    </row>
    <row r="35">
      <c r="A35" s="59" t="s">
        <v>90</v>
      </c>
      <c r="B35" s="60" t="s">
        <v>91</v>
      </c>
      <c r="C35" s="72"/>
      <c r="D35" s="73"/>
      <c r="E35" s="73"/>
      <c r="F35" s="73"/>
      <c r="G35" s="62">
        <v>41180</v>
      </c>
      <c r="H35" s="62">
        <v>41178</v>
      </c>
      <c r="I35" s="62">
        <v>41197</v>
      </c>
      <c r="J35" s="63">
        <v>0.4375</v>
      </c>
      <c r="K35" s="53"/>
      <c r="L35" s="53"/>
      <c r="M35" s="53">
        <f t="shared" si="3"/>
      </c>
      <c r="N35" s="63">
        <f>J35*0.891</f>
      </c>
      <c r="O35" s="67"/>
      <c r="P35" s="68"/>
      <c r="Q35" s="65">
        <f>SUM(N35:O35)</f>
      </c>
      <c r="R35" s="53"/>
      <c r="S35" s="68"/>
      <c r="T35" s="68"/>
      <c r="U35" s="53"/>
      <c r="V35" s="63">
        <f>J35*0.109</f>
      </c>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92</v>
      </c>
      <c r="B38" s="60" t="s">
        <v>93</v>
      </c>
      <c r="C38" s="60" t="s">
        <v>94</v>
      </c>
      <c r="D38" s="61"/>
      <c r="E38" s="61"/>
      <c r="F38" s="61"/>
      <c r="G38" s="62">
        <v>41089</v>
      </c>
      <c r="H38" s="62">
        <v>41087</v>
      </c>
      <c r="I38" s="62">
        <v>41106</v>
      </c>
      <c r="J38" s="63">
        <v>0.5375</v>
      </c>
      <c r="K38" s="53"/>
      <c r="L38" s="53"/>
      <c r="M38" s="53">
        <f ref="M38:M39" t="shared" si="4">N38+O38+V38+Z38+AB38</f>
      </c>
      <c r="N38" s="63">
        <f>J38*0.891</f>
      </c>
      <c r="O38" s="64"/>
      <c r="P38" s="55"/>
      <c r="Q38" s="65">
        <f>SUM(N38:O38)</f>
      </c>
      <c r="R38" s="63"/>
      <c r="S38" s="55"/>
      <c r="T38" s="55"/>
      <c r="U38" s="63"/>
      <c r="V38" s="63">
        <f>J38*0.109</f>
      </c>
      <c r="W38" s="63"/>
      <c r="X38" s="55"/>
      <c r="Y38" s="63"/>
      <c r="Z38" s="63"/>
      <c r="AA38" s="55"/>
      <c r="AB38" s="63"/>
      <c r="AC38" s="63"/>
      <c r="AD38" s="55"/>
      <c r="AE38" s="55"/>
      <c r="AF38" s="66"/>
      <c r="AG38" s="37"/>
    </row>
    <row r="39">
      <c r="A39" s="59" t="s">
        <v>92</v>
      </c>
      <c r="B39" s="60" t="s">
        <v>93</v>
      </c>
      <c r="C39" s="60" t="s">
        <v>94</v>
      </c>
      <c r="D39" s="61"/>
      <c r="E39" s="61"/>
      <c r="F39" s="61"/>
      <c r="G39" s="62">
        <v>41180</v>
      </c>
      <c r="H39" s="62">
        <v>41178</v>
      </c>
      <c r="I39" s="62">
        <v>41197</v>
      </c>
      <c r="J39" s="63">
        <v>0.403125</v>
      </c>
      <c r="K39" s="53"/>
      <c r="L39" s="53"/>
      <c r="M39" s="53">
        <f t="shared" si="4"/>
      </c>
      <c r="N39" s="63">
        <f>J39*0.891</f>
      </c>
      <c r="O39" s="64"/>
      <c r="P39" s="55"/>
      <c r="Q39" s="65">
        <f>SUM(N39:O39)</f>
      </c>
      <c r="R39" s="63"/>
      <c r="S39" s="55"/>
      <c r="T39" s="55"/>
      <c r="U39" s="63"/>
      <c r="V39" s="63">
        <f>J39*0.109</f>
      </c>
      <c r="W39" s="63"/>
      <c r="X39" s="55"/>
      <c r="Y39" s="63"/>
      <c r="Z39" s="63"/>
      <c r="AA39" s="55"/>
      <c r="AB39" s="63"/>
      <c r="AC39" s="63"/>
      <c r="AD39" s="55"/>
      <c r="AE39" s="55"/>
      <c r="AF39" s="66"/>
      <c r="AG39" s="37"/>
    </row>
    <row r="40">
      <c r="A40" s="59"/>
      <c r="B40" s="60"/>
      <c r="C40" s="60"/>
      <c r="D40" s="61"/>
      <c r="E40" s="61"/>
      <c r="F40" s="61"/>
      <c r="G40" s="62"/>
      <c r="H40" s="62"/>
      <c r="I40" s="62"/>
      <c r="J40" s="6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59"/>
      <c r="B41" s="60"/>
      <c r="C41" s="72"/>
      <c r="D41" s="73"/>
      <c r="E41" s="73"/>
      <c r="F41" s="73"/>
      <c r="G41" s="62"/>
      <c r="H41" s="62"/>
      <c r="I41" s="62"/>
      <c r="J41" s="6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72"/>
      <c r="D44" s="73"/>
      <c r="E44" s="73"/>
      <c r="F44" s="73"/>
      <c r="G44" s="74"/>
      <c r="H44" s="74"/>
      <c r="I44" s="74"/>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59"/>
      <c r="B46" s="60"/>
      <c r="C46" s="60"/>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59"/>
      <c r="B52" s="60"/>
      <c r="C52" s="60"/>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44:J46 A163:AG167 A49:AG53 A55:AG59 A61:AG65 A67:AG71 A73:AG77 A79:AG83 A85:AG89 A91:AG95 A97:AG101 A103:AG107 A109:AG113 A115:AG119 A121:AG125 A127:AG131 A133:AG137 A139:AG143 A145:AG149 A151:AG155 A157:AG161 K43:AG47 A43:J43 A47:J47 K37:AG41 A37:J37 A41:J41" name="Range4"/>
    <protectedRange sqref="B6" name="Range1"/>
    <protectedRange sqref="A31:AG35 A25:AG29 A44:J46 A19:AG23 A49:AG53 A55:AG59 A61:AG65 A67:AG71 A73:AG77 A79:AG83 A85:AG89 A91:AG95 A97:AG101 A103:AG107 A109:AG113 A115:AG119 A121:AG125 A127:AG131 A133:AG137 A139:AG143 A145:AG149 A151:AG155 A157:AG161 A163:AG167 K43:AG47 A43:J43 A47:J47 K37:AG41 A37:J37 A41:J41"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19:A23 A49:A53 A55:A59 A61:A65 A67:A71 A73:A77 A79:A83 A85:A89 A91:A95 A97:A101 A103:A107 A109:A113 A115:A119 A121:A125 A127:A131 A133:A137 A139:A143 A145:A149 A151:A155 A157:A161 A43:A47 A37 A41"/>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19:F23 F49:F53 F55:F59 F61:F65 F67:F71 F73:F77 F79:F83 F85:F89 F91:F95 F97:F101 F103:F107 F109:F113 F115:F119 F121:F125 F127:F131 F133:F137 F139:F143 F145:F149 F151:F155 F157:F161 F43:F47 F37 F41">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19:E23 E49:E53 E55:E59 E61:E65 E67:E71 E73:E77 E79:E83 E85:E89 E91:E95 E97:E101 E103:E107 E109:E113 E115:E119 E121:E125 E127:E131 E133:E137 E139:E143 E145:E149 E151:E155 E157:E161 E43:E47 E37 E41">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19:D23 D49:D53 D55:D59 D61:D65 D67:D71 D73:D77 D79:D83 D85:D89 D91:D95 D97:D101 D103:D107 D109:D113 D115:D119 D121:D125 D127:D131 D133:D137 D139:D143 D145:D149 D151:D155 D157:D161 D43:D47 D37 D41">
      <formula1>MID(D$18,2,1)</formula1>
    </dataValidation>
  </dataValidations>
  <pageMargins left="0.7" right="0.7" top="0.75" bottom="0.75" header="0.3" footer="0.3"/>
  <pageSetup paperSize="17" scale="49"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Christopher Becht</cp:lastModifiedBy>
  <cp:lastPrinted>2013-02-06T18:42:27Z</cp:lastPrinted>
  <dcterms:created xsi:type="dcterms:W3CDTF">2012-11-27T14:14:45Z</dcterms:created>
  <dcterms:modified xsi:type="dcterms:W3CDTF">2013-02-06T18:45:10Z</dcterms:modified>
</cp:coreProperties>
</file>