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4905" yWindow="75" windowWidth="5775" windowHeight="6345"/>
  </bookViews>
  <sheets>
    <sheet name="PC &amp; Insp. Spreadsheet" sheetId="1" r:id="rId1"/>
  </sheets>
  <definedNames>
    <definedName name="_xlnm.Print_Area" localSheetId="0">'PC &amp; Insp. Spreadsheet'!$A$1:$H$234</definedName>
    <definedName name="_xlnm.Print_Titles" localSheetId="0">'PC &amp; Insp. Spreadsheet'!$1:$2</definedName>
  </definedNames>
  <calcPr calcId="145621"/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10" i="1"/>
  <c r="F72" i="1"/>
  <c r="F203" i="1"/>
  <c r="F204" i="1"/>
  <c r="F205" i="1"/>
  <c r="F206" i="1"/>
  <c r="F232" i="1" s="1"/>
  <c r="F207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8" i="1"/>
  <c r="F9" i="1"/>
  <c r="F14" i="1" s="1"/>
  <c r="F176" i="1" s="1"/>
  <c r="F11" i="1"/>
  <c r="F12" i="1"/>
  <c r="F13" i="1"/>
  <c r="F73" i="1"/>
  <c r="F74" i="1"/>
  <c r="F75" i="1" s="1"/>
  <c r="F178" i="1" s="1"/>
  <c r="F77" i="1"/>
  <c r="F79" i="1" s="1"/>
  <c r="F179" i="1" s="1"/>
  <c r="F78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6" i="1"/>
  <c r="F107" i="1"/>
  <c r="F108" i="1"/>
  <c r="F109" i="1"/>
  <c r="F110" i="1"/>
  <c r="F111" i="1"/>
  <c r="F112" i="1"/>
  <c r="F127" i="1" s="1"/>
  <c r="F181" i="1" s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9" i="1"/>
  <c r="F130" i="1"/>
  <c r="F131" i="1"/>
  <c r="F132" i="1"/>
  <c r="F133" i="1"/>
  <c r="F134" i="1"/>
  <c r="F135" i="1"/>
  <c r="F136" i="1"/>
  <c r="F137" i="1"/>
  <c r="F141" i="1"/>
  <c r="F142" i="1"/>
  <c r="F143" i="1"/>
  <c r="F144" i="1"/>
  <c r="F145" i="1"/>
  <c r="F146" i="1"/>
  <c r="F147" i="1"/>
  <c r="F168" i="1" s="1"/>
  <c r="F183" i="1" s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72" i="1"/>
  <c r="F184" i="1"/>
  <c r="F70" i="1"/>
  <c r="F177" i="1" s="1"/>
  <c r="F138" i="1" l="1"/>
  <c r="F182" i="1" s="1"/>
  <c r="F104" i="1"/>
  <c r="F180" i="1" s="1"/>
  <c r="F185" i="1"/>
  <c r="F186" i="1" s="1"/>
  <c r="F187" i="1" s="1"/>
  <c r="F189" i="1" s="1"/>
  <c r="F191" i="1" l="1"/>
  <c r="F197" i="1"/>
  <c r="F190" i="1"/>
</calcChain>
</file>

<file path=xl/sharedStrings.xml><?xml version="1.0" encoding="utf-8"?>
<sst xmlns="http://schemas.openxmlformats.org/spreadsheetml/2006/main" count="422" uniqueCount="236">
  <si>
    <t>LS</t>
  </si>
  <si>
    <t>EA</t>
  </si>
  <si>
    <t>CY</t>
  </si>
  <si>
    <t>SF</t>
  </si>
  <si>
    <t>STORM DRAINAGE</t>
  </si>
  <si>
    <t>Storm Drain Manhole - 24"</t>
  </si>
  <si>
    <t>Storm Drain Manhole - 36"</t>
  </si>
  <si>
    <t>Storm Drain Manhole - 48"</t>
  </si>
  <si>
    <t>Storm Drain Manhole - 60"</t>
  </si>
  <si>
    <t>Storm Drain Manhole - 72"</t>
  </si>
  <si>
    <t>Drain Pipe - 6" and Under</t>
  </si>
  <si>
    <t>LF</t>
  </si>
  <si>
    <t>Drain Pipe - 8"</t>
  </si>
  <si>
    <t>Drain Pipe - 10"</t>
  </si>
  <si>
    <t>Drain Pipe - 12"</t>
  </si>
  <si>
    <t>Drain Pipe - 15"</t>
  </si>
  <si>
    <t>Drain Pipe - 18"</t>
  </si>
  <si>
    <t>Drain Pipe - 21"</t>
  </si>
  <si>
    <t>Drain Pipe - 24"</t>
  </si>
  <si>
    <t>Drain Pipe - 30"</t>
  </si>
  <si>
    <t>Drain Pipe - 36"</t>
  </si>
  <si>
    <t>Drain Pipe - 42"</t>
  </si>
  <si>
    <t>Drain Pipe - 48"</t>
  </si>
  <si>
    <t>Drain Pipe - 54"</t>
  </si>
  <si>
    <t>Drain Pipe - 60"</t>
  </si>
  <si>
    <t>Drain Pipe - 72"</t>
  </si>
  <si>
    <t>Drain Pipe - 21"x15" Arch Pipe</t>
  </si>
  <si>
    <t>Drain Pipe - 24"x18" Arch Pipe</t>
  </si>
  <si>
    <t>Drain Pipe - 28"x20" Arch Pipe</t>
  </si>
  <si>
    <t>Drain Pipe - 35"x24" Arch Pipe</t>
  </si>
  <si>
    <t>Drain Pipe - 42"x29" Arch Pipe</t>
  </si>
  <si>
    <t>Drain Pipe - 49"x33" Arch Pipe</t>
  </si>
  <si>
    <t>Drain Pipe - 57"x38" Arch Pipe</t>
  </si>
  <si>
    <t>Drain Pipe - 64"x43" Arch Pipe</t>
  </si>
  <si>
    <t>Drain Pipe - 71"X47" Arch Pipe</t>
  </si>
  <si>
    <t>Concrete Box Culvert - 2'x4'</t>
  </si>
  <si>
    <t>Concrete Box Culvert - 3'x6'</t>
  </si>
  <si>
    <t>Concrete Box Culvert - 4'x8'</t>
  </si>
  <si>
    <t>Concrete Box Culvert - 5'x10'</t>
  </si>
  <si>
    <t>Sediment Trap</t>
  </si>
  <si>
    <t>E.</t>
  </si>
  <si>
    <t>RETAINING WALLS</t>
  </si>
  <si>
    <t>Sound Wall</t>
  </si>
  <si>
    <t>F.</t>
  </si>
  <si>
    <t>ROADWAYS</t>
  </si>
  <si>
    <t>6" AB</t>
  </si>
  <si>
    <t>12" AB</t>
  </si>
  <si>
    <t>G.</t>
  </si>
  <si>
    <t>AMENITIES</t>
  </si>
  <si>
    <t>H.</t>
  </si>
  <si>
    <t>WINTERIZATION AND EROSION CONTROL</t>
  </si>
  <si>
    <t>SANITARY SEWER FACILITIES</t>
  </si>
  <si>
    <t>Sewer MH - 48"</t>
  </si>
  <si>
    <t>Sewer MH - 60"</t>
  </si>
  <si>
    <t>Sewer Drop Connection - 6"</t>
  </si>
  <si>
    <t>Sewer Drop Connection - 8"</t>
  </si>
  <si>
    <t>Sewer Flushing Branch</t>
  </si>
  <si>
    <t>Sewer Pipe - 4"</t>
  </si>
  <si>
    <t xml:space="preserve">Sewer Pipe - 6" </t>
  </si>
  <si>
    <t>Sewer Pipe - 8"</t>
  </si>
  <si>
    <t>Sewer Pipe - 10"</t>
  </si>
  <si>
    <t>Sewer Pipe - 12"</t>
  </si>
  <si>
    <t>Sewer Service - 4"</t>
  </si>
  <si>
    <t>Sewer Service - 6"</t>
  </si>
  <si>
    <t>Sewer Service - 8"</t>
  </si>
  <si>
    <t>Sewer Force Main - 1 1/2"</t>
  </si>
  <si>
    <t>Sewer Force Main - 2"</t>
  </si>
  <si>
    <t>Sewer Force Main - 4"</t>
  </si>
  <si>
    <t>Sewer Force Main - 6"</t>
  </si>
  <si>
    <t>Sewer Clean Out</t>
  </si>
  <si>
    <t>Sewer - Adjust MH to Grade</t>
  </si>
  <si>
    <t>Sewer - Connect to Existing</t>
  </si>
  <si>
    <t>UTILITIES</t>
  </si>
  <si>
    <t>SUBTOTAL - ENGINEER'S ESTIMATE</t>
  </si>
  <si>
    <t>10% CONTINGENCY</t>
  </si>
  <si>
    <t>TOTAL</t>
  </si>
  <si>
    <t>TOTAL FEE (See Schedule of Fees)</t>
  </si>
  <si>
    <t>J.</t>
  </si>
  <si>
    <t>WATER</t>
  </si>
  <si>
    <t>Connect to Existing - Water</t>
  </si>
  <si>
    <t>Water Pipe - 2"</t>
  </si>
  <si>
    <t>Water Pipe - 4"</t>
  </si>
  <si>
    <t>Water Pipe - 6"</t>
  </si>
  <si>
    <t>Water Pipe - 8"</t>
  </si>
  <si>
    <t>Water Pipe - 10"</t>
  </si>
  <si>
    <t>Water Pipe - 12"</t>
  </si>
  <si>
    <t>Water - Air Relief Valve</t>
  </si>
  <si>
    <t>Water - 2" Blow Off Valve</t>
  </si>
  <si>
    <t>Backflow Device</t>
  </si>
  <si>
    <t>Water Valve - 4" and under</t>
  </si>
  <si>
    <t>Water Valve - 6"</t>
  </si>
  <si>
    <t>Water Valve - 8"</t>
  </si>
  <si>
    <t>Water Valve - 10"</t>
  </si>
  <si>
    <t>Water Valve - 12"</t>
  </si>
  <si>
    <t>Water Service With Meter - 1"</t>
  </si>
  <si>
    <t>Water Service With Meter - 1 1/2"</t>
  </si>
  <si>
    <t>Water Service With Meter - 2"</t>
  </si>
  <si>
    <t>Storm Drain Drop Inlet</t>
  </si>
  <si>
    <t>A</t>
  </si>
  <si>
    <t>B</t>
  </si>
  <si>
    <t>C</t>
  </si>
  <si>
    <t>D</t>
  </si>
  <si>
    <t>E</t>
  </si>
  <si>
    <t>F</t>
  </si>
  <si>
    <t>G</t>
  </si>
  <si>
    <t>H</t>
  </si>
  <si>
    <t>Water Pipe - 15"</t>
  </si>
  <si>
    <t>Water Pipe - 18"</t>
  </si>
  <si>
    <t>Water Pipe - 24"</t>
  </si>
  <si>
    <t>Water Valve - 15"</t>
  </si>
  <si>
    <t>Water Valve - 18"</t>
  </si>
  <si>
    <t>Water Valve - 24"</t>
  </si>
  <si>
    <t>Flared End Section - 18" &amp; Under</t>
  </si>
  <si>
    <t>Flared End Section - 21" to 36"</t>
  </si>
  <si>
    <t>Flared End Section - 42" and Over</t>
  </si>
  <si>
    <t>Water Service With Meter - Under 1"</t>
  </si>
  <si>
    <t>Storm Drain Manhole With Trap - 36"</t>
  </si>
  <si>
    <t>Storm Drain Manhole With Trap - 72"</t>
  </si>
  <si>
    <t>Date:</t>
  </si>
  <si>
    <t>Retaining Wall</t>
  </si>
  <si>
    <t>2" AC</t>
  </si>
  <si>
    <t>3" AC</t>
  </si>
  <si>
    <t>4" AC</t>
  </si>
  <si>
    <t>6" AC</t>
  </si>
  <si>
    <t>4" AB</t>
  </si>
  <si>
    <t>8" AB</t>
  </si>
  <si>
    <t>10" AB</t>
  </si>
  <si>
    <t>I</t>
  </si>
  <si>
    <t>ADDITIONAL COSTS</t>
  </si>
  <si>
    <t>ADDITIONAL COSTS (List)</t>
  </si>
  <si>
    <t>SUMMARY OF COSTS &amp; FEES</t>
  </si>
  <si>
    <t>Project:</t>
  </si>
  <si>
    <t>Submitted By:</t>
  </si>
  <si>
    <t xml:space="preserve"> </t>
  </si>
  <si>
    <t>AC</t>
  </si>
  <si>
    <t>EARTHWORK</t>
  </si>
  <si>
    <t xml:space="preserve">EARTHWORK  </t>
  </si>
  <si>
    <t>Roadway excavation</t>
  </si>
  <si>
    <t>Earthwork - import</t>
  </si>
  <si>
    <t>Site grading and compaction</t>
  </si>
  <si>
    <t>Export material</t>
  </si>
  <si>
    <t>Clear and grub</t>
  </si>
  <si>
    <t>Sawcut and remove existing AC</t>
  </si>
  <si>
    <t>Headwall/wingwall</t>
  </si>
  <si>
    <t>Catchbasin</t>
  </si>
  <si>
    <t>Roadside drainage ditch</t>
  </si>
  <si>
    <t>Drainage swale</t>
  </si>
  <si>
    <t>Ditch - paved</t>
  </si>
  <si>
    <t>Ditch - rock lined</t>
  </si>
  <si>
    <t>No. 2 Caltrans ditch backing</t>
  </si>
  <si>
    <t>Rock inlet/outlet protection</t>
  </si>
  <si>
    <t>Paved apron/overside drain</t>
  </si>
  <si>
    <t>AC dike/ditch transition</t>
  </si>
  <si>
    <t>Channel lining</t>
  </si>
  <si>
    <t>Detention facility, per acre of shed area</t>
  </si>
  <si>
    <t>Utility trench and backfill</t>
  </si>
  <si>
    <t>Relocate valve</t>
  </si>
  <si>
    <t>Slurry seal</t>
  </si>
  <si>
    <t>Chip seal</t>
  </si>
  <si>
    <t>Double chip seal</t>
  </si>
  <si>
    <t>2" AC overlay</t>
  </si>
  <si>
    <t>3" AC overlay</t>
  </si>
  <si>
    <t>AC dike</t>
  </si>
  <si>
    <t>AB shoulder</t>
  </si>
  <si>
    <t>Construction entrance</t>
  </si>
  <si>
    <t>PCC paving - 6"</t>
  </si>
  <si>
    <t>Concrete curb</t>
  </si>
  <si>
    <t>Concrete curb and gutter</t>
  </si>
  <si>
    <t>Concrete V-gutter</t>
  </si>
  <si>
    <t>Sidewalk (6" Thick)</t>
  </si>
  <si>
    <t>Pedestrian/Equestrian Path</t>
  </si>
  <si>
    <t>Street light</t>
  </si>
  <si>
    <t xml:space="preserve">Traffic sign </t>
  </si>
  <si>
    <t>Guide posts</t>
  </si>
  <si>
    <t>Emergency vehicle gate</t>
  </si>
  <si>
    <t>Fence - post &amp; cable</t>
  </si>
  <si>
    <t>Fence - split rail</t>
  </si>
  <si>
    <t>Pavement marking</t>
  </si>
  <si>
    <t>Fire tank - 10,000 gal, w/ hydrant</t>
  </si>
  <si>
    <t>Trash enclosure</t>
  </si>
  <si>
    <t>Guardrail</t>
  </si>
  <si>
    <t>Survey monument &amp; well (incl brass caps)</t>
  </si>
  <si>
    <t>Landscaping</t>
  </si>
  <si>
    <t>Traffic signal</t>
  </si>
  <si>
    <t>Construction fencing</t>
  </si>
  <si>
    <t>Silt fencing</t>
  </si>
  <si>
    <t>Inlet protection</t>
  </si>
  <si>
    <t>Check dams</t>
  </si>
  <si>
    <t>Straw bale dike</t>
  </si>
  <si>
    <t>Hydroseed</t>
  </si>
  <si>
    <t>Fiber blanket</t>
  </si>
  <si>
    <t>4" flexible double ball expansion joint</t>
  </si>
  <si>
    <t>6" flexible double ball expansion joint</t>
  </si>
  <si>
    <t>4" check valve assembly</t>
  </si>
  <si>
    <t>4" single bypass port assembly</t>
  </si>
  <si>
    <t>Sewer lift station</t>
  </si>
  <si>
    <t>Metering manhole</t>
  </si>
  <si>
    <t>Sewer release valve assembly</t>
  </si>
  <si>
    <t>8" Flexible Dbl-Ball Expansion Joint</t>
  </si>
  <si>
    <t>10" Check Valve</t>
  </si>
  <si>
    <t>Street name sign</t>
  </si>
  <si>
    <t>Trench paving (3" AC / 6" AB)</t>
  </si>
  <si>
    <t>Trench paving (4" AC / 12" AB)</t>
  </si>
  <si>
    <t>Joint trench road crossings and stubs</t>
  </si>
  <si>
    <t>Driveway (A6)</t>
  </si>
  <si>
    <t>Barricade, remove</t>
  </si>
  <si>
    <t>Fence - open iron</t>
  </si>
  <si>
    <t>Guardrail - cable anchor assembly</t>
  </si>
  <si>
    <t>Guardrail - terminal section</t>
  </si>
  <si>
    <t>Fire Department Connection</t>
  </si>
  <si>
    <t>Fire Hydrant Assembly</t>
  </si>
  <si>
    <t>Subtotal A</t>
  </si>
  <si>
    <t>Subtotal B</t>
  </si>
  <si>
    <t>Subtotal C</t>
  </si>
  <si>
    <t>Subtotal D</t>
  </si>
  <si>
    <t>Subtotal E</t>
  </si>
  <si>
    <t>Subtotal F</t>
  </si>
  <si>
    <t>Subtotal G</t>
  </si>
  <si>
    <t>Subtotal H</t>
  </si>
  <si>
    <t>Subtotal I</t>
  </si>
  <si>
    <t>Subtotal J</t>
  </si>
  <si>
    <t>Street light base</t>
  </si>
  <si>
    <t>INITIAL SUBMITTAL - Plan Check Fee Portion (40%)</t>
  </si>
  <si>
    <t>FINAL SUBMITTAL - Inspection Fee Portion (60%)</t>
  </si>
  <si>
    <t>Unit</t>
  </si>
  <si>
    <t>Item</t>
  </si>
  <si>
    <t>Unit Cost</t>
  </si>
  <si>
    <t>Quantity</t>
  </si>
  <si>
    <t>Subtotal</t>
  </si>
  <si>
    <t>Barricate (Plate R-24)</t>
  </si>
  <si>
    <t>Barricade, pedestrian (Plate R-25)</t>
  </si>
  <si>
    <t>ADDITIONAL COSTS FOR PROJECT BOND ESTIMATE</t>
  </si>
  <si>
    <t>(If within County Sewer District, also to be used for project bonding purposes)</t>
  </si>
  <si>
    <t>ADD CAL FIRE REVIEW FEES IF WITHIN JURISDICTIONAL AREA (See Fire Planner Tasks and Fee List)</t>
  </si>
  <si>
    <t>GRAND TOTAL FEES</t>
  </si>
  <si>
    <t>ENR Index: 8672, February 2010 / BOS Adopted September 28, 2010 / Effective July 1,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</si>
</sst>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0.0"/>
  </numFmts>
  <fonts count="9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sz val="13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color indexed="1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164" fontId="5" fillId="0" borderId="12" xfId="0" applyNumberFormat="1" applyFont="1" applyFill="1" applyBorder="1" applyAlignment="1" applyProtection="1">
      <alignment shrinkToFit="1"/>
      <protection locked="0"/>
    </xf>
    <xf numFmtId="164" fontId="5" fillId="0" borderId="18" xfId="0" applyNumberFormat="1" applyFont="1" applyFill="1" applyBorder="1" applyAlignment="1" applyProtection="1">
      <alignment shrinkToFit="1"/>
      <protection locked="0"/>
    </xf>
    <xf numFmtId="164" fontId="5" fillId="0" borderId="8" xfId="0" applyNumberFormat="1" applyFont="1" applyFill="1" applyBorder="1" applyAlignment="1" applyProtection="1">
      <alignment shrinkToFit="1"/>
      <protection locked="0"/>
    </xf>
    <xf numFmtId="164" fontId="5" fillId="0" borderId="9" xfId="0" applyNumberFormat="1" applyFont="1" applyFill="1" applyBorder="1" applyAlignment="1" applyProtection="1">
      <alignment shrinkToFit="1"/>
      <protection locked="0"/>
    </xf>
    <xf numFmtId="164" fontId="5" fillId="0" borderId="25" xfId="0" applyNumberFormat="1" applyFont="1" applyFill="1" applyBorder="1" applyAlignment="1" applyProtection="1">
      <alignment shrinkToFit="1"/>
      <protection locked="0"/>
    </xf>
    <xf numFmtId="164" fontId="5" fillId="0" borderId="26" xfId="0" applyNumberFormat="1" applyFont="1" applyFill="1" applyBorder="1" applyAlignment="1" applyProtection="1">
      <alignment shrinkToFit="1"/>
      <protection locked="0"/>
    </xf>
    <xf numFmtId="0" fontId="5" fillId="0" borderId="12" xfId="0" applyNumberFormat="1" applyFont="1" applyFill="1" applyBorder="1" applyAlignment="1" applyProtection="1">
      <alignment shrinkToFit="1"/>
      <protection locked="0"/>
    </xf>
    <xf numFmtId="0" fontId="5" fillId="0" borderId="37" xfId="0" applyNumberFormat="1" applyFont="1" applyFill="1" applyBorder="1" applyAlignment="1" applyProtection="1">
      <alignment shrinkToFit="1"/>
      <protection locked="0"/>
    </xf>
    <xf numFmtId="0" fontId="5" fillId="0" borderId="18" xfId="0" applyNumberFormat="1" applyFont="1" applyFill="1" applyBorder="1" applyAlignment="1" applyProtection="1">
      <alignment shrinkToFit="1"/>
      <protection locked="0"/>
    </xf>
    <xf numFmtId="0" fontId="5" fillId="0" borderId="30" xfId="0" applyNumberFormat="1" applyFont="1" applyFill="1" applyBorder="1" applyAlignment="1" applyProtection="1">
      <alignment shrinkToFit="1"/>
      <protection locked="0"/>
    </xf>
    <xf numFmtId="164" fontId="5" fillId="0" borderId="28" xfId="0" applyNumberFormat="1" applyFont="1" applyFill="1" applyBorder="1" applyAlignment="1" applyProtection="1">
      <alignment shrinkToFit="1"/>
      <protection locked="0"/>
    </xf>
    <xf numFmtId="164" fontId="5" fillId="2" borderId="13" xfId="0" applyNumberFormat="1" applyFont="1" applyFill="1" applyBorder="1" applyAlignment="1" applyProtection="1">
      <alignment shrinkToFit="1"/>
      <protection locked="0"/>
    </xf>
    <xf numFmtId="0" fontId="5" fillId="2" borderId="31" xfId="0" applyFont="1" applyFill="1" applyBorder="1" applyAlignment="1" applyProtection="1">
      <alignment horizontal="left" shrinkToFit="1"/>
    </xf>
    <xf numFmtId="0" fontId="5" fillId="2" borderId="11" xfId="0" applyFont="1" applyFill="1" applyBorder="1" applyAlignment="1" applyProtection="1">
      <alignment horizontal="left" shrinkToFit="1"/>
    </xf>
    <xf numFmtId="164" fontId="5" fillId="2" borderId="13" xfId="0" applyNumberFormat="1" applyFont="1" applyFill="1" applyBorder="1" applyAlignment="1" applyProtection="1">
      <alignment horizontal="right" shrinkToFit="1"/>
      <protection locked="0"/>
    </xf>
    <xf numFmtId="0" fontId="4" fillId="2" borderId="31" xfId="0" applyFont="1" applyFill="1" applyBorder="1" applyAlignment="1" applyProtection="1">
      <alignment horizontal="left" shrinkToFit="1"/>
    </xf>
    <xf numFmtId="0" fontId="1" fillId="0" borderId="0" xfId="0" applyFont="1" applyProtection="1">
      <protection locked="0"/>
    </xf>
    <xf numFmtId="165" fontId="1" fillId="0" borderId="0" xfId="0" applyNumberFormat="1" applyFont="1" applyProtection="1"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3" fillId="0" borderId="0" xfId="0" applyFont="1" applyProtection="1">
      <protection locked="0"/>
    </xf>
    <xf numFmtId="165" fontId="6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0" fontId="4" fillId="0" borderId="4" xfId="0" applyFont="1" applyFill="1" applyBorder="1" applyAlignment="1" applyProtection="1">
      <alignment horizontal="center" shrinkToFit="1"/>
      <protection locked="0"/>
    </xf>
    <xf numFmtId="0" fontId="4" fillId="0" borderId="5" xfId="0" applyFont="1" applyFill="1" applyBorder="1" applyAlignment="1" applyProtection="1">
      <alignment horizontal="center" shrinkToFit="1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Border="1" applyProtection="1">
      <protection locked="0"/>
    </xf>
    <xf numFmtId="164" fontId="5" fillId="0" borderId="13" xfId="0" applyNumberFormat="1" applyFont="1" applyFill="1" applyBorder="1" applyAlignment="1" applyProtection="1">
      <alignment shrinkToFit="1"/>
      <protection locked="0"/>
    </xf>
    <xf numFmtId="0" fontId="5" fillId="0" borderId="19" xfId="0" applyFont="1" applyFill="1" applyBorder="1" applyProtection="1">
      <protection locked="0"/>
    </xf>
    <xf numFmtId="165" fontId="4" fillId="0" borderId="4" xfId="0" applyNumberFormat="1" applyFont="1" applyFill="1" applyBorder="1" applyAlignment="1" applyProtection="1">
      <alignment horizontal="center" shrinkToFit="1"/>
      <protection locked="0"/>
    </xf>
    <xf numFmtId="164" fontId="4" fillId="0" borderId="5" xfId="0" applyNumberFormat="1" applyFont="1" applyFill="1" applyBorder="1" applyAlignment="1" applyProtection="1">
      <alignment shrinkToFit="1"/>
      <protection locked="0"/>
    </xf>
    <xf numFmtId="164" fontId="7" fillId="0" borderId="8" xfId="0" applyNumberFormat="1" applyFont="1" applyFill="1" applyBorder="1" applyAlignment="1" applyProtection="1">
      <alignment shrinkToFit="1"/>
      <protection locked="0"/>
    </xf>
    <xf numFmtId="164" fontId="7" fillId="0" borderId="38" xfId="0" applyNumberFormat="1" applyFont="1" applyFill="1" applyBorder="1" applyAlignment="1" applyProtection="1">
      <alignment shrinkToFit="1"/>
      <protection locked="0"/>
    </xf>
    <xf numFmtId="164" fontId="5" fillId="0" borderId="44" xfId="0" applyNumberFormat="1" applyFont="1" applyFill="1" applyBorder="1" applyAlignment="1" applyProtection="1">
      <alignment shrinkToFit="1"/>
      <protection locked="0"/>
    </xf>
    <xf numFmtId="164" fontId="4" fillId="0" borderId="22" xfId="0" applyNumberFormat="1" applyFont="1" applyFill="1" applyBorder="1" applyAlignment="1" applyProtection="1">
      <alignment shrinkToFit="1"/>
      <protection locked="0"/>
    </xf>
    <xf numFmtId="165" fontId="4" fillId="0" borderId="3" xfId="0" applyNumberFormat="1" applyFont="1" applyFill="1" applyBorder="1" applyAlignment="1" applyProtection="1">
      <alignment horizontal="center" shrinkToFit="1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164" fontId="5" fillId="0" borderId="0" xfId="0" applyNumberFormat="1" applyFont="1" applyFill="1" applyBorder="1" applyAlignment="1" applyProtection="1">
      <alignment shrinkToFit="1"/>
      <protection locked="0"/>
    </xf>
    <xf numFmtId="165" fontId="3" fillId="0" borderId="0" xfId="0" applyNumberFormat="1" applyFont="1" applyFill="1" applyBorder="1" applyAlignment="1" applyProtection="1">
      <alignment shrinkToFit="1"/>
      <protection locked="0"/>
    </xf>
    <xf numFmtId="164" fontId="3" fillId="0" borderId="0" xfId="0" applyNumberFormat="1" applyFont="1" applyFill="1" applyBorder="1" applyAlignment="1" applyProtection="1">
      <alignment shrinkToFit="1"/>
      <protection locked="0"/>
    </xf>
    <xf numFmtId="0" fontId="5" fillId="0" borderId="0" xfId="0" applyFont="1" applyFill="1" applyBorder="1" applyAlignment="1" applyProtection="1">
      <alignment horizontal="centerContinuous"/>
      <protection locked="0"/>
    </xf>
    <xf numFmtId="164" fontId="5" fillId="0" borderId="0" xfId="0" applyNumberFormat="1" applyFont="1" applyFill="1" applyBorder="1" applyAlignment="1" applyProtection="1">
      <alignment horizontal="centerContinuous" shrinkToFit="1"/>
      <protection locked="0"/>
    </xf>
    <xf numFmtId="165" fontId="3" fillId="0" borderId="0" xfId="0" applyNumberFormat="1" applyFont="1" applyFill="1" applyBorder="1" applyAlignment="1" applyProtection="1">
      <alignment horizontal="centerContinuous" shrinkToFit="1"/>
      <protection locked="0"/>
    </xf>
    <xf numFmtId="164" fontId="3" fillId="0" borderId="0" xfId="0" applyNumberFormat="1" applyFont="1" applyFill="1" applyBorder="1" applyAlignment="1" applyProtection="1">
      <alignment horizontal="centerContinuous" shrinkToFit="1"/>
      <protection locked="0"/>
    </xf>
    <xf numFmtId="0" fontId="0" fillId="0" borderId="0" xfId="0" applyBorder="1" applyProtection="1">
      <protection locked="0"/>
    </xf>
    <xf numFmtId="164" fontId="5" fillId="0" borderId="32" xfId="0" applyNumberFormat="1" applyFont="1" applyFill="1" applyBorder="1" applyAlignment="1" applyProtection="1">
      <alignment shrinkToFit="1"/>
      <protection locked="0"/>
    </xf>
    <xf numFmtId="164" fontId="5" fillId="2" borderId="33" xfId="0" applyNumberFormat="1" applyFont="1" applyFill="1" applyBorder="1" applyAlignment="1" applyProtection="1">
      <alignment shrinkToFit="1"/>
      <protection locked="0"/>
    </xf>
    <xf numFmtId="164" fontId="5" fillId="0" borderId="34" xfId="0" applyNumberFormat="1" applyFont="1" applyFill="1" applyBorder="1" applyAlignment="1" applyProtection="1">
      <alignment shrinkToFit="1"/>
      <protection locked="0"/>
    </xf>
    <xf numFmtId="164" fontId="5" fillId="0" borderId="36" xfId="0" applyNumberFormat="1" applyFont="1" applyFill="1" applyBorder="1" applyAlignment="1" applyProtection="1">
      <alignment shrinkToFit="1"/>
      <protection locked="0"/>
    </xf>
    <xf numFmtId="164" fontId="5" fillId="2" borderId="39" xfId="0" applyNumberFormat="1" applyFont="1" applyFill="1" applyBorder="1" applyAlignment="1" applyProtection="1">
      <alignment shrinkToFit="1"/>
      <protection locked="0"/>
    </xf>
    <xf numFmtId="164" fontId="4" fillId="2" borderId="13" xfId="0" applyNumberFormat="1" applyFont="1" applyFill="1" applyBorder="1" applyAlignment="1" applyProtection="1">
      <alignment shrinkToFit="1"/>
      <protection locked="0"/>
    </xf>
    <xf numFmtId="164" fontId="5" fillId="0" borderId="35" xfId="0" applyNumberFormat="1" applyFont="1" applyFill="1" applyBorder="1" applyAlignment="1" applyProtection="1">
      <alignment shrinkToFit="1"/>
      <protection locked="0"/>
    </xf>
    <xf numFmtId="164" fontId="5" fillId="0" borderId="41" xfId="0" applyNumberFormat="1" applyFont="1" applyFill="1" applyBorder="1" applyAlignment="1" applyProtection="1">
      <alignment shrinkToFit="1"/>
      <protection locked="0"/>
    </xf>
    <xf numFmtId="164" fontId="5" fillId="0" borderId="42" xfId="0" applyNumberFormat="1" applyFont="1" applyFill="1" applyBorder="1" applyAlignment="1" applyProtection="1">
      <alignment shrinkToFit="1"/>
      <protection locked="0"/>
    </xf>
    <xf numFmtId="164" fontId="5" fillId="0" borderId="3" xfId="0" applyNumberFormat="1" applyFont="1" applyFill="1" applyBorder="1" applyAlignment="1" applyProtection="1">
      <alignment horizontal="center" shrinkToFit="1"/>
      <protection locked="0"/>
    </xf>
    <xf numFmtId="164" fontId="5" fillId="0" borderId="5" xfId="0" applyNumberFormat="1" applyFont="1" applyFill="1" applyBorder="1" applyAlignment="1" applyProtection="1">
      <alignment horizontal="center" shrinkToFit="1"/>
      <protection locked="0"/>
    </xf>
    <xf numFmtId="164" fontId="5" fillId="0" borderId="38" xfId="0" applyNumberFormat="1" applyFont="1" applyFill="1" applyBorder="1" applyAlignment="1" applyProtection="1">
      <alignment shrinkToFit="1"/>
      <protection locked="0"/>
    </xf>
    <xf numFmtId="0" fontId="5" fillId="3" borderId="20" xfId="0" applyFont="1" applyFill="1" applyBorder="1" applyAlignment="1" applyProtection="1">
      <alignment horizontal="left" shrinkToFit="1"/>
      <protection locked="0"/>
    </xf>
    <xf numFmtId="164" fontId="4" fillId="0" borderId="22" xfId="0" applyNumberFormat="1" applyFont="1" applyBorder="1" applyProtection="1">
      <protection locked="0"/>
    </xf>
    <xf numFmtId="0" fontId="2" fillId="0" borderId="0" xfId="0" applyFont="1" applyProtection="1">
      <protection locked="0"/>
    </xf>
    <xf numFmtId="165" fontId="0" fillId="0" borderId="0" xfId="0" applyNumberFormat="1" applyProtection="1">
      <protection locked="0"/>
    </xf>
    <xf numFmtId="0" fontId="5" fillId="0" borderId="2" xfId="0" applyFont="1" applyFill="1" applyBorder="1" applyProtection="1"/>
    <xf numFmtId="0" fontId="4" fillId="0" borderId="3" xfId="0" applyFont="1" applyFill="1" applyBorder="1" applyAlignment="1" applyProtection="1">
      <alignment horizontal="center" shrinkToFit="1"/>
    </xf>
    <xf numFmtId="0" fontId="4" fillId="0" borderId="3" xfId="0" applyFont="1" applyFill="1" applyBorder="1" applyAlignment="1" applyProtection="1">
      <alignment horizontal="center"/>
    </xf>
    <xf numFmtId="0" fontId="4" fillId="0" borderId="4" xfId="0" applyFont="1" applyFill="1" applyBorder="1" applyAlignment="1" applyProtection="1">
      <alignment horizontal="center" shrinkToFit="1"/>
    </xf>
    <xf numFmtId="0" fontId="4" fillId="0" borderId="6" xfId="0" applyFont="1" applyFill="1" applyBorder="1" applyProtection="1"/>
    <xf numFmtId="0" fontId="4" fillId="0" borderId="7" xfId="0" applyFont="1" applyFill="1" applyBorder="1" applyAlignment="1" applyProtection="1">
      <alignment shrinkToFit="1"/>
    </xf>
    <xf numFmtId="0" fontId="5" fillId="0" borderId="8" xfId="0" applyFont="1" applyFill="1" applyBorder="1" applyAlignment="1" applyProtection="1">
      <alignment horizontal="center"/>
    </xf>
    <xf numFmtId="164" fontId="5" fillId="0" borderId="8" xfId="0" applyNumberFormat="1" applyFont="1" applyFill="1" applyBorder="1" applyAlignment="1" applyProtection="1">
      <alignment shrinkToFit="1"/>
    </xf>
    <xf numFmtId="0" fontId="5" fillId="0" borderId="10" xfId="0" applyFont="1" applyFill="1" applyBorder="1" applyProtection="1"/>
    <xf numFmtId="0" fontId="5" fillId="0" borderId="11" xfId="0" applyFont="1" applyFill="1" applyBorder="1" applyAlignment="1" applyProtection="1">
      <alignment shrinkToFit="1"/>
    </xf>
    <xf numFmtId="0" fontId="5" fillId="0" borderId="11" xfId="0" applyFont="1" applyFill="1" applyBorder="1" applyAlignment="1" applyProtection="1">
      <alignment horizontal="center"/>
    </xf>
    <xf numFmtId="164" fontId="5" fillId="0" borderId="13" xfId="0" applyNumberFormat="1" applyFont="1" applyFill="1" applyBorder="1" applyAlignment="1" applyProtection="1">
      <alignment shrinkToFit="1"/>
    </xf>
    <xf numFmtId="0" fontId="5" fillId="0" borderId="14" xfId="0" applyFont="1" applyFill="1" applyBorder="1" applyProtection="1"/>
    <xf numFmtId="0" fontId="5" fillId="0" borderId="15" xfId="0" applyFont="1" applyFill="1" applyBorder="1" applyAlignment="1" applyProtection="1">
      <alignment shrinkToFit="1"/>
    </xf>
    <xf numFmtId="0" fontId="5" fillId="0" borderId="15" xfId="0" applyFont="1" applyFill="1" applyBorder="1" applyAlignment="1" applyProtection="1">
      <alignment horizontal="center"/>
    </xf>
    <xf numFmtId="0" fontId="5" fillId="0" borderId="16" xfId="0" applyFont="1" applyFill="1" applyBorder="1" applyProtection="1"/>
    <xf numFmtId="0" fontId="5" fillId="0" borderId="17" xfId="0" applyFont="1" applyFill="1" applyBorder="1" applyAlignment="1" applyProtection="1">
      <alignment shrinkToFit="1"/>
    </xf>
    <xf numFmtId="0" fontId="5" fillId="0" borderId="17" xfId="0" applyFont="1" applyFill="1" applyBorder="1" applyAlignment="1" applyProtection="1">
      <alignment horizontal="center"/>
    </xf>
    <xf numFmtId="0" fontId="5" fillId="0" borderId="19" xfId="0" applyFont="1" applyFill="1" applyBorder="1" applyProtection="1"/>
    <xf numFmtId="0" fontId="5" fillId="0" borderId="20" xfId="0" applyFont="1" applyFill="1" applyBorder="1" applyAlignment="1" applyProtection="1">
      <alignment shrinkToFit="1"/>
    </xf>
    <xf numFmtId="0" fontId="5" fillId="0" borderId="20" xfId="0" applyFont="1" applyFill="1" applyBorder="1" applyAlignment="1" applyProtection="1">
      <alignment horizontal="center"/>
    </xf>
    <xf numFmtId="165" fontId="4" fillId="0" borderId="4" xfId="0" applyNumberFormat="1" applyFont="1" applyFill="1" applyBorder="1" applyAlignment="1" applyProtection="1">
      <alignment horizontal="center" shrinkToFit="1"/>
    </xf>
    <xf numFmtId="0" fontId="5" fillId="0" borderId="12" xfId="0" applyFont="1" applyFill="1" applyBorder="1" applyAlignment="1" applyProtection="1">
      <alignment shrinkToFit="1"/>
    </xf>
    <xf numFmtId="0" fontId="5" fillId="0" borderId="6" xfId="0" applyFont="1" applyFill="1" applyBorder="1" applyProtection="1"/>
    <xf numFmtId="0" fontId="5" fillId="0" borderId="21" xfId="0" applyFont="1" applyFill="1" applyBorder="1" applyAlignment="1" applyProtection="1">
      <alignment shrinkToFit="1"/>
    </xf>
    <xf numFmtId="0" fontId="5" fillId="0" borderId="21" xfId="0" applyFont="1" applyFill="1" applyBorder="1" applyAlignment="1" applyProtection="1">
      <alignment horizontal="center"/>
    </xf>
    <xf numFmtId="0" fontId="4" fillId="0" borderId="10" xfId="0" applyFont="1" applyFill="1" applyBorder="1" applyProtection="1"/>
    <xf numFmtId="0" fontId="5" fillId="0" borderId="20" xfId="0" applyFont="1" applyFill="1" applyBorder="1" applyAlignment="1" applyProtection="1">
      <alignment horizontal="right" shrinkToFit="1"/>
    </xf>
    <xf numFmtId="0" fontId="4" fillId="0" borderId="45" xfId="0" applyFont="1" applyFill="1" applyBorder="1" applyAlignment="1" applyProtection="1">
      <alignment shrinkToFit="1"/>
    </xf>
    <xf numFmtId="0" fontId="5" fillId="0" borderId="38" xfId="0" applyFont="1" applyFill="1" applyBorder="1" applyAlignment="1" applyProtection="1">
      <alignment horizontal="center"/>
    </xf>
    <xf numFmtId="0" fontId="4" fillId="0" borderId="23" xfId="0" applyFont="1" applyFill="1" applyBorder="1" applyProtection="1"/>
    <xf numFmtId="0" fontId="5" fillId="0" borderId="12" xfId="0" applyFont="1" applyFill="1" applyBorder="1" applyAlignment="1" applyProtection="1">
      <alignment horizontal="center"/>
    </xf>
    <xf numFmtId="0" fontId="5" fillId="0" borderId="24" xfId="0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0" fontId="5" fillId="0" borderId="0" xfId="0" applyFont="1" applyFill="1" applyBorder="1" applyAlignment="1" applyProtection="1">
      <alignment shrinkToFit="1"/>
    </xf>
    <xf numFmtId="0" fontId="5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Continuous"/>
    </xf>
    <xf numFmtId="0" fontId="5" fillId="0" borderId="0" xfId="0" applyFont="1" applyFill="1" applyBorder="1" applyAlignment="1" applyProtection="1">
      <alignment horizontal="centerContinuous" shrinkToFit="1"/>
    </xf>
    <xf numFmtId="0" fontId="5" fillId="0" borderId="0" xfId="0" applyFont="1" applyFill="1" applyBorder="1" applyAlignment="1" applyProtection="1">
      <alignment horizontal="centerContinuous"/>
    </xf>
    <xf numFmtId="0" fontId="5" fillId="0" borderId="27" xfId="0" applyFont="1" applyFill="1" applyBorder="1" applyProtection="1"/>
    <xf numFmtId="0" fontId="5" fillId="0" borderId="8" xfId="0" applyFont="1" applyFill="1" applyBorder="1" applyAlignment="1" applyProtection="1">
      <alignment horizontal="center" shrinkToFit="1"/>
    </xf>
    <xf numFmtId="164" fontId="5" fillId="0" borderId="8" xfId="0" applyNumberFormat="1" applyFont="1" applyFill="1" applyBorder="1" applyAlignment="1" applyProtection="1">
      <alignment horizontal="center" shrinkToFit="1"/>
    </xf>
    <xf numFmtId="0" fontId="5" fillId="2" borderId="28" xfId="0" applyFont="1" applyFill="1" applyBorder="1" applyAlignment="1" applyProtection="1">
      <alignment horizontal="left" shrinkToFit="1"/>
    </xf>
    <xf numFmtId="0" fontId="5" fillId="2" borderId="12" xfId="0" applyFont="1" applyFill="1" applyBorder="1" applyAlignment="1" applyProtection="1">
      <alignment horizontal="left" shrinkToFit="1"/>
    </xf>
    <xf numFmtId="0" fontId="5" fillId="2" borderId="29" xfId="0" applyFont="1" applyFill="1" applyBorder="1" applyAlignment="1" applyProtection="1">
      <alignment horizontal="left" shrinkToFit="1"/>
    </xf>
    <xf numFmtId="0" fontId="5" fillId="2" borderId="30" xfId="0" applyFont="1" applyFill="1" applyBorder="1" applyAlignment="1" applyProtection="1">
      <alignment horizontal="left" shrinkToFit="1"/>
    </xf>
    <xf numFmtId="0" fontId="5" fillId="2" borderId="34" xfId="0" applyFont="1" applyFill="1" applyBorder="1" applyAlignment="1" applyProtection="1">
      <alignment horizontal="left" shrinkToFit="1"/>
    </xf>
    <xf numFmtId="0" fontId="5" fillId="2" borderId="18" xfId="0" applyFont="1" applyFill="1" applyBorder="1" applyAlignment="1" applyProtection="1">
      <alignment horizontal="left" shrinkToFit="1"/>
    </xf>
    <xf numFmtId="0" fontId="5" fillId="2" borderId="35" xfId="0" applyFont="1" applyFill="1" applyBorder="1" applyAlignment="1" applyProtection="1">
      <alignment horizontal="left" shrinkToFit="1"/>
    </xf>
    <xf numFmtId="0" fontId="5" fillId="2" borderId="36" xfId="0" applyFont="1" applyFill="1" applyBorder="1" applyAlignment="1" applyProtection="1">
      <alignment horizontal="left" shrinkToFit="1"/>
    </xf>
    <xf numFmtId="0" fontId="5" fillId="2" borderId="37" xfId="0" applyFont="1" applyFill="1" applyBorder="1" applyAlignment="1" applyProtection="1">
      <alignment horizontal="left" shrinkToFit="1"/>
    </xf>
    <xf numFmtId="0" fontId="5" fillId="2" borderId="38" xfId="0" applyFont="1" applyFill="1" applyBorder="1" applyAlignment="1" applyProtection="1">
      <alignment horizontal="left" shrinkToFit="1"/>
    </xf>
    <xf numFmtId="0" fontId="5" fillId="2" borderId="12" xfId="0" applyFont="1" applyFill="1" applyBorder="1" applyAlignment="1" applyProtection="1">
      <alignment horizontal="right"/>
    </xf>
    <xf numFmtId="0" fontId="5" fillId="2" borderId="29" xfId="0" applyFont="1" applyFill="1" applyBorder="1" applyAlignment="1" applyProtection="1">
      <alignment horizontal="right"/>
    </xf>
    <xf numFmtId="0" fontId="4" fillId="2" borderId="28" xfId="0" applyFont="1" applyFill="1" applyBorder="1" applyAlignment="1" applyProtection="1">
      <alignment horizontal="left"/>
    </xf>
    <xf numFmtId="0" fontId="5" fillId="2" borderId="28" xfId="0" applyFont="1" applyFill="1" applyBorder="1" applyAlignment="1" applyProtection="1">
      <alignment horizontal="left"/>
    </xf>
    <xf numFmtId="0" fontId="5" fillId="2" borderId="12" xfId="0" applyFont="1" applyFill="1" applyBorder="1" applyAlignment="1" applyProtection="1">
      <alignment horizontal="center" shrinkToFit="1"/>
    </xf>
    <xf numFmtId="0" fontId="5" fillId="2" borderId="29" xfId="0" applyFont="1" applyFill="1" applyBorder="1" applyAlignment="1" applyProtection="1">
      <alignment horizontal="center" shrinkToFit="1"/>
    </xf>
    <xf numFmtId="0" fontId="5" fillId="0" borderId="40" xfId="0" applyFont="1" applyFill="1" applyBorder="1" applyProtection="1"/>
    <xf numFmtId="0" fontId="5" fillId="0" borderId="35" xfId="0" applyFont="1" applyFill="1" applyBorder="1" applyAlignment="1" applyProtection="1">
      <alignment horizontal="left" shrinkToFit="1"/>
    </xf>
    <xf numFmtId="164" fontId="5" fillId="0" borderId="35" xfId="0" applyNumberFormat="1" applyFont="1" applyFill="1" applyBorder="1" applyAlignment="1" applyProtection="1">
      <alignment shrinkToFit="1"/>
    </xf>
    <xf numFmtId="0" fontId="5" fillId="0" borderId="0" xfId="0" applyFont="1" applyFill="1" applyBorder="1" applyAlignment="1" applyProtection="1">
      <alignment horizontal="left" shrinkToFit="1"/>
    </xf>
    <xf numFmtId="164" fontId="5" fillId="0" borderId="0" xfId="0" applyNumberFormat="1" applyFont="1" applyFill="1" applyBorder="1" applyAlignment="1" applyProtection="1">
      <alignment shrinkToFit="1"/>
    </xf>
    <xf numFmtId="0" fontId="5" fillId="0" borderId="42" xfId="0" applyFont="1" applyFill="1" applyBorder="1" applyProtection="1"/>
    <xf numFmtId="0" fontId="5" fillId="0" borderId="42" xfId="0" applyFont="1" applyFill="1" applyBorder="1" applyAlignment="1" applyProtection="1">
      <alignment horizontal="left" shrinkToFit="1"/>
    </xf>
    <xf numFmtId="164" fontId="5" fillId="0" borderId="42" xfId="0" applyNumberFormat="1" applyFont="1" applyFill="1" applyBorder="1" applyAlignment="1" applyProtection="1">
      <alignment shrinkToFit="1"/>
    </xf>
    <xf numFmtId="0" fontId="4" fillId="0" borderId="2" xfId="0" applyFont="1" applyFill="1" applyBorder="1" applyProtection="1"/>
    <xf numFmtId="0" fontId="5" fillId="0" borderId="43" xfId="0" applyFont="1" applyFill="1" applyBorder="1" applyAlignment="1" applyProtection="1">
      <alignment horizontal="center"/>
    </xf>
    <xf numFmtId="0" fontId="4" fillId="0" borderId="36" xfId="0" applyFont="1" applyFill="1" applyBorder="1" applyAlignment="1" applyProtection="1">
      <alignment shrinkToFit="1"/>
    </xf>
    <xf numFmtId="0" fontId="5" fillId="0" borderId="28" xfId="0" applyFont="1" applyFill="1" applyBorder="1" applyAlignment="1" applyProtection="1">
      <alignment horizontal="center"/>
    </xf>
    <xf numFmtId="49" fontId="5" fillId="0" borderId="11" xfId="0" applyNumberFormat="1" applyFont="1" applyFill="1" applyBorder="1" applyAlignment="1" applyProtection="1">
      <alignment shrinkToFit="1"/>
    </xf>
    <xf numFmtId="0" fontId="5" fillId="0" borderId="34" xfId="0" applyFont="1" applyFill="1" applyBorder="1" applyAlignment="1" applyProtection="1">
      <alignment horizontal="center"/>
    </xf>
    <xf numFmtId="164" fontId="5" fillId="0" borderId="46" xfId="0" applyNumberFormat="1" applyFont="1" applyFill="1" applyBorder="1" applyAlignment="1" applyProtection="1">
      <alignment shrinkToFit="1"/>
    </xf>
    <xf numFmtId="165" fontId="1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5" fillId="2" borderId="28" xfId="0" applyFont="1" applyFill="1" applyBorder="1" applyAlignment="1" applyProtection="1">
      <alignment horizontal="left" shrinkToFit="1"/>
    </xf>
    <xf numFmtId="0" fontId="5" fillId="2" borderId="12" xfId="0" applyFont="1" applyFill="1" applyBorder="1" applyAlignment="1" applyProtection="1">
      <alignment horizontal="left" shrinkToFit="1"/>
    </xf>
    <xf numFmtId="0" fontId="4" fillId="0" borderId="28" xfId="0" applyFont="1" applyFill="1" applyBorder="1" applyAlignment="1" applyProtection="1">
      <alignment horizontal="center" shrinkToFit="1"/>
    </xf>
    <xf numFmtId="0" fontId="0" fillId="0" borderId="29" xfId="0" applyBorder="1" applyProtection="1"/>
    <xf numFmtId="0" fontId="8" fillId="2" borderId="28" xfId="0" applyFont="1" applyFill="1" applyBorder="1" applyAlignment="1" applyProtection="1">
      <alignment horizontal="left" shrinkToFit="1"/>
    </xf>
    <xf numFmtId="0" fontId="8" fillId="2" borderId="29" xfId="0" applyFont="1" applyFill="1" applyBorder="1" applyAlignment="1" applyProtection="1">
      <alignment horizontal="left" shrinkToFit="1"/>
    </xf>
    <xf numFmtId="0" fontId="0" fillId="0" borderId="12" xfId="0" applyBorder="1" applyAlignment="1" applyProtection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188</xdr:row>
      <xdr:rowOff>104775</xdr:rowOff>
    </xdr:from>
    <xdr:to>
      <xdr:col>4</xdr:col>
      <xdr:colOff>990600</xdr:colOff>
      <xdr:row>188</xdr:row>
      <xdr:rowOff>104775</xdr:rowOff>
    </xdr:to>
    <xdr:sp macro="" textlink="">
      <xdr:nvSpPr>
        <xdr:cNvPr id="1026" name="Line 4"/>
        <xdr:cNvSpPr>
          <a:spLocks noChangeShapeType="1"/>
        </xdr:cNvSpPr>
      </xdr:nvSpPr>
      <xdr:spPr bwMode="auto">
        <a:xfrm>
          <a:off x="8172450" y="43205400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581025</xdr:colOff>
      <xdr:row>196</xdr:row>
      <xdr:rowOff>104775</xdr:rowOff>
    </xdr:from>
    <xdr:to>
      <xdr:col>4</xdr:col>
      <xdr:colOff>990600</xdr:colOff>
      <xdr:row>196</xdr:row>
      <xdr:rowOff>104775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8172450" y="45053250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9"/>
  <sheetViews>
    <sheetView tabSelected="1" topLeftCell="A196" zoomScale="75" zoomScaleNormal="100" workbookViewId="0">
      <selection activeCell="B3" sqref="B3"/>
    </sheetView>
  </sheetViews>
  <sheetFormatPr defaultRowHeight="12.75" x14ac:dyDescent="0.2"/>
  <cols>
    <col min="1" max="1" width="5.85546875" style="19" customWidth="1"/>
    <col min="2" max="2" width="71.42578125" style="19" customWidth="1"/>
    <col min="3" max="3" width="16.28515625" style="19" customWidth="1"/>
    <col min="4" max="4" width="20.28515625" style="19" customWidth="1"/>
    <col min="5" max="5" width="15.5703125" style="19" customWidth="1"/>
    <col min="6" max="6" width="21.42578125" style="19" customWidth="1"/>
    <col min="7" max="7" width="11.140625" style="61" customWidth="1"/>
    <col min="8" max="8" width="9" style="19" customWidth="1"/>
    <col min="9" max="16384" width="9.140625" style="19"/>
  </cols>
  <sheetData>
    <row r="1" spans="1:8" x14ac:dyDescent="0.2">
      <c r="A1" s="17"/>
      <c r="B1" s="17"/>
      <c r="C1" s="17"/>
      <c r="D1" s="17"/>
      <c r="E1" s="17"/>
      <c r="F1" s="17"/>
      <c r="G1" s="18"/>
      <c r="H1" s="17"/>
    </row>
    <row r="2" spans="1:8" x14ac:dyDescent="0.2">
      <c r="A2" s="17"/>
      <c r="B2" s="17"/>
      <c r="C2" s="17"/>
      <c r="D2" s="17"/>
      <c r="E2" s="17"/>
      <c r="F2" s="17"/>
      <c r="G2" s="18"/>
      <c r="H2" s="17"/>
    </row>
    <row r="3" spans="1:8" ht="20.25" x14ac:dyDescent="0.3">
      <c r="A3" s="20" t="s">
        <v>131</v>
      </c>
      <c r="B3" s="21"/>
      <c r="C3" s="21"/>
      <c r="D3" s="21"/>
      <c r="E3" s="21"/>
      <c r="F3" s="22" t="s">
        <v>118</v>
      </c>
      <c r="G3" s="23"/>
      <c r="H3" s="21"/>
    </row>
    <row r="4" spans="1:8" ht="20.25" x14ac:dyDescent="0.3">
      <c r="A4" s="20" t="s">
        <v>132</v>
      </c>
      <c r="B4" s="21"/>
      <c r="C4" s="21"/>
      <c r="D4" s="21"/>
      <c r="E4" s="21"/>
      <c r="F4" s="21"/>
      <c r="G4" s="23"/>
      <c r="H4" s="21"/>
    </row>
    <row r="5" spans="1:8" ht="17.25" thickBot="1" x14ac:dyDescent="0.3">
      <c r="A5" s="21"/>
      <c r="B5" s="21"/>
      <c r="C5" s="135" t="s">
        <v>235</v>
      </c>
      <c r="D5" s="135"/>
      <c r="E5" s="136"/>
      <c r="F5" s="136"/>
      <c r="G5" s="136"/>
      <c r="H5" s="136"/>
    </row>
    <row r="6" spans="1:8" ht="18.75" thickBot="1" x14ac:dyDescent="0.3">
      <c r="A6" s="62"/>
      <c r="B6" s="63" t="s">
        <v>225</v>
      </c>
      <c r="C6" s="64" t="s">
        <v>224</v>
      </c>
      <c r="D6" s="65" t="s">
        <v>226</v>
      </c>
      <c r="E6" s="24" t="s">
        <v>227</v>
      </c>
      <c r="F6" s="25" t="s">
        <v>228</v>
      </c>
      <c r="G6" s="26"/>
      <c r="H6" s="27"/>
    </row>
    <row r="7" spans="1:8" ht="18" x14ac:dyDescent="0.25">
      <c r="A7" s="66" t="s">
        <v>98</v>
      </c>
      <c r="B7" s="67" t="s">
        <v>136</v>
      </c>
      <c r="C7" s="68"/>
      <c r="D7" s="69"/>
      <c r="E7" s="3"/>
      <c r="F7" s="4"/>
      <c r="G7" s="26"/>
      <c r="H7" s="27"/>
    </row>
    <row r="8" spans="1:8" ht="18" x14ac:dyDescent="0.25">
      <c r="A8" s="70"/>
      <c r="B8" s="71" t="s">
        <v>137</v>
      </c>
      <c r="C8" s="72" t="s">
        <v>2</v>
      </c>
      <c r="D8" s="73">
        <v>6.55</v>
      </c>
      <c r="E8" s="7"/>
      <c r="F8" s="28">
        <f t="shared" ref="F8:F13" si="0">D8*E8</f>
        <v>0</v>
      </c>
      <c r="G8" s="26"/>
      <c r="H8" s="27"/>
    </row>
    <row r="9" spans="1:8" ht="18" x14ac:dyDescent="0.25">
      <c r="A9" s="70"/>
      <c r="B9" s="71" t="s">
        <v>138</v>
      </c>
      <c r="C9" s="72" t="s">
        <v>2</v>
      </c>
      <c r="D9" s="73">
        <v>10.1</v>
      </c>
      <c r="E9" s="7"/>
      <c r="F9" s="28">
        <f t="shared" si="0"/>
        <v>0</v>
      </c>
      <c r="G9" s="26"/>
      <c r="H9" s="27"/>
    </row>
    <row r="10" spans="1:8" ht="18" x14ac:dyDescent="0.25">
      <c r="A10" s="70"/>
      <c r="B10" s="71" t="s">
        <v>139</v>
      </c>
      <c r="C10" s="72" t="s">
        <v>3</v>
      </c>
      <c r="D10" s="73">
        <v>0.63</v>
      </c>
      <c r="E10" s="7"/>
      <c r="F10" s="28">
        <f t="shared" si="0"/>
        <v>0</v>
      </c>
      <c r="G10" s="26"/>
      <c r="H10" s="21"/>
    </row>
    <row r="11" spans="1:8" ht="18" x14ac:dyDescent="0.25">
      <c r="A11" s="70"/>
      <c r="B11" s="71" t="s">
        <v>140</v>
      </c>
      <c r="C11" s="72" t="s">
        <v>2</v>
      </c>
      <c r="D11" s="73">
        <v>7.72</v>
      </c>
      <c r="E11" s="7"/>
      <c r="F11" s="28">
        <f t="shared" si="0"/>
        <v>0</v>
      </c>
      <c r="G11" s="21"/>
      <c r="H11" s="21"/>
    </row>
    <row r="12" spans="1:8" ht="18" x14ac:dyDescent="0.25">
      <c r="A12" s="74"/>
      <c r="B12" s="75" t="s">
        <v>141</v>
      </c>
      <c r="C12" s="76" t="s">
        <v>134</v>
      </c>
      <c r="D12" s="73">
        <v>1185</v>
      </c>
      <c r="E12" s="10"/>
      <c r="F12" s="28">
        <f t="shared" si="0"/>
        <v>0</v>
      </c>
      <c r="G12" s="21"/>
      <c r="H12" s="21"/>
    </row>
    <row r="13" spans="1:8" ht="18.75" thickBot="1" x14ac:dyDescent="0.3">
      <c r="A13" s="77"/>
      <c r="B13" s="78" t="s">
        <v>142</v>
      </c>
      <c r="C13" s="79" t="s">
        <v>3</v>
      </c>
      <c r="D13" s="73">
        <v>1.21</v>
      </c>
      <c r="E13" s="9"/>
      <c r="F13" s="28">
        <f t="shared" si="0"/>
        <v>0</v>
      </c>
      <c r="G13" s="21"/>
      <c r="H13" s="21"/>
    </row>
    <row r="14" spans="1:8" ht="18.75" thickBot="1" x14ac:dyDescent="0.3">
      <c r="A14" s="80"/>
      <c r="B14" s="81"/>
      <c r="C14" s="82"/>
      <c r="D14" s="83"/>
      <c r="E14" s="30" t="s">
        <v>211</v>
      </c>
      <c r="F14" s="31">
        <f>SUM(F8:F13)</f>
        <v>0</v>
      </c>
      <c r="G14" s="21"/>
      <c r="H14" s="21"/>
    </row>
    <row r="15" spans="1:8" ht="18" x14ac:dyDescent="0.25">
      <c r="A15" s="66" t="s">
        <v>99</v>
      </c>
      <c r="B15" s="67" t="s">
        <v>4</v>
      </c>
      <c r="C15" s="68"/>
      <c r="D15" s="68"/>
      <c r="E15" s="32"/>
      <c r="F15" s="4"/>
      <c r="G15" s="21"/>
    </row>
    <row r="16" spans="1:8" ht="18" x14ac:dyDescent="0.25">
      <c r="A16" s="70"/>
      <c r="B16" s="84" t="s">
        <v>97</v>
      </c>
      <c r="C16" s="72" t="s">
        <v>1</v>
      </c>
      <c r="D16" s="73">
        <v>1485</v>
      </c>
      <c r="E16" s="7"/>
      <c r="F16" s="28">
        <f t="shared" ref="F16:F47" si="1">D16*E16</f>
        <v>0</v>
      </c>
      <c r="G16" s="21"/>
      <c r="H16" s="21"/>
    </row>
    <row r="17" spans="1:8" ht="18" x14ac:dyDescent="0.25">
      <c r="A17" s="70"/>
      <c r="B17" s="71" t="s">
        <v>5</v>
      </c>
      <c r="C17" s="72" t="s">
        <v>1</v>
      </c>
      <c r="D17" s="73">
        <v>1770</v>
      </c>
      <c r="E17" s="7"/>
      <c r="F17" s="28">
        <f t="shared" si="1"/>
        <v>0</v>
      </c>
      <c r="G17" s="21"/>
      <c r="H17" s="21"/>
    </row>
    <row r="18" spans="1:8" ht="18" x14ac:dyDescent="0.25">
      <c r="A18" s="70"/>
      <c r="B18" s="71" t="s">
        <v>6</v>
      </c>
      <c r="C18" s="72" t="s">
        <v>1</v>
      </c>
      <c r="D18" s="73">
        <v>1770</v>
      </c>
      <c r="E18" s="7"/>
      <c r="F18" s="28">
        <f t="shared" si="1"/>
        <v>0</v>
      </c>
      <c r="G18" s="21"/>
      <c r="H18" s="21"/>
    </row>
    <row r="19" spans="1:8" ht="18" x14ac:dyDescent="0.25">
      <c r="A19" s="70"/>
      <c r="B19" s="71" t="s">
        <v>7</v>
      </c>
      <c r="C19" s="72" t="s">
        <v>1</v>
      </c>
      <c r="D19" s="73">
        <v>2395</v>
      </c>
      <c r="E19" s="7"/>
      <c r="F19" s="28">
        <f t="shared" si="1"/>
        <v>0</v>
      </c>
      <c r="G19" s="21"/>
      <c r="H19" s="21"/>
    </row>
    <row r="20" spans="1:8" ht="18" x14ac:dyDescent="0.25">
      <c r="A20" s="70"/>
      <c r="B20" s="71" t="s">
        <v>8</v>
      </c>
      <c r="C20" s="72" t="s">
        <v>1</v>
      </c>
      <c r="D20" s="73">
        <v>3555</v>
      </c>
      <c r="E20" s="7"/>
      <c r="F20" s="28">
        <f t="shared" si="1"/>
        <v>0</v>
      </c>
      <c r="G20" s="21"/>
      <c r="H20" s="21"/>
    </row>
    <row r="21" spans="1:8" ht="18" x14ac:dyDescent="0.25">
      <c r="A21" s="70"/>
      <c r="B21" s="71" t="s">
        <v>9</v>
      </c>
      <c r="C21" s="72" t="s">
        <v>1</v>
      </c>
      <c r="D21" s="73">
        <v>4760</v>
      </c>
      <c r="E21" s="7"/>
      <c r="F21" s="28">
        <f t="shared" si="1"/>
        <v>0</v>
      </c>
      <c r="G21" s="21"/>
      <c r="H21" s="21"/>
    </row>
    <row r="22" spans="1:8" ht="18" x14ac:dyDescent="0.25">
      <c r="A22" s="70"/>
      <c r="B22" s="71" t="s">
        <v>116</v>
      </c>
      <c r="C22" s="72" t="s">
        <v>1</v>
      </c>
      <c r="D22" s="73">
        <v>2565</v>
      </c>
      <c r="E22" s="7"/>
      <c r="F22" s="28">
        <f t="shared" si="1"/>
        <v>0</v>
      </c>
      <c r="G22" s="21"/>
      <c r="H22" s="21"/>
    </row>
    <row r="23" spans="1:8" ht="18" x14ac:dyDescent="0.25">
      <c r="A23" s="70"/>
      <c r="B23" s="71" t="s">
        <v>117</v>
      </c>
      <c r="C23" s="72" t="s">
        <v>1</v>
      </c>
      <c r="D23" s="73">
        <v>5100</v>
      </c>
      <c r="E23" s="7"/>
      <c r="F23" s="28">
        <f t="shared" si="1"/>
        <v>0</v>
      </c>
      <c r="G23" s="21"/>
      <c r="H23" s="21"/>
    </row>
    <row r="24" spans="1:8" ht="18" x14ac:dyDescent="0.25">
      <c r="A24" s="70"/>
      <c r="B24" s="71" t="s">
        <v>10</v>
      </c>
      <c r="C24" s="72" t="s">
        <v>11</v>
      </c>
      <c r="D24" s="73">
        <v>19.350000000000001</v>
      </c>
      <c r="E24" s="7"/>
      <c r="F24" s="28">
        <f t="shared" si="1"/>
        <v>0</v>
      </c>
      <c r="G24" s="21"/>
      <c r="H24" s="21"/>
    </row>
    <row r="25" spans="1:8" ht="18" x14ac:dyDescent="0.25">
      <c r="A25" s="70"/>
      <c r="B25" s="71" t="s">
        <v>12</v>
      </c>
      <c r="C25" s="72" t="s">
        <v>11</v>
      </c>
      <c r="D25" s="73">
        <v>22.8</v>
      </c>
      <c r="E25" s="7"/>
      <c r="F25" s="28">
        <f t="shared" si="1"/>
        <v>0</v>
      </c>
      <c r="G25" s="21"/>
      <c r="H25" s="21"/>
    </row>
    <row r="26" spans="1:8" ht="18" x14ac:dyDescent="0.25">
      <c r="A26" s="70"/>
      <c r="B26" s="71" t="s">
        <v>13</v>
      </c>
      <c r="C26" s="72" t="s">
        <v>11</v>
      </c>
      <c r="D26" s="73">
        <v>25.65</v>
      </c>
      <c r="E26" s="7"/>
      <c r="F26" s="28">
        <f t="shared" si="1"/>
        <v>0</v>
      </c>
      <c r="G26" s="21"/>
      <c r="H26" s="21"/>
    </row>
    <row r="27" spans="1:8" ht="18" x14ac:dyDescent="0.25">
      <c r="A27" s="70"/>
      <c r="B27" s="71" t="s">
        <v>14</v>
      </c>
      <c r="C27" s="72" t="s">
        <v>11</v>
      </c>
      <c r="D27" s="73">
        <v>27.95</v>
      </c>
      <c r="E27" s="7"/>
      <c r="F27" s="28">
        <f t="shared" si="1"/>
        <v>0</v>
      </c>
      <c r="G27" s="21"/>
      <c r="H27" s="21"/>
    </row>
    <row r="28" spans="1:8" ht="18" x14ac:dyDescent="0.25">
      <c r="A28" s="70"/>
      <c r="B28" s="71" t="s">
        <v>15</v>
      </c>
      <c r="C28" s="72" t="s">
        <v>11</v>
      </c>
      <c r="D28" s="73">
        <v>31.95</v>
      </c>
      <c r="E28" s="7"/>
      <c r="F28" s="28">
        <f t="shared" si="1"/>
        <v>0</v>
      </c>
      <c r="G28" s="21"/>
      <c r="H28" s="21"/>
    </row>
    <row r="29" spans="1:8" ht="18" x14ac:dyDescent="0.25">
      <c r="A29" s="70"/>
      <c r="B29" s="71" t="s">
        <v>16</v>
      </c>
      <c r="C29" s="72" t="s">
        <v>11</v>
      </c>
      <c r="D29" s="73">
        <v>37.1</v>
      </c>
      <c r="E29" s="7"/>
      <c r="F29" s="28">
        <f t="shared" si="1"/>
        <v>0</v>
      </c>
      <c r="G29" s="21"/>
      <c r="H29" s="21"/>
    </row>
    <row r="30" spans="1:8" ht="18" x14ac:dyDescent="0.25">
      <c r="A30" s="70"/>
      <c r="B30" s="71" t="s">
        <v>17</v>
      </c>
      <c r="C30" s="72" t="s">
        <v>11</v>
      </c>
      <c r="D30" s="73">
        <v>41.65</v>
      </c>
      <c r="E30" s="7"/>
      <c r="F30" s="28">
        <f t="shared" si="1"/>
        <v>0</v>
      </c>
      <c r="G30" s="21"/>
      <c r="H30" s="21"/>
    </row>
    <row r="31" spans="1:8" ht="18" x14ac:dyDescent="0.25">
      <c r="A31" s="70"/>
      <c r="B31" s="71" t="s">
        <v>18</v>
      </c>
      <c r="C31" s="72" t="s">
        <v>11</v>
      </c>
      <c r="D31" s="73">
        <v>45.6</v>
      </c>
      <c r="E31" s="7"/>
      <c r="F31" s="28">
        <f t="shared" si="1"/>
        <v>0</v>
      </c>
      <c r="G31" s="21"/>
      <c r="H31" s="21"/>
    </row>
    <row r="32" spans="1:8" ht="18" x14ac:dyDescent="0.25">
      <c r="A32" s="70"/>
      <c r="B32" s="71" t="s">
        <v>19</v>
      </c>
      <c r="C32" s="72" t="s">
        <v>11</v>
      </c>
      <c r="D32" s="73">
        <v>50.7</v>
      </c>
      <c r="E32" s="7"/>
      <c r="F32" s="28">
        <f t="shared" si="1"/>
        <v>0</v>
      </c>
      <c r="G32" s="21"/>
      <c r="H32" s="21"/>
    </row>
    <row r="33" spans="1:8" ht="18" x14ac:dyDescent="0.25">
      <c r="A33" s="70"/>
      <c r="B33" s="71" t="s">
        <v>20</v>
      </c>
      <c r="C33" s="72" t="s">
        <v>11</v>
      </c>
      <c r="D33" s="73">
        <v>59.25</v>
      </c>
      <c r="E33" s="7"/>
      <c r="F33" s="28">
        <f t="shared" si="1"/>
        <v>0</v>
      </c>
      <c r="G33" s="21"/>
      <c r="H33" s="21"/>
    </row>
    <row r="34" spans="1:8" ht="18" x14ac:dyDescent="0.25">
      <c r="A34" s="70"/>
      <c r="B34" s="71" t="s">
        <v>21</v>
      </c>
      <c r="C34" s="72" t="s">
        <v>11</v>
      </c>
      <c r="D34" s="73">
        <v>68.400000000000006</v>
      </c>
      <c r="E34" s="7"/>
      <c r="F34" s="28">
        <f t="shared" si="1"/>
        <v>0</v>
      </c>
      <c r="G34" s="21"/>
      <c r="H34" s="21"/>
    </row>
    <row r="35" spans="1:8" ht="18" x14ac:dyDescent="0.25">
      <c r="A35" s="70"/>
      <c r="B35" s="71" t="s">
        <v>22</v>
      </c>
      <c r="C35" s="72" t="s">
        <v>11</v>
      </c>
      <c r="D35" s="73">
        <v>79.25</v>
      </c>
      <c r="E35" s="7"/>
      <c r="F35" s="28">
        <f t="shared" si="1"/>
        <v>0</v>
      </c>
      <c r="G35" s="21"/>
      <c r="H35" s="21"/>
    </row>
    <row r="36" spans="1:8" ht="18" x14ac:dyDescent="0.25">
      <c r="A36" s="70"/>
      <c r="B36" s="71" t="s">
        <v>23</v>
      </c>
      <c r="C36" s="72" t="s">
        <v>11</v>
      </c>
      <c r="D36" s="73">
        <v>85.5</v>
      </c>
      <c r="E36" s="7"/>
      <c r="F36" s="28">
        <f t="shared" si="1"/>
        <v>0</v>
      </c>
      <c r="G36" s="21"/>
      <c r="H36" s="21"/>
    </row>
    <row r="37" spans="1:8" ht="18" x14ac:dyDescent="0.25">
      <c r="A37" s="70"/>
      <c r="B37" s="71" t="s">
        <v>24</v>
      </c>
      <c r="C37" s="72" t="s">
        <v>11</v>
      </c>
      <c r="D37" s="73">
        <v>91.8</v>
      </c>
      <c r="E37" s="7"/>
      <c r="F37" s="28">
        <f t="shared" si="1"/>
        <v>0</v>
      </c>
      <c r="G37" s="21"/>
      <c r="H37" s="21"/>
    </row>
    <row r="38" spans="1:8" ht="18" x14ac:dyDescent="0.25">
      <c r="A38" s="70"/>
      <c r="B38" s="71" t="s">
        <v>25</v>
      </c>
      <c r="C38" s="72" t="s">
        <v>11</v>
      </c>
      <c r="D38" s="73">
        <v>105.4</v>
      </c>
      <c r="E38" s="7"/>
      <c r="F38" s="28">
        <f t="shared" si="1"/>
        <v>0</v>
      </c>
      <c r="G38" s="21"/>
      <c r="H38" s="21"/>
    </row>
    <row r="39" spans="1:8" ht="18" x14ac:dyDescent="0.25">
      <c r="A39" s="70"/>
      <c r="B39" s="71" t="s">
        <v>112</v>
      </c>
      <c r="C39" s="72" t="s">
        <v>1</v>
      </c>
      <c r="D39" s="73">
        <v>297</v>
      </c>
      <c r="E39" s="7"/>
      <c r="F39" s="28">
        <f t="shared" si="1"/>
        <v>0</v>
      </c>
      <c r="G39" s="21"/>
      <c r="H39" s="21"/>
    </row>
    <row r="40" spans="1:8" ht="18" x14ac:dyDescent="0.25">
      <c r="A40" s="70"/>
      <c r="B40" s="71" t="s">
        <v>113</v>
      </c>
      <c r="C40" s="72" t="s">
        <v>1</v>
      </c>
      <c r="D40" s="73">
        <v>387</v>
      </c>
      <c r="E40" s="7"/>
      <c r="F40" s="28">
        <f t="shared" si="1"/>
        <v>0</v>
      </c>
      <c r="G40" s="21"/>
      <c r="H40" s="21"/>
    </row>
    <row r="41" spans="1:8" ht="18" x14ac:dyDescent="0.25">
      <c r="A41" s="70"/>
      <c r="B41" s="71" t="s">
        <v>114</v>
      </c>
      <c r="C41" s="72" t="s">
        <v>1</v>
      </c>
      <c r="D41" s="73">
        <v>592</v>
      </c>
      <c r="E41" s="7"/>
      <c r="F41" s="28">
        <f t="shared" si="1"/>
        <v>0</v>
      </c>
      <c r="G41" s="21"/>
      <c r="H41" s="21"/>
    </row>
    <row r="42" spans="1:8" ht="18" x14ac:dyDescent="0.25">
      <c r="A42" s="70"/>
      <c r="B42" s="71" t="s">
        <v>26</v>
      </c>
      <c r="C42" s="72" t="s">
        <v>11</v>
      </c>
      <c r="D42" s="73">
        <v>53</v>
      </c>
      <c r="E42" s="7"/>
      <c r="F42" s="28">
        <f t="shared" si="1"/>
        <v>0</v>
      </c>
      <c r="G42" s="21"/>
      <c r="H42" s="21"/>
    </row>
    <row r="43" spans="1:8" ht="18" x14ac:dyDescent="0.25">
      <c r="A43" s="70"/>
      <c r="B43" s="71" t="s">
        <v>27</v>
      </c>
      <c r="C43" s="72" t="s">
        <v>11</v>
      </c>
      <c r="D43" s="73">
        <v>59.25</v>
      </c>
      <c r="E43" s="7"/>
      <c r="F43" s="28">
        <f t="shared" si="1"/>
        <v>0</v>
      </c>
      <c r="G43" s="21"/>
      <c r="H43" s="21"/>
    </row>
    <row r="44" spans="1:8" ht="18" x14ac:dyDescent="0.25">
      <c r="A44" s="70"/>
      <c r="B44" s="71" t="s">
        <v>28</v>
      </c>
      <c r="C44" s="72" t="s">
        <v>11</v>
      </c>
      <c r="D44" s="73">
        <v>66.150000000000006</v>
      </c>
      <c r="E44" s="7"/>
      <c r="F44" s="28">
        <f t="shared" si="1"/>
        <v>0</v>
      </c>
      <c r="G44" s="21"/>
      <c r="H44" s="21"/>
    </row>
    <row r="45" spans="1:8" ht="18" x14ac:dyDescent="0.25">
      <c r="A45" s="70"/>
      <c r="B45" s="71" t="s">
        <v>29</v>
      </c>
      <c r="C45" s="72" t="s">
        <v>11</v>
      </c>
      <c r="D45" s="73">
        <v>72.400000000000006</v>
      </c>
      <c r="E45" s="7"/>
      <c r="F45" s="28">
        <f t="shared" si="1"/>
        <v>0</v>
      </c>
      <c r="G45" s="21"/>
      <c r="H45" s="21"/>
    </row>
    <row r="46" spans="1:8" ht="18" x14ac:dyDescent="0.25">
      <c r="A46" s="70"/>
      <c r="B46" s="71" t="s">
        <v>30</v>
      </c>
      <c r="C46" s="72" t="s">
        <v>11</v>
      </c>
      <c r="D46" s="73">
        <v>78.650000000000006</v>
      </c>
      <c r="E46" s="7"/>
      <c r="F46" s="28">
        <f t="shared" si="1"/>
        <v>0</v>
      </c>
      <c r="G46" s="21"/>
      <c r="H46" s="21"/>
    </row>
    <row r="47" spans="1:8" ht="18" x14ac:dyDescent="0.25">
      <c r="A47" s="70"/>
      <c r="B47" s="71" t="s">
        <v>31</v>
      </c>
      <c r="C47" s="72" t="s">
        <v>11</v>
      </c>
      <c r="D47" s="73">
        <v>85.45</v>
      </c>
      <c r="E47" s="7"/>
      <c r="F47" s="28">
        <f t="shared" si="1"/>
        <v>0</v>
      </c>
      <c r="G47" s="21"/>
      <c r="H47" s="21"/>
    </row>
    <row r="48" spans="1:8" ht="18" x14ac:dyDescent="0.25">
      <c r="A48" s="70"/>
      <c r="B48" s="71" t="s">
        <v>32</v>
      </c>
      <c r="C48" s="72" t="s">
        <v>11</v>
      </c>
      <c r="D48" s="73">
        <v>92.35</v>
      </c>
      <c r="E48" s="7"/>
      <c r="F48" s="28">
        <f t="shared" ref="F48:F69" si="2">D48*E48</f>
        <v>0</v>
      </c>
      <c r="G48" s="21"/>
      <c r="H48" s="21"/>
    </row>
    <row r="49" spans="1:8" ht="18" x14ac:dyDescent="0.25">
      <c r="A49" s="70"/>
      <c r="B49" s="71" t="s">
        <v>33</v>
      </c>
      <c r="C49" s="72" t="s">
        <v>11</v>
      </c>
      <c r="D49" s="73">
        <v>106</v>
      </c>
      <c r="E49" s="7"/>
      <c r="F49" s="28">
        <f t="shared" si="2"/>
        <v>0</v>
      </c>
      <c r="G49" s="21"/>
      <c r="H49" s="21"/>
    </row>
    <row r="50" spans="1:8" ht="18" x14ac:dyDescent="0.25">
      <c r="A50" s="70"/>
      <c r="B50" s="71" t="s">
        <v>34</v>
      </c>
      <c r="C50" s="72" t="s">
        <v>11</v>
      </c>
      <c r="D50" s="73">
        <v>118.5</v>
      </c>
      <c r="E50" s="7"/>
      <c r="F50" s="28">
        <f t="shared" si="2"/>
        <v>0</v>
      </c>
      <c r="G50" s="21"/>
      <c r="H50" s="21"/>
    </row>
    <row r="51" spans="1:8" ht="18" x14ac:dyDescent="0.25">
      <c r="A51" s="70"/>
      <c r="B51" s="71" t="s">
        <v>35</v>
      </c>
      <c r="C51" s="72" t="s">
        <v>11</v>
      </c>
      <c r="D51" s="73">
        <v>59.3</v>
      </c>
      <c r="E51" s="7"/>
      <c r="F51" s="28">
        <f t="shared" si="2"/>
        <v>0</v>
      </c>
      <c r="G51" s="21"/>
      <c r="H51" s="21"/>
    </row>
    <row r="52" spans="1:8" ht="18" x14ac:dyDescent="0.25">
      <c r="A52" s="70"/>
      <c r="B52" s="71" t="s">
        <v>36</v>
      </c>
      <c r="C52" s="72" t="s">
        <v>11</v>
      </c>
      <c r="D52" s="73">
        <v>98</v>
      </c>
      <c r="E52" s="7"/>
      <c r="F52" s="28">
        <f t="shared" si="2"/>
        <v>0</v>
      </c>
      <c r="G52" s="21"/>
      <c r="H52" s="21"/>
    </row>
    <row r="53" spans="1:8" ht="18" x14ac:dyDescent="0.25">
      <c r="A53" s="70"/>
      <c r="B53" s="71" t="s">
        <v>37</v>
      </c>
      <c r="C53" s="72" t="s">
        <v>11</v>
      </c>
      <c r="D53" s="73">
        <v>144.75</v>
      </c>
      <c r="E53" s="7"/>
      <c r="F53" s="28">
        <f t="shared" si="2"/>
        <v>0</v>
      </c>
      <c r="G53" s="21"/>
      <c r="H53" s="21"/>
    </row>
    <row r="54" spans="1:8" ht="18" x14ac:dyDescent="0.25">
      <c r="A54" s="70"/>
      <c r="B54" s="71" t="s">
        <v>38</v>
      </c>
      <c r="C54" s="72" t="s">
        <v>11</v>
      </c>
      <c r="D54" s="73">
        <v>198</v>
      </c>
      <c r="E54" s="7"/>
      <c r="F54" s="28">
        <f t="shared" si="2"/>
        <v>0</v>
      </c>
      <c r="G54" s="21"/>
      <c r="H54" s="21"/>
    </row>
    <row r="55" spans="1:8" ht="18" x14ac:dyDescent="0.25">
      <c r="A55" s="70"/>
      <c r="B55" s="71" t="s">
        <v>143</v>
      </c>
      <c r="C55" s="72" t="s">
        <v>3</v>
      </c>
      <c r="D55" s="73">
        <v>18.25</v>
      </c>
      <c r="E55" s="7"/>
      <c r="F55" s="28">
        <f t="shared" si="2"/>
        <v>0</v>
      </c>
      <c r="G55" s="21"/>
      <c r="H55" s="21"/>
    </row>
    <row r="56" spans="1:8" ht="18" x14ac:dyDescent="0.25">
      <c r="A56" s="85"/>
      <c r="B56" s="86" t="s">
        <v>144</v>
      </c>
      <c r="C56" s="87" t="s">
        <v>1</v>
      </c>
      <c r="D56" s="73">
        <v>889</v>
      </c>
      <c r="E56" s="8"/>
      <c r="F56" s="28">
        <f t="shared" si="2"/>
        <v>0</v>
      </c>
      <c r="G56" s="21"/>
      <c r="H56" s="21"/>
    </row>
    <row r="57" spans="1:8" ht="18" x14ac:dyDescent="0.25">
      <c r="A57" s="70"/>
      <c r="B57" s="71" t="s">
        <v>145</v>
      </c>
      <c r="C57" s="72" t="s">
        <v>11</v>
      </c>
      <c r="D57" s="73">
        <v>9.6999999999999993</v>
      </c>
      <c r="E57" s="7"/>
      <c r="F57" s="28">
        <f t="shared" si="2"/>
        <v>0</v>
      </c>
      <c r="G57" s="21"/>
      <c r="H57" s="21"/>
    </row>
    <row r="58" spans="1:8" ht="18" x14ac:dyDescent="0.25">
      <c r="A58" s="70"/>
      <c r="B58" s="71" t="s">
        <v>146</v>
      </c>
      <c r="C58" s="72" t="s">
        <v>11</v>
      </c>
      <c r="D58" s="73">
        <v>7.11</v>
      </c>
      <c r="E58" s="7"/>
      <c r="F58" s="28">
        <f t="shared" si="2"/>
        <v>0</v>
      </c>
      <c r="G58" s="21"/>
      <c r="H58" s="21"/>
    </row>
    <row r="59" spans="1:8" ht="18" x14ac:dyDescent="0.25">
      <c r="A59" s="70"/>
      <c r="B59" s="71" t="s">
        <v>147</v>
      </c>
      <c r="C59" s="72" t="s">
        <v>11</v>
      </c>
      <c r="D59" s="73">
        <v>13.1</v>
      </c>
      <c r="E59" s="7"/>
      <c r="F59" s="28">
        <f t="shared" si="2"/>
        <v>0</v>
      </c>
      <c r="G59" s="21"/>
      <c r="H59" s="21"/>
    </row>
    <row r="60" spans="1:8" ht="18" x14ac:dyDescent="0.25">
      <c r="A60" s="70"/>
      <c r="B60" s="71" t="s">
        <v>148</v>
      </c>
      <c r="C60" s="72" t="s">
        <v>11</v>
      </c>
      <c r="D60" s="73">
        <v>12.55</v>
      </c>
      <c r="E60" s="7"/>
      <c r="F60" s="28">
        <f t="shared" si="2"/>
        <v>0</v>
      </c>
      <c r="G60" s="21"/>
      <c r="H60" s="21"/>
    </row>
    <row r="61" spans="1:8" ht="18" x14ac:dyDescent="0.25">
      <c r="A61" s="70"/>
      <c r="B61" s="71" t="s">
        <v>149</v>
      </c>
      <c r="C61" s="72" t="s">
        <v>2</v>
      </c>
      <c r="D61" s="73">
        <v>98</v>
      </c>
      <c r="E61" s="7"/>
      <c r="F61" s="28">
        <f t="shared" si="2"/>
        <v>0</v>
      </c>
      <c r="G61" s="21"/>
      <c r="H61" s="21"/>
    </row>
    <row r="62" spans="1:8" ht="18" x14ac:dyDescent="0.25">
      <c r="A62" s="70"/>
      <c r="B62" s="71" t="s">
        <v>150</v>
      </c>
      <c r="C62" s="72" t="s">
        <v>3</v>
      </c>
      <c r="D62" s="73">
        <v>14.25</v>
      </c>
      <c r="E62" s="7"/>
      <c r="F62" s="28">
        <f t="shared" si="2"/>
        <v>0</v>
      </c>
      <c r="G62" s="21"/>
      <c r="H62" s="21"/>
    </row>
    <row r="63" spans="1:8" ht="18" x14ac:dyDescent="0.25">
      <c r="A63" s="70"/>
      <c r="B63" s="71" t="s">
        <v>151</v>
      </c>
      <c r="C63" s="72" t="s">
        <v>1</v>
      </c>
      <c r="D63" s="73">
        <v>417</v>
      </c>
      <c r="E63" s="7"/>
      <c r="F63" s="28">
        <f t="shared" si="2"/>
        <v>0</v>
      </c>
      <c r="G63" s="21"/>
      <c r="H63" s="21"/>
    </row>
    <row r="64" spans="1:8" ht="18" x14ac:dyDescent="0.25">
      <c r="A64" s="70"/>
      <c r="B64" s="71" t="s">
        <v>152</v>
      </c>
      <c r="C64" s="72" t="s">
        <v>1</v>
      </c>
      <c r="D64" s="73">
        <v>417</v>
      </c>
      <c r="E64" s="7"/>
      <c r="F64" s="28">
        <f t="shared" si="2"/>
        <v>0</v>
      </c>
      <c r="G64" s="21"/>
      <c r="H64" s="21"/>
    </row>
    <row r="65" spans="1:8" ht="18" x14ac:dyDescent="0.25">
      <c r="A65" s="70"/>
      <c r="B65" s="71" t="s">
        <v>153</v>
      </c>
      <c r="C65" s="72" t="s">
        <v>3</v>
      </c>
      <c r="D65" s="73">
        <v>2.95</v>
      </c>
      <c r="E65" s="7"/>
      <c r="F65" s="28">
        <f t="shared" si="2"/>
        <v>0</v>
      </c>
      <c r="G65" s="26"/>
      <c r="H65" s="27"/>
    </row>
    <row r="66" spans="1:8" ht="18" x14ac:dyDescent="0.25">
      <c r="A66" s="70"/>
      <c r="B66" s="71" t="s">
        <v>201</v>
      </c>
      <c r="C66" s="72" t="s">
        <v>3</v>
      </c>
      <c r="D66" s="73">
        <v>2.95</v>
      </c>
      <c r="E66" s="7"/>
      <c r="F66" s="28">
        <f t="shared" si="2"/>
        <v>0</v>
      </c>
      <c r="G66" s="21"/>
      <c r="H66" s="21"/>
    </row>
    <row r="67" spans="1:8" ht="18" x14ac:dyDescent="0.25">
      <c r="A67" s="70"/>
      <c r="B67" s="71" t="s">
        <v>202</v>
      </c>
      <c r="C67" s="72" t="s">
        <v>3</v>
      </c>
      <c r="D67" s="73">
        <v>4.22</v>
      </c>
      <c r="E67" s="7"/>
      <c r="F67" s="28">
        <f t="shared" si="2"/>
        <v>0</v>
      </c>
      <c r="G67" s="21"/>
      <c r="H67" s="21"/>
    </row>
    <row r="68" spans="1:8" ht="18" x14ac:dyDescent="0.25">
      <c r="A68" s="70"/>
      <c r="B68" s="71" t="s">
        <v>39</v>
      </c>
      <c r="C68" s="72" t="s">
        <v>1</v>
      </c>
      <c r="D68" s="73">
        <v>3930</v>
      </c>
      <c r="E68" s="7"/>
      <c r="F68" s="28">
        <f t="shared" si="2"/>
        <v>0</v>
      </c>
      <c r="G68" s="21"/>
      <c r="H68" s="21"/>
    </row>
    <row r="69" spans="1:8" ht="18.75" thickBot="1" x14ac:dyDescent="0.3">
      <c r="A69" s="77"/>
      <c r="B69" s="78" t="s">
        <v>154</v>
      </c>
      <c r="C69" s="79" t="s">
        <v>1</v>
      </c>
      <c r="D69" s="73">
        <v>5930</v>
      </c>
      <c r="E69" s="9"/>
      <c r="F69" s="28">
        <f t="shared" si="2"/>
        <v>0</v>
      </c>
      <c r="G69" s="21"/>
      <c r="H69" s="21"/>
    </row>
    <row r="70" spans="1:8" ht="18.75" thickBot="1" x14ac:dyDescent="0.3">
      <c r="A70" s="80"/>
      <c r="B70" s="81"/>
      <c r="C70" s="82"/>
      <c r="D70" s="82"/>
      <c r="E70" s="30" t="s">
        <v>212</v>
      </c>
      <c r="F70" s="31">
        <f>SUM(F16:F69)</f>
        <v>0</v>
      </c>
      <c r="G70" s="21"/>
      <c r="H70" s="21"/>
    </row>
    <row r="71" spans="1:8" ht="18" x14ac:dyDescent="0.25">
      <c r="A71" s="88" t="s">
        <v>100</v>
      </c>
      <c r="B71" s="67" t="s">
        <v>72</v>
      </c>
      <c r="C71" s="68"/>
      <c r="D71" s="68"/>
      <c r="E71" s="32"/>
      <c r="F71" s="4"/>
      <c r="G71" s="21"/>
      <c r="H71" s="21"/>
    </row>
    <row r="72" spans="1:8" ht="18" x14ac:dyDescent="0.25">
      <c r="A72" s="70"/>
      <c r="B72" s="71" t="s">
        <v>155</v>
      </c>
      <c r="C72" s="72" t="s">
        <v>11</v>
      </c>
      <c r="D72" s="73">
        <v>19.399999999999999</v>
      </c>
      <c r="E72" s="7"/>
      <c r="F72" s="28">
        <f>D72*E72</f>
        <v>0</v>
      </c>
      <c r="G72" s="21"/>
      <c r="H72" s="21"/>
    </row>
    <row r="73" spans="1:8" ht="18" x14ac:dyDescent="0.25">
      <c r="A73" s="70"/>
      <c r="B73" s="71" t="s">
        <v>203</v>
      </c>
      <c r="C73" s="72" t="s">
        <v>1</v>
      </c>
      <c r="D73" s="73">
        <v>1310</v>
      </c>
      <c r="E73" s="7"/>
      <c r="F73" s="28">
        <f>D73*E73</f>
        <v>0</v>
      </c>
      <c r="G73" s="21"/>
      <c r="H73" s="21"/>
    </row>
    <row r="74" spans="1:8" ht="18.75" thickBot="1" x14ac:dyDescent="0.3">
      <c r="A74" s="70"/>
      <c r="B74" s="71" t="s">
        <v>156</v>
      </c>
      <c r="C74" s="72" t="s">
        <v>1</v>
      </c>
      <c r="D74" s="73">
        <v>415.5</v>
      </c>
      <c r="E74" s="7"/>
      <c r="F74" s="28">
        <f>D74*E74</f>
        <v>0</v>
      </c>
      <c r="G74" s="21"/>
      <c r="H74" s="21"/>
    </row>
    <row r="75" spans="1:8" ht="18.75" thickBot="1" x14ac:dyDescent="0.3">
      <c r="A75" s="80"/>
      <c r="B75" s="81"/>
      <c r="C75" s="82"/>
      <c r="D75" s="83"/>
      <c r="E75" s="30" t="s">
        <v>213</v>
      </c>
      <c r="F75" s="31">
        <f>SUM(F72:F74)</f>
        <v>0</v>
      </c>
      <c r="G75" s="21"/>
      <c r="H75" s="21"/>
    </row>
    <row r="76" spans="1:8" ht="18" x14ac:dyDescent="0.25">
      <c r="A76" s="88" t="s">
        <v>101</v>
      </c>
      <c r="B76" s="67" t="s">
        <v>41</v>
      </c>
      <c r="C76" s="68"/>
      <c r="D76" s="68"/>
      <c r="E76" s="32"/>
      <c r="F76" s="4"/>
      <c r="G76" s="21"/>
      <c r="H76" s="21"/>
    </row>
    <row r="77" spans="1:8" ht="18" x14ac:dyDescent="0.25">
      <c r="A77" s="70"/>
      <c r="B77" s="71" t="s">
        <v>119</v>
      </c>
      <c r="C77" s="72" t="s">
        <v>3</v>
      </c>
      <c r="D77" s="73">
        <v>17.649999999999999</v>
      </c>
      <c r="E77" s="1"/>
      <c r="F77" s="28">
        <f>D77*E77</f>
        <v>0</v>
      </c>
      <c r="G77" s="21"/>
      <c r="H77" s="21"/>
    </row>
    <row r="78" spans="1:8" ht="18.75" thickBot="1" x14ac:dyDescent="0.3">
      <c r="A78" s="77"/>
      <c r="B78" s="78" t="s">
        <v>42</v>
      </c>
      <c r="C78" s="79" t="s">
        <v>3</v>
      </c>
      <c r="D78" s="73">
        <v>14.25</v>
      </c>
      <c r="E78" s="2"/>
      <c r="F78" s="28">
        <f>D78*E78</f>
        <v>0</v>
      </c>
      <c r="G78" s="21"/>
      <c r="H78" s="21"/>
    </row>
    <row r="79" spans="1:8" ht="18.75" thickBot="1" x14ac:dyDescent="0.3">
      <c r="A79" s="80"/>
      <c r="B79" s="81"/>
      <c r="C79" s="82"/>
      <c r="D79" s="83"/>
      <c r="E79" s="30" t="s">
        <v>214</v>
      </c>
      <c r="F79" s="31">
        <f>SUM(F77:F78)</f>
        <v>0</v>
      </c>
      <c r="G79" s="21"/>
      <c r="H79" s="21"/>
    </row>
    <row r="80" spans="1:8" ht="18" x14ac:dyDescent="0.25">
      <c r="A80" s="88" t="s">
        <v>40</v>
      </c>
      <c r="B80" s="67" t="s">
        <v>44</v>
      </c>
      <c r="C80" s="68"/>
      <c r="D80" s="68"/>
      <c r="E80" s="32"/>
      <c r="F80" s="4"/>
      <c r="G80" s="21"/>
      <c r="H80" s="21"/>
    </row>
    <row r="81" spans="1:8" ht="18" x14ac:dyDescent="0.25">
      <c r="A81" s="70"/>
      <c r="B81" s="71" t="s">
        <v>120</v>
      </c>
      <c r="C81" s="72" t="s">
        <v>3</v>
      </c>
      <c r="D81" s="73">
        <v>1.2</v>
      </c>
      <c r="E81" s="7"/>
      <c r="F81" s="28">
        <f t="shared" ref="F81:F103" si="3">D81*E81</f>
        <v>0</v>
      </c>
      <c r="G81" s="21"/>
      <c r="H81" s="21"/>
    </row>
    <row r="82" spans="1:8" ht="18" x14ac:dyDescent="0.25">
      <c r="A82" s="70"/>
      <c r="B82" s="71" t="s">
        <v>121</v>
      </c>
      <c r="C82" s="72" t="s">
        <v>3</v>
      </c>
      <c r="D82" s="73">
        <v>1.52</v>
      </c>
      <c r="E82" s="7"/>
      <c r="F82" s="28">
        <f t="shared" si="3"/>
        <v>0</v>
      </c>
      <c r="G82" s="21"/>
      <c r="H82" s="21"/>
    </row>
    <row r="83" spans="1:8" ht="18" x14ac:dyDescent="0.25">
      <c r="A83" s="70"/>
      <c r="B83" s="71" t="s">
        <v>122</v>
      </c>
      <c r="C83" s="72" t="s">
        <v>3</v>
      </c>
      <c r="D83" s="73">
        <v>1.83</v>
      </c>
      <c r="E83" s="7"/>
      <c r="F83" s="28">
        <f t="shared" si="3"/>
        <v>0</v>
      </c>
      <c r="G83" s="21"/>
      <c r="H83" s="21"/>
    </row>
    <row r="84" spans="1:8" ht="18" x14ac:dyDescent="0.25">
      <c r="A84" s="70"/>
      <c r="B84" s="71" t="s">
        <v>123</v>
      </c>
      <c r="C84" s="72" t="s">
        <v>3</v>
      </c>
      <c r="D84" s="73">
        <v>2.95</v>
      </c>
      <c r="E84" s="7"/>
      <c r="F84" s="28">
        <f t="shared" si="3"/>
        <v>0</v>
      </c>
      <c r="G84" s="21"/>
      <c r="H84" s="21"/>
    </row>
    <row r="85" spans="1:8" ht="18" x14ac:dyDescent="0.25">
      <c r="A85" s="70"/>
      <c r="B85" s="71" t="s">
        <v>124</v>
      </c>
      <c r="C85" s="72" t="s">
        <v>3</v>
      </c>
      <c r="D85" s="73">
        <v>1.2</v>
      </c>
      <c r="E85" s="7"/>
      <c r="F85" s="28">
        <f t="shared" si="3"/>
        <v>0</v>
      </c>
      <c r="G85" s="21"/>
      <c r="H85" s="21"/>
    </row>
    <row r="86" spans="1:8" ht="18" x14ac:dyDescent="0.25">
      <c r="A86" s="70"/>
      <c r="B86" s="71" t="s">
        <v>45</v>
      </c>
      <c r="C86" s="72" t="s">
        <v>3</v>
      </c>
      <c r="D86" s="73">
        <v>1.83</v>
      </c>
      <c r="E86" s="7"/>
      <c r="F86" s="28">
        <f t="shared" si="3"/>
        <v>0</v>
      </c>
      <c r="G86" s="21"/>
      <c r="H86" s="21"/>
    </row>
    <row r="87" spans="1:8" ht="18" x14ac:dyDescent="0.25">
      <c r="A87" s="70"/>
      <c r="B87" s="71" t="s">
        <v>125</v>
      </c>
      <c r="C87" s="72" t="s">
        <v>3</v>
      </c>
      <c r="D87" s="73">
        <v>2.0299999999999998</v>
      </c>
      <c r="E87" s="7"/>
      <c r="F87" s="28">
        <f t="shared" si="3"/>
        <v>0</v>
      </c>
      <c r="G87" s="21"/>
      <c r="H87" s="21"/>
    </row>
    <row r="88" spans="1:8" ht="18" x14ac:dyDescent="0.25">
      <c r="A88" s="70"/>
      <c r="B88" s="71" t="s">
        <v>126</v>
      </c>
      <c r="C88" s="72" t="s">
        <v>3</v>
      </c>
      <c r="D88" s="73">
        <v>2.39</v>
      </c>
      <c r="E88" s="7"/>
      <c r="F88" s="28">
        <f t="shared" si="3"/>
        <v>0</v>
      </c>
      <c r="G88" s="21"/>
      <c r="H88" s="21"/>
    </row>
    <row r="89" spans="1:8" ht="18" x14ac:dyDescent="0.25">
      <c r="A89" s="70"/>
      <c r="B89" s="71" t="s">
        <v>46</v>
      </c>
      <c r="C89" s="72" t="s">
        <v>3</v>
      </c>
      <c r="D89" s="73">
        <v>2.69</v>
      </c>
      <c r="E89" s="7"/>
      <c r="F89" s="28">
        <f t="shared" si="3"/>
        <v>0</v>
      </c>
      <c r="G89" s="21"/>
      <c r="H89" s="21"/>
    </row>
    <row r="90" spans="1:8" ht="18" x14ac:dyDescent="0.25">
      <c r="A90" s="70"/>
      <c r="B90" s="71" t="s">
        <v>157</v>
      </c>
      <c r="C90" s="72" t="s">
        <v>3</v>
      </c>
      <c r="D90" s="73">
        <v>0.47</v>
      </c>
      <c r="E90" s="7"/>
      <c r="F90" s="28">
        <f t="shared" si="3"/>
        <v>0</v>
      </c>
      <c r="G90" s="21"/>
      <c r="H90" s="21"/>
    </row>
    <row r="91" spans="1:8" ht="18" x14ac:dyDescent="0.25">
      <c r="A91" s="70"/>
      <c r="B91" s="71" t="s">
        <v>158</v>
      </c>
      <c r="C91" s="72" t="s">
        <v>3</v>
      </c>
      <c r="D91" s="73">
        <v>0.52</v>
      </c>
      <c r="E91" s="7"/>
      <c r="F91" s="28">
        <f t="shared" si="3"/>
        <v>0</v>
      </c>
      <c r="G91" s="21"/>
      <c r="H91" s="21"/>
    </row>
    <row r="92" spans="1:8" ht="18" x14ac:dyDescent="0.25">
      <c r="A92" s="70"/>
      <c r="B92" s="71" t="s">
        <v>159</v>
      </c>
      <c r="C92" s="72" t="s">
        <v>3</v>
      </c>
      <c r="D92" s="73">
        <v>0.63</v>
      </c>
      <c r="E92" s="7"/>
      <c r="F92" s="28">
        <f t="shared" si="3"/>
        <v>0</v>
      </c>
      <c r="G92" s="21"/>
      <c r="H92" s="21"/>
    </row>
    <row r="93" spans="1:8" ht="18" x14ac:dyDescent="0.25">
      <c r="A93" s="70"/>
      <c r="B93" s="71" t="s">
        <v>160</v>
      </c>
      <c r="C93" s="72" t="s">
        <v>3</v>
      </c>
      <c r="D93" s="73">
        <v>1.2</v>
      </c>
      <c r="E93" s="7"/>
      <c r="F93" s="28">
        <f t="shared" si="3"/>
        <v>0</v>
      </c>
      <c r="G93" s="21"/>
      <c r="H93" s="21"/>
    </row>
    <row r="94" spans="1:8" ht="18" x14ac:dyDescent="0.25">
      <c r="A94" s="70"/>
      <c r="B94" s="71" t="s">
        <v>161</v>
      </c>
      <c r="C94" s="72" t="s">
        <v>3</v>
      </c>
      <c r="D94" s="73">
        <v>1.52</v>
      </c>
      <c r="E94" s="7"/>
      <c r="F94" s="28">
        <f t="shared" si="3"/>
        <v>0</v>
      </c>
      <c r="G94" s="21"/>
      <c r="H94" s="21"/>
    </row>
    <row r="95" spans="1:8" ht="18" x14ac:dyDescent="0.25">
      <c r="A95" s="70"/>
      <c r="B95" s="71" t="s">
        <v>162</v>
      </c>
      <c r="C95" s="72" t="s">
        <v>11</v>
      </c>
      <c r="D95" s="73">
        <v>3.56</v>
      </c>
      <c r="E95" s="7"/>
      <c r="F95" s="28">
        <f t="shared" si="3"/>
        <v>0</v>
      </c>
      <c r="G95" s="21"/>
      <c r="H95" s="21"/>
    </row>
    <row r="96" spans="1:8" ht="18" x14ac:dyDescent="0.25">
      <c r="A96" s="70"/>
      <c r="B96" s="71" t="s">
        <v>163</v>
      </c>
      <c r="C96" s="72" t="s">
        <v>3</v>
      </c>
      <c r="D96" s="73">
        <v>1.2</v>
      </c>
      <c r="E96" s="7"/>
      <c r="F96" s="28">
        <f t="shared" si="3"/>
        <v>0</v>
      </c>
      <c r="G96" s="21"/>
      <c r="H96" s="21"/>
    </row>
    <row r="97" spans="1:8" ht="18" x14ac:dyDescent="0.25">
      <c r="A97" s="70"/>
      <c r="B97" s="71" t="s">
        <v>165</v>
      </c>
      <c r="C97" s="72" t="s">
        <v>3</v>
      </c>
      <c r="D97" s="73">
        <v>4.17</v>
      </c>
      <c r="E97" s="7"/>
      <c r="F97" s="28">
        <f t="shared" si="3"/>
        <v>0</v>
      </c>
      <c r="G97" s="21"/>
      <c r="H97" s="21"/>
    </row>
    <row r="98" spans="1:8" ht="18" x14ac:dyDescent="0.25">
      <c r="A98" s="70"/>
      <c r="B98" s="71" t="s">
        <v>166</v>
      </c>
      <c r="C98" s="72" t="s">
        <v>11</v>
      </c>
      <c r="D98" s="73">
        <v>12</v>
      </c>
      <c r="E98" s="7"/>
      <c r="F98" s="28">
        <f t="shared" si="3"/>
        <v>0</v>
      </c>
      <c r="G98" s="21"/>
      <c r="H98" s="21"/>
    </row>
    <row r="99" spans="1:8" ht="18" x14ac:dyDescent="0.25">
      <c r="A99" s="70"/>
      <c r="B99" s="71" t="s">
        <v>167</v>
      </c>
      <c r="C99" s="72" t="s">
        <v>11</v>
      </c>
      <c r="D99" s="73">
        <v>17.649999999999999</v>
      </c>
      <c r="E99" s="7"/>
      <c r="F99" s="28">
        <f t="shared" si="3"/>
        <v>0</v>
      </c>
      <c r="G99" s="21"/>
      <c r="H99" s="21"/>
    </row>
    <row r="100" spans="1:8" ht="18" x14ac:dyDescent="0.25">
      <c r="A100" s="70"/>
      <c r="B100" s="71" t="s">
        <v>168</v>
      </c>
      <c r="C100" s="72" t="s">
        <v>3</v>
      </c>
      <c r="D100" s="73">
        <v>3.56</v>
      </c>
      <c r="E100" s="7"/>
      <c r="F100" s="28">
        <f t="shared" si="3"/>
        <v>0</v>
      </c>
      <c r="G100" s="21"/>
      <c r="H100" s="21"/>
    </row>
    <row r="101" spans="1:8" ht="18" x14ac:dyDescent="0.25">
      <c r="A101" s="70"/>
      <c r="B101" s="71" t="s">
        <v>169</v>
      </c>
      <c r="C101" s="72" t="s">
        <v>3</v>
      </c>
      <c r="D101" s="73">
        <v>3.56</v>
      </c>
      <c r="E101" s="7"/>
      <c r="F101" s="28">
        <f t="shared" si="3"/>
        <v>0</v>
      </c>
      <c r="G101" s="21"/>
      <c r="H101" s="21"/>
    </row>
    <row r="102" spans="1:8" ht="18" x14ac:dyDescent="0.25">
      <c r="A102" s="70"/>
      <c r="B102" s="71" t="s">
        <v>204</v>
      </c>
      <c r="C102" s="72" t="s">
        <v>1</v>
      </c>
      <c r="D102" s="73">
        <v>1770</v>
      </c>
      <c r="E102" s="7"/>
      <c r="F102" s="28">
        <f t="shared" si="3"/>
        <v>0</v>
      </c>
      <c r="G102" s="21"/>
      <c r="H102" s="21"/>
    </row>
    <row r="103" spans="1:8" ht="18.75" thickBot="1" x14ac:dyDescent="0.3">
      <c r="A103" s="77"/>
      <c r="B103" s="78" t="s">
        <v>170</v>
      </c>
      <c r="C103" s="79" t="s">
        <v>3</v>
      </c>
      <c r="D103" s="73">
        <v>0.63</v>
      </c>
      <c r="E103" s="9"/>
      <c r="F103" s="28">
        <f t="shared" si="3"/>
        <v>0</v>
      </c>
      <c r="G103" s="21"/>
      <c r="H103" s="21"/>
    </row>
    <row r="104" spans="1:8" ht="18.75" thickBot="1" x14ac:dyDescent="0.3">
      <c r="A104" s="80"/>
      <c r="B104" s="81"/>
      <c r="C104" s="82"/>
      <c r="D104" s="83"/>
      <c r="E104" s="30" t="s">
        <v>215</v>
      </c>
      <c r="F104" s="31">
        <f>SUM(F81:F103)</f>
        <v>0</v>
      </c>
      <c r="G104" s="21"/>
      <c r="H104" s="21"/>
    </row>
    <row r="105" spans="1:8" ht="18" x14ac:dyDescent="0.25">
      <c r="A105" s="88" t="s">
        <v>43</v>
      </c>
      <c r="B105" s="67" t="s">
        <v>48</v>
      </c>
      <c r="C105" s="68"/>
      <c r="D105" s="68"/>
      <c r="E105" s="32" t="s">
        <v>133</v>
      </c>
      <c r="F105" s="4"/>
      <c r="G105" s="21"/>
      <c r="H105" s="21"/>
    </row>
    <row r="106" spans="1:8" ht="18" x14ac:dyDescent="0.25">
      <c r="A106" s="70"/>
      <c r="B106" s="71" t="s">
        <v>171</v>
      </c>
      <c r="C106" s="72" t="s">
        <v>1</v>
      </c>
      <c r="D106" s="73">
        <v>2395</v>
      </c>
      <c r="E106" s="7"/>
      <c r="F106" s="28">
        <f t="shared" ref="F106:F126" si="4">D106*E106</f>
        <v>0</v>
      </c>
      <c r="G106" s="21"/>
      <c r="H106" s="21"/>
    </row>
    <row r="107" spans="1:8" ht="18" x14ac:dyDescent="0.25">
      <c r="A107" s="70"/>
      <c r="B107" s="71" t="s">
        <v>221</v>
      </c>
      <c r="C107" s="72" t="s">
        <v>1</v>
      </c>
      <c r="D107" s="73">
        <v>262</v>
      </c>
      <c r="E107" s="7"/>
      <c r="F107" s="28">
        <f t="shared" si="4"/>
        <v>0</v>
      </c>
      <c r="G107" s="21"/>
      <c r="H107" s="21"/>
    </row>
    <row r="108" spans="1:8" ht="18" x14ac:dyDescent="0.25">
      <c r="A108" s="70"/>
      <c r="B108" s="71" t="s">
        <v>200</v>
      </c>
      <c r="C108" s="72" t="s">
        <v>1</v>
      </c>
      <c r="D108" s="73">
        <v>297</v>
      </c>
      <c r="E108" s="7"/>
      <c r="F108" s="28">
        <f t="shared" si="4"/>
        <v>0</v>
      </c>
      <c r="G108" s="21"/>
      <c r="H108" s="21"/>
    </row>
    <row r="109" spans="1:8" ht="18" x14ac:dyDescent="0.25">
      <c r="A109" s="70"/>
      <c r="B109" s="71" t="s">
        <v>172</v>
      </c>
      <c r="C109" s="72" t="s">
        <v>1</v>
      </c>
      <c r="D109" s="73">
        <v>297</v>
      </c>
      <c r="E109" s="7"/>
      <c r="F109" s="28">
        <f t="shared" si="4"/>
        <v>0</v>
      </c>
      <c r="G109" s="21"/>
      <c r="H109" s="21"/>
    </row>
    <row r="110" spans="1:8" ht="18" x14ac:dyDescent="0.25">
      <c r="A110" s="70"/>
      <c r="B110" s="71" t="s">
        <v>229</v>
      </c>
      <c r="C110" s="72" t="s">
        <v>1</v>
      </c>
      <c r="D110" s="73">
        <v>980</v>
      </c>
      <c r="E110" s="7"/>
      <c r="F110" s="28">
        <f t="shared" si="4"/>
        <v>0</v>
      </c>
      <c r="G110" s="21"/>
      <c r="H110" s="21"/>
    </row>
    <row r="111" spans="1:8" ht="18" x14ac:dyDescent="0.25">
      <c r="A111" s="70"/>
      <c r="B111" s="71" t="s">
        <v>205</v>
      </c>
      <c r="C111" s="72" t="s">
        <v>1</v>
      </c>
      <c r="D111" s="73">
        <v>194</v>
      </c>
      <c r="E111" s="7"/>
      <c r="F111" s="28">
        <f t="shared" si="4"/>
        <v>0</v>
      </c>
      <c r="G111" s="21"/>
      <c r="H111" s="21"/>
    </row>
    <row r="112" spans="1:8" ht="18" x14ac:dyDescent="0.25">
      <c r="A112" s="70"/>
      <c r="B112" s="71" t="s">
        <v>230</v>
      </c>
      <c r="C112" s="72" t="s">
        <v>1</v>
      </c>
      <c r="D112" s="73">
        <v>529</v>
      </c>
      <c r="E112" s="7"/>
      <c r="F112" s="28">
        <f t="shared" si="4"/>
        <v>0</v>
      </c>
      <c r="G112" s="21"/>
      <c r="H112" s="21"/>
    </row>
    <row r="113" spans="1:8" ht="18" x14ac:dyDescent="0.25">
      <c r="A113" s="70"/>
      <c r="B113" s="71" t="s">
        <v>173</v>
      </c>
      <c r="C113" s="72" t="s">
        <v>1</v>
      </c>
      <c r="D113" s="73">
        <v>131</v>
      </c>
      <c r="E113" s="7"/>
      <c r="F113" s="28">
        <f t="shared" si="4"/>
        <v>0</v>
      </c>
      <c r="G113" s="21"/>
      <c r="H113" s="21"/>
    </row>
    <row r="114" spans="1:8" ht="18" x14ac:dyDescent="0.25">
      <c r="A114" s="70"/>
      <c r="B114" s="71" t="s">
        <v>174</v>
      </c>
      <c r="C114" s="72" t="s">
        <v>1</v>
      </c>
      <c r="D114" s="73">
        <v>1195</v>
      </c>
      <c r="E114" s="7"/>
      <c r="F114" s="28">
        <f t="shared" si="4"/>
        <v>0</v>
      </c>
      <c r="G114" s="21"/>
      <c r="H114" s="21"/>
    </row>
    <row r="115" spans="1:8" ht="18" x14ac:dyDescent="0.25">
      <c r="A115" s="70"/>
      <c r="B115" s="71" t="s">
        <v>175</v>
      </c>
      <c r="C115" s="72" t="s">
        <v>11</v>
      </c>
      <c r="D115" s="73">
        <v>9.6999999999999993</v>
      </c>
      <c r="E115" s="7"/>
      <c r="F115" s="28">
        <f t="shared" si="4"/>
        <v>0</v>
      </c>
      <c r="G115" s="21"/>
      <c r="H115" s="21"/>
    </row>
    <row r="116" spans="1:8" ht="18" x14ac:dyDescent="0.25">
      <c r="A116" s="70"/>
      <c r="B116" s="71" t="s">
        <v>206</v>
      </c>
      <c r="C116" s="72" t="s">
        <v>11</v>
      </c>
      <c r="D116" s="73">
        <v>17.649999999999999</v>
      </c>
      <c r="E116" s="7"/>
      <c r="F116" s="28">
        <f t="shared" si="4"/>
        <v>0</v>
      </c>
      <c r="G116" s="21"/>
      <c r="H116" s="21"/>
    </row>
    <row r="117" spans="1:8" ht="18" x14ac:dyDescent="0.25">
      <c r="A117" s="70"/>
      <c r="B117" s="71" t="s">
        <v>176</v>
      </c>
      <c r="C117" s="72" t="s">
        <v>11</v>
      </c>
      <c r="D117" s="73">
        <v>12</v>
      </c>
      <c r="E117" s="7"/>
      <c r="F117" s="28">
        <f t="shared" si="4"/>
        <v>0</v>
      </c>
      <c r="G117" s="21"/>
      <c r="H117" s="21"/>
    </row>
    <row r="118" spans="1:8" ht="18" x14ac:dyDescent="0.25">
      <c r="A118" s="70"/>
      <c r="B118" s="71" t="s">
        <v>177</v>
      </c>
      <c r="C118" s="72" t="s">
        <v>11</v>
      </c>
      <c r="D118" s="73">
        <v>1.2</v>
      </c>
      <c r="E118" s="7"/>
      <c r="F118" s="28">
        <f t="shared" si="4"/>
        <v>0</v>
      </c>
      <c r="G118" s="21"/>
      <c r="H118" s="21"/>
    </row>
    <row r="119" spans="1:8" ht="18" x14ac:dyDescent="0.25">
      <c r="A119" s="70"/>
      <c r="B119" s="71" t="s">
        <v>178</v>
      </c>
      <c r="C119" s="72" t="s">
        <v>1</v>
      </c>
      <c r="D119" s="73">
        <v>11970</v>
      </c>
      <c r="E119" s="7"/>
      <c r="F119" s="28">
        <f t="shared" si="4"/>
        <v>0</v>
      </c>
      <c r="G119" s="21"/>
      <c r="H119" s="21"/>
    </row>
    <row r="120" spans="1:8" ht="18" x14ac:dyDescent="0.25">
      <c r="A120" s="70"/>
      <c r="B120" s="71" t="s">
        <v>179</v>
      </c>
      <c r="C120" s="72" t="s">
        <v>1</v>
      </c>
      <c r="D120" s="73">
        <v>2908</v>
      </c>
      <c r="E120" s="7"/>
      <c r="F120" s="28">
        <f t="shared" si="4"/>
        <v>0</v>
      </c>
      <c r="G120" s="21"/>
      <c r="H120" s="21"/>
    </row>
    <row r="121" spans="1:8" ht="18" x14ac:dyDescent="0.25">
      <c r="A121" s="70"/>
      <c r="B121" s="71" t="s">
        <v>180</v>
      </c>
      <c r="C121" s="72" t="s">
        <v>11</v>
      </c>
      <c r="D121" s="73">
        <v>120</v>
      </c>
      <c r="E121" s="7"/>
      <c r="F121" s="28">
        <f t="shared" si="4"/>
        <v>0</v>
      </c>
      <c r="G121" s="21"/>
      <c r="H121" s="21"/>
    </row>
    <row r="122" spans="1:8" ht="18" x14ac:dyDescent="0.25">
      <c r="A122" s="70"/>
      <c r="B122" s="71" t="s">
        <v>207</v>
      </c>
      <c r="C122" s="72" t="s">
        <v>1</v>
      </c>
      <c r="D122" s="73">
        <v>655</v>
      </c>
      <c r="E122" s="7"/>
      <c r="F122" s="28">
        <f t="shared" si="4"/>
        <v>0</v>
      </c>
      <c r="G122" s="21"/>
      <c r="H122" s="21"/>
    </row>
    <row r="123" spans="1:8" ht="18" x14ac:dyDescent="0.25">
      <c r="A123" s="70"/>
      <c r="B123" s="71" t="s">
        <v>208</v>
      </c>
      <c r="C123" s="72" t="s">
        <v>1</v>
      </c>
      <c r="D123" s="73">
        <v>655</v>
      </c>
      <c r="E123" s="7"/>
      <c r="F123" s="28">
        <f t="shared" si="4"/>
        <v>0</v>
      </c>
      <c r="G123" s="21"/>
      <c r="H123" s="21"/>
    </row>
    <row r="124" spans="1:8" ht="18" x14ac:dyDescent="0.25">
      <c r="A124" s="70"/>
      <c r="B124" s="71" t="s">
        <v>181</v>
      </c>
      <c r="C124" s="72" t="s">
        <v>1</v>
      </c>
      <c r="D124" s="73">
        <v>598</v>
      </c>
      <c r="E124" s="7"/>
      <c r="F124" s="28">
        <f t="shared" si="4"/>
        <v>0</v>
      </c>
      <c r="G124" s="21"/>
      <c r="H124" s="21"/>
    </row>
    <row r="125" spans="1:8" ht="18" x14ac:dyDescent="0.25">
      <c r="A125" s="74"/>
      <c r="B125" s="71" t="s">
        <v>182</v>
      </c>
      <c r="C125" s="72" t="s">
        <v>3</v>
      </c>
      <c r="D125" s="73">
        <v>2.39</v>
      </c>
      <c r="E125" s="10"/>
      <c r="F125" s="28">
        <f t="shared" si="4"/>
        <v>0</v>
      </c>
      <c r="G125" s="21"/>
      <c r="H125" s="21"/>
    </row>
    <row r="126" spans="1:8" ht="18.75" thickBot="1" x14ac:dyDescent="0.3">
      <c r="A126" s="77"/>
      <c r="B126" s="78" t="s">
        <v>183</v>
      </c>
      <c r="C126" s="79" t="s">
        <v>1</v>
      </c>
      <c r="D126" s="73">
        <v>302250</v>
      </c>
      <c r="E126" s="9"/>
      <c r="F126" s="28">
        <f t="shared" si="4"/>
        <v>0</v>
      </c>
      <c r="G126" s="21"/>
      <c r="H126" s="21"/>
    </row>
    <row r="127" spans="1:8" ht="18.75" thickBot="1" x14ac:dyDescent="0.3">
      <c r="A127" s="80"/>
      <c r="B127" s="81"/>
      <c r="C127" s="82"/>
      <c r="D127" s="83"/>
      <c r="E127" s="30" t="s">
        <v>216</v>
      </c>
      <c r="F127" s="31">
        <f>SUM(F106:F126)</f>
        <v>0</v>
      </c>
      <c r="G127" s="21"/>
      <c r="H127" s="21"/>
    </row>
    <row r="128" spans="1:8" ht="18" x14ac:dyDescent="0.25">
      <c r="A128" s="88" t="s">
        <v>47</v>
      </c>
      <c r="B128" s="67" t="s">
        <v>50</v>
      </c>
      <c r="C128" s="68"/>
      <c r="D128" s="68"/>
      <c r="E128" s="32"/>
      <c r="F128" s="4"/>
      <c r="G128" s="21"/>
      <c r="H128" s="21"/>
    </row>
    <row r="129" spans="1:8" ht="18" x14ac:dyDescent="0.25">
      <c r="A129" s="70"/>
      <c r="B129" s="71" t="s">
        <v>184</v>
      </c>
      <c r="C129" s="72" t="s">
        <v>11</v>
      </c>
      <c r="D129" s="73">
        <v>2.39</v>
      </c>
      <c r="E129" s="7"/>
      <c r="F129" s="28">
        <f t="shared" ref="F129:F137" si="5">D129*E129</f>
        <v>0</v>
      </c>
      <c r="G129" s="21"/>
      <c r="H129" s="21"/>
    </row>
    <row r="130" spans="1:8" ht="18" x14ac:dyDescent="0.25">
      <c r="A130" s="70"/>
      <c r="B130" s="71" t="s">
        <v>185</v>
      </c>
      <c r="C130" s="72" t="s">
        <v>11</v>
      </c>
      <c r="D130" s="73">
        <v>3.56</v>
      </c>
      <c r="E130" s="7"/>
      <c r="F130" s="28">
        <f t="shared" si="5"/>
        <v>0</v>
      </c>
      <c r="G130" s="21"/>
      <c r="H130" s="21"/>
    </row>
    <row r="131" spans="1:8" ht="18" x14ac:dyDescent="0.25">
      <c r="A131" s="70"/>
      <c r="B131" s="71" t="s">
        <v>186</v>
      </c>
      <c r="C131" s="72" t="s">
        <v>1</v>
      </c>
      <c r="D131" s="73">
        <v>120</v>
      </c>
      <c r="E131" s="7"/>
      <c r="F131" s="28">
        <f t="shared" si="5"/>
        <v>0</v>
      </c>
      <c r="G131" s="21"/>
      <c r="H131" s="21"/>
    </row>
    <row r="132" spans="1:8" ht="18" x14ac:dyDescent="0.25">
      <c r="A132" s="70"/>
      <c r="B132" s="71" t="s">
        <v>187</v>
      </c>
      <c r="C132" s="72" t="s">
        <v>1</v>
      </c>
      <c r="D132" s="73">
        <v>240</v>
      </c>
      <c r="E132" s="7"/>
      <c r="F132" s="28">
        <f t="shared" si="5"/>
        <v>0</v>
      </c>
      <c r="G132" s="21"/>
      <c r="H132" s="21"/>
    </row>
    <row r="133" spans="1:8" ht="18" x14ac:dyDescent="0.25">
      <c r="A133" s="70"/>
      <c r="B133" s="71" t="s">
        <v>188</v>
      </c>
      <c r="C133" s="72" t="s">
        <v>11</v>
      </c>
      <c r="D133" s="73">
        <v>2.95</v>
      </c>
      <c r="E133" s="7"/>
      <c r="F133" s="28">
        <f t="shared" si="5"/>
        <v>0</v>
      </c>
      <c r="G133" s="21"/>
      <c r="H133" s="21"/>
    </row>
    <row r="134" spans="1:8" ht="18" x14ac:dyDescent="0.25">
      <c r="A134" s="70"/>
      <c r="B134" s="71" t="s">
        <v>189</v>
      </c>
      <c r="C134" s="72" t="s">
        <v>134</v>
      </c>
      <c r="D134" s="73">
        <v>2965</v>
      </c>
      <c r="E134" s="7"/>
      <c r="F134" s="28">
        <f t="shared" si="5"/>
        <v>0</v>
      </c>
      <c r="G134" s="21"/>
      <c r="H134" s="21"/>
    </row>
    <row r="135" spans="1:8" ht="18" x14ac:dyDescent="0.25">
      <c r="A135" s="70"/>
      <c r="B135" s="71" t="s">
        <v>190</v>
      </c>
      <c r="C135" s="72" t="s">
        <v>3</v>
      </c>
      <c r="D135" s="73">
        <v>0.47</v>
      </c>
      <c r="E135" s="7"/>
      <c r="F135" s="28">
        <f t="shared" si="5"/>
        <v>0</v>
      </c>
      <c r="G135" s="21"/>
      <c r="H135" s="21"/>
    </row>
    <row r="136" spans="1:8" ht="18" x14ac:dyDescent="0.25">
      <c r="A136" s="70"/>
      <c r="B136" s="71" t="s">
        <v>164</v>
      </c>
      <c r="C136" s="72" t="s">
        <v>1</v>
      </c>
      <c r="D136" s="73">
        <v>592</v>
      </c>
      <c r="E136" s="7"/>
      <c r="F136" s="28">
        <f t="shared" si="5"/>
        <v>0</v>
      </c>
      <c r="G136" s="21"/>
      <c r="H136" s="21"/>
    </row>
    <row r="137" spans="1:8" ht="18.75" thickBot="1" x14ac:dyDescent="0.3">
      <c r="A137" s="70"/>
      <c r="B137" s="71" t="s">
        <v>39</v>
      </c>
      <c r="C137" s="72" t="s">
        <v>1</v>
      </c>
      <c r="D137" s="73">
        <v>654</v>
      </c>
      <c r="E137" s="7"/>
      <c r="F137" s="28">
        <f t="shared" si="5"/>
        <v>0</v>
      </c>
      <c r="G137" s="21"/>
      <c r="H137" s="21"/>
    </row>
    <row r="138" spans="1:8" ht="18.75" thickBot="1" x14ac:dyDescent="0.3">
      <c r="A138" s="80"/>
      <c r="B138" s="89"/>
      <c r="C138" s="82"/>
      <c r="D138" s="83"/>
      <c r="E138" s="30" t="s">
        <v>217</v>
      </c>
      <c r="F138" s="31">
        <f>SUM(F129:F137)</f>
        <v>0</v>
      </c>
      <c r="G138" s="21"/>
      <c r="H138" s="21"/>
    </row>
    <row r="139" spans="1:8" ht="18" x14ac:dyDescent="0.25">
      <c r="A139" s="88" t="s">
        <v>49</v>
      </c>
      <c r="B139" s="90" t="s">
        <v>51</v>
      </c>
      <c r="C139" s="68"/>
      <c r="D139" s="68"/>
      <c r="E139" s="32"/>
      <c r="F139" s="4"/>
      <c r="G139" s="21"/>
      <c r="H139" s="21"/>
    </row>
    <row r="140" spans="1:8" ht="18" x14ac:dyDescent="0.25">
      <c r="A140" s="88"/>
      <c r="B140" s="139" t="s">
        <v>232</v>
      </c>
      <c r="C140" s="140"/>
      <c r="D140" s="91"/>
      <c r="E140" s="33"/>
      <c r="F140" s="34"/>
      <c r="G140" s="21"/>
      <c r="H140" s="21"/>
    </row>
    <row r="141" spans="1:8" ht="18" x14ac:dyDescent="0.25">
      <c r="A141" s="70"/>
      <c r="B141" s="71" t="s">
        <v>52</v>
      </c>
      <c r="C141" s="72" t="s">
        <v>1</v>
      </c>
      <c r="D141" s="73">
        <v>2620</v>
      </c>
      <c r="E141" s="7"/>
      <c r="F141" s="28">
        <f t="shared" ref="F141:F167" si="6">D141*E141</f>
        <v>0</v>
      </c>
      <c r="G141" s="21"/>
      <c r="H141" s="21"/>
    </row>
    <row r="142" spans="1:8" ht="18" x14ac:dyDescent="0.25">
      <c r="A142" s="70"/>
      <c r="B142" s="71" t="s">
        <v>53</v>
      </c>
      <c r="C142" s="72" t="s">
        <v>1</v>
      </c>
      <c r="D142" s="73">
        <v>3990</v>
      </c>
      <c r="E142" s="7"/>
      <c r="F142" s="28">
        <f t="shared" si="6"/>
        <v>0</v>
      </c>
      <c r="G142" s="21"/>
      <c r="H142" s="21"/>
    </row>
    <row r="143" spans="1:8" ht="18" x14ac:dyDescent="0.25">
      <c r="A143" s="70"/>
      <c r="B143" s="71" t="s">
        <v>54</v>
      </c>
      <c r="C143" s="72" t="s">
        <v>1</v>
      </c>
      <c r="D143" s="73">
        <v>472.5</v>
      </c>
      <c r="E143" s="7"/>
      <c r="F143" s="28">
        <f t="shared" si="6"/>
        <v>0</v>
      </c>
      <c r="G143" s="21"/>
      <c r="H143" s="21"/>
    </row>
    <row r="144" spans="1:8" ht="18" x14ac:dyDescent="0.25">
      <c r="A144" s="70"/>
      <c r="B144" s="71" t="s">
        <v>55</v>
      </c>
      <c r="C144" s="72" t="s">
        <v>1</v>
      </c>
      <c r="D144" s="73">
        <v>654</v>
      </c>
      <c r="E144" s="7"/>
      <c r="F144" s="28">
        <f t="shared" si="6"/>
        <v>0</v>
      </c>
      <c r="G144" s="21"/>
      <c r="H144" s="21"/>
    </row>
    <row r="145" spans="1:8" ht="18" x14ac:dyDescent="0.25">
      <c r="A145" s="70"/>
      <c r="B145" s="71" t="s">
        <v>56</v>
      </c>
      <c r="C145" s="72" t="s">
        <v>1</v>
      </c>
      <c r="D145" s="73">
        <v>472.5</v>
      </c>
      <c r="E145" s="7"/>
      <c r="F145" s="28">
        <f t="shared" si="6"/>
        <v>0</v>
      </c>
      <c r="G145" s="21"/>
      <c r="H145" s="21"/>
    </row>
    <row r="146" spans="1:8" ht="18" x14ac:dyDescent="0.25">
      <c r="A146" s="70"/>
      <c r="B146" s="71" t="s">
        <v>57</v>
      </c>
      <c r="C146" s="72" t="s">
        <v>11</v>
      </c>
      <c r="D146" s="73">
        <v>22.8</v>
      </c>
      <c r="E146" s="7"/>
      <c r="F146" s="28">
        <f t="shared" si="6"/>
        <v>0</v>
      </c>
      <c r="G146" s="21"/>
      <c r="H146" s="21"/>
    </row>
    <row r="147" spans="1:8" ht="18" x14ac:dyDescent="0.25">
      <c r="A147" s="70"/>
      <c r="B147" s="71" t="s">
        <v>58</v>
      </c>
      <c r="C147" s="72" t="s">
        <v>11</v>
      </c>
      <c r="D147" s="73">
        <v>33</v>
      </c>
      <c r="E147" s="7"/>
      <c r="F147" s="28">
        <f t="shared" si="6"/>
        <v>0</v>
      </c>
      <c r="G147" s="21"/>
      <c r="H147" s="21"/>
    </row>
    <row r="148" spans="1:8" ht="18" x14ac:dyDescent="0.25">
      <c r="A148" s="70"/>
      <c r="B148" s="71" t="s">
        <v>59</v>
      </c>
      <c r="C148" s="72" t="s">
        <v>11</v>
      </c>
      <c r="D148" s="73">
        <v>36.450000000000003</v>
      </c>
      <c r="E148" s="7"/>
      <c r="F148" s="28">
        <f t="shared" si="6"/>
        <v>0</v>
      </c>
      <c r="G148" s="21"/>
      <c r="H148" s="21"/>
    </row>
    <row r="149" spans="1:8" ht="18" x14ac:dyDescent="0.25">
      <c r="A149" s="70"/>
      <c r="B149" s="71" t="s">
        <v>60</v>
      </c>
      <c r="C149" s="72" t="s">
        <v>11</v>
      </c>
      <c r="D149" s="73">
        <v>38.75</v>
      </c>
      <c r="E149" s="7"/>
      <c r="F149" s="28">
        <f t="shared" si="6"/>
        <v>0</v>
      </c>
      <c r="G149" s="21"/>
      <c r="H149" s="21"/>
    </row>
    <row r="150" spans="1:8" ht="18" x14ac:dyDescent="0.25">
      <c r="A150" s="70"/>
      <c r="B150" s="71" t="s">
        <v>61</v>
      </c>
      <c r="C150" s="72" t="s">
        <v>11</v>
      </c>
      <c r="D150" s="73">
        <v>42.15</v>
      </c>
      <c r="E150" s="7"/>
      <c r="F150" s="28">
        <f t="shared" si="6"/>
        <v>0</v>
      </c>
      <c r="G150" s="21"/>
      <c r="H150" s="21"/>
    </row>
    <row r="151" spans="1:8" ht="18" x14ac:dyDescent="0.25">
      <c r="A151" s="70"/>
      <c r="B151" s="71" t="s">
        <v>62</v>
      </c>
      <c r="C151" s="72" t="s">
        <v>1</v>
      </c>
      <c r="D151" s="73">
        <v>712</v>
      </c>
      <c r="E151" s="7"/>
      <c r="F151" s="28">
        <f t="shared" si="6"/>
        <v>0</v>
      </c>
      <c r="G151" s="21"/>
      <c r="H151" s="21"/>
    </row>
    <row r="152" spans="1:8" ht="18" x14ac:dyDescent="0.25">
      <c r="A152" s="70"/>
      <c r="B152" s="71" t="s">
        <v>63</v>
      </c>
      <c r="C152" s="72" t="s">
        <v>1</v>
      </c>
      <c r="D152" s="73">
        <v>833</v>
      </c>
      <c r="E152" s="7"/>
      <c r="F152" s="28">
        <f t="shared" si="6"/>
        <v>0</v>
      </c>
      <c r="G152" s="21"/>
      <c r="H152" s="21"/>
    </row>
    <row r="153" spans="1:8" ht="18" x14ac:dyDescent="0.25">
      <c r="A153" s="70"/>
      <c r="B153" s="71" t="s">
        <v>64</v>
      </c>
      <c r="C153" s="72" t="s">
        <v>1</v>
      </c>
      <c r="D153" s="73">
        <v>979</v>
      </c>
      <c r="E153" s="7"/>
      <c r="F153" s="28">
        <f t="shared" si="6"/>
        <v>0</v>
      </c>
      <c r="G153" s="21"/>
      <c r="H153" s="21"/>
    </row>
    <row r="154" spans="1:8" ht="18" x14ac:dyDescent="0.25">
      <c r="A154" s="70"/>
      <c r="B154" s="71" t="s">
        <v>65</v>
      </c>
      <c r="C154" s="72" t="s">
        <v>11</v>
      </c>
      <c r="D154" s="73">
        <v>10.8</v>
      </c>
      <c r="E154" s="7"/>
      <c r="F154" s="28">
        <f t="shared" si="6"/>
        <v>0</v>
      </c>
      <c r="G154" s="21"/>
      <c r="H154" s="21"/>
    </row>
    <row r="155" spans="1:8" ht="18" x14ac:dyDescent="0.25">
      <c r="A155" s="70"/>
      <c r="B155" s="71" t="s">
        <v>66</v>
      </c>
      <c r="C155" s="72" t="s">
        <v>11</v>
      </c>
      <c r="D155" s="73">
        <v>13.1</v>
      </c>
      <c r="E155" s="7"/>
      <c r="F155" s="28">
        <f t="shared" si="6"/>
        <v>0</v>
      </c>
      <c r="G155" s="21"/>
      <c r="H155" s="21"/>
    </row>
    <row r="156" spans="1:8" ht="18" x14ac:dyDescent="0.25">
      <c r="A156" s="70"/>
      <c r="B156" s="71" t="s">
        <v>67</v>
      </c>
      <c r="C156" s="72" t="s">
        <v>11</v>
      </c>
      <c r="D156" s="73">
        <v>17.649999999999999</v>
      </c>
      <c r="E156" s="7"/>
      <c r="F156" s="28">
        <f t="shared" si="6"/>
        <v>0</v>
      </c>
      <c r="G156" s="21"/>
      <c r="H156" s="21"/>
    </row>
    <row r="157" spans="1:8" ht="18" x14ac:dyDescent="0.25">
      <c r="A157" s="70"/>
      <c r="B157" s="71" t="s">
        <v>68</v>
      </c>
      <c r="C157" s="72" t="s">
        <v>11</v>
      </c>
      <c r="D157" s="73">
        <v>21.4</v>
      </c>
      <c r="E157" s="7"/>
      <c r="F157" s="28">
        <f t="shared" si="6"/>
        <v>0</v>
      </c>
      <c r="G157" s="21"/>
      <c r="H157" s="21"/>
    </row>
    <row r="158" spans="1:8" ht="18" x14ac:dyDescent="0.25">
      <c r="A158" s="70"/>
      <c r="B158" s="71" t="s">
        <v>191</v>
      </c>
      <c r="C158" s="72" t="s">
        <v>1</v>
      </c>
      <c r="D158" s="73">
        <v>159.5</v>
      </c>
      <c r="E158" s="7"/>
      <c r="F158" s="28">
        <f t="shared" si="6"/>
        <v>0</v>
      </c>
      <c r="G158" s="21"/>
      <c r="H158" s="21"/>
    </row>
    <row r="159" spans="1:8" ht="18" x14ac:dyDescent="0.25">
      <c r="A159" s="70"/>
      <c r="B159" s="71" t="s">
        <v>192</v>
      </c>
      <c r="C159" s="72" t="s">
        <v>1</v>
      </c>
      <c r="D159" s="73">
        <v>194</v>
      </c>
      <c r="E159" s="7"/>
      <c r="F159" s="28">
        <f t="shared" si="6"/>
        <v>0</v>
      </c>
      <c r="G159" s="21"/>
      <c r="H159" s="21"/>
    </row>
    <row r="160" spans="1:8" ht="18" x14ac:dyDescent="0.25">
      <c r="A160" s="70"/>
      <c r="B160" s="71" t="s">
        <v>193</v>
      </c>
      <c r="C160" s="72" t="s">
        <v>1</v>
      </c>
      <c r="D160" s="73">
        <v>712</v>
      </c>
      <c r="E160" s="7"/>
      <c r="F160" s="28">
        <f t="shared" si="6"/>
        <v>0</v>
      </c>
      <c r="G160" s="21"/>
      <c r="H160" s="21"/>
    </row>
    <row r="161" spans="1:8" ht="18" x14ac:dyDescent="0.25">
      <c r="A161" s="70"/>
      <c r="B161" s="71" t="s">
        <v>194</v>
      </c>
      <c r="C161" s="72" t="s">
        <v>1</v>
      </c>
      <c r="D161" s="73">
        <v>712</v>
      </c>
      <c r="E161" s="7"/>
      <c r="F161" s="28">
        <f t="shared" si="6"/>
        <v>0</v>
      </c>
      <c r="G161" s="21"/>
      <c r="H161" s="21"/>
    </row>
    <row r="162" spans="1:8" ht="18" x14ac:dyDescent="0.25">
      <c r="A162" s="70"/>
      <c r="B162" s="71" t="s">
        <v>195</v>
      </c>
      <c r="C162" s="72" t="s">
        <v>1</v>
      </c>
      <c r="D162" s="73">
        <v>239400</v>
      </c>
      <c r="E162" s="7"/>
      <c r="F162" s="28">
        <f t="shared" si="6"/>
        <v>0</v>
      </c>
      <c r="G162" s="21"/>
      <c r="H162" s="21"/>
    </row>
    <row r="163" spans="1:8" ht="18" x14ac:dyDescent="0.25">
      <c r="A163" s="70"/>
      <c r="B163" s="71" t="s">
        <v>196</v>
      </c>
      <c r="C163" s="72" t="s">
        <v>1</v>
      </c>
      <c r="D163" s="73">
        <v>6525</v>
      </c>
      <c r="E163" s="7"/>
      <c r="F163" s="28">
        <f t="shared" si="6"/>
        <v>0</v>
      </c>
      <c r="G163" s="21"/>
      <c r="H163" s="21"/>
    </row>
    <row r="164" spans="1:8" ht="18" x14ac:dyDescent="0.25">
      <c r="A164" s="70"/>
      <c r="B164" s="71" t="s">
        <v>197</v>
      </c>
      <c r="C164" s="72" t="s">
        <v>1</v>
      </c>
      <c r="D164" s="73">
        <v>990</v>
      </c>
      <c r="E164" s="7"/>
      <c r="F164" s="28">
        <f t="shared" si="6"/>
        <v>0</v>
      </c>
      <c r="G164" s="21"/>
      <c r="H164" s="21"/>
    </row>
    <row r="165" spans="1:8" ht="18" x14ac:dyDescent="0.25">
      <c r="A165" s="70"/>
      <c r="B165" s="71" t="s">
        <v>69</v>
      </c>
      <c r="C165" s="72" t="s">
        <v>1</v>
      </c>
      <c r="D165" s="73">
        <v>387</v>
      </c>
      <c r="E165" s="7"/>
      <c r="F165" s="28">
        <f t="shared" si="6"/>
        <v>0</v>
      </c>
      <c r="G165" s="21"/>
      <c r="H165" s="21"/>
    </row>
    <row r="166" spans="1:8" ht="18" x14ac:dyDescent="0.25">
      <c r="A166" s="70"/>
      <c r="B166" s="71" t="s">
        <v>70</v>
      </c>
      <c r="C166" s="72" t="s">
        <v>1</v>
      </c>
      <c r="D166" s="73">
        <v>456</v>
      </c>
      <c r="E166" s="7"/>
      <c r="F166" s="28">
        <f t="shared" si="6"/>
        <v>0</v>
      </c>
      <c r="G166" s="21"/>
      <c r="H166" s="21"/>
    </row>
    <row r="167" spans="1:8" ht="18.75" thickBot="1" x14ac:dyDescent="0.3">
      <c r="A167" s="77"/>
      <c r="B167" s="78" t="s">
        <v>71</v>
      </c>
      <c r="C167" s="79" t="s">
        <v>1</v>
      </c>
      <c r="D167" s="73">
        <v>979</v>
      </c>
      <c r="E167" s="9"/>
      <c r="F167" s="28">
        <f t="shared" si="6"/>
        <v>0</v>
      </c>
      <c r="G167" s="21"/>
      <c r="H167" s="21"/>
    </row>
    <row r="168" spans="1:8" ht="18.75" thickBot="1" x14ac:dyDescent="0.3">
      <c r="A168" s="80"/>
      <c r="B168" s="81"/>
      <c r="C168" s="82"/>
      <c r="D168" s="83"/>
      <c r="E168" s="30" t="s">
        <v>218</v>
      </c>
      <c r="F168" s="35">
        <f>SUM(F141:F167)</f>
        <v>0</v>
      </c>
      <c r="G168" s="21"/>
      <c r="H168" s="21"/>
    </row>
    <row r="169" spans="1:8" ht="18" x14ac:dyDescent="0.25">
      <c r="A169" s="92" t="s">
        <v>127</v>
      </c>
      <c r="B169" s="67" t="s">
        <v>129</v>
      </c>
      <c r="C169" s="68"/>
      <c r="D169" s="68"/>
      <c r="E169" s="3"/>
      <c r="F169" s="4"/>
      <c r="G169" s="21"/>
      <c r="H169" s="21"/>
    </row>
    <row r="170" spans="1:8" ht="18" x14ac:dyDescent="0.25">
      <c r="A170" s="92"/>
      <c r="B170" s="71"/>
      <c r="C170" s="93"/>
      <c r="D170" s="93"/>
      <c r="E170" s="1"/>
      <c r="F170" s="28"/>
      <c r="G170" s="21"/>
      <c r="H170" s="21"/>
    </row>
    <row r="171" spans="1:8" ht="18.75" thickBot="1" x14ac:dyDescent="0.3">
      <c r="A171" s="92"/>
      <c r="B171" s="71"/>
      <c r="C171" s="93"/>
      <c r="D171" s="94"/>
      <c r="E171" s="5"/>
      <c r="F171" s="6"/>
      <c r="G171" s="21"/>
      <c r="H171" s="21"/>
    </row>
    <row r="172" spans="1:8" ht="18.75" thickBot="1" x14ac:dyDescent="0.3">
      <c r="A172" s="80"/>
      <c r="B172" s="81"/>
      <c r="C172" s="82"/>
      <c r="D172" s="82"/>
      <c r="E172" s="36" t="s">
        <v>219</v>
      </c>
      <c r="F172" s="31">
        <f>SUM(F169:F171)</f>
        <v>0</v>
      </c>
      <c r="G172" s="21"/>
      <c r="H172" s="21"/>
    </row>
    <row r="173" spans="1:8" ht="18" x14ac:dyDescent="0.25">
      <c r="A173" s="95"/>
      <c r="B173" s="96"/>
      <c r="C173" s="97"/>
      <c r="D173" s="97"/>
      <c r="E173" s="37"/>
      <c r="F173" s="38"/>
      <c r="G173" s="39"/>
      <c r="H173" s="40"/>
    </row>
    <row r="174" spans="1:8" ht="18.75" thickBot="1" x14ac:dyDescent="0.3">
      <c r="A174" s="98" t="s">
        <v>130</v>
      </c>
      <c r="B174" s="99"/>
      <c r="C174" s="100"/>
      <c r="D174" s="100"/>
      <c r="E174" s="41"/>
      <c r="F174" s="42"/>
      <c r="G174" s="43"/>
      <c r="H174" s="44"/>
    </row>
    <row r="175" spans="1:8" s="45" customFormat="1" ht="18" x14ac:dyDescent="0.25">
      <c r="A175" s="101"/>
      <c r="B175" s="102"/>
      <c r="C175" s="103"/>
      <c r="D175" s="103"/>
      <c r="E175" s="3"/>
      <c r="F175" s="4"/>
      <c r="G175" s="27"/>
      <c r="H175" s="27"/>
    </row>
    <row r="176" spans="1:8" ht="18" x14ac:dyDescent="0.25">
      <c r="A176" s="70" t="s">
        <v>98</v>
      </c>
      <c r="B176" s="104" t="s">
        <v>135</v>
      </c>
      <c r="C176" s="105"/>
      <c r="D176" s="106"/>
      <c r="E176" s="11"/>
      <c r="F176" s="12">
        <f>F14</f>
        <v>0</v>
      </c>
      <c r="G176" s="21"/>
      <c r="H176" s="21"/>
    </row>
    <row r="177" spans="1:8" ht="18" x14ac:dyDescent="0.25">
      <c r="A177" s="70" t="s">
        <v>99</v>
      </c>
      <c r="B177" s="104" t="s">
        <v>4</v>
      </c>
      <c r="C177" s="105"/>
      <c r="D177" s="106"/>
      <c r="E177" s="11"/>
      <c r="F177" s="12">
        <f>F70</f>
        <v>0</v>
      </c>
      <c r="G177" s="21"/>
      <c r="H177" s="21"/>
    </row>
    <row r="178" spans="1:8" ht="18" x14ac:dyDescent="0.25">
      <c r="A178" s="70" t="s">
        <v>100</v>
      </c>
      <c r="B178" s="104" t="s">
        <v>72</v>
      </c>
      <c r="C178" s="105"/>
      <c r="D178" s="106"/>
      <c r="E178" s="11"/>
      <c r="F178" s="12">
        <f>F75</f>
        <v>0</v>
      </c>
      <c r="G178" s="21"/>
      <c r="H178" s="21"/>
    </row>
    <row r="179" spans="1:8" ht="18" x14ac:dyDescent="0.25">
      <c r="A179" s="70" t="s">
        <v>101</v>
      </c>
      <c r="B179" s="104" t="s">
        <v>41</v>
      </c>
      <c r="C179" s="105"/>
      <c r="D179" s="106"/>
      <c r="E179" s="11"/>
      <c r="F179" s="12">
        <f>F79</f>
        <v>0</v>
      </c>
      <c r="G179" s="21"/>
      <c r="H179" s="21"/>
    </row>
    <row r="180" spans="1:8" ht="18" x14ac:dyDescent="0.25">
      <c r="A180" s="70" t="s">
        <v>102</v>
      </c>
      <c r="B180" s="104" t="s">
        <v>44</v>
      </c>
      <c r="C180" s="105"/>
      <c r="D180" s="106"/>
      <c r="E180" s="11"/>
      <c r="F180" s="12">
        <f>F104</f>
        <v>0</v>
      </c>
      <c r="G180" s="21"/>
      <c r="H180" s="21"/>
    </row>
    <row r="181" spans="1:8" ht="18" x14ac:dyDescent="0.25">
      <c r="A181" s="70" t="s">
        <v>103</v>
      </c>
      <c r="B181" s="104" t="s">
        <v>48</v>
      </c>
      <c r="C181" s="105"/>
      <c r="D181" s="106"/>
      <c r="E181" s="11"/>
      <c r="F181" s="12">
        <f>F127</f>
        <v>0</v>
      </c>
      <c r="G181" s="21"/>
      <c r="H181" s="21"/>
    </row>
    <row r="182" spans="1:8" ht="18" x14ac:dyDescent="0.25">
      <c r="A182" s="74" t="s">
        <v>104</v>
      </c>
      <c r="B182" s="104" t="s">
        <v>50</v>
      </c>
      <c r="C182" s="107"/>
      <c r="D182" s="13"/>
      <c r="E182" s="46"/>
      <c r="F182" s="47">
        <f>F138</f>
        <v>0</v>
      </c>
      <c r="G182" s="21"/>
      <c r="H182" s="21"/>
    </row>
    <row r="183" spans="1:8" ht="18" x14ac:dyDescent="0.25">
      <c r="A183" s="74" t="s">
        <v>105</v>
      </c>
      <c r="B183" s="104" t="s">
        <v>51</v>
      </c>
      <c r="C183" s="105"/>
      <c r="D183" s="13"/>
      <c r="E183" s="46"/>
      <c r="F183" s="47">
        <f>F168</f>
        <v>0</v>
      </c>
      <c r="G183" s="21"/>
      <c r="H183" s="21"/>
    </row>
    <row r="184" spans="1:8" ht="18.75" thickBot="1" x14ac:dyDescent="0.3">
      <c r="A184" s="77" t="s">
        <v>127</v>
      </c>
      <c r="B184" s="108" t="s">
        <v>128</v>
      </c>
      <c r="C184" s="109"/>
      <c r="D184" s="110"/>
      <c r="E184" s="48"/>
      <c r="F184" s="47">
        <f>F172</f>
        <v>0</v>
      </c>
      <c r="G184" s="21"/>
      <c r="H184" s="21"/>
    </row>
    <row r="185" spans="1:8" ht="18.75" thickTop="1" x14ac:dyDescent="0.25">
      <c r="A185" s="85"/>
      <c r="B185" s="111" t="s">
        <v>73</v>
      </c>
      <c r="C185" s="112"/>
      <c r="D185" s="113"/>
      <c r="E185" s="49"/>
      <c r="F185" s="50">
        <f>SUM(F176:F184)</f>
        <v>0</v>
      </c>
      <c r="G185" s="21"/>
      <c r="H185" s="21"/>
    </row>
    <row r="186" spans="1:8" ht="18" x14ac:dyDescent="0.25">
      <c r="A186" s="70"/>
      <c r="B186" s="104" t="s">
        <v>74</v>
      </c>
      <c r="C186" s="114"/>
      <c r="D186" s="115"/>
      <c r="E186" s="11"/>
      <c r="F186" s="12">
        <f>F185*0.1</f>
        <v>0</v>
      </c>
      <c r="G186" s="21"/>
      <c r="H186" s="21"/>
    </row>
    <row r="187" spans="1:8" ht="18" x14ac:dyDescent="0.25">
      <c r="A187" s="70"/>
      <c r="B187" s="116" t="s">
        <v>75</v>
      </c>
      <c r="C187" s="114"/>
      <c r="D187" s="115"/>
      <c r="E187" s="11"/>
      <c r="F187" s="51">
        <f>SUM(F185:F186)</f>
        <v>0</v>
      </c>
      <c r="G187" s="21"/>
      <c r="H187" s="21"/>
    </row>
    <row r="188" spans="1:8" ht="18" x14ac:dyDescent="0.25">
      <c r="A188" s="70"/>
      <c r="B188" s="117"/>
      <c r="C188" s="118"/>
      <c r="D188" s="119"/>
      <c r="E188" s="11"/>
      <c r="F188" s="12"/>
      <c r="G188" s="21"/>
      <c r="H188" s="21"/>
    </row>
    <row r="189" spans="1:8" ht="18" x14ac:dyDescent="0.25">
      <c r="A189" s="70"/>
      <c r="B189" s="104" t="s">
        <v>76</v>
      </c>
      <c r="C189" s="118"/>
      <c r="D189" s="119"/>
      <c r="E189" s="11"/>
      <c r="F189" s="12">
        <f>IF(F187&lt;55900,2795,IF(F187&lt;150000,(F187-55900)*0.05+2795,IF(F187&lt;250000,(F187-150000)*0.04+7500,IF(F187&lt;500000,(F187-250000)*0.03+11500,IF(F187&gt;500000,(F187-500000)*0.02+19000)))))</f>
        <v>2795</v>
      </c>
      <c r="G189" s="21"/>
      <c r="H189" s="21"/>
    </row>
    <row r="190" spans="1:8" ht="19.5" customHeight="1" x14ac:dyDescent="0.25">
      <c r="A190" s="70"/>
      <c r="B190" s="137" t="s">
        <v>222</v>
      </c>
      <c r="C190" s="138"/>
      <c r="D190" s="106"/>
      <c r="E190" s="11"/>
      <c r="F190" s="15">
        <f>0.4*F189</f>
        <v>1118</v>
      </c>
      <c r="G190" s="21"/>
      <c r="H190" s="21"/>
    </row>
    <row r="191" spans="1:8" ht="19.5" customHeight="1" x14ac:dyDescent="0.25">
      <c r="A191" s="70"/>
      <c r="B191" s="137" t="s">
        <v>223</v>
      </c>
      <c r="C191" s="138"/>
      <c r="D191" s="106"/>
      <c r="E191" s="11"/>
      <c r="F191" s="15">
        <f>0.6*F189</f>
        <v>1677</v>
      </c>
      <c r="G191" s="21"/>
      <c r="H191" s="21"/>
    </row>
    <row r="192" spans="1:8" ht="19.5" customHeight="1" x14ac:dyDescent="0.25">
      <c r="A192" s="70"/>
      <c r="B192" s="104"/>
      <c r="C192" s="105"/>
      <c r="D192" s="106"/>
      <c r="E192" s="11"/>
      <c r="F192" s="15"/>
      <c r="G192" s="21"/>
      <c r="H192" s="21"/>
    </row>
    <row r="193" spans="1:8" ht="19.5" customHeight="1" x14ac:dyDescent="0.3">
      <c r="A193" s="70"/>
      <c r="B193" s="141" t="s">
        <v>233</v>
      </c>
      <c r="C193" s="142"/>
      <c r="D193" s="143"/>
      <c r="E193" s="11"/>
      <c r="F193" s="12"/>
      <c r="G193" s="21"/>
      <c r="H193" s="21"/>
    </row>
    <row r="194" spans="1:8" ht="19.5" customHeight="1" x14ac:dyDescent="0.25">
      <c r="A194" s="70"/>
      <c r="B194" s="13" t="s">
        <v>222</v>
      </c>
      <c r="C194" s="13"/>
      <c r="D194" s="14"/>
      <c r="E194" s="11"/>
      <c r="F194" s="15"/>
      <c r="G194" s="21"/>
      <c r="H194" s="21"/>
    </row>
    <row r="195" spans="1:8" ht="19.5" customHeight="1" x14ac:dyDescent="0.25">
      <c r="A195" s="70"/>
      <c r="B195" s="13" t="s">
        <v>223</v>
      </c>
      <c r="C195" s="13"/>
      <c r="D195" s="14"/>
      <c r="E195" s="11"/>
      <c r="F195" s="15"/>
      <c r="G195" s="21"/>
      <c r="H195" s="21"/>
    </row>
    <row r="196" spans="1:8" ht="19.5" customHeight="1" x14ac:dyDescent="0.25">
      <c r="A196" s="70"/>
      <c r="B196" s="13"/>
      <c r="C196" s="13"/>
      <c r="D196" s="14"/>
      <c r="E196" s="11"/>
      <c r="F196" s="12"/>
      <c r="G196" s="21"/>
      <c r="H196" s="21"/>
    </row>
    <row r="197" spans="1:8" ht="18" customHeight="1" x14ac:dyDescent="0.25">
      <c r="A197" s="70"/>
      <c r="B197" s="16" t="s">
        <v>234</v>
      </c>
      <c r="C197" s="13"/>
      <c r="D197" s="14"/>
      <c r="E197" s="11"/>
      <c r="F197" s="12">
        <f>F189+F194+F195</f>
        <v>2795</v>
      </c>
      <c r="G197" s="21"/>
      <c r="H197" s="21"/>
    </row>
    <row r="198" spans="1:8" ht="18.75" thickBot="1" x14ac:dyDescent="0.3">
      <c r="A198" s="120"/>
      <c r="B198" s="121"/>
      <c r="C198" s="122"/>
      <c r="D198" s="122"/>
      <c r="E198" s="52"/>
      <c r="F198" s="53"/>
      <c r="G198" s="21"/>
      <c r="H198" s="21"/>
    </row>
    <row r="199" spans="1:8" ht="18" x14ac:dyDescent="0.25">
      <c r="A199" s="95"/>
      <c r="B199" s="123"/>
      <c r="C199" s="124"/>
      <c r="D199" s="124"/>
      <c r="E199" s="38"/>
      <c r="F199" s="38"/>
      <c r="G199" s="39"/>
      <c r="H199" s="40"/>
    </row>
    <row r="200" spans="1:8" ht="18.75" thickBot="1" x14ac:dyDescent="0.3">
      <c r="A200" s="125"/>
      <c r="B200" s="126"/>
      <c r="C200" s="127"/>
      <c r="D200" s="127"/>
      <c r="E200" s="54"/>
      <c r="F200" s="54"/>
      <c r="G200" s="39"/>
      <c r="H200" s="40"/>
    </row>
    <row r="201" spans="1:8" ht="18.75" thickBot="1" x14ac:dyDescent="0.3">
      <c r="A201" s="128"/>
      <c r="B201" s="128" t="s">
        <v>231</v>
      </c>
      <c r="C201" s="129"/>
      <c r="D201" s="129" t="s">
        <v>226</v>
      </c>
      <c r="E201" s="55" t="s">
        <v>227</v>
      </c>
      <c r="F201" s="56" t="s">
        <v>228</v>
      </c>
      <c r="G201" s="26"/>
      <c r="H201" s="27"/>
    </row>
    <row r="202" spans="1:8" ht="18" x14ac:dyDescent="0.25">
      <c r="A202" s="66" t="s">
        <v>77</v>
      </c>
      <c r="B202" s="130" t="s">
        <v>78</v>
      </c>
      <c r="C202" s="91"/>
      <c r="D202" s="91"/>
      <c r="E202" s="57"/>
      <c r="F202" s="34"/>
      <c r="G202" s="21"/>
      <c r="H202" s="21"/>
    </row>
    <row r="203" spans="1:8" ht="18" x14ac:dyDescent="0.25">
      <c r="A203" s="70"/>
      <c r="B203" s="71" t="s">
        <v>79</v>
      </c>
      <c r="C203" s="131" t="s">
        <v>0</v>
      </c>
      <c r="D203" s="73">
        <v>656</v>
      </c>
      <c r="E203" s="7"/>
      <c r="F203" s="28">
        <f>D203*E203</f>
        <v>0</v>
      </c>
      <c r="G203" s="21"/>
      <c r="H203" s="21"/>
    </row>
    <row r="204" spans="1:8" ht="18" x14ac:dyDescent="0.25">
      <c r="A204" s="70"/>
      <c r="B204" s="71" t="s">
        <v>80</v>
      </c>
      <c r="C204" s="131" t="s">
        <v>11</v>
      </c>
      <c r="D204" s="73">
        <v>17.649999999999999</v>
      </c>
      <c r="E204" s="7"/>
      <c r="F204" s="28">
        <f>D204*E204</f>
        <v>0</v>
      </c>
      <c r="G204" s="21"/>
      <c r="H204" s="21"/>
    </row>
    <row r="205" spans="1:8" ht="18" x14ac:dyDescent="0.25">
      <c r="A205" s="70"/>
      <c r="B205" s="71" t="s">
        <v>81</v>
      </c>
      <c r="C205" s="131" t="s">
        <v>11</v>
      </c>
      <c r="D205" s="73">
        <v>26.2</v>
      </c>
      <c r="E205" s="7"/>
      <c r="F205" s="28">
        <f>D205*E205</f>
        <v>0</v>
      </c>
      <c r="G205" s="21"/>
      <c r="H205" s="21"/>
    </row>
    <row r="206" spans="1:8" ht="18" x14ac:dyDescent="0.25">
      <c r="A206" s="70"/>
      <c r="B206" s="71" t="s">
        <v>82</v>
      </c>
      <c r="C206" s="131" t="s">
        <v>11</v>
      </c>
      <c r="D206" s="73">
        <v>35.35</v>
      </c>
      <c r="E206" s="7"/>
      <c r="F206" s="28">
        <f>D206*E206</f>
        <v>0</v>
      </c>
      <c r="G206" s="21"/>
      <c r="H206" s="21"/>
    </row>
    <row r="207" spans="1:8" ht="18" x14ac:dyDescent="0.25">
      <c r="A207" s="70"/>
      <c r="B207" s="71" t="s">
        <v>83</v>
      </c>
      <c r="C207" s="131" t="s">
        <v>11</v>
      </c>
      <c r="D207" s="73">
        <v>41.05</v>
      </c>
      <c r="E207" s="7"/>
      <c r="F207" s="28">
        <f>D207*E207</f>
        <v>0</v>
      </c>
      <c r="G207" s="21"/>
      <c r="H207" s="21"/>
    </row>
    <row r="208" spans="1:8" ht="18" x14ac:dyDescent="0.25">
      <c r="A208" s="70"/>
      <c r="B208" s="71" t="s">
        <v>84</v>
      </c>
      <c r="C208" s="131" t="s">
        <v>11</v>
      </c>
      <c r="D208" s="73">
        <v>47.9</v>
      </c>
      <c r="E208" s="7"/>
      <c r="F208" s="28">
        <v>0</v>
      </c>
      <c r="G208" s="21"/>
      <c r="H208" s="21"/>
    </row>
    <row r="209" spans="1:8" ht="18" x14ac:dyDescent="0.25">
      <c r="A209" s="70"/>
      <c r="B209" s="71" t="s">
        <v>85</v>
      </c>
      <c r="C209" s="131" t="s">
        <v>11</v>
      </c>
      <c r="D209" s="73">
        <v>59.25</v>
      </c>
      <c r="E209" s="7"/>
      <c r="F209" s="28">
        <f t="shared" ref="F209:F231" si="7">D209*E209</f>
        <v>0</v>
      </c>
      <c r="G209" s="21"/>
      <c r="H209" s="21"/>
    </row>
    <row r="210" spans="1:8" ht="18" x14ac:dyDescent="0.25">
      <c r="A210" s="70"/>
      <c r="B210" s="71" t="s">
        <v>106</v>
      </c>
      <c r="C210" s="131" t="s">
        <v>11</v>
      </c>
      <c r="D210" s="73">
        <v>77.5</v>
      </c>
      <c r="E210" s="7"/>
      <c r="F210" s="28">
        <f t="shared" si="7"/>
        <v>0</v>
      </c>
      <c r="G210" s="21"/>
      <c r="H210" s="21"/>
    </row>
    <row r="211" spans="1:8" ht="18" x14ac:dyDescent="0.25">
      <c r="A211" s="70"/>
      <c r="B211" s="71" t="s">
        <v>107</v>
      </c>
      <c r="C211" s="131" t="s">
        <v>11</v>
      </c>
      <c r="D211" s="73">
        <v>89</v>
      </c>
      <c r="E211" s="7"/>
      <c r="F211" s="28">
        <f t="shared" si="7"/>
        <v>0</v>
      </c>
      <c r="G211" s="21"/>
      <c r="H211" s="21"/>
    </row>
    <row r="212" spans="1:8" ht="18" x14ac:dyDescent="0.25">
      <c r="A212" s="70"/>
      <c r="B212" s="71" t="s">
        <v>108</v>
      </c>
      <c r="C212" s="131" t="s">
        <v>11</v>
      </c>
      <c r="D212" s="73">
        <v>120</v>
      </c>
      <c r="E212" s="7"/>
      <c r="F212" s="28">
        <f t="shared" si="7"/>
        <v>0</v>
      </c>
      <c r="G212" s="21"/>
      <c r="H212" s="21"/>
    </row>
    <row r="213" spans="1:8" ht="18" x14ac:dyDescent="0.25">
      <c r="A213" s="70"/>
      <c r="B213" s="71" t="s">
        <v>86</v>
      </c>
      <c r="C213" s="131" t="s">
        <v>1</v>
      </c>
      <c r="D213" s="73">
        <v>1199</v>
      </c>
      <c r="E213" s="7"/>
      <c r="F213" s="28">
        <f t="shared" si="7"/>
        <v>0</v>
      </c>
      <c r="G213" s="21"/>
      <c r="H213" s="21"/>
    </row>
    <row r="214" spans="1:8" ht="18" x14ac:dyDescent="0.25">
      <c r="A214" s="70"/>
      <c r="B214" s="71" t="s">
        <v>87</v>
      </c>
      <c r="C214" s="131" t="s">
        <v>1</v>
      </c>
      <c r="D214" s="73">
        <v>967</v>
      </c>
      <c r="E214" s="7"/>
      <c r="F214" s="28">
        <f t="shared" si="7"/>
        <v>0</v>
      </c>
      <c r="G214" s="21"/>
      <c r="H214" s="21"/>
    </row>
    <row r="215" spans="1:8" ht="18" x14ac:dyDescent="0.25">
      <c r="A215" s="70"/>
      <c r="B215" s="71" t="s">
        <v>88</v>
      </c>
      <c r="C215" s="131" t="s">
        <v>1</v>
      </c>
      <c r="D215" s="73">
        <v>967</v>
      </c>
      <c r="E215" s="7"/>
      <c r="F215" s="28">
        <f t="shared" si="7"/>
        <v>0</v>
      </c>
      <c r="G215" s="21"/>
      <c r="H215" s="21"/>
    </row>
    <row r="216" spans="1:8" ht="18" x14ac:dyDescent="0.25">
      <c r="A216" s="70"/>
      <c r="B216" s="132" t="s">
        <v>198</v>
      </c>
      <c r="C216" s="131" t="s">
        <v>1</v>
      </c>
      <c r="D216" s="73">
        <v>1083</v>
      </c>
      <c r="E216" s="7"/>
      <c r="F216" s="28">
        <f t="shared" si="7"/>
        <v>0</v>
      </c>
      <c r="G216" s="21"/>
      <c r="H216" s="21"/>
    </row>
    <row r="217" spans="1:8" ht="18" x14ac:dyDescent="0.25">
      <c r="A217" s="70"/>
      <c r="B217" s="71" t="s">
        <v>89</v>
      </c>
      <c r="C217" s="131" t="s">
        <v>1</v>
      </c>
      <c r="D217" s="73">
        <v>415.5</v>
      </c>
      <c r="E217" s="7"/>
      <c r="F217" s="28">
        <f t="shared" si="7"/>
        <v>0</v>
      </c>
      <c r="G217" s="21"/>
      <c r="H217" s="21"/>
    </row>
    <row r="218" spans="1:8" ht="18" x14ac:dyDescent="0.25">
      <c r="A218" s="70"/>
      <c r="B218" s="71" t="s">
        <v>90</v>
      </c>
      <c r="C218" s="131" t="s">
        <v>1</v>
      </c>
      <c r="D218" s="73">
        <v>889</v>
      </c>
      <c r="E218" s="7"/>
      <c r="F218" s="28">
        <f t="shared" si="7"/>
        <v>0</v>
      </c>
      <c r="G218" s="21"/>
      <c r="H218" s="21"/>
    </row>
    <row r="219" spans="1:8" ht="18" x14ac:dyDescent="0.25">
      <c r="A219" s="70"/>
      <c r="B219" s="71" t="s">
        <v>91</v>
      </c>
      <c r="C219" s="131" t="s">
        <v>1</v>
      </c>
      <c r="D219" s="73">
        <v>889</v>
      </c>
      <c r="E219" s="7"/>
      <c r="F219" s="28">
        <f t="shared" si="7"/>
        <v>0</v>
      </c>
      <c r="G219" s="21"/>
      <c r="H219" s="21"/>
    </row>
    <row r="220" spans="1:8" ht="18" x14ac:dyDescent="0.25">
      <c r="A220" s="70"/>
      <c r="B220" s="71" t="s">
        <v>92</v>
      </c>
      <c r="C220" s="131" t="s">
        <v>1</v>
      </c>
      <c r="D220" s="73">
        <v>889</v>
      </c>
      <c r="E220" s="7"/>
      <c r="F220" s="28">
        <f t="shared" si="7"/>
        <v>0</v>
      </c>
      <c r="G220" s="21"/>
      <c r="H220" s="21"/>
    </row>
    <row r="221" spans="1:8" ht="18" x14ac:dyDescent="0.25">
      <c r="A221" s="70"/>
      <c r="B221" s="71" t="s">
        <v>93</v>
      </c>
      <c r="C221" s="131" t="s">
        <v>1</v>
      </c>
      <c r="D221" s="73">
        <v>889</v>
      </c>
      <c r="E221" s="7"/>
      <c r="F221" s="28">
        <f t="shared" si="7"/>
        <v>0</v>
      </c>
      <c r="G221" s="21"/>
      <c r="H221" s="21"/>
    </row>
    <row r="222" spans="1:8" ht="18" x14ac:dyDescent="0.25">
      <c r="A222" s="70"/>
      <c r="B222" s="71" t="s">
        <v>109</v>
      </c>
      <c r="C222" s="131" t="s">
        <v>1</v>
      </c>
      <c r="D222" s="73">
        <v>1480</v>
      </c>
      <c r="E222" s="7"/>
      <c r="F222" s="28">
        <f t="shared" si="7"/>
        <v>0</v>
      </c>
      <c r="G222" s="21"/>
      <c r="H222" s="21"/>
    </row>
    <row r="223" spans="1:8" ht="18" x14ac:dyDescent="0.25">
      <c r="A223" s="70"/>
      <c r="B223" s="71" t="s">
        <v>110</v>
      </c>
      <c r="C223" s="131" t="s">
        <v>1</v>
      </c>
      <c r="D223" s="73">
        <v>1480</v>
      </c>
      <c r="E223" s="7"/>
      <c r="F223" s="28">
        <f t="shared" si="7"/>
        <v>0</v>
      </c>
      <c r="G223" s="21"/>
      <c r="H223" s="21"/>
    </row>
    <row r="224" spans="1:8" ht="18" x14ac:dyDescent="0.25">
      <c r="A224" s="70"/>
      <c r="B224" s="71" t="s">
        <v>111</v>
      </c>
      <c r="C224" s="131" t="s">
        <v>1</v>
      </c>
      <c r="D224" s="73">
        <v>2390</v>
      </c>
      <c r="E224" s="7"/>
      <c r="F224" s="28">
        <f t="shared" si="7"/>
        <v>0</v>
      </c>
      <c r="G224" s="21"/>
      <c r="H224" s="21"/>
    </row>
    <row r="225" spans="1:8" ht="18" x14ac:dyDescent="0.25">
      <c r="A225" s="70"/>
      <c r="B225" s="71" t="s">
        <v>209</v>
      </c>
      <c r="C225" s="131" t="s">
        <v>1</v>
      </c>
      <c r="D225" s="73">
        <v>1275</v>
      </c>
      <c r="E225" s="7"/>
      <c r="F225" s="28">
        <f t="shared" si="7"/>
        <v>0</v>
      </c>
      <c r="G225" s="21"/>
      <c r="H225" s="21"/>
    </row>
    <row r="226" spans="1:8" ht="18" x14ac:dyDescent="0.25">
      <c r="A226" s="70"/>
      <c r="B226" s="71" t="s">
        <v>199</v>
      </c>
      <c r="C226" s="131" t="s">
        <v>1</v>
      </c>
      <c r="D226" s="73">
        <v>3560</v>
      </c>
      <c r="E226" s="7"/>
      <c r="F226" s="28">
        <f t="shared" si="7"/>
        <v>0</v>
      </c>
      <c r="G226" s="21"/>
      <c r="H226" s="21"/>
    </row>
    <row r="227" spans="1:8" ht="18" x14ac:dyDescent="0.25">
      <c r="A227" s="70"/>
      <c r="B227" s="71" t="s">
        <v>210</v>
      </c>
      <c r="C227" s="131" t="s">
        <v>1</v>
      </c>
      <c r="D227" s="73">
        <v>2960</v>
      </c>
      <c r="E227" s="7"/>
      <c r="F227" s="28">
        <f t="shared" si="7"/>
        <v>0</v>
      </c>
      <c r="G227" s="21"/>
      <c r="H227" s="21"/>
    </row>
    <row r="228" spans="1:8" ht="18" x14ac:dyDescent="0.25">
      <c r="A228" s="70"/>
      <c r="B228" s="71" t="s">
        <v>115</v>
      </c>
      <c r="C228" s="131" t="s">
        <v>1</v>
      </c>
      <c r="D228" s="73">
        <v>541.5</v>
      </c>
      <c r="E228" s="7"/>
      <c r="F228" s="28">
        <f t="shared" si="7"/>
        <v>0</v>
      </c>
      <c r="G228" s="21"/>
      <c r="H228" s="21"/>
    </row>
    <row r="229" spans="1:8" ht="18" x14ac:dyDescent="0.25">
      <c r="A229" s="70"/>
      <c r="B229" s="71" t="s">
        <v>94</v>
      </c>
      <c r="C229" s="131" t="s">
        <v>1</v>
      </c>
      <c r="D229" s="73">
        <v>598</v>
      </c>
      <c r="E229" s="7"/>
      <c r="F229" s="28">
        <f t="shared" si="7"/>
        <v>0</v>
      </c>
      <c r="G229" s="21"/>
      <c r="H229" s="21"/>
    </row>
    <row r="230" spans="1:8" ht="18" x14ac:dyDescent="0.25">
      <c r="A230" s="70"/>
      <c r="B230" s="71" t="s">
        <v>95</v>
      </c>
      <c r="C230" s="131" t="s">
        <v>1</v>
      </c>
      <c r="D230" s="73">
        <v>712</v>
      </c>
      <c r="E230" s="7"/>
      <c r="F230" s="28">
        <f t="shared" si="7"/>
        <v>0</v>
      </c>
      <c r="G230" s="21"/>
      <c r="H230" s="21"/>
    </row>
    <row r="231" spans="1:8" ht="18.75" thickBot="1" x14ac:dyDescent="0.3">
      <c r="A231" s="77"/>
      <c r="B231" s="78" t="s">
        <v>96</v>
      </c>
      <c r="C231" s="133" t="s">
        <v>1</v>
      </c>
      <c r="D231" s="134">
        <v>889</v>
      </c>
      <c r="E231" s="9"/>
      <c r="F231" s="28">
        <f t="shared" si="7"/>
        <v>0</v>
      </c>
      <c r="G231" s="21"/>
      <c r="H231" s="21"/>
    </row>
    <row r="232" spans="1:8" ht="18.75" thickBot="1" x14ac:dyDescent="0.3">
      <c r="A232" s="29"/>
      <c r="B232" s="58"/>
      <c r="C232" s="58"/>
      <c r="D232" s="30"/>
      <c r="E232" s="36" t="s">
        <v>220</v>
      </c>
      <c r="F232" s="59">
        <f>SUM(F203:F231)</f>
        <v>0</v>
      </c>
      <c r="G232" s="21"/>
      <c r="H232" s="21"/>
    </row>
    <row r="233" spans="1:8" x14ac:dyDescent="0.2">
      <c r="B233" s="60"/>
    </row>
    <row r="234" spans="1:8" x14ac:dyDescent="0.2">
      <c r="B234" s="60"/>
    </row>
    <row r="235" spans="1:8" x14ac:dyDescent="0.2">
      <c r="B235" s="60"/>
    </row>
    <row r="236" spans="1:8" x14ac:dyDescent="0.2">
      <c r="B236" s="60"/>
    </row>
    <row r="237" spans="1:8" x14ac:dyDescent="0.2">
      <c r="B237" s="60"/>
    </row>
    <row r="238" spans="1:8" x14ac:dyDescent="0.2">
      <c r="B238" s="60"/>
    </row>
    <row r="239" spans="1:8" x14ac:dyDescent="0.2">
      <c r="B239" s="60"/>
    </row>
  </sheetData>
  <sheetProtection password="D881" sheet="1" objects="1" scenarios="1"/>
  <mergeCells count="5">
    <mergeCell ref="C5:H5"/>
    <mergeCell ref="B190:C190"/>
    <mergeCell ref="B140:C140"/>
    <mergeCell ref="B191:C191"/>
    <mergeCell ref="B193:D193"/>
  </mergeCells>
  <phoneticPr fontId="0" type="noConversion"/>
  <printOptions horizontalCentered="1"/>
  <pageMargins left="0.78" right="0.41" top="1.1399999999999999" bottom="0.37" header="0.39" footer="0.42"/>
  <pageSetup scale="55" fitToHeight="0" orientation="portrait" horizontalDpi="4294967293" verticalDpi="300" r:id="rId1"/>
  <headerFooter alignWithMargins="0">
    <oddHeader xml:space="preserve">&amp;L
&amp;C&amp;"Arial,Bold"&amp;20Placer County CDRA-ESD
Improvement Plan
Plan Check and Inspection Fee Spreadsheet
&amp;"Arial,Regular"&amp;18E&amp;16ffective November 1, 2010&amp;14
</oddHeader>
    <oddFooter>&amp;C&amp;12Page &amp;P of &amp;N</oddFooter>
  </headerFooter>
  <rowBreaks count="3" manualBreakCount="3">
    <brk id="70" max="7" man="1"/>
    <brk id="138" max="7" man="1"/>
    <brk id="198" max="7" man="1"/>
  </rowBreaks>
  <colBreaks count="1" manualBreakCount="1">
    <brk id="6" max="2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PC &amp; Insp. Spreadsheet</vt:lpstr>
      <vt:lpstr>'PC &amp; Insp. Spreadsheet'!Print_Area</vt:lpstr>
      <vt:lpstr>'PC &amp; Insp. Spreadsheet'!Print_Titles</vt:lpstr>
    </vt:vector>
  </TitlesOfParts>
  <Company>Placer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Klemetson</dc:creator>
  <cp:lastModifiedBy>Kitty Thompson</cp:lastModifiedBy>
  <cp:lastPrinted>2010-10-06T20:49:47Z</cp:lastPrinted>
  <dcterms:created xsi:type="dcterms:W3CDTF">2000-12-01T05:40:13Z</dcterms:created>
  <dcterms:modified xsi:type="dcterms:W3CDTF">2012-06-26T20:29:35Z</dcterms:modified>
</cp:coreProperties>
</file>