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530" yWindow="3030" windowWidth="15140" windowHeight="4220" activeTab="1"/>
  </bookViews>
  <sheets>
    <sheet name="upbound data" sheetId="1" r:id="rId1"/>
    <sheet name="Graph" sheetId="2" r:id="rId2"/>
    <sheet name="Sheet1" sheetId="3" r:id="rId3"/>
  </sheets>
  <definedNames>
    <definedName name="_xlnm.Print_Area" localSheetId="1">Graph!$A$1:$I$23</definedName>
  </definedNames>
  <calcPr calcId="145621"/>
</workbook>
</file>

<file path=xl/calcChain.xml><?xml version="1.0" encoding="utf-8"?>
<calcChain xmlns="http://schemas.openxmlformats.org/spreadsheetml/2006/main">
  <c r="O492" i="1" l="1"/>
  <c r="P492" i="1"/>
  <c r="U492" i="1" s="1"/>
  <c r="Q492" i="1"/>
  <c r="R492" i="1"/>
  <c r="S492" i="1"/>
  <c r="T492" i="1"/>
  <c r="V492" i="1"/>
  <c r="W492" i="1"/>
  <c r="X492" i="1"/>
  <c r="Y492" i="1"/>
  <c r="Z492" i="1" s="1"/>
  <c r="N492" i="1"/>
  <c r="A492" i="1" l="1"/>
  <c r="O491" i="1" l="1"/>
  <c r="P491" i="1"/>
  <c r="U491" i="1" s="1"/>
  <c r="Q491" i="1"/>
  <c r="R491" i="1"/>
  <c r="S491" i="1"/>
  <c r="T491" i="1"/>
  <c r="V491" i="1"/>
  <c r="W491" i="1"/>
  <c r="X491" i="1"/>
  <c r="Y491" i="1"/>
  <c r="Z491" i="1" s="1"/>
  <c r="N491" i="1"/>
  <c r="A491" i="1"/>
  <c r="O490" i="1" l="1"/>
  <c r="P490" i="1"/>
  <c r="Q490" i="1"/>
  <c r="V490" i="1"/>
  <c r="W490" i="1"/>
  <c r="X490" i="1"/>
  <c r="Y490" i="1"/>
  <c r="N490" i="1"/>
  <c r="R490" i="1" s="1"/>
  <c r="A490" i="1"/>
  <c r="Z490" i="1" l="1"/>
  <c r="U490" i="1"/>
  <c r="T490" i="1"/>
  <c r="S490" i="1"/>
  <c r="O489" i="1"/>
  <c r="P489" i="1"/>
  <c r="U489" i="1" s="1"/>
  <c r="Q489" i="1"/>
  <c r="R489" i="1"/>
  <c r="S489" i="1"/>
  <c r="T489" i="1"/>
  <c r="V489" i="1"/>
  <c r="W489" i="1"/>
  <c r="X489" i="1"/>
  <c r="Y489" i="1"/>
  <c r="Z489" i="1" s="1"/>
  <c r="N489" i="1"/>
  <c r="A489" i="1"/>
  <c r="O488" i="1" l="1"/>
  <c r="P488" i="1"/>
  <c r="U488" i="1" s="1"/>
  <c r="Q488" i="1"/>
  <c r="R488" i="1"/>
  <c r="S488" i="1"/>
  <c r="T488" i="1"/>
  <c r="V488" i="1"/>
  <c r="W488" i="1"/>
  <c r="X488" i="1"/>
  <c r="Y488" i="1"/>
  <c r="Z488" i="1" s="1"/>
  <c r="N488" i="1"/>
  <c r="A488" i="1"/>
  <c r="O487" i="1" l="1"/>
  <c r="P487" i="1"/>
  <c r="U487" i="1" s="1"/>
  <c r="Q487" i="1"/>
  <c r="R487" i="1"/>
  <c r="S487" i="1"/>
  <c r="T487" i="1"/>
  <c r="V487" i="1"/>
  <c r="W487" i="1"/>
  <c r="X487" i="1"/>
  <c r="Y487" i="1"/>
  <c r="Z487" i="1"/>
  <c r="N487" i="1"/>
  <c r="A487" i="1"/>
  <c r="O486" i="1" l="1"/>
  <c r="P486" i="1"/>
  <c r="U486" i="1" s="1"/>
  <c r="Q486" i="1"/>
  <c r="R486" i="1"/>
  <c r="S486" i="1"/>
  <c r="T486" i="1"/>
  <c r="V486" i="1"/>
  <c r="W486" i="1"/>
  <c r="X486" i="1"/>
  <c r="Y486" i="1"/>
  <c r="Z486" i="1"/>
  <c r="N486" i="1"/>
  <c r="A486" i="1"/>
  <c r="O485" i="1" l="1"/>
  <c r="P485" i="1"/>
  <c r="U485" i="1" s="1"/>
  <c r="Q485" i="1"/>
  <c r="R485" i="1"/>
  <c r="S485" i="1"/>
  <c r="T485" i="1"/>
  <c r="V485" i="1"/>
  <c r="W485" i="1"/>
  <c r="X485" i="1"/>
  <c r="Y485" i="1"/>
  <c r="Z485" i="1" s="1"/>
  <c r="N485" i="1"/>
  <c r="A485" i="1"/>
  <c r="O484" i="1" l="1"/>
  <c r="P484" i="1"/>
  <c r="U484" i="1" s="1"/>
  <c r="Q484" i="1"/>
  <c r="R484" i="1"/>
  <c r="S484" i="1"/>
  <c r="T484" i="1"/>
  <c r="V484" i="1"/>
  <c r="W484" i="1"/>
  <c r="X484" i="1"/>
  <c r="Y484" i="1"/>
  <c r="Z484" i="1" s="1"/>
  <c r="N484" i="1"/>
  <c r="A484" i="1"/>
  <c r="O483" i="1" l="1"/>
  <c r="P483" i="1"/>
  <c r="U483" i="1" s="1"/>
  <c r="Q483" i="1"/>
  <c r="R483" i="1"/>
  <c r="S483" i="1"/>
  <c r="T483" i="1"/>
  <c r="V483" i="1"/>
  <c r="W483" i="1"/>
  <c r="X483" i="1"/>
  <c r="Y483" i="1"/>
  <c r="Z483" i="1"/>
  <c r="N483" i="1"/>
  <c r="A483" i="1"/>
  <c r="Y482" i="1" l="1"/>
  <c r="X482" i="1"/>
  <c r="W482" i="1"/>
  <c r="V482" i="1"/>
  <c r="Q482" i="1"/>
  <c r="P482" i="1"/>
  <c r="O482" i="1"/>
  <c r="N482" i="1"/>
  <c r="T482" i="1" s="1"/>
  <c r="A482" i="1"/>
  <c r="U482" i="1" l="1"/>
  <c r="R482" i="1"/>
  <c r="Z482" i="1"/>
  <c r="S482" i="1"/>
  <c r="O481" i="1"/>
  <c r="P481" i="1"/>
  <c r="U481" i="1" s="1"/>
  <c r="Q481" i="1"/>
  <c r="R481" i="1"/>
  <c r="S481" i="1"/>
  <c r="T481" i="1"/>
  <c r="V481" i="1"/>
  <c r="W481" i="1"/>
  <c r="X481" i="1"/>
  <c r="Y481" i="1"/>
  <c r="Z481" i="1"/>
  <c r="N481" i="1"/>
  <c r="A481" i="1"/>
  <c r="O480" i="1" l="1"/>
  <c r="P480" i="1"/>
  <c r="U480" i="1" s="1"/>
  <c r="Q480" i="1"/>
  <c r="R480" i="1"/>
  <c r="S480" i="1"/>
  <c r="T480" i="1"/>
  <c r="V480" i="1"/>
  <c r="W480" i="1"/>
  <c r="X480" i="1"/>
  <c r="Y480" i="1"/>
  <c r="Z480" i="1"/>
  <c r="N480" i="1"/>
  <c r="A480" i="1"/>
  <c r="O479" i="1" l="1"/>
  <c r="P479" i="1"/>
  <c r="U479" i="1" s="1"/>
  <c r="Q479" i="1"/>
  <c r="R479" i="1"/>
  <c r="S479" i="1"/>
  <c r="T479" i="1"/>
  <c r="V479" i="1"/>
  <c r="W479" i="1"/>
  <c r="X479" i="1"/>
  <c r="Y479" i="1"/>
  <c r="Z479" i="1"/>
  <c r="N479" i="1"/>
  <c r="A479" i="1"/>
  <c r="O478" i="1" l="1"/>
  <c r="P478" i="1"/>
  <c r="U478" i="1" s="1"/>
  <c r="Q478" i="1"/>
  <c r="R478" i="1"/>
  <c r="S478" i="1"/>
  <c r="T478" i="1"/>
  <c r="V478" i="1"/>
  <c r="W478" i="1"/>
  <c r="X478" i="1"/>
  <c r="Y478" i="1"/>
  <c r="Z478" i="1" s="1"/>
  <c r="N478" i="1"/>
  <c r="A478" i="1"/>
  <c r="O477" i="1" l="1"/>
  <c r="P477" i="1"/>
  <c r="U477" i="1" s="1"/>
  <c r="Q477" i="1"/>
  <c r="R477" i="1"/>
  <c r="S477" i="1"/>
  <c r="T477" i="1"/>
  <c r="V477" i="1"/>
  <c r="W477" i="1"/>
  <c r="X477" i="1"/>
  <c r="Y477" i="1"/>
  <c r="Z477" i="1" s="1"/>
  <c r="N477" i="1"/>
  <c r="A477" i="1"/>
  <c r="O476" i="1" l="1"/>
  <c r="P476" i="1"/>
  <c r="U476" i="1" s="1"/>
  <c r="Q476" i="1"/>
  <c r="R476" i="1"/>
  <c r="S476" i="1"/>
  <c r="T476" i="1"/>
  <c r="V476" i="1"/>
  <c r="W476" i="1"/>
  <c r="X476" i="1"/>
  <c r="Y476" i="1"/>
  <c r="Z476" i="1"/>
  <c r="N476" i="1"/>
  <c r="A476" i="1"/>
  <c r="O475" i="1" l="1"/>
  <c r="P475" i="1"/>
  <c r="U475" i="1" s="1"/>
  <c r="Q475" i="1"/>
  <c r="R475" i="1"/>
  <c r="S475" i="1"/>
  <c r="T475" i="1"/>
  <c r="V475" i="1"/>
  <c r="W475" i="1"/>
  <c r="X475" i="1"/>
  <c r="Y475" i="1"/>
  <c r="Z475" i="1"/>
  <c r="N475" i="1"/>
  <c r="A475" i="1"/>
  <c r="O474" i="1" l="1"/>
  <c r="P474" i="1"/>
  <c r="U474" i="1" s="1"/>
  <c r="Q474" i="1"/>
  <c r="R474" i="1"/>
  <c r="S474" i="1"/>
  <c r="T474" i="1"/>
  <c r="V474" i="1"/>
  <c r="W474" i="1"/>
  <c r="X474" i="1"/>
  <c r="Y474" i="1"/>
  <c r="Z474" i="1" s="1"/>
  <c r="N474" i="1"/>
  <c r="A474" i="1"/>
  <c r="O473" i="1" l="1"/>
  <c r="P473" i="1"/>
  <c r="U473" i="1" s="1"/>
  <c r="Q473" i="1"/>
  <c r="R473" i="1"/>
  <c r="S473" i="1"/>
  <c r="T473" i="1"/>
  <c r="V473" i="1"/>
  <c r="W473" i="1"/>
  <c r="X473" i="1"/>
  <c r="Y473" i="1"/>
  <c r="Z473" i="1" s="1"/>
  <c r="N473" i="1"/>
  <c r="A473" i="1"/>
  <c r="O472" i="1" l="1"/>
  <c r="P472" i="1"/>
  <c r="U472" i="1" s="1"/>
  <c r="Q472" i="1"/>
  <c r="R472" i="1"/>
  <c r="S472" i="1"/>
  <c r="T472" i="1"/>
  <c r="V472" i="1"/>
  <c r="W472" i="1"/>
  <c r="X472" i="1"/>
  <c r="Y472" i="1"/>
  <c r="Z472" i="1"/>
  <c r="N472" i="1"/>
  <c r="A472" i="1"/>
  <c r="O471" i="1" l="1"/>
  <c r="P471" i="1"/>
  <c r="U471" i="1" s="1"/>
  <c r="Q471" i="1"/>
  <c r="R471" i="1"/>
  <c r="S471" i="1"/>
  <c r="T471" i="1"/>
  <c r="V471" i="1"/>
  <c r="W471" i="1"/>
  <c r="X471" i="1"/>
  <c r="Y471" i="1"/>
  <c r="Z471" i="1" s="1"/>
  <c r="N471" i="1"/>
  <c r="A471" i="1"/>
  <c r="O470" i="1" l="1"/>
  <c r="P470" i="1"/>
  <c r="U470" i="1" s="1"/>
  <c r="Q470" i="1"/>
  <c r="R470" i="1"/>
  <c r="S470" i="1"/>
  <c r="T470" i="1"/>
  <c r="V470" i="1"/>
  <c r="W470" i="1"/>
  <c r="X470" i="1"/>
  <c r="Y470" i="1"/>
  <c r="Z470" i="1"/>
  <c r="N470" i="1"/>
  <c r="A470" i="1"/>
  <c r="O469" i="1" l="1"/>
  <c r="P469" i="1"/>
  <c r="U469" i="1" s="1"/>
  <c r="Q469" i="1"/>
  <c r="R469" i="1"/>
  <c r="S469" i="1"/>
  <c r="T469" i="1"/>
  <c r="V469" i="1"/>
  <c r="W469" i="1"/>
  <c r="X469" i="1"/>
  <c r="Y469" i="1"/>
  <c r="Z469" i="1"/>
  <c r="N469" i="1"/>
  <c r="A469" i="1"/>
  <c r="O468" i="1" l="1"/>
  <c r="P468" i="1"/>
  <c r="U468" i="1" s="1"/>
  <c r="Q468" i="1"/>
  <c r="R468" i="1"/>
  <c r="S468" i="1"/>
  <c r="T468" i="1"/>
  <c r="V468" i="1"/>
  <c r="W468" i="1"/>
  <c r="X468" i="1"/>
  <c r="Y468" i="1"/>
  <c r="Z468" i="1"/>
  <c r="N468" i="1"/>
  <c r="A468" i="1"/>
  <c r="O467" i="1" l="1"/>
  <c r="P467" i="1"/>
  <c r="U467" i="1" s="1"/>
  <c r="Q467" i="1"/>
  <c r="R467" i="1"/>
  <c r="S467" i="1"/>
  <c r="T467" i="1"/>
  <c r="V467" i="1"/>
  <c r="W467" i="1"/>
  <c r="X467" i="1"/>
  <c r="Y467" i="1"/>
  <c r="Z467" i="1"/>
  <c r="N467" i="1"/>
  <c r="A467" i="1"/>
  <c r="O466" i="1" l="1"/>
  <c r="P466" i="1"/>
  <c r="U466" i="1" s="1"/>
  <c r="Q466" i="1"/>
  <c r="R466" i="1"/>
  <c r="S466" i="1"/>
  <c r="T466" i="1"/>
  <c r="V466" i="1"/>
  <c r="W466" i="1"/>
  <c r="X466" i="1"/>
  <c r="Y466" i="1"/>
  <c r="Z466" i="1"/>
  <c r="N466" i="1"/>
  <c r="A466" i="1"/>
  <c r="O465" i="1" l="1"/>
  <c r="P465" i="1"/>
  <c r="Q465" i="1"/>
  <c r="R465" i="1"/>
  <c r="S465" i="1"/>
  <c r="T465" i="1"/>
  <c r="U465" i="1"/>
  <c r="V465" i="1"/>
  <c r="W465" i="1"/>
  <c r="X465" i="1"/>
  <c r="Y465" i="1"/>
  <c r="Z465" i="1"/>
  <c r="N465" i="1"/>
  <c r="A465" i="1"/>
  <c r="O464" i="1" l="1"/>
  <c r="P464" i="1"/>
  <c r="U464" i="1" s="1"/>
  <c r="Q464" i="1"/>
  <c r="R464" i="1"/>
  <c r="S464" i="1"/>
  <c r="T464" i="1"/>
  <c r="V464" i="1"/>
  <c r="W464" i="1"/>
  <c r="X464" i="1"/>
  <c r="Y464" i="1"/>
  <c r="Z464" i="1" s="1"/>
  <c r="N464" i="1"/>
  <c r="A464" i="1"/>
  <c r="O463" i="1" l="1"/>
  <c r="P463" i="1"/>
  <c r="U463" i="1" s="1"/>
  <c r="Q463" i="1"/>
  <c r="R463" i="1"/>
  <c r="S463" i="1"/>
  <c r="T463" i="1"/>
  <c r="V463" i="1"/>
  <c r="W463" i="1"/>
  <c r="X463" i="1"/>
  <c r="Y463" i="1"/>
  <c r="Z463" i="1"/>
  <c r="N462" i="1"/>
  <c r="N463" i="1"/>
  <c r="A463" i="1"/>
  <c r="O462" i="1" l="1"/>
  <c r="P462" i="1"/>
  <c r="U462" i="1" s="1"/>
  <c r="Q462" i="1"/>
  <c r="R462" i="1"/>
  <c r="S462" i="1"/>
  <c r="T462" i="1"/>
  <c r="V462" i="1"/>
  <c r="W462" i="1"/>
  <c r="X462" i="1"/>
  <c r="Y462" i="1"/>
  <c r="Z462" i="1" s="1"/>
  <c r="A462" i="1"/>
  <c r="O461" i="1" l="1"/>
  <c r="P461" i="1"/>
  <c r="Q461" i="1"/>
  <c r="R461" i="1"/>
  <c r="S461" i="1"/>
  <c r="T461" i="1"/>
  <c r="U461" i="1"/>
  <c r="V461" i="1"/>
  <c r="W461" i="1"/>
  <c r="X461" i="1"/>
  <c r="Y461" i="1"/>
  <c r="Z461" i="1" s="1"/>
  <c r="N461" i="1"/>
  <c r="A461" i="1"/>
  <c r="O460" i="1" l="1"/>
  <c r="P460" i="1"/>
  <c r="U460" i="1" s="1"/>
  <c r="Q460" i="1"/>
  <c r="R460" i="1"/>
  <c r="S460" i="1"/>
  <c r="T460" i="1"/>
  <c r="V460" i="1"/>
  <c r="W460" i="1"/>
  <c r="X460" i="1"/>
  <c r="Y460" i="1"/>
  <c r="Z460" i="1" s="1"/>
  <c r="N460" i="1"/>
  <c r="A460" i="1"/>
  <c r="O459" i="1" l="1"/>
  <c r="P459" i="1"/>
  <c r="U459" i="1" s="1"/>
  <c r="Q459" i="1"/>
  <c r="R459" i="1"/>
  <c r="S459" i="1"/>
  <c r="T459" i="1"/>
  <c r="V459" i="1"/>
  <c r="W459" i="1"/>
  <c r="X459" i="1"/>
  <c r="Y459" i="1"/>
  <c r="Z459" i="1"/>
  <c r="N459" i="1"/>
  <c r="A459" i="1"/>
  <c r="O458" i="1" l="1"/>
  <c r="P458" i="1"/>
  <c r="Q458" i="1"/>
  <c r="V458" i="1"/>
  <c r="W458" i="1"/>
  <c r="X458" i="1"/>
  <c r="Y458" i="1"/>
  <c r="N458" i="1"/>
  <c r="R458" i="1" s="1"/>
  <c r="A458" i="1"/>
  <c r="Z458" i="1" l="1"/>
  <c r="U458" i="1"/>
  <c r="T458" i="1"/>
  <c r="S458" i="1"/>
  <c r="O457" i="1"/>
  <c r="P457" i="1"/>
  <c r="U457" i="1" s="1"/>
  <c r="Q457" i="1"/>
  <c r="R457" i="1"/>
  <c r="S457" i="1"/>
  <c r="T457" i="1"/>
  <c r="V457" i="1"/>
  <c r="W457" i="1"/>
  <c r="X457" i="1"/>
  <c r="Y457" i="1"/>
  <c r="Z457" i="1"/>
  <c r="N457" i="1"/>
  <c r="A457" i="1"/>
  <c r="O456" i="1" l="1"/>
  <c r="P456" i="1"/>
  <c r="Q456" i="1"/>
  <c r="R456" i="1"/>
  <c r="S456" i="1"/>
  <c r="T456" i="1"/>
  <c r="U456" i="1"/>
  <c r="V456" i="1"/>
  <c r="W456" i="1"/>
  <c r="X456" i="1"/>
  <c r="Y456" i="1"/>
  <c r="Z456" i="1"/>
  <c r="N456" i="1"/>
  <c r="A456" i="1"/>
  <c r="O455" i="1" l="1"/>
  <c r="P455" i="1"/>
  <c r="Q455" i="1"/>
  <c r="R455" i="1"/>
  <c r="S455" i="1"/>
  <c r="T455" i="1"/>
  <c r="U455" i="1"/>
  <c r="V455" i="1"/>
  <c r="W455" i="1"/>
  <c r="X455" i="1"/>
  <c r="Y455" i="1"/>
  <c r="Z455" i="1"/>
  <c r="N455" i="1"/>
  <c r="A455" i="1"/>
  <c r="O454" i="1" l="1"/>
  <c r="P454" i="1"/>
  <c r="Q454" i="1"/>
  <c r="R454" i="1"/>
  <c r="S454" i="1"/>
  <c r="T454" i="1"/>
  <c r="U454" i="1"/>
  <c r="V454" i="1"/>
  <c r="W454" i="1"/>
  <c r="X454" i="1"/>
  <c r="Y454" i="1"/>
  <c r="Z454" i="1"/>
  <c r="N454" i="1"/>
  <c r="A454" i="1"/>
  <c r="N453" i="1" l="1"/>
  <c r="O453" i="1"/>
  <c r="P453" i="1"/>
  <c r="Q453" i="1"/>
  <c r="S453" i="1"/>
  <c r="T453" i="1"/>
  <c r="V453" i="1"/>
  <c r="W453" i="1"/>
  <c r="X453" i="1"/>
  <c r="Y453" i="1"/>
  <c r="Z453" i="1"/>
  <c r="A453" i="1"/>
  <c r="R453" i="1" l="1"/>
  <c r="U453" i="1"/>
  <c r="N452" i="1"/>
  <c r="T452" i="1"/>
  <c r="O452" i="1"/>
  <c r="P452" i="1"/>
  <c r="Q452" i="1"/>
  <c r="V452" i="1"/>
  <c r="W452" i="1"/>
  <c r="X452" i="1"/>
  <c r="Y452" i="1"/>
  <c r="A452" i="1"/>
  <c r="U452" i="1" l="1"/>
  <c r="S452" i="1"/>
  <c r="R452" i="1"/>
  <c r="Z452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N451" i="1"/>
  <c r="A451" i="1"/>
  <c r="O450" i="1" l="1"/>
  <c r="P450" i="1"/>
  <c r="U450" i="1" s="1"/>
  <c r="Q450" i="1"/>
  <c r="R450" i="1"/>
  <c r="S450" i="1"/>
  <c r="T450" i="1"/>
  <c r="V450" i="1"/>
  <c r="W450" i="1"/>
  <c r="X450" i="1"/>
  <c r="Y450" i="1"/>
  <c r="Z450" i="1" s="1"/>
  <c r="N450" i="1"/>
  <c r="O449" i="1" l="1"/>
  <c r="P449" i="1"/>
  <c r="Q449" i="1"/>
  <c r="V449" i="1"/>
  <c r="W449" i="1"/>
  <c r="X449" i="1"/>
  <c r="N449" i="1"/>
  <c r="U449" i="1" l="1"/>
  <c r="O448" i="1"/>
  <c r="P448" i="1"/>
  <c r="Q448" i="1"/>
  <c r="U448" i="1"/>
  <c r="V448" i="1"/>
  <c r="W448" i="1"/>
  <c r="X448" i="1"/>
  <c r="N448" i="1"/>
  <c r="S449" i="1" s="1"/>
  <c r="S448" i="1" l="1"/>
  <c r="R449" i="1"/>
  <c r="R448" i="1"/>
  <c r="N447" i="1"/>
  <c r="O447" i="1" l="1"/>
  <c r="P447" i="1"/>
  <c r="Q447" i="1"/>
  <c r="V447" i="1"/>
  <c r="W447" i="1"/>
  <c r="X447" i="1"/>
  <c r="S447" i="1" l="1"/>
  <c r="R447" i="1"/>
  <c r="U447" i="1"/>
  <c r="O446" i="1"/>
  <c r="P446" i="1"/>
  <c r="Q446" i="1"/>
  <c r="V446" i="1"/>
  <c r="W446" i="1"/>
  <c r="X446" i="1"/>
  <c r="N446" i="1"/>
  <c r="U446" i="1" l="1"/>
  <c r="O445" i="1"/>
  <c r="P445" i="1"/>
  <c r="Q445" i="1"/>
  <c r="V445" i="1"/>
  <c r="W445" i="1"/>
  <c r="X445" i="1"/>
  <c r="N445" i="1"/>
  <c r="S446" i="1" s="1"/>
  <c r="U445" i="1" l="1"/>
  <c r="R445" i="1"/>
  <c r="R446" i="1"/>
  <c r="N444" i="1"/>
  <c r="O444" i="1"/>
  <c r="P444" i="1"/>
  <c r="U444" i="1" s="1"/>
  <c r="Q444" i="1"/>
  <c r="V444" i="1"/>
  <c r="W444" i="1"/>
  <c r="X444" i="1"/>
  <c r="S445" i="1" l="1"/>
  <c r="O443" i="1"/>
  <c r="P443" i="1"/>
  <c r="Q443" i="1"/>
  <c r="V443" i="1"/>
  <c r="W443" i="1"/>
  <c r="X443" i="1"/>
  <c r="N443" i="1"/>
  <c r="U443" i="1" l="1"/>
  <c r="R444" i="1"/>
  <c r="S444" i="1"/>
  <c r="O442" i="1"/>
  <c r="P442" i="1"/>
  <c r="U442" i="1" s="1"/>
  <c r="Q442" i="1"/>
  <c r="V442" i="1"/>
  <c r="W442" i="1"/>
  <c r="X442" i="1"/>
  <c r="N442" i="1"/>
  <c r="R443" i="1" s="1"/>
  <c r="S443" i="1" l="1"/>
  <c r="O441" i="1"/>
  <c r="P441" i="1"/>
  <c r="U441" i="1" s="1"/>
  <c r="Q441" i="1"/>
  <c r="V441" i="1"/>
  <c r="W441" i="1"/>
  <c r="X441" i="1"/>
  <c r="N441" i="1"/>
  <c r="S442" i="1" l="1"/>
  <c r="R442" i="1"/>
  <c r="X440" i="1"/>
  <c r="W440" i="1"/>
  <c r="V440" i="1"/>
  <c r="Q440" i="1"/>
  <c r="P440" i="1"/>
  <c r="O440" i="1"/>
  <c r="N440" i="1"/>
  <c r="S441" i="1" l="1"/>
  <c r="R441" i="1"/>
  <c r="U440" i="1"/>
  <c r="X439" i="1"/>
  <c r="W439" i="1"/>
  <c r="V439" i="1"/>
  <c r="Q439" i="1"/>
  <c r="P439" i="1"/>
  <c r="O439" i="1"/>
  <c r="N439" i="1"/>
  <c r="R440" i="1" s="1"/>
  <c r="S440" i="1" l="1"/>
  <c r="U439" i="1"/>
  <c r="S439" i="1"/>
  <c r="O438" i="1"/>
  <c r="P438" i="1"/>
  <c r="U438" i="1" s="1"/>
  <c r="Q438" i="1"/>
  <c r="V438" i="1"/>
  <c r="W438" i="1"/>
  <c r="X438" i="1"/>
  <c r="N438" i="1"/>
  <c r="R439" i="1" l="1"/>
  <c r="O437" i="1"/>
  <c r="P437" i="1"/>
  <c r="Q437" i="1"/>
  <c r="V437" i="1"/>
  <c r="W437" i="1"/>
  <c r="X437" i="1"/>
  <c r="N437" i="1"/>
  <c r="S438" i="1" s="1"/>
  <c r="U437" i="1" l="1"/>
  <c r="R438" i="1"/>
  <c r="O436" i="1" l="1"/>
  <c r="P436" i="1"/>
  <c r="Q436" i="1"/>
  <c r="V436" i="1"/>
  <c r="W436" i="1"/>
  <c r="X436" i="1"/>
  <c r="N436" i="1"/>
  <c r="U436" i="1" l="1"/>
  <c r="R437" i="1"/>
  <c r="S437" i="1"/>
  <c r="O435" i="1"/>
  <c r="P435" i="1"/>
  <c r="Q435" i="1"/>
  <c r="V435" i="1"/>
  <c r="W435" i="1"/>
  <c r="X435" i="1"/>
  <c r="N435" i="1"/>
  <c r="S436" i="1" s="1"/>
  <c r="U435" i="1" l="1"/>
  <c r="R436" i="1"/>
  <c r="R435" i="1"/>
  <c r="O434" i="1"/>
  <c r="P434" i="1"/>
  <c r="U434" i="1" s="1"/>
  <c r="Q434" i="1"/>
  <c r="V434" i="1"/>
  <c r="W434" i="1"/>
  <c r="X434" i="1"/>
  <c r="N434" i="1"/>
  <c r="S435" i="1" l="1"/>
  <c r="S434" i="1"/>
  <c r="O433" i="1"/>
  <c r="P433" i="1"/>
  <c r="U433" i="1" s="1"/>
  <c r="Q433" i="1"/>
  <c r="V433" i="1"/>
  <c r="W433" i="1"/>
  <c r="X433" i="1"/>
  <c r="N433" i="1"/>
  <c r="R434" i="1" s="1"/>
  <c r="O432" i="1" l="1"/>
  <c r="P432" i="1"/>
  <c r="Q432" i="1"/>
  <c r="U432" i="1"/>
  <c r="V432" i="1"/>
  <c r="W432" i="1"/>
  <c r="X432" i="1"/>
  <c r="N432" i="1"/>
  <c r="S433" i="1" s="1"/>
  <c r="O431" i="1"/>
  <c r="P431" i="1"/>
  <c r="U431" i="1" s="1"/>
  <c r="Q431" i="1"/>
  <c r="V431" i="1"/>
  <c r="W431" i="1"/>
  <c r="X431" i="1"/>
  <c r="N431" i="1"/>
  <c r="R431" i="1" s="1"/>
  <c r="O430" i="1"/>
  <c r="P430" i="1"/>
  <c r="Q430" i="1"/>
  <c r="V430" i="1"/>
  <c r="W430" i="1"/>
  <c r="X430" i="1"/>
  <c r="N430" i="1"/>
  <c r="S432" i="1" l="1"/>
  <c r="S431" i="1"/>
  <c r="R432" i="1"/>
  <c r="R433" i="1"/>
  <c r="U430" i="1"/>
  <c r="O429" i="1"/>
  <c r="P429" i="1"/>
  <c r="Q429" i="1"/>
  <c r="V429" i="1"/>
  <c r="W429" i="1"/>
  <c r="X429" i="1"/>
  <c r="N429" i="1"/>
  <c r="R430" i="1" l="1"/>
  <c r="S430" i="1"/>
  <c r="U429" i="1"/>
  <c r="O428" i="1"/>
  <c r="P428" i="1"/>
  <c r="Q428" i="1"/>
  <c r="V428" i="1"/>
  <c r="W428" i="1"/>
  <c r="X428" i="1"/>
  <c r="N428" i="1"/>
  <c r="R429" i="1" l="1"/>
  <c r="S429" i="1"/>
  <c r="U428" i="1"/>
  <c r="O427" i="1"/>
  <c r="P427" i="1"/>
  <c r="Q427" i="1"/>
  <c r="V427" i="1"/>
  <c r="W427" i="1"/>
  <c r="X427" i="1"/>
  <c r="N427" i="1"/>
  <c r="S428" i="1" l="1"/>
  <c r="R428" i="1"/>
  <c r="S427" i="1"/>
  <c r="U427" i="1"/>
  <c r="O426" i="1"/>
  <c r="P426" i="1"/>
  <c r="Q426" i="1"/>
  <c r="V426" i="1"/>
  <c r="W426" i="1"/>
  <c r="X426" i="1"/>
  <c r="N426" i="1"/>
  <c r="R427" i="1" l="1"/>
  <c r="U426" i="1"/>
  <c r="O425" i="1"/>
  <c r="P425" i="1"/>
  <c r="Q425" i="1"/>
  <c r="V425" i="1"/>
  <c r="W425" i="1"/>
  <c r="X425" i="1"/>
  <c r="N425" i="1"/>
  <c r="S426" i="1" s="1"/>
  <c r="R426" i="1" l="1"/>
  <c r="U425" i="1"/>
  <c r="S425" i="1"/>
  <c r="O424" i="1"/>
  <c r="P424" i="1"/>
  <c r="U424" i="1" s="1"/>
  <c r="Q424" i="1"/>
  <c r="V424" i="1"/>
  <c r="W424" i="1"/>
  <c r="X424" i="1"/>
  <c r="N424" i="1"/>
  <c r="R425" i="1" s="1"/>
  <c r="O423" i="1" l="1"/>
  <c r="P423" i="1"/>
  <c r="Q423" i="1"/>
  <c r="V423" i="1"/>
  <c r="W423" i="1"/>
  <c r="X423" i="1"/>
  <c r="N423" i="1"/>
  <c r="S424" i="1" s="1"/>
  <c r="R424" i="1" l="1"/>
  <c r="S423" i="1"/>
  <c r="U423" i="1"/>
  <c r="O422" i="1"/>
  <c r="P422" i="1"/>
  <c r="U422" i="1" s="1"/>
  <c r="Q422" i="1"/>
  <c r="V422" i="1"/>
  <c r="W422" i="1"/>
  <c r="X422" i="1"/>
  <c r="N422" i="1"/>
  <c r="R423" i="1" s="1"/>
  <c r="O421" i="1" l="1"/>
  <c r="P421" i="1"/>
  <c r="Q421" i="1"/>
  <c r="V421" i="1"/>
  <c r="W421" i="1"/>
  <c r="X421" i="1"/>
  <c r="N421" i="1"/>
  <c r="S422" i="1" s="1"/>
  <c r="U421" i="1" l="1"/>
  <c r="R422" i="1"/>
  <c r="O420" i="1"/>
  <c r="P420" i="1"/>
  <c r="Q420" i="1"/>
  <c r="V420" i="1"/>
  <c r="W420" i="1"/>
  <c r="X420" i="1"/>
  <c r="N420" i="1"/>
  <c r="U420" i="1" l="1"/>
  <c r="R421" i="1"/>
  <c r="S421" i="1"/>
  <c r="S420" i="1"/>
  <c r="O419" i="1"/>
  <c r="P419" i="1"/>
  <c r="U419" i="1" s="1"/>
  <c r="Q419" i="1"/>
  <c r="V419" i="1"/>
  <c r="W419" i="1"/>
  <c r="X419" i="1"/>
  <c r="N419" i="1"/>
  <c r="R420" i="1" s="1"/>
  <c r="O418" i="1" l="1"/>
  <c r="P418" i="1"/>
  <c r="Q418" i="1"/>
  <c r="U418" i="1"/>
  <c r="V418" i="1"/>
  <c r="W418" i="1"/>
  <c r="X418" i="1"/>
  <c r="N418" i="1"/>
  <c r="S419" i="1" s="1"/>
  <c r="R419" i="1" l="1"/>
  <c r="O417" i="1"/>
  <c r="P417" i="1"/>
  <c r="Q417" i="1"/>
  <c r="V417" i="1"/>
  <c r="W417" i="1"/>
  <c r="X417" i="1"/>
  <c r="N417" i="1"/>
  <c r="S418" i="1" s="1"/>
  <c r="R418" i="1" l="1"/>
  <c r="U417" i="1"/>
  <c r="O416" i="1"/>
  <c r="P416" i="1"/>
  <c r="U416" i="1" s="1"/>
  <c r="Q416" i="1"/>
  <c r="V416" i="1"/>
  <c r="W416" i="1"/>
  <c r="X416" i="1"/>
  <c r="O415" i="1"/>
  <c r="P415" i="1"/>
  <c r="Q415" i="1"/>
  <c r="V415" i="1"/>
  <c r="W415" i="1"/>
  <c r="X415" i="1"/>
  <c r="N416" i="1"/>
  <c r="S417" i="1" l="1"/>
  <c r="R417" i="1"/>
  <c r="N415" i="1"/>
  <c r="S416" i="1" s="1"/>
  <c r="U415" i="1" l="1"/>
  <c r="S415" i="1"/>
  <c r="R416" i="1"/>
  <c r="O414" i="1"/>
  <c r="P414" i="1"/>
  <c r="U414" i="1" s="1"/>
  <c r="Q414" i="1"/>
  <c r="V414" i="1"/>
  <c r="W414" i="1"/>
  <c r="X414" i="1"/>
  <c r="N414" i="1"/>
  <c r="R415" i="1" s="1"/>
  <c r="O413" i="1" l="1"/>
  <c r="P413" i="1"/>
  <c r="Q413" i="1"/>
  <c r="V413" i="1"/>
  <c r="W413" i="1"/>
  <c r="X413" i="1"/>
  <c r="N413" i="1"/>
  <c r="R414" i="1" s="1"/>
  <c r="S414" i="1" l="1"/>
  <c r="U413" i="1"/>
  <c r="O412" i="1"/>
  <c r="P412" i="1"/>
  <c r="U412" i="1" s="1"/>
  <c r="Q412" i="1"/>
  <c r="V412" i="1"/>
  <c r="W412" i="1"/>
  <c r="X412" i="1"/>
  <c r="N412" i="1"/>
  <c r="S413" i="1" s="1"/>
  <c r="R413" i="1" l="1"/>
  <c r="O411" i="1"/>
  <c r="P411" i="1"/>
  <c r="Q411" i="1"/>
  <c r="V411" i="1"/>
  <c r="W411" i="1"/>
  <c r="X411" i="1"/>
  <c r="N411" i="1"/>
  <c r="R412" i="1" s="1"/>
  <c r="U411" i="1" l="1"/>
  <c r="S412" i="1"/>
  <c r="O410" i="1"/>
  <c r="P410" i="1"/>
  <c r="Q410" i="1"/>
  <c r="V410" i="1"/>
  <c r="W410" i="1"/>
  <c r="X410" i="1"/>
  <c r="N410" i="1"/>
  <c r="R411" i="1" s="1"/>
  <c r="S411" i="1" l="1"/>
  <c r="U410" i="1"/>
  <c r="S410" i="1"/>
  <c r="R410" i="1"/>
  <c r="O409" i="1"/>
  <c r="P409" i="1"/>
  <c r="U409" i="1" s="1"/>
  <c r="Q409" i="1"/>
  <c r="V409" i="1"/>
  <c r="W409" i="1"/>
  <c r="X409" i="1"/>
  <c r="N409" i="1"/>
  <c r="O408" i="1" l="1"/>
  <c r="P408" i="1"/>
  <c r="Q408" i="1"/>
  <c r="V408" i="1"/>
  <c r="W408" i="1"/>
  <c r="X408" i="1"/>
  <c r="N408" i="1"/>
  <c r="R409" i="1" s="1"/>
  <c r="S409" i="1" l="1"/>
  <c r="U408" i="1"/>
  <c r="X407" i="1"/>
  <c r="W407" i="1"/>
  <c r="V407" i="1"/>
  <c r="Q407" i="1"/>
  <c r="P407" i="1"/>
  <c r="O407" i="1"/>
  <c r="N407" i="1"/>
  <c r="R408" i="1" l="1"/>
  <c r="S408" i="1"/>
  <c r="U407" i="1"/>
  <c r="S407" i="1"/>
  <c r="R407" i="1"/>
  <c r="O406" i="1"/>
  <c r="P406" i="1"/>
  <c r="Q406" i="1"/>
  <c r="V406" i="1"/>
  <c r="W406" i="1"/>
  <c r="X406" i="1"/>
  <c r="N406" i="1"/>
  <c r="U406" i="1" l="1"/>
  <c r="O405" i="1"/>
  <c r="P405" i="1"/>
  <c r="Q405" i="1"/>
  <c r="V405" i="1"/>
  <c r="W405" i="1"/>
  <c r="X405" i="1"/>
  <c r="N405" i="1"/>
  <c r="S406" i="1" s="1"/>
  <c r="U405" i="1" l="1"/>
  <c r="R406" i="1"/>
  <c r="O404" i="1"/>
  <c r="P404" i="1"/>
  <c r="Q404" i="1"/>
  <c r="V404" i="1"/>
  <c r="W404" i="1"/>
  <c r="X404" i="1"/>
  <c r="N404" i="1"/>
  <c r="S405" i="1" s="1"/>
  <c r="U404" i="1" l="1"/>
  <c r="R405" i="1"/>
  <c r="O403" i="1" l="1"/>
  <c r="P403" i="1"/>
  <c r="Q403" i="1"/>
  <c r="V403" i="1"/>
  <c r="W403" i="1"/>
  <c r="X403" i="1"/>
  <c r="N403" i="1"/>
  <c r="U403" i="1" l="1"/>
  <c r="S404" i="1"/>
  <c r="R404" i="1"/>
  <c r="R403" i="1"/>
  <c r="S403" i="1"/>
  <c r="O402" i="1"/>
  <c r="P402" i="1"/>
  <c r="Q402" i="1"/>
  <c r="V402" i="1"/>
  <c r="W402" i="1"/>
  <c r="X402" i="1"/>
  <c r="N402" i="1"/>
  <c r="S402" i="1" l="1"/>
  <c r="U402" i="1"/>
  <c r="O401" i="1"/>
  <c r="P401" i="1"/>
  <c r="U401" i="1" s="1"/>
  <c r="Q401" i="1"/>
  <c r="V401" i="1"/>
  <c r="W401" i="1"/>
  <c r="X401" i="1"/>
  <c r="N401" i="1"/>
  <c r="R402" i="1" l="1"/>
  <c r="O400" i="1"/>
  <c r="P400" i="1"/>
  <c r="Q400" i="1"/>
  <c r="V400" i="1"/>
  <c r="W400" i="1"/>
  <c r="X400" i="1"/>
  <c r="N400" i="1"/>
  <c r="R401" i="1" s="1"/>
  <c r="U400" i="1" l="1"/>
  <c r="S401" i="1"/>
  <c r="X399" i="1"/>
  <c r="W399" i="1"/>
  <c r="V399" i="1"/>
  <c r="O399" i="1"/>
  <c r="Q399" i="1"/>
  <c r="P399" i="1"/>
  <c r="U399" i="1" s="1"/>
  <c r="N399" i="1"/>
  <c r="R400" i="1" s="1"/>
  <c r="S400" i="1" l="1"/>
  <c r="O398" i="1" l="1"/>
  <c r="P398" i="1"/>
  <c r="Q398" i="1"/>
  <c r="V398" i="1"/>
  <c r="W398" i="1"/>
  <c r="X398" i="1"/>
  <c r="N398" i="1"/>
  <c r="U398" i="1" l="1"/>
  <c r="S399" i="1"/>
  <c r="R399" i="1"/>
  <c r="O397" i="1"/>
  <c r="P397" i="1"/>
  <c r="Q397" i="1"/>
  <c r="V397" i="1"/>
  <c r="W397" i="1"/>
  <c r="X397" i="1"/>
  <c r="N397" i="1"/>
  <c r="T449" i="1" l="1"/>
  <c r="S398" i="1"/>
  <c r="U397" i="1"/>
  <c r="S397" i="1"/>
  <c r="R398" i="1"/>
  <c r="O396" i="1"/>
  <c r="P396" i="1"/>
  <c r="Q396" i="1"/>
  <c r="V396" i="1"/>
  <c r="W396" i="1"/>
  <c r="X396" i="1"/>
  <c r="N396" i="1"/>
  <c r="T448" i="1" s="1"/>
  <c r="U396" i="1" l="1"/>
  <c r="R397" i="1"/>
  <c r="O395" i="1"/>
  <c r="P395" i="1"/>
  <c r="U395" i="1" s="1"/>
  <c r="Q395" i="1"/>
  <c r="V395" i="1"/>
  <c r="W395" i="1"/>
  <c r="X395" i="1"/>
  <c r="N395" i="1"/>
  <c r="T447" i="1" s="1"/>
  <c r="R396" i="1" l="1"/>
  <c r="S396" i="1"/>
  <c r="O394" i="1"/>
  <c r="P394" i="1"/>
  <c r="Q394" i="1"/>
  <c r="V394" i="1"/>
  <c r="W394" i="1"/>
  <c r="X394" i="1"/>
  <c r="N394" i="1"/>
  <c r="T446" i="1" s="1"/>
  <c r="R395" i="1" l="1"/>
  <c r="U394" i="1"/>
  <c r="S394" i="1"/>
  <c r="S395" i="1"/>
  <c r="O393" i="1"/>
  <c r="P393" i="1"/>
  <c r="Q393" i="1"/>
  <c r="V393" i="1"/>
  <c r="W393" i="1"/>
  <c r="X393" i="1"/>
  <c r="N393" i="1"/>
  <c r="T445" i="1" s="1"/>
  <c r="R394" i="1" l="1"/>
  <c r="U393" i="1"/>
  <c r="O392" i="1"/>
  <c r="P392" i="1"/>
  <c r="U392" i="1" s="1"/>
  <c r="Q392" i="1"/>
  <c r="V392" i="1"/>
  <c r="W392" i="1"/>
  <c r="X392" i="1"/>
  <c r="N392" i="1"/>
  <c r="T444" i="1" s="1"/>
  <c r="R393" i="1" l="1"/>
  <c r="R392" i="1"/>
  <c r="S393" i="1"/>
  <c r="O391" i="1"/>
  <c r="P391" i="1"/>
  <c r="U391" i="1" s="1"/>
  <c r="Q391" i="1"/>
  <c r="V391" i="1"/>
  <c r="W391" i="1"/>
  <c r="X391" i="1"/>
  <c r="N391" i="1"/>
  <c r="T443" i="1" s="1"/>
  <c r="S392" i="1" l="1"/>
  <c r="O390" i="1"/>
  <c r="P390" i="1"/>
  <c r="Q390" i="1"/>
  <c r="V390" i="1"/>
  <c r="W390" i="1"/>
  <c r="X390" i="1"/>
  <c r="N390" i="1"/>
  <c r="T442" i="1" s="1"/>
  <c r="S391" i="1" l="1"/>
  <c r="R391" i="1"/>
  <c r="U390" i="1"/>
  <c r="S390" i="1"/>
  <c r="O389" i="1"/>
  <c r="P389" i="1"/>
  <c r="Q389" i="1"/>
  <c r="U389" i="1"/>
  <c r="V389" i="1"/>
  <c r="W389" i="1"/>
  <c r="X389" i="1"/>
  <c r="N389" i="1"/>
  <c r="T441" i="1" s="1"/>
  <c r="R390" i="1" l="1"/>
  <c r="O388" i="1"/>
  <c r="P388" i="1"/>
  <c r="U388" i="1" s="1"/>
  <c r="Q388" i="1"/>
  <c r="V388" i="1"/>
  <c r="W388" i="1"/>
  <c r="X388" i="1"/>
  <c r="N388" i="1"/>
  <c r="T440" i="1" s="1"/>
  <c r="S389" i="1" l="1"/>
  <c r="R388" i="1"/>
  <c r="R389" i="1"/>
  <c r="O387" i="1"/>
  <c r="P387" i="1"/>
  <c r="U387" i="1" s="1"/>
  <c r="Q387" i="1"/>
  <c r="V387" i="1"/>
  <c r="W387" i="1"/>
  <c r="X387" i="1"/>
  <c r="N387" i="1"/>
  <c r="T439" i="1" s="1"/>
  <c r="S388" i="1" l="1"/>
  <c r="O386" i="1"/>
  <c r="P386" i="1"/>
  <c r="U386" i="1" s="1"/>
  <c r="Q386" i="1"/>
  <c r="V386" i="1"/>
  <c r="W386" i="1"/>
  <c r="X386" i="1"/>
  <c r="N386" i="1"/>
  <c r="T438" i="1" s="1"/>
  <c r="S387" i="1" l="1"/>
  <c r="R387" i="1"/>
  <c r="O385" i="1"/>
  <c r="P385" i="1"/>
  <c r="Q385" i="1"/>
  <c r="V385" i="1"/>
  <c r="W385" i="1"/>
  <c r="X385" i="1"/>
  <c r="N385" i="1"/>
  <c r="T437" i="1" l="1"/>
  <c r="R386" i="1"/>
  <c r="U385" i="1"/>
  <c r="S386" i="1"/>
  <c r="S385" i="1"/>
  <c r="O384" i="1"/>
  <c r="P384" i="1"/>
  <c r="Q384" i="1"/>
  <c r="V384" i="1"/>
  <c r="W384" i="1"/>
  <c r="X384" i="1"/>
  <c r="N384" i="1"/>
  <c r="T436" i="1" s="1"/>
  <c r="R385" i="1" l="1"/>
  <c r="U384" i="1"/>
  <c r="O383" i="1"/>
  <c r="P383" i="1"/>
  <c r="Q383" i="1"/>
  <c r="V383" i="1"/>
  <c r="W383" i="1"/>
  <c r="X383" i="1"/>
  <c r="N383" i="1"/>
  <c r="T435" i="1" s="1"/>
  <c r="U383" i="1" l="1"/>
  <c r="R384" i="1"/>
  <c r="S383" i="1"/>
  <c r="R383" i="1"/>
  <c r="S384" i="1"/>
  <c r="O382" i="1"/>
  <c r="P382" i="1"/>
  <c r="U382" i="1" s="1"/>
  <c r="Q382" i="1"/>
  <c r="V382" i="1"/>
  <c r="W382" i="1"/>
  <c r="X382" i="1"/>
  <c r="N382" i="1"/>
  <c r="T434" i="1" s="1"/>
  <c r="O381" i="1" l="1"/>
  <c r="P381" i="1"/>
  <c r="Q381" i="1"/>
  <c r="V381" i="1"/>
  <c r="W381" i="1"/>
  <c r="X381" i="1"/>
  <c r="N381" i="1"/>
  <c r="T433" i="1" s="1"/>
  <c r="R382" i="1" l="1"/>
  <c r="R381" i="1"/>
  <c r="U381" i="1"/>
  <c r="S382" i="1"/>
  <c r="O380" i="1"/>
  <c r="P380" i="1"/>
  <c r="Q380" i="1"/>
  <c r="V380" i="1"/>
  <c r="W380" i="1"/>
  <c r="X380" i="1"/>
  <c r="N380" i="1"/>
  <c r="T432" i="1" s="1"/>
  <c r="S381" i="1" l="1"/>
  <c r="U380" i="1"/>
  <c r="O379" i="1"/>
  <c r="P379" i="1"/>
  <c r="Q379" i="1"/>
  <c r="V379" i="1"/>
  <c r="W379" i="1"/>
  <c r="X379" i="1"/>
  <c r="N379" i="1"/>
  <c r="T431" i="1" l="1"/>
  <c r="S380" i="1"/>
  <c r="U379" i="1"/>
  <c r="R380" i="1"/>
  <c r="O378" i="1"/>
  <c r="P378" i="1"/>
  <c r="Q378" i="1"/>
  <c r="V378" i="1"/>
  <c r="W378" i="1"/>
  <c r="X378" i="1"/>
  <c r="N378" i="1"/>
  <c r="T430" i="1" s="1"/>
  <c r="R379" i="1" l="1"/>
  <c r="U378" i="1"/>
  <c r="S379" i="1"/>
  <c r="X377" i="1"/>
  <c r="W377" i="1"/>
  <c r="V377" i="1"/>
  <c r="Q377" i="1"/>
  <c r="P377" i="1"/>
  <c r="O377" i="1"/>
  <c r="N377" i="1"/>
  <c r="T429" i="1" s="1"/>
  <c r="R378" i="1" l="1"/>
  <c r="S378" i="1"/>
  <c r="U377" i="1"/>
  <c r="S377" i="1"/>
  <c r="R377" i="1"/>
  <c r="O376" i="1"/>
  <c r="P376" i="1"/>
  <c r="Q376" i="1"/>
  <c r="V376" i="1"/>
  <c r="W376" i="1"/>
  <c r="X376" i="1"/>
  <c r="N376" i="1"/>
  <c r="T428" i="1" s="1"/>
  <c r="U376" i="1" l="1"/>
  <c r="N375" i="1"/>
  <c r="O375" i="1"/>
  <c r="P375" i="1"/>
  <c r="Q375" i="1"/>
  <c r="V375" i="1"/>
  <c r="W375" i="1"/>
  <c r="X375" i="1"/>
  <c r="T427" i="1" l="1"/>
  <c r="S376" i="1"/>
  <c r="R376" i="1"/>
  <c r="U375" i="1"/>
  <c r="S375" i="1"/>
  <c r="O374" i="1"/>
  <c r="P374" i="1"/>
  <c r="Q374" i="1"/>
  <c r="U374" i="1"/>
  <c r="V374" i="1"/>
  <c r="W374" i="1"/>
  <c r="X374" i="1"/>
  <c r="N374" i="1"/>
  <c r="T426" i="1" s="1"/>
  <c r="R375" i="1" l="1"/>
  <c r="O373" i="1"/>
  <c r="P373" i="1"/>
  <c r="Q373" i="1"/>
  <c r="V373" i="1"/>
  <c r="W373" i="1"/>
  <c r="X373" i="1"/>
  <c r="N373" i="1"/>
  <c r="T425" i="1" l="1"/>
  <c r="S374" i="1"/>
  <c r="U373" i="1"/>
  <c r="R374" i="1"/>
  <c r="O372" i="1"/>
  <c r="P372" i="1"/>
  <c r="Q372" i="1"/>
  <c r="V372" i="1"/>
  <c r="W372" i="1"/>
  <c r="X372" i="1"/>
  <c r="N372" i="1"/>
  <c r="R373" i="1" s="1"/>
  <c r="T424" i="1" l="1"/>
  <c r="S373" i="1"/>
  <c r="S372" i="1"/>
  <c r="R372" i="1"/>
  <c r="U372" i="1"/>
  <c r="O371" i="1"/>
  <c r="P371" i="1"/>
  <c r="Q371" i="1"/>
  <c r="V371" i="1"/>
  <c r="W371" i="1"/>
  <c r="X371" i="1"/>
  <c r="N371" i="1"/>
  <c r="T423" i="1" s="1"/>
  <c r="U371" i="1" l="1"/>
  <c r="O370" i="1"/>
  <c r="P370" i="1"/>
  <c r="U370" i="1" s="1"/>
  <c r="Q370" i="1"/>
  <c r="V370" i="1"/>
  <c r="W370" i="1"/>
  <c r="X370" i="1"/>
  <c r="N370" i="1"/>
  <c r="T422" i="1" s="1"/>
  <c r="R371" i="1" l="1"/>
  <c r="S371" i="1"/>
  <c r="O369" i="1"/>
  <c r="P369" i="1"/>
  <c r="Q369" i="1"/>
  <c r="V369" i="1"/>
  <c r="W369" i="1"/>
  <c r="X369" i="1"/>
  <c r="N369" i="1"/>
  <c r="T421" i="1" l="1"/>
  <c r="R370" i="1"/>
  <c r="S370" i="1"/>
  <c r="S369" i="1"/>
  <c r="U369" i="1"/>
  <c r="O368" i="1"/>
  <c r="P368" i="1"/>
  <c r="Q368" i="1"/>
  <c r="V368" i="1"/>
  <c r="W368" i="1"/>
  <c r="X368" i="1"/>
  <c r="N368" i="1"/>
  <c r="T420" i="1" s="1"/>
  <c r="U368" i="1" l="1"/>
  <c r="R369" i="1"/>
  <c r="O367" i="1"/>
  <c r="P367" i="1"/>
  <c r="Q367" i="1"/>
  <c r="V367" i="1"/>
  <c r="W367" i="1"/>
  <c r="X367" i="1"/>
  <c r="N367" i="1" l="1"/>
  <c r="T419" i="1" l="1"/>
  <c r="S368" i="1"/>
  <c r="R368" i="1"/>
  <c r="U367" i="1"/>
  <c r="O366" i="1"/>
  <c r="P366" i="1"/>
  <c r="Q366" i="1"/>
  <c r="U366" i="1"/>
  <c r="V366" i="1"/>
  <c r="W366" i="1"/>
  <c r="X366" i="1"/>
  <c r="N366" i="1"/>
  <c r="T418" i="1" s="1"/>
  <c r="R367" i="1" l="1"/>
  <c r="S367" i="1"/>
  <c r="O365" i="1"/>
  <c r="P365" i="1"/>
  <c r="Q365" i="1"/>
  <c r="V365" i="1"/>
  <c r="W365" i="1"/>
  <c r="X365" i="1"/>
  <c r="N365" i="1"/>
  <c r="T417" i="1" s="1"/>
  <c r="R366" i="1" l="1"/>
  <c r="U365" i="1"/>
  <c r="S365" i="1"/>
  <c r="S366" i="1"/>
  <c r="O364" i="1"/>
  <c r="P364" i="1"/>
  <c r="U364" i="1" s="1"/>
  <c r="Q364" i="1"/>
  <c r="V364" i="1"/>
  <c r="W364" i="1"/>
  <c r="X364" i="1"/>
  <c r="N364" i="1"/>
  <c r="T416" i="1" s="1"/>
  <c r="R365" i="1" l="1"/>
  <c r="O363" i="1"/>
  <c r="P363" i="1"/>
  <c r="Q363" i="1"/>
  <c r="V363" i="1"/>
  <c r="W363" i="1"/>
  <c r="X363" i="1"/>
  <c r="N363" i="1"/>
  <c r="T415" i="1" l="1"/>
  <c r="S364" i="1"/>
  <c r="U363" i="1"/>
  <c r="R364" i="1"/>
  <c r="O357" i="1"/>
  <c r="P357" i="1"/>
  <c r="Q357" i="1"/>
  <c r="V357" i="1"/>
  <c r="W357" i="1"/>
  <c r="X357" i="1"/>
  <c r="O358" i="1"/>
  <c r="P358" i="1"/>
  <c r="Q358" i="1"/>
  <c r="V358" i="1"/>
  <c r="W358" i="1"/>
  <c r="X358" i="1"/>
  <c r="O359" i="1"/>
  <c r="P359" i="1"/>
  <c r="Q359" i="1"/>
  <c r="V359" i="1"/>
  <c r="W359" i="1"/>
  <c r="X359" i="1"/>
  <c r="O360" i="1"/>
  <c r="P360" i="1"/>
  <c r="Q360" i="1"/>
  <c r="V360" i="1"/>
  <c r="W360" i="1"/>
  <c r="X360" i="1"/>
  <c r="O361" i="1"/>
  <c r="P361" i="1"/>
  <c r="Q361" i="1"/>
  <c r="V361" i="1"/>
  <c r="W361" i="1"/>
  <c r="X361" i="1"/>
  <c r="O362" i="1"/>
  <c r="P362" i="1"/>
  <c r="Q362" i="1"/>
  <c r="V362" i="1"/>
  <c r="W362" i="1"/>
  <c r="X362" i="1"/>
  <c r="N362" i="1"/>
  <c r="R363" i="1" s="1"/>
  <c r="N358" i="1"/>
  <c r="T410" i="1" s="1"/>
  <c r="N359" i="1"/>
  <c r="T411" i="1" s="1"/>
  <c r="N360" i="1"/>
  <c r="N361" i="1"/>
  <c r="T413" i="1" s="1"/>
  <c r="R360" i="1" l="1"/>
  <c r="T412" i="1"/>
  <c r="R362" i="1"/>
  <c r="T414" i="1"/>
  <c r="S363" i="1"/>
  <c r="S361" i="1"/>
  <c r="S359" i="1"/>
  <c r="U362" i="1"/>
  <c r="R361" i="1"/>
  <c r="U360" i="1"/>
  <c r="S360" i="1"/>
  <c r="R359" i="1"/>
  <c r="U358" i="1"/>
  <c r="S362" i="1"/>
  <c r="U361" i="1"/>
  <c r="U359" i="1"/>
  <c r="N357" i="1"/>
  <c r="U357" i="1" l="1"/>
  <c r="T409" i="1"/>
  <c r="S358" i="1"/>
  <c r="R358" i="1"/>
  <c r="O356" i="1" l="1"/>
  <c r="P356" i="1"/>
  <c r="Q356" i="1"/>
  <c r="U356" i="1"/>
  <c r="V356" i="1"/>
  <c r="W356" i="1"/>
  <c r="X356" i="1"/>
  <c r="N356" i="1"/>
  <c r="T408" i="1" l="1"/>
  <c r="R357" i="1"/>
  <c r="S357" i="1"/>
  <c r="O355" i="1"/>
  <c r="P355" i="1"/>
  <c r="Q355" i="1"/>
  <c r="V355" i="1"/>
  <c r="W355" i="1"/>
  <c r="X355" i="1"/>
  <c r="N355" i="1"/>
  <c r="T407" i="1" s="1"/>
  <c r="S356" i="1" l="1"/>
  <c r="R356" i="1"/>
  <c r="R355" i="1"/>
  <c r="U355" i="1"/>
  <c r="O354" i="1"/>
  <c r="P354" i="1"/>
  <c r="Q354" i="1"/>
  <c r="U354" i="1"/>
  <c r="V354" i="1"/>
  <c r="W354" i="1"/>
  <c r="X354" i="1"/>
  <c r="N354" i="1"/>
  <c r="T406" i="1" s="1"/>
  <c r="S355" i="1" l="1"/>
  <c r="P353" i="1"/>
  <c r="Q353" i="1"/>
  <c r="V353" i="1"/>
  <c r="W353" i="1"/>
  <c r="X353" i="1"/>
  <c r="O353" i="1"/>
  <c r="N353" i="1"/>
  <c r="T405" i="1" l="1"/>
  <c r="S354" i="1"/>
  <c r="U353" i="1"/>
  <c r="R353" i="1"/>
  <c r="S353" i="1"/>
  <c r="R354" i="1"/>
  <c r="X352" i="1"/>
  <c r="W352" i="1"/>
  <c r="V352" i="1"/>
  <c r="Q352" i="1"/>
  <c r="O352" i="1"/>
  <c r="P352" i="1"/>
  <c r="N352" i="1"/>
  <c r="T404" i="1" l="1"/>
  <c r="U352" i="1"/>
  <c r="X351" i="1"/>
  <c r="W351" i="1"/>
  <c r="V351" i="1"/>
  <c r="Q351" i="1"/>
  <c r="O351" i="1"/>
  <c r="P351" i="1"/>
  <c r="N351" i="1"/>
  <c r="R352" i="1" s="1"/>
  <c r="U351" i="1" l="1"/>
  <c r="S352" i="1"/>
  <c r="T403" i="1"/>
  <c r="X350" i="1"/>
  <c r="W350" i="1"/>
  <c r="V350" i="1"/>
  <c r="Q350" i="1"/>
  <c r="P350" i="1"/>
  <c r="O350" i="1"/>
  <c r="N350" i="1"/>
  <c r="T402" i="1" s="1"/>
  <c r="R351" i="1" l="1"/>
  <c r="S351" i="1"/>
  <c r="S350" i="1"/>
  <c r="U350" i="1"/>
  <c r="O349" i="1"/>
  <c r="P349" i="1"/>
  <c r="Q349" i="1"/>
  <c r="U349" i="1"/>
  <c r="V349" i="1"/>
  <c r="W349" i="1"/>
  <c r="X349" i="1"/>
  <c r="N349" i="1"/>
  <c r="T401" i="1" s="1"/>
  <c r="R350" i="1" l="1"/>
  <c r="O348" i="1"/>
  <c r="P348" i="1"/>
  <c r="Q348" i="1"/>
  <c r="V348" i="1"/>
  <c r="W348" i="1"/>
  <c r="X348" i="1"/>
  <c r="N348" i="1"/>
  <c r="T400" i="1" s="1"/>
  <c r="R349" i="1" l="1"/>
  <c r="U348" i="1"/>
  <c r="S349" i="1"/>
  <c r="O347" i="1"/>
  <c r="P347" i="1"/>
  <c r="U347" i="1" s="1"/>
  <c r="Q347" i="1"/>
  <c r="V347" i="1"/>
  <c r="W347" i="1"/>
  <c r="X347" i="1"/>
  <c r="N347" i="1"/>
  <c r="T399" i="1" s="1"/>
  <c r="R348" i="1" l="1"/>
  <c r="S347" i="1"/>
  <c r="S348" i="1"/>
  <c r="O346" i="1"/>
  <c r="P346" i="1"/>
  <c r="U346" i="1" s="1"/>
  <c r="Q346" i="1"/>
  <c r="V346" i="1"/>
  <c r="W346" i="1"/>
  <c r="X346" i="1"/>
  <c r="N346" i="1"/>
  <c r="T398" i="1" s="1"/>
  <c r="R347" i="1" l="1"/>
  <c r="O345" i="1"/>
  <c r="P345" i="1"/>
  <c r="Q345" i="1"/>
  <c r="V345" i="1"/>
  <c r="W345" i="1"/>
  <c r="X345" i="1"/>
  <c r="N345" i="1"/>
  <c r="T397" i="1" s="1"/>
  <c r="S346" i="1" l="1"/>
  <c r="U345" i="1"/>
  <c r="R346" i="1"/>
  <c r="O344" i="1"/>
  <c r="P344" i="1"/>
  <c r="U344" i="1" s="1"/>
  <c r="Q344" i="1"/>
  <c r="V344" i="1"/>
  <c r="W344" i="1"/>
  <c r="X344" i="1"/>
  <c r="N344" i="1"/>
  <c r="T396" i="1" s="1"/>
  <c r="S345" i="1" l="1"/>
  <c r="R345" i="1"/>
  <c r="O343" i="1"/>
  <c r="P343" i="1"/>
  <c r="Q343" i="1"/>
  <c r="V343" i="1"/>
  <c r="W343" i="1"/>
  <c r="X343" i="1"/>
  <c r="N343" i="1"/>
  <c r="T395" i="1" s="1"/>
  <c r="U343" i="1" l="1"/>
  <c r="S344" i="1"/>
  <c r="S343" i="1"/>
  <c r="R344" i="1"/>
  <c r="O342" i="1"/>
  <c r="P342" i="1"/>
  <c r="U342" i="1" s="1"/>
  <c r="Q342" i="1"/>
  <c r="V342" i="1"/>
  <c r="W342" i="1"/>
  <c r="X342" i="1"/>
  <c r="N342" i="1"/>
  <c r="T394" i="1" s="1"/>
  <c r="R343" i="1" l="1"/>
  <c r="O341" i="1"/>
  <c r="P341" i="1"/>
  <c r="Q341" i="1"/>
  <c r="V341" i="1"/>
  <c r="W341" i="1"/>
  <c r="X341" i="1"/>
  <c r="N341" i="1"/>
  <c r="T393" i="1" s="1"/>
  <c r="R342" i="1" l="1"/>
  <c r="U341" i="1"/>
  <c r="S342" i="1"/>
  <c r="O340" i="1"/>
  <c r="P340" i="1"/>
  <c r="U340" i="1" s="1"/>
  <c r="Q340" i="1"/>
  <c r="V340" i="1"/>
  <c r="W340" i="1"/>
  <c r="X340" i="1"/>
  <c r="N340" i="1"/>
  <c r="T392" i="1" l="1"/>
  <c r="S341" i="1"/>
  <c r="R341" i="1"/>
  <c r="X339" i="1"/>
  <c r="W339" i="1"/>
  <c r="V339" i="1"/>
  <c r="Q339" i="1"/>
  <c r="P339" i="1"/>
  <c r="O339" i="1"/>
  <c r="N339" i="1"/>
  <c r="T391" i="1" l="1"/>
  <c r="S340" i="1"/>
  <c r="U339" i="1"/>
  <c r="R340" i="1"/>
  <c r="S339" i="1"/>
  <c r="R339" i="1"/>
  <c r="O338" i="1"/>
  <c r="P338" i="1"/>
  <c r="Q338" i="1"/>
  <c r="U338" i="1"/>
  <c r="V338" i="1"/>
  <c r="W338" i="1"/>
  <c r="X338" i="1"/>
  <c r="N338" i="1"/>
  <c r="T390" i="1" s="1"/>
  <c r="O337" i="1" l="1"/>
  <c r="P337" i="1"/>
  <c r="Q337" i="1"/>
  <c r="V337" i="1"/>
  <c r="W337" i="1"/>
  <c r="X337" i="1"/>
  <c r="N337" i="1"/>
  <c r="T389" i="1" s="1"/>
  <c r="R338" i="1" l="1"/>
  <c r="U337" i="1"/>
  <c r="S338" i="1"/>
  <c r="X336" i="1"/>
  <c r="W336" i="1"/>
  <c r="V336" i="1"/>
  <c r="Q336" i="1"/>
  <c r="P336" i="1"/>
  <c r="O336" i="1"/>
  <c r="N336" i="1"/>
  <c r="T388" i="1" l="1"/>
  <c r="R337" i="1"/>
  <c r="S337" i="1"/>
  <c r="U336" i="1"/>
  <c r="R336" i="1"/>
  <c r="O335" i="1"/>
  <c r="P335" i="1"/>
  <c r="Q335" i="1"/>
  <c r="U335" i="1"/>
  <c r="V335" i="1"/>
  <c r="W335" i="1"/>
  <c r="X335" i="1"/>
  <c r="N335" i="1"/>
  <c r="T387" i="1" s="1"/>
  <c r="S336" i="1" l="1"/>
  <c r="O334" i="1"/>
  <c r="P334" i="1"/>
  <c r="Q334" i="1"/>
  <c r="V334" i="1"/>
  <c r="W334" i="1"/>
  <c r="X334" i="1"/>
  <c r="N334" i="1"/>
  <c r="T386" i="1" s="1"/>
  <c r="R335" i="1" l="1"/>
  <c r="U334" i="1"/>
  <c r="S335" i="1"/>
  <c r="O333" i="1"/>
  <c r="P333" i="1"/>
  <c r="Q333" i="1"/>
  <c r="U333" i="1"/>
  <c r="V333" i="1"/>
  <c r="W333" i="1"/>
  <c r="X333" i="1"/>
  <c r="N333" i="1"/>
  <c r="T385" i="1" s="1"/>
  <c r="R333" i="1" l="1"/>
  <c r="R334" i="1"/>
  <c r="S334" i="1"/>
  <c r="O332" i="1"/>
  <c r="P332" i="1"/>
  <c r="U332" i="1" s="1"/>
  <c r="Q332" i="1"/>
  <c r="V332" i="1"/>
  <c r="W332" i="1"/>
  <c r="X332" i="1"/>
  <c r="N332" i="1"/>
  <c r="T384" i="1" s="1"/>
  <c r="S333" i="1" l="1"/>
  <c r="O331" i="1"/>
  <c r="P331" i="1"/>
  <c r="Q331" i="1"/>
  <c r="V331" i="1"/>
  <c r="W331" i="1"/>
  <c r="X331" i="1"/>
  <c r="N331" i="1"/>
  <c r="T383" i="1" s="1"/>
  <c r="R332" i="1" l="1"/>
  <c r="U331" i="1"/>
  <c r="S332" i="1"/>
  <c r="O330" i="1"/>
  <c r="P330" i="1"/>
  <c r="Q330" i="1"/>
  <c r="U330" i="1"/>
  <c r="V330" i="1"/>
  <c r="W330" i="1"/>
  <c r="X330" i="1"/>
  <c r="N330" i="1"/>
  <c r="T382" i="1" s="1"/>
  <c r="S331" i="1" l="1"/>
  <c r="R331" i="1"/>
  <c r="O329" i="1"/>
  <c r="P329" i="1"/>
  <c r="Q329" i="1"/>
  <c r="V329" i="1"/>
  <c r="W329" i="1"/>
  <c r="X329" i="1"/>
  <c r="N329" i="1"/>
  <c r="T381" i="1" s="1"/>
  <c r="S330" i="1" l="1"/>
  <c r="U329" i="1"/>
  <c r="S329" i="1"/>
  <c r="R330" i="1"/>
  <c r="O328" i="1"/>
  <c r="P328" i="1"/>
  <c r="U328" i="1" s="1"/>
  <c r="Q328" i="1"/>
  <c r="V328" i="1"/>
  <c r="W328" i="1"/>
  <c r="X328" i="1"/>
  <c r="N328" i="1"/>
  <c r="T380" i="1" s="1"/>
  <c r="R329" i="1" l="1"/>
  <c r="O327" i="1"/>
  <c r="P327" i="1"/>
  <c r="Q327" i="1"/>
  <c r="V327" i="1"/>
  <c r="W327" i="1"/>
  <c r="X327" i="1"/>
  <c r="N327" i="1"/>
  <c r="T379" i="1" s="1"/>
  <c r="S328" i="1" l="1"/>
  <c r="U327" i="1"/>
  <c r="R328" i="1"/>
  <c r="O326" i="1"/>
  <c r="P326" i="1"/>
  <c r="U326" i="1" s="1"/>
  <c r="Q326" i="1"/>
  <c r="V326" i="1"/>
  <c r="W326" i="1"/>
  <c r="X326" i="1"/>
  <c r="N326" i="1"/>
  <c r="T378" i="1" l="1"/>
  <c r="S327" i="1"/>
  <c r="R327" i="1"/>
  <c r="O325" i="1"/>
  <c r="P325" i="1"/>
  <c r="Q325" i="1"/>
  <c r="V325" i="1"/>
  <c r="W325" i="1"/>
  <c r="X325" i="1"/>
  <c r="N325" i="1"/>
  <c r="R326" i="1" s="1"/>
  <c r="T377" i="1" l="1"/>
  <c r="S326" i="1"/>
  <c r="U325" i="1"/>
  <c r="S325" i="1"/>
  <c r="O324" i="1"/>
  <c r="P324" i="1"/>
  <c r="U324" i="1" s="1"/>
  <c r="Q324" i="1"/>
  <c r="V324" i="1"/>
  <c r="W324" i="1"/>
  <c r="X324" i="1"/>
  <c r="N324" i="1"/>
  <c r="T376" i="1" s="1"/>
  <c r="R325" i="1" l="1"/>
  <c r="O323" i="1"/>
  <c r="P323" i="1"/>
  <c r="Q323" i="1"/>
  <c r="V323" i="1"/>
  <c r="W323" i="1"/>
  <c r="X323" i="1"/>
  <c r="N323" i="1"/>
  <c r="T375" i="1" s="1"/>
  <c r="R324" i="1" l="1"/>
  <c r="U323" i="1"/>
  <c r="S324" i="1"/>
  <c r="O322" i="1"/>
  <c r="P322" i="1"/>
  <c r="Q322" i="1"/>
  <c r="V322" i="1"/>
  <c r="W322" i="1"/>
  <c r="X322" i="1"/>
  <c r="N322" i="1"/>
  <c r="T374" i="1" s="1"/>
  <c r="R323" i="1" l="1"/>
  <c r="S323" i="1"/>
  <c r="U322" i="1"/>
  <c r="O321" i="1"/>
  <c r="P321" i="1"/>
  <c r="Q321" i="1"/>
  <c r="V321" i="1"/>
  <c r="W321" i="1"/>
  <c r="X321" i="1"/>
  <c r="N321" i="1"/>
  <c r="T373" i="1" s="1"/>
  <c r="R322" i="1" l="1"/>
  <c r="S322" i="1"/>
  <c r="U321" i="1"/>
  <c r="O320" i="1"/>
  <c r="P320" i="1"/>
  <c r="U320" i="1" s="1"/>
  <c r="Q320" i="1"/>
  <c r="V320" i="1"/>
  <c r="W320" i="1"/>
  <c r="X320" i="1"/>
  <c r="N320" i="1"/>
  <c r="S321" i="1" l="1"/>
  <c r="T372" i="1"/>
  <c r="R321" i="1"/>
  <c r="N319" i="1"/>
  <c r="S320" i="1" l="1"/>
  <c r="T371" i="1"/>
  <c r="R320" i="1"/>
  <c r="O319" i="1"/>
  <c r="P319" i="1"/>
  <c r="U319" i="1" s="1"/>
  <c r="Q319" i="1"/>
  <c r="V319" i="1"/>
  <c r="W319" i="1"/>
  <c r="X319" i="1"/>
  <c r="O318" i="1" l="1"/>
  <c r="P318" i="1"/>
  <c r="Q318" i="1"/>
  <c r="V318" i="1"/>
  <c r="W318" i="1"/>
  <c r="X318" i="1"/>
  <c r="N318" i="1"/>
  <c r="T370" i="1" s="1"/>
  <c r="S319" i="1" l="1"/>
  <c r="R319" i="1"/>
  <c r="U318" i="1"/>
  <c r="O317" i="1"/>
  <c r="P317" i="1"/>
  <c r="Q317" i="1"/>
  <c r="V317" i="1"/>
  <c r="W317" i="1"/>
  <c r="X317" i="1"/>
  <c r="N317" i="1"/>
  <c r="R318" i="1" s="1"/>
  <c r="S318" i="1" l="1"/>
  <c r="T369" i="1"/>
  <c r="U317" i="1"/>
  <c r="O316" i="1"/>
  <c r="P316" i="1"/>
  <c r="Q316" i="1"/>
  <c r="U316" i="1"/>
  <c r="V316" i="1"/>
  <c r="W316" i="1"/>
  <c r="X316" i="1"/>
  <c r="N316" i="1"/>
  <c r="S317" i="1" l="1"/>
  <c r="T368" i="1"/>
  <c r="R317" i="1"/>
  <c r="O315" i="1"/>
  <c r="P315" i="1"/>
  <c r="Q315" i="1"/>
  <c r="V315" i="1"/>
  <c r="W315" i="1"/>
  <c r="X315" i="1"/>
  <c r="N315" i="1"/>
  <c r="S316" i="1" l="1"/>
  <c r="T367" i="1"/>
  <c r="R316" i="1"/>
  <c r="U315" i="1"/>
  <c r="O314" i="1"/>
  <c r="P314" i="1"/>
  <c r="Q314" i="1"/>
  <c r="V314" i="1"/>
  <c r="W314" i="1"/>
  <c r="X314" i="1"/>
  <c r="N314" i="1"/>
  <c r="R315" i="1" s="1"/>
  <c r="S315" i="1" l="1"/>
  <c r="T366" i="1"/>
  <c r="U314" i="1"/>
  <c r="O313" i="1"/>
  <c r="P313" i="1"/>
  <c r="Q313" i="1"/>
  <c r="U313" i="1"/>
  <c r="V313" i="1"/>
  <c r="W313" i="1"/>
  <c r="X313" i="1"/>
  <c r="N313" i="1"/>
  <c r="S314" i="1" l="1"/>
  <c r="T365" i="1"/>
  <c r="R314" i="1"/>
  <c r="O312" i="1"/>
  <c r="P312" i="1"/>
  <c r="Q312" i="1"/>
  <c r="V312" i="1"/>
  <c r="W312" i="1"/>
  <c r="X312" i="1"/>
  <c r="N312" i="1"/>
  <c r="S313" i="1" l="1"/>
  <c r="T364" i="1"/>
  <c r="R313" i="1"/>
  <c r="U312" i="1"/>
  <c r="O311" i="1"/>
  <c r="P311" i="1"/>
  <c r="Q311" i="1"/>
  <c r="V311" i="1"/>
  <c r="W311" i="1"/>
  <c r="X311" i="1"/>
  <c r="N311" i="1"/>
  <c r="R312" i="1" s="1"/>
  <c r="S312" i="1" l="1"/>
  <c r="T363" i="1"/>
  <c r="U311" i="1"/>
  <c r="O310" i="1"/>
  <c r="P310" i="1"/>
  <c r="Q310" i="1"/>
  <c r="V310" i="1"/>
  <c r="W310" i="1"/>
  <c r="X310" i="1"/>
  <c r="N310" i="1"/>
  <c r="S311" i="1" l="1"/>
  <c r="T362" i="1"/>
  <c r="R311" i="1"/>
  <c r="U310" i="1"/>
  <c r="O309" i="1"/>
  <c r="P309" i="1"/>
  <c r="Q309" i="1"/>
  <c r="V309" i="1"/>
  <c r="W309" i="1"/>
  <c r="X309" i="1"/>
  <c r="N309" i="1"/>
  <c r="S310" i="1" l="1"/>
  <c r="T361" i="1"/>
  <c r="R310" i="1"/>
  <c r="U309" i="1"/>
  <c r="O308" i="1"/>
  <c r="P308" i="1"/>
  <c r="Q308" i="1"/>
  <c r="V308" i="1"/>
  <c r="W308" i="1"/>
  <c r="X308" i="1"/>
  <c r="N308" i="1"/>
  <c r="S309" i="1" l="1"/>
  <c r="T360" i="1"/>
  <c r="U308" i="1"/>
  <c r="R309" i="1"/>
  <c r="O307" i="1"/>
  <c r="P307" i="1"/>
  <c r="Q307" i="1"/>
  <c r="V307" i="1"/>
  <c r="W307" i="1"/>
  <c r="X307" i="1"/>
  <c r="N307" i="1"/>
  <c r="T359" i="1" s="1"/>
  <c r="S308" i="1" l="1"/>
  <c r="R308" i="1"/>
  <c r="U307" i="1"/>
  <c r="O306" i="1"/>
  <c r="P306" i="1"/>
  <c r="Q306" i="1"/>
  <c r="V306" i="1"/>
  <c r="W306" i="1"/>
  <c r="X306" i="1"/>
  <c r="N306" i="1"/>
  <c r="O305" i="1"/>
  <c r="P305" i="1"/>
  <c r="Q305" i="1"/>
  <c r="V305" i="1"/>
  <c r="W305" i="1"/>
  <c r="X305" i="1"/>
  <c r="N305" i="1"/>
  <c r="T357" i="1" s="1"/>
  <c r="O304" i="1"/>
  <c r="P304" i="1"/>
  <c r="Q304" i="1"/>
  <c r="V304" i="1"/>
  <c r="W304" i="1"/>
  <c r="X304" i="1"/>
  <c r="N304" i="1"/>
  <c r="T356" i="1" s="1"/>
  <c r="O303" i="1"/>
  <c r="P303" i="1"/>
  <c r="Q303" i="1"/>
  <c r="V303" i="1"/>
  <c r="W303" i="1"/>
  <c r="X303" i="1"/>
  <c r="N303" i="1"/>
  <c r="T355" i="1" s="1"/>
  <c r="O302" i="1"/>
  <c r="P302" i="1"/>
  <c r="Q302" i="1"/>
  <c r="V302" i="1"/>
  <c r="W302" i="1"/>
  <c r="X302" i="1"/>
  <c r="N302" i="1"/>
  <c r="T354" i="1" s="1"/>
  <c r="P301" i="1"/>
  <c r="Q301" i="1"/>
  <c r="V301" i="1"/>
  <c r="W301" i="1"/>
  <c r="X301" i="1"/>
  <c r="O301" i="1"/>
  <c r="N301" i="1"/>
  <c r="T353" i="1" s="1"/>
  <c r="V300" i="1"/>
  <c r="W300" i="1"/>
  <c r="X300" i="1"/>
  <c r="Q300" i="1"/>
  <c r="O300" i="1"/>
  <c r="P300" i="1"/>
  <c r="N300" i="1"/>
  <c r="V299" i="1"/>
  <c r="W299" i="1"/>
  <c r="X299" i="1"/>
  <c r="Q299" i="1"/>
  <c r="O299" i="1"/>
  <c r="P299" i="1"/>
  <c r="N299" i="1"/>
  <c r="T351" i="1" s="1"/>
  <c r="R298" i="1"/>
  <c r="V298" i="1"/>
  <c r="W298" i="1"/>
  <c r="X298" i="1"/>
  <c r="Q298" i="1"/>
  <c r="O298" i="1"/>
  <c r="P298" i="1"/>
  <c r="N298" i="1"/>
  <c r="T350" i="1" s="1"/>
  <c r="O297" i="1"/>
  <c r="P297" i="1"/>
  <c r="Q297" i="1"/>
  <c r="V297" i="1"/>
  <c r="W297" i="1"/>
  <c r="X297" i="1"/>
  <c r="N297" i="1"/>
  <c r="T349" i="1" s="1"/>
  <c r="R296" i="1"/>
  <c r="V296" i="1"/>
  <c r="W296" i="1"/>
  <c r="X296" i="1"/>
  <c r="Q296" i="1"/>
  <c r="O296" i="1"/>
  <c r="P296" i="1"/>
  <c r="N296" i="1"/>
  <c r="T348" i="1" s="1"/>
  <c r="R295" i="1"/>
  <c r="V295" i="1"/>
  <c r="W295" i="1"/>
  <c r="X295" i="1"/>
  <c r="Q295" i="1"/>
  <c r="O295" i="1"/>
  <c r="P295" i="1"/>
  <c r="N295" i="1"/>
  <c r="T347" i="1" s="1"/>
  <c r="V294" i="1"/>
  <c r="W294" i="1"/>
  <c r="X294" i="1"/>
  <c r="Q294" i="1"/>
  <c r="O294" i="1"/>
  <c r="P294" i="1"/>
  <c r="N294" i="1"/>
  <c r="T346" i="1" s="1"/>
  <c r="O293" i="1"/>
  <c r="P293" i="1"/>
  <c r="Q293" i="1"/>
  <c r="V293" i="1"/>
  <c r="W293" i="1"/>
  <c r="X293" i="1"/>
  <c r="N293" i="1"/>
  <c r="O292" i="1"/>
  <c r="P292" i="1"/>
  <c r="Q292" i="1"/>
  <c r="V292" i="1"/>
  <c r="W292" i="1"/>
  <c r="X292" i="1"/>
  <c r="N292" i="1"/>
  <c r="O291" i="1"/>
  <c r="P291" i="1"/>
  <c r="Q291" i="1"/>
  <c r="V291" i="1"/>
  <c r="W291" i="1"/>
  <c r="X291" i="1"/>
  <c r="N291" i="1"/>
  <c r="O290" i="1"/>
  <c r="P290" i="1"/>
  <c r="Q290" i="1"/>
  <c r="V290" i="1"/>
  <c r="W290" i="1"/>
  <c r="X290" i="1"/>
  <c r="N290" i="1"/>
  <c r="O289" i="1"/>
  <c r="P289" i="1"/>
  <c r="Q289" i="1"/>
  <c r="V289" i="1"/>
  <c r="W289" i="1"/>
  <c r="X289" i="1"/>
  <c r="N289" i="1"/>
  <c r="O288" i="1"/>
  <c r="P288" i="1"/>
  <c r="Q288" i="1"/>
  <c r="V288" i="1"/>
  <c r="W288" i="1"/>
  <c r="X288" i="1"/>
  <c r="R294" i="1" l="1"/>
  <c r="Y449" i="1"/>
  <c r="Z449" i="1" s="1"/>
  <c r="T345" i="1"/>
  <c r="S307" i="1"/>
  <c r="T358" i="1"/>
  <c r="U292" i="1"/>
  <c r="Y448" i="1"/>
  <c r="Z448" i="1" s="1"/>
  <c r="T344" i="1"/>
  <c r="Y447" i="1"/>
  <c r="Z447" i="1" s="1"/>
  <c r="T343" i="1"/>
  <c r="Y446" i="1"/>
  <c r="Z446" i="1" s="1"/>
  <c r="T342" i="1"/>
  <c r="Y445" i="1"/>
  <c r="Z445" i="1" s="1"/>
  <c r="T341" i="1"/>
  <c r="S300" i="1"/>
  <c r="T352" i="1"/>
  <c r="S301" i="1"/>
  <c r="R302" i="1"/>
  <c r="S302" i="1"/>
  <c r="R303" i="1"/>
  <c r="U303" i="1"/>
  <c r="S304" i="1"/>
  <c r="R306" i="1"/>
  <c r="U289" i="1"/>
  <c r="S290" i="1"/>
  <c r="R290" i="1"/>
  <c r="U290" i="1"/>
  <c r="S295" i="1"/>
  <c r="S296" i="1"/>
  <c r="R297" i="1"/>
  <c r="S297" i="1"/>
  <c r="R300" i="1"/>
  <c r="R301" i="1"/>
  <c r="S303" i="1"/>
  <c r="R304" i="1"/>
  <c r="U304" i="1"/>
  <c r="U306" i="1"/>
  <c r="S306" i="1"/>
  <c r="R307" i="1"/>
  <c r="R291" i="1"/>
  <c r="S291" i="1"/>
  <c r="R292" i="1"/>
  <c r="S292" i="1"/>
  <c r="U291" i="1"/>
  <c r="S293" i="1"/>
  <c r="R293" i="1"/>
  <c r="U293" i="1"/>
  <c r="S294" i="1"/>
  <c r="U294" i="1"/>
  <c r="S298" i="1"/>
  <c r="U298" i="1"/>
  <c r="R299" i="1"/>
  <c r="S299" i="1"/>
  <c r="S305" i="1"/>
  <c r="R305" i="1"/>
  <c r="U305" i="1"/>
  <c r="U295" i="1"/>
  <c r="U296" i="1"/>
  <c r="U297" i="1"/>
  <c r="U299" i="1"/>
  <c r="U300" i="1"/>
  <c r="U301" i="1"/>
  <c r="U302" i="1"/>
  <c r="N288" i="1"/>
  <c r="O287" i="1"/>
  <c r="P287" i="1"/>
  <c r="Q287" i="1"/>
  <c r="V287" i="1"/>
  <c r="W287" i="1"/>
  <c r="X287" i="1"/>
  <c r="N287" i="1"/>
  <c r="O286" i="1"/>
  <c r="P286" i="1"/>
  <c r="Q286" i="1"/>
  <c r="V286" i="1"/>
  <c r="W286" i="1"/>
  <c r="X286" i="1"/>
  <c r="N286" i="1"/>
  <c r="O285" i="1"/>
  <c r="P285" i="1"/>
  <c r="Q285" i="1"/>
  <c r="V285" i="1"/>
  <c r="W285" i="1"/>
  <c r="X285" i="1"/>
  <c r="N285" i="1"/>
  <c r="Y444" i="1" l="1"/>
  <c r="Z444" i="1" s="1"/>
  <c r="T340" i="1"/>
  <c r="Y441" i="1"/>
  <c r="Z441" i="1" s="1"/>
  <c r="T337" i="1"/>
  <c r="Y443" i="1"/>
  <c r="Z443" i="1" s="1"/>
  <c r="T339" i="1"/>
  <c r="Y442" i="1"/>
  <c r="Z442" i="1" s="1"/>
  <c r="T338" i="1"/>
  <c r="S287" i="1"/>
  <c r="R288" i="1"/>
  <c r="R289" i="1"/>
  <c r="S288" i="1"/>
  <c r="S289" i="1"/>
  <c r="S286" i="1"/>
  <c r="U288" i="1"/>
  <c r="U285" i="1"/>
  <c r="R286" i="1"/>
  <c r="U286" i="1"/>
  <c r="R287" i="1"/>
  <c r="U287" i="1"/>
  <c r="O284" i="1"/>
  <c r="P284" i="1"/>
  <c r="Q284" i="1"/>
  <c r="V284" i="1"/>
  <c r="W284" i="1"/>
  <c r="X284" i="1"/>
  <c r="N284" i="1"/>
  <c r="O283" i="1"/>
  <c r="P283" i="1"/>
  <c r="Q283" i="1"/>
  <c r="V283" i="1"/>
  <c r="W283" i="1"/>
  <c r="X283" i="1"/>
  <c r="N283" i="1"/>
  <c r="N282" i="1"/>
  <c r="O282" i="1"/>
  <c r="P282" i="1"/>
  <c r="Q282" i="1"/>
  <c r="V282" i="1"/>
  <c r="W282" i="1"/>
  <c r="X282" i="1"/>
  <c r="O281" i="1"/>
  <c r="P281" i="1"/>
  <c r="Q281" i="1"/>
  <c r="V281" i="1"/>
  <c r="W281" i="1"/>
  <c r="X281" i="1"/>
  <c r="N281" i="1"/>
  <c r="O280" i="1"/>
  <c r="P280" i="1"/>
  <c r="Q280" i="1"/>
  <c r="V280" i="1"/>
  <c r="W280" i="1"/>
  <c r="X280" i="1"/>
  <c r="N280" i="1"/>
  <c r="O279" i="1"/>
  <c r="P279" i="1"/>
  <c r="Q279" i="1"/>
  <c r="V279" i="1"/>
  <c r="W279" i="1"/>
  <c r="X279" i="1"/>
  <c r="N279" i="1"/>
  <c r="O278" i="1"/>
  <c r="P278" i="1"/>
  <c r="Q278" i="1"/>
  <c r="V278" i="1"/>
  <c r="W278" i="1"/>
  <c r="X278" i="1"/>
  <c r="N278" i="1"/>
  <c r="V277" i="1"/>
  <c r="W277" i="1"/>
  <c r="X277" i="1"/>
  <c r="Q277" i="1"/>
  <c r="O277" i="1"/>
  <c r="P277" i="1"/>
  <c r="N277" i="1"/>
  <c r="O276" i="1"/>
  <c r="V276" i="1"/>
  <c r="W276" i="1"/>
  <c r="X276" i="1"/>
  <c r="Q276" i="1"/>
  <c r="P276" i="1"/>
  <c r="V275" i="1"/>
  <c r="W275" i="1"/>
  <c r="X275" i="1"/>
  <c r="Q275" i="1"/>
  <c r="O275" i="1"/>
  <c r="P275" i="1"/>
  <c r="N275" i="1"/>
  <c r="V274" i="1"/>
  <c r="W274" i="1"/>
  <c r="X274" i="1"/>
  <c r="Q274" i="1"/>
  <c r="O274" i="1"/>
  <c r="P274" i="1"/>
  <c r="N274" i="1"/>
  <c r="V273" i="1"/>
  <c r="W273" i="1"/>
  <c r="X273" i="1"/>
  <c r="Q273" i="1"/>
  <c r="O273" i="1"/>
  <c r="P273" i="1"/>
  <c r="N273" i="1"/>
  <c r="V272" i="1"/>
  <c r="W272" i="1"/>
  <c r="X272" i="1"/>
  <c r="Q272" i="1"/>
  <c r="O272" i="1"/>
  <c r="P272" i="1"/>
  <c r="N272" i="1"/>
  <c r="V271" i="1"/>
  <c r="W271" i="1"/>
  <c r="X271" i="1"/>
  <c r="Q271" i="1"/>
  <c r="O271" i="1"/>
  <c r="P271" i="1"/>
  <c r="N271" i="1"/>
  <c r="V270" i="1"/>
  <c r="W270" i="1"/>
  <c r="X270" i="1"/>
  <c r="Q270" i="1"/>
  <c r="O270" i="1"/>
  <c r="P270" i="1"/>
  <c r="N270" i="1"/>
  <c r="O269" i="1"/>
  <c r="P269" i="1"/>
  <c r="Q269" i="1"/>
  <c r="V269" i="1"/>
  <c r="W269" i="1"/>
  <c r="X269" i="1"/>
  <c r="N269" i="1"/>
  <c r="V268" i="1"/>
  <c r="W268" i="1"/>
  <c r="X268" i="1"/>
  <c r="Q268" i="1"/>
  <c r="O268" i="1"/>
  <c r="P268" i="1"/>
  <c r="N268" i="1"/>
  <c r="V267" i="1"/>
  <c r="W267" i="1"/>
  <c r="X267" i="1"/>
  <c r="Q267" i="1"/>
  <c r="O267" i="1"/>
  <c r="P267" i="1"/>
  <c r="N267" i="1"/>
  <c r="V266" i="1"/>
  <c r="W266" i="1"/>
  <c r="X266" i="1"/>
  <c r="Q266" i="1"/>
  <c r="O266" i="1"/>
  <c r="P266" i="1"/>
  <c r="N266" i="1"/>
  <c r="Q265" i="1"/>
  <c r="V265" i="1"/>
  <c r="W265" i="1"/>
  <c r="X265" i="1"/>
  <c r="O265" i="1"/>
  <c r="P265" i="1"/>
  <c r="N265" i="1"/>
  <c r="X264" i="1"/>
  <c r="W264" i="1"/>
  <c r="V264" i="1"/>
  <c r="Q264" i="1"/>
  <c r="O264" i="1"/>
  <c r="P264" i="1"/>
  <c r="N264" i="1"/>
  <c r="Y429" i="1" l="1"/>
  <c r="Z429" i="1" s="1"/>
  <c r="T325" i="1"/>
  <c r="Y436" i="1"/>
  <c r="Z436" i="1" s="1"/>
  <c r="T332" i="1"/>
  <c r="Y428" i="1"/>
  <c r="Z428" i="1" s="1"/>
  <c r="T324" i="1"/>
  <c r="T321" i="1"/>
  <c r="Y425" i="1"/>
  <c r="Z425" i="1" s="1"/>
  <c r="Y438" i="1"/>
  <c r="Z438" i="1" s="1"/>
  <c r="T334" i="1"/>
  <c r="Y440" i="1"/>
  <c r="Z440" i="1" s="1"/>
  <c r="T336" i="1"/>
  <c r="Y435" i="1"/>
  <c r="Z435" i="1" s="1"/>
  <c r="T331" i="1"/>
  <c r="T322" i="1"/>
  <c r="Y426" i="1"/>
  <c r="Z426" i="1" s="1"/>
  <c r="Y433" i="1"/>
  <c r="Z433" i="1" s="1"/>
  <c r="T329" i="1"/>
  <c r="T320" i="1"/>
  <c r="Y424" i="1"/>
  <c r="Z424" i="1" s="1"/>
  <c r="Y439" i="1"/>
  <c r="Z439" i="1" s="1"/>
  <c r="T335" i="1"/>
  <c r="T318" i="1"/>
  <c r="Y422" i="1"/>
  <c r="Z422" i="1" s="1"/>
  <c r="Y430" i="1"/>
  <c r="Z430" i="1" s="1"/>
  <c r="T326" i="1"/>
  <c r="Y437" i="1"/>
  <c r="Z437" i="1" s="1"/>
  <c r="T333" i="1"/>
  <c r="T317" i="1"/>
  <c r="Y421" i="1"/>
  <c r="Z421" i="1" s="1"/>
  <c r="T316" i="1"/>
  <c r="Y420" i="1"/>
  <c r="Z420" i="1" s="1"/>
  <c r="Y427" i="1"/>
  <c r="Z427" i="1" s="1"/>
  <c r="T323" i="1"/>
  <c r="Y434" i="1"/>
  <c r="Z434" i="1" s="1"/>
  <c r="T330" i="1"/>
  <c r="T319" i="1"/>
  <c r="Y423" i="1"/>
  <c r="Z423" i="1" s="1"/>
  <c r="Y431" i="1"/>
  <c r="Z431" i="1" s="1"/>
  <c r="T327" i="1"/>
  <c r="R282" i="1"/>
  <c r="U269" i="1"/>
  <c r="R279" i="1"/>
  <c r="S281" i="1"/>
  <c r="R283" i="1"/>
  <c r="S284" i="1"/>
  <c r="S266" i="1"/>
  <c r="S269" i="1"/>
  <c r="S270" i="1"/>
  <c r="S274" i="1"/>
  <c r="R278" i="1"/>
  <c r="R280" i="1"/>
  <c r="S282" i="1"/>
  <c r="R271" i="1"/>
  <c r="R273" i="1"/>
  <c r="S278" i="1"/>
  <c r="U279" i="1"/>
  <c r="S280" i="1"/>
  <c r="U283" i="1"/>
  <c r="R284" i="1"/>
  <c r="U284" i="1"/>
  <c r="R285" i="1"/>
  <c r="S285" i="1"/>
  <c r="S272" i="1"/>
  <c r="U280" i="1"/>
  <c r="S279" i="1"/>
  <c r="S267" i="1"/>
  <c r="S268" i="1"/>
  <c r="R269" i="1"/>
  <c r="R270" i="1"/>
  <c r="R272" i="1"/>
  <c r="R274" i="1"/>
  <c r="U281" i="1"/>
  <c r="S271" i="1"/>
  <c r="S273" i="1"/>
  <c r="U278" i="1"/>
  <c r="U277" i="1"/>
  <c r="R281" i="1"/>
  <c r="S283" i="1"/>
  <c r="R267" i="1"/>
  <c r="R268" i="1"/>
  <c r="U282" i="1"/>
  <c r="R265" i="1"/>
  <c r="R266" i="1"/>
  <c r="U265" i="1"/>
  <c r="U266" i="1"/>
  <c r="U267" i="1"/>
  <c r="U268" i="1"/>
  <c r="U270" i="1"/>
  <c r="U271" i="1"/>
  <c r="U272" i="1"/>
  <c r="U273" i="1"/>
  <c r="U274" i="1"/>
  <c r="R275" i="1"/>
  <c r="U275" i="1"/>
  <c r="S275" i="1"/>
  <c r="N276" i="1"/>
  <c r="S265" i="1"/>
  <c r="U264" i="1"/>
  <c r="V263" i="1"/>
  <c r="W263" i="1"/>
  <c r="X263" i="1"/>
  <c r="Q263" i="1"/>
  <c r="O263" i="1"/>
  <c r="P263" i="1"/>
  <c r="N263" i="1"/>
  <c r="V262" i="1"/>
  <c r="W262" i="1"/>
  <c r="X262" i="1"/>
  <c r="Q262" i="1"/>
  <c r="O262" i="1"/>
  <c r="P262" i="1"/>
  <c r="N262" i="1"/>
  <c r="V261" i="1"/>
  <c r="W261" i="1"/>
  <c r="X261" i="1"/>
  <c r="Q261" i="1"/>
  <c r="O261" i="1"/>
  <c r="P261" i="1"/>
  <c r="N261" i="1"/>
  <c r="O260" i="1"/>
  <c r="P260" i="1"/>
  <c r="Q260" i="1"/>
  <c r="V260" i="1"/>
  <c r="W260" i="1"/>
  <c r="X260" i="1"/>
  <c r="N260" i="1"/>
  <c r="V259" i="1"/>
  <c r="W259" i="1"/>
  <c r="X259" i="1"/>
  <c r="Q259" i="1"/>
  <c r="O259" i="1"/>
  <c r="P259" i="1"/>
  <c r="N259" i="1"/>
  <c r="V258" i="1"/>
  <c r="W258" i="1"/>
  <c r="X258" i="1"/>
  <c r="Q258" i="1"/>
  <c r="O258" i="1"/>
  <c r="P258" i="1"/>
  <c r="N258" i="1"/>
  <c r="V257" i="1"/>
  <c r="W257" i="1"/>
  <c r="X257" i="1"/>
  <c r="Q257" i="1"/>
  <c r="O257" i="1"/>
  <c r="P257" i="1"/>
  <c r="N257" i="1"/>
  <c r="V256" i="1"/>
  <c r="W256" i="1"/>
  <c r="X256" i="1"/>
  <c r="Q256" i="1"/>
  <c r="O256" i="1"/>
  <c r="P256" i="1"/>
  <c r="N256" i="1"/>
  <c r="V255" i="1"/>
  <c r="W255" i="1"/>
  <c r="X255" i="1"/>
  <c r="Q255" i="1"/>
  <c r="O255" i="1"/>
  <c r="P255" i="1"/>
  <c r="N255" i="1"/>
  <c r="Q254" i="1"/>
  <c r="V254" i="1"/>
  <c r="W254" i="1"/>
  <c r="X254" i="1"/>
  <c r="O254" i="1"/>
  <c r="P254" i="1"/>
  <c r="N254" i="1"/>
  <c r="V253" i="1"/>
  <c r="W253" i="1"/>
  <c r="X253" i="1"/>
  <c r="Q253" i="1"/>
  <c r="O253" i="1"/>
  <c r="P253" i="1"/>
  <c r="N253" i="1"/>
  <c r="Y409" i="1" s="1"/>
  <c r="Z409" i="1" s="1"/>
  <c r="Q252" i="1"/>
  <c r="V252" i="1"/>
  <c r="W252" i="1"/>
  <c r="X252" i="1"/>
  <c r="O252" i="1"/>
  <c r="P252" i="1"/>
  <c r="N252" i="1"/>
  <c r="Y408" i="1" s="1"/>
  <c r="Z408" i="1" s="1"/>
  <c r="V251" i="1"/>
  <c r="W251" i="1"/>
  <c r="X251" i="1"/>
  <c r="Q251" i="1"/>
  <c r="O251" i="1"/>
  <c r="P251" i="1"/>
  <c r="N251" i="1"/>
  <c r="Y407" i="1" s="1"/>
  <c r="Z407" i="1" s="1"/>
  <c r="Q250" i="1"/>
  <c r="V250" i="1"/>
  <c r="W250" i="1"/>
  <c r="X250" i="1"/>
  <c r="O250" i="1"/>
  <c r="P250" i="1"/>
  <c r="N250" i="1"/>
  <c r="Y406" i="1" s="1"/>
  <c r="Z406" i="1" s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182" i="1"/>
  <c r="Q249" i="1"/>
  <c r="O249" i="1"/>
  <c r="P249" i="1"/>
  <c r="N249" i="1"/>
  <c r="Y405" i="1" s="1"/>
  <c r="Z405" i="1" s="1"/>
  <c r="Q248" i="1"/>
  <c r="O248" i="1"/>
  <c r="P248" i="1"/>
  <c r="N248" i="1"/>
  <c r="Y404" i="1" s="1"/>
  <c r="Z404" i="1" s="1"/>
  <c r="Q247" i="1"/>
  <c r="O247" i="1"/>
  <c r="P247" i="1"/>
  <c r="N247" i="1"/>
  <c r="Y403" i="1" s="1"/>
  <c r="Z403" i="1" s="1"/>
  <c r="Q246" i="1"/>
  <c r="O246" i="1"/>
  <c r="P246" i="1"/>
  <c r="N246" i="1"/>
  <c r="Y402" i="1" s="1"/>
  <c r="Z402" i="1" s="1"/>
  <c r="Q245" i="1"/>
  <c r="O245" i="1"/>
  <c r="P245" i="1"/>
  <c r="N245" i="1"/>
  <c r="Y401" i="1" s="1"/>
  <c r="Z401" i="1" s="1"/>
  <c r="Q244" i="1"/>
  <c r="O244" i="1"/>
  <c r="P244" i="1"/>
  <c r="N244" i="1"/>
  <c r="Y400" i="1" s="1"/>
  <c r="Z400" i="1" s="1"/>
  <c r="Q243" i="1"/>
  <c r="O243" i="1"/>
  <c r="P243" i="1"/>
  <c r="N243" i="1"/>
  <c r="Y399" i="1" s="1"/>
  <c r="Z399" i="1" s="1"/>
  <c r="Q242" i="1"/>
  <c r="O242" i="1"/>
  <c r="P242" i="1"/>
  <c r="N242" i="1"/>
  <c r="Y398" i="1" s="1"/>
  <c r="Z398" i="1" s="1"/>
  <c r="Q241" i="1"/>
  <c r="O241" i="1"/>
  <c r="P241" i="1"/>
  <c r="N241" i="1"/>
  <c r="Y397" i="1" s="1"/>
  <c r="Z397" i="1" s="1"/>
  <c r="Q240" i="1"/>
  <c r="O240" i="1"/>
  <c r="P240" i="1"/>
  <c r="N240" i="1"/>
  <c r="Y396" i="1" s="1"/>
  <c r="Z396" i="1" s="1"/>
  <c r="Q239" i="1"/>
  <c r="O239" i="1"/>
  <c r="P239" i="1"/>
  <c r="N239" i="1"/>
  <c r="Y395" i="1" s="1"/>
  <c r="Z395" i="1" s="1"/>
  <c r="Q238" i="1"/>
  <c r="O238" i="1"/>
  <c r="P238" i="1"/>
  <c r="N238" i="1"/>
  <c r="Y394" i="1" s="1"/>
  <c r="Z394" i="1" s="1"/>
  <c r="Q237" i="1"/>
  <c r="O237" i="1"/>
  <c r="P237" i="1"/>
  <c r="N237" i="1"/>
  <c r="Y393" i="1" s="1"/>
  <c r="Z393" i="1" s="1"/>
  <c r="Q236" i="1"/>
  <c r="O236" i="1"/>
  <c r="P236" i="1"/>
  <c r="N236" i="1"/>
  <c r="Y392" i="1" s="1"/>
  <c r="Z392" i="1" s="1"/>
  <c r="Q235" i="1"/>
  <c r="O235" i="1"/>
  <c r="P235" i="1"/>
  <c r="N235" i="1"/>
  <c r="Y391" i="1" s="1"/>
  <c r="Z391" i="1" s="1"/>
  <c r="Q234" i="1"/>
  <c r="O234" i="1"/>
  <c r="P234" i="1"/>
  <c r="N234" i="1"/>
  <c r="Y390" i="1" s="1"/>
  <c r="Z390" i="1" s="1"/>
  <c r="Q233" i="1"/>
  <c r="O233" i="1"/>
  <c r="P233" i="1"/>
  <c r="N233" i="1"/>
  <c r="Y389" i="1" s="1"/>
  <c r="Z389" i="1" s="1"/>
  <c r="Q232" i="1"/>
  <c r="O232" i="1"/>
  <c r="P232" i="1"/>
  <c r="N232" i="1"/>
  <c r="Y388" i="1" s="1"/>
  <c r="Z388" i="1" s="1"/>
  <c r="Q231" i="1"/>
  <c r="O231" i="1"/>
  <c r="P231" i="1"/>
  <c r="N231" i="1"/>
  <c r="Y387" i="1" s="1"/>
  <c r="Z387" i="1" s="1"/>
  <c r="Q230" i="1"/>
  <c r="O230" i="1"/>
  <c r="P230" i="1"/>
  <c r="N230" i="1"/>
  <c r="Y386" i="1" s="1"/>
  <c r="Z386" i="1" s="1"/>
  <c r="Q229" i="1"/>
  <c r="O229" i="1"/>
  <c r="P229" i="1"/>
  <c r="N229" i="1"/>
  <c r="Y385" i="1" s="1"/>
  <c r="Z385" i="1" s="1"/>
  <c r="Q228" i="1"/>
  <c r="O228" i="1"/>
  <c r="P228" i="1"/>
  <c r="N228" i="1"/>
  <c r="Y384" i="1" s="1"/>
  <c r="Z384" i="1" s="1"/>
  <c r="Q227" i="1"/>
  <c r="O227" i="1"/>
  <c r="P227" i="1"/>
  <c r="N227" i="1"/>
  <c r="Y383" i="1" s="1"/>
  <c r="Z383" i="1" s="1"/>
  <c r="Q226" i="1"/>
  <c r="O226" i="1"/>
  <c r="P226" i="1"/>
  <c r="N226" i="1"/>
  <c r="Y382" i="1" s="1"/>
  <c r="Z382" i="1" s="1"/>
  <c r="Q225" i="1"/>
  <c r="O225" i="1"/>
  <c r="P225" i="1"/>
  <c r="N225" i="1"/>
  <c r="Y381" i="1" s="1"/>
  <c r="Z381" i="1" s="1"/>
  <c r="Q224" i="1"/>
  <c r="O224" i="1"/>
  <c r="P224" i="1"/>
  <c r="N224" i="1"/>
  <c r="Y380" i="1" s="1"/>
  <c r="Z380" i="1" s="1"/>
  <c r="Q223" i="1"/>
  <c r="O223" i="1"/>
  <c r="P223" i="1"/>
  <c r="N223" i="1"/>
  <c r="Y379" i="1" s="1"/>
  <c r="Z379" i="1" s="1"/>
  <c r="Q222" i="1"/>
  <c r="O222" i="1"/>
  <c r="P222" i="1"/>
  <c r="N222" i="1"/>
  <c r="Y378" i="1" s="1"/>
  <c r="Z378" i="1" s="1"/>
  <c r="Q221" i="1"/>
  <c r="O221" i="1"/>
  <c r="P221" i="1"/>
  <c r="N221" i="1"/>
  <c r="Y377" i="1" s="1"/>
  <c r="Z377" i="1" s="1"/>
  <c r="Q220" i="1"/>
  <c r="O220" i="1"/>
  <c r="P220" i="1"/>
  <c r="N220" i="1"/>
  <c r="Y376" i="1" s="1"/>
  <c r="Z376" i="1" s="1"/>
  <c r="Q219" i="1"/>
  <c r="O219" i="1"/>
  <c r="P219" i="1"/>
  <c r="N219" i="1"/>
  <c r="Y375" i="1" s="1"/>
  <c r="Z375" i="1" s="1"/>
  <c r="Q218" i="1"/>
  <c r="O218" i="1"/>
  <c r="P218" i="1"/>
  <c r="N218" i="1"/>
  <c r="Y374" i="1" s="1"/>
  <c r="Z374" i="1" s="1"/>
  <c r="Q217" i="1"/>
  <c r="O217" i="1"/>
  <c r="P217" i="1"/>
  <c r="N217" i="1"/>
  <c r="Y373" i="1" s="1"/>
  <c r="Z373" i="1" s="1"/>
  <c r="Q216" i="1"/>
  <c r="O216" i="1"/>
  <c r="P216" i="1"/>
  <c r="N216" i="1"/>
  <c r="Y372" i="1" s="1"/>
  <c r="Z372" i="1" s="1"/>
  <c r="Q215" i="1"/>
  <c r="O215" i="1"/>
  <c r="P215" i="1"/>
  <c r="N215" i="1"/>
  <c r="Y371" i="1" s="1"/>
  <c r="Z371" i="1" s="1"/>
  <c r="Q214" i="1"/>
  <c r="O214" i="1"/>
  <c r="P214" i="1"/>
  <c r="N214" i="1"/>
  <c r="Y370" i="1" s="1"/>
  <c r="Z370" i="1" s="1"/>
  <c r="Q213" i="1"/>
  <c r="O213" i="1"/>
  <c r="P213" i="1"/>
  <c r="N213" i="1"/>
  <c r="Y369" i="1" s="1"/>
  <c r="Z369" i="1" s="1"/>
  <c r="Q212" i="1"/>
  <c r="O212" i="1"/>
  <c r="P212" i="1"/>
  <c r="N212" i="1"/>
  <c r="Y368" i="1" s="1"/>
  <c r="Z368" i="1" s="1"/>
  <c r="Q211" i="1"/>
  <c r="O211" i="1"/>
  <c r="P211" i="1"/>
  <c r="N211" i="1"/>
  <c r="Y367" i="1" s="1"/>
  <c r="Z367" i="1" s="1"/>
  <c r="Q210" i="1"/>
  <c r="O210" i="1"/>
  <c r="P210" i="1"/>
  <c r="N210" i="1"/>
  <c r="Y366" i="1" s="1"/>
  <c r="Z366" i="1" s="1"/>
  <c r="Q209" i="1"/>
  <c r="O209" i="1"/>
  <c r="P209" i="1"/>
  <c r="N209" i="1"/>
  <c r="Q208" i="1"/>
  <c r="O208" i="1"/>
  <c r="P208" i="1"/>
  <c r="N208" i="1"/>
  <c r="Q207" i="1"/>
  <c r="O207" i="1"/>
  <c r="P207" i="1"/>
  <c r="N207" i="1"/>
  <c r="Q206" i="1"/>
  <c r="O206" i="1"/>
  <c r="P206" i="1"/>
  <c r="N206" i="1"/>
  <c r="Q205" i="1"/>
  <c r="O205" i="1"/>
  <c r="P205" i="1"/>
  <c r="N205" i="1"/>
  <c r="Y361" i="1" s="1"/>
  <c r="Z361" i="1" s="1"/>
  <c r="Q204" i="1"/>
  <c r="O204" i="1"/>
  <c r="P204" i="1"/>
  <c r="N204" i="1"/>
  <c r="Y360" i="1" s="1"/>
  <c r="Z360" i="1" s="1"/>
  <c r="Q203" i="1"/>
  <c r="P203" i="1"/>
  <c r="O203" i="1"/>
  <c r="N203" i="1"/>
  <c r="Y359" i="1" s="1"/>
  <c r="Z359" i="1" s="1"/>
  <c r="Q202" i="1"/>
  <c r="O202" i="1"/>
  <c r="P202" i="1"/>
  <c r="N202" i="1"/>
  <c r="Y358" i="1" s="1"/>
  <c r="Z358" i="1" s="1"/>
  <c r="Q201" i="1"/>
  <c r="O201" i="1"/>
  <c r="P201" i="1"/>
  <c r="N201" i="1"/>
  <c r="Q200" i="1"/>
  <c r="O200" i="1"/>
  <c r="P200" i="1"/>
  <c r="N200" i="1"/>
  <c r="Q199" i="1"/>
  <c r="O199" i="1"/>
  <c r="P199" i="1"/>
  <c r="N199" i="1"/>
  <c r="Q198" i="1"/>
  <c r="O198" i="1"/>
  <c r="P198" i="1"/>
  <c r="N198" i="1"/>
  <c r="Q197" i="1"/>
  <c r="O197" i="1"/>
  <c r="P197" i="1"/>
  <c r="N197" i="1"/>
  <c r="Y353" i="1" s="1"/>
  <c r="Z353" i="1" s="1"/>
  <c r="Q196" i="1"/>
  <c r="O196" i="1"/>
  <c r="P196" i="1"/>
  <c r="N196" i="1"/>
  <c r="Y352" i="1" s="1"/>
  <c r="Z352" i="1" s="1"/>
  <c r="Q195" i="1"/>
  <c r="O195" i="1"/>
  <c r="P195" i="1"/>
  <c r="N195" i="1"/>
  <c r="Y351" i="1" s="1"/>
  <c r="Z351" i="1" s="1"/>
  <c r="Q194" i="1"/>
  <c r="O194" i="1"/>
  <c r="P194" i="1"/>
  <c r="N194" i="1"/>
  <c r="Y350" i="1" s="1"/>
  <c r="Z350" i="1" s="1"/>
  <c r="Q193" i="1"/>
  <c r="O193" i="1"/>
  <c r="P193" i="1"/>
  <c r="N193" i="1"/>
  <c r="Y349" i="1" s="1"/>
  <c r="Z349" i="1" s="1"/>
  <c r="Q192" i="1"/>
  <c r="O192" i="1"/>
  <c r="P192" i="1"/>
  <c r="N192" i="1"/>
  <c r="Y348" i="1" s="1"/>
  <c r="Z348" i="1" s="1"/>
  <c r="Q191" i="1"/>
  <c r="O191" i="1"/>
  <c r="P191" i="1"/>
  <c r="N191" i="1"/>
  <c r="Y347" i="1" s="1"/>
  <c r="Z347" i="1" s="1"/>
  <c r="Q190" i="1"/>
  <c r="O190" i="1"/>
  <c r="P190" i="1"/>
  <c r="N190" i="1"/>
  <c r="Y346" i="1" s="1"/>
  <c r="Z346" i="1" s="1"/>
  <c r="Q189" i="1"/>
  <c r="O189" i="1"/>
  <c r="P189" i="1"/>
  <c r="N189" i="1"/>
  <c r="Y345" i="1" s="1"/>
  <c r="Z345" i="1" s="1"/>
  <c r="Q188" i="1"/>
  <c r="O188" i="1"/>
  <c r="P188" i="1"/>
  <c r="N188" i="1"/>
  <c r="Y344" i="1" s="1"/>
  <c r="Z344" i="1" s="1"/>
  <c r="Q187" i="1"/>
  <c r="O187" i="1"/>
  <c r="P187" i="1"/>
  <c r="N187" i="1"/>
  <c r="Y343" i="1" s="1"/>
  <c r="Z343" i="1" s="1"/>
  <c r="Q186" i="1"/>
  <c r="O186" i="1"/>
  <c r="P186" i="1"/>
  <c r="N186" i="1"/>
  <c r="Y342" i="1" s="1"/>
  <c r="Z342" i="1" s="1"/>
  <c r="Q185" i="1"/>
  <c r="O185" i="1"/>
  <c r="P185" i="1"/>
  <c r="N185" i="1"/>
  <c r="Y341" i="1" s="1"/>
  <c r="Z341" i="1" s="1"/>
  <c r="Q184" i="1"/>
  <c r="O184" i="1"/>
  <c r="P184" i="1"/>
  <c r="N184" i="1"/>
  <c r="Y340" i="1" s="1"/>
  <c r="Z340" i="1" s="1"/>
  <c r="Q183" i="1"/>
  <c r="O183" i="1"/>
  <c r="P183" i="1"/>
  <c r="N183" i="1"/>
  <c r="Y339" i="1" s="1"/>
  <c r="Z339" i="1" s="1"/>
  <c r="Q182" i="1"/>
  <c r="O182" i="1"/>
  <c r="P182" i="1"/>
  <c r="N182" i="1"/>
  <c r="Y338" i="1" s="1"/>
  <c r="Z338" i="1" s="1"/>
  <c r="N181" i="1"/>
  <c r="P181" i="1"/>
  <c r="Q181" i="1"/>
  <c r="O181" i="1"/>
  <c r="N7" i="1"/>
  <c r="U7" i="1" s="1"/>
  <c r="O7" i="1"/>
  <c r="P7" i="1"/>
  <c r="Q7" i="1"/>
  <c r="N8" i="1"/>
  <c r="O8" i="1"/>
  <c r="P8" i="1"/>
  <c r="Q8" i="1"/>
  <c r="U8" i="1"/>
  <c r="N9" i="1"/>
  <c r="O9" i="1"/>
  <c r="P9" i="1"/>
  <c r="Q9" i="1"/>
  <c r="N10" i="1"/>
  <c r="O10" i="1"/>
  <c r="P10" i="1"/>
  <c r="Q10" i="1"/>
  <c r="U10" i="1"/>
  <c r="N11" i="1"/>
  <c r="O11" i="1"/>
  <c r="P11" i="1"/>
  <c r="Q11" i="1"/>
  <c r="N12" i="1"/>
  <c r="U12" i="1" s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R16" i="1" s="1"/>
  <c r="O16" i="1"/>
  <c r="P16" i="1"/>
  <c r="U16" i="1" s="1"/>
  <c r="Q16" i="1"/>
  <c r="N17" i="1"/>
  <c r="O17" i="1"/>
  <c r="P17" i="1"/>
  <c r="Q17" i="1"/>
  <c r="A18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N30" i="1"/>
  <c r="O30" i="1"/>
  <c r="P30" i="1"/>
  <c r="Q30" i="1"/>
  <c r="N31" i="1"/>
  <c r="O31" i="1"/>
  <c r="P31" i="1"/>
  <c r="Q31" i="1"/>
  <c r="U31" i="1"/>
  <c r="N32" i="1"/>
  <c r="O32" i="1"/>
  <c r="P32" i="1"/>
  <c r="Q32" i="1"/>
  <c r="N33" i="1"/>
  <c r="U33" i="1" s="1"/>
  <c r="O33" i="1"/>
  <c r="P33" i="1"/>
  <c r="Q33" i="1"/>
  <c r="N34" i="1"/>
  <c r="O34" i="1"/>
  <c r="P34" i="1"/>
  <c r="Q34" i="1"/>
  <c r="N35" i="1"/>
  <c r="U35" i="1" s="1"/>
  <c r="O35" i="1"/>
  <c r="P35" i="1"/>
  <c r="Q35" i="1"/>
  <c r="N36" i="1"/>
  <c r="O36" i="1"/>
  <c r="P36" i="1"/>
  <c r="Q36" i="1"/>
  <c r="N37" i="1"/>
  <c r="S38" i="1" s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U43" i="1" s="1"/>
  <c r="O43" i="1"/>
  <c r="P43" i="1"/>
  <c r="Q43" i="1"/>
  <c r="N44" i="1"/>
  <c r="O44" i="1"/>
  <c r="P44" i="1"/>
  <c r="Q44" i="1"/>
  <c r="N45" i="1"/>
  <c r="O45" i="1"/>
  <c r="P45" i="1"/>
  <c r="Q45" i="1"/>
  <c r="U45" i="1"/>
  <c r="N46" i="1"/>
  <c r="O46" i="1"/>
  <c r="P46" i="1"/>
  <c r="Q46" i="1"/>
  <c r="N47" i="1"/>
  <c r="O47" i="1"/>
  <c r="P47" i="1"/>
  <c r="Q47" i="1"/>
  <c r="U47" i="1"/>
  <c r="N48" i="1"/>
  <c r="O48" i="1"/>
  <c r="P48" i="1"/>
  <c r="Q48" i="1"/>
  <c r="N49" i="1"/>
  <c r="O49" i="1"/>
  <c r="P49" i="1"/>
  <c r="Q49" i="1"/>
  <c r="N50" i="1"/>
  <c r="S51" i="1" s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S55" i="1" s="1"/>
  <c r="O54" i="1"/>
  <c r="P54" i="1"/>
  <c r="Q54" i="1"/>
  <c r="N55" i="1"/>
  <c r="O55" i="1"/>
  <c r="P55" i="1"/>
  <c r="Q55" i="1"/>
  <c r="U55" i="1"/>
  <c r="N56" i="1"/>
  <c r="O56" i="1"/>
  <c r="P56" i="1"/>
  <c r="Q56" i="1"/>
  <c r="N57" i="1"/>
  <c r="U57" i="1" s="1"/>
  <c r="O57" i="1"/>
  <c r="P57" i="1"/>
  <c r="Q57" i="1"/>
  <c r="N58" i="1"/>
  <c r="O58" i="1"/>
  <c r="P58" i="1"/>
  <c r="Q58" i="1"/>
  <c r="N59" i="1"/>
  <c r="T111" i="1" s="1"/>
  <c r="O59" i="1"/>
  <c r="P59" i="1"/>
  <c r="Q59" i="1"/>
  <c r="N60" i="1"/>
  <c r="O60" i="1"/>
  <c r="P60" i="1"/>
  <c r="Q60" i="1"/>
  <c r="N61" i="1"/>
  <c r="R62" i="1" s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U66" i="1"/>
  <c r="N67" i="1"/>
  <c r="O67" i="1"/>
  <c r="P67" i="1"/>
  <c r="Q67" i="1"/>
  <c r="A68" i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N68" i="1"/>
  <c r="O68" i="1"/>
  <c r="P68" i="1"/>
  <c r="Q68" i="1"/>
  <c r="N69" i="1"/>
  <c r="O69" i="1"/>
  <c r="P69" i="1"/>
  <c r="Q69" i="1"/>
  <c r="N70" i="1"/>
  <c r="R70" i="1" s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R74" i="1" s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R78" i="1" s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R82" i="1" s="1"/>
  <c r="O82" i="1"/>
  <c r="P82" i="1"/>
  <c r="Q82" i="1"/>
  <c r="N83" i="1"/>
  <c r="T83" i="1" s="1"/>
  <c r="O83" i="1"/>
  <c r="P83" i="1"/>
  <c r="Q83" i="1"/>
  <c r="N84" i="1"/>
  <c r="O84" i="1"/>
  <c r="P84" i="1"/>
  <c r="Q84" i="1"/>
  <c r="N85" i="1"/>
  <c r="O85" i="1"/>
  <c r="P85" i="1"/>
  <c r="Q85" i="1"/>
  <c r="N86" i="1"/>
  <c r="R86" i="1" s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R94" i="1" s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R98" i="1" s="1"/>
  <c r="O98" i="1"/>
  <c r="P98" i="1"/>
  <c r="Q98" i="1"/>
  <c r="N99" i="1"/>
  <c r="O99" i="1"/>
  <c r="P99" i="1"/>
  <c r="Q99" i="1"/>
  <c r="N100" i="1"/>
  <c r="O100" i="1"/>
  <c r="P100" i="1"/>
  <c r="Q100" i="1"/>
  <c r="N101" i="1"/>
  <c r="T101" i="1" s="1"/>
  <c r="O101" i="1"/>
  <c r="P101" i="1"/>
  <c r="Q101" i="1"/>
  <c r="N102" i="1"/>
  <c r="R102" i="1" s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R106" i="1" s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126" i="1"/>
  <c r="O126" i="1"/>
  <c r="P126" i="1"/>
  <c r="Q126" i="1"/>
  <c r="N127" i="1"/>
  <c r="O127" i="1"/>
  <c r="P127" i="1"/>
  <c r="Q127" i="1"/>
  <c r="N128" i="1"/>
  <c r="O128" i="1"/>
  <c r="P128" i="1"/>
  <c r="Q128" i="1"/>
  <c r="N129" i="1"/>
  <c r="O129" i="1"/>
  <c r="P129" i="1"/>
  <c r="Q129" i="1"/>
  <c r="N130" i="1"/>
  <c r="O130" i="1"/>
  <c r="P130" i="1"/>
  <c r="Q130" i="1"/>
  <c r="N131" i="1"/>
  <c r="O131" i="1"/>
  <c r="P131" i="1"/>
  <c r="Q131" i="1"/>
  <c r="N132" i="1"/>
  <c r="Y288" i="1" s="1"/>
  <c r="Z288" i="1" s="1"/>
  <c r="O132" i="1"/>
  <c r="P132" i="1"/>
  <c r="Q132" i="1"/>
  <c r="N133" i="1"/>
  <c r="O133" i="1"/>
  <c r="P133" i="1"/>
  <c r="Q133" i="1"/>
  <c r="N134" i="1"/>
  <c r="O134" i="1"/>
  <c r="P134" i="1"/>
  <c r="Q134" i="1"/>
  <c r="N135" i="1"/>
  <c r="O135" i="1"/>
  <c r="P135" i="1"/>
  <c r="Q135" i="1"/>
  <c r="N136" i="1"/>
  <c r="Y292" i="1" s="1"/>
  <c r="Z292" i="1" s="1"/>
  <c r="O136" i="1"/>
  <c r="P136" i="1"/>
  <c r="Q136" i="1"/>
  <c r="N137" i="1"/>
  <c r="O137" i="1"/>
  <c r="P137" i="1"/>
  <c r="Q137" i="1"/>
  <c r="N138" i="1"/>
  <c r="O138" i="1"/>
  <c r="P138" i="1"/>
  <c r="Q138" i="1"/>
  <c r="N139" i="1"/>
  <c r="O139" i="1"/>
  <c r="P139" i="1"/>
  <c r="Q139" i="1"/>
  <c r="N140" i="1"/>
  <c r="Y296" i="1" s="1"/>
  <c r="Z296" i="1" s="1"/>
  <c r="O140" i="1"/>
  <c r="P140" i="1"/>
  <c r="Q140" i="1"/>
  <c r="N141" i="1"/>
  <c r="O141" i="1"/>
  <c r="P141" i="1"/>
  <c r="Q141" i="1"/>
  <c r="N142" i="1"/>
  <c r="O142" i="1"/>
  <c r="P142" i="1"/>
  <c r="Q142" i="1"/>
  <c r="N143" i="1"/>
  <c r="O143" i="1"/>
  <c r="P143" i="1"/>
  <c r="Q143" i="1"/>
  <c r="N144" i="1"/>
  <c r="Y300" i="1" s="1"/>
  <c r="Z300" i="1" s="1"/>
  <c r="O144" i="1"/>
  <c r="P144" i="1"/>
  <c r="Q144" i="1"/>
  <c r="N145" i="1"/>
  <c r="O145" i="1"/>
  <c r="P145" i="1"/>
  <c r="Q145" i="1"/>
  <c r="N146" i="1"/>
  <c r="O146" i="1"/>
  <c r="P146" i="1"/>
  <c r="Q146" i="1"/>
  <c r="N147" i="1"/>
  <c r="O147" i="1"/>
  <c r="P147" i="1"/>
  <c r="Q147" i="1"/>
  <c r="N148" i="1"/>
  <c r="O148" i="1"/>
  <c r="P148" i="1"/>
  <c r="Q148" i="1"/>
  <c r="N149" i="1"/>
  <c r="O149" i="1"/>
  <c r="P149" i="1"/>
  <c r="Q149" i="1"/>
  <c r="N150" i="1"/>
  <c r="Y306" i="1" s="1"/>
  <c r="Z306" i="1" s="1"/>
  <c r="O150" i="1"/>
  <c r="P150" i="1"/>
  <c r="Q150" i="1"/>
  <c r="N151" i="1"/>
  <c r="O151" i="1"/>
  <c r="P151" i="1"/>
  <c r="Q151" i="1"/>
  <c r="N152" i="1"/>
  <c r="O152" i="1"/>
  <c r="P152" i="1"/>
  <c r="Q152" i="1"/>
  <c r="N153" i="1"/>
  <c r="O153" i="1"/>
  <c r="P153" i="1"/>
  <c r="Q153" i="1"/>
  <c r="N154" i="1"/>
  <c r="Y310" i="1" s="1"/>
  <c r="Z310" i="1" s="1"/>
  <c r="O154" i="1"/>
  <c r="P154" i="1"/>
  <c r="Q154" i="1"/>
  <c r="N155" i="1"/>
  <c r="O155" i="1"/>
  <c r="P155" i="1"/>
  <c r="Q155" i="1"/>
  <c r="N156" i="1"/>
  <c r="U156" i="1" s="1"/>
  <c r="O156" i="1"/>
  <c r="P156" i="1"/>
  <c r="Q156" i="1"/>
  <c r="N157" i="1"/>
  <c r="O157" i="1"/>
  <c r="P157" i="1"/>
  <c r="Q157" i="1"/>
  <c r="N158" i="1"/>
  <c r="Y314" i="1" s="1"/>
  <c r="Z314" i="1" s="1"/>
  <c r="O158" i="1"/>
  <c r="P158" i="1"/>
  <c r="Q158" i="1"/>
  <c r="N159" i="1"/>
  <c r="O159" i="1"/>
  <c r="P159" i="1"/>
  <c r="Q159" i="1"/>
  <c r="N160" i="1"/>
  <c r="Y316" i="1" s="1"/>
  <c r="Z316" i="1" s="1"/>
  <c r="O160" i="1"/>
  <c r="P160" i="1"/>
  <c r="Q160" i="1"/>
  <c r="N161" i="1"/>
  <c r="O161" i="1"/>
  <c r="P161" i="1"/>
  <c r="Q161" i="1"/>
  <c r="N162" i="1"/>
  <c r="Y318" i="1" s="1"/>
  <c r="Z318" i="1" s="1"/>
  <c r="O162" i="1"/>
  <c r="P162" i="1"/>
  <c r="Q162" i="1"/>
  <c r="N163" i="1"/>
  <c r="O163" i="1"/>
  <c r="P163" i="1"/>
  <c r="Q163" i="1"/>
  <c r="N164" i="1"/>
  <c r="Y320" i="1" s="1"/>
  <c r="Z320" i="1" s="1"/>
  <c r="O164" i="1"/>
  <c r="P164" i="1"/>
  <c r="Q164" i="1"/>
  <c r="N165" i="1"/>
  <c r="O165" i="1"/>
  <c r="P165" i="1"/>
  <c r="Q165" i="1"/>
  <c r="N166" i="1"/>
  <c r="Y322" i="1" s="1"/>
  <c r="Z322" i="1" s="1"/>
  <c r="O166" i="1"/>
  <c r="P166" i="1"/>
  <c r="Q166" i="1"/>
  <c r="N167" i="1"/>
  <c r="O167" i="1"/>
  <c r="P167" i="1"/>
  <c r="Q167" i="1"/>
  <c r="N168" i="1"/>
  <c r="Y324" i="1" s="1"/>
  <c r="Z324" i="1" s="1"/>
  <c r="O168" i="1"/>
  <c r="P168" i="1"/>
  <c r="Q168" i="1"/>
  <c r="N169" i="1"/>
  <c r="O169" i="1"/>
  <c r="P169" i="1"/>
  <c r="U169" i="1" s="1"/>
  <c r="Q169" i="1"/>
  <c r="N170" i="1"/>
  <c r="Y326" i="1" s="1"/>
  <c r="Z326" i="1" s="1"/>
  <c r="O170" i="1"/>
  <c r="P170" i="1"/>
  <c r="Q170" i="1"/>
  <c r="N171" i="1"/>
  <c r="O171" i="1"/>
  <c r="P171" i="1"/>
  <c r="Q171" i="1"/>
  <c r="N172" i="1"/>
  <c r="O172" i="1"/>
  <c r="P172" i="1"/>
  <c r="Q172" i="1"/>
  <c r="N173" i="1"/>
  <c r="O173" i="1"/>
  <c r="P173" i="1"/>
  <c r="Q173" i="1"/>
  <c r="U173" i="1"/>
  <c r="N174" i="1"/>
  <c r="Y330" i="1" s="1"/>
  <c r="Z330" i="1" s="1"/>
  <c r="O174" i="1"/>
  <c r="P174" i="1"/>
  <c r="Q174" i="1"/>
  <c r="U174" i="1"/>
  <c r="N175" i="1"/>
  <c r="Y331" i="1" s="1"/>
  <c r="Z331" i="1" s="1"/>
  <c r="O175" i="1"/>
  <c r="P175" i="1"/>
  <c r="Q175" i="1"/>
  <c r="N176" i="1"/>
  <c r="Y332" i="1" s="1"/>
  <c r="Z332" i="1" s="1"/>
  <c r="O176" i="1"/>
  <c r="P176" i="1"/>
  <c r="Q176" i="1"/>
  <c r="N177" i="1"/>
  <c r="Y333" i="1" s="1"/>
  <c r="Z333" i="1" s="1"/>
  <c r="O177" i="1"/>
  <c r="P177" i="1"/>
  <c r="Q177" i="1"/>
  <c r="N178" i="1"/>
  <c r="Y334" i="1" s="1"/>
  <c r="Z334" i="1" s="1"/>
  <c r="O178" i="1"/>
  <c r="P178" i="1"/>
  <c r="Q178" i="1"/>
  <c r="U178" i="1"/>
  <c r="N179" i="1"/>
  <c r="Y335" i="1" s="1"/>
  <c r="Z335" i="1" s="1"/>
  <c r="O179" i="1"/>
  <c r="P179" i="1"/>
  <c r="Q179" i="1"/>
  <c r="N180" i="1"/>
  <c r="Y336" i="1" s="1"/>
  <c r="Z336" i="1" s="1"/>
  <c r="O180" i="1"/>
  <c r="P180" i="1"/>
  <c r="Q180" i="1"/>
  <c r="T135" i="1"/>
  <c r="T122" i="1"/>
  <c r="T107" i="1"/>
  <c r="T99" i="1"/>
  <c r="T75" i="1"/>
  <c r="U48" i="1"/>
  <c r="T312" i="1" l="1"/>
  <c r="Y416" i="1"/>
  <c r="Z416" i="1" s="1"/>
  <c r="Y304" i="1"/>
  <c r="Z304" i="1" s="1"/>
  <c r="T311" i="1"/>
  <c r="Y415" i="1"/>
  <c r="Z415" i="1" s="1"/>
  <c r="Y357" i="1"/>
  <c r="Z357" i="1" s="1"/>
  <c r="Y365" i="1"/>
  <c r="Z365" i="1" s="1"/>
  <c r="T310" i="1"/>
  <c r="Y414" i="1"/>
  <c r="Z414" i="1" s="1"/>
  <c r="U176" i="1"/>
  <c r="Y329" i="1"/>
  <c r="Z329" i="1" s="1"/>
  <c r="Y327" i="1"/>
  <c r="Z327" i="1" s="1"/>
  <c r="Y325" i="1"/>
  <c r="Z325" i="1" s="1"/>
  <c r="Y323" i="1"/>
  <c r="Z323" i="1" s="1"/>
  <c r="Y321" i="1"/>
  <c r="Z321" i="1" s="1"/>
  <c r="T309" i="1"/>
  <c r="Y413" i="1"/>
  <c r="Z413" i="1" s="1"/>
  <c r="U46" i="1"/>
  <c r="U164" i="1"/>
  <c r="Y319" i="1"/>
  <c r="Z319" i="1" s="1"/>
  <c r="Y317" i="1"/>
  <c r="Z317" i="1" s="1"/>
  <c r="Y315" i="1"/>
  <c r="Z315" i="1" s="1"/>
  <c r="Y313" i="1"/>
  <c r="Z313" i="1" s="1"/>
  <c r="S54" i="1"/>
  <c r="S27" i="1"/>
  <c r="T308" i="1"/>
  <c r="Y412" i="1"/>
  <c r="Z412" i="1" s="1"/>
  <c r="T313" i="1"/>
  <c r="Y417" i="1"/>
  <c r="Z417" i="1" s="1"/>
  <c r="T85" i="1"/>
  <c r="U168" i="1"/>
  <c r="Y301" i="1"/>
  <c r="Z301" i="1" s="1"/>
  <c r="Y299" i="1"/>
  <c r="Z299" i="1" s="1"/>
  <c r="Y295" i="1"/>
  <c r="Z295" i="1" s="1"/>
  <c r="Y291" i="1"/>
  <c r="Z291" i="1" s="1"/>
  <c r="Y289" i="1"/>
  <c r="Z289" i="1" s="1"/>
  <c r="Y287" i="1"/>
  <c r="Z287" i="1" s="1"/>
  <c r="T97" i="1"/>
  <c r="T95" i="1"/>
  <c r="T125" i="1"/>
  <c r="U59" i="1"/>
  <c r="Y337" i="1"/>
  <c r="Z337" i="1" s="1"/>
  <c r="T307" i="1"/>
  <c r="Y411" i="1"/>
  <c r="Z411" i="1" s="1"/>
  <c r="T315" i="1"/>
  <c r="Y419" i="1"/>
  <c r="Z419" i="1" s="1"/>
  <c r="S172" i="1"/>
  <c r="Y328" i="1"/>
  <c r="Z328" i="1" s="1"/>
  <c r="Y312" i="1"/>
  <c r="Z312" i="1" s="1"/>
  <c r="Y355" i="1"/>
  <c r="Z355" i="1" s="1"/>
  <c r="Y363" i="1"/>
  <c r="Z363" i="1" s="1"/>
  <c r="U160" i="1"/>
  <c r="Y354" i="1"/>
  <c r="Z354" i="1" s="1"/>
  <c r="Y356" i="1"/>
  <c r="Z356" i="1" s="1"/>
  <c r="Y362" i="1"/>
  <c r="Z362" i="1" s="1"/>
  <c r="Y364" i="1"/>
  <c r="Z364" i="1" s="1"/>
  <c r="T306" i="1"/>
  <c r="Y410" i="1"/>
  <c r="Z410" i="1" s="1"/>
  <c r="T314" i="1"/>
  <c r="Y418" i="1"/>
  <c r="Z418" i="1" s="1"/>
  <c r="Y432" i="1"/>
  <c r="Z432" i="1" s="1"/>
  <c r="T328" i="1"/>
  <c r="T73" i="1"/>
  <c r="Y311" i="1"/>
  <c r="Z311" i="1" s="1"/>
  <c r="Y309" i="1"/>
  <c r="Z309" i="1" s="1"/>
  <c r="S152" i="1"/>
  <c r="Y308" i="1"/>
  <c r="Z308" i="1" s="1"/>
  <c r="Y307" i="1"/>
  <c r="Z307" i="1" s="1"/>
  <c r="Y305" i="1"/>
  <c r="Z305" i="1" s="1"/>
  <c r="Y303" i="1"/>
  <c r="Z303" i="1" s="1"/>
  <c r="Y285" i="1"/>
  <c r="Z285" i="1" s="1"/>
  <c r="T142" i="1"/>
  <c r="Y298" i="1"/>
  <c r="Z298" i="1" s="1"/>
  <c r="T141" i="1"/>
  <c r="Y297" i="1"/>
  <c r="Z297" i="1" s="1"/>
  <c r="T138" i="1"/>
  <c r="Y294" i="1"/>
  <c r="Z294" i="1" s="1"/>
  <c r="R134" i="1"/>
  <c r="Y290" i="1"/>
  <c r="Z290" i="1" s="1"/>
  <c r="R175" i="1"/>
  <c r="S174" i="1"/>
  <c r="U170" i="1"/>
  <c r="S251" i="1"/>
  <c r="T303" i="1"/>
  <c r="S253" i="1"/>
  <c r="T305" i="1"/>
  <c r="R255" i="1"/>
  <c r="R259" i="1"/>
  <c r="R261" i="1"/>
  <c r="S264" i="1"/>
  <c r="S146" i="1"/>
  <c r="Y302" i="1"/>
  <c r="Z302" i="1" s="1"/>
  <c r="T137" i="1"/>
  <c r="Y293" i="1"/>
  <c r="Z293" i="1" s="1"/>
  <c r="T264" i="1"/>
  <c r="T265" i="1"/>
  <c r="T267" i="1"/>
  <c r="T268" i="1"/>
  <c r="T269" i="1"/>
  <c r="T271" i="1"/>
  <c r="T272" i="1"/>
  <c r="T273" i="1"/>
  <c r="T274" i="1"/>
  <c r="T275" i="1"/>
  <c r="T277" i="1"/>
  <c r="T278" i="1"/>
  <c r="T279" i="1"/>
  <c r="T280" i="1"/>
  <c r="T281" i="1"/>
  <c r="T282" i="1"/>
  <c r="T283" i="1"/>
  <c r="T284" i="1"/>
  <c r="T285" i="1"/>
  <c r="T286" i="1"/>
  <c r="T287" i="1"/>
  <c r="R23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4" i="1"/>
  <c r="R130" i="1"/>
  <c r="Y286" i="1"/>
  <c r="Z286" i="1" s="1"/>
  <c r="Y284" i="1"/>
  <c r="Z284" i="1" s="1"/>
  <c r="Y280" i="1"/>
  <c r="Z280" i="1" s="1"/>
  <c r="Y221" i="1"/>
  <c r="Z221" i="1" s="1"/>
  <c r="T115" i="1"/>
  <c r="U58" i="1"/>
  <c r="R47" i="1"/>
  <c r="U42" i="1"/>
  <c r="Y197" i="1"/>
  <c r="Z197" i="1" s="1"/>
  <c r="Y195" i="1"/>
  <c r="Z195" i="1" s="1"/>
  <c r="S35" i="1"/>
  <c r="U13" i="1"/>
  <c r="U177" i="1"/>
  <c r="R138" i="1"/>
  <c r="U74" i="1"/>
  <c r="Y223" i="1"/>
  <c r="Z223" i="1" s="1"/>
  <c r="U61" i="1"/>
  <c r="U60" i="1"/>
  <c r="R55" i="1"/>
  <c r="Y209" i="1"/>
  <c r="Z209" i="1" s="1"/>
  <c r="Y207" i="1"/>
  <c r="Z207" i="1" s="1"/>
  <c r="U49" i="1"/>
  <c r="Y193" i="1"/>
  <c r="Z193" i="1" s="1"/>
  <c r="Y185" i="1"/>
  <c r="Z185" i="1" s="1"/>
  <c r="S26" i="1"/>
  <c r="T74" i="1"/>
  <c r="S21" i="1"/>
  <c r="S19" i="1"/>
  <c r="U182" i="1"/>
  <c r="S244" i="1"/>
  <c r="S246" i="1"/>
  <c r="R248" i="1"/>
  <c r="R252" i="1"/>
  <c r="R254" i="1"/>
  <c r="R258" i="1"/>
  <c r="S260" i="1"/>
  <c r="R262" i="1"/>
  <c r="Y188" i="1"/>
  <c r="Z188" i="1" s="1"/>
  <c r="R277" i="1"/>
  <c r="S277" i="1"/>
  <c r="T130" i="1"/>
  <c r="Y262" i="1"/>
  <c r="Z262" i="1" s="1"/>
  <c r="Y256" i="1"/>
  <c r="Z256" i="1" s="1"/>
  <c r="Y244" i="1"/>
  <c r="Z244" i="1" s="1"/>
  <c r="Y232" i="1"/>
  <c r="Z232" i="1" s="1"/>
  <c r="Y212" i="1"/>
  <c r="Z212" i="1" s="1"/>
  <c r="U32" i="1"/>
  <c r="R14" i="1"/>
  <c r="U56" i="1"/>
  <c r="R168" i="1"/>
  <c r="R147" i="1"/>
  <c r="S39" i="1"/>
  <c r="T70" i="1"/>
  <c r="T91" i="1"/>
  <c r="T119" i="1"/>
  <c r="S156" i="1"/>
  <c r="U106" i="1"/>
  <c r="Y229" i="1"/>
  <c r="Z229" i="1" s="1"/>
  <c r="Y227" i="1"/>
  <c r="Z227" i="1" s="1"/>
  <c r="S69" i="1"/>
  <c r="Y211" i="1"/>
  <c r="Z211" i="1" s="1"/>
  <c r="Y204" i="1"/>
  <c r="Z204" i="1" s="1"/>
  <c r="Y199" i="1"/>
  <c r="Z199" i="1" s="1"/>
  <c r="U37" i="1"/>
  <c r="Y192" i="1"/>
  <c r="Z192" i="1" s="1"/>
  <c r="S25" i="1"/>
  <c r="R17" i="1"/>
  <c r="R15" i="1"/>
  <c r="R256" i="1"/>
  <c r="R126" i="1"/>
  <c r="Y282" i="1"/>
  <c r="Z282" i="1" s="1"/>
  <c r="Y252" i="1"/>
  <c r="Z252" i="1" s="1"/>
  <c r="Y246" i="1"/>
  <c r="Z246" i="1" s="1"/>
  <c r="Y240" i="1"/>
  <c r="Z240" i="1" s="1"/>
  <c r="T103" i="1"/>
  <c r="Y230" i="1"/>
  <c r="Z230" i="1" s="1"/>
  <c r="R68" i="1"/>
  <c r="Y217" i="1"/>
  <c r="Z217" i="1" s="1"/>
  <c r="Y205" i="1"/>
  <c r="Z205" i="1" s="1"/>
  <c r="S30" i="1"/>
  <c r="U152" i="1"/>
  <c r="R143" i="1"/>
  <c r="S139" i="1"/>
  <c r="U41" i="1"/>
  <c r="Y191" i="1"/>
  <c r="Z191" i="1" s="1"/>
  <c r="U172" i="1"/>
  <c r="S164" i="1"/>
  <c r="S135" i="1"/>
  <c r="S133" i="1"/>
  <c r="T181" i="1"/>
  <c r="S127" i="1"/>
  <c r="Y283" i="1"/>
  <c r="Z283" i="1" s="1"/>
  <c r="S125" i="1"/>
  <c r="Y281" i="1"/>
  <c r="Z281" i="1" s="1"/>
  <c r="Y279" i="1"/>
  <c r="Z279" i="1" s="1"/>
  <c r="T121" i="1"/>
  <c r="Y277" i="1"/>
  <c r="Z277" i="1" s="1"/>
  <c r="Y263" i="1"/>
  <c r="Z263" i="1" s="1"/>
  <c r="T66" i="1"/>
  <c r="Y220" i="1"/>
  <c r="Z220" i="1" s="1"/>
  <c r="Y215" i="1"/>
  <c r="Z215" i="1" s="1"/>
  <c r="U53" i="1"/>
  <c r="Y208" i="1"/>
  <c r="Z208" i="1" s="1"/>
  <c r="S46" i="1"/>
  <c r="U39" i="1"/>
  <c r="Y189" i="1"/>
  <c r="Z189" i="1" s="1"/>
  <c r="S29" i="1"/>
  <c r="Y184" i="1"/>
  <c r="Z184" i="1" s="1"/>
  <c r="S22" i="1"/>
  <c r="S243" i="1"/>
  <c r="S245" i="1"/>
  <c r="R247" i="1"/>
  <c r="R249" i="1"/>
  <c r="R250" i="1"/>
  <c r="S23" i="1"/>
  <c r="R122" i="1"/>
  <c r="Y278" i="1"/>
  <c r="Z278" i="1" s="1"/>
  <c r="Y260" i="1"/>
  <c r="Z260" i="1" s="1"/>
  <c r="Y248" i="1"/>
  <c r="Z248" i="1" s="1"/>
  <c r="Y236" i="1"/>
  <c r="Z236" i="1" s="1"/>
  <c r="Y200" i="1"/>
  <c r="Z200" i="1" s="1"/>
  <c r="T79" i="1"/>
  <c r="S181" i="1"/>
  <c r="Y228" i="1"/>
  <c r="Z228" i="1" s="1"/>
  <c r="Y203" i="1"/>
  <c r="Z203" i="1" s="1"/>
  <c r="Y196" i="1"/>
  <c r="Z196" i="1" s="1"/>
  <c r="U40" i="1"/>
  <c r="T68" i="1"/>
  <c r="T87" i="1"/>
  <c r="T146" i="1"/>
  <c r="S176" i="1"/>
  <c r="S160" i="1"/>
  <c r="U138" i="1"/>
  <c r="T105" i="1"/>
  <c r="Y259" i="1"/>
  <c r="Z259" i="1" s="1"/>
  <c r="S101" i="1"/>
  <c r="Y255" i="1"/>
  <c r="Z255" i="1" s="1"/>
  <c r="Y251" i="1"/>
  <c r="Z251" i="1" s="1"/>
  <c r="S93" i="1"/>
  <c r="Y247" i="1"/>
  <c r="Z247" i="1" s="1"/>
  <c r="T89" i="1"/>
  <c r="Y243" i="1"/>
  <c r="Z243" i="1" s="1"/>
  <c r="S85" i="1"/>
  <c r="Y239" i="1"/>
  <c r="Z239" i="1" s="1"/>
  <c r="T81" i="1"/>
  <c r="S77" i="1"/>
  <c r="Y231" i="1"/>
  <c r="Z231" i="1" s="1"/>
  <c r="S63" i="1"/>
  <c r="Y213" i="1"/>
  <c r="Z213" i="1" s="1"/>
  <c r="U51" i="1"/>
  <c r="Y201" i="1"/>
  <c r="Z201" i="1" s="1"/>
  <c r="R39" i="1"/>
  <c r="Y187" i="1"/>
  <c r="Z187" i="1" s="1"/>
  <c r="Y182" i="1"/>
  <c r="Z182" i="1" s="1"/>
  <c r="R257" i="1"/>
  <c r="S119" i="1"/>
  <c r="Y275" i="1"/>
  <c r="Z275" i="1" s="1"/>
  <c r="R118" i="1"/>
  <c r="Y274" i="1"/>
  <c r="Z274" i="1" s="1"/>
  <c r="S117" i="1"/>
  <c r="Y273" i="1"/>
  <c r="Z273" i="1" s="1"/>
  <c r="R114" i="1"/>
  <c r="Y270" i="1"/>
  <c r="Z270" i="1" s="1"/>
  <c r="T113" i="1"/>
  <c r="Y269" i="1"/>
  <c r="Z269" i="1" s="1"/>
  <c r="R110" i="1"/>
  <c r="Y266" i="1"/>
  <c r="Z266" i="1" s="1"/>
  <c r="S109" i="1"/>
  <c r="Y265" i="1"/>
  <c r="Z265" i="1" s="1"/>
  <c r="Y276" i="1"/>
  <c r="Z276" i="1" s="1"/>
  <c r="Y272" i="1"/>
  <c r="Z272" i="1" s="1"/>
  <c r="Y271" i="1"/>
  <c r="Z271" i="1" s="1"/>
  <c r="Y268" i="1"/>
  <c r="Z268" i="1" s="1"/>
  <c r="Y267" i="1"/>
  <c r="Z267" i="1" s="1"/>
  <c r="Y264" i="1"/>
  <c r="Z264" i="1" s="1"/>
  <c r="T131" i="1"/>
  <c r="R63" i="1"/>
  <c r="S60" i="1"/>
  <c r="R60" i="1"/>
  <c r="S58" i="1"/>
  <c r="R59" i="1"/>
  <c r="S50" i="1"/>
  <c r="R51" i="1"/>
  <c r="S42" i="1"/>
  <c r="R43" i="1"/>
  <c r="S34" i="1"/>
  <c r="R35" i="1"/>
  <c r="S28" i="1"/>
  <c r="S24" i="1"/>
  <c r="S20" i="1"/>
  <c r="U218" i="1"/>
  <c r="T243" i="1"/>
  <c r="R243" i="1"/>
  <c r="T244" i="1"/>
  <c r="R244" i="1"/>
  <c r="T245" i="1"/>
  <c r="R245" i="1"/>
  <c r="T246" i="1"/>
  <c r="R246" i="1"/>
  <c r="U247" i="1"/>
  <c r="S247" i="1"/>
  <c r="U248" i="1"/>
  <c r="S248" i="1"/>
  <c r="U249" i="1"/>
  <c r="S249" i="1"/>
  <c r="Y249" i="1"/>
  <c r="Z249" i="1" s="1"/>
  <c r="Y245" i="1"/>
  <c r="Z245" i="1" s="1"/>
  <c r="Y241" i="1"/>
  <c r="Z241" i="1" s="1"/>
  <c r="Y237" i="1"/>
  <c r="Z237" i="1" s="1"/>
  <c r="Y235" i="1"/>
  <c r="Z235" i="1" s="1"/>
  <c r="Y233" i="1"/>
  <c r="Z233" i="1" s="1"/>
  <c r="Y225" i="1"/>
  <c r="Z225" i="1" s="1"/>
  <c r="Y219" i="1"/>
  <c r="Z219" i="1" s="1"/>
  <c r="Y183" i="1"/>
  <c r="Z183" i="1" s="1"/>
  <c r="Y250" i="1"/>
  <c r="Z250" i="1" s="1"/>
  <c r="U250" i="1"/>
  <c r="S250" i="1"/>
  <c r="T251" i="1"/>
  <c r="R251" i="1"/>
  <c r="U252" i="1"/>
  <c r="S252" i="1"/>
  <c r="T253" i="1"/>
  <c r="R253" i="1"/>
  <c r="Y254" i="1"/>
  <c r="Z254" i="1" s="1"/>
  <c r="U254" i="1"/>
  <c r="S254" i="1"/>
  <c r="U255" i="1"/>
  <c r="S255" i="1"/>
  <c r="U256" i="1"/>
  <c r="S256" i="1"/>
  <c r="Y257" i="1"/>
  <c r="Z257" i="1" s="1"/>
  <c r="U257" i="1"/>
  <c r="S257" i="1"/>
  <c r="Y258" i="1"/>
  <c r="Z258" i="1" s="1"/>
  <c r="U258" i="1"/>
  <c r="S258" i="1"/>
  <c r="U259" i="1"/>
  <c r="S259" i="1"/>
  <c r="T260" i="1"/>
  <c r="R260" i="1"/>
  <c r="Y261" i="1"/>
  <c r="Z261" i="1" s="1"/>
  <c r="U261" i="1"/>
  <c r="S261" i="1"/>
  <c r="U262" i="1"/>
  <c r="S262" i="1"/>
  <c r="U263" i="1"/>
  <c r="S263" i="1"/>
  <c r="R264" i="1"/>
  <c r="R214" i="1"/>
  <c r="T266" i="1"/>
  <c r="S218" i="1"/>
  <c r="T270" i="1"/>
  <c r="R179" i="1"/>
  <c r="S178" i="1"/>
  <c r="R171" i="1"/>
  <c r="S170" i="1"/>
  <c r="T180" i="1"/>
  <c r="S123" i="1"/>
  <c r="U122" i="1"/>
  <c r="U90" i="1"/>
  <c r="R90" i="1"/>
  <c r="T117" i="1"/>
  <c r="U62" i="1"/>
  <c r="T183" i="1"/>
  <c r="R206" i="1"/>
  <c r="R210" i="1"/>
  <c r="S211" i="1"/>
  <c r="R241" i="1"/>
  <c r="U243" i="1"/>
  <c r="U244" i="1"/>
  <c r="U245" i="1"/>
  <c r="U246" i="1"/>
  <c r="T247" i="1"/>
  <c r="T248" i="1"/>
  <c r="T249" i="1"/>
  <c r="Y242" i="1"/>
  <c r="Z242" i="1" s="1"/>
  <c r="Y238" i="1"/>
  <c r="Z238" i="1" s="1"/>
  <c r="Y234" i="1"/>
  <c r="Z234" i="1" s="1"/>
  <c r="Y226" i="1"/>
  <c r="Z226" i="1" s="1"/>
  <c r="Y224" i="1"/>
  <c r="Z224" i="1" s="1"/>
  <c r="Y222" i="1"/>
  <c r="Z222" i="1" s="1"/>
  <c r="Y218" i="1"/>
  <c r="Z218" i="1" s="1"/>
  <c r="Y216" i="1"/>
  <c r="Z216" i="1" s="1"/>
  <c r="Y214" i="1"/>
  <c r="Z214" i="1" s="1"/>
  <c r="Y210" i="1"/>
  <c r="Z210" i="1" s="1"/>
  <c r="Y206" i="1"/>
  <c r="Z206" i="1" s="1"/>
  <c r="Y202" i="1"/>
  <c r="Z202" i="1" s="1"/>
  <c r="Y198" i="1"/>
  <c r="Z198" i="1" s="1"/>
  <c r="Y194" i="1"/>
  <c r="Z194" i="1" s="1"/>
  <c r="Y190" i="1"/>
  <c r="Z190" i="1" s="1"/>
  <c r="Y186" i="1"/>
  <c r="Z186" i="1" s="1"/>
  <c r="T250" i="1"/>
  <c r="U251" i="1"/>
  <c r="T252" i="1"/>
  <c r="Y253" i="1"/>
  <c r="Z253" i="1" s="1"/>
  <c r="U253" i="1"/>
  <c r="T254" i="1"/>
  <c r="T255" i="1"/>
  <c r="T256" i="1"/>
  <c r="T257" i="1"/>
  <c r="T258" i="1"/>
  <c r="T259" i="1"/>
  <c r="U260" i="1"/>
  <c r="T261" i="1"/>
  <c r="T262" i="1"/>
  <c r="T263" i="1"/>
  <c r="R263" i="1"/>
  <c r="S276" i="1"/>
  <c r="U276" i="1"/>
  <c r="R276" i="1"/>
  <c r="T276" i="1"/>
  <c r="R9" i="1"/>
  <c r="U163" i="1"/>
  <c r="U162" i="1"/>
  <c r="U155" i="1"/>
  <c r="U154" i="1"/>
  <c r="U124" i="1"/>
  <c r="U108" i="1"/>
  <c r="U92" i="1"/>
  <c r="U76" i="1"/>
  <c r="S222" i="1"/>
  <c r="T237" i="1"/>
  <c r="S238" i="1"/>
  <c r="U14" i="1"/>
  <c r="U30" i="1"/>
  <c r="U34" i="1"/>
  <c r="U38" i="1"/>
  <c r="S43" i="1"/>
  <c r="S47" i="1"/>
  <c r="U50" i="1"/>
  <c r="U54" i="1"/>
  <c r="S59" i="1"/>
  <c r="T77" i="1"/>
  <c r="T82" i="1"/>
  <c r="T90" i="1"/>
  <c r="T93" i="1"/>
  <c r="T98" i="1"/>
  <c r="T106" i="1"/>
  <c r="T109" i="1"/>
  <c r="T114" i="1"/>
  <c r="T127" i="1"/>
  <c r="T133" i="1"/>
  <c r="T143" i="1"/>
  <c r="T149" i="1"/>
  <c r="U167" i="1"/>
  <c r="U166" i="1"/>
  <c r="U159" i="1"/>
  <c r="U158" i="1"/>
  <c r="U151" i="1"/>
  <c r="U150" i="1"/>
  <c r="U145" i="1"/>
  <c r="U143" i="1"/>
  <c r="U132" i="1"/>
  <c r="S131" i="1"/>
  <c r="U130" i="1"/>
  <c r="U116" i="1"/>
  <c r="S115" i="1"/>
  <c r="U114" i="1"/>
  <c r="U100" i="1"/>
  <c r="U98" i="1"/>
  <c r="T139" i="1"/>
  <c r="U84" i="1"/>
  <c r="U82" i="1"/>
  <c r="T123" i="1"/>
  <c r="S67" i="1"/>
  <c r="U63" i="1"/>
  <c r="U52" i="1"/>
  <c r="U44" i="1"/>
  <c r="U36" i="1"/>
  <c r="R31" i="1"/>
  <c r="S18" i="1"/>
  <c r="S11" i="1"/>
  <c r="S207" i="1"/>
  <c r="S215" i="1"/>
  <c r="S242" i="1"/>
  <c r="S202" i="1"/>
  <c r="T202" i="1"/>
  <c r="R207" i="1"/>
  <c r="S208" i="1"/>
  <c r="T208" i="1"/>
  <c r="R211" i="1"/>
  <c r="S212" i="1"/>
  <c r="T212" i="1"/>
  <c r="R215" i="1"/>
  <c r="S216" i="1"/>
  <c r="T216" i="1"/>
  <c r="R238" i="1"/>
  <c r="S239" i="1"/>
  <c r="T239" i="1"/>
  <c r="R242" i="1"/>
  <c r="U183" i="1"/>
  <c r="U15" i="1"/>
  <c r="U17" i="1"/>
  <c r="S31" i="1"/>
  <c r="T67" i="1"/>
  <c r="T69" i="1"/>
  <c r="T71" i="1"/>
  <c r="T76" i="1"/>
  <c r="T78" i="1"/>
  <c r="T86" i="1"/>
  <c r="T94" i="1"/>
  <c r="T102" i="1"/>
  <c r="T110" i="1"/>
  <c r="T118" i="1"/>
  <c r="T126" i="1"/>
  <c r="T129" i="1"/>
  <c r="T134" i="1"/>
  <c r="T145" i="1"/>
  <c r="T147" i="1"/>
  <c r="U180" i="1"/>
  <c r="U179" i="1"/>
  <c r="R177" i="1"/>
  <c r="U175" i="1"/>
  <c r="R173" i="1"/>
  <c r="U171" i="1"/>
  <c r="R169" i="1"/>
  <c r="S168" i="1"/>
  <c r="R149" i="1"/>
  <c r="U147" i="1"/>
  <c r="R141" i="1"/>
  <c r="R136" i="1"/>
  <c r="U134" i="1"/>
  <c r="R128" i="1"/>
  <c r="U126" i="1"/>
  <c r="R120" i="1"/>
  <c r="U118" i="1"/>
  <c r="R112" i="1"/>
  <c r="U110" i="1"/>
  <c r="R104" i="1"/>
  <c r="U102" i="1"/>
  <c r="R96" i="1"/>
  <c r="U94" i="1"/>
  <c r="R88" i="1"/>
  <c r="U86" i="1"/>
  <c r="R80" i="1"/>
  <c r="U78" i="1"/>
  <c r="R72" i="1"/>
  <c r="U70" i="1"/>
  <c r="U68" i="1"/>
  <c r="R67" i="1"/>
  <c r="T62" i="1"/>
  <c r="T60" i="1"/>
  <c r="S16" i="1"/>
  <c r="S14" i="1"/>
  <c r="S9" i="1"/>
  <c r="T59" i="1"/>
  <c r="R181" i="1"/>
  <c r="S184" i="1"/>
  <c r="S186" i="1"/>
  <c r="R188" i="1"/>
  <c r="R190" i="1"/>
  <c r="R192" i="1"/>
  <c r="R194" i="1"/>
  <c r="S196" i="1"/>
  <c r="R198" i="1"/>
  <c r="R200" i="1"/>
  <c r="R202" i="1"/>
  <c r="S205" i="1"/>
  <c r="R205" i="1"/>
  <c r="S206" i="1"/>
  <c r="T206" i="1"/>
  <c r="R208" i="1"/>
  <c r="S209" i="1"/>
  <c r="R209" i="1"/>
  <c r="S210" i="1"/>
  <c r="T210" i="1"/>
  <c r="R212" i="1"/>
  <c r="S213" i="1"/>
  <c r="R213" i="1"/>
  <c r="S214" i="1"/>
  <c r="T214" i="1"/>
  <c r="R216" i="1"/>
  <c r="S217" i="1"/>
  <c r="R217" i="1"/>
  <c r="R218" i="1"/>
  <c r="S219" i="1"/>
  <c r="R219" i="1"/>
  <c r="R239" i="1"/>
  <c r="S240" i="1"/>
  <c r="R240" i="1"/>
  <c r="S241" i="1"/>
  <c r="T241" i="1"/>
  <c r="R165" i="1"/>
  <c r="S165" i="1"/>
  <c r="R161" i="1"/>
  <c r="S161" i="1"/>
  <c r="R157" i="1"/>
  <c r="S157" i="1"/>
  <c r="R153" i="1"/>
  <c r="S153" i="1"/>
  <c r="R144" i="1"/>
  <c r="S144" i="1"/>
  <c r="R107" i="1"/>
  <c r="S107" i="1"/>
  <c r="R99" i="1"/>
  <c r="S99" i="1"/>
  <c r="R91" i="1"/>
  <c r="S91" i="1"/>
  <c r="R83" i="1"/>
  <c r="S83" i="1"/>
  <c r="R75" i="1"/>
  <c r="S75" i="1"/>
  <c r="R65" i="1"/>
  <c r="S65" i="1"/>
  <c r="R64" i="1"/>
  <c r="U64" i="1"/>
  <c r="R56" i="1"/>
  <c r="S56" i="1"/>
  <c r="R52" i="1"/>
  <c r="S52" i="1"/>
  <c r="R48" i="1"/>
  <c r="S48" i="1"/>
  <c r="R44" i="1"/>
  <c r="S44" i="1"/>
  <c r="R40" i="1"/>
  <c r="S40" i="1"/>
  <c r="R36" i="1"/>
  <c r="S36" i="1"/>
  <c r="R32" i="1"/>
  <c r="S32" i="1"/>
  <c r="S12" i="1"/>
  <c r="S13" i="1"/>
  <c r="R220" i="1"/>
  <c r="T220" i="1"/>
  <c r="R223" i="1"/>
  <c r="T223" i="1"/>
  <c r="R225" i="1"/>
  <c r="T225" i="1"/>
  <c r="R227" i="1"/>
  <c r="T227" i="1"/>
  <c r="R229" i="1"/>
  <c r="T229" i="1"/>
  <c r="R231" i="1"/>
  <c r="T231" i="1"/>
  <c r="R233" i="1"/>
  <c r="T233" i="1"/>
  <c r="R235" i="1"/>
  <c r="T235" i="1"/>
  <c r="R167" i="1"/>
  <c r="S167" i="1"/>
  <c r="R163" i="1"/>
  <c r="S163" i="1"/>
  <c r="R159" i="1"/>
  <c r="S159" i="1"/>
  <c r="R155" i="1"/>
  <c r="S155" i="1"/>
  <c r="R151" i="1"/>
  <c r="S151" i="1"/>
  <c r="R148" i="1"/>
  <c r="S148" i="1"/>
  <c r="R140" i="1"/>
  <c r="S140" i="1"/>
  <c r="R111" i="1"/>
  <c r="S111" i="1"/>
  <c r="R103" i="1"/>
  <c r="S103" i="1"/>
  <c r="R95" i="1"/>
  <c r="S95" i="1"/>
  <c r="R87" i="1"/>
  <c r="S87" i="1"/>
  <c r="R79" i="1"/>
  <c r="S79" i="1"/>
  <c r="R71" i="1"/>
  <c r="S71" i="1"/>
  <c r="R61" i="1"/>
  <c r="S61" i="1"/>
  <c r="R29" i="1"/>
  <c r="U29" i="1"/>
  <c r="R28" i="1"/>
  <c r="U28" i="1"/>
  <c r="R27" i="1"/>
  <c r="U27" i="1"/>
  <c r="R26" i="1"/>
  <c r="U26" i="1"/>
  <c r="R25" i="1"/>
  <c r="U25" i="1"/>
  <c r="R24" i="1"/>
  <c r="U24" i="1"/>
  <c r="R23" i="1"/>
  <c r="U23" i="1"/>
  <c r="R22" i="1"/>
  <c r="U22" i="1"/>
  <c r="R21" i="1"/>
  <c r="U21" i="1"/>
  <c r="R20" i="1"/>
  <c r="U20" i="1"/>
  <c r="R19" i="1"/>
  <c r="U19" i="1"/>
  <c r="R18" i="1"/>
  <c r="U18" i="1"/>
  <c r="R222" i="1"/>
  <c r="T222" i="1"/>
  <c r="R224" i="1"/>
  <c r="T224" i="1"/>
  <c r="R226" i="1"/>
  <c r="T226" i="1"/>
  <c r="R228" i="1"/>
  <c r="T228" i="1"/>
  <c r="R230" i="1"/>
  <c r="T230" i="1"/>
  <c r="R232" i="1"/>
  <c r="T232" i="1"/>
  <c r="R234" i="1"/>
  <c r="T234" i="1"/>
  <c r="S236" i="1"/>
  <c r="U236" i="1"/>
  <c r="R182" i="1"/>
  <c r="U220" i="1"/>
  <c r="R221" i="1"/>
  <c r="U223" i="1"/>
  <c r="S224" i="1"/>
  <c r="U225" i="1"/>
  <c r="S226" i="1"/>
  <c r="U227" i="1"/>
  <c r="S228" i="1"/>
  <c r="U229" i="1"/>
  <c r="S230" i="1"/>
  <c r="U231" i="1"/>
  <c r="S232" i="1"/>
  <c r="U233" i="1"/>
  <c r="S234" i="1"/>
  <c r="U235" i="1"/>
  <c r="T182" i="1"/>
  <c r="S33" i="1"/>
  <c r="S37" i="1"/>
  <c r="S41" i="1"/>
  <c r="S45" i="1"/>
  <c r="S49" i="1"/>
  <c r="S53" i="1"/>
  <c r="S57" i="1"/>
  <c r="T72" i="1"/>
  <c r="T80" i="1"/>
  <c r="T84" i="1"/>
  <c r="T88" i="1"/>
  <c r="T92" i="1"/>
  <c r="T96" i="1"/>
  <c r="T100" i="1"/>
  <c r="T104" i="1"/>
  <c r="T108" i="1"/>
  <c r="T112" i="1"/>
  <c r="T116" i="1"/>
  <c r="T120" i="1"/>
  <c r="T124" i="1"/>
  <c r="T128" i="1"/>
  <c r="T132" i="1"/>
  <c r="T136" i="1"/>
  <c r="T140" i="1"/>
  <c r="T144" i="1"/>
  <c r="T148" i="1"/>
  <c r="R183" i="1"/>
  <c r="S182" i="1"/>
  <c r="S180" i="1"/>
  <c r="S179" i="1"/>
  <c r="R178" i="1"/>
  <c r="S177" i="1"/>
  <c r="R176" i="1"/>
  <c r="S175" i="1"/>
  <c r="R174" i="1"/>
  <c r="S173" i="1"/>
  <c r="R172" i="1"/>
  <c r="S171" i="1"/>
  <c r="R170" i="1"/>
  <c r="S169" i="1"/>
  <c r="S166" i="1"/>
  <c r="U165" i="1"/>
  <c r="S162" i="1"/>
  <c r="U161" i="1"/>
  <c r="S158" i="1"/>
  <c r="U157" i="1"/>
  <c r="S154" i="1"/>
  <c r="U153" i="1"/>
  <c r="S150" i="1"/>
  <c r="U149" i="1"/>
  <c r="R145" i="1"/>
  <c r="S142" i="1"/>
  <c r="U141" i="1"/>
  <c r="S137" i="1"/>
  <c r="U136" i="1"/>
  <c r="R132" i="1"/>
  <c r="S129" i="1"/>
  <c r="U128" i="1"/>
  <c r="R124" i="1"/>
  <c r="S121" i="1"/>
  <c r="U120" i="1"/>
  <c r="R116" i="1"/>
  <c r="S113" i="1"/>
  <c r="U112" i="1"/>
  <c r="R108" i="1"/>
  <c r="S105" i="1"/>
  <c r="U104" i="1"/>
  <c r="R100" i="1"/>
  <c r="S97" i="1"/>
  <c r="U96" i="1"/>
  <c r="R92" i="1"/>
  <c r="S89" i="1"/>
  <c r="U88" i="1"/>
  <c r="R84" i="1"/>
  <c r="S81" i="1"/>
  <c r="U80" i="1"/>
  <c r="R76" i="1"/>
  <c r="S73" i="1"/>
  <c r="U72" i="1"/>
  <c r="R66" i="1"/>
  <c r="U65" i="1"/>
  <c r="T64" i="1"/>
  <c r="R57" i="1"/>
  <c r="R53" i="1"/>
  <c r="R49" i="1"/>
  <c r="R45" i="1"/>
  <c r="R41" i="1"/>
  <c r="R37" i="1"/>
  <c r="R33" i="1"/>
  <c r="U11" i="1"/>
  <c r="U9" i="1"/>
  <c r="T205" i="1"/>
  <c r="T207" i="1"/>
  <c r="T209" i="1"/>
  <c r="T211" i="1"/>
  <c r="T213" i="1"/>
  <c r="T215" i="1"/>
  <c r="T217" i="1"/>
  <c r="T219" i="1"/>
  <c r="S220" i="1"/>
  <c r="T221" i="1"/>
  <c r="U222" i="1"/>
  <c r="S223" i="1"/>
  <c r="U224" i="1"/>
  <c r="S225" i="1"/>
  <c r="U226" i="1"/>
  <c r="S227" i="1"/>
  <c r="U228" i="1"/>
  <c r="S229" i="1"/>
  <c r="U230" i="1"/>
  <c r="S231" i="1"/>
  <c r="U232" i="1"/>
  <c r="S233" i="1"/>
  <c r="U234" i="1"/>
  <c r="S235" i="1"/>
  <c r="S237" i="1"/>
  <c r="T238" i="1"/>
  <c r="T240" i="1"/>
  <c r="T242" i="1"/>
  <c r="R166" i="1"/>
  <c r="R164" i="1"/>
  <c r="R162" i="1"/>
  <c r="R160" i="1"/>
  <c r="R158" i="1"/>
  <c r="R156" i="1"/>
  <c r="R154" i="1"/>
  <c r="R152" i="1"/>
  <c r="R150" i="1"/>
  <c r="R146" i="1"/>
  <c r="R142" i="1"/>
  <c r="R109" i="1"/>
  <c r="R105" i="1"/>
  <c r="R101" i="1"/>
  <c r="R97" i="1"/>
  <c r="R93" i="1"/>
  <c r="R89" i="1"/>
  <c r="R85" i="1"/>
  <c r="R81" i="1"/>
  <c r="R77" i="1"/>
  <c r="R73" i="1"/>
  <c r="R69" i="1"/>
  <c r="R58" i="1"/>
  <c r="R54" i="1"/>
  <c r="R50" i="1"/>
  <c r="R46" i="1"/>
  <c r="R42" i="1"/>
  <c r="R38" i="1"/>
  <c r="R34" i="1"/>
  <c r="R30" i="1"/>
  <c r="S10" i="1"/>
  <c r="S8" i="1"/>
  <c r="U181" i="1"/>
  <c r="S183" i="1"/>
  <c r="R185" i="1"/>
  <c r="R187" i="1"/>
  <c r="R189" i="1"/>
  <c r="R191" i="1"/>
  <c r="R193" i="1"/>
  <c r="R195" i="1"/>
  <c r="R197" i="1"/>
  <c r="R199" i="1"/>
  <c r="R201" i="1"/>
  <c r="U202" i="1"/>
  <c r="T203" i="1"/>
  <c r="T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T218" i="1"/>
  <c r="U219" i="1"/>
  <c r="U221" i="1"/>
  <c r="S221" i="1"/>
  <c r="U237" i="1"/>
  <c r="U238" i="1"/>
  <c r="U239" i="1"/>
  <c r="U240" i="1"/>
  <c r="U241" i="1"/>
  <c r="U242" i="1"/>
  <c r="R236" i="1"/>
  <c r="T236" i="1"/>
  <c r="S204" i="1"/>
  <c r="U204" i="1"/>
  <c r="R204" i="1"/>
  <c r="S203" i="1"/>
  <c r="U203" i="1"/>
  <c r="R203" i="1"/>
  <c r="R139" i="1"/>
  <c r="U139" i="1"/>
  <c r="R137" i="1"/>
  <c r="U137" i="1"/>
  <c r="S138" i="1"/>
  <c r="R135" i="1"/>
  <c r="U135" i="1"/>
  <c r="S136" i="1"/>
  <c r="R133" i="1"/>
  <c r="U133" i="1"/>
  <c r="S134" i="1"/>
  <c r="R131" i="1"/>
  <c r="U131" i="1"/>
  <c r="S132" i="1"/>
  <c r="R129" i="1"/>
  <c r="U129" i="1"/>
  <c r="S130" i="1"/>
  <c r="R127" i="1"/>
  <c r="U127" i="1"/>
  <c r="S128" i="1"/>
  <c r="R125" i="1"/>
  <c r="U125" i="1"/>
  <c r="S126" i="1"/>
  <c r="R123" i="1"/>
  <c r="U123" i="1"/>
  <c r="S124" i="1"/>
  <c r="R121" i="1"/>
  <c r="U121" i="1"/>
  <c r="S122" i="1"/>
  <c r="R119" i="1"/>
  <c r="U119" i="1"/>
  <c r="S120" i="1"/>
  <c r="R117" i="1"/>
  <c r="U117" i="1"/>
  <c r="S118" i="1"/>
  <c r="R115" i="1"/>
  <c r="U115" i="1"/>
  <c r="S116" i="1"/>
  <c r="R113" i="1"/>
  <c r="U113" i="1"/>
  <c r="S114" i="1"/>
  <c r="R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S149" i="1"/>
  <c r="U148" i="1"/>
  <c r="S147" i="1"/>
  <c r="U146" i="1"/>
  <c r="S145" i="1"/>
  <c r="U144" i="1"/>
  <c r="S143" i="1"/>
  <c r="U142" i="1"/>
  <c r="S141" i="1"/>
  <c r="U140" i="1"/>
  <c r="T184" i="1"/>
  <c r="R184" i="1"/>
  <c r="U185" i="1"/>
  <c r="S185" i="1"/>
  <c r="T186" i="1"/>
  <c r="R186" i="1"/>
  <c r="U187" i="1"/>
  <c r="S187" i="1"/>
  <c r="U188" i="1"/>
  <c r="S188" i="1"/>
  <c r="U189" i="1"/>
  <c r="S189" i="1"/>
  <c r="U190" i="1"/>
  <c r="S190" i="1"/>
  <c r="U191" i="1"/>
  <c r="S191" i="1"/>
  <c r="U192" i="1"/>
  <c r="S192" i="1"/>
  <c r="U193" i="1"/>
  <c r="S193" i="1"/>
  <c r="U194" i="1"/>
  <c r="S194" i="1"/>
  <c r="U195" i="1"/>
  <c r="S195" i="1"/>
  <c r="T196" i="1"/>
  <c r="R196" i="1"/>
  <c r="U197" i="1"/>
  <c r="S197" i="1"/>
  <c r="U198" i="1"/>
  <c r="S198" i="1"/>
  <c r="U199" i="1"/>
  <c r="S199" i="1"/>
  <c r="U200" i="1"/>
  <c r="S200" i="1"/>
  <c r="U201" i="1"/>
  <c r="S201" i="1"/>
  <c r="S112" i="1"/>
  <c r="U111" i="1"/>
  <c r="S110" i="1"/>
  <c r="U109" i="1"/>
  <c r="S108" i="1"/>
  <c r="U107" i="1"/>
  <c r="S106" i="1"/>
  <c r="U105" i="1"/>
  <c r="S104" i="1"/>
  <c r="U103" i="1"/>
  <c r="S102" i="1"/>
  <c r="U101" i="1"/>
  <c r="S100" i="1"/>
  <c r="U99" i="1"/>
  <c r="S98" i="1"/>
  <c r="U97" i="1"/>
  <c r="S96" i="1"/>
  <c r="U95" i="1"/>
  <c r="S94" i="1"/>
  <c r="U93" i="1"/>
  <c r="S92" i="1"/>
  <c r="U91" i="1"/>
  <c r="S90" i="1"/>
  <c r="U89" i="1"/>
  <c r="S88" i="1"/>
  <c r="U87" i="1"/>
  <c r="S86" i="1"/>
  <c r="U85" i="1"/>
  <c r="S84" i="1"/>
  <c r="U83" i="1"/>
  <c r="S82" i="1"/>
  <c r="U81" i="1"/>
  <c r="S80" i="1"/>
  <c r="U79" i="1"/>
  <c r="S78" i="1"/>
  <c r="U77" i="1"/>
  <c r="S76" i="1"/>
  <c r="U75" i="1"/>
  <c r="S74" i="1"/>
  <c r="U73" i="1"/>
  <c r="S72" i="1"/>
  <c r="U71" i="1"/>
  <c r="S70" i="1"/>
  <c r="U69" i="1"/>
  <c r="S68" i="1"/>
  <c r="U67" i="1"/>
  <c r="S66" i="1"/>
  <c r="T65" i="1"/>
  <c r="S64" i="1"/>
  <c r="T63" i="1"/>
  <c r="S62" i="1"/>
  <c r="T61" i="1"/>
  <c r="S17" i="1"/>
  <c r="S15" i="1"/>
  <c r="R13" i="1"/>
  <c r="R12" i="1"/>
  <c r="R11" i="1"/>
  <c r="R10" i="1"/>
  <c r="R8" i="1"/>
  <c r="U184" i="1"/>
  <c r="T185" i="1"/>
  <c r="U186" i="1"/>
  <c r="T187" i="1"/>
  <c r="T188" i="1"/>
  <c r="T189" i="1"/>
  <c r="T190" i="1"/>
  <c r="T191" i="1"/>
  <c r="T192" i="1"/>
  <c r="T193" i="1"/>
  <c r="T194" i="1"/>
  <c r="T195" i="1"/>
  <c r="U196" i="1"/>
  <c r="T197" i="1"/>
  <c r="T198" i="1"/>
  <c r="T199" i="1"/>
  <c r="T200" i="1"/>
  <c r="T201" i="1"/>
</calcChain>
</file>

<file path=xl/sharedStrings.xml><?xml version="1.0" encoding="utf-8"?>
<sst xmlns="http://schemas.openxmlformats.org/spreadsheetml/2006/main" count="45" uniqueCount="35">
  <si>
    <t>Week Ending</t>
  </si>
  <si>
    <t>empty up</t>
  </si>
  <si>
    <t>total up</t>
  </si>
  <si>
    <t>empty down</t>
  </si>
  <si>
    <t>total down</t>
  </si>
  <si>
    <t>Total Empties</t>
  </si>
  <si>
    <t>Total Barges</t>
  </si>
  <si>
    <t>Figure 11</t>
  </si>
  <si>
    <t>Source:  Army Corps of Engineers</t>
  </si>
  <si>
    <t>% of upbound barges empty</t>
  </si>
  <si>
    <t>Change in number of upbound empty barges from previous week</t>
  </si>
  <si>
    <t>% change in upbound empties from the same week last year</t>
  </si>
  <si>
    <t>Upbound 27</t>
  </si>
  <si>
    <t>Downbound 27</t>
  </si>
  <si>
    <t>Upbound 1</t>
  </si>
  <si>
    <t>Downbound 1</t>
  </si>
  <si>
    <t>Mississippi River Locks 27, 1, 52</t>
  </si>
  <si>
    <t>Upbound 52</t>
  </si>
  <si>
    <t>Downbound 52</t>
  </si>
  <si>
    <t>Upbound Empty Barges Transiting Mississippi River Locks and Dam 27, 1 and 52</t>
  </si>
  <si>
    <t>Total upbound barges</t>
  </si>
  <si>
    <t>Upbound Empty Barges Transiting Mississippi River Locks 27, Arkansas River Lock and Dam 1, and Ohio River Locks and Dam 52</t>
  </si>
  <si>
    <t>Source:  U.S. Army Corps of Engineers</t>
  </si>
  <si>
    <t>Upbound Empty --% change from last week</t>
  </si>
  <si>
    <t>Total upbound empty barges through          Locks 27, 1, 52</t>
  </si>
  <si>
    <t>3-year weekly average, Lock 27</t>
  </si>
  <si>
    <t>3-year weekly average, Lock 1</t>
  </si>
  <si>
    <t>3-year weekly average, Lock 52</t>
  </si>
  <si>
    <t>3-year weekly average, Total</t>
  </si>
  <si>
    <t>Figure 11:  Upbound Empty Barges</t>
  </si>
  <si>
    <t>Notes</t>
  </si>
  <si>
    <t>Week of Hurricane Katrina</t>
  </si>
  <si>
    <t>Week of Hurricane Rita</t>
  </si>
  <si>
    <t>% change from 3-year average</t>
  </si>
  <si>
    <t xml:space="preserve">Lock 52 data was not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</si>
</sst>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m/d/yy;@"/>
    <numFmt numFmtId="165" formatCode="_(* #,##0_);_(* \(#,##0\);_(* &quot;-&quot;??_);_(@_)"/>
    <numFmt numFmtId="166" formatCode="0.0%"/>
  </numFmts>
  <fonts count="15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 applyNumberFormat="0" applyFill="0" applyBorder="0" applyAlignment="0" applyProtection="0"/>
    <xf numFmtId="43" fontId="9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wrapText="1"/>
    </xf>
    <xf numFmtId="1" fontId="1" fillId="0" borderId="0" xfId="0" applyNumberFormat="1" applyFont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1" fontId="2" fillId="0" borderId="5" xfId="0" applyNumberFormat="1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64" fontId="2" fillId="0" borderId="4" xfId="0" applyNumberFormat="1" applyFont="1" applyFill="1" applyBorder="1" applyAlignment="1">
      <alignment horizontal="center"/>
    </xf>
    <xf numFmtId="0" fontId="5" fillId="2" borderId="0" xfId="0" applyFont="1" applyFill="1"/>
    <xf numFmtId="0" fontId="1" fillId="2" borderId="0" xfId="0" applyFont="1" applyFill="1"/>
    <xf numFmtId="0" fontId="6" fillId="2" borderId="0" xfId="0" applyFont="1" applyFill="1"/>
    <xf numFmtId="0" fontId="1" fillId="3" borderId="0" xfId="0" applyFont="1" applyFill="1"/>
    <xf numFmtId="0" fontId="7" fillId="3" borderId="0" xfId="0" applyFont="1" applyFill="1"/>
    <xf numFmtId="0" fontId="8" fillId="0" borderId="0" xfId="0" applyFont="1" applyBorder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1" fillId="0" borderId="0" xfId="0" applyFont="1" applyFill="1"/>
    <xf numFmtId="164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3" xfId="0" applyNumberFormat="1" applyFont="1" applyBorder="1" applyAlignment="1">
      <alignment horizontal="center" wrapText="1"/>
    </xf>
    <xf numFmtId="0" fontId="7" fillId="3" borderId="0" xfId="0" applyFont="1" applyFill="1" applyBorder="1"/>
    <xf numFmtId="0" fontId="3" fillId="3" borderId="0" xfId="0" applyFont="1" applyFill="1" applyBorder="1"/>
    <xf numFmtId="0" fontId="1" fillId="0" borderId="0" xfId="0" applyFont="1" applyBorder="1"/>
    <xf numFmtId="0" fontId="1" fillId="0" borderId="0" xfId="0" applyFont="1" applyFill="1" applyBorder="1"/>
    <xf numFmtId="0" fontId="1" fillId="4" borderId="0" xfId="0" applyFont="1" applyFill="1"/>
    <xf numFmtId="0" fontId="1" fillId="4" borderId="0" xfId="0" applyFont="1" applyFill="1" applyBorder="1"/>
    <xf numFmtId="0" fontId="2" fillId="0" borderId="2" xfId="0" applyNumberFormat="1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10" fillId="0" borderId="0" xfId="0" applyFont="1" applyAlignment="1"/>
    <xf numFmtId="1" fontId="2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2" fillId="8" borderId="3" xfId="0" applyFont="1" applyFill="1" applyBorder="1" applyAlignment="1">
      <alignment horizontal="center" wrapText="1"/>
    </xf>
    <xf numFmtId="0" fontId="11" fillId="8" borderId="3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1" fontId="1" fillId="9" borderId="7" xfId="0" applyNumberFormat="1" applyFont="1" applyFill="1" applyBorder="1" applyAlignment="1">
      <alignment horizontal="center" wrapText="1"/>
    </xf>
    <xf numFmtId="1" fontId="11" fillId="9" borderId="12" xfId="0" applyNumberFormat="1" applyFont="1" applyFill="1" applyBorder="1" applyAlignment="1">
      <alignment horizontal="center" wrapText="1"/>
    </xf>
    <xf numFmtId="1" fontId="1" fillId="6" borderId="7" xfId="0" applyNumberFormat="1" applyFont="1" applyFill="1" applyBorder="1" applyAlignment="1">
      <alignment horizontal="center" wrapText="1"/>
    </xf>
    <xf numFmtId="1" fontId="11" fillId="6" borderId="12" xfId="0" applyNumberFormat="1" applyFont="1" applyFill="1" applyBorder="1" applyAlignment="1">
      <alignment horizontal="center" wrapText="1"/>
    </xf>
    <xf numFmtId="1" fontId="1" fillId="7" borderId="7" xfId="0" applyNumberFormat="1" applyFont="1" applyFill="1" applyBorder="1" applyAlignment="1">
      <alignment horizontal="center" wrapText="1"/>
    </xf>
    <xf numFmtId="1" fontId="11" fillId="7" borderId="12" xfId="0" applyNumberFormat="1" applyFont="1" applyFill="1" applyBorder="1" applyAlignment="1">
      <alignment horizontal="center" wrapText="1"/>
    </xf>
    <xf numFmtId="1" fontId="1" fillId="8" borderId="7" xfId="0" applyNumberFormat="1" applyFont="1" applyFill="1" applyBorder="1" applyAlignment="1">
      <alignment horizontal="center" wrapText="1"/>
    </xf>
    <xf numFmtId="1" fontId="11" fillId="8" borderId="12" xfId="0" applyNumberFormat="1" applyFont="1" applyFill="1" applyBorder="1" applyAlignment="1">
      <alignment horizontal="center" wrapText="1"/>
    </xf>
    <xf numFmtId="1" fontId="2" fillId="0" borderId="6" xfId="0" applyNumberFormat="1" applyFont="1" applyFill="1" applyBorder="1" applyAlignment="1">
      <alignment horizontal="center" wrapText="1"/>
    </xf>
    <xf numFmtId="1" fontId="1" fillId="0" borderId="7" xfId="0" applyNumberFormat="1" applyFont="1" applyFill="1" applyBorder="1" applyAlignment="1">
      <alignment horizontal="center" wrapText="1"/>
    </xf>
    <xf numFmtId="1" fontId="11" fillId="0" borderId="11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left" wrapText="1"/>
    </xf>
    <xf numFmtId="9" fontId="2" fillId="0" borderId="3" xfId="2" applyFont="1" applyBorder="1" applyAlignment="1">
      <alignment horizontal="center"/>
    </xf>
    <xf numFmtId="0" fontId="14" fillId="3" borderId="0" xfId="0" applyFont="1" applyFill="1" applyBorder="1"/>
    <xf numFmtId="166" fontId="2" fillId="0" borderId="3" xfId="2" applyNumberFormat="1" applyFont="1" applyBorder="1" applyAlignment="1">
      <alignment horizontal="center"/>
    </xf>
    <xf numFmtId="0" fontId="2" fillId="0" borderId="3" xfId="0" applyNumberFormat="1" applyFont="1" applyFill="1" applyBorder="1" applyAlignment="1">
      <alignment horizontal="center" wrapText="1"/>
    </xf>
    <xf numFmtId="165" fontId="2" fillId="0" borderId="0" xfId="1" applyNumberFormat="1" applyFont="1" applyBorder="1" applyAlignment="1">
      <alignment horizontal="center"/>
    </xf>
    <xf numFmtId="166" fontId="2" fillId="0" borderId="0" xfId="2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1" fillId="6" borderId="10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9273752504866"/>
          <c:y val="5.6338028169014086E-2"/>
          <c:w val="0.82041663628366868"/>
          <c:h val="0.70070422535211263"/>
        </c:manualLayout>
      </c:layout>
      <c:barChart>
        <c:barDir val="col"/>
        <c:grouping val="clustered"/>
        <c:varyColors val="0"/>
        <c:ser>
          <c:idx val="1"/>
          <c:order val="0"/>
          <c:tx>
            <c:v>Upbound Empties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'upbound data'!$A$59:$A$85</c:f>
              <c:numCache>
                <c:formatCode>m/d/yy;@</c:formatCode>
                <c:ptCount val="27"/>
                <c:pt idx="0">
                  <c:v>38955</c:v>
                </c:pt>
                <c:pt idx="1">
                  <c:v>38962</c:v>
                </c:pt>
                <c:pt idx="2">
                  <c:v>38969</c:v>
                </c:pt>
                <c:pt idx="3">
                  <c:v>38976</c:v>
                </c:pt>
                <c:pt idx="4">
                  <c:v>38983</c:v>
                </c:pt>
                <c:pt idx="5">
                  <c:v>38990</c:v>
                </c:pt>
                <c:pt idx="6">
                  <c:v>38997</c:v>
                </c:pt>
                <c:pt idx="7">
                  <c:v>39004</c:v>
                </c:pt>
                <c:pt idx="8">
                  <c:v>39011</c:v>
                </c:pt>
                <c:pt idx="9">
                  <c:v>39018</c:v>
                </c:pt>
                <c:pt idx="10">
                  <c:v>39025</c:v>
                </c:pt>
                <c:pt idx="11">
                  <c:v>39032</c:v>
                </c:pt>
                <c:pt idx="12">
                  <c:v>39039</c:v>
                </c:pt>
                <c:pt idx="13">
                  <c:v>39046</c:v>
                </c:pt>
                <c:pt idx="14">
                  <c:v>39053</c:v>
                </c:pt>
                <c:pt idx="15">
                  <c:v>39060</c:v>
                </c:pt>
                <c:pt idx="16">
                  <c:v>39067</c:v>
                </c:pt>
                <c:pt idx="17">
                  <c:v>39074</c:v>
                </c:pt>
                <c:pt idx="18">
                  <c:v>39081</c:v>
                </c:pt>
                <c:pt idx="19">
                  <c:v>39088</c:v>
                </c:pt>
                <c:pt idx="20">
                  <c:v>39095</c:v>
                </c:pt>
                <c:pt idx="21">
                  <c:v>39102</c:v>
                </c:pt>
                <c:pt idx="22">
                  <c:v>39109</c:v>
                </c:pt>
                <c:pt idx="23">
                  <c:v>39116</c:v>
                </c:pt>
                <c:pt idx="24">
                  <c:v>39123</c:v>
                </c:pt>
                <c:pt idx="25">
                  <c:v>39130</c:v>
                </c:pt>
                <c:pt idx="26">
                  <c:v>39137</c:v>
                </c:pt>
              </c:numCache>
            </c:numRef>
          </c:cat>
          <c:val>
            <c:numRef>
              <c:f>'upbound data'!$N$59:$N$85</c:f>
              <c:numCache>
                <c:formatCode>General</c:formatCode>
                <c:ptCount val="27"/>
                <c:pt idx="0">
                  <c:v>325</c:v>
                </c:pt>
                <c:pt idx="1">
                  <c:v>300</c:v>
                </c:pt>
                <c:pt idx="2">
                  <c:v>259</c:v>
                </c:pt>
                <c:pt idx="3">
                  <c:v>361</c:v>
                </c:pt>
                <c:pt idx="4">
                  <c:v>464</c:v>
                </c:pt>
                <c:pt idx="5">
                  <c:v>404</c:v>
                </c:pt>
                <c:pt idx="6">
                  <c:v>426</c:v>
                </c:pt>
                <c:pt idx="7">
                  <c:v>324</c:v>
                </c:pt>
                <c:pt idx="8">
                  <c:v>448</c:v>
                </c:pt>
                <c:pt idx="9">
                  <c:v>477</c:v>
                </c:pt>
                <c:pt idx="10">
                  <c:v>574</c:v>
                </c:pt>
                <c:pt idx="11">
                  <c:v>564</c:v>
                </c:pt>
                <c:pt idx="12">
                  <c:v>598</c:v>
                </c:pt>
                <c:pt idx="13">
                  <c:v>540</c:v>
                </c:pt>
                <c:pt idx="14">
                  <c:v>689</c:v>
                </c:pt>
                <c:pt idx="15">
                  <c:v>512</c:v>
                </c:pt>
                <c:pt idx="16">
                  <c:v>662</c:v>
                </c:pt>
                <c:pt idx="17">
                  <c:v>340</c:v>
                </c:pt>
                <c:pt idx="18">
                  <c:v>355</c:v>
                </c:pt>
                <c:pt idx="19">
                  <c:v>375</c:v>
                </c:pt>
                <c:pt idx="20">
                  <c:v>506</c:v>
                </c:pt>
                <c:pt idx="21">
                  <c:v>342</c:v>
                </c:pt>
                <c:pt idx="22">
                  <c:v>437</c:v>
                </c:pt>
                <c:pt idx="23">
                  <c:v>495</c:v>
                </c:pt>
                <c:pt idx="24">
                  <c:v>403</c:v>
                </c:pt>
                <c:pt idx="25">
                  <c:v>480</c:v>
                </c:pt>
                <c:pt idx="26">
                  <c:v>370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743232"/>
        <c:axId val="38269312"/>
      </c:barChart>
      <c:catAx>
        <c:axId val="37743232"/>
        <c:scaling>
          <c:orientation val="minMax"/>
        </c:scaling>
        <c:delete val="0"/>
        <c:axPos val="b"/>
        <c:numFmt formatCode="m/d/yy;@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826931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8269312"/>
        <c:scaling>
          <c:orientation val="minMax"/>
          <c:max val="80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7743232"/>
        <c:crosses val="autoZero"/>
        <c:crossBetween val="between"/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898124892637723E-2"/>
          <c:y val="5.1169858357668574E-2"/>
          <c:w val="0.86542234156693931"/>
          <c:h val="0.6937303430706413"/>
        </c:manualLayout>
      </c:layout>
      <c:lineChart>
        <c:grouping val="standard"/>
        <c:varyColors val="0"/>
        <c:ser>
          <c:idx val="0"/>
          <c:order val="0"/>
          <c:tx>
            <c:v>Locks 27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numRef>
              <c:f>'upbound data'!$A$470:$A$492</c:f>
              <c:numCache>
                <c:formatCode>m/d/yy;@</c:formatCode>
                <c:ptCount val="23"/>
                <c:pt idx="0">
                  <c:v>41832</c:v>
                </c:pt>
                <c:pt idx="1">
                  <c:v>41839</c:v>
                </c:pt>
                <c:pt idx="2">
                  <c:v>41846</c:v>
                </c:pt>
                <c:pt idx="3">
                  <c:v>41853</c:v>
                </c:pt>
                <c:pt idx="4">
                  <c:v>41860</c:v>
                </c:pt>
                <c:pt idx="5">
                  <c:v>41867</c:v>
                </c:pt>
                <c:pt idx="6">
                  <c:v>41874</c:v>
                </c:pt>
                <c:pt idx="7">
                  <c:v>41881</c:v>
                </c:pt>
                <c:pt idx="8">
                  <c:v>41888</c:v>
                </c:pt>
                <c:pt idx="9">
                  <c:v>41895</c:v>
                </c:pt>
                <c:pt idx="10">
                  <c:v>41902</c:v>
                </c:pt>
                <c:pt idx="11">
                  <c:v>41909</c:v>
                </c:pt>
                <c:pt idx="12">
                  <c:v>41916</c:v>
                </c:pt>
                <c:pt idx="13">
                  <c:v>41923</c:v>
                </c:pt>
                <c:pt idx="14">
                  <c:v>41930</c:v>
                </c:pt>
                <c:pt idx="15">
                  <c:v>41937</c:v>
                </c:pt>
                <c:pt idx="16">
                  <c:v>41944</c:v>
                </c:pt>
                <c:pt idx="17">
                  <c:v>41951</c:v>
                </c:pt>
                <c:pt idx="18">
                  <c:v>41958</c:v>
                </c:pt>
                <c:pt idx="19">
                  <c:v>41965</c:v>
                </c:pt>
                <c:pt idx="20">
                  <c:v>41972</c:v>
                </c:pt>
                <c:pt idx="21">
                  <c:v>41979</c:v>
                </c:pt>
                <c:pt idx="22">
                  <c:v>41986</c:v>
                </c:pt>
              </c:numCache>
            </c:numRef>
          </c:cat>
          <c:val>
            <c:numRef>
              <c:f>'upbound data'!$B$470:$B$492</c:f>
              <c:numCache>
                <c:formatCode>General</c:formatCode>
                <c:ptCount val="23"/>
                <c:pt idx="0">
                  <c:v>297</c:v>
                </c:pt>
                <c:pt idx="1">
                  <c:v>391</c:v>
                </c:pt>
                <c:pt idx="2">
                  <c:v>392</c:v>
                </c:pt>
                <c:pt idx="3">
                  <c:v>327</c:v>
                </c:pt>
                <c:pt idx="4">
                  <c:v>248</c:v>
                </c:pt>
                <c:pt idx="5">
                  <c:v>189</c:v>
                </c:pt>
                <c:pt idx="6">
                  <c:v>143</c:v>
                </c:pt>
                <c:pt idx="7">
                  <c:v>143</c:v>
                </c:pt>
                <c:pt idx="8">
                  <c:v>128</c:v>
                </c:pt>
                <c:pt idx="9">
                  <c:v>113</c:v>
                </c:pt>
                <c:pt idx="10">
                  <c:v>126</c:v>
                </c:pt>
                <c:pt idx="11">
                  <c:v>134</c:v>
                </c:pt>
                <c:pt idx="12">
                  <c:v>131</c:v>
                </c:pt>
                <c:pt idx="13">
                  <c:v>111</c:v>
                </c:pt>
                <c:pt idx="14">
                  <c:v>235</c:v>
                </c:pt>
                <c:pt idx="15">
                  <c:v>246</c:v>
                </c:pt>
                <c:pt idx="16">
                  <c:v>202</c:v>
                </c:pt>
                <c:pt idx="17">
                  <c:v>334</c:v>
                </c:pt>
                <c:pt idx="18">
                  <c:v>289</c:v>
                </c:pt>
                <c:pt idx="19">
                  <c:v>216</c:v>
                </c:pt>
                <c:pt idx="20">
                  <c:v>307</c:v>
                </c:pt>
                <c:pt idx="21">
                  <c:v>270</c:v>
                </c:pt>
                <c:pt idx="22">
                  <c:v>273</c:v>
                </c:pt>
              </c:numCache>
            </c:numRef>
          </c:val>
          <c:smooth val="0"/>
        </c:ser>
        <c:ser>
          <c:idx val="1"/>
          <c:order val="1"/>
          <c:tx>
            <c:v>Lock 1</c:v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'upbound data'!$A$470:$A$492</c:f>
              <c:numCache>
                <c:formatCode>m/d/yy;@</c:formatCode>
                <c:ptCount val="23"/>
                <c:pt idx="0">
                  <c:v>41832</c:v>
                </c:pt>
                <c:pt idx="1">
                  <c:v>41839</c:v>
                </c:pt>
                <c:pt idx="2">
                  <c:v>41846</c:v>
                </c:pt>
                <c:pt idx="3">
                  <c:v>41853</c:v>
                </c:pt>
                <c:pt idx="4">
                  <c:v>41860</c:v>
                </c:pt>
                <c:pt idx="5">
                  <c:v>41867</c:v>
                </c:pt>
                <c:pt idx="6">
                  <c:v>41874</c:v>
                </c:pt>
                <c:pt idx="7">
                  <c:v>41881</c:v>
                </c:pt>
                <c:pt idx="8">
                  <c:v>41888</c:v>
                </c:pt>
                <c:pt idx="9">
                  <c:v>41895</c:v>
                </c:pt>
                <c:pt idx="10">
                  <c:v>41902</c:v>
                </c:pt>
                <c:pt idx="11">
                  <c:v>41909</c:v>
                </c:pt>
                <c:pt idx="12">
                  <c:v>41916</c:v>
                </c:pt>
                <c:pt idx="13">
                  <c:v>41923</c:v>
                </c:pt>
                <c:pt idx="14">
                  <c:v>41930</c:v>
                </c:pt>
                <c:pt idx="15">
                  <c:v>41937</c:v>
                </c:pt>
                <c:pt idx="16">
                  <c:v>41944</c:v>
                </c:pt>
                <c:pt idx="17">
                  <c:v>41951</c:v>
                </c:pt>
                <c:pt idx="18">
                  <c:v>41958</c:v>
                </c:pt>
                <c:pt idx="19">
                  <c:v>41965</c:v>
                </c:pt>
                <c:pt idx="20">
                  <c:v>41972</c:v>
                </c:pt>
                <c:pt idx="21">
                  <c:v>41979</c:v>
                </c:pt>
                <c:pt idx="22">
                  <c:v>41986</c:v>
                </c:pt>
              </c:numCache>
            </c:numRef>
          </c:cat>
          <c:val>
            <c:numRef>
              <c:f>'upbound data'!$F$470:$F$492</c:f>
              <c:numCache>
                <c:formatCode>General</c:formatCode>
                <c:ptCount val="23"/>
                <c:pt idx="0">
                  <c:v>4</c:v>
                </c:pt>
                <c:pt idx="1">
                  <c:v>14</c:v>
                </c:pt>
                <c:pt idx="2">
                  <c:v>4</c:v>
                </c:pt>
                <c:pt idx="3">
                  <c:v>20</c:v>
                </c:pt>
                <c:pt idx="4">
                  <c:v>2</c:v>
                </c:pt>
                <c:pt idx="5">
                  <c:v>10</c:v>
                </c:pt>
                <c:pt idx="6">
                  <c:v>11</c:v>
                </c:pt>
                <c:pt idx="7">
                  <c:v>0</c:v>
                </c:pt>
                <c:pt idx="8">
                  <c:v>19</c:v>
                </c:pt>
                <c:pt idx="9">
                  <c:v>17</c:v>
                </c:pt>
                <c:pt idx="10">
                  <c:v>15</c:v>
                </c:pt>
                <c:pt idx="11">
                  <c:v>16</c:v>
                </c:pt>
                <c:pt idx="12">
                  <c:v>29</c:v>
                </c:pt>
                <c:pt idx="13">
                  <c:v>24</c:v>
                </c:pt>
                <c:pt idx="14">
                  <c:v>25</c:v>
                </c:pt>
                <c:pt idx="15">
                  <c:v>18</c:v>
                </c:pt>
                <c:pt idx="16">
                  <c:v>40</c:v>
                </c:pt>
                <c:pt idx="17">
                  <c:v>6</c:v>
                </c:pt>
                <c:pt idx="18">
                  <c:v>33</c:v>
                </c:pt>
                <c:pt idx="19">
                  <c:v>32</c:v>
                </c:pt>
                <c:pt idx="20">
                  <c:v>12</c:v>
                </c:pt>
                <c:pt idx="21">
                  <c:v>18</c:v>
                </c:pt>
                <c:pt idx="22">
                  <c:v>31</c:v>
                </c:pt>
              </c:numCache>
            </c:numRef>
          </c:val>
          <c:smooth val="0"/>
        </c:ser>
        <c:ser>
          <c:idx val="2"/>
          <c:order val="2"/>
          <c:tx>
            <c:v>Locks 52</c:v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'upbound data'!$A$470:$A$492</c:f>
              <c:numCache>
                <c:formatCode>m/d/yy;@</c:formatCode>
                <c:ptCount val="23"/>
                <c:pt idx="0">
                  <c:v>41832</c:v>
                </c:pt>
                <c:pt idx="1">
                  <c:v>41839</c:v>
                </c:pt>
                <c:pt idx="2">
                  <c:v>41846</c:v>
                </c:pt>
                <c:pt idx="3">
                  <c:v>41853</c:v>
                </c:pt>
                <c:pt idx="4">
                  <c:v>41860</c:v>
                </c:pt>
                <c:pt idx="5">
                  <c:v>41867</c:v>
                </c:pt>
                <c:pt idx="6">
                  <c:v>41874</c:v>
                </c:pt>
                <c:pt idx="7">
                  <c:v>41881</c:v>
                </c:pt>
                <c:pt idx="8">
                  <c:v>41888</c:v>
                </c:pt>
                <c:pt idx="9">
                  <c:v>41895</c:v>
                </c:pt>
                <c:pt idx="10">
                  <c:v>41902</c:v>
                </c:pt>
                <c:pt idx="11">
                  <c:v>41909</c:v>
                </c:pt>
                <c:pt idx="12">
                  <c:v>41916</c:v>
                </c:pt>
                <c:pt idx="13">
                  <c:v>41923</c:v>
                </c:pt>
                <c:pt idx="14">
                  <c:v>41930</c:v>
                </c:pt>
                <c:pt idx="15">
                  <c:v>41937</c:v>
                </c:pt>
                <c:pt idx="16">
                  <c:v>41944</c:v>
                </c:pt>
                <c:pt idx="17">
                  <c:v>41951</c:v>
                </c:pt>
                <c:pt idx="18">
                  <c:v>41958</c:v>
                </c:pt>
                <c:pt idx="19">
                  <c:v>41965</c:v>
                </c:pt>
                <c:pt idx="20">
                  <c:v>41972</c:v>
                </c:pt>
                <c:pt idx="21">
                  <c:v>41979</c:v>
                </c:pt>
                <c:pt idx="22">
                  <c:v>41986</c:v>
                </c:pt>
              </c:numCache>
            </c:numRef>
          </c:cat>
          <c:val>
            <c:numRef>
              <c:f>'upbound data'!$J$470:$J$492</c:f>
              <c:numCache>
                <c:formatCode>General</c:formatCode>
                <c:ptCount val="23"/>
                <c:pt idx="0">
                  <c:v>181</c:v>
                </c:pt>
                <c:pt idx="1">
                  <c:v>84</c:v>
                </c:pt>
                <c:pt idx="2">
                  <c:v>182</c:v>
                </c:pt>
                <c:pt idx="3">
                  <c:v>146</c:v>
                </c:pt>
                <c:pt idx="4">
                  <c:v>166</c:v>
                </c:pt>
                <c:pt idx="5">
                  <c:v>185</c:v>
                </c:pt>
                <c:pt idx="6">
                  <c:v>43</c:v>
                </c:pt>
                <c:pt idx="7">
                  <c:v>234</c:v>
                </c:pt>
                <c:pt idx="8">
                  <c:v>96</c:v>
                </c:pt>
                <c:pt idx="9">
                  <c:v>77</c:v>
                </c:pt>
                <c:pt idx="10">
                  <c:v>243</c:v>
                </c:pt>
                <c:pt idx="11">
                  <c:v>123</c:v>
                </c:pt>
                <c:pt idx="12">
                  <c:v>196</c:v>
                </c:pt>
                <c:pt idx="13">
                  <c:v>194</c:v>
                </c:pt>
                <c:pt idx="14">
                  <c:v>297</c:v>
                </c:pt>
                <c:pt idx="15">
                  <c:v>192</c:v>
                </c:pt>
                <c:pt idx="16">
                  <c:v>229</c:v>
                </c:pt>
                <c:pt idx="17">
                  <c:v>321</c:v>
                </c:pt>
                <c:pt idx="18">
                  <c:v>203</c:v>
                </c:pt>
                <c:pt idx="19">
                  <c:v>354</c:v>
                </c:pt>
                <c:pt idx="20">
                  <c:v>304</c:v>
                </c:pt>
                <c:pt idx="21">
                  <c:v>233</c:v>
                </c:pt>
                <c:pt idx="22">
                  <c:v>334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376128"/>
        <c:axId val="33386496"/>
      </c:lineChart>
      <c:dateAx>
        <c:axId val="33376128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3386496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33386496"/>
        <c:scaling>
          <c:orientation val="minMax"/>
          <c:max val="57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Number of Barges</a:t>
                </a:r>
              </a:p>
            </c:rich>
          </c:tx>
          <c:layout>
            <c:manualLayout>
              <c:xMode val="edge"/>
              <c:yMode val="edge"/>
              <c:x val="9.7655699423638848E-3"/>
              <c:y val="0.24922192630332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3376128"/>
        <c:crosses val="autoZero"/>
        <c:crossBetween val="midCat"/>
        <c:majorUnit val="1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9400802830939182"/>
          <c:y val="0.9177229370471609"/>
          <c:w val="0.41011310955259089"/>
          <c:h val="5.696211333396171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60</xdr:row>
      <xdr:rowOff>19050</xdr:rowOff>
    </xdr:from>
    <xdr:to>
      <xdr:col>8</xdr:col>
      <xdr:colOff>542925</xdr:colOff>
      <xdr:row>76</xdr:row>
      <xdr:rowOff>133350</xdr:rowOff>
    </xdr:to>
    <xdr:graphicFrame macro="">
      <xdr:nvGraphicFramePr>
        <xdr:cNvPr id="20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3</xdr:row>
      <xdr:rowOff>28575</xdr:rowOff>
    </xdr:from>
    <xdr:to>
      <xdr:col>8</xdr:col>
      <xdr:colOff>552450</xdr:colOff>
      <xdr:row>21</xdr:row>
      <xdr:rowOff>123825</xdr:rowOff>
    </xdr:to>
    <xdr:graphicFrame macro="">
      <xdr:nvGraphicFramePr>
        <xdr:cNvPr id="209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0.65207</cdr:x>
      <cdr:y>0.09281</cdr:y>
    </cdr:from>
    <cdr:to>
      <cdr:x>0.93391</cdr:x>
      <cdr:y>0.27157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3777" y="255766"/>
          <a:ext cx="1421511" cy="48589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Week ending Feb 24:  370 barges, down 110 barges from the previous week.</a:t>
          </a:r>
        </a:p>
      </cdr:txBody>
    </cdr:sp>
  </cdr:relSizeAnchor>
  <cdr:relSizeAnchor xmlns:cdr="http://schemas.openxmlformats.org/drawingml/2006/chartDrawing">
    <cdr:from>
      <cdr:x>0.01066</cdr:x>
      <cdr:y>0.17001</cdr:y>
    </cdr:from>
    <cdr:to>
      <cdr:x>0.06094</cdr:x>
      <cdr:y>0.50991</cdr:y>
    </cdr:to>
    <cdr:sp macro="" textlink="">
      <cdr:nvSpPr>
        <cdr:cNvPr id="3074" name="Rectangle 2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91" y="464661"/>
          <a:ext cx="252603" cy="9233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0" rIns="27432" bIns="18288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Number of barges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0.10609</cdr:x>
      <cdr:y>0.0621</cdr:y>
    </cdr:from>
    <cdr:to>
      <cdr:x>0.88459</cdr:x>
      <cdr:y>0.16463</cdr:y>
    </cdr:to>
    <cdr:sp macro="" textlink="">
      <cdr:nvSpPr>
        <cdr:cNvPr id="5120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3855" y="193304"/>
          <a:ext cx="4137684" cy="31914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r>
            <a:rPr lang="en-US" sz="9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Week ending December 13:  638 total barges, up 117 barges from the previous week, but 3.8 percent lower than the 3-year avg.</a:t>
          </a:r>
          <a:endParaRPr lang="en-US" sz="900" b="0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92"/>
  <sheetViews>
    <sheetView zoomScale="80" zoomScaleNormal="80" workbookViewId="0">
      <pane xSplit="1" ySplit="6" topLeftCell="B469" activePane="bottomRight" state="frozen"/>
      <selection pane="topRight" activeCell="B1" sqref="B1"/>
      <selection pane="bottomLeft" activeCell="A5" sqref="A5"/>
      <selection pane="bottomRight" activeCell="S492" sqref="S492"/>
    </sheetView>
  </sheetViews>
  <sheetFormatPr defaultColWidth="9.1796875" defaultRowHeight="15.5" x14ac:dyDescent="0.35"/>
  <cols>
    <col min="1" max="1" width="17.81640625" style="2" customWidth="1"/>
    <col min="2" max="2" width="10.81640625" style="4" bestFit="1" customWidth="1"/>
    <col min="3" max="3" width="9" style="4" bestFit="1" customWidth="1"/>
    <col min="4" max="4" width="7.54296875" style="4" bestFit="1" customWidth="1"/>
    <col min="5" max="5" width="11.81640625" style="4" bestFit="1" customWidth="1"/>
    <col min="6" max="6" width="10.81640625" style="4" bestFit="1" customWidth="1"/>
    <col min="7" max="7" width="9" style="4" bestFit="1" customWidth="1"/>
    <col min="8" max="8" width="7.54296875" style="4" bestFit="1" customWidth="1"/>
    <col min="9" max="9" width="11.81640625" style="4" bestFit="1" customWidth="1"/>
    <col min="10" max="10" width="10.81640625" style="4" bestFit="1" customWidth="1"/>
    <col min="11" max="11" width="9" style="4" bestFit="1" customWidth="1"/>
    <col min="12" max="12" width="7.54296875" style="4" bestFit="1" customWidth="1"/>
    <col min="13" max="13" width="11.81640625" style="4" bestFit="1" customWidth="1"/>
    <col min="14" max="14" width="18.1796875" style="4" customWidth="1"/>
    <col min="15" max="15" width="9.453125" style="4" bestFit="1" customWidth="1"/>
    <col min="16" max="16" width="9.81640625" style="4" bestFit="1" customWidth="1"/>
    <col min="17" max="17" width="8.1796875" style="4" bestFit="1" customWidth="1"/>
    <col min="18" max="18" width="17" style="4" customWidth="1"/>
    <col min="19" max="19" width="22" style="4" customWidth="1"/>
    <col min="20" max="20" width="19" style="4" bestFit="1" customWidth="1"/>
    <col min="21" max="21" width="15.1796875" style="4" bestFit="1" customWidth="1"/>
    <col min="22" max="25" width="9.81640625" style="2" bestFit="1" customWidth="1"/>
    <col min="26" max="26" width="11.54296875" style="2" customWidth="1"/>
    <col min="27" max="27" width="16.54296875" style="30" customWidth="1"/>
    <col min="28" max="16384" width="9.1796875" style="2"/>
  </cols>
  <sheetData>
    <row r="1" spans="1:27" ht="18.75" customHeight="1" x14ac:dyDescent="0.35">
      <c r="A1" s="31" t="s">
        <v>29</v>
      </c>
      <c r="B1" s="31"/>
      <c r="C1" s="31"/>
      <c r="D1" s="31"/>
    </row>
    <row r="3" spans="1:27" ht="18" x14ac:dyDescent="0.4">
      <c r="A3" s="69" t="s">
        <v>16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16"/>
    </row>
    <row r="4" spans="1:27" ht="16" thickBot="1" x14ac:dyDescent="0.4">
      <c r="Q4" s="9"/>
    </row>
    <row r="5" spans="1:27" ht="16" thickBot="1" x14ac:dyDescent="0.4">
      <c r="B5" s="65" t="s">
        <v>12</v>
      </c>
      <c r="C5" s="66"/>
      <c r="D5" s="67" t="s">
        <v>13</v>
      </c>
      <c r="E5" s="68"/>
      <c r="F5" s="70" t="s">
        <v>14</v>
      </c>
      <c r="G5" s="71"/>
      <c r="H5" s="67" t="s">
        <v>15</v>
      </c>
      <c r="I5" s="68"/>
      <c r="J5" s="72" t="s">
        <v>17</v>
      </c>
      <c r="K5" s="73"/>
      <c r="L5" s="67" t="s">
        <v>18</v>
      </c>
      <c r="M5" s="68"/>
      <c r="N5" s="43"/>
      <c r="O5" s="54"/>
      <c r="P5" s="54"/>
      <c r="Q5" s="54"/>
      <c r="R5" s="54"/>
      <c r="S5" s="55"/>
      <c r="T5" s="55"/>
      <c r="U5" s="55"/>
      <c r="V5" s="46"/>
      <c r="W5" s="48"/>
      <c r="X5" s="50"/>
      <c r="Y5" s="52"/>
      <c r="Z5" s="52"/>
      <c r="AA5" s="55"/>
    </row>
    <row r="6" spans="1:27" s="42" customFormat="1" ht="69" customHeight="1" thickBot="1" x14ac:dyDescent="0.35">
      <c r="A6" s="41" t="s">
        <v>0</v>
      </c>
      <c r="B6" s="41" t="s">
        <v>1</v>
      </c>
      <c r="C6" s="41" t="s">
        <v>2</v>
      </c>
      <c r="D6" s="41" t="s">
        <v>3</v>
      </c>
      <c r="E6" s="41" t="s">
        <v>4</v>
      </c>
      <c r="F6" s="41" t="s">
        <v>1</v>
      </c>
      <c r="G6" s="41" t="s">
        <v>2</v>
      </c>
      <c r="H6" s="41" t="s">
        <v>3</v>
      </c>
      <c r="I6" s="41" t="s">
        <v>4</v>
      </c>
      <c r="J6" s="41" t="s">
        <v>1</v>
      </c>
      <c r="K6" s="41" t="s">
        <v>2</v>
      </c>
      <c r="L6" s="41" t="s">
        <v>3</v>
      </c>
      <c r="M6" s="41" t="s">
        <v>4</v>
      </c>
      <c r="N6" s="44" t="s">
        <v>24</v>
      </c>
      <c r="O6" s="56" t="s">
        <v>5</v>
      </c>
      <c r="P6" s="56" t="s">
        <v>20</v>
      </c>
      <c r="Q6" s="56" t="s">
        <v>6</v>
      </c>
      <c r="R6" s="56" t="s">
        <v>23</v>
      </c>
      <c r="S6" s="56" t="s">
        <v>10</v>
      </c>
      <c r="T6" s="56" t="s">
        <v>11</v>
      </c>
      <c r="U6" s="57" t="s">
        <v>9</v>
      </c>
      <c r="V6" s="47" t="s">
        <v>25</v>
      </c>
      <c r="W6" s="49" t="s">
        <v>26</v>
      </c>
      <c r="X6" s="51" t="s">
        <v>27</v>
      </c>
      <c r="Y6" s="53" t="s">
        <v>28</v>
      </c>
      <c r="Z6" s="53" t="s">
        <v>33</v>
      </c>
      <c r="AA6" s="58" t="s">
        <v>30</v>
      </c>
    </row>
    <row r="7" spans="1:27" ht="16" thickBot="1" x14ac:dyDescent="0.4">
      <c r="A7" s="8">
        <v>38591</v>
      </c>
      <c r="B7" s="3">
        <v>126</v>
      </c>
      <c r="C7" s="3">
        <v>298</v>
      </c>
      <c r="D7" s="3">
        <v>115</v>
      </c>
      <c r="E7" s="3">
        <v>527</v>
      </c>
      <c r="F7" s="3">
        <v>27</v>
      </c>
      <c r="G7" s="3">
        <v>48</v>
      </c>
      <c r="H7" s="3">
        <v>19</v>
      </c>
      <c r="I7" s="3">
        <v>53</v>
      </c>
      <c r="J7" s="3">
        <v>162</v>
      </c>
      <c r="K7" s="3">
        <v>493</v>
      </c>
      <c r="L7" s="3">
        <v>320</v>
      </c>
      <c r="M7" s="3">
        <v>547</v>
      </c>
      <c r="N7" s="43">
        <f>SUM(B7,F7,J7)</f>
        <v>315</v>
      </c>
      <c r="O7" s="3">
        <f>SUM(B7,D7,F7,H7,J7,L7)</f>
        <v>769</v>
      </c>
      <c r="P7" s="3">
        <f>SUM(C7,G7,K7)</f>
        <v>839</v>
      </c>
      <c r="Q7" s="3">
        <f>SUM(C7,E7,G7,I7,K7,M7)</f>
        <v>1966</v>
      </c>
      <c r="R7" s="32"/>
      <c r="S7" s="33"/>
      <c r="T7" s="33"/>
      <c r="U7" s="34">
        <f>N7/P7</f>
        <v>0.37544696066746125</v>
      </c>
      <c r="V7" s="35"/>
      <c r="W7" s="35"/>
      <c r="X7" s="35"/>
      <c r="Y7" s="35"/>
      <c r="Z7" s="35"/>
      <c r="AA7" s="36"/>
    </row>
    <row r="8" spans="1:27" ht="16" thickBot="1" x14ac:dyDescent="0.4">
      <c r="A8" s="10">
        <v>38963</v>
      </c>
      <c r="B8" s="7">
        <v>88</v>
      </c>
      <c r="C8" s="7">
        <v>290</v>
      </c>
      <c r="D8" s="6">
        <v>117</v>
      </c>
      <c r="E8" s="6">
        <v>477</v>
      </c>
      <c r="F8" s="6">
        <v>5</v>
      </c>
      <c r="G8" s="6">
        <v>18</v>
      </c>
      <c r="H8" s="6">
        <v>18</v>
      </c>
      <c r="I8" s="6">
        <v>34</v>
      </c>
      <c r="J8" s="6">
        <v>239</v>
      </c>
      <c r="K8" s="6">
        <v>647</v>
      </c>
      <c r="L8" s="6">
        <v>421</v>
      </c>
      <c r="M8" s="6">
        <v>670</v>
      </c>
      <c r="N8" s="43">
        <f t="shared" ref="N8:N71" si="0">SUM(B8,F8,J8)</f>
        <v>332</v>
      </c>
      <c r="O8" s="3">
        <f t="shared" ref="O8:O71" si="1">SUM(B8,D8,F8,H8,J8,L8)</f>
        <v>888</v>
      </c>
      <c r="P8" s="3">
        <f t="shared" ref="P8:P71" si="2">SUM(C8,G8,K8)</f>
        <v>955</v>
      </c>
      <c r="Q8" s="3">
        <f t="shared" ref="Q8:Q71" si="3">SUM(C8,E8,G8,I8,K8,M8)</f>
        <v>2136</v>
      </c>
      <c r="R8" s="34">
        <f>(N8-N7)/N7</f>
        <v>5.3968253968253971E-2</v>
      </c>
      <c r="S8" s="32">
        <f>N8-N7</f>
        <v>17</v>
      </c>
      <c r="T8" s="33"/>
      <c r="U8" s="34">
        <f t="shared" ref="U8:U71" si="4">N8/P8</f>
        <v>0.34764397905759165</v>
      </c>
      <c r="V8" s="35"/>
      <c r="W8" s="35"/>
      <c r="X8" s="35"/>
      <c r="Y8" s="35"/>
      <c r="Z8" s="35"/>
      <c r="AA8" s="36" t="s">
        <v>31</v>
      </c>
    </row>
    <row r="9" spans="1:27" ht="16" thickBot="1" x14ac:dyDescent="0.4">
      <c r="A9" s="8">
        <v>38605</v>
      </c>
      <c r="B9" s="5">
        <v>71</v>
      </c>
      <c r="C9" s="5">
        <v>218</v>
      </c>
      <c r="D9" s="3">
        <v>87</v>
      </c>
      <c r="E9" s="3">
        <v>408</v>
      </c>
      <c r="F9" s="3">
        <v>43</v>
      </c>
      <c r="G9" s="3">
        <v>55</v>
      </c>
      <c r="H9" s="3">
        <v>23</v>
      </c>
      <c r="I9" s="3">
        <v>47</v>
      </c>
      <c r="J9" s="3">
        <v>184</v>
      </c>
      <c r="K9" s="3">
        <v>495</v>
      </c>
      <c r="L9" s="3">
        <v>397</v>
      </c>
      <c r="M9" s="3">
        <v>541</v>
      </c>
      <c r="N9" s="43">
        <f t="shared" si="0"/>
        <v>298</v>
      </c>
      <c r="O9" s="3">
        <f t="shared" si="1"/>
        <v>805</v>
      </c>
      <c r="P9" s="3">
        <f t="shared" si="2"/>
        <v>768</v>
      </c>
      <c r="Q9" s="3">
        <f t="shared" si="3"/>
        <v>1764</v>
      </c>
      <c r="R9" s="34">
        <f t="shared" ref="R9:R72" si="5">(N9-N8)/N8</f>
        <v>-0.10240963855421686</v>
      </c>
      <c r="S9" s="32">
        <f t="shared" ref="S9:S72" si="6">N9-N8</f>
        <v>-34</v>
      </c>
      <c r="T9" s="33"/>
      <c r="U9" s="34">
        <f t="shared" si="4"/>
        <v>0.38802083333333331</v>
      </c>
      <c r="V9" s="35"/>
      <c r="W9" s="35"/>
      <c r="X9" s="35"/>
      <c r="Y9" s="35"/>
      <c r="Z9" s="35"/>
      <c r="AA9" s="36"/>
    </row>
    <row r="10" spans="1:27" ht="16" thickBot="1" x14ac:dyDescent="0.4">
      <c r="A10" s="8">
        <v>38612</v>
      </c>
      <c r="B10" s="5">
        <v>42</v>
      </c>
      <c r="C10" s="5">
        <v>158</v>
      </c>
      <c r="D10" s="3">
        <v>149</v>
      </c>
      <c r="E10" s="3">
        <v>314</v>
      </c>
      <c r="F10" s="3">
        <v>4</v>
      </c>
      <c r="G10" s="3">
        <v>18</v>
      </c>
      <c r="H10" s="3">
        <v>15</v>
      </c>
      <c r="I10" s="3">
        <v>60</v>
      </c>
      <c r="J10" s="3">
        <v>180</v>
      </c>
      <c r="K10" s="3">
        <v>401</v>
      </c>
      <c r="L10" s="3">
        <v>452</v>
      </c>
      <c r="M10" s="3">
        <v>596</v>
      </c>
      <c r="N10" s="43">
        <f t="shared" si="0"/>
        <v>226</v>
      </c>
      <c r="O10" s="3">
        <f t="shared" si="1"/>
        <v>842</v>
      </c>
      <c r="P10" s="3">
        <f t="shared" si="2"/>
        <v>577</v>
      </c>
      <c r="Q10" s="3">
        <f t="shared" si="3"/>
        <v>1547</v>
      </c>
      <c r="R10" s="34">
        <f t="shared" si="5"/>
        <v>-0.24161073825503357</v>
      </c>
      <c r="S10" s="32">
        <f t="shared" si="6"/>
        <v>-72</v>
      </c>
      <c r="T10" s="33"/>
      <c r="U10" s="34">
        <f t="shared" si="4"/>
        <v>0.39168110918544197</v>
      </c>
      <c r="V10" s="35"/>
      <c r="W10" s="35"/>
      <c r="X10" s="35"/>
      <c r="Y10" s="35"/>
      <c r="Z10" s="35"/>
      <c r="AA10" s="36"/>
    </row>
    <row r="11" spans="1:27" ht="16" thickBot="1" x14ac:dyDescent="0.4">
      <c r="A11" s="10">
        <v>38984</v>
      </c>
      <c r="B11" s="7">
        <v>83</v>
      </c>
      <c r="C11" s="7">
        <v>223</v>
      </c>
      <c r="D11" s="6">
        <v>145</v>
      </c>
      <c r="E11" s="6">
        <v>335</v>
      </c>
      <c r="F11" s="6">
        <v>34</v>
      </c>
      <c r="G11" s="6">
        <v>42</v>
      </c>
      <c r="H11" s="6">
        <v>12</v>
      </c>
      <c r="I11" s="6">
        <v>30</v>
      </c>
      <c r="J11" s="6">
        <v>178</v>
      </c>
      <c r="K11" s="6">
        <v>531</v>
      </c>
      <c r="L11" s="6">
        <v>362</v>
      </c>
      <c r="M11" s="6">
        <v>591</v>
      </c>
      <c r="N11" s="43">
        <f t="shared" si="0"/>
        <v>295</v>
      </c>
      <c r="O11" s="3">
        <f t="shared" si="1"/>
        <v>814</v>
      </c>
      <c r="P11" s="3">
        <f t="shared" si="2"/>
        <v>796</v>
      </c>
      <c r="Q11" s="3">
        <f t="shared" si="3"/>
        <v>1752</v>
      </c>
      <c r="R11" s="34">
        <f t="shared" si="5"/>
        <v>0.30530973451327431</v>
      </c>
      <c r="S11" s="32">
        <f t="shared" si="6"/>
        <v>69</v>
      </c>
      <c r="T11" s="33"/>
      <c r="U11" s="34">
        <f t="shared" si="4"/>
        <v>0.37060301507537691</v>
      </c>
      <c r="V11" s="35"/>
      <c r="W11" s="35"/>
      <c r="X11" s="35"/>
      <c r="Y11" s="35"/>
      <c r="Z11" s="35"/>
      <c r="AA11" s="36" t="s">
        <v>32</v>
      </c>
    </row>
    <row r="12" spans="1:27" ht="16" thickBot="1" x14ac:dyDescent="0.4">
      <c r="A12" s="10">
        <v>38626</v>
      </c>
      <c r="B12" s="7">
        <v>64</v>
      </c>
      <c r="C12" s="7">
        <v>184</v>
      </c>
      <c r="D12" s="6">
        <v>140</v>
      </c>
      <c r="E12" s="6">
        <v>273</v>
      </c>
      <c r="F12" s="6">
        <v>16</v>
      </c>
      <c r="G12" s="6">
        <v>35</v>
      </c>
      <c r="H12" s="6">
        <v>23</v>
      </c>
      <c r="I12" s="6">
        <v>55</v>
      </c>
      <c r="J12" s="6">
        <v>200</v>
      </c>
      <c r="K12" s="6">
        <v>487</v>
      </c>
      <c r="L12" s="6">
        <v>433</v>
      </c>
      <c r="M12" s="6">
        <v>657</v>
      </c>
      <c r="N12" s="43">
        <f t="shared" si="0"/>
        <v>280</v>
      </c>
      <c r="O12" s="3">
        <f t="shared" si="1"/>
        <v>876</v>
      </c>
      <c r="P12" s="3">
        <f t="shared" si="2"/>
        <v>706</v>
      </c>
      <c r="Q12" s="3">
        <f t="shared" si="3"/>
        <v>1691</v>
      </c>
      <c r="R12" s="34">
        <f t="shared" si="5"/>
        <v>-5.0847457627118647E-2</v>
      </c>
      <c r="S12" s="32">
        <f t="shared" si="6"/>
        <v>-15</v>
      </c>
      <c r="T12" s="33"/>
      <c r="U12" s="34">
        <f t="shared" si="4"/>
        <v>0.39660056657223797</v>
      </c>
      <c r="V12" s="35"/>
      <c r="W12" s="35"/>
      <c r="X12" s="35"/>
      <c r="Y12" s="35"/>
      <c r="Z12" s="35"/>
      <c r="AA12" s="36"/>
    </row>
    <row r="13" spans="1:27" ht="16" thickBot="1" x14ac:dyDescent="0.4">
      <c r="A13" s="8">
        <v>38633</v>
      </c>
      <c r="B13" s="5">
        <v>71</v>
      </c>
      <c r="C13" s="5">
        <v>252</v>
      </c>
      <c r="D13" s="3">
        <v>143</v>
      </c>
      <c r="E13" s="3">
        <v>377</v>
      </c>
      <c r="F13" s="3">
        <v>17</v>
      </c>
      <c r="G13" s="3">
        <v>36</v>
      </c>
      <c r="H13" s="3">
        <v>28</v>
      </c>
      <c r="I13" s="3">
        <v>43</v>
      </c>
      <c r="J13" s="3">
        <v>108</v>
      </c>
      <c r="K13" s="3">
        <v>297</v>
      </c>
      <c r="L13" s="3">
        <v>313</v>
      </c>
      <c r="M13" s="3">
        <v>569</v>
      </c>
      <c r="N13" s="43">
        <f t="shared" si="0"/>
        <v>196</v>
      </c>
      <c r="O13" s="3">
        <f t="shared" si="1"/>
        <v>680</v>
      </c>
      <c r="P13" s="3">
        <f t="shared" si="2"/>
        <v>585</v>
      </c>
      <c r="Q13" s="3">
        <f t="shared" si="3"/>
        <v>1574</v>
      </c>
      <c r="R13" s="34">
        <f t="shared" si="5"/>
        <v>-0.3</v>
      </c>
      <c r="S13" s="32">
        <f t="shared" si="6"/>
        <v>-84</v>
      </c>
      <c r="T13" s="33"/>
      <c r="U13" s="34">
        <f t="shared" si="4"/>
        <v>0.33504273504273502</v>
      </c>
      <c r="V13" s="35"/>
      <c r="W13" s="35"/>
      <c r="X13" s="35"/>
      <c r="Y13" s="35"/>
      <c r="Z13" s="35"/>
      <c r="AA13" s="36"/>
    </row>
    <row r="14" spans="1:27" ht="16" thickBot="1" x14ac:dyDescent="0.4">
      <c r="A14" s="8">
        <v>38640</v>
      </c>
      <c r="B14" s="5">
        <v>95</v>
      </c>
      <c r="C14" s="5">
        <v>209</v>
      </c>
      <c r="D14" s="3">
        <v>133</v>
      </c>
      <c r="E14" s="3">
        <v>427</v>
      </c>
      <c r="F14" s="3">
        <v>52</v>
      </c>
      <c r="G14" s="3">
        <v>74</v>
      </c>
      <c r="H14" s="3">
        <v>10</v>
      </c>
      <c r="I14" s="3">
        <v>59</v>
      </c>
      <c r="J14" s="3">
        <v>216</v>
      </c>
      <c r="K14" s="3">
        <v>501</v>
      </c>
      <c r="L14" s="3">
        <v>355</v>
      </c>
      <c r="M14" s="3">
        <v>580</v>
      </c>
      <c r="N14" s="43">
        <f t="shared" si="0"/>
        <v>363</v>
      </c>
      <c r="O14" s="3">
        <f t="shared" si="1"/>
        <v>861</v>
      </c>
      <c r="P14" s="3">
        <f t="shared" si="2"/>
        <v>784</v>
      </c>
      <c r="Q14" s="3">
        <f t="shared" si="3"/>
        <v>1850</v>
      </c>
      <c r="R14" s="34">
        <f t="shared" si="5"/>
        <v>0.85204081632653061</v>
      </c>
      <c r="S14" s="32">
        <f t="shared" si="6"/>
        <v>167</v>
      </c>
      <c r="T14" s="33"/>
      <c r="U14" s="34">
        <f t="shared" si="4"/>
        <v>0.46301020408163263</v>
      </c>
      <c r="V14" s="35"/>
      <c r="W14" s="35"/>
      <c r="X14" s="35"/>
      <c r="Y14" s="35"/>
      <c r="Z14" s="35"/>
      <c r="AA14" s="36"/>
    </row>
    <row r="15" spans="1:27" ht="16" thickBot="1" x14ac:dyDescent="0.4">
      <c r="A15" s="8">
        <v>38647</v>
      </c>
      <c r="B15" s="3">
        <v>113</v>
      </c>
      <c r="C15" s="3">
        <v>285</v>
      </c>
      <c r="D15" s="3">
        <v>94</v>
      </c>
      <c r="E15" s="3">
        <v>419</v>
      </c>
      <c r="F15" s="3">
        <v>35</v>
      </c>
      <c r="G15" s="3">
        <v>43</v>
      </c>
      <c r="H15" s="3">
        <v>22</v>
      </c>
      <c r="I15" s="3">
        <v>52</v>
      </c>
      <c r="J15" s="3">
        <v>194</v>
      </c>
      <c r="K15" s="3">
        <v>450</v>
      </c>
      <c r="L15" s="3">
        <v>384</v>
      </c>
      <c r="M15" s="3">
        <v>571</v>
      </c>
      <c r="N15" s="43">
        <f t="shared" si="0"/>
        <v>342</v>
      </c>
      <c r="O15" s="3">
        <f t="shared" si="1"/>
        <v>842</v>
      </c>
      <c r="P15" s="3">
        <f t="shared" si="2"/>
        <v>778</v>
      </c>
      <c r="Q15" s="3">
        <f t="shared" si="3"/>
        <v>1820</v>
      </c>
      <c r="R15" s="34">
        <f t="shared" si="5"/>
        <v>-5.7851239669421489E-2</v>
      </c>
      <c r="S15" s="32">
        <f t="shared" si="6"/>
        <v>-21</v>
      </c>
      <c r="T15" s="33"/>
      <c r="U15" s="34">
        <f t="shared" si="4"/>
        <v>0.43958868894601544</v>
      </c>
      <c r="V15" s="35"/>
      <c r="W15" s="35"/>
      <c r="X15" s="35"/>
      <c r="Y15" s="35"/>
      <c r="Z15" s="35"/>
      <c r="AA15" s="36"/>
    </row>
    <row r="16" spans="1:27" ht="16" thickBot="1" x14ac:dyDescent="0.4">
      <c r="A16" s="8">
        <v>38654</v>
      </c>
      <c r="B16" s="3">
        <v>194</v>
      </c>
      <c r="C16" s="3">
        <v>294</v>
      </c>
      <c r="D16" s="3">
        <v>86</v>
      </c>
      <c r="E16" s="3">
        <v>349</v>
      </c>
      <c r="F16" s="3">
        <v>28</v>
      </c>
      <c r="G16" s="3">
        <v>49</v>
      </c>
      <c r="H16" s="3">
        <v>14</v>
      </c>
      <c r="I16" s="3">
        <v>42</v>
      </c>
      <c r="J16" s="3">
        <v>235</v>
      </c>
      <c r="K16" s="3">
        <v>462</v>
      </c>
      <c r="L16" s="3">
        <v>377</v>
      </c>
      <c r="M16" s="3">
        <v>633</v>
      </c>
      <c r="N16" s="43">
        <f t="shared" si="0"/>
        <v>457</v>
      </c>
      <c r="O16" s="3">
        <f t="shared" si="1"/>
        <v>934</v>
      </c>
      <c r="P16" s="3">
        <f t="shared" si="2"/>
        <v>805</v>
      </c>
      <c r="Q16" s="3">
        <f t="shared" si="3"/>
        <v>1829</v>
      </c>
      <c r="R16" s="34">
        <f t="shared" si="5"/>
        <v>0.33625730994152048</v>
      </c>
      <c r="S16" s="32">
        <f t="shared" si="6"/>
        <v>115</v>
      </c>
      <c r="T16" s="33"/>
      <c r="U16" s="34">
        <f t="shared" si="4"/>
        <v>0.56770186335403727</v>
      </c>
      <c r="V16" s="35"/>
      <c r="W16" s="35"/>
      <c r="X16" s="35"/>
      <c r="Y16" s="35"/>
      <c r="Z16" s="35"/>
      <c r="AA16" s="36"/>
    </row>
    <row r="17" spans="1:27" ht="16" thickBot="1" x14ac:dyDescent="0.4">
      <c r="A17" s="8">
        <v>38661</v>
      </c>
      <c r="B17" s="3">
        <v>259</v>
      </c>
      <c r="C17" s="3">
        <v>383</v>
      </c>
      <c r="D17" s="3">
        <v>133</v>
      </c>
      <c r="E17" s="3">
        <v>486</v>
      </c>
      <c r="F17" s="3">
        <v>23</v>
      </c>
      <c r="G17" s="3">
        <v>48</v>
      </c>
      <c r="H17" s="3">
        <v>21</v>
      </c>
      <c r="I17" s="3">
        <v>68</v>
      </c>
      <c r="J17" s="3">
        <v>266</v>
      </c>
      <c r="K17" s="3">
        <v>532</v>
      </c>
      <c r="L17" s="3">
        <v>316</v>
      </c>
      <c r="M17" s="3">
        <v>536</v>
      </c>
      <c r="N17" s="43">
        <f t="shared" si="0"/>
        <v>548</v>
      </c>
      <c r="O17" s="3">
        <f t="shared" si="1"/>
        <v>1018</v>
      </c>
      <c r="P17" s="3">
        <f t="shared" si="2"/>
        <v>963</v>
      </c>
      <c r="Q17" s="3">
        <f t="shared" si="3"/>
        <v>2053</v>
      </c>
      <c r="R17" s="34">
        <f t="shared" si="5"/>
        <v>0.19912472647702406</v>
      </c>
      <c r="S17" s="32">
        <f t="shared" si="6"/>
        <v>91</v>
      </c>
      <c r="T17" s="33"/>
      <c r="U17" s="34">
        <f t="shared" si="4"/>
        <v>0.56905503634475596</v>
      </c>
      <c r="V17" s="35"/>
      <c r="W17" s="35"/>
      <c r="X17" s="35"/>
      <c r="Y17" s="35"/>
      <c r="Z17" s="35"/>
      <c r="AA17" s="36"/>
    </row>
    <row r="18" spans="1:27" ht="16" thickBot="1" x14ac:dyDescent="0.4">
      <c r="A18" s="8">
        <f>7+A17</f>
        <v>38668</v>
      </c>
      <c r="B18" s="3">
        <v>341</v>
      </c>
      <c r="C18" s="3">
        <v>442</v>
      </c>
      <c r="D18" s="3">
        <v>87</v>
      </c>
      <c r="E18" s="3">
        <v>470</v>
      </c>
      <c r="F18" s="3">
        <v>35</v>
      </c>
      <c r="G18" s="3">
        <v>63</v>
      </c>
      <c r="H18" s="3">
        <v>5</v>
      </c>
      <c r="I18" s="3">
        <v>23</v>
      </c>
      <c r="J18" s="3">
        <v>279</v>
      </c>
      <c r="K18" s="3">
        <v>512</v>
      </c>
      <c r="L18" s="3">
        <v>340</v>
      </c>
      <c r="M18" s="3">
        <v>562</v>
      </c>
      <c r="N18" s="43">
        <f t="shared" si="0"/>
        <v>655</v>
      </c>
      <c r="O18" s="3">
        <f t="shared" si="1"/>
        <v>1087</v>
      </c>
      <c r="P18" s="3">
        <f t="shared" si="2"/>
        <v>1017</v>
      </c>
      <c r="Q18" s="3">
        <f t="shared" si="3"/>
        <v>2072</v>
      </c>
      <c r="R18" s="34">
        <f t="shared" si="5"/>
        <v>0.19525547445255476</v>
      </c>
      <c r="S18" s="32">
        <f t="shared" si="6"/>
        <v>107</v>
      </c>
      <c r="T18" s="33"/>
      <c r="U18" s="34">
        <f t="shared" si="4"/>
        <v>0.64405113077679454</v>
      </c>
      <c r="V18" s="37"/>
      <c r="W18" s="37"/>
      <c r="X18" s="37"/>
      <c r="Y18" s="38"/>
      <c r="Z18" s="38"/>
      <c r="AA18" s="36"/>
    </row>
    <row r="19" spans="1:27" ht="16" thickBot="1" x14ac:dyDescent="0.4">
      <c r="A19" s="8">
        <v>38675</v>
      </c>
      <c r="B19" s="3">
        <v>323</v>
      </c>
      <c r="C19" s="3">
        <v>407</v>
      </c>
      <c r="D19" s="3">
        <v>135</v>
      </c>
      <c r="E19" s="3">
        <v>568</v>
      </c>
      <c r="F19" s="3">
        <v>37</v>
      </c>
      <c r="G19" s="3">
        <v>57</v>
      </c>
      <c r="H19" s="3">
        <v>9</v>
      </c>
      <c r="I19" s="3">
        <v>58</v>
      </c>
      <c r="J19" s="3">
        <v>222</v>
      </c>
      <c r="K19" s="3">
        <v>522</v>
      </c>
      <c r="L19" s="3">
        <v>406</v>
      </c>
      <c r="M19" s="3">
        <v>684</v>
      </c>
      <c r="N19" s="43">
        <f t="shared" si="0"/>
        <v>582</v>
      </c>
      <c r="O19" s="3">
        <f t="shared" si="1"/>
        <v>1132</v>
      </c>
      <c r="P19" s="3">
        <f t="shared" si="2"/>
        <v>986</v>
      </c>
      <c r="Q19" s="3">
        <f t="shared" si="3"/>
        <v>2296</v>
      </c>
      <c r="R19" s="34">
        <f t="shared" si="5"/>
        <v>-0.11145038167938931</v>
      </c>
      <c r="S19" s="32">
        <f t="shared" si="6"/>
        <v>-73</v>
      </c>
      <c r="T19" s="33"/>
      <c r="U19" s="34">
        <f t="shared" si="4"/>
        <v>0.59026369168356996</v>
      </c>
      <c r="V19" s="35"/>
      <c r="W19" s="35"/>
      <c r="X19" s="35"/>
      <c r="Y19" s="35"/>
      <c r="Z19" s="35"/>
      <c r="AA19" s="36"/>
    </row>
    <row r="20" spans="1:27" ht="16" thickBot="1" x14ac:dyDescent="0.4">
      <c r="A20" s="8">
        <v>38682</v>
      </c>
      <c r="B20" s="3">
        <v>325</v>
      </c>
      <c r="C20" s="3">
        <v>418</v>
      </c>
      <c r="D20" s="3">
        <v>85</v>
      </c>
      <c r="E20" s="3">
        <v>545</v>
      </c>
      <c r="F20" s="3">
        <v>30</v>
      </c>
      <c r="G20" s="3">
        <v>49</v>
      </c>
      <c r="H20" s="3">
        <v>12</v>
      </c>
      <c r="I20" s="3">
        <v>47</v>
      </c>
      <c r="J20" s="3">
        <v>203</v>
      </c>
      <c r="K20" s="3">
        <v>483</v>
      </c>
      <c r="L20" s="3">
        <v>383</v>
      </c>
      <c r="M20" s="3">
        <v>613</v>
      </c>
      <c r="N20" s="43">
        <f t="shared" si="0"/>
        <v>558</v>
      </c>
      <c r="O20" s="3">
        <f t="shared" si="1"/>
        <v>1038</v>
      </c>
      <c r="P20" s="3">
        <f t="shared" si="2"/>
        <v>950</v>
      </c>
      <c r="Q20" s="3">
        <f t="shared" si="3"/>
        <v>2155</v>
      </c>
      <c r="R20" s="34">
        <f t="shared" si="5"/>
        <v>-4.1237113402061855E-2</v>
      </c>
      <c r="S20" s="32">
        <f t="shared" si="6"/>
        <v>-24</v>
      </c>
      <c r="T20" s="33"/>
      <c r="U20" s="34">
        <f t="shared" si="4"/>
        <v>0.58736842105263154</v>
      </c>
      <c r="V20" s="35"/>
      <c r="W20" s="35"/>
      <c r="X20" s="35"/>
      <c r="Y20" s="35"/>
      <c r="Z20" s="35"/>
      <c r="AA20" s="36"/>
    </row>
    <row r="21" spans="1:27" ht="16" thickBot="1" x14ac:dyDescent="0.4">
      <c r="A21" s="8">
        <v>38689</v>
      </c>
      <c r="B21" s="3">
        <v>278</v>
      </c>
      <c r="C21" s="3">
        <v>333</v>
      </c>
      <c r="D21" s="3">
        <v>69</v>
      </c>
      <c r="E21" s="3">
        <v>513</v>
      </c>
      <c r="F21" s="3">
        <v>34</v>
      </c>
      <c r="G21" s="3">
        <v>60</v>
      </c>
      <c r="H21" s="3">
        <v>14</v>
      </c>
      <c r="I21" s="3">
        <v>56</v>
      </c>
      <c r="J21" s="3">
        <v>252</v>
      </c>
      <c r="K21" s="3">
        <v>504</v>
      </c>
      <c r="L21" s="3">
        <v>359</v>
      </c>
      <c r="M21" s="3">
        <v>586</v>
      </c>
      <c r="N21" s="43">
        <f t="shared" si="0"/>
        <v>564</v>
      </c>
      <c r="O21" s="3">
        <f t="shared" si="1"/>
        <v>1006</v>
      </c>
      <c r="P21" s="3">
        <f t="shared" si="2"/>
        <v>897</v>
      </c>
      <c r="Q21" s="3">
        <f t="shared" si="3"/>
        <v>2052</v>
      </c>
      <c r="R21" s="34">
        <f t="shared" si="5"/>
        <v>1.0752688172043012E-2</v>
      </c>
      <c r="S21" s="32">
        <f t="shared" si="6"/>
        <v>6</v>
      </c>
      <c r="T21" s="33"/>
      <c r="U21" s="34">
        <f t="shared" si="4"/>
        <v>0.62876254180602009</v>
      </c>
      <c r="V21" s="35"/>
      <c r="W21" s="35"/>
      <c r="X21" s="35"/>
      <c r="Y21" s="35"/>
      <c r="Z21" s="35"/>
      <c r="AA21" s="36"/>
    </row>
    <row r="22" spans="1:27" ht="16" thickBot="1" x14ac:dyDescent="0.4">
      <c r="A22" s="8">
        <v>38696</v>
      </c>
      <c r="B22" s="3">
        <v>160</v>
      </c>
      <c r="C22" s="3">
        <v>283</v>
      </c>
      <c r="D22" s="3">
        <v>86</v>
      </c>
      <c r="E22" s="3">
        <v>513</v>
      </c>
      <c r="F22" s="3">
        <v>30</v>
      </c>
      <c r="G22" s="3">
        <v>40</v>
      </c>
      <c r="H22" s="3">
        <v>11</v>
      </c>
      <c r="I22" s="3">
        <v>29</v>
      </c>
      <c r="J22" s="3">
        <v>190</v>
      </c>
      <c r="K22" s="3">
        <v>539</v>
      </c>
      <c r="L22" s="3">
        <v>380</v>
      </c>
      <c r="M22" s="3">
        <v>569</v>
      </c>
      <c r="N22" s="43">
        <f t="shared" si="0"/>
        <v>380</v>
      </c>
      <c r="O22" s="3">
        <f t="shared" si="1"/>
        <v>857</v>
      </c>
      <c r="P22" s="3">
        <f t="shared" si="2"/>
        <v>862</v>
      </c>
      <c r="Q22" s="3">
        <f t="shared" si="3"/>
        <v>1973</v>
      </c>
      <c r="R22" s="34">
        <f t="shared" si="5"/>
        <v>-0.32624113475177308</v>
      </c>
      <c r="S22" s="32">
        <f t="shared" si="6"/>
        <v>-184</v>
      </c>
      <c r="T22" s="33"/>
      <c r="U22" s="34">
        <f t="shared" si="4"/>
        <v>0.44083526682134572</v>
      </c>
      <c r="V22" s="35"/>
      <c r="W22" s="35"/>
      <c r="X22" s="35"/>
      <c r="Y22" s="35"/>
      <c r="Z22" s="35"/>
      <c r="AA22" s="36"/>
    </row>
    <row r="23" spans="1:27" ht="16" thickBot="1" x14ac:dyDescent="0.4">
      <c r="A23" s="8">
        <v>38703</v>
      </c>
      <c r="B23" s="3">
        <v>302</v>
      </c>
      <c r="C23" s="3">
        <v>356</v>
      </c>
      <c r="D23" s="3">
        <v>107</v>
      </c>
      <c r="E23" s="3">
        <v>488</v>
      </c>
      <c r="F23" s="3">
        <v>27</v>
      </c>
      <c r="G23" s="3">
        <v>49</v>
      </c>
      <c r="H23" s="3">
        <v>24</v>
      </c>
      <c r="I23" s="3">
        <v>66</v>
      </c>
      <c r="J23" s="3">
        <v>286</v>
      </c>
      <c r="K23" s="3">
        <v>600</v>
      </c>
      <c r="L23" s="3">
        <v>424</v>
      </c>
      <c r="M23" s="3">
        <v>615</v>
      </c>
      <c r="N23" s="43">
        <f t="shared" si="0"/>
        <v>615</v>
      </c>
      <c r="O23" s="3">
        <f t="shared" si="1"/>
        <v>1170</v>
      </c>
      <c r="P23" s="3">
        <f t="shared" si="2"/>
        <v>1005</v>
      </c>
      <c r="Q23" s="3">
        <f t="shared" si="3"/>
        <v>2174</v>
      </c>
      <c r="R23" s="34">
        <f t="shared" si="5"/>
        <v>0.61842105263157898</v>
      </c>
      <c r="S23" s="32">
        <f t="shared" si="6"/>
        <v>235</v>
      </c>
      <c r="T23" s="33"/>
      <c r="U23" s="34">
        <f t="shared" si="4"/>
        <v>0.61194029850746268</v>
      </c>
      <c r="V23" s="35"/>
      <c r="W23" s="35"/>
      <c r="X23" s="35"/>
      <c r="Y23" s="35"/>
      <c r="Z23" s="35"/>
      <c r="AA23" s="36"/>
    </row>
    <row r="24" spans="1:27" ht="16" thickBot="1" x14ac:dyDescent="0.4">
      <c r="A24" s="8">
        <v>38710</v>
      </c>
      <c r="B24" s="3">
        <v>199</v>
      </c>
      <c r="C24" s="3">
        <v>298</v>
      </c>
      <c r="D24" s="3">
        <v>63</v>
      </c>
      <c r="E24" s="3">
        <v>288</v>
      </c>
      <c r="F24" s="3">
        <v>36</v>
      </c>
      <c r="G24" s="3">
        <v>54</v>
      </c>
      <c r="H24" s="3">
        <v>26</v>
      </c>
      <c r="I24" s="3">
        <v>54</v>
      </c>
      <c r="J24" s="3">
        <v>301</v>
      </c>
      <c r="K24" s="3">
        <v>626</v>
      </c>
      <c r="L24" s="3">
        <v>403</v>
      </c>
      <c r="M24" s="3">
        <v>709</v>
      </c>
      <c r="N24" s="43">
        <f t="shared" si="0"/>
        <v>536</v>
      </c>
      <c r="O24" s="3">
        <f t="shared" si="1"/>
        <v>1028</v>
      </c>
      <c r="P24" s="3">
        <f t="shared" si="2"/>
        <v>978</v>
      </c>
      <c r="Q24" s="3">
        <f t="shared" si="3"/>
        <v>2029</v>
      </c>
      <c r="R24" s="34">
        <f t="shared" si="5"/>
        <v>-0.12845528455284552</v>
      </c>
      <c r="S24" s="32">
        <f t="shared" si="6"/>
        <v>-79</v>
      </c>
      <c r="T24" s="33"/>
      <c r="U24" s="34">
        <f t="shared" si="4"/>
        <v>0.54805725971370145</v>
      </c>
      <c r="V24" s="35"/>
      <c r="W24" s="35"/>
      <c r="X24" s="35"/>
      <c r="Y24" s="35"/>
      <c r="Z24" s="35"/>
      <c r="AA24" s="36"/>
    </row>
    <row r="25" spans="1:27" ht="16" thickBot="1" x14ac:dyDescent="0.4">
      <c r="A25" s="8">
        <v>38717</v>
      </c>
      <c r="B25" s="3">
        <v>131</v>
      </c>
      <c r="C25" s="3">
        <v>214</v>
      </c>
      <c r="D25" s="3">
        <v>65</v>
      </c>
      <c r="E25" s="3">
        <v>347</v>
      </c>
      <c r="F25" s="3">
        <v>25</v>
      </c>
      <c r="G25" s="3">
        <v>40</v>
      </c>
      <c r="H25" s="3">
        <v>15</v>
      </c>
      <c r="I25" s="3">
        <v>54</v>
      </c>
      <c r="J25" s="3">
        <v>212</v>
      </c>
      <c r="K25" s="3">
        <v>520</v>
      </c>
      <c r="L25" s="3">
        <v>398</v>
      </c>
      <c r="M25" s="3">
        <v>684</v>
      </c>
      <c r="N25" s="43">
        <f t="shared" si="0"/>
        <v>368</v>
      </c>
      <c r="O25" s="3">
        <f t="shared" si="1"/>
        <v>846</v>
      </c>
      <c r="P25" s="3">
        <f t="shared" si="2"/>
        <v>774</v>
      </c>
      <c r="Q25" s="3">
        <f t="shared" si="3"/>
        <v>1859</v>
      </c>
      <c r="R25" s="34">
        <f t="shared" si="5"/>
        <v>-0.31343283582089554</v>
      </c>
      <c r="S25" s="32">
        <f t="shared" si="6"/>
        <v>-168</v>
      </c>
      <c r="T25" s="33"/>
      <c r="U25" s="34">
        <f t="shared" si="4"/>
        <v>0.47545219638242892</v>
      </c>
      <c r="V25" s="35"/>
      <c r="W25" s="35"/>
      <c r="X25" s="35"/>
      <c r="Y25" s="35"/>
      <c r="Z25" s="35"/>
      <c r="AA25" s="36"/>
    </row>
    <row r="26" spans="1:27" ht="16" thickBot="1" x14ac:dyDescent="0.4">
      <c r="A26" s="8">
        <v>38724</v>
      </c>
      <c r="B26" s="3">
        <v>110</v>
      </c>
      <c r="C26" s="3">
        <v>185</v>
      </c>
      <c r="D26" s="3">
        <v>77</v>
      </c>
      <c r="E26" s="3">
        <v>285</v>
      </c>
      <c r="F26" s="3">
        <v>46</v>
      </c>
      <c r="G26" s="3">
        <v>63</v>
      </c>
      <c r="H26" s="3">
        <v>21</v>
      </c>
      <c r="I26" s="3">
        <v>54</v>
      </c>
      <c r="J26" s="3">
        <v>183</v>
      </c>
      <c r="K26" s="3">
        <v>573</v>
      </c>
      <c r="L26" s="3">
        <v>379</v>
      </c>
      <c r="M26" s="3">
        <v>684</v>
      </c>
      <c r="N26" s="43">
        <f t="shared" si="0"/>
        <v>339</v>
      </c>
      <c r="O26" s="3">
        <f t="shared" si="1"/>
        <v>816</v>
      </c>
      <c r="P26" s="3">
        <f t="shared" si="2"/>
        <v>821</v>
      </c>
      <c r="Q26" s="3">
        <f t="shared" si="3"/>
        <v>1844</v>
      </c>
      <c r="R26" s="34">
        <f t="shared" si="5"/>
        <v>-7.880434782608696E-2</v>
      </c>
      <c r="S26" s="32">
        <f t="shared" si="6"/>
        <v>-29</v>
      </c>
      <c r="T26" s="33"/>
      <c r="U26" s="34">
        <f t="shared" si="4"/>
        <v>0.41291108404384896</v>
      </c>
      <c r="V26" s="35"/>
      <c r="W26" s="35"/>
      <c r="X26" s="35"/>
      <c r="Y26" s="35"/>
      <c r="Z26" s="35"/>
      <c r="AA26" s="36"/>
    </row>
    <row r="27" spans="1:27" ht="16" thickBot="1" x14ac:dyDescent="0.4">
      <c r="A27" s="8">
        <v>38731</v>
      </c>
      <c r="B27" s="3">
        <v>125</v>
      </c>
      <c r="C27" s="3">
        <v>199</v>
      </c>
      <c r="D27" s="3">
        <v>107</v>
      </c>
      <c r="E27" s="3">
        <v>284</v>
      </c>
      <c r="F27" s="3">
        <v>33</v>
      </c>
      <c r="G27" s="3">
        <v>71</v>
      </c>
      <c r="H27" s="3">
        <v>20</v>
      </c>
      <c r="I27" s="3">
        <v>64</v>
      </c>
      <c r="J27" s="3">
        <v>172</v>
      </c>
      <c r="K27" s="3">
        <v>526</v>
      </c>
      <c r="L27" s="3">
        <v>379</v>
      </c>
      <c r="M27" s="3">
        <v>670</v>
      </c>
      <c r="N27" s="43">
        <f t="shared" si="0"/>
        <v>330</v>
      </c>
      <c r="O27" s="3">
        <f t="shared" si="1"/>
        <v>836</v>
      </c>
      <c r="P27" s="3">
        <f t="shared" si="2"/>
        <v>796</v>
      </c>
      <c r="Q27" s="3">
        <f t="shared" si="3"/>
        <v>1814</v>
      </c>
      <c r="R27" s="34">
        <f t="shared" si="5"/>
        <v>-2.6548672566371681E-2</v>
      </c>
      <c r="S27" s="32">
        <f t="shared" si="6"/>
        <v>-9</v>
      </c>
      <c r="T27" s="33"/>
      <c r="U27" s="34">
        <f t="shared" si="4"/>
        <v>0.41457286432160806</v>
      </c>
      <c r="V27" s="35"/>
      <c r="W27" s="35"/>
      <c r="X27" s="35"/>
      <c r="Y27" s="35"/>
      <c r="Z27" s="35"/>
      <c r="AA27" s="36"/>
    </row>
    <row r="28" spans="1:27" ht="16" thickBot="1" x14ac:dyDescent="0.4">
      <c r="A28" s="8">
        <v>38738</v>
      </c>
      <c r="B28" s="3">
        <v>147</v>
      </c>
      <c r="C28" s="3">
        <v>253</v>
      </c>
      <c r="D28" s="3">
        <v>80</v>
      </c>
      <c r="E28" s="3">
        <v>241</v>
      </c>
      <c r="F28" s="3">
        <v>32</v>
      </c>
      <c r="G28" s="3">
        <v>59</v>
      </c>
      <c r="H28" s="3">
        <v>10</v>
      </c>
      <c r="I28" s="3">
        <v>25</v>
      </c>
      <c r="J28" s="3">
        <v>188</v>
      </c>
      <c r="K28" s="3">
        <v>536</v>
      </c>
      <c r="L28" s="3">
        <v>452</v>
      </c>
      <c r="M28" s="3">
        <v>754</v>
      </c>
      <c r="N28" s="43">
        <f t="shared" si="0"/>
        <v>367</v>
      </c>
      <c r="O28" s="3">
        <f t="shared" si="1"/>
        <v>909</v>
      </c>
      <c r="P28" s="3">
        <f t="shared" si="2"/>
        <v>848</v>
      </c>
      <c r="Q28" s="3">
        <f t="shared" si="3"/>
        <v>1868</v>
      </c>
      <c r="R28" s="34">
        <f t="shared" si="5"/>
        <v>0.11212121212121212</v>
      </c>
      <c r="S28" s="32">
        <f t="shared" si="6"/>
        <v>37</v>
      </c>
      <c r="T28" s="33"/>
      <c r="U28" s="34">
        <f t="shared" si="4"/>
        <v>0.43278301886792453</v>
      </c>
      <c r="V28" s="35"/>
      <c r="W28" s="35"/>
      <c r="X28" s="35"/>
      <c r="Y28" s="35"/>
      <c r="Z28" s="35"/>
      <c r="AA28" s="36"/>
    </row>
    <row r="29" spans="1:27" ht="16" thickBot="1" x14ac:dyDescent="0.4">
      <c r="A29" s="8">
        <v>38745</v>
      </c>
      <c r="B29" s="3">
        <v>139</v>
      </c>
      <c r="C29" s="3">
        <v>237</v>
      </c>
      <c r="D29" s="3">
        <v>103</v>
      </c>
      <c r="E29" s="3">
        <v>329</v>
      </c>
      <c r="F29" s="3">
        <v>39</v>
      </c>
      <c r="G29" s="3">
        <v>61</v>
      </c>
      <c r="H29" s="3">
        <v>21</v>
      </c>
      <c r="I29" s="3">
        <v>59</v>
      </c>
      <c r="J29" s="3">
        <v>226</v>
      </c>
      <c r="K29" s="3">
        <v>569</v>
      </c>
      <c r="L29" s="3">
        <v>405</v>
      </c>
      <c r="M29" s="3">
        <v>651</v>
      </c>
      <c r="N29" s="43">
        <f t="shared" si="0"/>
        <v>404</v>
      </c>
      <c r="O29" s="3">
        <f t="shared" si="1"/>
        <v>933</v>
      </c>
      <c r="P29" s="3">
        <f t="shared" si="2"/>
        <v>867</v>
      </c>
      <c r="Q29" s="3">
        <f t="shared" si="3"/>
        <v>1906</v>
      </c>
      <c r="R29" s="34">
        <f t="shared" si="5"/>
        <v>0.1008174386920981</v>
      </c>
      <c r="S29" s="32">
        <f t="shared" si="6"/>
        <v>37</v>
      </c>
      <c r="T29" s="33"/>
      <c r="U29" s="34">
        <f t="shared" si="4"/>
        <v>0.46597462514417531</v>
      </c>
      <c r="V29" s="35"/>
      <c r="W29" s="35"/>
      <c r="X29" s="35"/>
      <c r="Y29" s="35"/>
      <c r="Z29" s="35"/>
      <c r="AA29" s="36"/>
    </row>
    <row r="30" spans="1:27" ht="16" thickBot="1" x14ac:dyDescent="0.4">
      <c r="A30" s="8">
        <f t="shared" ref="A30:A48" si="7">7+A29</f>
        <v>38752</v>
      </c>
      <c r="B30" s="3">
        <v>143</v>
      </c>
      <c r="C30" s="3">
        <v>212</v>
      </c>
      <c r="D30" s="3">
        <v>81</v>
      </c>
      <c r="E30" s="3">
        <v>312</v>
      </c>
      <c r="F30" s="3">
        <v>29</v>
      </c>
      <c r="G30" s="3">
        <v>35</v>
      </c>
      <c r="H30" s="3">
        <v>17</v>
      </c>
      <c r="I30" s="3">
        <v>57</v>
      </c>
      <c r="J30" s="3">
        <v>182</v>
      </c>
      <c r="K30" s="3">
        <v>513</v>
      </c>
      <c r="L30" s="3">
        <v>420</v>
      </c>
      <c r="M30" s="3">
        <v>739</v>
      </c>
      <c r="N30" s="43">
        <f t="shared" si="0"/>
        <v>354</v>
      </c>
      <c r="O30" s="3">
        <f t="shared" si="1"/>
        <v>872</v>
      </c>
      <c r="P30" s="3">
        <f t="shared" si="2"/>
        <v>760</v>
      </c>
      <c r="Q30" s="3">
        <f t="shared" si="3"/>
        <v>1868</v>
      </c>
      <c r="R30" s="34">
        <f t="shared" si="5"/>
        <v>-0.12376237623762376</v>
      </c>
      <c r="S30" s="32">
        <f t="shared" si="6"/>
        <v>-50</v>
      </c>
      <c r="T30" s="33"/>
      <c r="U30" s="34">
        <f t="shared" si="4"/>
        <v>0.46578947368421053</v>
      </c>
      <c r="V30" s="35"/>
      <c r="W30" s="35"/>
      <c r="X30" s="35"/>
      <c r="Y30" s="35"/>
      <c r="Z30" s="35"/>
      <c r="AA30" s="36"/>
    </row>
    <row r="31" spans="1:27" ht="16" thickBot="1" x14ac:dyDescent="0.4">
      <c r="A31" s="8">
        <f t="shared" si="7"/>
        <v>38759</v>
      </c>
      <c r="B31" s="3">
        <v>214</v>
      </c>
      <c r="C31" s="3">
        <v>303</v>
      </c>
      <c r="D31" s="3">
        <v>80</v>
      </c>
      <c r="E31" s="3">
        <v>324</v>
      </c>
      <c r="F31" s="3">
        <v>38</v>
      </c>
      <c r="G31" s="3">
        <v>72</v>
      </c>
      <c r="H31" s="3">
        <v>17</v>
      </c>
      <c r="I31" s="3">
        <v>69</v>
      </c>
      <c r="J31" s="3">
        <v>197</v>
      </c>
      <c r="K31" s="3">
        <v>531</v>
      </c>
      <c r="L31" s="3">
        <v>384</v>
      </c>
      <c r="M31" s="3">
        <v>677</v>
      </c>
      <c r="N31" s="43">
        <f t="shared" si="0"/>
        <v>449</v>
      </c>
      <c r="O31" s="3">
        <f t="shared" si="1"/>
        <v>930</v>
      </c>
      <c r="P31" s="3">
        <f t="shared" si="2"/>
        <v>906</v>
      </c>
      <c r="Q31" s="3">
        <f t="shared" si="3"/>
        <v>1976</v>
      </c>
      <c r="R31" s="34">
        <f t="shared" si="5"/>
        <v>0.26836158192090398</v>
      </c>
      <c r="S31" s="32">
        <f t="shared" si="6"/>
        <v>95</v>
      </c>
      <c r="T31" s="33"/>
      <c r="U31" s="34">
        <f t="shared" si="4"/>
        <v>0.49558498896247238</v>
      </c>
      <c r="V31" s="35"/>
      <c r="W31" s="35"/>
      <c r="X31" s="35"/>
      <c r="Y31" s="35"/>
      <c r="Z31" s="35"/>
      <c r="AA31" s="36"/>
    </row>
    <row r="32" spans="1:27" ht="16" thickBot="1" x14ac:dyDescent="0.4">
      <c r="A32" s="8">
        <f t="shared" si="7"/>
        <v>38766</v>
      </c>
      <c r="B32" s="3">
        <v>175</v>
      </c>
      <c r="C32" s="3">
        <v>266</v>
      </c>
      <c r="D32" s="3">
        <v>100</v>
      </c>
      <c r="E32" s="3">
        <v>322</v>
      </c>
      <c r="F32" s="3">
        <v>48</v>
      </c>
      <c r="G32" s="3">
        <v>73</v>
      </c>
      <c r="H32" s="3">
        <v>5</v>
      </c>
      <c r="I32" s="3">
        <v>44</v>
      </c>
      <c r="J32" s="3">
        <v>261</v>
      </c>
      <c r="K32" s="3">
        <v>592</v>
      </c>
      <c r="L32" s="3">
        <v>463</v>
      </c>
      <c r="M32" s="3">
        <v>704</v>
      </c>
      <c r="N32" s="43">
        <f t="shared" si="0"/>
        <v>484</v>
      </c>
      <c r="O32" s="3">
        <f t="shared" si="1"/>
        <v>1052</v>
      </c>
      <c r="P32" s="3">
        <f t="shared" si="2"/>
        <v>931</v>
      </c>
      <c r="Q32" s="3">
        <f t="shared" si="3"/>
        <v>2001</v>
      </c>
      <c r="R32" s="34">
        <f t="shared" si="5"/>
        <v>7.7951002227171495E-2</v>
      </c>
      <c r="S32" s="32">
        <f t="shared" si="6"/>
        <v>35</v>
      </c>
      <c r="T32" s="33"/>
      <c r="U32" s="34">
        <f t="shared" si="4"/>
        <v>0.51987110633727174</v>
      </c>
      <c r="V32" s="35"/>
      <c r="W32" s="35"/>
      <c r="X32" s="35"/>
      <c r="Y32" s="35"/>
      <c r="Z32" s="35"/>
      <c r="AA32" s="36"/>
    </row>
    <row r="33" spans="1:27" ht="16" thickBot="1" x14ac:dyDescent="0.4">
      <c r="A33" s="8">
        <f t="shared" si="7"/>
        <v>38773</v>
      </c>
      <c r="B33" s="3">
        <v>214</v>
      </c>
      <c r="C33" s="3">
        <v>337</v>
      </c>
      <c r="D33" s="3">
        <v>73</v>
      </c>
      <c r="E33" s="3">
        <v>267</v>
      </c>
      <c r="F33" s="3">
        <v>65</v>
      </c>
      <c r="G33" s="3">
        <v>97</v>
      </c>
      <c r="H33" s="3">
        <v>17</v>
      </c>
      <c r="I33" s="3">
        <v>77</v>
      </c>
      <c r="J33" s="3">
        <v>158</v>
      </c>
      <c r="K33" s="3">
        <v>479</v>
      </c>
      <c r="L33" s="3">
        <v>461</v>
      </c>
      <c r="M33" s="3">
        <v>735</v>
      </c>
      <c r="N33" s="43">
        <f t="shared" si="0"/>
        <v>437</v>
      </c>
      <c r="O33" s="3">
        <f t="shared" si="1"/>
        <v>988</v>
      </c>
      <c r="P33" s="3">
        <f t="shared" si="2"/>
        <v>913</v>
      </c>
      <c r="Q33" s="3">
        <f t="shared" si="3"/>
        <v>1992</v>
      </c>
      <c r="R33" s="34">
        <f t="shared" si="5"/>
        <v>-9.7107438016528921E-2</v>
      </c>
      <c r="S33" s="32">
        <f t="shared" si="6"/>
        <v>-47</v>
      </c>
      <c r="T33" s="33"/>
      <c r="U33" s="34">
        <f t="shared" si="4"/>
        <v>0.47864184008762323</v>
      </c>
      <c r="V33" s="35"/>
      <c r="W33" s="35"/>
      <c r="X33" s="35"/>
      <c r="Y33" s="35"/>
      <c r="Z33" s="35"/>
      <c r="AA33" s="36"/>
    </row>
    <row r="34" spans="1:27" ht="16" thickBot="1" x14ac:dyDescent="0.4">
      <c r="A34" s="8">
        <f t="shared" si="7"/>
        <v>38780</v>
      </c>
      <c r="B34" s="3">
        <v>252</v>
      </c>
      <c r="C34" s="3">
        <v>338</v>
      </c>
      <c r="D34" s="3">
        <v>83</v>
      </c>
      <c r="E34" s="3">
        <v>293</v>
      </c>
      <c r="F34" s="3">
        <v>29</v>
      </c>
      <c r="G34" s="3">
        <v>78</v>
      </c>
      <c r="H34" s="3">
        <v>36</v>
      </c>
      <c r="I34" s="3">
        <v>82</v>
      </c>
      <c r="J34" s="3">
        <v>230</v>
      </c>
      <c r="K34" s="3">
        <v>500</v>
      </c>
      <c r="L34" s="3">
        <v>449</v>
      </c>
      <c r="M34" s="3">
        <v>783</v>
      </c>
      <c r="N34" s="43">
        <f t="shared" si="0"/>
        <v>511</v>
      </c>
      <c r="O34" s="3">
        <f t="shared" si="1"/>
        <v>1079</v>
      </c>
      <c r="P34" s="3">
        <f t="shared" si="2"/>
        <v>916</v>
      </c>
      <c r="Q34" s="3">
        <f t="shared" si="3"/>
        <v>2074</v>
      </c>
      <c r="R34" s="34">
        <f t="shared" si="5"/>
        <v>0.16933638443935928</v>
      </c>
      <c r="S34" s="32">
        <f t="shared" si="6"/>
        <v>74</v>
      </c>
      <c r="T34" s="33"/>
      <c r="U34" s="34">
        <f t="shared" si="4"/>
        <v>0.55786026200873362</v>
      </c>
      <c r="V34" s="35"/>
      <c r="W34" s="35"/>
      <c r="X34" s="35"/>
      <c r="Y34" s="35"/>
      <c r="Z34" s="35"/>
      <c r="AA34" s="36"/>
    </row>
    <row r="35" spans="1:27" ht="16" thickBot="1" x14ac:dyDescent="0.4">
      <c r="A35" s="8">
        <f t="shared" si="7"/>
        <v>38787</v>
      </c>
      <c r="B35" s="3">
        <v>196</v>
      </c>
      <c r="C35" s="3">
        <v>309</v>
      </c>
      <c r="D35" s="3">
        <v>55</v>
      </c>
      <c r="E35" s="3">
        <v>305</v>
      </c>
      <c r="F35" s="3">
        <v>39</v>
      </c>
      <c r="G35" s="3">
        <v>66</v>
      </c>
      <c r="H35" s="3">
        <v>28</v>
      </c>
      <c r="I35" s="3">
        <v>80</v>
      </c>
      <c r="J35" s="3">
        <v>184</v>
      </c>
      <c r="K35" s="3">
        <v>521</v>
      </c>
      <c r="L35" s="3">
        <v>432</v>
      </c>
      <c r="M35" s="3">
        <v>744</v>
      </c>
      <c r="N35" s="43">
        <f t="shared" si="0"/>
        <v>419</v>
      </c>
      <c r="O35" s="3">
        <f t="shared" si="1"/>
        <v>934</v>
      </c>
      <c r="P35" s="3">
        <f t="shared" si="2"/>
        <v>896</v>
      </c>
      <c r="Q35" s="3">
        <f t="shared" si="3"/>
        <v>2025</v>
      </c>
      <c r="R35" s="34">
        <f t="shared" si="5"/>
        <v>-0.18003913894324852</v>
      </c>
      <c r="S35" s="32">
        <f t="shared" si="6"/>
        <v>-92</v>
      </c>
      <c r="T35" s="33"/>
      <c r="U35" s="34">
        <f t="shared" si="4"/>
        <v>0.46763392857142855</v>
      </c>
      <c r="V35" s="35"/>
      <c r="W35" s="35"/>
      <c r="X35" s="35"/>
      <c r="Y35" s="35"/>
      <c r="Z35" s="35"/>
      <c r="AA35" s="36"/>
    </row>
    <row r="36" spans="1:27" ht="16" thickBot="1" x14ac:dyDescent="0.4">
      <c r="A36" s="8">
        <f t="shared" si="7"/>
        <v>38794</v>
      </c>
      <c r="B36" s="3">
        <v>292</v>
      </c>
      <c r="C36" s="3">
        <v>461</v>
      </c>
      <c r="D36" s="3">
        <v>87</v>
      </c>
      <c r="E36" s="3">
        <v>250</v>
      </c>
      <c r="F36" s="3">
        <v>22</v>
      </c>
      <c r="G36" s="3">
        <v>62</v>
      </c>
      <c r="H36" s="3">
        <v>37</v>
      </c>
      <c r="I36" s="3">
        <v>78</v>
      </c>
      <c r="J36" s="3">
        <v>173</v>
      </c>
      <c r="K36" s="3">
        <v>450</v>
      </c>
      <c r="L36" s="3">
        <v>382</v>
      </c>
      <c r="M36" s="3">
        <v>698</v>
      </c>
      <c r="N36" s="43">
        <f t="shared" si="0"/>
        <v>487</v>
      </c>
      <c r="O36" s="3">
        <f t="shared" si="1"/>
        <v>993</v>
      </c>
      <c r="P36" s="3">
        <f t="shared" si="2"/>
        <v>973</v>
      </c>
      <c r="Q36" s="3">
        <f t="shared" si="3"/>
        <v>1999</v>
      </c>
      <c r="R36" s="34">
        <f t="shared" si="5"/>
        <v>0.162291169451074</v>
      </c>
      <c r="S36" s="32">
        <f t="shared" si="6"/>
        <v>68</v>
      </c>
      <c r="T36" s="33"/>
      <c r="U36" s="34">
        <f t="shared" si="4"/>
        <v>0.50051387461459407</v>
      </c>
      <c r="V36" s="35"/>
      <c r="W36" s="35"/>
      <c r="X36" s="35"/>
      <c r="Y36" s="35"/>
      <c r="Z36" s="35"/>
      <c r="AA36" s="36"/>
    </row>
    <row r="37" spans="1:27" ht="16" thickBot="1" x14ac:dyDescent="0.4">
      <c r="A37" s="8">
        <f t="shared" si="7"/>
        <v>38801</v>
      </c>
      <c r="B37" s="3">
        <v>281</v>
      </c>
      <c r="C37" s="3">
        <v>517</v>
      </c>
      <c r="D37" s="3">
        <v>74</v>
      </c>
      <c r="E37" s="3">
        <v>255</v>
      </c>
      <c r="F37" s="3">
        <v>48</v>
      </c>
      <c r="G37" s="3">
        <v>86</v>
      </c>
      <c r="H37" s="3">
        <v>46</v>
      </c>
      <c r="I37" s="3">
        <v>95</v>
      </c>
      <c r="J37" s="3">
        <v>244</v>
      </c>
      <c r="K37" s="3">
        <v>572</v>
      </c>
      <c r="L37" s="3">
        <v>529</v>
      </c>
      <c r="M37" s="3">
        <v>778</v>
      </c>
      <c r="N37" s="43">
        <f t="shared" si="0"/>
        <v>573</v>
      </c>
      <c r="O37" s="3">
        <f t="shared" si="1"/>
        <v>1222</v>
      </c>
      <c r="P37" s="3">
        <f t="shared" si="2"/>
        <v>1175</v>
      </c>
      <c r="Q37" s="3">
        <f t="shared" si="3"/>
        <v>2303</v>
      </c>
      <c r="R37" s="34">
        <f t="shared" si="5"/>
        <v>0.17659137577002054</v>
      </c>
      <c r="S37" s="32">
        <f t="shared" si="6"/>
        <v>86</v>
      </c>
      <c r="T37" s="33"/>
      <c r="U37" s="34">
        <f t="shared" si="4"/>
        <v>0.48765957446808511</v>
      </c>
      <c r="V37" s="35"/>
      <c r="W37" s="35"/>
      <c r="X37" s="35"/>
      <c r="Y37" s="35"/>
      <c r="Z37" s="35"/>
      <c r="AA37" s="36"/>
    </row>
    <row r="38" spans="1:27" ht="16" thickBot="1" x14ac:dyDescent="0.4">
      <c r="A38" s="8">
        <f t="shared" si="7"/>
        <v>38808</v>
      </c>
      <c r="B38" s="3">
        <v>211</v>
      </c>
      <c r="C38" s="3">
        <v>392</v>
      </c>
      <c r="D38" s="3">
        <v>72</v>
      </c>
      <c r="E38" s="3">
        <v>443</v>
      </c>
      <c r="F38" s="3">
        <v>23</v>
      </c>
      <c r="G38" s="3">
        <v>56</v>
      </c>
      <c r="H38" s="3">
        <v>42</v>
      </c>
      <c r="I38" s="3">
        <v>68</v>
      </c>
      <c r="J38" s="3">
        <v>207</v>
      </c>
      <c r="K38" s="3">
        <v>560</v>
      </c>
      <c r="L38" s="3">
        <v>437</v>
      </c>
      <c r="M38" s="3">
        <v>667</v>
      </c>
      <c r="N38" s="43">
        <f t="shared" si="0"/>
        <v>441</v>
      </c>
      <c r="O38" s="3">
        <f t="shared" si="1"/>
        <v>992</v>
      </c>
      <c r="P38" s="3">
        <f t="shared" si="2"/>
        <v>1008</v>
      </c>
      <c r="Q38" s="3">
        <f t="shared" si="3"/>
        <v>2186</v>
      </c>
      <c r="R38" s="34">
        <f t="shared" si="5"/>
        <v>-0.23036649214659685</v>
      </c>
      <c r="S38" s="32">
        <f t="shared" si="6"/>
        <v>-132</v>
      </c>
      <c r="T38" s="33"/>
      <c r="U38" s="34">
        <f t="shared" si="4"/>
        <v>0.4375</v>
      </c>
      <c r="V38" s="35"/>
      <c r="W38" s="35"/>
      <c r="X38" s="35"/>
      <c r="Y38" s="35"/>
      <c r="Z38" s="35"/>
      <c r="AA38" s="36"/>
    </row>
    <row r="39" spans="1:27" ht="16" thickBot="1" x14ac:dyDescent="0.4">
      <c r="A39" s="8">
        <f t="shared" si="7"/>
        <v>38815</v>
      </c>
      <c r="B39" s="3">
        <v>286</v>
      </c>
      <c r="C39" s="3">
        <v>470</v>
      </c>
      <c r="D39" s="3">
        <v>69</v>
      </c>
      <c r="E39" s="3">
        <v>393</v>
      </c>
      <c r="F39" s="3">
        <v>32</v>
      </c>
      <c r="G39" s="3">
        <v>62</v>
      </c>
      <c r="H39" s="3">
        <v>21</v>
      </c>
      <c r="I39" s="3">
        <v>56</v>
      </c>
      <c r="J39" s="3">
        <v>231</v>
      </c>
      <c r="K39" s="3">
        <v>593</v>
      </c>
      <c r="L39" s="3">
        <v>575</v>
      </c>
      <c r="M39" s="3">
        <v>850</v>
      </c>
      <c r="N39" s="43">
        <f t="shared" si="0"/>
        <v>549</v>
      </c>
      <c r="O39" s="3">
        <f t="shared" si="1"/>
        <v>1214</v>
      </c>
      <c r="P39" s="3">
        <f t="shared" si="2"/>
        <v>1125</v>
      </c>
      <c r="Q39" s="3">
        <f t="shared" si="3"/>
        <v>2424</v>
      </c>
      <c r="R39" s="34">
        <f t="shared" si="5"/>
        <v>0.24489795918367346</v>
      </c>
      <c r="S39" s="32">
        <f t="shared" si="6"/>
        <v>108</v>
      </c>
      <c r="T39" s="33"/>
      <c r="U39" s="34">
        <f t="shared" si="4"/>
        <v>0.48799999999999999</v>
      </c>
      <c r="V39" s="35"/>
      <c r="W39" s="35"/>
      <c r="X39" s="35"/>
      <c r="Y39" s="35"/>
      <c r="Z39" s="35"/>
      <c r="AA39" s="36"/>
    </row>
    <row r="40" spans="1:27" ht="16" thickBot="1" x14ac:dyDescent="0.4">
      <c r="A40" s="8">
        <f t="shared" si="7"/>
        <v>38822</v>
      </c>
      <c r="B40" s="3">
        <v>307</v>
      </c>
      <c r="C40" s="3">
        <v>506</v>
      </c>
      <c r="D40" s="3">
        <v>77</v>
      </c>
      <c r="E40" s="3">
        <v>485</v>
      </c>
      <c r="F40" s="3">
        <v>28</v>
      </c>
      <c r="G40" s="3">
        <v>58</v>
      </c>
      <c r="H40" s="3">
        <v>33</v>
      </c>
      <c r="I40" s="3">
        <v>54</v>
      </c>
      <c r="J40" s="3">
        <v>111</v>
      </c>
      <c r="K40" s="3">
        <v>448</v>
      </c>
      <c r="L40" s="3">
        <v>510</v>
      </c>
      <c r="M40" s="3">
        <v>735</v>
      </c>
      <c r="N40" s="43">
        <f t="shared" si="0"/>
        <v>446</v>
      </c>
      <c r="O40" s="3">
        <f t="shared" si="1"/>
        <v>1066</v>
      </c>
      <c r="P40" s="3">
        <f t="shared" si="2"/>
        <v>1012</v>
      </c>
      <c r="Q40" s="3">
        <f t="shared" si="3"/>
        <v>2286</v>
      </c>
      <c r="R40" s="34">
        <f t="shared" si="5"/>
        <v>-0.18761384335154827</v>
      </c>
      <c r="S40" s="32">
        <f t="shared" si="6"/>
        <v>-103</v>
      </c>
      <c r="T40" s="33"/>
      <c r="U40" s="34">
        <f t="shared" si="4"/>
        <v>0.44071146245059289</v>
      </c>
      <c r="V40" s="35"/>
      <c r="W40" s="35"/>
      <c r="X40" s="35"/>
      <c r="Y40" s="35"/>
      <c r="Z40" s="35"/>
      <c r="AA40" s="36"/>
    </row>
    <row r="41" spans="1:27" ht="16" thickBot="1" x14ac:dyDescent="0.4">
      <c r="A41" s="8">
        <f t="shared" si="7"/>
        <v>38829</v>
      </c>
      <c r="B41" s="3">
        <v>344</v>
      </c>
      <c r="C41" s="3">
        <v>503</v>
      </c>
      <c r="D41" s="3">
        <v>66</v>
      </c>
      <c r="E41" s="3">
        <v>417</v>
      </c>
      <c r="F41" s="3">
        <v>21</v>
      </c>
      <c r="G41" s="3">
        <v>32</v>
      </c>
      <c r="H41" s="3">
        <v>29</v>
      </c>
      <c r="I41" s="3">
        <v>62</v>
      </c>
      <c r="J41" s="3">
        <v>303</v>
      </c>
      <c r="K41" s="3">
        <v>642</v>
      </c>
      <c r="L41" s="3">
        <v>432</v>
      </c>
      <c r="M41" s="3">
        <v>613</v>
      </c>
      <c r="N41" s="43">
        <f t="shared" si="0"/>
        <v>668</v>
      </c>
      <c r="O41" s="3">
        <f t="shared" si="1"/>
        <v>1195</v>
      </c>
      <c r="P41" s="3">
        <f t="shared" si="2"/>
        <v>1177</v>
      </c>
      <c r="Q41" s="3">
        <f t="shared" si="3"/>
        <v>2269</v>
      </c>
      <c r="R41" s="34">
        <f t="shared" si="5"/>
        <v>0.49775784753363228</v>
      </c>
      <c r="S41" s="32">
        <f t="shared" si="6"/>
        <v>222</v>
      </c>
      <c r="T41" s="33"/>
      <c r="U41" s="34">
        <f t="shared" si="4"/>
        <v>0.56754460492778247</v>
      </c>
      <c r="V41" s="35"/>
      <c r="W41" s="35"/>
      <c r="X41" s="35"/>
      <c r="Y41" s="35"/>
      <c r="Z41" s="35"/>
      <c r="AA41" s="36"/>
    </row>
    <row r="42" spans="1:27" ht="16" thickBot="1" x14ac:dyDescent="0.4">
      <c r="A42" s="8">
        <f t="shared" si="7"/>
        <v>38836</v>
      </c>
      <c r="B42" s="3">
        <v>253</v>
      </c>
      <c r="C42" s="3">
        <v>482</v>
      </c>
      <c r="D42" s="3">
        <v>77</v>
      </c>
      <c r="E42" s="3">
        <v>505</v>
      </c>
      <c r="F42" s="3">
        <v>6</v>
      </c>
      <c r="G42" s="3">
        <v>52</v>
      </c>
      <c r="H42" s="3">
        <v>48</v>
      </c>
      <c r="I42" s="3">
        <v>71</v>
      </c>
      <c r="J42" s="3">
        <v>184</v>
      </c>
      <c r="K42" s="3">
        <v>520</v>
      </c>
      <c r="L42" s="3">
        <v>566</v>
      </c>
      <c r="M42" s="3">
        <v>776</v>
      </c>
      <c r="N42" s="43">
        <f t="shared" si="0"/>
        <v>443</v>
      </c>
      <c r="O42" s="3">
        <f t="shared" si="1"/>
        <v>1134</v>
      </c>
      <c r="P42" s="3">
        <f t="shared" si="2"/>
        <v>1054</v>
      </c>
      <c r="Q42" s="3">
        <f t="shared" si="3"/>
        <v>2406</v>
      </c>
      <c r="R42" s="34">
        <f t="shared" si="5"/>
        <v>-0.33682634730538924</v>
      </c>
      <c r="S42" s="32">
        <f t="shared" si="6"/>
        <v>-225</v>
      </c>
      <c r="T42" s="33"/>
      <c r="U42" s="34">
        <f t="shared" si="4"/>
        <v>0.42030360531309297</v>
      </c>
      <c r="V42" s="35"/>
      <c r="W42" s="35"/>
      <c r="X42" s="35"/>
      <c r="Y42" s="35"/>
      <c r="Z42" s="35"/>
      <c r="AA42" s="36"/>
    </row>
    <row r="43" spans="1:27" ht="16" thickBot="1" x14ac:dyDescent="0.4">
      <c r="A43" s="8">
        <f t="shared" si="7"/>
        <v>38843</v>
      </c>
      <c r="B43" s="3">
        <v>230</v>
      </c>
      <c r="C43" s="3">
        <v>374</v>
      </c>
      <c r="D43" s="3">
        <v>65</v>
      </c>
      <c r="E43" s="3">
        <v>447</v>
      </c>
      <c r="F43" s="3">
        <v>55</v>
      </c>
      <c r="G43" s="3">
        <v>73</v>
      </c>
      <c r="H43" s="3">
        <v>54</v>
      </c>
      <c r="I43" s="3">
        <v>77</v>
      </c>
      <c r="J43" s="3">
        <v>177</v>
      </c>
      <c r="K43" s="3">
        <v>506</v>
      </c>
      <c r="L43" s="3">
        <v>556</v>
      </c>
      <c r="M43" s="3">
        <v>804</v>
      </c>
      <c r="N43" s="43">
        <f t="shared" si="0"/>
        <v>462</v>
      </c>
      <c r="O43" s="3">
        <f t="shared" si="1"/>
        <v>1137</v>
      </c>
      <c r="P43" s="3">
        <f t="shared" si="2"/>
        <v>953</v>
      </c>
      <c r="Q43" s="3">
        <f t="shared" si="3"/>
        <v>2281</v>
      </c>
      <c r="R43" s="34">
        <f t="shared" si="5"/>
        <v>4.2889390519187359E-2</v>
      </c>
      <c r="S43" s="32">
        <f t="shared" si="6"/>
        <v>19</v>
      </c>
      <c r="T43" s="33"/>
      <c r="U43" s="34">
        <f t="shared" si="4"/>
        <v>0.48478488982161594</v>
      </c>
      <c r="V43" s="35"/>
      <c r="W43" s="35"/>
      <c r="X43" s="35"/>
      <c r="Y43" s="35"/>
      <c r="Z43" s="35"/>
      <c r="AA43" s="36"/>
    </row>
    <row r="44" spans="1:27" ht="16" thickBot="1" x14ac:dyDescent="0.4">
      <c r="A44" s="8">
        <f t="shared" si="7"/>
        <v>38850</v>
      </c>
      <c r="B44" s="3">
        <v>219</v>
      </c>
      <c r="C44" s="3">
        <v>360</v>
      </c>
      <c r="D44" s="3">
        <v>60</v>
      </c>
      <c r="E44" s="3">
        <v>511</v>
      </c>
      <c r="F44" s="3">
        <v>9</v>
      </c>
      <c r="G44" s="3">
        <v>36</v>
      </c>
      <c r="H44" s="3">
        <v>47</v>
      </c>
      <c r="I44" s="3">
        <v>68</v>
      </c>
      <c r="J44" s="3">
        <v>209</v>
      </c>
      <c r="K44" s="3">
        <v>510</v>
      </c>
      <c r="L44" s="3">
        <v>539</v>
      </c>
      <c r="M44" s="3">
        <v>812</v>
      </c>
      <c r="N44" s="43">
        <f t="shared" si="0"/>
        <v>437</v>
      </c>
      <c r="O44" s="3">
        <f t="shared" si="1"/>
        <v>1083</v>
      </c>
      <c r="P44" s="3">
        <f t="shared" si="2"/>
        <v>906</v>
      </c>
      <c r="Q44" s="3">
        <f t="shared" si="3"/>
        <v>2297</v>
      </c>
      <c r="R44" s="34">
        <f t="shared" si="5"/>
        <v>-5.4112554112554112E-2</v>
      </c>
      <c r="S44" s="32">
        <f t="shared" si="6"/>
        <v>-25</v>
      </c>
      <c r="T44" s="33"/>
      <c r="U44" s="34">
        <f t="shared" si="4"/>
        <v>0.48233995584988965</v>
      </c>
      <c r="V44" s="35"/>
      <c r="W44" s="35"/>
      <c r="X44" s="35"/>
      <c r="Y44" s="35"/>
      <c r="Z44" s="35"/>
      <c r="AA44" s="36"/>
    </row>
    <row r="45" spans="1:27" ht="16" thickBot="1" x14ac:dyDescent="0.4">
      <c r="A45" s="8">
        <f t="shared" si="7"/>
        <v>38857</v>
      </c>
      <c r="B45" s="3">
        <v>393</v>
      </c>
      <c r="C45" s="3">
        <v>620</v>
      </c>
      <c r="D45" s="3">
        <v>75</v>
      </c>
      <c r="E45" s="3">
        <v>585</v>
      </c>
      <c r="F45" s="3">
        <v>28</v>
      </c>
      <c r="G45" s="3">
        <v>50</v>
      </c>
      <c r="H45" s="3">
        <v>44</v>
      </c>
      <c r="I45" s="3">
        <v>66</v>
      </c>
      <c r="J45" s="3">
        <v>245</v>
      </c>
      <c r="K45" s="3">
        <v>591</v>
      </c>
      <c r="L45" s="3">
        <v>415</v>
      </c>
      <c r="M45" s="3">
        <v>644</v>
      </c>
      <c r="N45" s="43">
        <f t="shared" si="0"/>
        <v>666</v>
      </c>
      <c r="O45" s="3">
        <f t="shared" si="1"/>
        <v>1200</v>
      </c>
      <c r="P45" s="3">
        <f t="shared" si="2"/>
        <v>1261</v>
      </c>
      <c r="Q45" s="3">
        <f t="shared" si="3"/>
        <v>2556</v>
      </c>
      <c r="R45" s="34">
        <f t="shared" si="5"/>
        <v>0.52402745995423339</v>
      </c>
      <c r="S45" s="32">
        <f t="shared" si="6"/>
        <v>229</v>
      </c>
      <c r="T45" s="33"/>
      <c r="U45" s="34">
        <f t="shared" si="4"/>
        <v>0.52815226011102301</v>
      </c>
      <c r="V45" s="35"/>
      <c r="W45" s="35"/>
      <c r="X45" s="35"/>
      <c r="Y45" s="35"/>
      <c r="Z45" s="35"/>
      <c r="AA45" s="36"/>
    </row>
    <row r="46" spans="1:27" ht="16" thickBot="1" x14ac:dyDescent="0.4">
      <c r="A46" s="8">
        <f t="shared" si="7"/>
        <v>38864</v>
      </c>
      <c r="B46" s="3">
        <v>187</v>
      </c>
      <c r="C46" s="3">
        <v>400</v>
      </c>
      <c r="D46" s="3">
        <v>69</v>
      </c>
      <c r="E46" s="3">
        <v>511</v>
      </c>
      <c r="F46" s="3">
        <v>54</v>
      </c>
      <c r="G46" s="3">
        <v>76</v>
      </c>
      <c r="H46" s="3">
        <v>38</v>
      </c>
      <c r="I46" s="3">
        <v>54</v>
      </c>
      <c r="J46" s="3">
        <v>185</v>
      </c>
      <c r="K46" s="3">
        <v>542</v>
      </c>
      <c r="L46" s="3">
        <v>441</v>
      </c>
      <c r="M46" s="3">
        <v>651</v>
      </c>
      <c r="N46" s="43">
        <f t="shared" si="0"/>
        <v>426</v>
      </c>
      <c r="O46" s="3">
        <f t="shared" si="1"/>
        <v>974</v>
      </c>
      <c r="P46" s="3">
        <f t="shared" si="2"/>
        <v>1018</v>
      </c>
      <c r="Q46" s="3">
        <f t="shared" si="3"/>
        <v>2234</v>
      </c>
      <c r="R46" s="34">
        <f t="shared" si="5"/>
        <v>-0.36036036036036034</v>
      </c>
      <c r="S46" s="32">
        <f t="shared" si="6"/>
        <v>-240</v>
      </c>
      <c r="T46" s="33"/>
      <c r="U46" s="34">
        <f t="shared" si="4"/>
        <v>0.41846758349705304</v>
      </c>
      <c r="V46" s="35"/>
      <c r="W46" s="35"/>
      <c r="X46" s="35"/>
      <c r="Y46" s="35"/>
      <c r="Z46" s="35"/>
      <c r="AA46" s="36"/>
    </row>
    <row r="47" spans="1:27" ht="16" thickBot="1" x14ac:dyDescent="0.4">
      <c r="A47" s="8">
        <f t="shared" si="7"/>
        <v>38871</v>
      </c>
      <c r="B47" s="3">
        <v>361</v>
      </c>
      <c r="C47" s="3">
        <v>504</v>
      </c>
      <c r="D47" s="3">
        <v>91</v>
      </c>
      <c r="E47" s="3">
        <v>526</v>
      </c>
      <c r="F47" s="3">
        <v>46</v>
      </c>
      <c r="G47" s="3">
        <v>82</v>
      </c>
      <c r="H47" s="3">
        <v>62</v>
      </c>
      <c r="I47" s="3">
        <v>99</v>
      </c>
      <c r="J47" s="3">
        <v>278</v>
      </c>
      <c r="K47" s="3">
        <v>578</v>
      </c>
      <c r="L47" s="3">
        <v>518</v>
      </c>
      <c r="M47" s="3">
        <v>693</v>
      </c>
      <c r="N47" s="43">
        <f t="shared" si="0"/>
        <v>685</v>
      </c>
      <c r="O47" s="3">
        <f t="shared" si="1"/>
        <v>1356</v>
      </c>
      <c r="P47" s="3">
        <f t="shared" si="2"/>
        <v>1164</v>
      </c>
      <c r="Q47" s="3">
        <f t="shared" si="3"/>
        <v>2482</v>
      </c>
      <c r="R47" s="34">
        <f t="shared" si="5"/>
        <v>0.607981220657277</v>
      </c>
      <c r="S47" s="32">
        <f t="shared" si="6"/>
        <v>259</v>
      </c>
      <c r="T47" s="33"/>
      <c r="U47" s="34">
        <f t="shared" si="4"/>
        <v>0.58848797250859108</v>
      </c>
      <c r="V47" s="35"/>
      <c r="W47" s="35"/>
      <c r="X47" s="35"/>
      <c r="Y47" s="35"/>
      <c r="Z47" s="35"/>
      <c r="AA47" s="36"/>
    </row>
    <row r="48" spans="1:27" ht="16" thickBot="1" x14ac:dyDescent="0.4">
      <c r="A48" s="8">
        <f t="shared" si="7"/>
        <v>38878</v>
      </c>
      <c r="B48" s="3">
        <v>384</v>
      </c>
      <c r="C48" s="3">
        <v>597</v>
      </c>
      <c r="D48" s="3">
        <v>83</v>
      </c>
      <c r="E48" s="3">
        <v>460</v>
      </c>
      <c r="F48" s="3">
        <v>29</v>
      </c>
      <c r="G48" s="3">
        <v>37</v>
      </c>
      <c r="H48" s="3">
        <v>49</v>
      </c>
      <c r="I48" s="3">
        <v>76</v>
      </c>
      <c r="J48" s="3">
        <v>207</v>
      </c>
      <c r="K48" s="3">
        <v>541</v>
      </c>
      <c r="L48" s="3">
        <v>583</v>
      </c>
      <c r="M48" s="3">
        <v>799</v>
      </c>
      <c r="N48" s="43">
        <f t="shared" si="0"/>
        <v>620</v>
      </c>
      <c r="O48" s="3">
        <f t="shared" si="1"/>
        <v>1335</v>
      </c>
      <c r="P48" s="3">
        <f t="shared" si="2"/>
        <v>1175</v>
      </c>
      <c r="Q48" s="3">
        <f t="shared" si="3"/>
        <v>2510</v>
      </c>
      <c r="R48" s="34">
        <f t="shared" si="5"/>
        <v>-9.4890510948905105E-2</v>
      </c>
      <c r="S48" s="32">
        <f t="shared" si="6"/>
        <v>-65</v>
      </c>
      <c r="T48" s="33"/>
      <c r="U48" s="34">
        <f t="shared" si="4"/>
        <v>0.52765957446808509</v>
      </c>
      <c r="V48" s="35"/>
      <c r="W48" s="35"/>
      <c r="X48" s="35"/>
      <c r="Y48" s="35"/>
      <c r="Z48" s="35"/>
      <c r="AA48" s="36"/>
    </row>
    <row r="49" spans="1:27" ht="16" thickBot="1" x14ac:dyDescent="0.4">
      <c r="A49" s="8">
        <f t="shared" ref="A49:A70" si="8">7+A48</f>
        <v>38885</v>
      </c>
      <c r="B49" s="3">
        <v>420</v>
      </c>
      <c r="C49" s="3">
        <v>565</v>
      </c>
      <c r="D49" s="3">
        <v>113</v>
      </c>
      <c r="E49" s="3">
        <v>578</v>
      </c>
      <c r="F49" s="3">
        <v>35</v>
      </c>
      <c r="G49" s="3">
        <v>55</v>
      </c>
      <c r="H49" s="3">
        <v>23</v>
      </c>
      <c r="I49" s="3">
        <v>60</v>
      </c>
      <c r="J49" s="3">
        <v>179</v>
      </c>
      <c r="K49" s="3">
        <v>542</v>
      </c>
      <c r="L49" s="3">
        <v>464</v>
      </c>
      <c r="M49" s="3">
        <v>618</v>
      </c>
      <c r="N49" s="43">
        <f t="shared" si="0"/>
        <v>634</v>
      </c>
      <c r="O49" s="3">
        <f t="shared" si="1"/>
        <v>1234</v>
      </c>
      <c r="P49" s="3">
        <f t="shared" si="2"/>
        <v>1162</v>
      </c>
      <c r="Q49" s="3">
        <f t="shared" si="3"/>
        <v>2418</v>
      </c>
      <c r="R49" s="34">
        <f t="shared" si="5"/>
        <v>2.2580645161290321E-2</v>
      </c>
      <c r="S49" s="32">
        <f t="shared" si="6"/>
        <v>14</v>
      </c>
      <c r="T49" s="33"/>
      <c r="U49" s="34">
        <f t="shared" si="4"/>
        <v>0.54561101549053359</v>
      </c>
      <c r="V49" s="35"/>
      <c r="W49" s="35"/>
      <c r="X49" s="35"/>
      <c r="Y49" s="35"/>
      <c r="Z49" s="35"/>
      <c r="AA49" s="36"/>
    </row>
    <row r="50" spans="1:27" ht="16" thickBot="1" x14ac:dyDescent="0.4">
      <c r="A50" s="8">
        <f t="shared" si="8"/>
        <v>38892</v>
      </c>
      <c r="B50" s="3">
        <v>384</v>
      </c>
      <c r="C50" s="3">
        <v>570</v>
      </c>
      <c r="D50" s="3">
        <v>51</v>
      </c>
      <c r="E50" s="3">
        <v>581</v>
      </c>
      <c r="F50" s="3">
        <v>50</v>
      </c>
      <c r="G50" s="3">
        <v>71</v>
      </c>
      <c r="H50" s="3">
        <v>9</v>
      </c>
      <c r="I50" s="3">
        <v>29</v>
      </c>
      <c r="J50" s="3">
        <v>249</v>
      </c>
      <c r="K50" s="3">
        <v>599</v>
      </c>
      <c r="L50" s="3">
        <v>420</v>
      </c>
      <c r="M50" s="3">
        <v>617</v>
      </c>
      <c r="N50" s="43">
        <f t="shared" si="0"/>
        <v>683</v>
      </c>
      <c r="O50" s="3">
        <f t="shared" si="1"/>
        <v>1163</v>
      </c>
      <c r="P50" s="3">
        <f t="shared" si="2"/>
        <v>1240</v>
      </c>
      <c r="Q50" s="3">
        <f t="shared" si="3"/>
        <v>2467</v>
      </c>
      <c r="R50" s="34">
        <f t="shared" si="5"/>
        <v>7.7287066246056788E-2</v>
      </c>
      <c r="S50" s="32">
        <f t="shared" si="6"/>
        <v>49</v>
      </c>
      <c r="T50" s="33"/>
      <c r="U50" s="34">
        <f t="shared" si="4"/>
        <v>0.5508064516129032</v>
      </c>
      <c r="V50" s="35"/>
      <c r="W50" s="35"/>
      <c r="X50" s="35"/>
      <c r="Y50" s="35"/>
      <c r="Z50" s="35"/>
      <c r="AA50" s="36"/>
    </row>
    <row r="51" spans="1:27" ht="16" thickBot="1" x14ac:dyDescent="0.4">
      <c r="A51" s="8">
        <f t="shared" si="8"/>
        <v>38899</v>
      </c>
      <c r="B51" s="3">
        <v>418</v>
      </c>
      <c r="C51" s="3">
        <v>614</v>
      </c>
      <c r="D51" s="3">
        <v>74</v>
      </c>
      <c r="E51" s="3">
        <v>684</v>
      </c>
      <c r="F51" s="3">
        <v>33</v>
      </c>
      <c r="G51" s="3">
        <v>56</v>
      </c>
      <c r="H51" s="3">
        <v>25</v>
      </c>
      <c r="I51" s="3">
        <v>65</v>
      </c>
      <c r="J51" s="3">
        <v>164</v>
      </c>
      <c r="K51" s="3">
        <v>540</v>
      </c>
      <c r="L51" s="3">
        <v>556</v>
      </c>
      <c r="M51" s="3">
        <v>779</v>
      </c>
      <c r="N51" s="43">
        <f t="shared" si="0"/>
        <v>615</v>
      </c>
      <c r="O51" s="3">
        <f t="shared" si="1"/>
        <v>1270</v>
      </c>
      <c r="P51" s="3">
        <f t="shared" si="2"/>
        <v>1210</v>
      </c>
      <c r="Q51" s="3">
        <f t="shared" si="3"/>
        <v>2738</v>
      </c>
      <c r="R51" s="34">
        <f t="shared" si="5"/>
        <v>-9.9560761346998539E-2</v>
      </c>
      <c r="S51" s="32">
        <f t="shared" si="6"/>
        <v>-68</v>
      </c>
      <c r="T51" s="33"/>
      <c r="U51" s="34">
        <f t="shared" si="4"/>
        <v>0.50826446280991733</v>
      </c>
      <c r="V51" s="35"/>
      <c r="W51" s="35"/>
      <c r="X51" s="35"/>
      <c r="Y51" s="35"/>
      <c r="Z51" s="35"/>
      <c r="AA51" s="36"/>
    </row>
    <row r="52" spans="1:27" ht="16" thickBot="1" x14ac:dyDescent="0.4">
      <c r="A52" s="8">
        <f t="shared" si="8"/>
        <v>38906</v>
      </c>
      <c r="B52" s="3">
        <v>310</v>
      </c>
      <c r="C52" s="3">
        <v>464</v>
      </c>
      <c r="D52" s="3">
        <v>94</v>
      </c>
      <c r="E52" s="3">
        <v>624</v>
      </c>
      <c r="F52" s="3">
        <v>33</v>
      </c>
      <c r="G52" s="3">
        <v>62</v>
      </c>
      <c r="H52" s="3">
        <v>22</v>
      </c>
      <c r="I52" s="3">
        <v>56</v>
      </c>
      <c r="J52" s="3">
        <v>193</v>
      </c>
      <c r="K52" s="3">
        <v>561</v>
      </c>
      <c r="L52" s="3">
        <v>494</v>
      </c>
      <c r="M52" s="3">
        <v>627</v>
      </c>
      <c r="N52" s="43">
        <f t="shared" si="0"/>
        <v>536</v>
      </c>
      <c r="O52" s="3">
        <f t="shared" si="1"/>
        <v>1146</v>
      </c>
      <c r="P52" s="3">
        <f t="shared" si="2"/>
        <v>1087</v>
      </c>
      <c r="Q52" s="3">
        <f t="shared" si="3"/>
        <v>2394</v>
      </c>
      <c r="R52" s="34">
        <f t="shared" si="5"/>
        <v>-0.12845528455284552</v>
      </c>
      <c r="S52" s="32">
        <f t="shared" si="6"/>
        <v>-79</v>
      </c>
      <c r="T52" s="33"/>
      <c r="U52" s="34">
        <f t="shared" si="4"/>
        <v>0.49310027598896045</v>
      </c>
      <c r="V52" s="35"/>
      <c r="W52" s="35"/>
      <c r="X52" s="35"/>
      <c r="Y52" s="35"/>
      <c r="Z52" s="35"/>
      <c r="AA52" s="36"/>
    </row>
    <row r="53" spans="1:27" ht="16" thickBot="1" x14ac:dyDescent="0.4">
      <c r="A53" s="8">
        <f t="shared" si="8"/>
        <v>38913</v>
      </c>
      <c r="B53" s="3">
        <v>242</v>
      </c>
      <c r="C53" s="3">
        <v>435</v>
      </c>
      <c r="D53" s="3">
        <v>74</v>
      </c>
      <c r="E53" s="3">
        <v>541</v>
      </c>
      <c r="F53" s="3">
        <v>32</v>
      </c>
      <c r="G53" s="3">
        <v>58</v>
      </c>
      <c r="H53" s="3">
        <v>3</v>
      </c>
      <c r="I53" s="3">
        <v>28</v>
      </c>
      <c r="J53" s="3">
        <v>206</v>
      </c>
      <c r="K53" s="3">
        <v>587</v>
      </c>
      <c r="L53" s="3">
        <v>501</v>
      </c>
      <c r="M53" s="3">
        <v>681</v>
      </c>
      <c r="N53" s="43">
        <f t="shared" si="0"/>
        <v>480</v>
      </c>
      <c r="O53" s="3">
        <f t="shared" si="1"/>
        <v>1058</v>
      </c>
      <c r="P53" s="3">
        <f t="shared" si="2"/>
        <v>1080</v>
      </c>
      <c r="Q53" s="3">
        <f t="shared" si="3"/>
        <v>2330</v>
      </c>
      <c r="R53" s="34">
        <f t="shared" si="5"/>
        <v>-0.1044776119402985</v>
      </c>
      <c r="S53" s="32">
        <f t="shared" si="6"/>
        <v>-56</v>
      </c>
      <c r="T53" s="33"/>
      <c r="U53" s="34">
        <f t="shared" si="4"/>
        <v>0.44444444444444442</v>
      </c>
      <c r="V53" s="35"/>
      <c r="W53" s="35"/>
      <c r="X53" s="35"/>
      <c r="Y53" s="35"/>
      <c r="Z53" s="35"/>
      <c r="AA53" s="36"/>
    </row>
    <row r="54" spans="1:27" ht="16" thickBot="1" x14ac:dyDescent="0.4">
      <c r="A54" s="8">
        <f t="shared" si="8"/>
        <v>38920</v>
      </c>
      <c r="B54" s="3">
        <v>303</v>
      </c>
      <c r="C54" s="3">
        <v>489</v>
      </c>
      <c r="D54" s="3">
        <v>86</v>
      </c>
      <c r="E54" s="3">
        <v>578</v>
      </c>
      <c r="F54" s="3">
        <v>37</v>
      </c>
      <c r="G54" s="3">
        <v>51</v>
      </c>
      <c r="H54" s="3">
        <v>22</v>
      </c>
      <c r="I54" s="3">
        <v>72</v>
      </c>
      <c r="J54" s="3">
        <v>142</v>
      </c>
      <c r="K54" s="3">
        <v>483</v>
      </c>
      <c r="L54" s="3">
        <v>424</v>
      </c>
      <c r="M54" s="3">
        <v>676</v>
      </c>
      <c r="N54" s="43">
        <f t="shared" si="0"/>
        <v>482</v>
      </c>
      <c r="O54" s="3">
        <f t="shared" si="1"/>
        <v>1014</v>
      </c>
      <c r="P54" s="3">
        <f t="shared" si="2"/>
        <v>1023</v>
      </c>
      <c r="Q54" s="3">
        <f t="shared" si="3"/>
        <v>2349</v>
      </c>
      <c r="R54" s="34">
        <f t="shared" si="5"/>
        <v>4.1666666666666666E-3</v>
      </c>
      <c r="S54" s="32">
        <f t="shared" si="6"/>
        <v>2</v>
      </c>
      <c r="T54" s="33"/>
      <c r="U54" s="34">
        <f t="shared" si="4"/>
        <v>0.47116324535679377</v>
      </c>
      <c r="V54" s="35"/>
      <c r="W54" s="35"/>
      <c r="X54" s="35"/>
      <c r="Y54" s="35"/>
      <c r="Z54" s="35"/>
      <c r="AA54" s="36"/>
    </row>
    <row r="55" spans="1:27" ht="16" thickBot="1" x14ac:dyDescent="0.4">
      <c r="A55" s="8">
        <f t="shared" si="8"/>
        <v>38927</v>
      </c>
      <c r="B55" s="3">
        <v>221</v>
      </c>
      <c r="C55" s="3">
        <v>404</v>
      </c>
      <c r="D55" s="3">
        <v>83</v>
      </c>
      <c r="E55" s="3">
        <v>574</v>
      </c>
      <c r="F55" s="3">
        <v>34</v>
      </c>
      <c r="G55" s="3">
        <v>61</v>
      </c>
      <c r="H55" s="3">
        <v>11</v>
      </c>
      <c r="I55" s="3">
        <v>52</v>
      </c>
      <c r="J55" s="3">
        <v>259</v>
      </c>
      <c r="K55" s="3">
        <v>547</v>
      </c>
      <c r="L55" s="3">
        <v>379</v>
      </c>
      <c r="M55" s="3">
        <v>590</v>
      </c>
      <c r="N55" s="43">
        <f t="shared" si="0"/>
        <v>514</v>
      </c>
      <c r="O55" s="3">
        <f t="shared" si="1"/>
        <v>987</v>
      </c>
      <c r="P55" s="3">
        <f t="shared" si="2"/>
        <v>1012</v>
      </c>
      <c r="Q55" s="3">
        <f t="shared" si="3"/>
        <v>2228</v>
      </c>
      <c r="R55" s="34">
        <f t="shared" si="5"/>
        <v>6.6390041493775934E-2</v>
      </c>
      <c r="S55" s="32">
        <f t="shared" si="6"/>
        <v>32</v>
      </c>
      <c r="T55" s="33"/>
      <c r="U55" s="34">
        <f t="shared" si="4"/>
        <v>0.5079051383399209</v>
      </c>
      <c r="V55" s="35"/>
      <c r="W55" s="35"/>
      <c r="X55" s="35"/>
      <c r="Y55" s="35"/>
      <c r="Z55" s="35"/>
      <c r="AA55" s="36"/>
    </row>
    <row r="56" spans="1:27" ht="16" thickBot="1" x14ac:dyDescent="0.4">
      <c r="A56" s="8">
        <f t="shared" si="8"/>
        <v>38934</v>
      </c>
      <c r="B56" s="3">
        <v>246</v>
      </c>
      <c r="C56" s="3">
        <v>430</v>
      </c>
      <c r="D56" s="3">
        <v>112</v>
      </c>
      <c r="E56" s="3">
        <v>589</v>
      </c>
      <c r="F56" s="3">
        <v>39</v>
      </c>
      <c r="G56" s="3">
        <v>56</v>
      </c>
      <c r="H56" s="3">
        <v>10</v>
      </c>
      <c r="I56" s="3">
        <v>38</v>
      </c>
      <c r="J56" s="3">
        <v>153</v>
      </c>
      <c r="K56" s="3">
        <v>528</v>
      </c>
      <c r="L56" s="3">
        <v>450</v>
      </c>
      <c r="M56" s="3">
        <v>677</v>
      </c>
      <c r="N56" s="43">
        <f t="shared" si="0"/>
        <v>438</v>
      </c>
      <c r="O56" s="3">
        <f t="shared" si="1"/>
        <v>1010</v>
      </c>
      <c r="P56" s="3">
        <f t="shared" si="2"/>
        <v>1014</v>
      </c>
      <c r="Q56" s="3">
        <f t="shared" si="3"/>
        <v>2318</v>
      </c>
      <c r="R56" s="34">
        <f t="shared" si="5"/>
        <v>-0.14785992217898833</v>
      </c>
      <c r="S56" s="32">
        <f t="shared" si="6"/>
        <v>-76</v>
      </c>
      <c r="T56" s="33"/>
      <c r="U56" s="34">
        <f t="shared" si="4"/>
        <v>0.43195266272189348</v>
      </c>
      <c r="V56" s="35"/>
      <c r="W56" s="35"/>
      <c r="X56" s="35"/>
      <c r="Y56" s="35"/>
      <c r="Z56" s="35"/>
      <c r="AA56" s="36"/>
    </row>
    <row r="57" spans="1:27" ht="16" thickBot="1" x14ac:dyDescent="0.4">
      <c r="A57" s="8">
        <f t="shared" si="8"/>
        <v>38941</v>
      </c>
      <c r="B57" s="3">
        <v>215</v>
      </c>
      <c r="C57" s="3">
        <v>398</v>
      </c>
      <c r="D57" s="3">
        <v>109</v>
      </c>
      <c r="E57" s="3">
        <v>552</v>
      </c>
      <c r="F57" s="3">
        <v>45</v>
      </c>
      <c r="G57" s="3">
        <v>61</v>
      </c>
      <c r="H57" s="3">
        <v>14</v>
      </c>
      <c r="I57" s="3">
        <v>49</v>
      </c>
      <c r="J57" s="3">
        <v>153</v>
      </c>
      <c r="K57" s="3">
        <v>372</v>
      </c>
      <c r="L57" s="3">
        <v>272</v>
      </c>
      <c r="M57" s="3">
        <v>423</v>
      </c>
      <c r="N57" s="43">
        <f t="shared" si="0"/>
        <v>413</v>
      </c>
      <c r="O57" s="3">
        <f t="shared" si="1"/>
        <v>808</v>
      </c>
      <c r="P57" s="3">
        <f t="shared" si="2"/>
        <v>831</v>
      </c>
      <c r="Q57" s="3">
        <f t="shared" si="3"/>
        <v>1855</v>
      </c>
      <c r="R57" s="34">
        <f t="shared" si="5"/>
        <v>-5.7077625570776253E-2</v>
      </c>
      <c r="S57" s="32">
        <f t="shared" si="6"/>
        <v>-25</v>
      </c>
      <c r="T57" s="33"/>
      <c r="U57" s="34">
        <f t="shared" si="4"/>
        <v>0.49699157641395908</v>
      </c>
      <c r="V57" s="35"/>
      <c r="W57" s="35"/>
      <c r="X57" s="35"/>
      <c r="Y57" s="35"/>
      <c r="Z57" s="35"/>
      <c r="AA57" s="36"/>
    </row>
    <row r="58" spans="1:27" ht="16" thickBot="1" x14ac:dyDescent="0.4">
      <c r="A58" s="8">
        <f t="shared" si="8"/>
        <v>38948</v>
      </c>
      <c r="B58" s="3">
        <v>149</v>
      </c>
      <c r="C58" s="3">
        <v>397</v>
      </c>
      <c r="D58" s="3">
        <v>120</v>
      </c>
      <c r="E58" s="3">
        <v>575</v>
      </c>
      <c r="F58" s="3">
        <v>62</v>
      </c>
      <c r="G58" s="3">
        <v>90</v>
      </c>
      <c r="H58" s="3">
        <v>17</v>
      </c>
      <c r="I58" s="3">
        <v>43</v>
      </c>
      <c r="J58" s="3">
        <v>158</v>
      </c>
      <c r="K58" s="3">
        <v>339</v>
      </c>
      <c r="L58" s="3">
        <v>301</v>
      </c>
      <c r="M58" s="3">
        <v>513</v>
      </c>
      <c r="N58" s="43">
        <f t="shared" si="0"/>
        <v>369</v>
      </c>
      <c r="O58" s="3">
        <f t="shared" si="1"/>
        <v>807</v>
      </c>
      <c r="P58" s="3">
        <f t="shared" si="2"/>
        <v>826</v>
      </c>
      <c r="Q58" s="3">
        <f t="shared" si="3"/>
        <v>1957</v>
      </c>
      <c r="R58" s="34">
        <f t="shared" si="5"/>
        <v>-0.10653753026634383</v>
      </c>
      <c r="S58" s="32">
        <f t="shared" si="6"/>
        <v>-44</v>
      </c>
      <c r="T58" s="39"/>
      <c r="U58" s="34">
        <f t="shared" si="4"/>
        <v>0.44673123486682809</v>
      </c>
      <c r="V58" s="35"/>
      <c r="W58" s="35"/>
      <c r="X58" s="35"/>
      <c r="Y58" s="35"/>
      <c r="Z58" s="35"/>
      <c r="AA58" s="36"/>
    </row>
    <row r="59" spans="1:27" ht="16" thickBot="1" x14ac:dyDescent="0.4">
      <c r="A59" s="8">
        <f t="shared" si="8"/>
        <v>38955</v>
      </c>
      <c r="B59" s="3">
        <v>188</v>
      </c>
      <c r="C59" s="3">
        <v>379</v>
      </c>
      <c r="D59" s="3">
        <v>116</v>
      </c>
      <c r="E59" s="3">
        <v>394</v>
      </c>
      <c r="F59" s="3">
        <v>15</v>
      </c>
      <c r="G59" s="3">
        <v>32</v>
      </c>
      <c r="H59" s="3">
        <v>25</v>
      </c>
      <c r="I59" s="3">
        <v>53</v>
      </c>
      <c r="J59" s="3">
        <v>122</v>
      </c>
      <c r="K59" s="3">
        <v>376</v>
      </c>
      <c r="L59" s="3">
        <v>205</v>
      </c>
      <c r="M59" s="3">
        <v>336</v>
      </c>
      <c r="N59" s="43">
        <f t="shared" si="0"/>
        <v>325</v>
      </c>
      <c r="O59" s="3">
        <f t="shared" si="1"/>
        <v>671</v>
      </c>
      <c r="P59" s="3">
        <f t="shared" si="2"/>
        <v>787</v>
      </c>
      <c r="Q59" s="3">
        <f t="shared" si="3"/>
        <v>1570</v>
      </c>
      <c r="R59" s="34">
        <f t="shared" si="5"/>
        <v>-0.11924119241192412</v>
      </c>
      <c r="S59" s="32">
        <f t="shared" si="6"/>
        <v>-44</v>
      </c>
      <c r="T59" s="34">
        <f>(N59-N7)/N7</f>
        <v>3.1746031746031744E-2</v>
      </c>
      <c r="U59" s="34">
        <f t="shared" si="4"/>
        <v>0.41296060991105465</v>
      </c>
      <c r="V59" s="35"/>
      <c r="W59" s="35"/>
      <c r="X59" s="35"/>
      <c r="Y59" s="35"/>
      <c r="Z59" s="35"/>
      <c r="AA59" s="36"/>
    </row>
    <row r="60" spans="1:27" ht="16" thickBot="1" x14ac:dyDescent="0.4">
      <c r="A60" s="8">
        <f t="shared" si="8"/>
        <v>38962</v>
      </c>
      <c r="B60" s="3">
        <v>145</v>
      </c>
      <c r="C60" s="3">
        <v>309</v>
      </c>
      <c r="D60" s="3">
        <v>87</v>
      </c>
      <c r="E60" s="3">
        <v>468</v>
      </c>
      <c r="F60" s="3">
        <v>46</v>
      </c>
      <c r="G60" s="3">
        <v>68</v>
      </c>
      <c r="H60" s="3">
        <v>33</v>
      </c>
      <c r="I60" s="3">
        <v>54</v>
      </c>
      <c r="J60" s="3">
        <v>109</v>
      </c>
      <c r="K60" s="3">
        <v>333</v>
      </c>
      <c r="L60" s="3">
        <v>233</v>
      </c>
      <c r="M60" s="3">
        <v>367</v>
      </c>
      <c r="N60" s="43">
        <f t="shared" si="0"/>
        <v>300</v>
      </c>
      <c r="O60" s="3">
        <f t="shared" si="1"/>
        <v>653</v>
      </c>
      <c r="P60" s="3">
        <f t="shared" si="2"/>
        <v>710</v>
      </c>
      <c r="Q60" s="3">
        <f t="shared" si="3"/>
        <v>1599</v>
      </c>
      <c r="R60" s="34">
        <f t="shared" si="5"/>
        <v>-7.6923076923076927E-2</v>
      </c>
      <c r="S60" s="32">
        <f t="shared" si="6"/>
        <v>-25</v>
      </c>
      <c r="T60" s="34">
        <f t="shared" ref="T60:T84" si="9">(N60-N8)/N8</f>
        <v>-9.6385542168674704E-2</v>
      </c>
      <c r="U60" s="34">
        <f t="shared" si="4"/>
        <v>0.42253521126760563</v>
      </c>
      <c r="V60" s="35"/>
      <c r="W60" s="35"/>
      <c r="X60" s="35"/>
      <c r="Y60" s="35"/>
      <c r="Z60" s="35"/>
      <c r="AA60" s="36"/>
    </row>
    <row r="61" spans="1:27" ht="16" thickBot="1" x14ac:dyDescent="0.4">
      <c r="A61" s="8">
        <f t="shared" si="8"/>
        <v>38969</v>
      </c>
      <c r="B61" s="3">
        <v>137</v>
      </c>
      <c r="C61" s="3">
        <v>304</v>
      </c>
      <c r="D61" s="3">
        <v>127</v>
      </c>
      <c r="E61" s="3">
        <v>439</v>
      </c>
      <c r="F61" s="3">
        <v>23</v>
      </c>
      <c r="G61" s="3">
        <v>49</v>
      </c>
      <c r="H61" s="3">
        <v>24</v>
      </c>
      <c r="I61" s="3">
        <v>42</v>
      </c>
      <c r="J61" s="3">
        <v>99</v>
      </c>
      <c r="K61" s="3">
        <v>269</v>
      </c>
      <c r="L61" s="3">
        <v>309</v>
      </c>
      <c r="M61" s="3">
        <v>441</v>
      </c>
      <c r="N61" s="43">
        <f t="shared" si="0"/>
        <v>259</v>
      </c>
      <c r="O61" s="3">
        <f t="shared" si="1"/>
        <v>719</v>
      </c>
      <c r="P61" s="3">
        <f t="shared" si="2"/>
        <v>622</v>
      </c>
      <c r="Q61" s="3">
        <f t="shared" si="3"/>
        <v>1544</v>
      </c>
      <c r="R61" s="34">
        <f t="shared" si="5"/>
        <v>-0.13666666666666666</v>
      </c>
      <c r="S61" s="32">
        <f t="shared" si="6"/>
        <v>-41</v>
      </c>
      <c r="T61" s="34">
        <f t="shared" si="9"/>
        <v>-0.13087248322147652</v>
      </c>
      <c r="U61" s="34">
        <f t="shared" si="4"/>
        <v>0.41639871382636656</v>
      </c>
      <c r="V61" s="35"/>
      <c r="W61" s="35"/>
      <c r="X61" s="35"/>
      <c r="Y61" s="35"/>
      <c r="Z61" s="35"/>
      <c r="AA61" s="36"/>
    </row>
    <row r="62" spans="1:27" ht="16" thickBot="1" x14ac:dyDescent="0.4">
      <c r="A62" s="8">
        <f t="shared" si="8"/>
        <v>38976</v>
      </c>
      <c r="B62" s="3">
        <v>167</v>
      </c>
      <c r="C62" s="3">
        <v>406</v>
      </c>
      <c r="D62" s="3">
        <v>130</v>
      </c>
      <c r="E62" s="3">
        <v>397</v>
      </c>
      <c r="F62" s="3">
        <v>28</v>
      </c>
      <c r="G62" s="3">
        <v>52</v>
      </c>
      <c r="H62" s="3">
        <v>26</v>
      </c>
      <c r="I62" s="3">
        <v>58</v>
      </c>
      <c r="J62" s="3">
        <v>166</v>
      </c>
      <c r="K62" s="3">
        <v>610</v>
      </c>
      <c r="L62" s="3">
        <v>398</v>
      </c>
      <c r="M62" s="3">
        <v>708</v>
      </c>
      <c r="N62" s="43">
        <f t="shared" si="0"/>
        <v>361</v>
      </c>
      <c r="O62" s="3">
        <f t="shared" si="1"/>
        <v>915</v>
      </c>
      <c r="P62" s="3">
        <f t="shared" si="2"/>
        <v>1068</v>
      </c>
      <c r="Q62" s="3">
        <f t="shared" si="3"/>
        <v>2231</v>
      </c>
      <c r="R62" s="34">
        <f t="shared" si="5"/>
        <v>0.39382239382239381</v>
      </c>
      <c r="S62" s="32">
        <f t="shared" si="6"/>
        <v>102</v>
      </c>
      <c r="T62" s="34">
        <f t="shared" si="9"/>
        <v>0.59734513274336287</v>
      </c>
      <c r="U62" s="34">
        <f t="shared" si="4"/>
        <v>0.33801498127340823</v>
      </c>
      <c r="V62" s="35"/>
      <c r="W62" s="35"/>
      <c r="X62" s="35"/>
      <c r="Y62" s="35"/>
      <c r="Z62" s="35"/>
      <c r="AA62" s="36"/>
    </row>
    <row r="63" spans="1:27" ht="16" thickBot="1" x14ac:dyDescent="0.4">
      <c r="A63" s="8">
        <f t="shared" si="8"/>
        <v>38983</v>
      </c>
      <c r="B63" s="3">
        <v>280</v>
      </c>
      <c r="C63" s="3">
        <v>493</v>
      </c>
      <c r="D63" s="3">
        <v>88</v>
      </c>
      <c r="E63" s="3">
        <v>421</v>
      </c>
      <c r="F63" s="3">
        <v>48</v>
      </c>
      <c r="G63" s="3">
        <v>98</v>
      </c>
      <c r="H63" s="3">
        <v>22</v>
      </c>
      <c r="I63" s="3">
        <v>40</v>
      </c>
      <c r="J63" s="3">
        <v>136</v>
      </c>
      <c r="K63" s="3">
        <v>452</v>
      </c>
      <c r="L63" s="3">
        <v>380</v>
      </c>
      <c r="M63" s="3">
        <v>585</v>
      </c>
      <c r="N63" s="43">
        <f t="shared" si="0"/>
        <v>464</v>
      </c>
      <c r="O63" s="3">
        <f t="shared" si="1"/>
        <v>954</v>
      </c>
      <c r="P63" s="3">
        <f t="shared" si="2"/>
        <v>1043</v>
      </c>
      <c r="Q63" s="3">
        <f t="shared" si="3"/>
        <v>2089</v>
      </c>
      <c r="R63" s="34">
        <f t="shared" si="5"/>
        <v>0.2853185595567867</v>
      </c>
      <c r="S63" s="32">
        <f t="shared" si="6"/>
        <v>103</v>
      </c>
      <c r="T63" s="34">
        <f t="shared" si="9"/>
        <v>0.57288135593220335</v>
      </c>
      <c r="U63" s="34">
        <f t="shared" si="4"/>
        <v>0.4448705656759348</v>
      </c>
      <c r="V63" s="35"/>
      <c r="W63" s="35"/>
      <c r="X63" s="35"/>
      <c r="Y63" s="35"/>
      <c r="Z63" s="35"/>
      <c r="AA63" s="36"/>
    </row>
    <row r="64" spans="1:27" ht="16" thickBot="1" x14ac:dyDescent="0.4">
      <c r="A64" s="8">
        <f t="shared" si="8"/>
        <v>38990</v>
      </c>
      <c r="B64" s="3">
        <v>184</v>
      </c>
      <c r="C64" s="3">
        <v>355</v>
      </c>
      <c r="D64" s="3">
        <v>91</v>
      </c>
      <c r="E64" s="3">
        <v>520</v>
      </c>
      <c r="F64" s="3">
        <v>42</v>
      </c>
      <c r="G64" s="3">
        <v>63</v>
      </c>
      <c r="H64" s="3">
        <v>24</v>
      </c>
      <c r="I64" s="3">
        <v>39</v>
      </c>
      <c r="J64" s="3">
        <v>178</v>
      </c>
      <c r="K64" s="3">
        <v>480</v>
      </c>
      <c r="L64" s="3">
        <v>286</v>
      </c>
      <c r="M64" s="3">
        <v>555</v>
      </c>
      <c r="N64" s="43">
        <f t="shared" si="0"/>
        <v>404</v>
      </c>
      <c r="O64" s="3">
        <f t="shared" si="1"/>
        <v>805</v>
      </c>
      <c r="P64" s="3">
        <f t="shared" si="2"/>
        <v>898</v>
      </c>
      <c r="Q64" s="3">
        <f t="shared" si="3"/>
        <v>2012</v>
      </c>
      <c r="R64" s="34">
        <f t="shared" si="5"/>
        <v>-0.12931034482758622</v>
      </c>
      <c r="S64" s="32">
        <f t="shared" si="6"/>
        <v>-60</v>
      </c>
      <c r="T64" s="34">
        <f t="shared" si="9"/>
        <v>0.44285714285714284</v>
      </c>
      <c r="U64" s="34">
        <f t="shared" si="4"/>
        <v>0.44988864142538976</v>
      </c>
      <c r="V64" s="35"/>
      <c r="W64" s="35"/>
      <c r="X64" s="35"/>
      <c r="Y64" s="35"/>
      <c r="Z64" s="35"/>
      <c r="AA64" s="36"/>
    </row>
    <row r="65" spans="1:27" ht="16" thickBot="1" x14ac:dyDescent="0.4">
      <c r="A65" s="8">
        <f t="shared" si="8"/>
        <v>38997</v>
      </c>
      <c r="B65" s="3">
        <v>218</v>
      </c>
      <c r="C65" s="3">
        <v>458</v>
      </c>
      <c r="D65" s="3">
        <v>96</v>
      </c>
      <c r="E65" s="3">
        <v>504</v>
      </c>
      <c r="F65" s="3">
        <v>41</v>
      </c>
      <c r="G65" s="3">
        <v>86</v>
      </c>
      <c r="H65" s="3">
        <v>51</v>
      </c>
      <c r="I65" s="3">
        <v>84</v>
      </c>
      <c r="J65" s="3">
        <v>167</v>
      </c>
      <c r="K65" s="3">
        <v>460</v>
      </c>
      <c r="L65" s="3">
        <v>350</v>
      </c>
      <c r="M65" s="3">
        <v>580</v>
      </c>
      <c r="N65" s="43">
        <f t="shared" si="0"/>
        <v>426</v>
      </c>
      <c r="O65" s="3">
        <f t="shared" si="1"/>
        <v>923</v>
      </c>
      <c r="P65" s="3">
        <f t="shared" si="2"/>
        <v>1004</v>
      </c>
      <c r="Q65" s="3">
        <f t="shared" si="3"/>
        <v>2172</v>
      </c>
      <c r="R65" s="34">
        <f t="shared" si="5"/>
        <v>5.4455445544554455E-2</v>
      </c>
      <c r="S65" s="32">
        <f t="shared" si="6"/>
        <v>22</v>
      </c>
      <c r="T65" s="34">
        <f t="shared" si="9"/>
        <v>1.1734693877551021</v>
      </c>
      <c r="U65" s="34">
        <f t="shared" si="4"/>
        <v>0.42430278884462153</v>
      </c>
      <c r="V65" s="35"/>
      <c r="W65" s="35"/>
      <c r="X65" s="35"/>
      <c r="Y65" s="35"/>
      <c r="Z65" s="35"/>
      <c r="AA65" s="36"/>
    </row>
    <row r="66" spans="1:27" ht="16" thickBot="1" x14ac:dyDescent="0.4">
      <c r="A66" s="8">
        <f t="shared" si="8"/>
        <v>39004</v>
      </c>
      <c r="B66" s="3">
        <v>146</v>
      </c>
      <c r="C66" s="3">
        <v>326</v>
      </c>
      <c r="D66" s="3">
        <v>85</v>
      </c>
      <c r="E66" s="3">
        <v>433</v>
      </c>
      <c r="F66" s="3">
        <v>22</v>
      </c>
      <c r="G66" s="3">
        <v>33</v>
      </c>
      <c r="H66" s="3">
        <v>29</v>
      </c>
      <c r="I66" s="3">
        <v>52</v>
      </c>
      <c r="J66" s="3">
        <v>156</v>
      </c>
      <c r="K66" s="3">
        <v>341</v>
      </c>
      <c r="L66" s="3">
        <v>193</v>
      </c>
      <c r="M66" s="3">
        <v>399</v>
      </c>
      <c r="N66" s="43">
        <f t="shared" si="0"/>
        <v>324</v>
      </c>
      <c r="O66" s="3">
        <f t="shared" si="1"/>
        <v>631</v>
      </c>
      <c r="P66" s="3">
        <f t="shared" si="2"/>
        <v>700</v>
      </c>
      <c r="Q66" s="3">
        <f t="shared" si="3"/>
        <v>1584</v>
      </c>
      <c r="R66" s="34">
        <f t="shared" si="5"/>
        <v>-0.23943661971830985</v>
      </c>
      <c r="S66" s="32">
        <f t="shared" si="6"/>
        <v>-102</v>
      </c>
      <c r="T66" s="34">
        <f t="shared" si="9"/>
        <v>-0.10743801652892562</v>
      </c>
      <c r="U66" s="34">
        <f t="shared" si="4"/>
        <v>0.46285714285714286</v>
      </c>
      <c r="V66" s="35"/>
      <c r="W66" s="35"/>
      <c r="X66" s="35"/>
      <c r="Y66" s="35"/>
      <c r="Z66" s="35"/>
      <c r="AA66" s="36"/>
    </row>
    <row r="67" spans="1:27" ht="16" thickBot="1" x14ac:dyDescent="0.4">
      <c r="A67" s="8">
        <v>39011</v>
      </c>
      <c r="B67" s="3">
        <v>221</v>
      </c>
      <c r="C67" s="3">
        <v>336</v>
      </c>
      <c r="D67" s="3">
        <v>96</v>
      </c>
      <c r="E67" s="3">
        <v>471</v>
      </c>
      <c r="F67" s="3">
        <v>44</v>
      </c>
      <c r="G67" s="3">
        <v>71</v>
      </c>
      <c r="H67" s="3">
        <v>33</v>
      </c>
      <c r="I67" s="3">
        <v>55</v>
      </c>
      <c r="J67" s="3">
        <v>183</v>
      </c>
      <c r="K67" s="3">
        <v>468</v>
      </c>
      <c r="L67" s="3">
        <v>366</v>
      </c>
      <c r="M67" s="3">
        <v>644</v>
      </c>
      <c r="N67" s="43">
        <f t="shared" si="0"/>
        <v>448</v>
      </c>
      <c r="O67" s="3">
        <f t="shared" si="1"/>
        <v>943</v>
      </c>
      <c r="P67" s="3">
        <f t="shared" si="2"/>
        <v>875</v>
      </c>
      <c r="Q67" s="3">
        <f t="shared" si="3"/>
        <v>2045</v>
      </c>
      <c r="R67" s="34">
        <f t="shared" si="5"/>
        <v>0.38271604938271603</v>
      </c>
      <c r="S67" s="32">
        <f t="shared" si="6"/>
        <v>124</v>
      </c>
      <c r="T67" s="34">
        <f t="shared" si="9"/>
        <v>0.30994152046783624</v>
      </c>
      <c r="U67" s="34">
        <f t="shared" si="4"/>
        <v>0.51200000000000001</v>
      </c>
      <c r="V67" s="35"/>
      <c r="W67" s="35"/>
      <c r="X67" s="35"/>
      <c r="Y67" s="35"/>
      <c r="Z67" s="35"/>
      <c r="AA67" s="36"/>
    </row>
    <row r="68" spans="1:27" ht="16" thickBot="1" x14ac:dyDescent="0.4">
      <c r="A68" s="8">
        <f t="shared" si="8"/>
        <v>39018</v>
      </c>
      <c r="B68" s="3">
        <v>265</v>
      </c>
      <c r="C68" s="3">
        <v>483</v>
      </c>
      <c r="D68" s="3">
        <v>84</v>
      </c>
      <c r="E68" s="3">
        <v>398</v>
      </c>
      <c r="F68" s="3">
        <v>19</v>
      </c>
      <c r="G68" s="3">
        <v>56</v>
      </c>
      <c r="H68" s="3">
        <v>31</v>
      </c>
      <c r="I68" s="3">
        <v>61</v>
      </c>
      <c r="J68" s="3">
        <v>193</v>
      </c>
      <c r="K68" s="3">
        <v>453</v>
      </c>
      <c r="L68" s="3">
        <v>281</v>
      </c>
      <c r="M68" s="3">
        <v>449</v>
      </c>
      <c r="N68" s="43">
        <f t="shared" si="0"/>
        <v>477</v>
      </c>
      <c r="O68" s="3">
        <f t="shared" si="1"/>
        <v>873</v>
      </c>
      <c r="P68" s="3">
        <f t="shared" si="2"/>
        <v>992</v>
      </c>
      <c r="Q68" s="3">
        <f t="shared" si="3"/>
        <v>1900</v>
      </c>
      <c r="R68" s="34">
        <f t="shared" si="5"/>
        <v>6.4732142857142863E-2</v>
      </c>
      <c r="S68" s="32">
        <f t="shared" si="6"/>
        <v>29</v>
      </c>
      <c r="T68" s="34">
        <f t="shared" si="9"/>
        <v>4.3763676148796497E-2</v>
      </c>
      <c r="U68" s="34">
        <f t="shared" si="4"/>
        <v>0.48084677419354838</v>
      </c>
      <c r="V68" s="35"/>
      <c r="W68" s="35"/>
      <c r="X68" s="35"/>
      <c r="Y68" s="35"/>
      <c r="Z68" s="35"/>
      <c r="AA68" s="36"/>
    </row>
    <row r="69" spans="1:27" ht="16" thickBot="1" x14ac:dyDescent="0.4">
      <c r="A69" s="8">
        <f t="shared" si="8"/>
        <v>39025</v>
      </c>
      <c r="B69" s="3">
        <v>348</v>
      </c>
      <c r="C69" s="3">
        <v>472</v>
      </c>
      <c r="D69" s="3">
        <v>104</v>
      </c>
      <c r="E69" s="3">
        <v>517</v>
      </c>
      <c r="F69" s="3">
        <v>50</v>
      </c>
      <c r="G69" s="3">
        <v>72</v>
      </c>
      <c r="H69" s="3">
        <v>33</v>
      </c>
      <c r="I69" s="3">
        <v>67</v>
      </c>
      <c r="J69" s="3">
        <v>176</v>
      </c>
      <c r="K69" s="3">
        <v>408</v>
      </c>
      <c r="L69" s="3">
        <v>321</v>
      </c>
      <c r="M69" s="3">
        <v>515</v>
      </c>
      <c r="N69" s="43">
        <f t="shared" si="0"/>
        <v>574</v>
      </c>
      <c r="O69" s="3">
        <f t="shared" si="1"/>
        <v>1032</v>
      </c>
      <c r="P69" s="3">
        <f t="shared" si="2"/>
        <v>952</v>
      </c>
      <c r="Q69" s="3">
        <f t="shared" si="3"/>
        <v>2051</v>
      </c>
      <c r="R69" s="34">
        <f t="shared" si="5"/>
        <v>0.20335429769392033</v>
      </c>
      <c r="S69" s="32">
        <f t="shared" si="6"/>
        <v>97</v>
      </c>
      <c r="T69" s="34">
        <f t="shared" si="9"/>
        <v>4.7445255474452552E-2</v>
      </c>
      <c r="U69" s="34">
        <f t="shared" si="4"/>
        <v>0.6029411764705882</v>
      </c>
      <c r="V69" s="35"/>
      <c r="W69" s="35"/>
      <c r="X69" s="35"/>
      <c r="Y69" s="35"/>
      <c r="Z69" s="35"/>
      <c r="AA69" s="36"/>
    </row>
    <row r="70" spans="1:27" ht="16" thickBot="1" x14ac:dyDescent="0.4">
      <c r="A70" s="8">
        <f t="shared" si="8"/>
        <v>39032</v>
      </c>
      <c r="B70" s="3">
        <v>393</v>
      </c>
      <c r="C70" s="3">
        <v>508</v>
      </c>
      <c r="D70" s="3">
        <v>92</v>
      </c>
      <c r="E70" s="3">
        <v>580</v>
      </c>
      <c r="F70" s="3">
        <v>17</v>
      </c>
      <c r="G70" s="3">
        <v>33</v>
      </c>
      <c r="H70" s="3">
        <v>25</v>
      </c>
      <c r="I70" s="3">
        <v>44</v>
      </c>
      <c r="J70" s="3">
        <v>154</v>
      </c>
      <c r="K70" s="3">
        <v>450</v>
      </c>
      <c r="L70" s="3">
        <v>327</v>
      </c>
      <c r="M70" s="3">
        <v>536</v>
      </c>
      <c r="N70" s="43">
        <f t="shared" si="0"/>
        <v>564</v>
      </c>
      <c r="O70" s="3">
        <f t="shared" si="1"/>
        <v>1008</v>
      </c>
      <c r="P70" s="3">
        <f t="shared" si="2"/>
        <v>991</v>
      </c>
      <c r="Q70" s="3">
        <f t="shared" si="3"/>
        <v>2151</v>
      </c>
      <c r="R70" s="34">
        <f t="shared" si="5"/>
        <v>-1.7421602787456445E-2</v>
      </c>
      <c r="S70" s="32">
        <f t="shared" si="6"/>
        <v>-10</v>
      </c>
      <c r="T70" s="34">
        <f t="shared" si="9"/>
        <v>-0.13893129770992366</v>
      </c>
      <c r="U70" s="34">
        <f t="shared" si="4"/>
        <v>0.56912209889001009</v>
      </c>
      <c r="V70" s="35"/>
      <c r="W70" s="35"/>
      <c r="X70" s="35"/>
      <c r="Y70" s="35"/>
      <c r="Z70" s="35"/>
      <c r="AA70" s="36"/>
    </row>
    <row r="71" spans="1:27" ht="16" thickBot="1" x14ac:dyDescent="0.4">
      <c r="A71" s="8">
        <f t="shared" ref="A71:A143" si="10">7+A70</f>
        <v>39039</v>
      </c>
      <c r="B71" s="3">
        <v>402</v>
      </c>
      <c r="C71" s="3">
        <v>494</v>
      </c>
      <c r="D71" s="3">
        <v>88</v>
      </c>
      <c r="E71" s="3">
        <v>595</v>
      </c>
      <c r="F71" s="3">
        <v>43</v>
      </c>
      <c r="G71" s="3">
        <v>70</v>
      </c>
      <c r="H71" s="3">
        <v>14</v>
      </c>
      <c r="I71" s="3">
        <v>44</v>
      </c>
      <c r="J71" s="3">
        <v>153</v>
      </c>
      <c r="K71" s="3">
        <v>430</v>
      </c>
      <c r="L71" s="3">
        <v>348</v>
      </c>
      <c r="M71" s="3">
        <v>584</v>
      </c>
      <c r="N71" s="43">
        <f t="shared" si="0"/>
        <v>598</v>
      </c>
      <c r="O71" s="3">
        <f t="shared" si="1"/>
        <v>1048</v>
      </c>
      <c r="P71" s="3">
        <f t="shared" si="2"/>
        <v>994</v>
      </c>
      <c r="Q71" s="3">
        <f t="shared" si="3"/>
        <v>2217</v>
      </c>
      <c r="R71" s="34">
        <f t="shared" si="5"/>
        <v>6.0283687943262408E-2</v>
      </c>
      <c r="S71" s="32">
        <f t="shared" si="6"/>
        <v>34</v>
      </c>
      <c r="T71" s="34">
        <f t="shared" si="9"/>
        <v>2.7491408934707903E-2</v>
      </c>
      <c r="U71" s="34">
        <f t="shared" si="4"/>
        <v>0.60160965794768617</v>
      </c>
      <c r="V71" s="35"/>
      <c r="W71" s="35"/>
      <c r="X71" s="35"/>
      <c r="Y71" s="35"/>
      <c r="Z71" s="35"/>
      <c r="AA71" s="36"/>
    </row>
    <row r="72" spans="1:27" ht="16" thickBot="1" x14ac:dyDescent="0.4">
      <c r="A72" s="8">
        <f t="shared" si="10"/>
        <v>39046</v>
      </c>
      <c r="B72" s="3">
        <v>333</v>
      </c>
      <c r="C72" s="3">
        <v>432</v>
      </c>
      <c r="D72" s="3">
        <v>114</v>
      </c>
      <c r="E72" s="3">
        <v>671</v>
      </c>
      <c r="F72" s="3">
        <v>3</v>
      </c>
      <c r="G72" s="3">
        <v>38</v>
      </c>
      <c r="H72" s="3">
        <v>19</v>
      </c>
      <c r="I72" s="3">
        <v>56</v>
      </c>
      <c r="J72" s="3">
        <v>204</v>
      </c>
      <c r="K72" s="3">
        <v>471</v>
      </c>
      <c r="L72" s="3">
        <v>365</v>
      </c>
      <c r="M72" s="3">
        <v>608</v>
      </c>
      <c r="N72" s="43">
        <f t="shared" ref="N72:N91" si="11">SUM(B72,F72,J72)</f>
        <v>540</v>
      </c>
      <c r="O72" s="3">
        <f t="shared" ref="O72:O86" si="12">SUM(B72,D72,F72,H72,J72,L72)</f>
        <v>1038</v>
      </c>
      <c r="P72" s="3">
        <f t="shared" ref="P72:P83" si="13">SUM(C72,G72,K72)</f>
        <v>941</v>
      </c>
      <c r="Q72" s="3">
        <f t="shared" ref="Q72:Q86" si="14">SUM(C72,E72,G72,I72,K72,M72)</f>
        <v>2276</v>
      </c>
      <c r="R72" s="34">
        <f t="shared" si="5"/>
        <v>-9.6989966555183951E-2</v>
      </c>
      <c r="S72" s="32">
        <f t="shared" si="6"/>
        <v>-58</v>
      </c>
      <c r="T72" s="34">
        <f t="shared" si="9"/>
        <v>-3.2258064516129031E-2</v>
      </c>
      <c r="U72" s="34">
        <f t="shared" ref="U72:U85" si="15">N72/P72</f>
        <v>0.57385759829968119</v>
      </c>
      <c r="V72" s="35"/>
      <c r="W72" s="35"/>
      <c r="X72" s="35"/>
      <c r="Y72" s="35"/>
      <c r="Z72" s="35"/>
      <c r="AA72" s="36"/>
    </row>
    <row r="73" spans="1:27" ht="16" thickBot="1" x14ac:dyDescent="0.4">
      <c r="A73" s="8">
        <f t="shared" si="10"/>
        <v>39053</v>
      </c>
      <c r="B73" s="3">
        <v>414</v>
      </c>
      <c r="C73" s="3">
        <v>525</v>
      </c>
      <c r="D73" s="3">
        <v>115</v>
      </c>
      <c r="E73" s="3">
        <v>551</v>
      </c>
      <c r="F73" s="3">
        <v>44</v>
      </c>
      <c r="G73" s="3">
        <v>64</v>
      </c>
      <c r="H73" s="3">
        <v>8</v>
      </c>
      <c r="I73" s="3">
        <v>26</v>
      </c>
      <c r="J73" s="3">
        <v>231</v>
      </c>
      <c r="K73" s="3">
        <v>476</v>
      </c>
      <c r="L73" s="3">
        <v>380</v>
      </c>
      <c r="M73" s="3">
        <v>570</v>
      </c>
      <c r="N73" s="43">
        <f t="shared" si="11"/>
        <v>689</v>
      </c>
      <c r="O73" s="3">
        <f t="shared" si="12"/>
        <v>1192</v>
      </c>
      <c r="P73" s="3">
        <f t="shared" si="13"/>
        <v>1065</v>
      </c>
      <c r="Q73" s="3">
        <f t="shared" si="14"/>
        <v>2212</v>
      </c>
      <c r="R73" s="34">
        <f t="shared" ref="R73:R84" si="16">(N73-N72)/N72</f>
        <v>0.27592592592592591</v>
      </c>
      <c r="S73" s="32">
        <f t="shared" ref="S73:S84" si="17">N73-N72</f>
        <v>149</v>
      </c>
      <c r="T73" s="34">
        <f t="shared" si="9"/>
        <v>0.22163120567375885</v>
      </c>
      <c r="U73" s="34">
        <f t="shared" si="15"/>
        <v>0.64694835680751173</v>
      </c>
      <c r="V73" s="35"/>
      <c r="W73" s="35"/>
      <c r="X73" s="35"/>
      <c r="Y73" s="35"/>
      <c r="Z73" s="35"/>
      <c r="AA73" s="36"/>
    </row>
    <row r="74" spans="1:27" ht="16" thickBot="1" x14ac:dyDescent="0.4">
      <c r="A74" s="8">
        <f t="shared" si="10"/>
        <v>39060</v>
      </c>
      <c r="B74" s="3">
        <v>388</v>
      </c>
      <c r="C74" s="3">
        <v>502</v>
      </c>
      <c r="D74" s="3">
        <v>112</v>
      </c>
      <c r="E74" s="3">
        <v>648</v>
      </c>
      <c r="F74" s="3">
        <v>25</v>
      </c>
      <c r="G74" s="3">
        <v>47</v>
      </c>
      <c r="H74" s="3">
        <v>19</v>
      </c>
      <c r="I74" s="3">
        <v>50</v>
      </c>
      <c r="J74" s="3">
        <v>99</v>
      </c>
      <c r="K74" s="3">
        <v>414</v>
      </c>
      <c r="L74" s="3">
        <v>381</v>
      </c>
      <c r="M74" s="3">
        <v>645</v>
      </c>
      <c r="N74" s="43">
        <f t="shared" si="11"/>
        <v>512</v>
      </c>
      <c r="O74" s="3">
        <f t="shared" si="12"/>
        <v>1024</v>
      </c>
      <c r="P74" s="3">
        <f t="shared" si="13"/>
        <v>963</v>
      </c>
      <c r="Q74" s="3">
        <f t="shared" si="14"/>
        <v>2306</v>
      </c>
      <c r="R74" s="34">
        <f t="shared" si="16"/>
        <v>-0.25689404934687954</v>
      </c>
      <c r="S74" s="32">
        <f t="shared" si="17"/>
        <v>-177</v>
      </c>
      <c r="T74" s="34">
        <f t="shared" si="9"/>
        <v>0.3473684210526316</v>
      </c>
      <c r="U74" s="34">
        <f t="shared" si="15"/>
        <v>0.5316718587746625</v>
      </c>
      <c r="V74" s="35"/>
      <c r="W74" s="35"/>
      <c r="X74" s="35"/>
      <c r="Y74" s="35"/>
      <c r="Z74" s="35"/>
      <c r="AA74" s="36"/>
    </row>
    <row r="75" spans="1:27" ht="16" thickBot="1" x14ac:dyDescent="0.4">
      <c r="A75" s="8">
        <f t="shared" si="10"/>
        <v>39067</v>
      </c>
      <c r="B75" s="3">
        <v>428</v>
      </c>
      <c r="C75" s="3">
        <v>483</v>
      </c>
      <c r="D75" s="3">
        <v>99</v>
      </c>
      <c r="E75" s="3">
        <v>672</v>
      </c>
      <c r="F75" s="3">
        <v>38</v>
      </c>
      <c r="G75" s="3">
        <v>50</v>
      </c>
      <c r="H75" s="3">
        <v>11</v>
      </c>
      <c r="I75" s="3">
        <v>47</v>
      </c>
      <c r="J75" s="3">
        <v>196</v>
      </c>
      <c r="K75" s="3">
        <v>528</v>
      </c>
      <c r="L75" s="3">
        <v>414</v>
      </c>
      <c r="M75" s="3">
        <v>652</v>
      </c>
      <c r="N75" s="43">
        <f t="shared" si="11"/>
        <v>662</v>
      </c>
      <c r="O75" s="3">
        <f t="shared" si="12"/>
        <v>1186</v>
      </c>
      <c r="P75" s="3">
        <f t="shared" si="13"/>
        <v>1061</v>
      </c>
      <c r="Q75" s="3">
        <f t="shared" si="14"/>
        <v>2432</v>
      </c>
      <c r="R75" s="34">
        <f t="shared" si="16"/>
        <v>0.29296875</v>
      </c>
      <c r="S75" s="32">
        <f t="shared" si="17"/>
        <v>150</v>
      </c>
      <c r="T75" s="34">
        <f t="shared" si="9"/>
        <v>7.642276422764227E-2</v>
      </c>
      <c r="U75" s="34">
        <f t="shared" si="15"/>
        <v>0.62393967954759666</v>
      </c>
      <c r="V75" s="35"/>
      <c r="W75" s="35"/>
      <c r="X75" s="35"/>
      <c r="Y75" s="35"/>
      <c r="Z75" s="35"/>
      <c r="AA75" s="36"/>
    </row>
    <row r="76" spans="1:27" ht="16" thickBot="1" x14ac:dyDescent="0.4">
      <c r="A76" s="8">
        <f t="shared" si="10"/>
        <v>39074</v>
      </c>
      <c r="B76" s="3">
        <v>153</v>
      </c>
      <c r="C76" s="3">
        <v>272</v>
      </c>
      <c r="D76" s="3">
        <v>67</v>
      </c>
      <c r="E76" s="3">
        <v>490</v>
      </c>
      <c r="F76" s="3">
        <v>31</v>
      </c>
      <c r="G76" s="3">
        <v>43</v>
      </c>
      <c r="H76" s="3">
        <v>18</v>
      </c>
      <c r="I76" s="3">
        <v>31</v>
      </c>
      <c r="J76" s="3">
        <v>156</v>
      </c>
      <c r="K76" s="3">
        <v>453</v>
      </c>
      <c r="L76" s="3">
        <v>434</v>
      </c>
      <c r="M76" s="3">
        <v>654</v>
      </c>
      <c r="N76" s="43">
        <f t="shared" si="11"/>
        <v>340</v>
      </c>
      <c r="O76" s="3">
        <f t="shared" si="12"/>
        <v>859</v>
      </c>
      <c r="P76" s="3">
        <f t="shared" si="13"/>
        <v>768</v>
      </c>
      <c r="Q76" s="3">
        <f t="shared" si="14"/>
        <v>1943</v>
      </c>
      <c r="R76" s="34">
        <f t="shared" si="16"/>
        <v>-0.48640483383685801</v>
      </c>
      <c r="S76" s="32">
        <f t="shared" si="17"/>
        <v>-322</v>
      </c>
      <c r="T76" s="34">
        <f t="shared" si="9"/>
        <v>-0.36567164179104478</v>
      </c>
      <c r="U76" s="34">
        <f t="shared" si="15"/>
        <v>0.44270833333333331</v>
      </c>
      <c r="V76" s="35"/>
      <c r="W76" s="35"/>
      <c r="X76" s="35"/>
      <c r="Y76" s="35"/>
      <c r="Z76" s="35"/>
      <c r="AA76" s="36"/>
    </row>
    <row r="77" spans="1:27" ht="16" thickBot="1" x14ac:dyDescent="0.4">
      <c r="A77" s="8">
        <f t="shared" si="10"/>
        <v>39081</v>
      </c>
      <c r="B77" s="3">
        <v>149</v>
      </c>
      <c r="C77" s="3">
        <v>188</v>
      </c>
      <c r="D77" s="3">
        <v>61</v>
      </c>
      <c r="E77" s="3">
        <v>311</v>
      </c>
      <c r="F77" s="3">
        <v>35</v>
      </c>
      <c r="G77" s="3">
        <v>58</v>
      </c>
      <c r="H77" s="3">
        <v>11</v>
      </c>
      <c r="I77" s="3">
        <v>48</v>
      </c>
      <c r="J77" s="3">
        <v>171</v>
      </c>
      <c r="K77" s="3">
        <v>448</v>
      </c>
      <c r="L77" s="3">
        <v>322</v>
      </c>
      <c r="M77" s="3">
        <v>535</v>
      </c>
      <c r="N77" s="43">
        <f t="shared" si="11"/>
        <v>355</v>
      </c>
      <c r="O77" s="3">
        <f t="shared" si="12"/>
        <v>749</v>
      </c>
      <c r="P77" s="3">
        <f t="shared" si="13"/>
        <v>694</v>
      </c>
      <c r="Q77" s="3">
        <f t="shared" si="14"/>
        <v>1588</v>
      </c>
      <c r="R77" s="34">
        <f t="shared" si="16"/>
        <v>4.4117647058823532E-2</v>
      </c>
      <c r="S77" s="32">
        <f t="shared" si="17"/>
        <v>15</v>
      </c>
      <c r="T77" s="34">
        <f t="shared" si="9"/>
        <v>-3.5326086956521736E-2</v>
      </c>
      <c r="U77" s="34">
        <f t="shared" si="15"/>
        <v>0.51152737752161381</v>
      </c>
      <c r="V77" s="35"/>
      <c r="W77" s="35"/>
      <c r="X77" s="35"/>
      <c r="Y77" s="35"/>
      <c r="Z77" s="35"/>
      <c r="AA77" s="36"/>
    </row>
    <row r="78" spans="1:27" ht="16" thickBot="1" x14ac:dyDescent="0.4">
      <c r="A78" s="8">
        <f t="shared" si="10"/>
        <v>39088</v>
      </c>
      <c r="B78" s="3">
        <v>217</v>
      </c>
      <c r="C78" s="3">
        <v>285</v>
      </c>
      <c r="D78" s="3">
        <v>71</v>
      </c>
      <c r="E78" s="3">
        <v>333</v>
      </c>
      <c r="F78" s="3">
        <v>33</v>
      </c>
      <c r="G78" s="3">
        <v>51</v>
      </c>
      <c r="H78" s="3">
        <v>25</v>
      </c>
      <c r="I78" s="3">
        <v>46</v>
      </c>
      <c r="J78" s="3">
        <v>125</v>
      </c>
      <c r="K78" s="3">
        <v>361</v>
      </c>
      <c r="L78" s="3">
        <v>302</v>
      </c>
      <c r="M78" s="3">
        <v>439</v>
      </c>
      <c r="N78" s="43">
        <f t="shared" si="11"/>
        <v>375</v>
      </c>
      <c r="O78" s="3">
        <f t="shared" si="12"/>
        <v>773</v>
      </c>
      <c r="P78" s="3">
        <f t="shared" si="13"/>
        <v>697</v>
      </c>
      <c r="Q78" s="3">
        <f t="shared" si="14"/>
        <v>1515</v>
      </c>
      <c r="R78" s="34">
        <f t="shared" si="16"/>
        <v>5.6338028169014086E-2</v>
      </c>
      <c r="S78" s="32">
        <f t="shared" si="17"/>
        <v>20</v>
      </c>
      <c r="T78" s="34">
        <f t="shared" si="9"/>
        <v>0.10619469026548672</v>
      </c>
      <c r="U78" s="34">
        <f t="shared" si="15"/>
        <v>0.53802008608321372</v>
      </c>
      <c r="V78" s="35"/>
      <c r="W78" s="35"/>
      <c r="X78" s="35"/>
      <c r="Y78" s="35"/>
      <c r="Z78" s="35"/>
      <c r="AA78" s="36"/>
    </row>
    <row r="79" spans="1:27" ht="16" thickBot="1" x14ac:dyDescent="0.4">
      <c r="A79" s="8">
        <f t="shared" si="10"/>
        <v>39095</v>
      </c>
      <c r="B79" s="3">
        <v>202</v>
      </c>
      <c r="C79" s="3">
        <v>301</v>
      </c>
      <c r="D79" s="3">
        <v>42</v>
      </c>
      <c r="E79" s="3">
        <v>376</v>
      </c>
      <c r="F79" s="3">
        <v>32</v>
      </c>
      <c r="G79" s="3">
        <v>58</v>
      </c>
      <c r="H79" s="3">
        <v>19</v>
      </c>
      <c r="I79" s="3">
        <v>46</v>
      </c>
      <c r="J79" s="3">
        <v>272</v>
      </c>
      <c r="K79" s="3">
        <v>601</v>
      </c>
      <c r="L79" s="3">
        <v>350</v>
      </c>
      <c r="M79" s="3">
        <v>695</v>
      </c>
      <c r="N79" s="43">
        <f t="shared" si="11"/>
        <v>506</v>
      </c>
      <c r="O79" s="3">
        <f t="shared" si="12"/>
        <v>917</v>
      </c>
      <c r="P79" s="3">
        <f t="shared" si="13"/>
        <v>960</v>
      </c>
      <c r="Q79" s="3">
        <f t="shared" si="14"/>
        <v>2077</v>
      </c>
      <c r="R79" s="34">
        <f t="shared" si="16"/>
        <v>0.34933333333333333</v>
      </c>
      <c r="S79" s="32">
        <f t="shared" si="17"/>
        <v>131</v>
      </c>
      <c r="T79" s="34">
        <f t="shared" si="9"/>
        <v>0.53333333333333333</v>
      </c>
      <c r="U79" s="34">
        <f t="shared" si="15"/>
        <v>0.52708333333333335</v>
      </c>
      <c r="V79" s="35"/>
      <c r="W79" s="35"/>
      <c r="X79" s="35"/>
      <c r="Y79" s="35"/>
      <c r="Z79" s="35"/>
      <c r="AA79" s="36"/>
    </row>
    <row r="80" spans="1:27" ht="16" thickBot="1" x14ac:dyDescent="0.4">
      <c r="A80" s="8">
        <f t="shared" si="10"/>
        <v>39102</v>
      </c>
      <c r="B80" s="3">
        <v>137</v>
      </c>
      <c r="C80" s="3">
        <v>162</v>
      </c>
      <c r="D80" s="3">
        <v>86</v>
      </c>
      <c r="E80" s="3">
        <v>316</v>
      </c>
      <c r="F80" s="3">
        <v>23</v>
      </c>
      <c r="G80" s="3">
        <v>31</v>
      </c>
      <c r="H80" s="3">
        <v>9</v>
      </c>
      <c r="I80" s="3">
        <v>29</v>
      </c>
      <c r="J80" s="3">
        <v>182</v>
      </c>
      <c r="K80" s="3">
        <v>412</v>
      </c>
      <c r="L80" s="3">
        <v>277</v>
      </c>
      <c r="M80" s="3">
        <v>555</v>
      </c>
      <c r="N80" s="43">
        <f t="shared" si="11"/>
        <v>342</v>
      </c>
      <c r="O80" s="3">
        <f t="shared" si="12"/>
        <v>714</v>
      </c>
      <c r="P80" s="3">
        <f t="shared" si="13"/>
        <v>605</v>
      </c>
      <c r="Q80" s="3">
        <f t="shared" si="14"/>
        <v>1505</v>
      </c>
      <c r="R80" s="34">
        <f t="shared" si="16"/>
        <v>-0.32411067193675891</v>
      </c>
      <c r="S80" s="32">
        <f t="shared" si="17"/>
        <v>-164</v>
      </c>
      <c r="T80" s="34">
        <f t="shared" si="9"/>
        <v>-6.8119891008174394E-2</v>
      </c>
      <c r="U80" s="34">
        <f t="shared" si="15"/>
        <v>0.56528925619834713</v>
      </c>
      <c r="V80" s="35"/>
      <c r="W80" s="35"/>
      <c r="X80" s="35"/>
      <c r="Y80" s="35"/>
      <c r="Z80" s="35"/>
      <c r="AA80" s="36"/>
    </row>
    <row r="81" spans="1:27" ht="16" thickBot="1" x14ac:dyDescent="0.4">
      <c r="A81" s="8">
        <f t="shared" si="10"/>
        <v>39109</v>
      </c>
      <c r="B81" s="3">
        <v>141</v>
      </c>
      <c r="C81" s="3">
        <v>216</v>
      </c>
      <c r="D81" s="3">
        <v>85</v>
      </c>
      <c r="E81" s="3">
        <v>369</v>
      </c>
      <c r="F81" s="3">
        <v>32</v>
      </c>
      <c r="G81" s="3">
        <v>53</v>
      </c>
      <c r="H81" s="3">
        <v>10</v>
      </c>
      <c r="I81" s="3">
        <v>32</v>
      </c>
      <c r="J81" s="3">
        <v>264</v>
      </c>
      <c r="K81" s="3">
        <v>535</v>
      </c>
      <c r="L81" s="3">
        <v>282</v>
      </c>
      <c r="M81" s="3">
        <v>510</v>
      </c>
      <c r="N81" s="43">
        <f t="shared" si="11"/>
        <v>437</v>
      </c>
      <c r="O81" s="3">
        <f t="shared" si="12"/>
        <v>814</v>
      </c>
      <c r="P81" s="3">
        <f t="shared" si="13"/>
        <v>804</v>
      </c>
      <c r="Q81" s="3">
        <f t="shared" si="14"/>
        <v>1715</v>
      </c>
      <c r="R81" s="34">
        <f t="shared" si="16"/>
        <v>0.27777777777777779</v>
      </c>
      <c r="S81" s="32">
        <f t="shared" si="17"/>
        <v>95</v>
      </c>
      <c r="T81" s="34">
        <f t="shared" si="9"/>
        <v>8.1683168316831686E-2</v>
      </c>
      <c r="U81" s="34">
        <f t="shared" si="15"/>
        <v>0.54353233830845771</v>
      </c>
      <c r="V81" s="35"/>
      <c r="W81" s="35"/>
      <c r="X81" s="35"/>
      <c r="Y81" s="35"/>
      <c r="Z81" s="35"/>
      <c r="AA81" s="36"/>
    </row>
    <row r="82" spans="1:27" ht="16" thickBot="1" x14ac:dyDescent="0.4">
      <c r="A82" s="8">
        <f t="shared" si="10"/>
        <v>39116</v>
      </c>
      <c r="B82" s="3">
        <v>162</v>
      </c>
      <c r="C82" s="3">
        <v>205</v>
      </c>
      <c r="D82" s="3">
        <v>51</v>
      </c>
      <c r="E82" s="3">
        <v>180</v>
      </c>
      <c r="F82" s="3">
        <v>32</v>
      </c>
      <c r="G82" s="3">
        <v>41</v>
      </c>
      <c r="H82" s="3">
        <v>25</v>
      </c>
      <c r="I82" s="3">
        <v>62</v>
      </c>
      <c r="J82" s="3">
        <v>301</v>
      </c>
      <c r="K82" s="3">
        <v>602</v>
      </c>
      <c r="L82" s="3">
        <v>350</v>
      </c>
      <c r="M82" s="3">
        <v>602</v>
      </c>
      <c r="N82" s="43">
        <f t="shared" si="11"/>
        <v>495</v>
      </c>
      <c r="O82" s="3">
        <f t="shared" si="12"/>
        <v>921</v>
      </c>
      <c r="P82" s="3">
        <f t="shared" si="13"/>
        <v>848</v>
      </c>
      <c r="Q82" s="3">
        <f t="shared" si="14"/>
        <v>1692</v>
      </c>
      <c r="R82" s="34">
        <f t="shared" si="16"/>
        <v>0.13272311212814644</v>
      </c>
      <c r="S82" s="32">
        <f t="shared" si="17"/>
        <v>58</v>
      </c>
      <c r="T82" s="34">
        <f t="shared" si="9"/>
        <v>0.39830508474576271</v>
      </c>
      <c r="U82" s="34">
        <f t="shared" si="15"/>
        <v>0.58372641509433965</v>
      </c>
      <c r="V82" s="35"/>
      <c r="W82" s="35"/>
      <c r="X82" s="35"/>
      <c r="Y82" s="35"/>
      <c r="Z82" s="35"/>
      <c r="AA82" s="36"/>
    </row>
    <row r="83" spans="1:27" ht="16" thickBot="1" x14ac:dyDescent="0.4">
      <c r="A83" s="8">
        <f t="shared" si="10"/>
        <v>39123</v>
      </c>
      <c r="B83" s="3">
        <v>121</v>
      </c>
      <c r="C83" s="3">
        <v>147</v>
      </c>
      <c r="D83" s="3">
        <v>65</v>
      </c>
      <c r="E83" s="3">
        <v>219</v>
      </c>
      <c r="F83" s="3">
        <v>35</v>
      </c>
      <c r="G83" s="3">
        <v>66</v>
      </c>
      <c r="H83" s="3">
        <v>14</v>
      </c>
      <c r="I83" s="3">
        <v>35</v>
      </c>
      <c r="J83" s="3">
        <v>247</v>
      </c>
      <c r="K83" s="3">
        <v>453</v>
      </c>
      <c r="L83" s="3">
        <v>390</v>
      </c>
      <c r="M83" s="3">
        <v>600</v>
      </c>
      <c r="N83" s="43">
        <f t="shared" si="11"/>
        <v>403</v>
      </c>
      <c r="O83" s="3">
        <f t="shared" si="12"/>
        <v>872</v>
      </c>
      <c r="P83" s="3">
        <f t="shared" si="13"/>
        <v>666</v>
      </c>
      <c r="Q83" s="3">
        <f t="shared" si="14"/>
        <v>1520</v>
      </c>
      <c r="R83" s="34">
        <f t="shared" si="16"/>
        <v>-0.18585858585858586</v>
      </c>
      <c r="S83" s="32">
        <f t="shared" si="17"/>
        <v>-92</v>
      </c>
      <c r="T83" s="34">
        <f t="shared" si="9"/>
        <v>-0.10244988864142539</v>
      </c>
      <c r="U83" s="34">
        <f t="shared" si="15"/>
        <v>0.60510510510510507</v>
      </c>
      <c r="V83" s="35"/>
      <c r="W83" s="35"/>
      <c r="X83" s="35"/>
      <c r="Y83" s="35"/>
      <c r="Z83" s="35"/>
      <c r="AA83" s="36"/>
    </row>
    <row r="84" spans="1:27" ht="16" thickBot="1" x14ac:dyDescent="0.4">
      <c r="A84" s="8">
        <f t="shared" si="10"/>
        <v>39130</v>
      </c>
      <c r="B84" s="3">
        <v>57</v>
      </c>
      <c r="C84" s="3">
        <v>72</v>
      </c>
      <c r="D84" s="3">
        <v>30</v>
      </c>
      <c r="E84" s="3">
        <v>59</v>
      </c>
      <c r="F84" s="3">
        <v>19</v>
      </c>
      <c r="G84" s="3">
        <v>29</v>
      </c>
      <c r="H84" s="3">
        <v>8</v>
      </c>
      <c r="I84" s="3">
        <v>38</v>
      </c>
      <c r="J84" s="3">
        <v>404</v>
      </c>
      <c r="K84" s="3">
        <v>705</v>
      </c>
      <c r="L84" s="3">
        <v>330</v>
      </c>
      <c r="M84" s="3">
        <v>601</v>
      </c>
      <c r="N84" s="43">
        <f t="shared" si="11"/>
        <v>480</v>
      </c>
      <c r="O84" s="3">
        <f t="shared" si="12"/>
        <v>848</v>
      </c>
      <c r="P84" s="3">
        <f t="shared" ref="P84:P91" si="18">SUM(C84,G84,K84)</f>
        <v>806</v>
      </c>
      <c r="Q84" s="3">
        <f t="shared" si="14"/>
        <v>1504</v>
      </c>
      <c r="R84" s="34">
        <f t="shared" si="16"/>
        <v>0.19106699751861042</v>
      </c>
      <c r="S84" s="32">
        <f t="shared" si="17"/>
        <v>77</v>
      </c>
      <c r="T84" s="34">
        <f t="shared" si="9"/>
        <v>-8.2644628099173556E-3</v>
      </c>
      <c r="U84" s="34">
        <f t="shared" si="15"/>
        <v>0.59553349875930517</v>
      </c>
      <c r="V84" s="35"/>
      <c r="W84" s="35"/>
      <c r="X84" s="35"/>
      <c r="Y84" s="35"/>
      <c r="Z84" s="35"/>
      <c r="AA84" s="36"/>
    </row>
    <row r="85" spans="1:27" ht="16" thickBot="1" x14ac:dyDescent="0.4">
      <c r="A85" s="8">
        <f t="shared" si="10"/>
        <v>39137</v>
      </c>
      <c r="B85" s="21">
        <v>135</v>
      </c>
      <c r="C85" s="21">
        <v>169</v>
      </c>
      <c r="D85" s="21">
        <v>24</v>
      </c>
      <c r="E85" s="21">
        <v>48</v>
      </c>
      <c r="F85" s="21">
        <v>19</v>
      </c>
      <c r="G85" s="21">
        <v>34</v>
      </c>
      <c r="H85" s="21">
        <v>35</v>
      </c>
      <c r="I85" s="21">
        <v>55</v>
      </c>
      <c r="J85" s="21">
        <v>216</v>
      </c>
      <c r="K85" s="21">
        <v>513</v>
      </c>
      <c r="L85" s="21">
        <v>353</v>
      </c>
      <c r="M85" s="21">
        <v>631</v>
      </c>
      <c r="N85" s="43">
        <f t="shared" si="11"/>
        <v>370</v>
      </c>
      <c r="O85" s="3">
        <f t="shared" si="12"/>
        <v>782</v>
      </c>
      <c r="P85" s="3">
        <f t="shared" si="18"/>
        <v>716</v>
      </c>
      <c r="Q85" s="3">
        <f t="shared" si="14"/>
        <v>1450</v>
      </c>
      <c r="R85" s="34">
        <f t="shared" ref="R85:R90" si="19">(N85-N84)/N84</f>
        <v>-0.22916666666666666</v>
      </c>
      <c r="S85" s="32">
        <f t="shared" ref="S85:S90" si="20">N85-N84</f>
        <v>-110</v>
      </c>
      <c r="T85" s="34">
        <f t="shared" ref="T85:T90" si="21">(N85-N33)/N33</f>
        <v>-0.15331807780320367</v>
      </c>
      <c r="U85" s="34">
        <f t="shared" si="15"/>
        <v>0.51675977653631289</v>
      </c>
      <c r="V85" s="35"/>
      <c r="W85" s="35"/>
      <c r="X85" s="35"/>
      <c r="Y85" s="35"/>
      <c r="Z85" s="35"/>
      <c r="AA85" s="36"/>
    </row>
    <row r="86" spans="1:27" ht="16" thickBot="1" x14ac:dyDescent="0.4">
      <c r="A86" s="20">
        <f t="shared" si="10"/>
        <v>39144</v>
      </c>
      <c r="B86" s="3">
        <v>265</v>
      </c>
      <c r="C86" s="3">
        <v>372</v>
      </c>
      <c r="D86" s="3">
        <v>43</v>
      </c>
      <c r="E86" s="3">
        <v>269</v>
      </c>
      <c r="F86" s="3">
        <v>48</v>
      </c>
      <c r="G86" s="3">
        <v>54</v>
      </c>
      <c r="H86" s="3">
        <v>34</v>
      </c>
      <c r="I86" s="3">
        <v>78</v>
      </c>
      <c r="J86" s="3">
        <v>211</v>
      </c>
      <c r="K86" s="3">
        <v>480</v>
      </c>
      <c r="L86" s="3">
        <v>354</v>
      </c>
      <c r="M86" s="3">
        <v>635</v>
      </c>
      <c r="N86" s="45">
        <f t="shared" si="11"/>
        <v>524</v>
      </c>
      <c r="O86" s="3">
        <f t="shared" si="12"/>
        <v>955</v>
      </c>
      <c r="P86" s="3">
        <f t="shared" si="18"/>
        <v>906</v>
      </c>
      <c r="Q86" s="3">
        <f t="shared" si="14"/>
        <v>1888</v>
      </c>
      <c r="R86" s="34">
        <f t="shared" si="19"/>
        <v>0.41621621621621624</v>
      </c>
      <c r="S86" s="32">
        <f t="shared" si="20"/>
        <v>154</v>
      </c>
      <c r="T86" s="34">
        <f t="shared" si="21"/>
        <v>2.5440313111545987E-2</v>
      </c>
      <c r="U86" s="34">
        <f t="shared" ref="U86:U91" si="22">N86/P86</f>
        <v>0.57836644591611475</v>
      </c>
      <c r="V86" s="35"/>
      <c r="W86" s="35"/>
      <c r="X86" s="35"/>
      <c r="Y86" s="35"/>
      <c r="Z86" s="35"/>
      <c r="AA86" s="36"/>
    </row>
    <row r="87" spans="1:27" ht="16" thickBot="1" x14ac:dyDescent="0.4">
      <c r="A87" s="20">
        <f t="shared" si="10"/>
        <v>39151</v>
      </c>
      <c r="B87" s="3">
        <v>348</v>
      </c>
      <c r="C87" s="3">
        <v>418</v>
      </c>
      <c r="D87" s="3">
        <v>67</v>
      </c>
      <c r="E87" s="3">
        <v>372</v>
      </c>
      <c r="F87" s="3">
        <v>18</v>
      </c>
      <c r="G87" s="3">
        <v>39</v>
      </c>
      <c r="H87" s="3">
        <v>8</v>
      </c>
      <c r="I87" s="3">
        <v>35</v>
      </c>
      <c r="J87" s="3">
        <v>188</v>
      </c>
      <c r="K87" s="3">
        <v>470</v>
      </c>
      <c r="L87" s="3">
        <v>444</v>
      </c>
      <c r="M87" s="3">
        <v>725</v>
      </c>
      <c r="N87" s="45">
        <f t="shared" si="11"/>
        <v>554</v>
      </c>
      <c r="O87" s="3">
        <f t="shared" ref="O87:O92" si="23">SUM(B87,D87,F87,H87,J87,L87)</f>
        <v>1073</v>
      </c>
      <c r="P87" s="3">
        <f t="shared" si="18"/>
        <v>927</v>
      </c>
      <c r="Q87" s="21">
        <f t="shared" ref="Q87:Q92" si="24">SUM(C87,E87,G87,I87,K87,M87)</f>
        <v>2059</v>
      </c>
      <c r="R87" s="34">
        <f t="shared" si="19"/>
        <v>5.7251908396946563E-2</v>
      </c>
      <c r="S87" s="32">
        <f t="shared" si="20"/>
        <v>30</v>
      </c>
      <c r="T87" s="34">
        <f t="shared" si="21"/>
        <v>0.32219570405727921</v>
      </c>
      <c r="U87" s="34">
        <f t="shared" si="22"/>
        <v>0.59762675296655876</v>
      </c>
      <c r="V87" s="35"/>
      <c r="W87" s="35"/>
      <c r="X87" s="35"/>
      <c r="Y87" s="35"/>
      <c r="Z87" s="35"/>
      <c r="AA87" s="36"/>
    </row>
    <row r="88" spans="1:27" ht="16" thickBot="1" x14ac:dyDescent="0.4">
      <c r="A88" s="20">
        <f t="shared" si="10"/>
        <v>39158</v>
      </c>
      <c r="B88" s="3">
        <v>455</v>
      </c>
      <c r="C88" s="3">
        <v>508</v>
      </c>
      <c r="D88" s="3">
        <v>63</v>
      </c>
      <c r="E88" s="3">
        <v>371</v>
      </c>
      <c r="F88" s="3">
        <v>47</v>
      </c>
      <c r="G88" s="3">
        <v>74</v>
      </c>
      <c r="H88" s="3">
        <v>29</v>
      </c>
      <c r="I88" s="3">
        <v>73</v>
      </c>
      <c r="J88" s="3">
        <v>243</v>
      </c>
      <c r="K88" s="3">
        <v>507</v>
      </c>
      <c r="L88" s="3">
        <v>381</v>
      </c>
      <c r="M88" s="3">
        <v>646</v>
      </c>
      <c r="N88" s="45">
        <f t="shared" si="11"/>
        <v>745</v>
      </c>
      <c r="O88" s="3">
        <f t="shared" si="23"/>
        <v>1218</v>
      </c>
      <c r="P88" s="3">
        <f t="shared" si="18"/>
        <v>1089</v>
      </c>
      <c r="Q88" s="3">
        <f t="shared" si="24"/>
        <v>2179</v>
      </c>
      <c r="R88" s="34">
        <f t="shared" si="19"/>
        <v>0.34476534296028882</v>
      </c>
      <c r="S88" s="32">
        <f t="shared" si="20"/>
        <v>191</v>
      </c>
      <c r="T88" s="34">
        <f t="shared" si="21"/>
        <v>0.52977412731006157</v>
      </c>
      <c r="U88" s="34">
        <f t="shared" si="22"/>
        <v>0.6841138659320477</v>
      </c>
      <c r="V88" s="35"/>
      <c r="W88" s="35"/>
      <c r="X88" s="35"/>
      <c r="Y88" s="35"/>
      <c r="Z88" s="35"/>
      <c r="AA88" s="36"/>
    </row>
    <row r="89" spans="1:27" ht="16" thickBot="1" x14ac:dyDescent="0.4">
      <c r="A89" s="20">
        <f t="shared" si="10"/>
        <v>39165</v>
      </c>
      <c r="B89" s="3">
        <v>470</v>
      </c>
      <c r="C89" s="3">
        <v>544</v>
      </c>
      <c r="D89" s="3">
        <v>57</v>
      </c>
      <c r="E89" s="3">
        <v>391</v>
      </c>
      <c r="F89" s="3">
        <v>26</v>
      </c>
      <c r="G89" s="3">
        <v>44</v>
      </c>
      <c r="H89" s="3">
        <v>21</v>
      </c>
      <c r="I89" s="3">
        <v>70</v>
      </c>
      <c r="J89" s="3">
        <v>151</v>
      </c>
      <c r="K89" s="3">
        <v>476</v>
      </c>
      <c r="L89" s="3">
        <v>411</v>
      </c>
      <c r="M89" s="3">
        <v>667</v>
      </c>
      <c r="N89" s="45">
        <f t="shared" si="11"/>
        <v>647</v>
      </c>
      <c r="O89" s="3">
        <f t="shared" si="23"/>
        <v>1136</v>
      </c>
      <c r="P89" s="3">
        <f t="shared" si="18"/>
        <v>1064</v>
      </c>
      <c r="Q89" s="3">
        <f t="shared" si="24"/>
        <v>2192</v>
      </c>
      <c r="R89" s="34">
        <f t="shared" si="19"/>
        <v>-0.13154362416107382</v>
      </c>
      <c r="S89" s="32">
        <f t="shared" si="20"/>
        <v>-98</v>
      </c>
      <c r="T89" s="34">
        <f t="shared" si="21"/>
        <v>0.12914485165794065</v>
      </c>
      <c r="U89" s="34">
        <f t="shared" si="22"/>
        <v>0.60808270676691734</v>
      </c>
      <c r="V89" s="35"/>
      <c r="W89" s="35"/>
      <c r="X89" s="35"/>
      <c r="Y89" s="35"/>
      <c r="Z89" s="35"/>
      <c r="AA89" s="36"/>
    </row>
    <row r="90" spans="1:27" ht="16" thickBot="1" x14ac:dyDescent="0.4">
      <c r="A90" s="20">
        <f t="shared" si="10"/>
        <v>39172</v>
      </c>
      <c r="B90" s="3">
        <v>387</v>
      </c>
      <c r="C90" s="3">
        <v>501</v>
      </c>
      <c r="D90" s="3">
        <v>51</v>
      </c>
      <c r="E90" s="3">
        <v>288</v>
      </c>
      <c r="F90" s="3">
        <v>36</v>
      </c>
      <c r="G90" s="3">
        <v>65</v>
      </c>
      <c r="H90" s="3">
        <v>43</v>
      </c>
      <c r="I90" s="3">
        <v>63</v>
      </c>
      <c r="J90" s="3">
        <v>243</v>
      </c>
      <c r="K90" s="3">
        <v>563</v>
      </c>
      <c r="L90" s="3">
        <v>443</v>
      </c>
      <c r="M90" s="3">
        <v>610</v>
      </c>
      <c r="N90" s="45">
        <f t="shared" si="11"/>
        <v>666</v>
      </c>
      <c r="O90" s="3">
        <f t="shared" si="23"/>
        <v>1203</v>
      </c>
      <c r="P90" s="3">
        <f t="shared" si="18"/>
        <v>1129</v>
      </c>
      <c r="Q90" s="3">
        <f t="shared" si="24"/>
        <v>2090</v>
      </c>
      <c r="R90" s="34">
        <f t="shared" si="19"/>
        <v>2.9366306027820709E-2</v>
      </c>
      <c r="S90" s="32">
        <f t="shared" si="20"/>
        <v>19</v>
      </c>
      <c r="T90" s="34">
        <f t="shared" si="21"/>
        <v>0.51020408163265307</v>
      </c>
      <c r="U90" s="34">
        <f t="shared" si="22"/>
        <v>0.58990256864481838</v>
      </c>
      <c r="V90" s="35"/>
      <c r="W90" s="35"/>
      <c r="X90" s="35"/>
      <c r="Y90" s="35"/>
      <c r="Z90" s="35"/>
      <c r="AA90" s="36"/>
    </row>
    <row r="91" spans="1:27" ht="16" thickBot="1" x14ac:dyDescent="0.4">
      <c r="A91" s="20">
        <f t="shared" si="10"/>
        <v>39179</v>
      </c>
      <c r="B91" s="3">
        <v>531</v>
      </c>
      <c r="C91" s="3">
        <v>656</v>
      </c>
      <c r="D91" s="3">
        <v>78</v>
      </c>
      <c r="E91" s="3">
        <v>394</v>
      </c>
      <c r="F91" s="3">
        <v>31</v>
      </c>
      <c r="G91" s="3">
        <v>68</v>
      </c>
      <c r="H91" s="3">
        <v>56</v>
      </c>
      <c r="I91" s="3">
        <v>86</v>
      </c>
      <c r="J91" s="3">
        <v>153</v>
      </c>
      <c r="K91" s="3">
        <v>417</v>
      </c>
      <c r="L91" s="3">
        <v>461</v>
      </c>
      <c r="M91" s="3">
        <v>691</v>
      </c>
      <c r="N91" s="45">
        <f t="shared" si="11"/>
        <v>715</v>
      </c>
      <c r="O91" s="3">
        <f t="shared" si="23"/>
        <v>1310</v>
      </c>
      <c r="P91" s="3">
        <f t="shared" si="18"/>
        <v>1141</v>
      </c>
      <c r="Q91" s="3">
        <f t="shared" si="24"/>
        <v>2312</v>
      </c>
      <c r="R91" s="34">
        <f t="shared" ref="R91:R96" si="25">(N91-N90)/N90</f>
        <v>7.3573573573573567E-2</v>
      </c>
      <c r="S91" s="32">
        <f t="shared" ref="S91:S96" si="26">N91-N90</f>
        <v>49</v>
      </c>
      <c r="T91" s="34">
        <f t="shared" ref="T91:T96" si="27">(N91-N39)/N39</f>
        <v>0.30236794171220399</v>
      </c>
      <c r="U91" s="34">
        <f t="shared" si="22"/>
        <v>0.62664329535495178</v>
      </c>
      <c r="V91" s="35"/>
      <c r="W91" s="35"/>
      <c r="X91" s="35"/>
      <c r="Y91" s="35"/>
      <c r="Z91" s="35"/>
      <c r="AA91" s="36"/>
    </row>
    <row r="92" spans="1:27" ht="16" thickBot="1" x14ac:dyDescent="0.4">
      <c r="A92" s="20">
        <f t="shared" si="10"/>
        <v>39186</v>
      </c>
      <c r="B92" s="3">
        <v>346</v>
      </c>
      <c r="C92" s="3">
        <v>494</v>
      </c>
      <c r="D92" s="3">
        <v>67</v>
      </c>
      <c r="E92" s="3">
        <v>375</v>
      </c>
      <c r="F92" s="3">
        <v>66</v>
      </c>
      <c r="G92" s="3">
        <v>82</v>
      </c>
      <c r="H92" s="3">
        <v>49</v>
      </c>
      <c r="I92" s="3">
        <v>73</v>
      </c>
      <c r="J92" s="3">
        <v>241</v>
      </c>
      <c r="K92" s="3">
        <v>598</v>
      </c>
      <c r="L92" s="3">
        <v>424</v>
      </c>
      <c r="M92" s="3">
        <v>677</v>
      </c>
      <c r="N92" s="45">
        <f t="shared" ref="N92:N97" si="28">SUM(B92,F92,J92)</f>
        <v>653</v>
      </c>
      <c r="O92" s="3">
        <f t="shared" si="23"/>
        <v>1193</v>
      </c>
      <c r="P92" s="3">
        <f t="shared" ref="P92:P97" si="29">SUM(C92,G92,K92)</f>
        <v>1174</v>
      </c>
      <c r="Q92" s="3">
        <f t="shared" si="24"/>
        <v>2299</v>
      </c>
      <c r="R92" s="34">
        <f t="shared" si="25"/>
        <v>-8.6713286713286708E-2</v>
      </c>
      <c r="S92" s="32">
        <f t="shared" si="26"/>
        <v>-62</v>
      </c>
      <c r="T92" s="34">
        <f t="shared" si="27"/>
        <v>0.4641255605381166</v>
      </c>
      <c r="U92" s="34">
        <f t="shared" ref="U92:U97" si="30">N92/P92</f>
        <v>0.55621805792163548</v>
      </c>
      <c r="V92" s="35"/>
      <c r="W92" s="35"/>
      <c r="X92" s="35"/>
      <c r="Y92" s="35"/>
      <c r="Z92" s="35"/>
      <c r="AA92" s="36"/>
    </row>
    <row r="93" spans="1:27" ht="16" thickBot="1" x14ac:dyDescent="0.4">
      <c r="A93" s="20">
        <f t="shared" si="10"/>
        <v>39193</v>
      </c>
      <c r="B93" s="3">
        <v>383</v>
      </c>
      <c r="C93" s="3">
        <v>514</v>
      </c>
      <c r="D93" s="3">
        <v>102</v>
      </c>
      <c r="E93" s="3">
        <v>498</v>
      </c>
      <c r="F93" s="3">
        <v>36</v>
      </c>
      <c r="G93" s="3">
        <v>74</v>
      </c>
      <c r="H93" s="3">
        <v>37</v>
      </c>
      <c r="I93" s="3">
        <v>53</v>
      </c>
      <c r="J93" s="3">
        <v>189</v>
      </c>
      <c r="K93" s="3">
        <v>483</v>
      </c>
      <c r="L93" s="3">
        <v>514</v>
      </c>
      <c r="M93" s="3">
        <v>683</v>
      </c>
      <c r="N93" s="45">
        <f t="shared" si="28"/>
        <v>608</v>
      </c>
      <c r="O93" s="3">
        <f t="shared" ref="O93:O107" si="31">SUM(B93,D93,F93,H93,J93,L93)</f>
        <v>1261</v>
      </c>
      <c r="P93" s="3">
        <f t="shared" si="29"/>
        <v>1071</v>
      </c>
      <c r="Q93" s="3">
        <f t="shared" ref="Q93:Q107" si="32">SUM(C93,E93,G93,I93,K93,M93)</f>
        <v>2305</v>
      </c>
      <c r="R93" s="34">
        <f t="shared" si="25"/>
        <v>-6.8912710566615618E-2</v>
      </c>
      <c r="S93" s="32">
        <f t="shared" si="26"/>
        <v>-45</v>
      </c>
      <c r="T93" s="34">
        <f t="shared" si="27"/>
        <v>-8.9820359281437126E-2</v>
      </c>
      <c r="U93" s="34">
        <f t="shared" si="30"/>
        <v>0.56769374416433238</v>
      </c>
      <c r="V93" s="35"/>
      <c r="W93" s="35"/>
      <c r="X93" s="35"/>
      <c r="Y93" s="35"/>
      <c r="Z93" s="35"/>
      <c r="AA93" s="36"/>
    </row>
    <row r="94" spans="1:27" ht="16" thickBot="1" x14ac:dyDescent="0.4">
      <c r="A94" s="20">
        <f t="shared" si="10"/>
        <v>39200</v>
      </c>
      <c r="B94" s="3">
        <v>317</v>
      </c>
      <c r="C94" s="3">
        <v>437</v>
      </c>
      <c r="D94" s="3">
        <v>67</v>
      </c>
      <c r="E94" s="3">
        <v>468</v>
      </c>
      <c r="F94" s="3">
        <v>24</v>
      </c>
      <c r="G94" s="3">
        <v>31</v>
      </c>
      <c r="H94" s="3">
        <v>32</v>
      </c>
      <c r="I94" s="3">
        <v>57</v>
      </c>
      <c r="J94" s="3">
        <v>189</v>
      </c>
      <c r="K94" s="3">
        <v>597</v>
      </c>
      <c r="L94" s="3">
        <v>509</v>
      </c>
      <c r="M94" s="3">
        <v>737</v>
      </c>
      <c r="N94" s="45">
        <f t="shared" si="28"/>
        <v>530</v>
      </c>
      <c r="O94" s="3">
        <f t="shared" si="31"/>
        <v>1138</v>
      </c>
      <c r="P94" s="3">
        <f t="shared" si="29"/>
        <v>1065</v>
      </c>
      <c r="Q94" s="3">
        <f t="shared" si="32"/>
        <v>2327</v>
      </c>
      <c r="R94" s="34">
        <f t="shared" si="25"/>
        <v>-0.12828947368421054</v>
      </c>
      <c r="S94" s="32">
        <f t="shared" si="26"/>
        <v>-78</v>
      </c>
      <c r="T94" s="34">
        <f t="shared" si="27"/>
        <v>0.19638826185101579</v>
      </c>
      <c r="U94" s="34">
        <f t="shared" si="30"/>
        <v>0.49765258215962443</v>
      </c>
      <c r="V94" s="35"/>
      <c r="W94" s="35"/>
      <c r="X94" s="35"/>
      <c r="Y94" s="35"/>
      <c r="Z94" s="35"/>
      <c r="AA94" s="36"/>
    </row>
    <row r="95" spans="1:27" ht="16" thickBot="1" x14ac:dyDescent="0.4">
      <c r="A95" s="20">
        <f t="shared" si="10"/>
        <v>39207</v>
      </c>
      <c r="B95" s="3">
        <v>328</v>
      </c>
      <c r="C95" s="3">
        <v>518</v>
      </c>
      <c r="D95" s="3">
        <v>77</v>
      </c>
      <c r="E95" s="3">
        <v>395</v>
      </c>
      <c r="F95" s="3">
        <v>52</v>
      </c>
      <c r="G95" s="3">
        <v>61</v>
      </c>
      <c r="H95" s="3">
        <v>41</v>
      </c>
      <c r="I95" s="3">
        <v>71</v>
      </c>
      <c r="J95" s="3">
        <v>217</v>
      </c>
      <c r="K95" s="3">
        <v>524</v>
      </c>
      <c r="L95" s="3">
        <v>516</v>
      </c>
      <c r="M95" s="3">
        <v>711</v>
      </c>
      <c r="N95" s="45">
        <f t="shared" si="28"/>
        <v>597</v>
      </c>
      <c r="O95" s="3">
        <f t="shared" si="31"/>
        <v>1231</v>
      </c>
      <c r="P95" s="3">
        <f t="shared" si="29"/>
        <v>1103</v>
      </c>
      <c r="Q95" s="3">
        <f t="shared" si="32"/>
        <v>2280</v>
      </c>
      <c r="R95" s="34">
        <f t="shared" si="25"/>
        <v>0.12641509433962264</v>
      </c>
      <c r="S95" s="32">
        <f t="shared" si="26"/>
        <v>67</v>
      </c>
      <c r="T95" s="34">
        <f t="shared" si="27"/>
        <v>0.29220779220779219</v>
      </c>
      <c r="U95" s="34">
        <f t="shared" si="30"/>
        <v>0.54125113327289209</v>
      </c>
      <c r="V95" s="35"/>
      <c r="W95" s="35"/>
      <c r="X95" s="35"/>
      <c r="Y95" s="35"/>
      <c r="Z95" s="35"/>
      <c r="AA95" s="36"/>
    </row>
    <row r="96" spans="1:27" ht="16" thickBot="1" x14ac:dyDescent="0.4">
      <c r="A96" s="20">
        <f t="shared" si="10"/>
        <v>39214</v>
      </c>
      <c r="B96" s="3">
        <v>363</v>
      </c>
      <c r="C96" s="3">
        <v>462</v>
      </c>
      <c r="D96" s="3">
        <v>81</v>
      </c>
      <c r="E96" s="3">
        <v>436</v>
      </c>
      <c r="F96" s="3">
        <v>46</v>
      </c>
      <c r="G96" s="3">
        <v>70</v>
      </c>
      <c r="H96" s="3">
        <v>33</v>
      </c>
      <c r="I96" s="3">
        <v>53</v>
      </c>
      <c r="J96" s="3">
        <v>141</v>
      </c>
      <c r="K96" s="3">
        <v>454</v>
      </c>
      <c r="L96" s="3">
        <v>414</v>
      </c>
      <c r="M96" s="3">
        <v>501</v>
      </c>
      <c r="N96" s="45">
        <f t="shared" si="28"/>
        <v>550</v>
      </c>
      <c r="O96" s="3">
        <f t="shared" si="31"/>
        <v>1078</v>
      </c>
      <c r="P96" s="3">
        <f t="shared" si="29"/>
        <v>986</v>
      </c>
      <c r="Q96" s="3">
        <f t="shared" si="32"/>
        <v>1976</v>
      </c>
      <c r="R96" s="34">
        <f t="shared" si="25"/>
        <v>-7.8726968174204354E-2</v>
      </c>
      <c r="S96" s="32">
        <f t="shared" si="26"/>
        <v>-47</v>
      </c>
      <c r="T96" s="34">
        <f t="shared" si="27"/>
        <v>0.2585812356979405</v>
      </c>
      <c r="U96" s="34">
        <f t="shared" si="30"/>
        <v>0.55780933062880322</v>
      </c>
      <c r="V96" s="35"/>
      <c r="W96" s="35"/>
      <c r="X96" s="35"/>
      <c r="Y96" s="35"/>
      <c r="Z96" s="35"/>
      <c r="AA96" s="36"/>
    </row>
    <row r="97" spans="1:27" ht="16" thickBot="1" x14ac:dyDescent="0.4">
      <c r="A97" s="20">
        <f t="shared" si="10"/>
        <v>39221</v>
      </c>
      <c r="B97" s="3">
        <v>358</v>
      </c>
      <c r="C97" s="3">
        <v>518</v>
      </c>
      <c r="D97" s="3">
        <v>87</v>
      </c>
      <c r="E97" s="3">
        <v>565</v>
      </c>
      <c r="F97" s="3">
        <v>21</v>
      </c>
      <c r="G97" s="3">
        <v>53</v>
      </c>
      <c r="H97" s="3">
        <v>31</v>
      </c>
      <c r="I97" s="3">
        <v>49</v>
      </c>
      <c r="J97" s="3">
        <v>227</v>
      </c>
      <c r="K97" s="3">
        <v>516</v>
      </c>
      <c r="L97" s="3">
        <v>467</v>
      </c>
      <c r="M97" s="3">
        <v>657</v>
      </c>
      <c r="N97" s="45">
        <f t="shared" si="28"/>
        <v>606</v>
      </c>
      <c r="O97" s="3">
        <f t="shared" si="31"/>
        <v>1191</v>
      </c>
      <c r="P97" s="3">
        <f t="shared" si="29"/>
        <v>1087</v>
      </c>
      <c r="Q97" s="3">
        <f t="shared" si="32"/>
        <v>2358</v>
      </c>
      <c r="R97" s="34">
        <f t="shared" ref="R97:R102" si="33">(N97-N96)/N96</f>
        <v>0.10181818181818182</v>
      </c>
      <c r="S97" s="32">
        <f t="shared" ref="S97:S102" si="34">N97-N96</f>
        <v>56</v>
      </c>
      <c r="T97" s="34">
        <f t="shared" ref="T97:T102" si="35">(N97-N45)/N45</f>
        <v>-9.0090090090090086E-2</v>
      </c>
      <c r="U97" s="34">
        <f t="shared" si="30"/>
        <v>0.55749770009199628</v>
      </c>
      <c r="V97" s="35"/>
      <c r="W97" s="35"/>
      <c r="X97" s="35"/>
      <c r="Y97" s="35"/>
      <c r="Z97" s="35"/>
      <c r="AA97" s="36"/>
    </row>
    <row r="98" spans="1:27" ht="16" thickBot="1" x14ac:dyDescent="0.4">
      <c r="A98" s="20">
        <f t="shared" si="10"/>
        <v>39228</v>
      </c>
      <c r="B98" s="3">
        <v>375</v>
      </c>
      <c r="C98" s="3">
        <v>534</v>
      </c>
      <c r="D98" s="3">
        <v>93</v>
      </c>
      <c r="E98" s="3">
        <v>560</v>
      </c>
      <c r="F98" s="3">
        <v>65</v>
      </c>
      <c r="G98" s="3">
        <v>97</v>
      </c>
      <c r="H98" s="3">
        <v>28</v>
      </c>
      <c r="I98" s="3">
        <v>34</v>
      </c>
      <c r="J98" s="3">
        <v>156</v>
      </c>
      <c r="K98" s="3">
        <v>418</v>
      </c>
      <c r="L98" s="3">
        <v>406</v>
      </c>
      <c r="M98" s="3">
        <v>589</v>
      </c>
      <c r="N98" s="45">
        <f t="shared" ref="N98:N202" si="36">SUM(B98,F98,J98)</f>
        <v>596</v>
      </c>
      <c r="O98" s="3">
        <f t="shared" si="31"/>
        <v>1123</v>
      </c>
      <c r="P98" s="3">
        <f t="shared" ref="P98:P107" si="37">SUM(C98,G98,K98)</f>
        <v>1049</v>
      </c>
      <c r="Q98" s="3">
        <f t="shared" si="32"/>
        <v>2232</v>
      </c>
      <c r="R98" s="34">
        <f t="shared" si="33"/>
        <v>-1.65016501650165E-2</v>
      </c>
      <c r="S98" s="32">
        <f t="shared" si="34"/>
        <v>-10</v>
      </c>
      <c r="T98" s="34">
        <f t="shared" si="35"/>
        <v>0.39906103286384975</v>
      </c>
      <c r="U98" s="34">
        <f t="shared" ref="U98:U103" si="38">N98/P98</f>
        <v>0.56816015252621543</v>
      </c>
      <c r="V98" s="35"/>
      <c r="W98" s="35"/>
      <c r="X98" s="35"/>
      <c r="Y98" s="35"/>
      <c r="Z98" s="35"/>
      <c r="AA98" s="36"/>
    </row>
    <row r="99" spans="1:27" ht="16" thickBot="1" x14ac:dyDescent="0.4">
      <c r="A99" s="20">
        <f t="shared" si="10"/>
        <v>39235</v>
      </c>
      <c r="B99" s="3">
        <v>398</v>
      </c>
      <c r="C99" s="3">
        <v>522</v>
      </c>
      <c r="D99" s="3">
        <v>71</v>
      </c>
      <c r="E99" s="3">
        <v>505</v>
      </c>
      <c r="F99" s="3">
        <v>22</v>
      </c>
      <c r="G99" s="3">
        <v>75</v>
      </c>
      <c r="H99" s="3">
        <v>42</v>
      </c>
      <c r="I99" s="3">
        <v>59</v>
      </c>
      <c r="J99" s="3">
        <v>169</v>
      </c>
      <c r="K99" s="3">
        <v>453</v>
      </c>
      <c r="L99" s="3">
        <v>368</v>
      </c>
      <c r="M99" s="3">
        <v>556</v>
      </c>
      <c r="N99" s="45">
        <f t="shared" si="36"/>
        <v>589</v>
      </c>
      <c r="O99" s="3">
        <f t="shared" si="31"/>
        <v>1070</v>
      </c>
      <c r="P99" s="3">
        <f t="shared" si="37"/>
        <v>1050</v>
      </c>
      <c r="Q99" s="3">
        <f t="shared" si="32"/>
        <v>2170</v>
      </c>
      <c r="R99" s="34">
        <f t="shared" si="33"/>
        <v>-1.1744966442953021E-2</v>
      </c>
      <c r="S99" s="32">
        <f t="shared" si="34"/>
        <v>-7</v>
      </c>
      <c r="T99" s="34">
        <f t="shared" si="35"/>
        <v>-0.14014598540145987</v>
      </c>
      <c r="U99" s="34">
        <f t="shared" si="38"/>
        <v>0.56095238095238098</v>
      </c>
      <c r="V99" s="35"/>
      <c r="W99" s="35"/>
      <c r="X99" s="35"/>
      <c r="Y99" s="35"/>
      <c r="Z99" s="35"/>
      <c r="AA99" s="36"/>
    </row>
    <row r="100" spans="1:27" ht="16" thickBot="1" x14ac:dyDescent="0.4">
      <c r="A100" s="20">
        <f t="shared" si="10"/>
        <v>39242</v>
      </c>
      <c r="B100" s="3">
        <v>460</v>
      </c>
      <c r="C100" s="3">
        <v>570</v>
      </c>
      <c r="D100" s="3">
        <v>59</v>
      </c>
      <c r="E100" s="3">
        <v>521</v>
      </c>
      <c r="F100" s="3">
        <v>39</v>
      </c>
      <c r="G100" s="3">
        <v>47</v>
      </c>
      <c r="H100" s="3">
        <v>32</v>
      </c>
      <c r="I100" s="3">
        <v>68</v>
      </c>
      <c r="J100" s="3">
        <v>131</v>
      </c>
      <c r="K100" s="3">
        <v>479</v>
      </c>
      <c r="L100" s="3">
        <v>390</v>
      </c>
      <c r="M100" s="3">
        <v>628</v>
      </c>
      <c r="N100" s="45">
        <f t="shared" si="36"/>
        <v>630</v>
      </c>
      <c r="O100" s="3">
        <f t="shared" si="31"/>
        <v>1111</v>
      </c>
      <c r="P100" s="3">
        <f t="shared" si="37"/>
        <v>1096</v>
      </c>
      <c r="Q100" s="3">
        <f t="shared" si="32"/>
        <v>2313</v>
      </c>
      <c r="R100" s="34">
        <f t="shared" si="33"/>
        <v>6.9609507640067916E-2</v>
      </c>
      <c r="S100" s="32">
        <f t="shared" si="34"/>
        <v>41</v>
      </c>
      <c r="T100" s="34">
        <f t="shared" si="35"/>
        <v>1.6129032258064516E-2</v>
      </c>
      <c r="U100" s="34">
        <f t="shared" si="38"/>
        <v>0.57481751824817517</v>
      </c>
      <c r="V100" s="35"/>
      <c r="W100" s="35"/>
      <c r="X100" s="35"/>
      <c r="Y100" s="35"/>
      <c r="Z100" s="35"/>
      <c r="AA100" s="36"/>
    </row>
    <row r="101" spans="1:27" ht="16" thickBot="1" x14ac:dyDescent="0.4">
      <c r="A101" s="20">
        <f t="shared" si="10"/>
        <v>39249</v>
      </c>
      <c r="B101" s="3">
        <v>410</v>
      </c>
      <c r="C101" s="3">
        <v>548</v>
      </c>
      <c r="D101" s="3">
        <v>74</v>
      </c>
      <c r="E101" s="3">
        <v>600</v>
      </c>
      <c r="F101" s="3">
        <v>10</v>
      </c>
      <c r="G101" s="3">
        <v>29</v>
      </c>
      <c r="H101" s="3">
        <v>27</v>
      </c>
      <c r="I101" s="3">
        <v>42</v>
      </c>
      <c r="J101" s="3">
        <v>183</v>
      </c>
      <c r="K101" s="3">
        <v>455</v>
      </c>
      <c r="L101" s="3">
        <v>415</v>
      </c>
      <c r="M101" s="3">
        <v>595</v>
      </c>
      <c r="N101" s="45">
        <f t="shared" si="36"/>
        <v>603</v>
      </c>
      <c r="O101" s="3">
        <f t="shared" si="31"/>
        <v>1119</v>
      </c>
      <c r="P101" s="3">
        <f t="shared" si="37"/>
        <v>1032</v>
      </c>
      <c r="Q101" s="3">
        <f t="shared" si="32"/>
        <v>2269</v>
      </c>
      <c r="R101" s="34">
        <f t="shared" si="33"/>
        <v>-4.2857142857142858E-2</v>
      </c>
      <c r="S101" s="32">
        <f t="shared" si="34"/>
        <v>-27</v>
      </c>
      <c r="T101" s="34">
        <f t="shared" si="35"/>
        <v>-4.8895899053627762E-2</v>
      </c>
      <c r="U101" s="34">
        <f t="shared" si="38"/>
        <v>0.58430232558139539</v>
      </c>
      <c r="V101" s="35"/>
      <c r="W101" s="35"/>
      <c r="X101" s="35"/>
      <c r="Y101" s="35"/>
      <c r="Z101" s="35"/>
      <c r="AA101" s="36"/>
    </row>
    <row r="102" spans="1:27" ht="16" thickBot="1" x14ac:dyDescent="0.4">
      <c r="A102" s="20">
        <f t="shared" si="10"/>
        <v>39256</v>
      </c>
      <c r="B102" s="3">
        <v>408</v>
      </c>
      <c r="C102" s="3">
        <v>524</v>
      </c>
      <c r="D102" s="3">
        <v>70</v>
      </c>
      <c r="E102" s="3">
        <v>490</v>
      </c>
      <c r="F102" s="3">
        <v>34</v>
      </c>
      <c r="G102" s="3">
        <v>60</v>
      </c>
      <c r="H102" s="3">
        <v>22</v>
      </c>
      <c r="I102" s="3">
        <v>37</v>
      </c>
      <c r="J102" s="3">
        <v>160</v>
      </c>
      <c r="K102" s="3">
        <v>470</v>
      </c>
      <c r="L102" s="3">
        <v>435</v>
      </c>
      <c r="M102" s="3">
        <v>574</v>
      </c>
      <c r="N102" s="45">
        <f t="shared" si="36"/>
        <v>602</v>
      </c>
      <c r="O102" s="3">
        <f t="shared" si="31"/>
        <v>1129</v>
      </c>
      <c r="P102" s="3">
        <f t="shared" si="37"/>
        <v>1054</v>
      </c>
      <c r="Q102" s="3">
        <f t="shared" si="32"/>
        <v>2155</v>
      </c>
      <c r="R102" s="34">
        <f t="shared" si="33"/>
        <v>-1.658374792703151E-3</v>
      </c>
      <c r="S102" s="32">
        <f t="shared" si="34"/>
        <v>-1</v>
      </c>
      <c r="T102" s="34">
        <f t="shared" si="35"/>
        <v>-0.11859443631039532</v>
      </c>
      <c r="U102" s="34">
        <f t="shared" si="38"/>
        <v>0.57115749525616699</v>
      </c>
      <c r="V102" s="35"/>
      <c r="W102" s="35"/>
      <c r="X102" s="35"/>
      <c r="Y102" s="35"/>
      <c r="Z102" s="35"/>
      <c r="AA102" s="36"/>
    </row>
    <row r="103" spans="1:27" ht="16" thickBot="1" x14ac:dyDescent="0.4">
      <c r="A103" s="20">
        <f t="shared" si="10"/>
        <v>39263</v>
      </c>
      <c r="B103" s="3">
        <v>418</v>
      </c>
      <c r="C103" s="3">
        <v>567</v>
      </c>
      <c r="D103" s="3">
        <v>70</v>
      </c>
      <c r="E103" s="3">
        <v>540</v>
      </c>
      <c r="F103" s="3">
        <v>27</v>
      </c>
      <c r="G103" s="3">
        <v>40</v>
      </c>
      <c r="H103" s="3">
        <v>23</v>
      </c>
      <c r="I103" s="3">
        <v>31</v>
      </c>
      <c r="J103" s="3">
        <v>168</v>
      </c>
      <c r="K103" s="3">
        <v>433</v>
      </c>
      <c r="L103" s="3">
        <v>398</v>
      </c>
      <c r="M103" s="3">
        <v>580</v>
      </c>
      <c r="N103" s="45">
        <f t="shared" si="36"/>
        <v>613</v>
      </c>
      <c r="O103" s="3">
        <f t="shared" si="31"/>
        <v>1104</v>
      </c>
      <c r="P103" s="3">
        <f t="shared" si="37"/>
        <v>1040</v>
      </c>
      <c r="Q103" s="3">
        <f t="shared" si="32"/>
        <v>2191</v>
      </c>
      <c r="R103" s="34">
        <f t="shared" ref="R103:R108" si="39">(N103-N102)/N102</f>
        <v>1.8272425249169437E-2</v>
      </c>
      <c r="S103" s="32">
        <f t="shared" ref="S103:S108" si="40">N103-N102</f>
        <v>11</v>
      </c>
      <c r="T103" s="34">
        <f t="shared" ref="T103:T108" si="41">(N103-N51)/N51</f>
        <v>-3.2520325203252032E-3</v>
      </c>
      <c r="U103" s="34">
        <f t="shared" si="38"/>
        <v>0.58942307692307694</v>
      </c>
      <c r="V103" s="35"/>
      <c r="W103" s="35"/>
      <c r="X103" s="35"/>
      <c r="Y103" s="35"/>
      <c r="Z103" s="35"/>
      <c r="AA103" s="36"/>
    </row>
    <row r="104" spans="1:27" ht="16" thickBot="1" x14ac:dyDescent="0.4">
      <c r="A104" s="20">
        <f t="shared" si="10"/>
        <v>39270</v>
      </c>
      <c r="B104" s="3">
        <v>449</v>
      </c>
      <c r="C104" s="3">
        <v>606</v>
      </c>
      <c r="D104" s="3">
        <v>66</v>
      </c>
      <c r="E104" s="3">
        <v>629</v>
      </c>
      <c r="F104" s="3">
        <v>6</v>
      </c>
      <c r="G104" s="3">
        <v>23</v>
      </c>
      <c r="H104" s="3">
        <v>1</v>
      </c>
      <c r="I104" s="3">
        <v>31</v>
      </c>
      <c r="J104" s="3">
        <v>191</v>
      </c>
      <c r="K104" s="3">
        <v>522</v>
      </c>
      <c r="L104" s="3">
        <v>442</v>
      </c>
      <c r="M104" s="3">
        <v>586</v>
      </c>
      <c r="N104" s="45">
        <f t="shared" si="36"/>
        <v>646</v>
      </c>
      <c r="O104" s="3">
        <f t="shared" si="31"/>
        <v>1155</v>
      </c>
      <c r="P104" s="3">
        <f t="shared" si="37"/>
        <v>1151</v>
      </c>
      <c r="Q104" s="3">
        <f t="shared" si="32"/>
        <v>2397</v>
      </c>
      <c r="R104" s="34">
        <f t="shared" si="39"/>
        <v>5.3833605220228384E-2</v>
      </c>
      <c r="S104" s="32">
        <f t="shared" si="40"/>
        <v>33</v>
      </c>
      <c r="T104" s="34">
        <f t="shared" si="41"/>
        <v>0.20522388059701493</v>
      </c>
      <c r="U104" s="34">
        <f t="shared" ref="U104:U110" si="42">N104/P104</f>
        <v>0.56125108601216334</v>
      </c>
      <c r="V104" s="35"/>
      <c r="W104" s="35"/>
      <c r="X104" s="35"/>
      <c r="Y104" s="35"/>
      <c r="Z104" s="35"/>
      <c r="AA104" s="36"/>
    </row>
    <row r="105" spans="1:27" ht="16" thickBot="1" x14ac:dyDescent="0.4">
      <c r="A105" s="20">
        <f t="shared" si="10"/>
        <v>39277</v>
      </c>
      <c r="B105" s="3">
        <v>486</v>
      </c>
      <c r="C105" s="3">
        <v>645</v>
      </c>
      <c r="D105" s="3">
        <v>82</v>
      </c>
      <c r="E105" s="3">
        <v>636</v>
      </c>
      <c r="F105" s="3">
        <v>7</v>
      </c>
      <c r="G105" s="3">
        <v>18</v>
      </c>
      <c r="H105" s="3">
        <v>3</v>
      </c>
      <c r="I105" s="3">
        <v>10</v>
      </c>
      <c r="J105" s="3">
        <v>227</v>
      </c>
      <c r="K105" s="3">
        <v>516</v>
      </c>
      <c r="L105" s="3">
        <v>381</v>
      </c>
      <c r="M105" s="3">
        <v>503</v>
      </c>
      <c r="N105" s="45">
        <f t="shared" si="36"/>
        <v>720</v>
      </c>
      <c r="O105" s="3">
        <f t="shared" si="31"/>
        <v>1186</v>
      </c>
      <c r="P105" s="3">
        <f t="shared" si="37"/>
        <v>1179</v>
      </c>
      <c r="Q105" s="3">
        <f t="shared" si="32"/>
        <v>2328</v>
      </c>
      <c r="R105" s="34">
        <f t="shared" si="39"/>
        <v>0.11455108359133127</v>
      </c>
      <c r="S105" s="32">
        <f t="shared" si="40"/>
        <v>74</v>
      </c>
      <c r="T105" s="34">
        <f t="shared" si="41"/>
        <v>0.5</v>
      </c>
      <c r="U105" s="34">
        <f t="shared" si="42"/>
        <v>0.61068702290076338</v>
      </c>
      <c r="V105" s="35"/>
      <c r="W105" s="35"/>
      <c r="X105" s="35"/>
      <c r="Y105" s="35"/>
      <c r="Z105" s="35"/>
      <c r="AA105" s="36"/>
    </row>
    <row r="106" spans="1:27" ht="16" thickBot="1" x14ac:dyDescent="0.4">
      <c r="A106" s="20">
        <f t="shared" si="10"/>
        <v>39284</v>
      </c>
      <c r="B106" s="3">
        <v>409</v>
      </c>
      <c r="C106" s="3">
        <v>552</v>
      </c>
      <c r="D106" s="3">
        <v>77</v>
      </c>
      <c r="E106" s="3">
        <v>534</v>
      </c>
      <c r="F106" s="3">
        <v>3</v>
      </c>
      <c r="G106" s="3">
        <v>7</v>
      </c>
      <c r="H106" s="3">
        <v>16</v>
      </c>
      <c r="I106" s="3">
        <v>24</v>
      </c>
      <c r="J106" s="3">
        <v>139</v>
      </c>
      <c r="K106" s="3">
        <v>445</v>
      </c>
      <c r="L106" s="3">
        <v>421</v>
      </c>
      <c r="M106" s="3">
        <v>559</v>
      </c>
      <c r="N106" s="45">
        <f t="shared" si="36"/>
        <v>551</v>
      </c>
      <c r="O106" s="3">
        <f t="shared" si="31"/>
        <v>1065</v>
      </c>
      <c r="P106" s="3">
        <f t="shared" si="37"/>
        <v>1004</v>
      </c>
      <c r="Q106" s="3">
        <f t="shared" si="32"/>
        <v>2121</v>
      </c>
      <c r="R106" s="34">
        <f t="shared" si="39"/>
        <v>-0.23472222222222222</v>
      </c>
      <c r="S106" s="32">
        <f t="shared" si="40"/>
        <v>-169</v>
      </c>
      <c r="T106" s="34">
        <f t="shared" si="41"/>
        <v>0.14315352697095435</v>
      </c>
      <c r="U106" s="34">
        <f t="shared" si="42"/>
        <v>0.54880478087649398</v>
      </c>
      <c r="V106" s="35"/>
      <c r="W106" s="35"/>
      <c r="X106" s="35"/>
      <c r="Y106" s="35"/>
      <c r="Z106" s="35"/>
      <c r="AA106" s="36"/>
    </row>
    <row r="107" spans="1:27" ht="16" thickBot="1" x14ac:dyDescent="0.4">
      <c r="A107" s="20">
        <f t="shared" si="10"/>
        <v>39291</v>
      </c>
      <c r="B107" s="3">
        <v>421</v>
      </c>
      <c r="C107" s="3">
        <v>543</v>
      </c>
      <c r="D107" s="3">
        <v>74</v>
      </c>
      <c r="E107" s="3">
        <v>579</v>
      </c>
      <c r="F107" s="3">
        <v>21</v>
      </c>
      <c r="G107" s="3">
        <v>51</v>
      </c>
      <c r="H107" s="3">
        <v>9</v>
      </c>
      <c r="I107" s="3">
        <v>16</v>
      </c>
      <c r="J107" s="3">
        <v>170</v>
      </c>
      <c r="K107" s="3">
        <v>458</v>
      </c>
      <c r="L107" s="3">
        <v>381</v>
      </c>
      <c r="M107" s="3">
        <v>562</v>
      </c>
      <c r="N107" s="45">
        <f t="shared" si="36"/>
        <v>612</v>
      </c>
      <c r="O107" s="3">
        <f t="shared" si="31"/>
        <v>1076</v>
      </c>
      <c r="P107" s="3">
        <f t="shared" si="37"/>
        <v>1052</v>
      </c>
      <c r="Q107" s="3">
        <f t="shared" si="32"/>
        <v>2209</v>
      </c>
      <c r="R107" s="34">
        <f t="shared" si="39"/>
        <v>0.11070780399274047</v>
      </c>
      <c r="S107" s="32">
        <f t="shared" si="40"/>
        <v>61</v>
      </c>
      <c r="T107" s="34">
        <f t="shared" si="41"/>
        <v>0.19066147859922178</v>
      </c>
      <c r="U107" s="34">
        <f t="shared" si="42"/>
        <v>0.58174904942965777</v>
      </c>
      <c r="V107" s="35"/>
      <c r="W107" s="35"/>
      <c r="X107" s="35"/>
      <c r="Y107" s="35"/>
      <c r="Z107" s="35"/>
      <c r="AA107" s="36"/>
    </row>
    <row r="108" spans="1:27" ht="16" thickBot="1" x14ac:dyDescent="0.4">
      <c r="A108" s="20">
        <f t="shared" si="10"/>
        <v>39298</v>
      </c>
      <c r="B108" s="3">
        <v>223</v>
      </c>
      <c r="C108" s="3">
        <v>400</v>
      </c>
      <c r="D108" s="3">
        <v>75</v>
      </c>
      <c r="E108" s="3">
        <v>629</v>
      </c>
      <c r="F108" s="3">
        <v>26</v>
      </c>
      <c r="G108" s="3">
        <v>67</v>
      </c>
      <c r="H108" s="3">
        <v>16</v>
      </c>
      <c r="I108" s="3">
        <v>42</v>
      </c>
      <c r="J108" s="3">
        <v>192</v>
      </c>
      <c r="K108" s="3">
        <v>504</v>
      </c>
      <c r="L108" s="3">
        <v>340</v>
      </c>
      <c r="M108" s="3">
        <v>563</v>
      </c>
      <c r="N108" s="45">
        <f t="shared" si="36"/>
        <v>441</v>
      </c>
      <c r="O108" s="3">
        <f t="shared" ref="O108:O172" si="43">SUM(B108,D108,F108,H108,J108,L108)</f>
        <v>872</v>
      </c>
      <c r="P108" s="3">
        <f t="shared" ref="P108:P172" si="44">SUM(C108,G108,K108)</f>
        <v>971</v>
      </c>
      <c r="Q108" s="3">
        <f t="shared" ref="Q108:Q114" si="45">SUM(C108,E108,G108,I108,K108,M108)</f>
        <v>2205</v>
      </c>
      <c r="R108" s="34">
        <f t="shared" si="39"/>
        <v>-0.27941176470588236</v>
      </c>
      <c r="S108" s="32">
        <f t="shared" si="40"/>
        <v>-171</v>
      </c>
      <c r="T108" s="34">
        <f t="shared" si="41"/>
        <v>6.8493150684931503E-3</v>
      </c>
      <c r="U108" s="34">
        <f t="shared" si="42"/>
        <v>0.45417095777548916</v>
      </c>
      <c r="V108" s="35"/>
      <c r="W108" s="35"/>
      <c r="X108" s="35"/>
      <c r="Y108" s="35"/>
      <c r="Z108" s="35"/>
      <c r="AA108" s="36"/>
    </row>
    <row r="109" spans="1:27" ht="16" thickBot="1" x14ac:dyDescent="0.4">
      <c r="A109" s="20">
        <f t="shared" si="10"/>
        <v>39305</v>
      </c>
      <c r="B109" s="3">
        <v>248</v>
      </c>
      <c r="C109" s="3">
        <v>368</v>
      </c>
      <c r="D109" s="3">
        <v>101</v>
      </c>
      <c r="E109" s="3">
        <v>535</v>
      </c>
      <c r="F109" s="3">
        <v>29</v>
      </c>
      <c r="G109" s="3">
        <v>52</v>
      </c>
      <c r="H109" s="3">
        <v>27</v>
      </c>
      <c r="I109" s="3">
        <v>57</v>
      </c>
      <c r="J109" s="3">
        <v>142</v>
      </c>
      <c r="K109" s="3">
        <v>317</v>
      </c>
      <c r="L109" s="3">
        <v>287</v>
      </c>
      <c r="M109" s="3">
        <v>408</v>
      </c>
      <c r="N109" s="45">
        <f t="shared" si="36"/>
        <v>419</v>
      </c>
      <c r="O109" s="3">
        <f t="shared" si="43"/>
        <v>834</v>
      </c>
      <c r="P109" s="3">
        <f t="shared" si="44"/>
        <v>737</v>
      </c>
      <c r="Q109" s="3">
        <f t="shared" si="45"/>
        <v>1737</v>
      </c>
      <c r="R109" s="34">
        <f t="shared" ref="R109:R114" si="46">(N109-N108)/N108</f>
        <v>-4.9886621315192746E-2</v>
      </c>
      <c r="S109" s="32">
        <f t="shared" ref="S109:S114" si="47">N109-N108</f>
        <v>-22</v>
      </c>
      <c r="T109" s="34">
        <f t="shared" ref="T109:T114" si="48">(N109-N57)/N57</f>
        <v>1.4527845036319613E-2</v>
      </c>
      <c r="U109" s="34">
        <f t="shared" si="42"/>
        <v>0.56852103120759834</v>
      </c>
      <c r="V109" s="35"/>
      <c r="W109" s="35"/>
      <c r="X109" s="35"/>
      <c r="Y109" s="35"/>
      <c r="Z109" s="35"/>
      <c r="AA109" s="36"/>
    </row>
    <row r="110" spans="1:27" ht="16" thickBot="1" x14ac:dyDescent="0.4">
      <c r="A110" s="20">
        <f t="shared" si="10"/>
        <v>39312</v>
      </c>
      <c r="B110" s="3">
        <v>130</v>
      </c>
      <c r="C110" s="3">
        <v>278</v>
      </c>
      <c r="D110" s="3">
        <v>111</v>
      </c>
      <c r="E110" s="3">
        <v>544</v>
      </c>
      <c r="F110" s="3">
        <v>12</v>
      </c>
      <c r="G110" s="3">
        <v>58</v>
      </c>
      <c r="H110" s="3">
        <v>21</v>
      </c>
      <c r="I110" s="3">
        <v>41</v>
      </c>
      <c r="J110" s="3">
        <v>155</v>
      </c>
      <c r="K110" s="3">
        <v>418</v>
      </c>
      <c r="L110" s="3">
        <v>382</v>
      </c>
      <c r="M110" s="3">
        <v>565</v>
      </c>
      <c r="N110" s="45">
        <f t="shared" si="36"/>
        <v>297</v>
      </c>
      <c r="O110" s="3">
        <f t="shared" si="43"/>
        <v>811</v>
      </c>
      <c r="P110" s="3">
        <f t="shared" si="44"/>
        <v>754</v>
      </c>
      <c r="Q110" s="3">
        <f t="shared" si="45"/>
        <v>1904</v>
      </c>
      <c r="R110" s="34">
        <f t="shared" si="46"/>
        <v>-0.29116945107398567</v>
      </c>
      <c r="S110" s="32">
        <f t="shared" si="47"/>
        <v>-122</v>
      </c>
      <c r="T110" s="34">
        <f t="shared" si="48"/>
        <v>-0.1951219512195122</v>
      </c>
      <c r="U110" s="34">
        <f t="shared" si="42"/>
        <v>0.39389920424403185</v>
      </c>
      <c r="V110" s="35"/>
      <c r="W110" s="35"/>
      <c r="X110" s="35"/>
      <c r="Y110" s="35"/>
      <c r="Z110" s="35"/>
      <c r="AA110" s="36"/>
    </row>
    <row r="111" spans="1:27" ht="16" thickBot="1" x14ac:dyDescent="0.4">
      <c r="A111" s="20">
        <f t="shared" si="10"/>
        <v>39319</v>
      </c>
      <c r="B111" s="3">
        <v>125</v>
      </c>
      <c r="C111" s="3">
        <v>308</v>
      </c>
      <c r="D111" s="3">
        <v>119</v>
      </c>
      <c r="E111" s="3">
        <v>447</v>
      </c>
      <c r="F111" s="3">
        <v>26</v>
      </c>
      <c r="G111" s="3">
        <v>50</v>
      </c>
      <c r="H111" s="3">
        <v>28</v>
      </c>
      <c r="I111" s="3">
        <v>65</v>
      </c>
      <c r="J111" s="3">
        <v>154</v>
      </c>
      <c r="K111" s="3">
        <v>385</v>
      </c>
      <c r="L111" s="3">
        <v>205</v>
      </c>
      <c r="M111" s="3">
        <v>329</v>
      </c>
      <c r="N111" s="45">
        <f t="shared" si="36"/>
        <v>305</v>
      </c>
      <c r="O111" s="3">
        <f t="shared" si="43"/>
        <v>657</v>
      </c>
      <c r="P111" s="3">
        <f t="shared" si="44"/>
        <v>743</v>
      </c>
      <c r="Q111" s="3">
        <f t="shared" si="45"/>
        <v>1584</v>
      </c>
      <c r="R111" s="34">
        <f t="shared" si="46"/>
        <v>2.6936026936026935E-2</v>
      </c>
      <c r="S111" s="32">
        <f t="shared" si="47"/>
        <v>8</v>
      </c>
      <c r="T111" s="34">
        <f t="shared" si="48"/>
        <v>-6.1538461538461542E-2</v>
      </c>
      <c r="U111" s="34">
        <f t="shared" ref="U111:U116" si="49">N111/P111</f>
        <v>0.41049798115746972</v>
      </c>
      <c r="V111" s="35"/>
      <c r="W111" s="35"/>
      <c r="X111" s="35"/>
      <c r="Y111" s="35"/>
      <c r="Z111" s="35"/>
      <c r="AA111" s="36"/>
    </row>
    <row r="112" spans="1:27" ht="16" thickBot="1" x14ac:dyDescent="0.4">
      <c r="A112" s="20">
        <f t="shared" si="10"/>
        <v>39326</v>
      </c>
      <c r="B112" s="3">
        <v>84</v>
      </c>
      <c r="C112" s="3">
        <v>238</v>
      </c>
      <c r="D112" s="3">
        <v>86</v>
      </c>
      <c r="E112" s="3">
        <v>333</v>
      </c>
      <c r="F112" s="3">
        <v>16</v>
      </c>
      <c r="G112" s="3">
        <v>50</v>
      </c>
      <c r="H112" s="3">
        <v>43</v>
      </c>
      <c r="I112" s="3">
        <v>72</v>
      </c>
      <c r="J112" s="3">
        <v>149</v>
      </c>
      <c r="K112" s="3">
        <v>401</v>
      </c>
      <c r="L112" s="3">
        <v>384</v>
      </c>
      <c r="M112" s="3">
        <v>611</v>
      </c>
      <c r="N112" s="45">
        <f t="shared" si="36"/>
        <v>249</v>
      </c>
      <c r="O112" s="3">
        <f t="shared" si="43"/>
        <v>762</v>
      </c>
      <c r="P112" s="3">
        <f t="shared" si="44"/>
        <v>689</v>
      </c>
      <c r="Q112" s="3">
        <f t="shared" si="45"/>
        <v>1705</v>
      </c>
      <c r="R112" s="34">
        <f t="shared" si="46"/>
        <v>-0.18360655737704917</v>
      </c>
      <c r="S112" s="32">
        <f t="shared" si="47"/>
        <v>-56</v>
      </c>
      <c r="T112" s="34">
        <f t="shared" si="48"/>
        <v>-0.17</v>
      </c>
      <c r="U112" s="34">
        <f t="shared" si="49"/>
        <v>0.36139332365747462</v>
      </c>
      <c r="V112" s="35"/>
      <c r="W112" s="35"/>
      <c r="X112" s="35"/>
      <c r="Y112" s="35"/>
      <c r="Z112" s="35"/>
      <c r="AA112" s="36"/>
    </row>
    <row r="113" spans="1:27" ht="16" thickBot="1" x14ac:dyDescent="0.4">
      <c r="A113" s="20">
        <f t="shared" si="10"/>
        <v>39333</v>
      </c>
      <c r="B113" s="3">
        <v>74</v>
      </c>
      <c r="C113" s="3">
        <v>213</v>
      </c>
      <c r="D113" s="3">
        <v>195</v>
      </c>
      <c r="E113" s="3">
        <v>389</v>
      </c>
      <c r="F113" s="3">
        <v>27</v>
      </c>
      <c r="G113" s="3">
        <v>61</v>
      </c>
      <c r="H113" s="3">
        <v>51</v>
      </c>
      <c r="I113" s="3">
        <v>79</v>
      </c>
      <c r="J113" s="3">
        <v>211</v>
      </c>
      <c r="K113" s="3">
        <v>508</v>
      </c>
      <c r="L113" s="3">
        <v>452</v>
      </c>
      <c r="M113" s="3">
        <v>706</v>
      </c>
      <c r="N113" s="45">
        <f t="shared" si="36"/>
        <v>312</v>
      </c>
      <c r="O113" s="3">
        <f t="shared" si="43"/>
        <v>1010</v>
      </c>
      <c r="P113" s="3">
        <f t="shared" si="44"/>
        <v>782</v>
      </c>
      <c r="Q113" s="3">
        <f t="shared" si="45"/>
        <v>1956</v>
      </c>
      <c r="R113" s="34">
        <f t="shared" si="46"/>
        <v>0.25301204819277107</v>
      </c>
      <c r="S113" s="32">
        <f t="shared" si="47"/>
        <v>63</v>
      </c>
      <c r="T113" s="34">
        <f t="shared" si="48"/>
        <v>0.20463320463320464</v>
      </c>
      <c r="U113" s="34">
        <f t="shared" si="49"/>
        <v>0.39897698209718668</v>
      </c>
      <c r="V113" s="35"/>
      <c r="W113" s="35"/>
      <c r="X113" s="35"/>
      <c r="Y113" s="35"/>
      <c r="Z113" s="35"/>
      <c r="AA113" s="36"/>
    </row>
    <row r="114" spans="1:27" ht="16" thickBot="1" x14ac:dyDescent="0.4">
      <c r="A114" s="20">
        <f t="shared" si="10"/>
        <v>39340</v>
      </c>
      <c r="B114" s="3">
        <v>182</v>
      </c>
      <c r="C114" s="3">
        <v>390</v>
      </c>
      <c r="D114" s="3">
        <v>152</v>
      </c>
      <c r="E114" s="3">
        <v>353</v>
      </c>
      <c r="F114" s="3">
        <v>36</v>
      </c>
      <c r="G114" s="3">
        <v>71</v>
      </c>
      <c r="H114" s="3">
        <v>49</v>
      </c>
      <c r="I114" s="3">
        <v>83</v>
      </c>
      <c r="J114" s="3">
        <v>145</v>
      </c>
      <c r="K114" s="3">
        <v>351</v>
      </c>
      <c r="L114" s="3">
        <v>382</v>
      </c>
      <c r="M114" s="3">
        <v>524</v>
      </c>
      <c r="N114" s="45">
        <f t="shared" si="36"/>
        <v>363</v>
      </c>
      <c r="O114" s="3">
        <f t="shared" si="43"/>
        <v>946</v>
      </c>
      <c r="P114" s="3">
        <f t="shared" si="44"/>
        <v>812</v>
      </c>
      <c r="Q114" s="3">
        <f t="shared" si="45"/>
        <v>1772</v>
      </c>
      <c r="R114" s="34">
        <f t="shared" si="46"/>
        <v>0.16346153846153846</v>
      </c>
      <c r="S114" s="32">
        <f t="shared" si="47"/>
        <v>51</v>
      </c>
      <c r="T114" s="34">
        <f t="shared" si="48"/>
        <v>5.5401662049861496E-3</v>
      </c>
      <c r="U114" s="34">
        <f t="shared" si="49"/>
        <v>0.44704433497536944</v>
      </c>
      <c r="V114" s="35"/>
      <c r="W114" s="35"/>
      <c r="X114" s="35"/>
      <c r="Y114" s="35"/>
      <c r="Z114" s="35"/>
      <c r="AA114" s="36"/>
    </row>
    <row r="115" spans="1:27" ht="16" thickBot="1" x14ac:dyDescent="0.4">
      <c r="A115" s="20">
        <f t="shared" si="10"/>
        <v>39347</v>
      </c>
      <c r="B115" s="3">
        <v>195</v>
      </c>
      <c r="C115" s="3">
        <v>321</v>
      </c>
      <c r="D115" s="3">
        <v>116</v>
      </c>
      <c r="E115" s="3">
        <v>298</v>
      </c>
      <c r="F115" s="3">
        <v>13</v>
      </c>
      <c r="G115" s="3">
        <v>40</v>
      </c>
      <c r="H115" s="3">
        <v>16</v>
      </c>
      <c r="I115" s="3">
        <v>30</v>
      </c>
      <c r="J115" s="3">
        <v>218</v>
      </c>
      <c r="K115" s="3">
        <v>507</v>
      </c>
      <c r="L115" s="3">
        <v>328</v>
      </c>
      <c r="M115" s="3">
        <v>580</v>
      </c>
      <c r="N115" s="45">
        <f t="shared" si="36"/>
        <v>426</v>
      </c>
      <c r="O115" s="3">
        <f t="shared" si="43"/>
        <v>886</v>
      </c>
      <c r="P115" s="3">
        <f t="shared" si="44"/>
        <v>868</v>
      </c>
      <c r="Q115" s="3">
        <f t="shared" ref="Q115:Q121" si="50">SUM(C115,E115,G115,I115,K115,M115)</f>
        <v>1776</v>
      </c>
      <c r="R115" s="34">
        <f t="shared" ref="R115:R120" si="51">(N115-N114)/N114</f>
        <v>0.17355371900826447</v>
      </c>
      <c r="S115" s="32">
        <f t="shared" ref="S115:S120" si="52">N115-N114</f>
        <v>63</v>
      </c>
      <c r="T115" s="34">
        <f t="shared" ref="T115:T120" si="53">(N115-N63)/N63</f>
        <v>-8.1896551724137928E-2</v>
      </c>
      <c r="U115" s="34">
        <f t="shared" si="49"/>
        <v>0.49078341013824883</v>
      </c>
      <c r="V115" s="35"/>
      <c r="W115" s="35"/>
      <c r="X115" s="35"/>
      <c r="Y115" s="35"/>
      <c r="Z115" s="35"/>
      <c r="AA115" s="36"/>
    </row>
    <row r="116" spans="1:27" ht="16" thickBot="1" x14ac:dyDescent="0.4">
      <c r="A116" s="20">
        <f t="shared" si="10"/>
        <v>39354</v>
      </c>
      <c r="B116" s="3">
        <v>229</v>
      </c>
      <c r="C116" s="3">
        <v>416</v>
      </c>
      <c r="D116" s="3">
        <v>128</v>
      </c>
      <c r="E116" s="3">
        <v>371</v>
      </c>
      <c r="F116" s="3">
        <v>72</v>
      </c>
      <c r="G116" s="3">
        <v>85</v>
      </c>
      <c r="H116" s="3">
        <v>40</v>
      </c>
      <c r="I116" s="3">
        <v>82</v>
      </c>
      <c r="J116" s="3">
        <v>221</v>
      </c>
      <c r="K116" s="3">
        <v>503</v>
      </c>
      <c r="L116" s="3">
        <v>371</v>
      </c>
      <c r="M116" s="3">
        <v>582</v>
      </c>
      <c r="N116" s="45">
        <f t="shared" si="36"/>
        <v>522</v>
      </c>
      <c r="O116" s="3">
        <f t="shared" si="43"/>
        <v>1061</v>
      </c>
      <c r="P116" s="3">
        <f t="shared" si="44"/>
        <v>1004</v>
      </c>
      <c r="Q116" s="3">
        <f t="shared" si="50"/>
        <v>2039</v>
      </c>
      <c r="R116" s="34">
        <f t="shared" si="51"/>
        <v>0.22535211267605634</v>
      </c>
      <c r="S116" s="32">
        <f t="shared" si="52"/>
        <v>96</v>
      </c>
      <c r="T116" s="34">
        <f t="shared" si="53"/>
        <v>0.29207920792079206</v>
      </c>
      <c r="U116" s="34">
        <f t="shared" si="49"/>
        <v>0.51992031872509958</v>
      </c>
      <c r="V116" s="35"/>
      <c r="W116" s="35"/>
      <c r="X116" s="35"/>
      <c r="Y116" s="35"/>
      <c r="Z116" s="35"/>
      <c r="AA116" s="36"/>
    </row>
    <row r="117" spans="1:27" ht="16" thickBot="1" x14ac:dyDescent="0.4">
      <c r="A117" s="20">
        <f t="shared" si="10"/>
        <v>39361</v>
      </c>
      <c r="B117" s="3">
        <v>240</v>
      </c>
      <c r="C117" s="3">
        <v>415</v>
      </c>
      <c r="D117" s="3">
        <v>78</v>
      </c>
      <c r="E117" s="3">
        <v>334</v>
      </c>
      <c r="F117" s="3">
        <v>49</v>
      </c>
      <c r="G117" s="3">
        <v>92</v>
      </c>
      <c r="H117" s="3">
        <v>13</v>
      </c>
      <c r="I117" s="3">
        <v>38</v>
      </c>
      <c r="J117" s="3">
        <v>218</v>
      </c>
      <c r="K117" s="3">
        <v>464</v>
      </c>
      <c r="L117" s="3">
        <v>357</v>
      </c>
      <c r="M117" s="3">
        <v>584</v>
      </c>
      <c r="N117" s="45">
        <f t="shared" si="36"/>
        <v>507</v>
      </c>
      <c r="O117" s="3">
        <f t="shared" si="43"/>
        <v>955</v>
      </c>
      <c r="P117" s="3">
        <f t="shared" si="44"/>
        <v>971</v>
      </c>
      <c r="Q117" s="3">
        <f t="shared" si="50"/>
        <v>1927</v>
      </c>
      <c r="R117" s="34">
        <f t="shared" si="51"/>
        <v>-2.8735632183908046E-2</v>
      </c>
      <c r="S117" s="32">
        <f t="shared" si="52"/>
        <v>-15</v>
      </c>
      <c r="T117" s="34">
        <f t="shared" si="53"/>
        <v>0.19014084507042253</v>
      </c>
      <c r="U117" s="34">
        <f t="shared" ref="U117:U122" si="54">N117/P117</f>
        <v>0.52214212152420181</v>
      </c>
      <c r="V117" s="35"/>
      <c r="W117" s="35"/>
      <c r="X117" s="35"/>
      <c r="Y117" s="35"/>
      <c r="Z117" s="35"/>
      <c r="AA117" s="36"/>
    </row>
    <row r="118" spans="1:27" ht="16" thickBot="1" x14ac:dyDescent="0.4">
      <c r="A118" s="20">
        <f t="shared" si="10"/>
        <v>39368</v>
      </c>
      <c r="B118" s="3">
        <v>267</v>
      </c>
      <c r="C118" s="3">
        <v>381</v>
      </c>
      <c r="D118" s="3">
        <v>121</v>
      </c>
      <c r="E118" s="3">
        <v>468</v>
      </c>
      <c r="F118" s="3">
        <v>26</v>
      </c>
      <c r="G118" s="3">
        <v>76</v>
      </c>
      <c r="H118" s="3">
        <v>41</v>
      </c>
      <c r="I118" s="3">
        <v>78</v>
      </c>
      <c r="J118" s="3">
        <v>234</v>
      </c>
      <c r="K118" s="3">
        <v>467</v>
      </c>
      <c r="L118" s="3">
        <v>296</v>
      </c>
      <c r="M118" s="3">
        <v>599</v>
      </c>
      <c r="N118" s="45">
        <f t="shared" si="36"/>
        <v>527</v>
      </c>
      <c r="O118" s="3">
        <f t="shared" si="43"/>
        <v>985</v>
      </c>
      <c r="P118" s="3">
        <f t="shared" si="44"/>
        <v>924</v>
      </c>
      <c r="Q118" s="3">
        <f t="shared" si="50"/>
        <v>2069</v>
      </c>
      <c r="R118" s="34">
        <f t="shared" si="51"/>
        <v>3.9447731755424063E-2</v>
      </c>
      <c r="S118" s="32">
        <f t="shared" si="52"/>
        <v>20</v>
      </c>
      <c r="T118" s="34">
        <f t="shared" si="53"/>
        <v>0.62654320987654322</v>
      </c>
      <c r="U118" s="34">
        <f t="shared" si="54"/>
        <v>0.57034632034632038</v>
      </c>
      <c r="V118" s="35"/>
      <c r="W118" s="35"/>
      <c r="X118" s="35"/>
      <c r="Y118" s="35"/>
      <c r="Z118" s="35"/>
      <c r="AA118" s="36"/>
    </row>
    <row r="119" spans="1:27" ht="16" thickBot="1" x14ac:dyDescent="0.4">
      <c r="A119" s="20">
        <f t="shared" si="10"/>
        <v>39375</v>
      </c>
      <c r="B119" s="3">
        <v>296</v>
      </c>
      <c r="C119" s="3">
        <v>451</v>
      </c>
      <c r="D119" s="3">
        <v>102</v>
      </c>
      <c r="E119" s="3">
        <v>492</v>
      </c>
      <c r="F119" s="3">
        <v>41</v>
      </c>
      <c r="G119" s="3">
        <v>56</v>
      </c>
      <c r="H119" s="3">
        <v>23</v>
      </c>
      <c r="I119" s="3">
        <v>47</v>
      </c>
      <c r="J119" s="3">
        <v>227</v>
      </c>
      <c r="K119" s="3">
        <v>476</v>
      </c>
      <c r="L119" s="3">
        <v>389</v>
      </c>
      <c r="M119" s="3">
        <v>621</v>
      </c>
      <c r="N119" s="45">
        <f t="shared" si="36"/>
        <v>564</v>
      </c>
      <c r="O119" s="3">
        <f t="shared" si="43"/>
        <v>1078</v>
      </c>
      <c r="P119" s="3">
        <f t="shared" si="44"/>
        <v>983</v>
      </c>
      <c r="Q119" s="3">
        <f t="shared" si="50"/>
        <v>2143</v>
      </c>
      <c r="R119" s="34">
        <f t="shared" si="51"/>
        <v>7.020872865275142E-2</v>
      </c>
      <c r="S119" s="32">
        <f t="shared" si="52"/>
        <v>37</v>
      </c>
      <c r="T119" s="34">
        <f t="shared" si="53"/>
        <v>0.25892857142857145</v>
      </c>
      <c r="U119" s="34">
        <f t="shared" si="54"/>
        <v>0.57375381485249233</v>
      </c>
      <c r="V119" s="35"/>
      <c r="W119" s="35"/>
      <c r="X119" s="35"/>
      <c r="Y119" s="35"/>
      <c r="Z119" s="35"/>
      <c r="AA119" s="36"/>
    </row>
    <row r="120" spans="1:27" ht="16" thickBot="1" x14ac:dyDescent="0.4">
      <c r="A120" s="20">
        <f t="shared" si="10"/>
        <v>39382</v>
      </c>
      <c r="B120" s="3">
        <v>556</v>
      </c>
      <c r="C120" s="3">
        <v>668</v>
      </c>
      <c r="D120" s="3">
        <v>102</v>
      </c>
      <c r="E120" s="3">
        <v>552</v>
      </c>
      <c r="F120" s="3">
        <v>29</v>
      </c>
      <c r="G120" s="3">
        <v>39</v>
      </c>
      <c r="H120" s="3">
        <v>15</v>
      </c>
      <c r="I120" s="3">
        <v>43</v>
      </c>
      <c r="J120" s="3">
        <v>256</v>
      </c>
      <c r="K120" s="3">
        <v>604</v>
      </c>
      <c r="L120" s="3">
        <v>353</v>
      </c>
      <c r="M120" s="3">
        <v>643</v>
      </c>
      <c r="N120" s="45">
        <f t="shared" si="36"/>
        <v>841</v>
      </c>
      <c r="O120" s="3">
        <f t="shared" si="43"/>
        <v>1311</v>
      </c>
      <c r="P120" s="3">
        <f t="shared" si="44"/>
        <v>1311</v>
      </c>
      <c r="Q120" s="3">
        <f t="shared" si="50"/>
        <v>2549</v>
      </c>
      <c r="R120" s="34">
        <f t="shared" si="51"/>
        <v>0.49113475177304966</v>
      </c>
      <c r="S120" s="32">
        <f t="shared" si="52"/>
        <v>277</v>
      </c>
      <c r="T120" s="34">
        <f t="shared" si="53"/>
        <v>0.76310272536687629</v>
      </c>
      <c r="U120" s="34">
        <f t="shared" si="54"/>
        <v>0.6414950419527079</v>
      </c>
      <c r="V120" s="35"/>
      <c r="W120" s="35"/>
      <c r="X120" s="35"/>
      <c r="Y120" s="35"/>
      <c r="Z120" s="35"/>
      <c r="AA120" s="36"/>
    </row>
    <row r="121" spans="1:27" ht="16" thickBot="1" x14ac:dyDescent="0.4">
      <c r="A121" s="20">
        <f t="shared" si="10"/>
        <v>39389</v>
      </c>
      <c r="B121" s="3">
        <v>419</v>
      </c>
      <c r="C121" s="3">
        <v>537</v>
      </c>
      <c r="D121" s="3">
        <v>142</v>
      </c>
      <c r="E121" s="3">
        <v>502</v>
      </c>
      <c r="F121" s="3">
        <v>42</v>
      </c>
      <c r="G121" s="3">
        <v>74</v>
      </c>
      <c r="H121" s="3">
        <v>31</v>
      </c>
      <c r="I121" s="3">
        <v>52</v>
      </c>
      <c r="J121" s="3">
        <v>185</v>
      </c>
      <c r="K121" s="3">
        <v>424</v>
      </c>
      <c r="L121" s="3">
        <v>361</v>
      </c>
      <c r="M121" s="3">
        <v>552</v>
      </c>
      <c r="N121" s="45">
        <f t="shared" si="36"/>
        <v>646</v>
      </c>
      <c r="O121" s="3">
        <f t="shared" si="43"/>
        <v>1180</v>
      </c>
      <c r="P121" s="3">
        <f t="shared" si="44"/>
        <v>1035</v>
      </c>
      <c r="Q121" s="3">
        <f t="shared" si="50"/>
        <v>2141</v>
      </c>
      <c r="R121" s="34">
        <f t="shared" ref="R121:R126" si="55">(N121-N120)/N120</f>
        <v>-0.2318668252080856</v>
      </c>
      <c r="S121" s="32">
        <f t="shared" ref="S121:S126" si="56">N121-N120</f>
        <v>-195</v>
      </c>
      <c r="T121" s="34">
        <f t="shared" ref="T121:T126" si="57">(N121-N69)/N69</f>
        <v>0.12543554006968641</v>
      </c>
      <c r="U121" s="34">
        <f t="shared" si="54"/>
        <v>0.62415458937198065</v>
      </c>
      <c r="V121" s="35"/>
      <c r="W121" s="35"/>
      <c r="X121" s="35"/>
      <c r="Y121" s="35"/>
      <c r="Z121" s="35"/>
      <c r="AA121" s="36"/>
    </row>
    <row r="122" spans="1:27" ht="16" thickBot="1" x14ac:dyDescent="0.4">
      <c r="A122" s="20">
        <f t="shared" si="10"/>
        <v>39396</v>
      </c>
      <c r="B122" s="3">
        <v>434</v>
      </c>
      <c r="C122" s="3">
        <v>510</v>
      </c>
      <c r="D122" s="3">
        <v>116</v>
      </c>
      <c r="E122" s="3">
        <v>750</v>
      </c>
      <c r="F122" s="3">
        <v>35</v>
      </c>
      <c r="G122" s="3">
        <v>76</v>
      </c>
      <c r="H122" s="3">
        <v>17</v>
      </c>
      <c r="I122" s="3">
        <v>55</v>
      </c>
      <c r="J122" s="3">
        <v>167</v>
      </c>
      <c r="K122" s="3">
        <v>377</v>
      </c>
      <c r="L122" s="3">
        <v>246</v>
      </c>
      <c r="M122" s="3">
        <v>390</v>
      </c>
      <c r="N122" s="45">
        <f t="shared" si="36"/>
        <v>636</v>
      </c>
      <c r="O122" s="3">
        <f t="shared" si="43"/>
        <v>1015</v>
      </c>
      <c r="P122" s="3">
        <f t="shared" si="44"/>
        <v>963</v>
      </c>
      <c r="Q122" s="3">
        <f t="shared" ref="Q122:Q133" si="58">SUM(C122,E122,G122,I122,K122,M122)</f>
        <v>2158</v>
      </c>
      <c r="R122" s="34">
        <f t="shared" si="55"/>
        <v>-1.5479876160990712E-2</v>
      </c>
      <c r="S122" s="32">
        <f t="shared" si="56"/>
        <v>-10</v>
      </c>
      <c r="T122" s="34">
        <f t="shared" si="57"/>
        <v>0.1276595744680851</v>
      </c>
      <c r="U122" s="34">
        <f t="shared" si="54"/>
        <v>0.66043613707165105</v>
      </c>
      <c r="V122" s="35"/>
      <c r="W122" s="35"/>
      <c r="X122" s="35"/>
      <c r="Y122" s="35"/>
      <c r="Z122" s="35"/>
      <c r="AA122" s="36"/>
    </row>
    <row r="123" spans="1:27" ht="16" thickBot="1" x14ac:dyDescent="0.4">
      <c r="A123" s="20">
        <f t="shared" si="10"/>
        <v>39403</v>
      </c>
      <c r="B123" s="3">
        <v>401</v>
      </c>
      <c r="C123" s="3">
        <v>493</v>
      </c>
      <c r="D123" s="3">
        <v>117</v>
      </c>
      <c r="E123" s="3">
        <v>695</v>
      </c>
      <c r="F123" s="3">
        <v>22</v>
      </c>
      <c r="G123" s="3">
        <v>45</v>
      </c>
      <c r="H123" s="3">
        <v>14</v>
      </c>
      <c r="I123" s="3">
        <v>38</v>
      </c>
      <c r="J123" s="3">
        <v>250</v>
      </c>
      <c r="K123" s="3">
        <v>486</v>
      </c>
      <c r="L123" s="3">
        <v>385</v>
      </c>
      <c r="M123" s="3">
        <v>720</v>
      </c>
      <c r="N123" s="45">
        <f t="shared" si="36"/>
        <v>673</v>
      </c>
      <c r="O123" s="3">
        <f t="shared" si="43"/>
        <v>1189</v>
      </c>
      <c r="P123" s="3">
        <f t="shared" si="44"/>
        <v>1024</v>
      </c>
      <c r="Q123" s="3">
        <f t="shared" si="58"/>
        <v>2477</v>
      </c>
      <c r="R123" s="34">
        <f t="shared" si="55"/>
        <v>5.8176100628930819E-2</v>
      </c>
      <c r="S123" s="32">
        <f t="shared" si="56"/>
        <v>37</v>
      </c>
      <c r="T123" s="34">
        <f t="shared" si="57"/>
        <v>0.1254180602006689</v>
      </c>
      <c r="U123" s="34">
        <f t="shared" ref="U123:U128" si="59">N123/P123</f>
        <v>0.6572265625</v>
      </c>
      <c r="V123" s="35"/>
      <c r="W123" s="35"/>
      <c r="X123" s="35"/>
      <c r="Y123" s="35"/>
      <c r="Z123" s="35"/>
      <c r="AA123" s="36"/>
    </row>
    <row r="124" spans="1:27" ht="16" thickBot="1" x14ac:dyDescent="0.4">
      <c r="A124" s="20">
        <f t="shared" si="10"/>
        <v>39410</v>
      </c>
      <c r="B124" s="3">
        <v>382</v>
      </c>
      <c r="C124" s="3">
        <v>427</v>
      </c>
      <c r="D124" s="3">
        <v>91</v>
      </c>
      <c r="E124" s="3">
        <v>660</v>
      </c>
      <c r="F124" s="3">
        <v>25</v>
      </c>
      <c r="G124" s="3">
        <v>38</v>
      </c>
      <c r="H124" s="3">
        <v>43</v>
      </c>
      <c r="I124" s="3">
        <v>99</v>
      </c>
      <c r="J124" s="3">
        <v>293</v>
      </c>
      <c r="K124" s="3">
        <v>569</v>
      </c>
      <c r="L124" s="3">
        <v>316</v>
      </c>
      <c r="M124" s="3">
        <v>631</v>
      </c>
      <c r="N124" s="45">
        <f t="shared" si="36"/>
        <v>700</v>
      </c>
      <c r="O124" s="3">
        <f t="shared" si="43"/>
        <v>1150</v>
      </c>
      <c r="P124" s="3">
        <f t="shared" si="44"/>
        <v>1034</v>
      </c>
      <c r="Q124" s="3">
        <f t="shared" si="58"/>
        <v>2424</v>
      </c>
      <c r="R124" s="34">
        <f t="shared" si="55"/>
        <v>4.0118870728083213E-2</v>
      </c>
      <c r="S124" s="32">
        <f t="shared" si="56"/>
        <v>27</v>
      </c>
      <c r="T124" s="34">
        <f t="shared" si="57"/>
        <v>0.29629629629629628</v>
      </c>
      <c r="U124" s="34">
        <f t="shared" si="59"/>
        <v>0.67698259187620891</v>
      </c>
      <c r="V124" s="35"/>
      <c r="W124" s="35"/>
      <c r="X124" s="35"/>
      <c r="Y124" s="35"/>
      <c r="Z124" s="35"/>
      <c r="AA124" s="36"/>
    </row>
    <row r="125" spans="1:27" ht="16" thickBot="1" x14ac:dyDescent="0.4">
      <c r="A125" s="20">
        <f t="shared" si="10"/>
        <v>39417</v>
      </c>
      <c r="B125" s="3">
        <v>350</v>
      </c>
      <c r="C125" s="3">
        <v>422</v>
      </c>
      <c r="D125" s="3">
        <v>106</v>
      </c>
      <c r="E125" s="3">
        <v>593</v>
      </c>
      <c r="F125" s="3">
        <v>47</v>
      </c>
      <c r="G125" s="3">
        <v>55</v>
      </c>
      <c r="H125" s="3">
        <v>21</v>
      </c>
      <c r="I125" s="3">
        <v>72</v>
      </c>
      <c r="J125" s="3">
        <v>289</v>
      </c>
      <c r="K125" s="3">
        <v>631</v>
      </c>
      <c r="L125" s="3">
        <v>344</v>
      </c>
      <c r="M125" s="3">
        <v>583</v>
      </c>
      <c r="N125" s="45">
        <f t="shared" si="36"/>
        <v>686</v>
      </c>
      <c r="O125" s="3">
        <f t="shared" si="43"/>
        <v>1157</v>
      </c>
      <c r="P125" s="3">
        <f t="shared" si="44"/>
        <v>1108</v>
      </c>
      <c r="Q125" s="3">
        <f t="shared" si="58"/>
        <v>2356</v>
      </c>
      <c r="R125" s="34">
        <f t="shared" si="55"/>
        <v>-0.02</v>
      </c>
      <c r="S125" s="32">
        <f t="shared" si="56"/>
        <v>-14</v>
      </c>
      <c r="T125" s="34">
        <f t="shared" si="57"/>
        <v>-4.3541364296081275E-3</v>
      </c>
      <c r="U125" s="34">
        <f t="shared" si="59"/>
        <v>0.61913357400722024</v>
      </c>
      <c r="V125" s="35"/>
      <c r="W125" s="35"/>
      <c r="X125" s="35"/>
      <c r="Y125" s="35"/>
      <c r="Z125" s="35"/>
      <c r="AA125" s="36"/>
    </row>
    <row r="126" spans="1:27" ht="16" thickBot="1" x14ac:dyDescent="0.4">
      <c r="A126" s="20">
        <f t="shared" si="10"/>
        <v>39424</v>
      </c>
      <c r="B126" s="22">
        <v>280</v>
      </c>
      <c r="C126" s="3">
        <v>339</v>
      </c>
      <c r="D126" s="3">
        <v>93</v>
      </c>
      <c r="E126" s="3">
        <v>563</v>
      </c>
      <c r="F126" s="3">
        <v>14</v>
      </c>
      <c r="G126" s="3">
        <v>40</v>
      </c>
      <c r="H126" s="3">
        <v>11</v>
      </c>
      <c r="I126" s="3">
        <v>37</v>
      </c>
      <c r="J126" s="3">
        <v>251</v>
      </c>
      <c r="K126" s="3">
        <v>513</v>
      </c>
      <c r="L126" s="3">
        <v>324</v>
      </c>
      <c r="M126" s="3">
        <v>654</v>
      </c>
      <c r="N126" s="45">
        <f t="shared" si="36"/>
        <v>545</v>
      </c>
      <c r="O126" s="3">
        <f t="shared" si="43"/>
        <v>973</v>
      </c>
      <c r="P126" s="3">
        <f t="shared" si="44"/>
        <v>892</v>
      </c>
      <c r="Q126" s="3">
        <f t="shared" si="58"/>
        <v>2146</v>
      </c>
      <c r="R126" s="34">
        <f t="shared" si="55"/>
        <v>-0.20553935860058309</v>
      </c>
      <c r="S126" s="32">
        <f t="shared" si="56"/>
        <v>-141</v>
      </c>
      <c r="T126" s="34">
        <f t="shared" si="57"/>
        <v>6.4453125E-2</v>
      </c>
      <c r="U126" s="34">
        <f t="shared" si="59"/>
        <v>0.61098654708520184</v>
      </c>
      <c r="V126" s="35"/>
      <c r="W126" s="35"/>
      <c r="X126" s="35"/>
      <c r="Y126" s="35"/>
      <c r="Z126" s="35"/>
      <c r="AA126" s="36"/>
    </row>
    <row r="127" spans="1:27" ht="16" thickBot="1" x14ac:dyDescent="0.4">
      <c r="A127" s="20">
        <f t="shared" si="10"/>
        <v>39431</v>
      </c>
      <c r="B127" s="22">
        <v>335</v>
      </c>
      <c r="C127" s="22">
        <v>409</v>
      </c>
      <c r="D127" s="22">
        <v>113</v>
      </c>
      <c r="E127" s="22">
        <v>562</v>
      </c>
      <c r="F127" s="22">
        <v>46</v>
      </c>
      <c r="G127" s="22">
        <v>51</v>
      </c>
      <c r="H127" s="22">
        <v>6</v>
      </c>
      <c r="I127" s="22">
        <v>45</v>
      </c>
      <c r="J127" s="22">
        <v>211</v>
      </c>
      <c r="K127" s="22">
        <v>481</v>
      </c>
      <c r="L127" s="22">
        <v>352</v>
      </c>
      <c r="M127" s="22">
        <v>563</v>
      </c>
      <c r="N127" s="45">
        <f t="shared" si="36"/>
        <v>592</v>
      </c>
      <c r="O127" s="3">
        <f t="shared" si="43"/>
        <v>1063</v>
      </c>
      <c r="P127" s="3">
        <f t="shared" si="44"/>
        <v>941</v>
      </c>
      <c r="Q127" s="3">
        <f t="shared" si="58"/>
        <v>2111</v>
      </c>
      <c r="R127" s="34">
        <f t="shared" ref="R127:R132" si="60">(N127-N126)/N126</f>
        <v>8.6238532110091748E-2</v>
      </c>
      <c r="S127" s="32">
        <f t="shared" ref="S127:S132" si="61">N127-N126</f>
        <v>47</v>
      </c>
      <c r="T127" s="34">
        <f t="shared" ref="T127:T132" si="62">(N127-N75)/N75</f>
        <v>-0.10574018126888217</v>
      </c>
      <c r="U127" s="34">
        <f t="shared" si="59"/>
        <v>0.62911795961742822</v>
      </c>
      <c r="V127" s="35"/>
      <c r="W127" s="35"/>
      <c r="X127" s="35"/>
      <c r="Y127" s="35"/>
      <c r="Z127" s="35"/>
      <c r="AA127" s="36"/>
    </row>
    <row r="128" spans="1:27" ht="16" thickBot="1" x14ac:dyDescent="0.4">
      <c r="A128" s="20">
        <f t="shared" si="10"/>
        <v>39438</v>
      </c>
      <c r="B128" s="22">
        <v>206</v>
      </c>
      <c r="C128" s="22">
        <v>297</v>
      </c>
      <c r="D128" s="22">
        <v>116</v>
      </c>
      <c r="E128" s="22">
        <v>294</v>
      </c>
      <c r="F128" s="22">
        <v>35</v>
      </c>
      <c r="G128" s="22">
        <v>51</v>
      </c>
      <c r="H128" s="22">
        <v>9</v>
      </c>
      <c r="I128" s="22">
        <v>50</v>
      </c>
      <c r="J128" s="22">
        <v>207</v>
      </c>
      <c r="K128" s="22">
        <v>459</v>
      </c>
      <c r="L128" s="22">
        <v>272</v>
      </c>
      <c r="M128" s="22">
        <v>479</v>
      </c>
      <c r="N128" s="45">
        <f t="shared" si="36"/>
        <v>448</v>
      </c>
      <c r="O128" s="3">
        <f t="shared" si="43"/>
        <v>845</v>
      </c>
      <c r="P128" s="3">
        <f t="shared" si="44"/>
        <v>807</v>
      </c>
      <c r="Q128" s="3">
        <f t="shared" si="58"/>
        <v>1630</v>
      </c>
      <c r="R128" s="34">
        <f t="shared" si="60"/>
        <v>-0.24324324324324326</v>
      </c>
      <c r="S128" s="32">
        <f t="shared" si="61"/>
        <v>-144</v>
      </c>
      <c r="T128" s="34">
        <f t="shared" si="62"/>
        <v>0.31764705882352939</v>
      </c>
      <c r="U128" s="34">
        <f t="shared" si="59"/>
        <v>0.55514250309789348</v>
      </c>
      <c r="V128" s="35"/>
      <c r="W128" s="35"/>
      <c r="X128" s="35"/>
      <c r="Y128" s="35"/>
      <c r="Z128" s="35"/>
      <c r="AA128" s="36"/>
    </row>
    <row r="129" spans="1:27" ht="16" thickBot="1" x14ac:dyDescent="0.4">
      <c r="A129" s="20">
        <f t="shared" si="10"/>
        <v>39445</v>
      </c>
      <c r="B129" s="22">
        <v>375</v>
      </c>
      <c r="C129" s="22">
        <v>440</v>
      </c>
      <c r="D129" s="22">
        <v>72</v>
      </c>
      <c r="E129" s="22">
        <v>402</v>
      </c>
      <c r="F129" s="22">
        <v>29</v>
      </c>
      <c r="G129" s="22">
        <v>43</v>
      </c>
      <c r="H129" s="22">
        <v>12</v>
      </c>
      <c r="I129" s="22">
        <v>46</v>
      </c>
      <c r="J129" s="22">
        <v>255</v>
      </c>
      <c r="K129" s="22">
        <v>580</v>
      </c>
      <c r="L129" s="22">
        <v>395</v>
      </c>
      <c r="M129" s="22">
        <v>726</v>
      </c>
      <c r="N129" s="45">
        <f t="shared" si="36"/>
        <v>659</v>
      </c>
      <c r="O129" s="3">
        <f t="shared" si="43"/>
        <v>1138</v>
      </c>
      <c r="P129" s="3">
        <f t="shared" si="44"/>
        <v>1063</v>
      </c>
      <c r="Q129" s="3">
        <f t="shared" si="58"/>
        <v>2237</v>
      </c>
      <c r="R129" s="34">
        <f t="shared" si="60"/>
        <v>0.47098214285714285</v>
      </c>
      <c r="S129" s="32">
        <f t="shared" si="61"/>
        <v>211</v>
      </c>
      <c r="T129" s="34">
        <f t="shared" si="62"/>
        <v>0.85633802816901405</v>
      </c>
      <c r="U129" s="34">
        <f t="shared" ref="U129:U134" si="63">N129/P129</f>
        <v>0.61994355597365947</v>
      </c>
      <c r="V129" s="35"/>
      <c r="W129" s="35"/>
      <c r="X129" s="35"/>
      <c r="Y129" s="35"/>
      <c r="Z129" s="35"/>
      <c r="AA129" s="36"/>
    </row>
    <row r="130" spans="1:27" ht="16" thickBot="1" x14ac:dyDescent="0.4">
      <c r="A130" s="20">
        <f t="shared" si="10"/>
        <v>39452</v>
      </c>
      <c r="B130" s="22">
        <v>323</v>
      </c>
      <c r="C130" s="22">
        <v>355</v>
      </c>
      <c r="D130" s="22">
        <v>75</v>
      </c>
      <c r="E130" s="22">
        <v>343</v>
      </c>
      <c r="F130" s="22">
        <v>43</v>
      </c>
      <c r="G130" s="22">
        <v>59</v>
      </c>
      <c r="H130" s="22">
        <v>8</v>
      </c>
      <c r="I130" s="22">
        <v>44</v>
      </c>
      <c r="J130" s="22">
        <v>258</v>
      </c>
      <c r="K130" s="22">
        <v>543</v>
      </c>
      <c r="L130" s="22">
        <v>363</v>
      </c>
      <c r="M130" s="22">
        <v>588</v>
      </c>
      <c r="N130" s="45">
        <f t="shared" si="36"/>
        <v>624</v>
      </c>
      <c r="O130" s="3">
        <f t="shared" si="43"/>
        <v>1070</v>
      </c>
      <c r="P130" s="3">
        <f t="shared" si="44"/>
        <v>957</v>
      </c>
      <c r="Q130" s="3">
        <f t="shared" si="58"/>
        <v>1932</v>
      </c>
      <c r="R130" s="34">
        <f t="shared" si="60"/>
        <v>-5.3110773899848251E-2</v>
      </c>
      <c r="S130" s="32">
        <f t="shared" si="61"/>
        <v>-35</v>
      </c>
      <c r="T130" s="34">
        <f t="shared" si="62"/>
        <v>0.66400000000000003</v>
      </c>
      <c r="U130" s="34">
        <f t="shared" si="63"/>
        <v>0.65203761755485889</v>
      </c>
      <c r="V130" s="35"/>
      <c r="W130" s="35"/>
      <c r="X130" s="35"/>
      <c r="Y130" s="35"/>
      <c r="Z130" s="35"/>
      <c r="AA130" s="36"/>
    </row>
    <row r="131" spans="1:27" ht="16" thickBot="1" x14ac:dyDescent="0.4">
      <c r="A131" s="20">
        <f t="shared" si="10"/>
        <v>39459</v>
      </c>
      <c r="B131" s="22">
        <v>198</v>
      </c>
      <c r="C131" s="22">
        <v>248</v>
      </c>
      <c r="D131" s="22">
        <v>95</v>
      </c>
      <c r="E131" s="22">
        <v>286</v>
      </c>
      <c r="F131" s="22">
        <v>10</v>
      </c>
      <c r="G131" s="22">
        <v>26</v>
      </c>
      <c r="H131" s="22">
        <v>17</v>
      </c>
      <c r="I131" s="22">
        <v>41</v>
      </c>
      <c r="J131" s="22">
        <v>374</v>
      </c>
      <c r="K131" s="22">
        <v>735</v>
      </c>
      <c r="L131" s="22">
        <v>386</v>
      </c>
      <c r="M131" s="22">
        <v>675</v>
      </c>
      <c r="N131" s="45">
        <f t="shared" si="36"/>
        <v>582</v>
      </c>
      <c r="O131" s="3">
        <f t="shared" si="43"/>
        <v>1080</v>
      </c>
      <c r="P131" s="3">
        <f t="shared" si="44"/>
        <v>1009</v>
      </c>
      <c r="Q131" s="3">
        <f t="shared" si="58"/>
        <v>2011</v>
      </c>
      <c r="R131" s="34">
        <f t="shared" si="60"/>
        <v>-6.7307692307692304E-2</v>
      </c>
      <c r="S131" s="32">
        <f t="shared" si="61"/>
        <v>-42</v>
      </c>
      <c r="T131" s="34">
        <f t="shared" si="62"/>
        <v>0.15019762845849802</v>
      </c>
      <c r="U131" s="34">
        <f t="shared" si="63"/>
        <v>0.57680872150644202</v>
      </c>
      <c r="V131" s="35"/>
      <c r="W131" s="35"/>
      <c r="X131" s="35"/>
      <c r="Y131" s="35"/>
      <c r="Z131" s="35"/>
      <c r="AA131" s="36"/>
    </row>
    <row r="132" spans="1:27" ht="16" thickBot="1" x14ac:dyDescent="0.4">
      <c r="A132" s="20">
        <f t="shared" si="10"/>
        <v>39466</v>
      </c>
      <c r="B132" s="22">
        <v>131</v>
      </c>
      <c r="C132" s="22">
        <v>198</v>
      </c>
      <c r="D132" s="22">
        <v>54</v>
      </c>
      <c r="E132" s="22">
        <v>209</v>
      </c>
      <c r="F132" s="22">
        <v>38</v>
      </c>
      <c r="G132" s="22">
        <v>56</v>
      </c>
      <c r="H132" s="22">
        <v>10</v>
      </c>
      <c r="I132" s="22">
        <v>42</v>
      </c>
      <c r="J132" s="22">
        <v>200</v>
      </c>
      <c r="K132" s="22">
        <v>484</v>
      </c>
      <c r="L132" s="22">
        <v>354</v>
      </c>
      <c r="M132" s="22">
        <v>663</v>
      </c>
      <c r="N132" s="45">
        <f t="shared" si="36"/>
        <v>369</v>
      </c>
      <c r="O132" s="3">
        <f t="shared" si="43"/>
        <v>787</v>
      </c>
      <c r="P132" s="3">
        <f t="shared" si="44"/>
        <v>738</v>
      </c>
      <c r="Q132" s="3">
        <f t="shared" si="58"/>
        <v>1652</v>
      </c>
      <c r="R132" s="34">
        <f t="shared" si="60"/>
        <v>-0.36597938144329895</v>
      </c>
      <c r="S132" s="32">
        <f t="shared" si="61"/>
        <v>-213</v>
      </c>
      <c r="T132" s="34">
        <f t="shared" si="62"/>
        <v>7.8947368421052627E-2</v>
      </c>
      <c r="U132" s="34">
        <f t="shared" si="63"/>
        <v>0.5</v>
      </c>
      <c r="V132" s="35"/>
      <c r="W132" s="35"/>
      <c r="X132" s="35"/>
      <c r="Y132" s="35"/>
      <c r="Z132" s="35"/>
      <c r="AA132" s="36"/>
    </row>
    <row r="133" spans="1:27" ht="16" thickBot="1" x14ac:dyDescent="0.4">
      <c r="A133" s="20">
        <f t="shared" si="10"/>
        <v>39473</v>
      </c>
      <c r="B133" s="22">
        <v>133</v>
      </c>
      <c r="C133" s="22">
        <v>159</v>
      </c>
      <c r="D133" s="22">
        <v>39</v>
      </c>
      <c r="E133" s="22">
        <v>201</v>
      </c>
      <c r="F133" s="22">
        <v>30</v>
      </c>
      <c r="G133" s="22">
        <v>39</v>
      </c>
      <c r="H133" s="22">
        <v>10</v>
      </c>
      <c r="I133" s="22">
        <v>45</v>
      </c>
      <c r="J133" s="22">
        <v>243</v>
      </c>
      <c r="K133" s="22">
        <v>495</v>
      </c>
      <c r="L133" s="22">
        <v>245</v>
      </c>
      <c r="M133" s="22">
        <v>556</v>
      </c>
      <c r="N133" s="45">
        <f t="shared" si="36"/>
        <v>406</v>
      </c>
      <c r="O133" s="3">
        <f t="shared" si="43"/>
        <v>700</v>
      </c>
      <c r="P133" s="3">
        <f t="shared" si="44"/>
        <v>693</v>
      </c>
      <c r="Q133" s="3">
        <f t="shared" si="58"/>
        <v>1495</v>
      </c>
      <c r="R133" s="34">
        <f t="shared" ref="R133:R138" si="64">(N133-N132)/N132</f>
        <v>0.1002710027100271</v>
      </c>
      <c r="S133" s="32">
        <f t="shared" ref="S133:S138" si="65">N133-N132</f>
        <v>37</v>
      </c>
      <c r="T133" s="34">
        <f t="shared" ref="T133:T138" si="66">(N133-N81)/N81</f>
        <v>-7.0938215102974822E-2</v>
      </c>
      <c r="U133" s="34">
        <f t="shared" si="63"/>
        <v>0.58585858585858586</v>
      </c>
      <c r="V133" s="35"/>
      <c r="W133" s="35"/>
      <c r="X133" s="35"/>
      <c r="Y133" s="35"/>
      <c r="Z133" s="35"/>
      <c r="AA133" s="36"/>
    </row>
    <row r="134" spans="1:27" ht="16" thickBot="1" x14ac:dyDescent="0.4">
      <c r="A134" s="20">
        <f t="shared" si="10"/>
        <v>39480</v>
      </c>
      <c r="B134" s="22">
        <v>148</v>
      </c>
      <c r="C134" s="22">
        <v>182</v>
      </c>
      <c r="D134" s="22">
        <v>72</v>
      </c>
      <c r="E134" s="22">
        <v>229</v>
      </c>
      <c r="F134" s="22">
        <v>45</v>
      </c>
      <c r="G134" s="22">
        <v>52</v>
      </c>
      <c r="H134" s="22">
        <v>12</v>
      </c>
      <c r="I134" s="22">
        <v>37</v>
      </c>
      <c r="J134" s="22">
        <v>234</v>
      </c>
      <c r="K134" s="22">
        <v>472</v>
      </c>
      <c r="L134" s="22">
        <v>321</v>
      </c>
      <c r="M134" s="22">
        <v>639</v>
      </c>
      <c r="N134" s="45">
        <f t="shared" si="36"/>
        <v>427</v>
      </c>
      <c r="O134" s="3">
        <f t="shared" si="43"/>
        <v>832</v>
      </c>
      <c r="P134" s="3">
        <f t="shared" si="44"/>
        <v>706</v>
      </c>
      <c r="Q134" s="3">
        <f t="shared" ref="Q134:Q142" si="67">SUM(C134,E134,G134,I134,K134,M134)</f>
        <v>1611</v>
      </c>
      <c r="R134" s="34">
        <f t="shared" si="64"/>
        <v>5.1724137931034482E-2</v>
      </c>
      <c r="S134" s="32">
        <f t="shared" si="65"/>
        <v>21</v>
      </c>
      <c r="T134" s="34">
        <f t="shared" si="66"/>
        <v>-0.13737373737373737</v>
      </c>
      <c r="U134" s="34">
        <f t="shared" si="63"/>
        <v>0.60481586402266285</v>
      </c>
      <c r="V134" s="35"/>
      <c r="W134" s="35"/>
      <c r="X134" s="35"/>
      <c r="Y134" s="35"/>
      <c r="Z134" s="35"/>
      <c r="AA134" s="36"/>
    </row>
    <row r="135" spans="1:27" ht="16" thickBot="1" x14ac:dyDescent="0.4">
      <c r="A135" s="20">
        <f t="shared" si="10"/>
        <v>39487</v>
      </c>
      <c r="B135" s="22">
        <v>204</v>
      </c>
      <c r="C135" s="22">
        <v>254</v>
      </c>
      <c r="D135" s="22">
        <v>52</v>
      </c>
      <c r="E135" s="22">
        <v>297</v>
      </c>
      <c r="F135" s="22">
        <v>41</v>
      </c>
      <c r="G135" s="22">
        <v>56</v>
      </c>
      <c r="H135" s="22">
        <v>8</v>
      </c>
      <c r="I135" s="22">
        <v>24</v>
      </c>
      <c r="J135" s="22">
        <v>223</v>
      </c>
      <c r="K135" s="22">
        <v>485</v>
      </c>
      <c r="L135" s="22">
        <v>325</v>
      </c>
      <c r="M135" s="22">
        <v>753</v>
      </c>
      <c r="N135" s="45">
        <f t="shared" si="36"/>
        <v>468</v>
      </c>
      <c r="O135" s="3">
        <f t="shared" si="43"/>
        <v>853</v>
      </c>
      <c r="P135" s="3">
        <f t="shared" si="44"/>
        <v>795</v>
      </c>
      <c r="Q135" s="3">
        <f t="shared" si="67"/>
        <v>1869</v>
      </c>
      <c r="R135" s="34">
        <f t="shared" si="64"/>
        <v>9.6018735362997654E-2</v>
      </c>
      <c r="S135" s="32">
        <f t="shared" si="65"/>
        <v>41</v>
      </c>
      <c r="T135" s="34">
        <f t="shared" si="66"/>
        <v>0.16129032258064516</v>
      </c>
      <c r="U135" s="34">
        <f t="shared" ref="U135:U140" si="68">N135/P135</f>
        <v>0.58867924528301885</v>
      </c>
      <c r="V135" s="35"/>
      <c r="W135" s="35"/>
      <c r="X135" s="35"/>
      <c r="Y135" s="35"/>
      <c r="Z135" s="35"/>
      <c r="AA135" s="36"/>
    </row>
    <row r="136" spans="1:27" ht="16" thickBot="1" x14ac:dyDescent="0.4">
      <c r="A136" s="20">
        <f t="shared" si="10"/>
        <v>39494</v>
      </c>
      <c r="B136" s="22">
        <v>232</v>
      </c>
      <c r="C136" s="22">
        <v>256</v>
      </c>
      <c r="D136" s="22">
        <v>53</v>
      </c>
      <c r="E136" s="22">
        <v>173</v>
      </c>
      <c r="F136" s="22">
        <v>59</v>
      </c>
      <c r="G136" s="22">
        <v>82</v>
      </c>
      <c r="H136" s="22">
        <v>3</v>
      </c>
      <c r="I136" s="22">
        <v>49</v>
      </c>
      <c r="J136" s="22">
        <v>150</v>
      </c>
      <c r="K136" s="22">
        <v>353</v>
      </c>
      <c r="L136" s="22">
        <v>235</v>
      </c>
      <c r="M136" s="22">
        <v>484</v>
      </c>
      <c r="N136" s="45">
        <f t="shared" si="36"/>
        <v>441</v>
      </c>
      <c r="O136" s="3">
        <f t="shared" si="43"/>
        <v>732</v>
      </c>
      <c r="P136" s="3">
        <f t="shared" si="44"/>
        <v>691</v>
      </c>
      <c r="Q136" s="3">
        <f t="shared" si="67"/>
        <v>1397</v>
      </c>
      <c r="R136" s="34">
        <f t="shared" si="64"/>
        <v>-5.7692307692307696E-2</v>
      </c>
      <c r="S136" s="32">
        <f t="shared" si="65"/>
        <v>-27</v>
      </c>
      <c r="T136" s="34">
        <f t="shared" si="66"/>
        <v>-8.1250000000000003E-2</v>
      </c>
      <c r="U136" s="34">
        <f t="shared" si="68"/>
        <v>0.63820549927641101</v>
      </c>
      <c r="V136" s="35"/>
      <c r="W136" s="35"/>
      <c r="X136" s="35"/>
      <c r="Y136" s="35"/>
      <c r="Z136" s="35"/>
      <c r="AA136" s="36"/>
    </row>
    <row r="137" spans="1:27" ht="16" thickBot="1" x14ac:dyDescent="0.4">
      <c r="A137" s="20">
        <f t="shared" si="10"/>
        <v>39501</v>
      </c>
      <c r="B137" s="22">
        <v>114</v>
      </c>
      <c r="C137" s="22">
        <v>154</v>
      </c>
      <c r="D137" s="22">
        <v>86</v>
      </c>
      <c r="E137" s="22">
        <v>272</v>
      </c>
      <c r="F137" s="22">
        <v>41</v>
      </c>
      <c r="G137" s="22">
        <v>60</v>
      </c>
      <c r="H137" s="22">
        <v>8</v>
      </c>
      <c r="I137" s="22">
        <v>37</v>
      </c>
      <c r="J137" s="22">
        <v>236</v>
      </c>
      <c r="K137" s="22">
        <v>450</v>
      </c>
      <c r="L137" s="22">
        <v>325</v>
      </c>
      <c r="M137" s="22">
        <v>675</v>
      </c>
      <c r="N137" s="45">
        <f t="shared" si="36"/>
        <v>391</v>
      </c>
      <c r="O137" s="3">
        <f t="shared" si="43"/>
        <v>810</v>
      </c>
      <c r="P137" s="3">
        <f t="shared" si="44"/>
        <v>664</v>
      </c>
      <c r="Q137" s="3">
        <f t="shared" si="67"/>
        <v>1648</v>
      </c>
      <c r="R137" s="34">
        <f t="shared" si="64"/>
        <v>-0.11337868480725624</v>
      </c>
      <c r="S137" s="32">
        <f t="shared" si="65"/>
        <v>-50</v>
      </c>
      <c r="T137" s="34">
        <f t="shared" si="66"/>
        <v>5.675675675675676E-2</v>
      </c>
      <c r="U137" s="34">
        <f t="shared" si="68"/>
        <v>0.58885542168674698</v>
      </c>
      <c r="V137" s="35"/>
      <c r="W137" s="35"/>
      <c r="X137" s="35"/>
      <c r="Y137" s="35"/>
      <c r="Z137" s="35"/>
      <c r="AA137" s="36"/>
    </row>
    <row r="138" spans="1:27" ht="16" thickBot="1" x14ac:dyDescent="0.4">
      <c r="A138" s="20">
        <f t="shared" si="10"/>
        <v>39508</v>
      </c>
      <c r="B138" s="22">
        <v>257</v>
      </c>
      <c r="C138" s="22">
        <v>319</v>
      </c>
      <c r="D138" s="22">
        <v>68</v>
      </c>
      <c r="E138" s="22">
        <v>208</v>
      </c>
      <c r="F138" s="22">
        <v>13</v>
      </c>
      <c r="G138" s="22">
        <v>37</v>
      </c>
      <c r="H138" s="22">
        <v>14</v>
      </c>
      <c r="I138" s="22">
        <v>38</v>
      </c>
      <c r="J138" s="22">
        <v>187</v>
      </c>
      <c r="K138" s="22">
        <v>391</v>
      </c>
      <c r="L138" s="22">
        <v>253</v>
      </c>
      <c r="M138" s="22">
        <v>524</v>
      </c>
      <c r="N138" s="45">
        <f t="shared" si="36"/>
        <v>457</v>
      </c>
      <c r="O138" s="3">
        <f t="shared" si="43"/>
        <v>792</v>
      </c>
      <c r="P138" s="3">
        <f t="shared" si="44"/>
        <v>747</v>
      </c>
      <c r="Q138" s="3">
        <f t="shared" si="67"/>
        <v>1517</v>
      </c>
      <c r="R138" s="34">
        <f t="shared" si="64"/>
        <v>0.16879795396419436</v>
      </c>
      <c r="S138" s="32">
        <f t="shared" si="65"/>
        <v>66</v>
      </c>
      <c r="T138" s="34">
        <f t="shared" si="66"/>
        <v>-0.12786259541984732</v>
      </c>
      <c r="U138" s="34">
        <f t="shared" si="68"/>
        <v>0.61178045515394908</v>
      </c>
      <c r="V138" s="35"/>
      <c r="W138" s="35"/>
      <c r="X138" s="35"/>
      <c r="Y138" s="35"/>
      <c r="Z138" s="35"/>
      <c r="AA138" s="36"/>
    </row>
    <row r="139" spans="1:27" ht="16" thickBot="1" x14ac:dyDescent="0.4">
      <c r="A139" s="20">
        <f t="shared" si="10"/>
        <v>39515</v>
      </c>
      <c r="B139" s="22">
        <v>222</v>
      </c>
      <c r="C139" s="22">
        <v>262</v>
      </c>
      <c r="D139" s="22">
        <v>57</v>
      </c>
      <c r="E139" s="22">
        <v>328</v>
      </c>
      <c r="F139" s="22">
        <v>30</v>
      </c>
      <c r="G139" s="22">
        <v>35</v>
      </c>
      <c r="H139" s="22">
        <v>11</v>
      </c>
      <c r="I139" s="22">
        <v>30</v>
      </c>
      <c r="J139" s="22">
        <v>181</v>
      </c>
      <c r="K139" s="22">
        <v>427</v>
      </c>
      <c r="L139" s="22">
        <v>252</v>
      </c>
      <c r="M139" s="22">
        <v>556</v>
      </c>
      <c r="N139" s="45">
        <f t="shared" si="36"/>
        <v>433</v>
      </c>
      <c r="O139" s="3">
        <f t="shared" si="43"/>
        <v>753</v>
      </c>
      <c r="P139" s="3">
        <f t="shared" si="44"/>
        <v>724</v>
      </c>
      <c r="Q139" s="3">
        <f t="shared" si="67"/>
        <v>1638</v>
      </c>
      <c r="R139" s="34">
        <f t="shared" ref="R139:R144" si="69">(N139-N138)/N138</f>
        <v>-5.2516411378555797E-2</v>
      </c>
      <c r="S139" s="32">
        <f t="shared" ref="S139:S144" si="70">N139-N138</f>
        <v>-24</v>
      </c>
      <c r="T139" s="34">
        <f t="shared" ref="T139:T144" si="71">(N139-N87)/N87</f>
        <v>-0.21841155234657039</v>
      </c>
      <c r="U139" s="34">
        <f t="shared" si="68"/>
        <v>0.59806629834254144</v>
      </c>
      <c r="V139" s="35"/>
      <c r="W139" s="35"/>
      <c r="X139" s="35"/>
      <c r="Y139" s="35"/>
      <c r="Z139" s="35"/>
      <c r="AA139" s="36"/>
    </row>
    <row r="140" spans="1:27" ht="16" thickBot="1" x14ac:dyDescent="0.4">
      <c r="A140" s="20">
        <f t="shared" si="10"/>
        <v>39522</v>
      </c>
      <c r="B140" s="22">
        <v>408</v>
      </c>
      <c r="C140" s="22">
        <v>443</v>
      </c>
      <c r="D140" s="22">
        <v>54</v>
      </c>
      <c r="E140" s="22">
        <v>278</v>
      </c>
      <c r="F140" s="22">
        <v>57</v>
      </c>
      <c r="G140" s="22">
        <v>75</v>
      </c>
      <c r="H140" s="22">
        <v>4</v>
      </c>
      <c r="I140" s="22">
        <v>33</v>
      </c>
      <c r="J140" s="22">
        <v>209</v>
      </c>
      <c r="K140" s="22">
        <v>468</v>
      </c>
      <c r="L140" s="22">
        <v>258</v>
      </c>
      <c r="M140" s="22">
        <v>571</v>
      </c>
      <c r="N140" s="45">
        <f t="shared" si="36"/>
        <v>674</v>
      </c>
      <c r="O140" s="3">
        <f t="shared" si="43"/>
        <v>990</v>
      </c>
      <c r="P140" s="3">
        <f t="shared" si="44"/>
        <v>986</v>
      </c>
      <c r="Q140" s="3">
        <f t="shared" si="67"/>
        <v>1868</v>
      </c>
      <c r="R140" s="34">
        <f t="shared" si="69"/>
        <v>0.5565819861431871</v>
      </c>
      <c r="S140" s="32">
        <f t="shared" si="70"/>
        <v>241</v>
      </c>
      <c r="T140" s="34">
        <f t="shared" si="71"/>
        <v>-9.5302013422818799E-2</v>
      </c>
      <c r="U140" s="34">
        <f t="shared" si="68"/>
        <v>0.68356997971602429</v>
      </c>
      <c r="V140" s="35"/>
      <c r="W140" s="35"/>
      <c r="X140" s="35"/>
      <c r="Y140" s="35"/>
      <c r="Z140" s="35"/>
      <c r="AA140" s="36"/>
    </row>
    <row r="141" spans="1:27" ht="16" thickBot="1" x14ac:dyDescent="0.4">
      <c r="A141" s="20">
        <f t="shared" si="10"/>
        <v>39529</v>
      </c>
      <c r="B141" s="22">
        <v>412</v>
      </c>
      <c r="C141" s="22">
        <v>471</v>
      </c>
      <c r="D141" s="22">
        <v>61</v>
      </c>
      <c r="E141" s="22">
        <v>282</v>
      </c>
      <c r="F141" s="22">
        <v>4</v>
      </c>
      <c r="G141" s="22">
        <v>8</v>
      </c>
      <c r="H141" s="22">
        <v>6</v>
      </c>
      <c r="I141" s="22">
        <v>27</v>
      </c>
      <c r="J141" s="22">
        <v>105</v>
      </c>
      <c r="K141" s="22">
        <v>269</v>
      </c>
      <c r="L141" s="22">
        <v>242</v>
      </c>
      <c r="M141" s="22">
        <v>483</v>
      </c>
      <c r="N141" s="45">
        <f t="shared" si="36"/>
        <v>521</v>
      </c>
      <c r="O141" s="3">
        <f t="shared" si="43"/>
        <v>830</v>
      </c>
      <c r="P141" s="3">
        <f t="shared" si="44"/>
        <v>748</v>
      </c>
      <c r="Q141" s="3">
        <f t="shared" si="67"/>
        <v>1540</v>
      </c>
      <c r="R141" s="34">
        <f t="shared" si="69"/>
        <v>-0.22700296735905046</v>
      </c>
      <c r="S141" s="32">
        <f t="shared" si="70"/>
        <v>-153</v>
      </c>
      <c r="T141" s="34">
        <f t="shared" si="71"/>
        <v>-0.19474497681607419</v>
      </c>
      <c r="U141" s="34">
        <f t="shared" ref="U141:U146" si="72">N141/P141</f>
        <v>0.696524064171123</v>
      </c>
      <c r="V141" s="35"/>
      <c r="W141" s="35"/>
      <c r="X141" s="35"/>
      <c r="Y141" s="35"/>
      <c r="Z141" s="35"/>
      <c r="AA141" s="36"/>
    </row>
    <row r="142" spans="1:27" ht="16" thickBot="1" x14ac:dyDescent="0.4">
      <c r="A142" s="20">
        <f t="shared" si="10"/>
        <v>39536</v>
      </c>
      <c r="B142" s="22">
        <v>367</v>
      </c>
      <c r="C142" s="22">
        <v>449</v>
      </c>
      <c r="D142" s="22">
        <v>78</v>
      </c>
      <c r="E142" s="22">
        <v>356</v>
      </c>
      <c r="F142" s="22">
        <v>5</v>
      </c>
      <c r="G142" s="22">
        <v>5</v>
      </c>
      <c r="H142" s="22">
        <v>3</v>
      </c>
      <c r="I142" s="22">
        <v>8</v>
      </c>
      <c r="J142" s="22">
        <v>130</v>
      </c>
      <c r="K142" s="22">
        <v>327</v>
      </c>
      <c r="L142" s="22">
        <v>192</v>
      </c>
      <c r="M142" s="22">
        <v>406</v>
      </c>
      <c r="N142" s="45">
        <f t="shared" si="36"/>
        <v>502</v>
      </c>
      <c r="O142" s="3">
        <f t="shared" si="43"/>
        <v>775</v>
      </c>
      <c r="P142" s="3">
        <f t="shared" si="44"/>
        <v>781</v>
      </c>
      <c r="Q142" s="3">
        <f t="shared" si="67"/>
        <v>1551</v>
      </c>
      <c r="R142" s="34">
        <f t="shared" si="69"/>
        <v>-3.6468330134357005E-2</v>
      </c>
      <c r="S142" s="32">
        <f t="shared" si="70"/>
        <v>-19</v>
      </c>
      <c r="T142" s="34">
        <f t="shared" si="71"/>
        <v>-0.24624624624624625</v>
      </c>
      <c r="U142" s="34">
        <f t="shared" si="72"/>
        <v>0.64276568501920617</v>
      </c>
      <c r="V142" s="35"/>
      <c r="W142" s="35"/>
      <c r="X142" s="35"/>
      <c r="Y142" s="35"/>
      <c r="Z142" s="35"/>
      <c r="AA142" s="36"/>
    </row>
    <row r="143" spans="1:27" ht="16" thickBot="1" x14ac:dyDescent="0.4">
      <c r="A143" s="20">
        <f t="shared" si="10"/>
        <v>39543</v>
      </c>
      <c r="B143" s="22">
        <v>434</v>
      </c>
      <c r="C143" s="22">
        <v>518</v>
      </c>
      <c r="D143" s="22">
        <v>81</v>
      </c>
      <c r="E143" s="22">
        <v>453</v>
      </c>
      <c r="F143" s="22">
        <v>0</v>
      </c>
      <c r="G143" s="22">
        <v>7</v>
      </c>
      <c r="H143" s="22">
        <v>11</v>
      </c>
      <c r="I143" s="22">
        <v>18</v>
      </c>
      <c r="J143" s="22">
        <v>238</v>
      </c>
      <c r="K143" s="22">
        <v>485</v>
      </c>
      <c r="L143" s="22">
        <v>342</v>
      </c>
      <c r="M143" s="22">
        <v>629</v>
      </c>
      <c r="N143" s="45">
        <f t="shared" si="36"/>
        <v>672</v>
      </c>
      <c r="O143" s="3">
        <f t="shared" si="43"/>
        <v>1106</v>
      </c>
      <c r="P143" s="3">
        <f t="shared" si="44"/>
        <v>1010</v>
      </c>
      <c r="Q143" s="3">
        <f t="shared" ref="Q143:Q172" si="73">SUM(C143,E143,G143,I143,K143,M143)</f>
        <v>2110</v>
      </c>
      <c r="R143" s="34">
        <f t="shared" si="69"/>
        <v>0.3386454183266932</v>
      </c>
      <c r="S143" s="32">
        <f t="shared" si="70"/>
        <v>170</v>
      </c>
      <c r="T143" s="34">
        <f t="shared" si="71"/>
        <v>-6.0139860139860141E-2</v>
      </c>
      <c r="U143" s="34">
        <f t="shared" si="72"/>
        <v>0.66534653465346538</v>
      </c>
      <c r="V143" s="35"/>
      <c r="W143" s="35"/>
      <c r="X143" s="35"/>
      <c r="Y143" s="35"/>
      <c r="Z143" s="35"/>
      <c r="AA143" s="36"/>
    </row>
    <row r="144" spans="1:27" ht="16" thickBot="1" x14ac:dyDescent="0.4">
      <c r="A144" s="20">
        <f t="shared" ref="A144:A200" si="74">7+A143</f>
        <v>39550</v>
      </c>
      <c r="B144" s="22">
        <v>367</v>
      </c>
      <c r="C144" s="22">
        <v>473</v>
      </c>
      <c r="D144" s="22">
        <v>67</v>
      </c>
      <c r="E144" s="22">
        <v>360</v>
      </c>
      <c r="F144" s="22">
        <v>0</v>
      </c>
      <c r="G144" s="22">
        <v>0</v>
      </c>
      <c r="H144" s="22">
        <v>5</v>
      </c>
      <c r="I144" s="22">
        <v>11</v>
      </c>
      <c r="J144" s="22">
        <v>233</v>
      </c>
      <c r="K144" s="22">
        <v>450</v>
      </c>
      <c r="L144" s="22">
        <v>295</v>
      </c>
      <c r="M144" s="22">
        <v>512</v>
      </c>
      <c r="N144" s="45">
        <f t="shared" si="36"/>
        <v>600</v>
      </c>
      <c r="O144" s="3">
        <f t="shared" si="43"/>
        <v>967</v>
      </c>
      <c r="P144" s="3">
        <f t="shared" si="44"/>
        <v>923</v>
      </c>
      <c r="Q144" s="3">
        <f t="shared" si="73"/>
        <v>1806</v>
      </c>
      <c r="R144" s="34">
        <f t="shared" si="69"/>
        <v>-0.10714285714285714</v>
      </c>
      <c r="S144" s="32">
        <f t="shared" si="70"/>
        <v>-72</v>
      </c>
      <c r="T144" s="34">
        <f t="shared" si="71"/>
        <v>-8.1163859111791734E-2</v>
      </c>
      <c r="U144" s="34">
        <f t="shared" si="72"/>
        <v>0.65005417118093178</v>
      </c>
      <c r="V144" s="35"/>
      <c r="W144" s="35"/>
      <c r="X144" s="35"/>
      <c r="Y144" s="35"/>
      <c r="Z144" s="35"/>
      <c r="AA144" s="36"/>
    </row>
    <row r="145" spans="1:27" ht="16" thickBot="1" x14ac:dyDescent="0.4">
      <c r="A145" s="20">
        <f t="shared" si="74"/>
        <v>39557</v>
      </c>
      <c r="B145" s="22">
        <v>363</v>
      </c>
      <c r="C145" s="22">
        <v>458</v>
      </c>
      <c r="D145" s="22">
        <v>78</v>
      </c>
      <c r="E145" s="22">
        <v>395</v>
      </c>
      <c r="F145" s="22">
        <v>2</v>
      </c>
      <c r="G145" s="22">
        <v>9</v>
      </c>
      <c r="H145" s="22">
        <v>0</v>
      </c>
      <c r="I145" s="22">
        <v>0</v>
      </c>
      <c r="J145" s="22">
        <v>200</v>
      </c>
      <c r="K145" s="22">
        <v>422</v>
      </c>
      <c r="L145" s="22">
        <v>330</v>
      </c>
      <c r="M145" s="22">
        <v>556</v>
      </c>
      <c r="N145" s="45">
        <f t="shared" si="36"/>
        <v>565</v>
      </c>
      <c r="O145" s="3">
        <f t="shared" si="43"/>
        <v>973</v>
      </c>
      <c r="P145" s="3">
        <f t="shared" si="44"/>
        <v>889</v>
      </c>
      <c r="Q145" s="3">
        <f t="shared" si="73"/>
        <v>1840</v>
      </c>
      <c r="R145" s="34">
        <f t="shared" ref="R145:R150" si="75">(N145-N144)/N144</f>
        <v>-5.8333333333333334E-2</v>
      </c>
      <c r="S145" s="32">
        <f t="shared" ref="S145:S150" si="76">N145-N144</f>
        <v>-35</v>
      </c>
      <c r="T145" s="34">
        <f t="shared" ref="T145:T150" si="77">(N145-N93)/N93</f>
        <v>-7.0723684210526314E-2</v>
      </c>
      <c r="U145" s="34">
        <f t="shared" si="72"/>
        <v>0.63554555680539937</v>
      </c>
      <c r="V145" s="35"/>
      <c r="W145" s="35"/>
      <c r="X145" s="35"/>
      <c r="Y145" s="35"/>
      <c r="Z145" s="35"/>
      <c r="AA145" s="36"/>
    </row>
    <row r="146" spans="1:27" ht="16" thickBot="1" x14ac:dyDescent="0.4">
      <c r="A146" s="20">
        <f t="shared" si="74"/>
        <v>39564</v>
      </c>
      <c r="B146" s="22">
        <v>279</v>
      </c>
      <c r="C146" s="22">
        <v>396</v>
      </c>
      <c r="D146" s="22">
        <v>56</v>
      </c>
      <c r="E146" s="22">
        <v>382</v>
      </c>
      <c r="F146" s="22">
        <v>25</v>
      </c>
      <c r="G146" s="22">
        <v>31</v>
      </c>
      <c r="H146" s="22">
        <v>4</v>
      </c>
      <c r="I146" s="22">
        <v>14</v>
      </c>
      <c r="J146" s="22">
        <v>187</v>
      </c>
      <c r="K146" s="22">
        <v>462</v>
      </c>
      <c r="L146" s="22">
        <v>422</v>
      </c>
      <c r="M146" s="22">
        <v>680</v>
      </c>
      <c r="N146" s="45">
        <f t="shared" si="36"/>
        <v>491</v>
      </c>
      <c r="O146" s="3">
        <f t="shared" si="43"/>
        <v>973</v>
      </c>
      <c r="P146" s="3">
        <f t="shared" si="44"/>
        <v>889</v>
      </c>
      <c r="Q146" s="3">
        <f t="shared" si="73"/>
        <v>1965</v>
      </c>
      <c r="R146" s="34">
        <f t="shared" si="75"/>
        <v>-0.13097345132743363</v>
      </c>
      <c r="S146" s="32">
        <f t="shared" si="76"/>
        <v>-74</v>
      </c>
      <c r="T146" s="34">
        <f t="shared" si="77"/>
        <v>-7.3584905660377356E-2</v>
      </c>
      <c r="U146" s="34">
        <f t="shared" si="72"/>
        <v>0.55230596175478064</v>
      </c>
      <c r="V146" s="35"/>
      <c r="W146" s="35"/>
      <c r="X146" s="35"/>
      <c r="Y146" s="35"/>
      <c r="Z146" s="35"/>
      <c r="AA146" s="36"/>
    </row>
    <row r="147" spans="1:27" ht="16" thickBot="1" x14ac:dyDescent="0.4">
      <c r="A147" s="20">
        <f t="shared" si="74"/>
        <v>39571</v>
      </c>
      <c r="B147" s="22">
        <v>192</v>
      </c>
      <c r="C147" s="22">
        <v>258</v>
      </c>
      <c r="D147" s="22">
        <v>49</v>
      </c>
      <c r="E147" s="22">
        <v>245</v>
      </c>
      <c r="F147" s="22">
        <v>13</v>
      </c>
      <c r="G147" s="22">
        <v>25</v>
      </c>
      <c r="H147" s="22">
        <v>17</v>
      </c>
      <c r="I147" s="22">
        <v>34</v>
      </c>
      <c r="J147" s="22">
        <v>134</v>
      </c>
      <c r="K147" s="22">
        <v>464</v>
      </c>
      <c r="L147" s="22">
        <v>358</v>
      </c>
      <c r="M147" s="22">
        <v>544</v>
      </c>
      <c r="N147" s="45">
        <f t="shared" si="36"/>
        <v>339</v>
      </c>
      <c r="O147" s="3">
        <f t="shared" si="43"/>
        <v>763</v>
      </c>
      <c r="P147" s="3">
        <f t="shared" si="44"/>
        <v>747</v>
      </c>
      <c r="Q147" s="3">
        <f t="shared" si="73"/>
        <v>1570</v>
      </c>
      <c r="R147" s="34">
        <f t="shared" si="75"/>
        <v>-0.30957230142566189</v>
      </c>
      <c r="S147" s="32">
        <f t="shared" si="76"/>
        <v>-152</v>
      </c>
      <c r="T147" s="34">
        <f t="shared" si="77"/>
        <v>-0.43216080402010049</v>
      </c>
      <c r="U147" s="34">
        <f t="shared" ref="U147:U152" si="78">N147/P147</f>
        <v>0.45381526104417669</v>
      </c>
      <c r="V147" s="35"/>
      <c r="W147" s="35"/>
      <c r="X147" s="35"/>
      <c r="Y147" s="35"/>
      <c r="Z147" s="35"/>
      <c r="AA147" s="36"/>
    </row>
    <row r="148" spans="1:27" ht="16" thickBot="1" x14ac:dyDescent="0.4">
      <c r="A148" s="20">
        <f t="shared" si="74"/>
        <v>39578</v>
      </c>
      <c r="B148" s="22">
        <v>202</v>
      </c>
      <c r="C148" s="22">
        <v>324</v>
      </c>
      <c r="D148" s="22">
        <v>85</v>
      </c>
      <c r="E148" s="22">
        <v>209</v>
      </c>
      <c r="F148" s="22">
        <v>11</v>
      </c>
      <c r="G148" s="22">
        <v>29</v>
      </c>
      <c r="H148" s="22">
        <v>14</v>
      </c>
      <c r="I148" s="22">
        <v>28</v>
      </c>
      <c r="J148" s="22">
        <v>141</v>
      </c>
      <c r="K148" s="22">
        <v>473</v>
      </c>
      <c r="L148" s="22">
        <v>436</v>
      </c>
      <c r="M148" s="22">
        <v>702</v>
      </c>
      <c r="N148" s="45">
        <f t="shared" si="36"/>
        <v>354</v>
      </c>
      <c r="O148" s="3">
        <f t="shared" si="43"/>
        <v>889</v>
      </c>
      <c r="P148" s="3">
        <f t="shared" si="44"/>
        <v>826</v>
      </c>
      <c r="Q148" s="3">
        <f t="shared" si="73"/>
        <v>1765</v>
      </c>
      <c r="R148" s="34">
        <f t="shared" si="75"/>
        <v>4.4247787610619468E-2</v>
      </c>
      <c r="S148" s="32">
        <f t="shared" si="76"/>
        <v>15</v>
      </c>
      <c r="T148" s="34">
        <f t="shared" si="77"/>
        <v>-0.35636363636363638</v>
      </c>
      <c r="U148" s="34">
        <f t="shared" si="78"/>
        <v>0.42857142857142855</v>
      </c>
      <c r="V148" s="35"/>
      <c r="W148" s="35"/>
      <c r="X148" s="35"/>
      <c r="Y148" s="35"/>
      <c r="Z148" s="35"/>
      <c r="AA148" s="36"/>
    </row>
    <row r="149" spans="1:27" ht="16" thickBot="1" x14ac:dyDescent="0.4">
      <c r="A149" s="20">
        <f t="shared" si="74"/>
        <v>39585</v>
      </c>
      <c r="B149" s="22">
        <v>289</v>
      </c>
      <c r="C149" s="22">
        <v>452</v>
      </c>
      <c r="D149" s="22">
        <v>74</v>
      </c>
      <c r="E149" s="22">
        <v>404</v>
      </c>
      <c r="F149" s="22">
        <v>34</v>
      </c>
      <c r="G149" s="22">
        <v>37</v>
      </c>
      <c r="H149" s="22">
        <v>6</v>
      </c>
      <c r="I149" s="22">
        <v>19</v>
      </c>
      <c r="J149" s="22">
        <v>236</v>
      </c>
      <c r="K149" s="22">
        <v>558</v>
      </c>
      <c r="L149" s="22">
        <v>311</v>
      </c>
      <c r="M149" s="22">
        <v>521</v>
      </c>
      <c r="N149" s="45">
        <f t="shared" si="36"/>
        <v>559</v>
      </c>
      <c r="O149" s="3">
        <f t="shared" si="43"/>
        <v>950</v>
      </c>
      <c r="P149" s="3">
        <f t="shared" si="44"/>
        <v>1047</v>
      </c>
      <c r="Q149" s="3">
        <f t="shared" si="73"/>
        <v>1991</v>
      </c>
      <c r="R149" s="34">
        <f t="shared" si="75"/>
        <v>0.57909604519774016</v>
      </c>
      <c r="S149" s="32">
        <f t="shared" si="76"/>
        <v>205</v>
      </c>
      <c r="T149" s="34">
        <f t="shared" si="77"/>
        <v>-7.7557755775577553E-2</v>
      </c>
      <c r="U149" s="34">
        <f t="shared" si="78"/>
        <v>0.5339063992359121</v>
      </c>
      <c r="V149" s="35"/>
      <c r="W149" s="35"/>
      <c r="X149" s="35"/>
      <c r="Y149" s="35"/>
      <c r="Z149" s="35"/>
      <c r="AA149" s="36"/>
    </row>
    <row r="150" spans="1:27" ht="16" thickBot="1" x14ac:dyDescent="0.4">
      <c r="A150" s="20">
        <f t="shared" si="74"/>
        <v>39592</v>
      </c>
      <c r="B150" s="22">
        <v>351</v>
      </c>
      <c r="C150" s="22">
        <v>475</v>
      </c>
      <c r="D150" s="22">
        <v>71</v>
      </c>
      <c r="E150" s="22">
        <v>464</v>
      </c>
      <c r="F150" s="22">
        <v>16</v>
      </c>
      <c r="G150" s="22">
        <v>61</v>
      </c>
      <c r="H150" s="22">
        <v>7</v>
      </c>
      <c r="I150" s="22">
        <v>55</v>
      </c>
      <c r="J150" s="22">
        <v>161</v>
      </c>
      <c r="K150" s="22">
        <v>522</v>
      </c>
      <c r="L150" s="22">
        <v>406</v>
      </c>
      <c r="M150" s="22">
        <v>603</v>
      </c>
      <c r="N150" s="45">
        <f t="shared" si="36"/>
        <v>528</v>
      </c>
      <c r="O150" s="3">
        <f t="shared" si="43"/>
        <v>1012</v>
      </c>
      <c r="P150" s="3">
        <f t="shared" si="44"/>
        <v>1058</v>
      </c>
      <c r="Q150" s="3">
        <f t="shared" si="73"/>
        <v>2180</v>
      </c>
      <c r="R150" s="34">
        <f t="shared" si="75"/>
        <v>-5.5456171735241505E-2</v>
      </c>
      <c r="S150" s="32">
        <f t="shared" si="76"/>
        <v>-31</v>
      </c>
      <c r="T150" s="34">
        <f t="shared" si="77"/>
        <v>-0.11409395973154363</v>
      </c>
      <c r="U150" s="34">
        <f t="shared" si="78"/>
        <v>0.49905482041587901</v>
      </c>
      <c r="V150" s="35"/>
      <c r="W150" s="35"/>
      <c r="X150" s="35"/>
      <c r="Y150" s="35"/>
      <c r="Z150" s="35"/>
      <c r="AA150" s="36"/>
    </row>
    <row r="151" spans="1:27" ht="16" thickBot="1" x14ac:dyDescent="0.4">
      <c r="A151" s="20">
        <f t="shared" si="74"/>
        <v>39599</v>
      </c>
      <c r="B151" s="22">
        <v>224</v>
      </c>
      <c r="C151" s="22">
        <v>324</v>
      </c>
      <c r="D151" s="22">
        <v>74</v>
      </c>
      <c r="E151" s="22">
        <v>449</v>
      </c>
      <c r="F151" s="22">
        <v>38</v>
      </c>
      <c r="G151" s="22">
        <v>64</v>
      </c>
      <c r="H151" s="22">
        <v>8</v>
      </c>
      <c r="I151" s="22">
        <v>26</v>
      </c>
      <c r="J151" s="22">
        <v>205</v>
      </c>
      <c r="K151" s="22">
        <v>542</v>
      </c>
      <c r="L151" s="22">
        <v>367</v>
      </c>
      <c r="M151" s="22">
        <v>581</v>
      </c>
      <c r="N151" s="45">
        <f t="shared" si="36"/>
        <v>467</v>
      </c>
      <c r="O151" s="3">
        <f t="shared" si="43"/>
        <v>916</v>
      </c>
      <c r="P151" s="3">
        <f t="shared" si="44"/>
        <v>930</v>
      </c>
      <c r="Q151" s="3">
        <f t="shared" si="73"/>
        <v>1986</v>
      </c>
      <c r="R151" s="34">
        <f t="shared" ref="R151:R156" si="79">(N151-N150)/N150</f>
        <v>-0.11553030303030302</v>
      </c>
      <c r="S151" s="32">
        <f t="shared" ref="S151:S156" si="80">N151-N150</f>
        <v>-61</v>
      </c>
      <c r="T151" s="34">
        <f t="shared" ref="T151:T156" si="81">(N151-N99)/N99</f>
        <v>-0.2071307300509338</v>
      </c>
      <c r="U151" s="34">
        <f t="shared" si="78"/>
        <v>0.50215053763440864</v>
      </c>
      <c r="V151" s="35"/>
      <c r="W151" s="35"/>
      <c r="X151" s="35"/>
      <c r="Y151" s="35"/>
      <c r="Z151" s="35"/>
      <c r="AA151" s="36"/>
    </row>
    <row r="152" spans="1:27" ht="16" thickBot="1" x14ac:dyDescent="0.4">
      <c r="A152" s="20">
        <f t="shared" si="74"/>
        <v>39606</v>
      </c>
      <c r="B152" s="22">
        <v>257</v>
      </c>
      <c r="C152" s="22">
        <v>407</v>
      </c>
      <c r="D152" s="22">
        <v>71</v>
      </c>
      <c r="E152" s="22">
        <v>471</v>
      </c>
      <c r="F152" s="22">
        <v>26</v>
      </c>
      <c r="G152" s="22">
        <v>48</v>
      </c>
      <c r="H152" s="22">
        <v>7</v>
      </c>
      <c r="I152" s="22">
        <v>40</v>
      </c>
      <c r="J152" s="22">
        <v>182</v>
      </c>
      <c r="K152" s="22">
        <v>569</v>
      </c>
      <c r="L152" s="22">
        <v>450</v>
      </c>
      <c r="M152" s="22">
        <v>766</v>
      </c>
      <c r="N152" s="45">
        <f t="shared" si="36"/>
        <v>465</v>
      </c>
      <c r="O152" s="3">
        <f t="shared" si="43"/>
        <v>993</v>
      </c>
      <c r="P152" s="3">
        <f t="shared" si="44"/>
        <v>1024</v>
      </c>
      <c r="Q152" s="3">
        <f t="shared" si="73"/>
        <v>2301</v>
      </c>
      <c r="R152" s="34">
        <f t="shared" si="79"/>
        <v>-4.2826552462526769E-3</v>
      </c>
      <c r="S152" s="32">
        <f t="shared" si="80"/>
        <v>-2</v>
      </c>
      <c r="T152" s="34">
        <f t="shared" si="81"/>
        <v>-0.26190476190476192</v>
      </c>
      <c r="U152" s="34">
        <f t="shared" si="78"/>
        <v>0.4541015625</v>
      </c>
      <c r="V152" s="35"/>
      <c r="W152" s="35"/>
      <c r="X152" s="35"/>
      <c r="Y152" s="35"/>
      <c r="Z152" s="35"/>
      <c r="AA152" s="36"/>
    </row>
    <row r="153" spans="1:27" ht="16" thickBot="1" x14ac:dyDescent="0.4">
      <c r="A153" s="20">
        <f t="shared" si="74"/>
        <v>39613</v>
      </c>
      <c r="B153" s="22">
        <v>196</v>
      </c>
      <c r="C153" s="22">
        <v>265</v>
      </c>
      <c r="D153" s="22">
        <v>92</v>
      </c>
      <c r="E153" s="22">
        <v>402</v>
      </c>
      <c r="F153" s="22">
        <v>28</v>
      </c>
      <c r="G153" s="22">
        <v>67</v>
      </c>
      <c r="H153" s="22">
        <v>29</v>
      </c>
      <c r="I153" s="22">
        <v>83</v>
      </c>
      <c r="J153" s="22">
        <v>236</v>
      </c>
      <c r="K153" s="22">
        <v>510</v>
      </c>
      <c r="L153" s="22">
        <v>314</v>
      </c>
      <c r="M153" s="22">
        <v>504</v>
      </c>
      <c r="N153" s="45">
        <f t="shared" si="36"/>
        <v>460</v>
      </c>
      <c r="O153" s="3">
        <f t="shared" si="43"/>
        <v>895</v>
      </c>
      <c r="P153" s="3">
        <f t="shared" si="44"/>
        <v>842</v>
      </c>
      <c r="Q153" s="3">
        <f t="shared" si="73"/>
        <v>1831</v>
      </c>
      <c r="R153" s="34">
        <f t="shared" si="79"/>
        <v>-1.0752688172043012E-2</v>
      </c>
      <c r="S153" s="32">
        <f t="shared" si="80"/>
        <v>-5</v>
      </c>
      <c r="T153" s="34">
        <f t="shared" si="81"/>
        <v>-0.23714759535655058</v>
      </c>
      <c r="U153" s="34">
        <f t="shared" ref="U153:U158" si="82">N153/P153</f>
        <v>0.54631828978622332</v>
      </c>
      <c r="V153" s="35"/>
      <c r="W153" s="35"/>
      <c r="X153" s="35"/>
      <c r="Y153" s="35"/>
      <c r="Z153" s="35"/>
      <c r="AA153" s="36"/>
    </row>
    <row r="154" spans="1:27" ht="16" thickBot="1" x14ac:dyDescent="0.4">
      <c r="A154" s="20">
        <f t="shared" si="74"/>
        <v>39620</v>
      </c>
      <c r="B154" s="22">
        <v>116</v>
      </c>
      <c r="C154" s="22">
        <v>163</v>
      </c>
      <c r="D154" s="22">
        <v>49</v>
      </c>
      <c r="E154" s="22">
        <v>265</v>
      </c>
      <c r="F154" s="22">
        <v>34</v>
      </c>
      <c r="G154" s="22">
        <v>42</v>
      </c>
      <c r="H154" s="22">
        <v>16</v>
      </c>
      <c r="I154" s="22">
        <v>33</v>
      </c>
      <c r="J154" s="22">
        <v>341</v>
      </c>
      <c r="K154" s="22">
        <v>674</v>
      </c>
      <c r="L154" s="22">
        <v>376</v>
      </c>
      <c r="M154" s="22">
        <v>662</v>
      </c>
      <c r="N154" s="45">
        <f t="shared" si="36"/>
        <v>491</v>
      </c>
      <c r="O154" s="3">
        <f t="shared" si="43"/>
        <v>932</v>
      </c>
      <c r="P154" s="3">
        <f t="shared" si="44"/>
        <v>879</v>
      </c>
      <c r="Q154" s="3">
        <f t="shared" si="73"/>
        <v>1839</v>
      </c>
      <c r="R154" s="34">
        <f t="shared" si="79"/>
        <v>6.7391304347826086E-2</v>
      </c>
      <c r="S154" s="32">
        <f t="shared" si="80"/>
        <v>31</v>
      </c>
      <c r="T154" s="34">
        <f t="shared" si="81"/>
        <v>-0.18438538205980065</v>
      </c>
      <c r="U154" s="34">
        <f t="shared" si="82"/>
        <v>0.55858930602957901</v>
      </c>
      <c r="V154" s="35"/>
      <c r="W154" s="35"/>
      <c r="X154" s="35"/>
      <c r="Y154" s="35"/>
      <c r="Z154" s="35"/>
      <c r="AA154" s="36"/>
    </row>
    <row r="155" spans="1:27" ht="16" thickBot="1" x14ac:dyDescent="0.4">
      <c r="A155" s="20">
        <f t="shared" si="74"/>
        <v>39627</v>
      </c>
      <c r="B155" s="22">
        <v>134</v>
      </c>
      <c r="C155" s="22">
        <v>179</v>
      </c>
      <c r="D155" s="22">
        <v>52</v>
      </c>
      <c r="E155" s="22">
        <v>188</v>
      </c>
      <c r="F155" s="22">
        <v>15</v>
      </c>
      <c r="G155" s="22">
        <v>39</v>
      </c>
      <c r="H155" s="22">
        <v>26</v>
      </c>
      <c r="I155" s="22">
        <v>52</v>
      </c>
      <c r="J155" s="22">
        <v>216</v>
      </c>
      <c r="K155" s="22">
        <v>423</v>
      </c>
      <c r="L155" s="22">
        <v>264</v>
      </c>
      <c r="M155" s="22">
        <v>447</v>
      </c>
      <c r="N155" s="45">
        <f t="shared" si="36"/>
        <v>365</v>
      </c>
      <c r="O155" s="3">
        <f t="shared" si="43"/>
        <v>707</v>
      </c>
      <c r="P155" s="3">
        <f t="shared" si="44"/>
        <v>641</v>
      </c>
      <c r="Q155" s="3">
        <f t="shared" si="73"/>
        <v>1328</v>
      </c>
      <c r="R155" s="34">
        <f t="shared" si="79"/>
        <v>-0.25661914460285135</v>
      </c>
      <c r="S155" s="32">
        <f t="shared" si="80"/>
        <v>-126</v>
      </c>
      <c r="T155" s="34">
        <f t="shared" si="81"/>
        <v>-0.40456769983686786</v>
      </c>
      <c r="U155" s="34">
        <f t="shared" si="82"/>
        <v>0.56942277691107646</v>
      </c>
      <c r="V155" s="35"/>
      <c r="W155" s="35"/>
      <c r="X155" s="35"/>
      <c r="Y155" s="35"/>
      <c r="Z155" s="35"/>
      <c r="AA155" s="36"/>
    </row>
    <row r="156" spans="1:27" ht="16" thickBot="1" x14ac:dyDescent="0.4">
      <c r="A156" s="20">
        <f t="shared" si="74"/>
        <v>39634</v>
      </c>
      <c r="B156" s="22">
        <v>128</v>
      </c>
      <c r="C156" s="22">
        <v>200</v>
      </c>
      <c r="D156" s="22">
        <v>59</v>
      </c>
      <c r="E156" s="22">
        <v>163</v>
      </c>
      <c r="F156" s="22">
        <v>37</v>
      </c>
      <c r="G156" s="22">
        <v>58</v>
      </c>
      <c r="H156" s="22">
        <v>16</v>
      </c>
      <c r="I156" s="22">
        <v>40</v>
      </c>
      <c r="J156" s="22">
        <v>259</v>
      </c>
      <c r="K156" s="22">
        <v>578</v>
      </c>
      <c r="L156" s="22">
        <v>392</v>
      </c>
      <c r="M156" s="22">
        <v>854</v>
      </c>
      <c r="N156" s="45">
        <f t="shared" si="36"/>
        <v>424</v>
      </c>
      <c r="O156" s="3">
        <f t="shared" si="43"/>
        <v>891</v>
      </c>
      <c r="P156" s="3">
        <f t="shared" si="44"/>
        <v>836</v>
      </c>
      <c r="Q156" s="3">
        <f t="shared" si="73"/>
        <v>1893</v>
      </c>
      <c r="R156" s="34">
        <f t="shared" si="79"/>
        <v>0.16164383561643836</v>
      </c>
      <c r="S156" s="32">
        <f t="shared" si="80"/>
        <v>59</v>
      </c>
      <c r="T156" s="34">
        <f t="shared" si="81"/>
        <v>-0.34365325077399383</v>
      </c>
      <c r="U156" s="34">
        <f t="shared" si="82"/>
        <v>0.50717703349282295</v>
      </c>
      <c r="V156" s="35"/>
      <c r="W156" s="35"/>
      <c r="X156" s="35"/>
      <c r="Y156" s="35"/>
      <c r="Z156" s="35"/>
      <c r="AA156" s="36"/>
    </row>
    <row r="157" spans="1:27" ht="16" thickBot="1" x14ac:dyDescent="0.4">
      <c r="A157" s="20">
        <f t="shared" si="74"/>
        <v>39641</v>
      </c>
      <c r="B157" s="22">
        <v>367</v>
      </c>
      <c r="C157" s="22">
        <v>573</v>
      </c>
      <c r="D157" s="22">
        <v>90</v>
      </c>
      <c r="E157" s="22">
        <v>566</v>
      </c>
      <c r="F157" s="22">
        <v>31</v>
      </c>
      <c r="G157" s="22">
        <v>42</v>
      </c>
      <c r="H157" s="22">
        <v>11</v>
      </c>
      <c r="I157" s="22">
        <v>42</v>
      </c>
      <c r="J157" s="22">
        <v>194</v>
      </c>
      <c r="K157" s="22">
        <v>490</v>
      </c>
      <c r="L157" s="22">
        <v>396</v>
      </c>
      <c r="M157" s="22">
        <v>645</v>
      </c>
      <c r="N157" s="45">
        <f t="shared" si="36"/>
        <v>592</v>
      </c>
      <c r="O157" s="3">
        <f t="shared" si="43"/>
        <v>1089</v>
      </c>
      <c r="P157" s="3">
        <f t="shared" si="44"/>
        <v>1105</v>
      </c>
      <c r="Q157" s="3">
        <f t="shared" si="73"/>
        <v>2358</v>
      </c>
      <c r="R157" s="34">
        <f t="shared" ref="R157:R162" si="83">(N157-N156)/N156</f>
        <v>0.39622641509433965</v>
      </c>
      <c r="S157" s="32">
        <f t="shared" ref="S157:S162" si="84">N157-N156</f>
        <v>168</v>
      </c>
      <c r="T157" s="34">
        <f t="shared" ref="T157:T162" si="85">(N157-N105)/N105</f>
        <v>-0.17777777777777778</v>
      </c>
      <c r="U157" s="34">
        <f t="shared" si="82"/>
        <v>0.53574660633484161</v>
      </c>
      <c r="V157" s="35"/>
      <c r="W157" s="35"/>
      <c r="X157" s="35"/>
      <c r="Y157" s="35"/>
      <c r="Z157" s="35"/>
      <c r="AA157" s="36"/>
    </row>
    <row r="158" spans="1:27" ht="16" thickBot="1" x14ac:dyDescent="0.4">
      <c r="A158" s="20">
        <f t="shared" si="74"/>
        <v>39648</v>
      </c>
      <c r="B158" s="22">
        <v>292</v>
      </c>
      <c r="C158" s="22">
        <v>451</v>
      </c>
      <c r="D158" s="22">
        <v>91</v>
      </c>
      <c r="E158" s="22">
        <v>552</v>
      </c>
      <c r="F158" s="22">
        <v>31</v>
      </c>
      <c r="G158" s="22">
        <v>54</v>
      </c>
      <c r="H158" s="22">
        <v>7</v>
      </c>
      <c r="I158" s="22">
        <v>38</v>
      </c>
      <c r="J158" s="22">
        <v>212</v>
      </c>
      <c r="K158" s="22">
        <v>546</v>
      </c>
      <c r="L158" s="22">
        <v>394</v>
      </c>
      <c r="M158" s="22">
        <v>614</v>
      </c>
      <c r="N158" s="45">
        <f t="shared" si="36"/>
        <v>535</v>
      </c>
      <c r="O158" s="3">
        <f t="shared" si="43"/>
        <v>1027</v>
      </c>
      <c r="P158" s="3">
        <f t="shared" si="44"/>
        <v>1051</v>
      </c>
      <c r="Q158" s="3">
        <f t="shared" si="73"/>
        <v>2255</v>
      </c>
      <c r="R158" s="34">
        <f t="shared" si="83"/>
        <v>-9.6283783783783786E-2</v>
      </c>
      <c r="S158" s="32">
        <f t="shared" si="84"/>
        <v>-57</v>
      </c>
      <c r="T158" s="34">
        <f t="shared" si="85"/>
        <v>-2.9038112522686024E-2</v>
      </c>
      <c r="U158" s="34">
        <f t="shared" si="82"/>
        <v>0.50903901046622269</v>
      </c>
      <c r="V158" s="35"/>
      <c r="W158" s="35"/>
      <c r="X158" s="35"/>
      <c r="Y158" s="35"/>
      <c r="Z158" s="35"/>
      <c r="AA158" s="36"/>
    </row>
    <row r="159" spans="1:27" ht="16" thickBot="1" x14ac:dyDescent="0.4">
      <c r="A159" s="20">
        <f t="shared" si="74"/>
        <v>39655</v>
      </c>
      <c r="B159" s="22">
        <v>325</v>
      </c>
      <c r="C159" s="22">
        <v>507</v>
      </c>
      <c r="D159" s="22">
        <v>72</v>
      </c>
      <c r="E159" s="22">
        <v>649</v>
      </c>
      <c r="F159" s="22">
        <v>33</v>
      </c>
      <c r="G159" s="22">
        <v>41</v>
      </c>
      <c r="H159" s="22">
        <v>10</v>
      </c>
      <c r="I159" s="22">
        <v>63</v>
      </c>
      <c r="J159" s="22">
        <v>162</v>
      </c>
      <c r="K159" s="22">
        <v>466</v>
      </c>
      <c r="L159" s="22">
        <v>390</v>
      </c>
      <c r="M159" s="22">
        <v>623</v>
      </c>
      <c r="N159" s="45">
        <f t="shared" si="36"/>
        <v>520</v>
      </c>
      <c r="O159" s="3">
        <f t="shared" si="43"/>
        <v>992</v>
      </c>
      <c r="P159" s="3">
        <f t="shared" si="44"/>
        <v>1014</v>
      </c>
      <c r="Q159" s="3">
        <f t="shared" si="73"/>
        <v>2349</v>
      </c>
      <c r="R159" s="34">
        <f t="shared" si="83"/>
        <v>-2.8037383177570093E-2</v>
      </c>
      <c r="S159" s="32">
        <f t="shared" si="84"/>
        <v>-15</v>
      </c>
      <c r="T159" s="34">
        <f t="shared" si="85"/>
        <v>-0.15032679738562091</v>
      </c>
      <c r="U159" s="34">
        <f t="shared" ref="U159:U164" si="86">N159/P159</f>
        <v>0.51282051282051277</v>
      </c>
      <c r="V159" s="35"/>
      <c r="W159" s="35"/>
      <c r="X159" s="35"/>
      <c r="Y159" s="35"/>
      <c r="Z159" s="35"/>
      <c r="AA159" s="36"/>
    </row>
    <row r="160" spans="1:27" ht="16" thickBot="1" x14ac:dyDescent="0.4">
      <c r="A160" s="20">
        <f t="shared" si="74"/>
        <v>39662</v>
      </c>
      <c r="B160" s="22">
        <v>301</v>
      </c>
      <c r="C160" s="22">
        <v>457</v>
      </c>
      <c r="D160" s="22">
        <v>63</v>
      </c>
      <c r="E160" s="22">
        <v>598</v>
      </c>
      <c r="F160" s="22">
        <v>32</v>
      </c>
      <c r="G160" s="22">
        <v>45</v>
      </c>
      <c r="H160" s="22">
        <v>14</v>
      </c>
      <c r="I160" s="22">
        <v>52</v>
      </c>
      <c r="J160" s="22">
        <v>178</v>
      </c>
      <c r="K160" s="22">
        <v>553</v>
      </c>
      <c r="L160" s="22">
        <v>408</v>
      </c>
      <c r="M160" s="22">
        <v>576</v>
      </c>
      <c r="N160" s="45">
        <f t="shared" si="36"/>
        <v>511</v>
      </c>
      <c r="O160" s="3">
        <f t="shared" si="43"/>
        <v>996</v>
      </c>
      <c r="P160" s="3">
        <f t="shared" si="44"/>
        <v>1055</v>
      </c>
      <c r="Q160" s="3">
        <f t="shared" si="73"/>
        <v>2281</v>
      </c>
      <c r="R160" s="34">
        <f t="shared" si="83"/>
        <v>-1.7307692307692309E-2</v>
      </c>
      <c r="S160" s="32">
        <f t="shared" si="84"/>
        <v>-9</v>
      </c>
      <c r="T160" s="34">
        <f t="shared" si="85"/>
        <v>0.15873015873015872</v>
      </c>
      <c r="U160" s="34">
        <f t="shared" si="86"/>
        <v>0.48436018957345972</v>
      </c>
      <c r="V160" s="35"/>
      <c r="W160" s="35"/>
      <c r="X160" s="35"/>
      <c r="Y160" s="35"/>
      <c r="Z160" s="35"/>
      <c r="AA160" s="36"/>
    </row>
    <row r="161" spans="1:27" ht="16" thickBot="1" x14ac:dyDescent="0.4">
      <c r="A161" s="20">
        <f t="shared" si="74"/>
        <v>39669</v>
      </c>
      <c r="B161" s="22">
        <v>182</v>
      </c>
      <c r="C161" s="22">
        <v>306</v>
      </c>
      <c r="D161" s="22">
        <v>89</v>
      </c>
      <c r="E161" s="22">
        <v>537</v>
      </c>
      <c r="F161" s="22">
        <v>38</v>
      </c>
      <c r="G161" s="22">
        <v>51</v>
      </c>
      <c r="H161" s="22">
        <v>7</v>
      </c>
      <c r="I161" s="22">
        <v>70</v>
      </c>
      <c r="J161" s="22">
        <v>184</v>
      </c>
      <c r="K161" s="22">
        <v>492</v>
      </c>
      <c r="L161" s="22">
        <v>362</v>
      </c>
      <c r="M161" s="22">
        <v>637</v>
      </c>
      <c r="N161" s="45">
        <f t="shared" si="36"/>
        <v>404</v>
      </c>
      <c r="O161" s="3">
        <f t="shared" si="43"/>
        <v>862</v>
      </c>
      <c r="P161" s="3">
        <f t="shared" si="44"/>
        <v>849</v>
      </c>
      <c r="Q161" s="3">
        <f t="shared" si="73"/>
        <v>2093</v>
      </c>
      <c r="R161" s="34">
        <f t="shared" si="83"/>
        <v>-0.20939334637964774</v>
      </c>
      <c r="S161" s="32">
        <f t="shared" si="84"/>
        <v>-107</v>
      </c>
      <c r="T161" s="34">
        <f t="shared" si="85"/>
        <v>-3.5799522673031027E-2</v>
      </c>
      <c r="U161" s="34">
        <f t="shared" si="86"/>
        <v>0.47585394581861012</v>
      </c>
      <c r="V161" s="35"/>
      <c r="W161" s="35"/>
      <c r="X161" s="35"/>
      <c r="Y161" s="35"/>
      <c r="Z161" s="35"/>
      <c r="AA161" s="36"/>
    </row>
    <row r="162" spans="1:27" ht="16" thickBot="1" x14ac:dyDescent="0.4">
      <c r="A162" s="20">
        <f t="shared" si="74"/>
        <v>39676</v>
      </c>
      <c r="B162" s="22">
        <v>220</v>
      </c>
      <c r="C162" s="22">
        <v>358</v>
      </c>
      <c r="D162" s="22">
        <v>102</v>
      </c>
      <c r="E162" s="22">
        <v>471</v>
      </c>
      <c r="F162" s="22">
        <v>34</v>
      </c>
      <c r="G162" s="22">
        <v>43</v>
      </c>
      <c r="H162" s="22">
        <v>10</v>
      </c>
      <c r="I162" s="22">
        <v>34</v>
      </c>
      <c r="J162" s="22">
        <v>348</v>
      </c>
      <c r="K162" s="22">
        <v>634</v>
      </c>
      <c r="L162" s="22">
        <v>403</v>
      </c>
      <c r="M162" s="22">
        <v>627</v>
      </c>
      <c r="N162" s="45">
        <f t="shared" si="36"/>
        <v>602</v>
      </c>
      <c r="O162" s="3">
        <f t="shared" si="43"/>
        <v>1117</v>
      </c>
      <c r="P162" s="3">
        <f t="shared" si="44"/>
        <v>1035</v>
      </c>
      <c r="Q162" s="3">
        <f t="shared" si="73"/>
        <v>2167</v>
      </c>
      <c r="R162" s="34">
        <f t="shared" si="83"/>
        <v>0.49009900990099009</v>
      </c>
      <c r="S162" s="32">
        <f t="shared" si="84"/>
        <v>198</v>
      </c>
      <c r="T162" s="34">
        <f t="shared" si="85"/>
        <v>1.026936026936027</v>
      </c>
      <c r="U162" s="34">
        <f t="shared" si="86"/>
        <v>0.58164251207729467</v>
      </c>
      <c r="V162" s="35"/>
      <c r="W162" s="35"/>
      <c r="X162" s="35"/>
      <c r="Y162" s="35"/>
      <c r="Z162" s="35"/>
      <c r="AA162" s="36"/>
    </row>
    <row r="163" spans="1:27" ht="16" thickBot="1" x14ac:dyDescent="0.4">
      <c r="A163" s="20">
        <f t="shared" si="74"/>
        <v>39683</v>
      </c>
      <c r="B163" s="22">
        <v>162</v>
      </c>
      <c r="C163" s="22">
        <v>296</v>
      </c>
      <c r="D163" s="22">
        <v>91</v>
      </c>
      <c r="E163" s="22">
        <v>516</v>
      </c>
      <c r="F163" s="22">
        <v>71</v>
      </c>
      <c r="G163" s="22">
        <v>75</v>
      </c>
      <c r="H163" s="22">
        <v>7</v>
      </c>
      <c r="I163" s="22">
        <v>36</v>
      </c>
      <c r="J163" s="22">
        <v>223</v>
      </c>
      <c r="K163" s="22">
        <v>491</v>
      </c>
      <c r="L163" s="22">
        <v>326</v>
      </c>
      <c r="M163" s="22">
        <v>621</v>
      </c>
      <c r="N163" s="45">
        <f t="shared" si="36"/>
        <v>456</v>
      </c>
      <c r="O163" s="3">
        <f t="shared" si="43"/>
        <v>880</v>
      </c>
      <c r="P163" s="3">
        <f t="shared" si="44"/>
        <v>862</v>
      </c>
      <c r="Q163" s="3">
        <f t="shared" si="73"/>
        <v>2035</v>
      </c>
      <c r="R163" s="34">
        <f t="shared" ref="R163:R168" si="87">(N163-N162)/N162</f>
        <v>-0.2425249169435216</v>
      </c>
      <c r="S163" s="32">
        <f t="shared" ref="S163:S168" si="88">N163-N162</f>
        <v>-146</v>
      </c>
      <c r="T163" s="34">
        <f t="shared" ref="T163:T168" si="89">(N163-N111)/N111</f>
        <v>0.49508196721311476</v>
      </c>
      <c r="U163" s="34">
        <f t="shared" si="86"/>
        <v>0.52900232018561488</v>
      </c>
      <c r="V163" s="35"/>
      <c r="W163" s="35"/>
      <c r="X163" s="35"/>
      <c r="Y163" s="35"/>
      <c r="Z163" s="35"/>
      <c r="AA163" s="36"/>
    </row>
    <row r="164" spans="1:27" ht="16" thickBot="1" x14ac:dyDescent="0.4">
      <c r="A164" s="20">
        <f t="shared" si="74"/>
        <v>39690</v>
      </c>
      <c r="B164" s="22">
        <v>118</v>
      </c>
      <c r="C164" s="22">
        <v>276</v>
      </c>
      <c r="D164" s="22">
        <v>100</v>
      </c>
      <c r="E164" s="22">
        <v>390</v>
      </c>
      <c r="F164" s="22">
        <v>36</v>
      </c>
      <c r="G164" s="22">
        <v>49</v>
      </c>
      <c r="H164" s="22">
        <v>15</v>
      </c>
      <c r="I164" s="22">
        <v>73</v>
      </c>
      <c r="J164" s="22">
        <v>168</v>
      </c>
      <c r="K164" s="22">
        <v>477</v>
      </c>
      <c r="L164" s="22">
        <v>288</v>
      </c>
      <c r="M164" s="22">
        <v>566</v>
      </c>
      <c r="N164" s="45">
        <f t="shared" si="36"/>
        <v>322</v>
      </c>
      <c r="O164" s="3">
        <f t="shared" si="43"/>
        <v>725</v>
      </c>
      <c r="P164" s="3">
        <f t="shared" si="44"/>
        <v>802</v>
      </c>
      <c r="Q164" s="3">
        <f t="shared" si="73"/>
        <v>1831</v>
      </c>
      <c r="R164" s="34">
        <f t="shared" si="87"/>
        <v>-0.29385964912280704</v>
      </c>
      <c r="S164" s="32">
        <f t="shared" si="88"/>
        <v>-134</v>
      </c>
      <c r="T164" s="34">
        <f t="shared" si="89"/>
        <v>0.29317269076305219</v>
      </c>
      <c r="U164" s="34">
        <f t="shared" si="86"/>
        <v>0.40149625935162092</v>
      </c>
      <c r="V164" s="35"/>
      <c r="W164" s="35"/>
      <c r="X164" s="35"/>
      <c r="Y164" s="35"/>
      <c r="Z164" s="35"/>
      <c r="AA164" s="36"/>
    </row>
    <row r="165" spans="1:27" ht="16" thickBot="1" x14ac:dyDescent="0.4">
      <c r="A165" s="20">
        <f t="shared" si="74"/>
        <v>39697</v>
      </c>
      <c r="B165" s="22">
        <v>134</v>
      </c>
      <c r="C165" s="22">
        <v>267</v>
      </c>
      <c r="D165" s="22">
        <v>98</v>
      </c>
      <c r="E165" s="22">
        <v>524</v>
      </c>
      <c r="F165" s="22">
        <v>16</v>
      </c>
      <c r="G165" s="22">
        <v>29</v>
      </c>
      <c r="H165" s="22">
        <v>0</v>
      </c>
      <c r="I165" s="22">
        <v>13</v>
      </c>
      <c r="J165" s="22">
        <v>190</v>
      </c>
      <c r="K165" s="22">
        <v>499</v>
      </c>
      <c r="L165" s="22">
        <v>393</v>
      </c>
      <c r="M165" s="22">
        <v>660</v>
      </c>
      <c r="N165" s="45">
        <f t="shared" si="36"/>
        <v>340</v>
      </c>
      <c r="O165" s="3">
        <f t="shared" si="43"/>
        <v>831</v>
      </c>
      <c r="P165" s="3">
        <f t="shared" si="44"/>
        <v>795</v>
      </c>
      <c r="Q165" s="3">
        <f t="shared" si="73"/>
        <v>1992</v>
      </c>
      <c r="R165" s="34">
        <f t="shared" si="87"/>
        <v>5.5900621118012424E-2</v>
      </c>
      <c r="S165" s="32">
        <f t="shared" si="88"/>
        <v>18</v>
      </c>
      <c r="T165" s="34">
        <f t="shared" si="89"/>
        <v>8.9743589743589744E-2</v>
      </c>
      <c r="U165" s="34">
        <f t="shared" ref="U165:U170" si="90">N165/P165</f>
        <v>0.42767295597484278</v>
      </c>
      <c r="V165" s="35"/>
      <c r="W165" s="35"/>
      <c r="X165" s="35"/>
      <c r="Y165" s="35"/>
      <c r="Z165" s="35"/>
      <c r="AA165" s="36"/>
    </row>
    <row r="166" spans="1:27" ht="16" thickBot="1" x14ac:dyDescent="0.4">
      <c r="A166" s="20">
        <f t="shared" si="74"/>
        <v>39704</v>
      </c>
      <c r="B166" s="22">
        <v>113</v>
      </c>
      <c r="C166" s="22">
        <v>285</v>
      </c>
      <c r="D166" s="22">
        <v>102</v>
      </c>
      <c r="E166" s="22">
        <v>447</v>
      </c>
      <c r="F166" s="22">
        <v>44</v>
      </c>
      <c r="G166" s="22">
        <v>64</v>
      </c>
      <c r="H166" s="22">
        <v>12</v>
      </c>
      <c r="I166" s="22">
        <v>35</v>
      </c>
      <c r="J166" s="22">
        <v>189</v>
      </c>
      <c r="K166" s="22">
        <v>565</v>
      </c>
      <c r="L166" s="22">
        <v>417</v>
      </c>
      <c r="M166" s="22">
        <v>629</v>
      </c>
      <c r="N166" s="45">
        <f t="shared" si="36"/>
        <v>346</v>
      </c>
      <c r="O166" s="3">
        <f t="shared" si="43"/>
        <v>877</v>
      </c>
      <c r="P166" s="3">
        <f t="shared" si="44"/>
        <v>914</v>
      </c>
      <c r="Q166" s="3">
        <f t="shared" si="73"/>
        <v>2025</v>
      </c>
      <c r="R166" s="34">
        <f t="shared" si="87"/>
        <v>1.7647058823529412E-2</v>
      </c>
      <c r="S166" s="32">
        <f t="shared" si="88"/>
        <v>6</v>
      </c>
      <c r="T166" s="34">
        <f t="shared" si="89"/>
        <v>-4.6831955922865015E-2</v>
      </c>
      <c r="U166" s="34">
        <f t="shared" si="90"/>
        <v>0.37855579868708972</v>
      </c>
      <c r="V166" s="35"/>
      <c r="W166" s="35"/>
      <c r="X166" s="35"/>
      <c r="Y166" s="35"/>
      <c r="Z166" s="35"/>
      <c r="AA166" s="36"/>
    </row>
    <row r="167" spans="1:27" ht="16" thickBot="1" x14ac:dyDescent="0.4">
      <c r="A167" s="20">
        <f t="shared" si="74"/>
        <v>39711</v>
      </c>
      <c r="B167" s="22">
        <v>91</v>
      </c>
      <c r="C167" s="22">
        <v>210</v>
      </c>
      <c r="D167" s="22">
        <v>75</v>
      </c>
      <c r="E167" s="22">
        <v>317</v>
      </c>
      <c r="F167" s="22">
        <v>37</v>
      </c>
      <c r="G167" s="22">
        <v>47</v>
      </c>
      <c r="H167" s="22">
        <v>3</v>
      </c>
      <c r="I167" s="22">
        <v>24</v>
      </c>
      <c r="J167" s="22">
        <v>249</v>
      </c>
      <c r="K167" s="22">
        <v>580</v>
      </c>
      <c r="L167" s="22">
        <v>450</v>
      </c>
      <c r="M167" s="22">
        <v>729</v>
      </c>
      <c r="N167" s="45">
        <f t="shared" si="36"/>
        <v>377</v>
      </c>
      <c r="O167" s="3">
        <f t="shared" si="43"/>
        <v>905</v>
      </c>
      <c r="P167" s="3">
        <f t="shared" si="44"/>
        <v>837</v>
      </c>
      <c r="Q167" s="3">
        <f t="shared" si="73"/>
        <v>1907</v>
      </c>
      <c r="R167" s="34">
        <f t="shared" si="87"/>
        <v>8.9595375722543349E-2</v>
      </c>
      <c r="S167" s="32">
        <f t="shared" si="88"/>
        <v>31</v>
      </c>
      <c r="T167" s="34">
        <f t="shared" si="89"/>
        <v>-0.11502347417840375</v>
      </c>
      <c r="U167" s="34">
        <f t="shared" si="90"/>
        <v>0.45041816009557945</v>
      </c>
      <c r="V167" s="35"/>
      <c r="W167" s="35"/>
      <c r="X167" s="35"/>
      <c r="Y167" s="35"/>
      <c r="Z167" s="35"/>
      <c r="AA167" s="36"/>
    </row>
    <row r="168" spans="1:27" ht="16" thickBot="1" x14ac:dyDescent="0.4">
      <c r="A168" s="20">
        <f t="shared" si="74"/>
        <v>39718</v>
      </c>
      <c r="B168" s="22">
        <v>112</v>
      </c>
      <c r="C168" s="22">
        <v>303</v>
      </c>
      <c r="D168" s="22">
        <v>129</v>
      </c>
      <c r="E168" s="22">
        <v>277</v>
      </c>
      <c r="F168" s="22">
        <v>61</v>
      </c>
      <c r="G168" s="22">
        <v>78</v>
      </c>
      <c r="H168" s="22">
        <v>10</v>
      </c>
      <c r="I168" s="22">
        <v>43</v>
      </c>
      <c r="J168" s="22">
        <v>215</v>
      </c>
      <c r="K168" s="22">
        <v>536</v>
      </c>
      <c r="L168" s="22">
        <v>366</v>
      </c>
      <c r="M168" s="22">
        <v>582</v>
      </c>
      <c r="N168" s="45">
        <f t="shared" si="36"/>
        <v>388</v>
      </c>
      <c r="O168" s="3">
        <f t="shared" si="43"/>
        <v>893</v>
      </c>
      <c r="P168" s="3">
        <f t="shared" si="44"/>
        <v>917</v>
      </c>
      <c r="Q168" s="3">
        <f t="shared" si="73"/>
        <v>1819</v>
      </c>
      <c r="R168" s="34">
        <f t="shared" si="87"/>
        <v>2.9177718832891247E-2</v>
      </c>
      <c r="S168" s="32">
        <f t="shared" si="88"/>
        <v>11</v>
      </c>
      <c r="T168" s="34">
        <f t="shared" si="89"/>
        <v>-0.25670498084291188</v>
      </c>
      <c r="U168" s="34">
        <f t="shared" si="90"/>
        <v>0.42311886586695746</v>
      </c>
      <c r="V168" s="35"/>
      <c r="W168" s="35"/>
      <c r="X168" s="35"/>
      <c r="Y168" s="35"/>
      <c r="Z168" s="35"/>
      <c r="AA168" s="36"/>
    </row>
    <row r="169" spans="1:27" ht="16" thickBot="1" x14ac:dyDescent="0.4">
      <c r="A169" s="20">
        <f t="shared" si="74"/>
        <v>39725</v>
      </c>
      <c r="B169" s="22">
        <v>112</v>
      </c>
      <c r="C169" s="22">
        <v>322</v>
      </c>
      <c r="D169" s="22">
        <v>169</v>
      </c>
      <c r="E169" s="22">
        <v>445</v>
      </c>
      <c r="F169" s="22">
        <v>38</v>
      </c>
      <c r="G169" s="22">
        <v>53</v>
      </c>
      <c r="H169" s="22">
        <v>2</v>
      </c>
      <c r="I169" s="22">
        <v>54</v>
      </c>
      <c r="J169" s="22">
        <v>169</v>
      </c>
      <c r="K169" s="22">
        <v>620</v>
      </c>
      <c r="L169" s="22">
        <v>349</v>
      </c>
      <c r="M169" s="22">
        <v>580</v>
      </c>
      <c r="N169" s="45">
        <f t="shared" si="36"/>
        <v>319</v>
      </c>
      <c r="O169" s="3">
        <f t="shared" si="43"/>
        <v>839</v>
      </c>
      <c r="P169" s="3">
        <f t="shared" si="44"/>
        <v>995</v>
      </c>
      <c r="Q169" s="3">
        <f t="shared" si="73"/>
        <v>2074</v>
      </c>
      <c r="R169" s="34">
        <f t="shared" ref="R169:R174" si="91">(N169-N168)/N168</f>
        <v>-0.17783505154639176</v>
      </c>
      <c r="S169" s="32">
        <f t="shared" ref="S169:S174" si="92">N169-N168</f>
        <v>-69</v>
      </c>
      <c r="T169" s="34">
        <f t="shared" ref="T169:T174" si="93">(N169-N117)/N117</f>
        <v>-0.3708086785009862</v>
      </c>
      <c r="U169" s="34">
        <f t="shared" si="90"/>
        <v>0.32060301507537686</v>
      </c>
      <c r="V169" s="35"/>
      <c r="W169" s="35"/>
      <c r="X169" s="35"/>
      <c r="Y169" s="35"/>
      <c r="Z169" s="35"/>
      <c r="AA169" s="36"/>
    </row>
    <row r="170" spans="1:27" ht="16" thickBot="1" x14ac:dyDescent="0.4">
      <c r="A170" s="20">
        <f t="shared" si="74"/>
        <v>39732</v>
      </c>
      <c r="B170" s="22">
        <v>63</v>
      </c>
      <c r="C170" s="22">
        <v>233</v>
      </c>
      <c r="D170" s="22">
        <v>173</v>
      </c>
      <c r="E170" s="22">
        <v>344</v>
      </c>
      <c r="F170" s="22">
        <v>51</v>
      </c>
      <c r="G170" s="22">
        <v>69</v>
      </c>
      <c r="H170" s="22">
        <v>12</v>
      </c>
      <c r="I170" s="22">
        <v>29</v>
      </c>
      <c r="J170" s="22">
        <v>192</v>
      </c>
      <c r="K170" s="22">
        <v>490</v>
      </c>
      <c r="L170" s="22">
        <v>386</v>
      </c>
      <c r="M170" s="22">
        <v>647</v>
      </c>
      <c r="N170" s="45">
        <f t="shared" si="36"/>
        <v>306</v>
      </c>
      <c r="O170" s="3">
        <f t="shared" si="43"/>
        <v>877</v>
      </c>
      <c r="P170" s="3">
        <f t="shared" si="44"/>
        <v>792</v>
      </c>
      <c r="Q170" s="3">
        <f t="shared" si="73"/>
        <v>1812</v>
      </c>
      <c r="R170" s="34">
        <f t="shared" si="91"/>
        <v>-4.0752351097178681E-2</v>
      </c>
      <c r="S170" s="32">
        <f t="shared" si="92"/>
        <v>-13</v>
      </c>
      <c r="T170" s="34">
        <f t="shared" si="93"/>
        <v>-0.41935483870967744</v>
      </c>
      <c r="U170" s="34">
        <f t="shared" si="90"/>
        <v>0.38636363636363635</v>
      </c>
      <c r="V170" s="35"/>
      <c r="W170" s="35"/>
      <c r="X170" s="35"/>
      <c r="Y170" s="35"/>
      <c r="Z170" s="35"/>
      <c r="AA170" s="36"/>
    </row>
    <row r="171" spans="1:27" ht="16" thickBot="1" x14ac:dyDescent="0.4">
      <c r="A171" s="20">
        <f t="shared" si="74"/>
        <v>39739</v>
      </c>
      <c r="B171" s="22">
        <v>119</v>
      </c>
      <c r="C171" s="22">
        <v>279</v>
      </c>
      <c r="D171" s="22">
        <v>105</v>
      </c>
      <c r="E171" s="22">
        <v>383</v>
      </c>
      <c r="F171" s="22">
        <v>37</v>
      </c>
      <c r="G171" s="22">
        <v>44</v>
      </c>
      <c r="H171" s="22">
        <v>5</v>
      </c>
      <c r="I171" s="22">
        <v>48</v>
      </c>
      <c r="J171" s="22">
        <v>188</v>
      </c>
      <c r="K171" s="22">
        <v>560</v>
      </c>
      <c r="L171" s="22">
        <v>376</v>
      </c>
      <c r="M171" s="22">
        <v>698</v>
      </c>
      <c r="N171" s="45">
        <f t="shared" si="36"/>
        <v>344</v>
      </c>
      <c r="O171" s="3">
        <f t="shared" si="43"/>
        <v>830</v>
      </c>
      <c r="P171" s="3">
        <f t="shared" si="44"/>
        <v>883</v>
      </c>
      <c r="Q171" s="3">
        <f t="shared" si="73"/>
        <v>2012</v>
      </c>
      <c r="R171" s="34">
        <f t="shared" si="91"/>
        <v>0.12418300653594772</v>
      </c>
      <c r="S171" s="32">
        <f t="shared" si="92"/>
        <v>38</v>
      </c>
      <c r="T171" s="34">
        <f t="shared" si="93"/>
        <v>-0.39007092198581561</v>
      </c>
      <c r="U171" s="34">
        <f t="shared" ref="U171:U176" si="94">N171/P171</f>
        <v>0.38958097395243491</v>
      </c>
      <c r="V171" s="35"/>
      <c r="W171" s="35"/>
      <c r="X171" s="35"/>
      <c r="Y171" s="35"/>
      <c r="Z171" s="35"/>
      <c r="AA171" s="36"/>
    </row>
    <row r="172" spans="1:27" ht="16" thickBot="1" x14ac:dyDescent="0.4">
      <c r="A172" s="20">
        <f t="shared" si="74"/>
        <v>39746</v>
      </c>
      <c r="B172" s="22">
        <v>101</v>
      </c>
      <c r="C172" s="22">
        <v>236</v>
      </c>
      <c r="D172" s="22">
        <v>119</v>
      </c>
      <c r="E172" s="22">
        <v>439</v>
      </c>
      <c r="F172" s="22">
        <v>39</v>
      </c>
      <c r="G172" s="22">
        <v>58</v>
      </c>
      <c r="H172" s="22">
        <v>16</v>
      </c>
      <c r="I172" s="22">
        <v>42</v>
      </c>
      <c r="J172" s="22">
        <v>230</v>
      </c>
      <c r="K172" s="22">
        <v>564</v>
      </c>
      <c r="L172" s="22">
        <v>399</v>
      </c>
      <c r="M172" s="22">
        <v>693</v>
      </c>
      <c r="N172" s="45">
        <f t="shared" si="36"/>
        <v>370</v>
      </c>
      <c r="O172" s="3">
        <f t="shared" si="43"/>
        <v>904</v>
      </c>
      <c r="P172" s="3">
        <f t="shared" si="44"/>
        <v>858</v>
      </c>
      <c r="Q172" s="3">
        <f t="shared" si="73"/>
        <v>2032</v>
      </c>
      <c r="R172" s="34">
        <f t="shared" si="91"/>
        <v>7.5581395348837205E-2</v>
      </c>
      <c r="S172" s="32">
        <f t="shared" si="92"/>
        <v>26</v>
      </c>
      <c r="T172" s="34">
        <f t="shared" si="93"/>
        <v>-0.56004756242568376</v>
      </c>
      <c r="U172" s="34">
        <f t="shared" si="94"/>
        <v>0.43123543123543123</v>
      </c>
      <c r="V172" s="35"/>
      <c r="W172" s="35"/>
      <c r="X172" s="35"/>
      <c r="Y172" s="35"/>
      <c r="Z172" s="35"/>
      <c r="AA172" s="36"/>
    </row>
    <row r="173" spans="1:27" ht="16" thickBot="1" x14ac:dyDescent="0.4">
      <c r="A173" s="20">
        <f t="shared" si="74"/>
        <v>39753</v>
      </c>
      <c r="B173" s="22">
        <v>85</v>
      </c>
      <c r="C173" s="22">
        <v>226</v>
      </c>
      <c r="D173" s="22">
        <v>89</v>
      </c>
      <c r="E173" s="22">
        <v>370</v>
      </c>
      <c r="F173" s="22">
        <v>41</v>
      </c>
      <c r="G173" s="22">
        <v>52</v>
      </c>
      <c r="H173" s="22">
        <v>4</v>
      </c>
      <c r="I173" s="22">
        <v>40</v>
      </c>
      <c r="J173" s="22">
        <v>231</v>
      </c>
      <c r="K173" s="22">
        <v>615</v>
      </c>
      <c r="L173" s="22">
        <v>367</v>
      </c>
      <c r="M173" s="22">
        <v>715</v>
      </c>
      <c r="N173" s="45">
        <f t="shared" si="36"/>
        <v>357</v>
      </c>
      <c r="O173" s="3">
        <f t="shared" ref="O173:O202" si="95">SUM(B173,D173,F173,H173,J173,L173)</f>
        <v>817</v>
      </c>
      <c r="P173" s="3">
        <f t="shared" ref="P173:P202" si="96">SUM(C173,G173,K173)</f>
        <v>893</v>
      </c>
      <c r="Q173" s="3">
        <f t="shared" ref="Q173:Q202" si="97">SUM(C173,E173,G173,I173,K173,M173)</f>
        <v>2018</v>
      </c>
      <c r="R173" s="34">
        <f t="shared" si="91"/>
        <v>-3.5135135135135137E-2</v>
      </c>
      <c r="S173" s="32">
        <f t="shared" si="92"/>
        <v>-13</v>
      </c>
      <c r="T173" s="34">
        <f t="shared" si="93"/>
        <v>-0.44736842105263158</v>
      </c>
      <c r="U173" s="34">
        <f t="shared" si="94"/>
        <v>0.39977603583426652</v>
      </c>
      <c r="V173" s="35"/>
      <c r="W173" s="35"/>
      <c r="X173" s="35"/>
      <c r="Y173" s="35"/>
      <c r="Z173" s="35"/>
      <c r="AA173" s="36"/>
    </row>
    <row r="174" spans="1:27" ht="16" thickBot="1" x14ac:dyDescent="0.4">
      <c r="A174" s="20">
        <f t="shared" si="74"/>
        <v>39760</v>
      </c>
      <c r="B174" s="22">
        <v>102</v>
      </c>
      <c r="C174" s="22">
        <v>177</v>
      </c>
      <c r="D174" s="22">
        <v>168</v>
      </c>
      <c r="E174" s="22">
        <v>561</v>
      </c>
      <c r="F174" s="22">
        <v>43</v>
      </c>
      <c r="G174" s="22">
        <v>70</v>
      </c>
      <c r="H174" s="22">
        <v>13</v>
      </c>
      <c r="I174" s="22">
        <v>54</v>
      </c>
      <c r="J174" s="22">
        <v>265</v>
      </c>
      <c r="K174" s="22">
        <v>660</v>
      </c>
      <c r="L174" s="22">
        <v>357</v>
      </c>
      <c r="M174" s="22">
        <v>620</v>
      </c>
      <c r="N174" s="45">
        <f t="shared" si="36"/>
        <v>410</v>
      </c>
      <c r="O174" s="3">
        <f t="shared" si="95"/>
        <v>948</v>
      </c>
      <c r="P174" s="3">
        <f t="shared" si="96"/>
        <v>907</v>
      </c>
      <c r="Q174" s="3">
        <f t="shared" si="97"/>
        <v>2142</v>
      </c>
      <c r="R174" s="34">
        <f t="shared" si="91"/>
        <v>0.1484593837535014</v>
      </c>
      <c r="S174" s="32">
        <f t="shared" si="92"/>
        <v>53</v>
      </c>
      <c r="T174" s="34">
        <f t="shared" si="93"/>
        <v>-0.35534591194968551</v>
      </c>
      <c r="U174" s="34">
        <f t="shared" si="94"/>
        <v>0.45203969128996691</v>
      </c>
      <c r="V174" s="35"/>
      <c r="W174" s="35"/>
      <c r="X174" s="35"/>
      <c r="Y174" s="35"/>
      <c r="Z174" s="35"/>
      <c r="AA174" s="36"/>
    </row>
    <row r="175" spans="1:27" ht="16" thickBot="1" x14ac:dyDescent="0.4">
      <c r="A175" s="20">
        <f t="shared" si="74"/>
        <v>39767</v>
      </c>
      <c r="B175" s="22">
        <v>134</v>
      </c>
      <c r="C175" s="22">
        <v>233</v>
      </c>
      <c r="D175" s="22">
        <v>66</v>
      </c>
      <c r="E175" s="22">
        <v>455</v>
      </c>
      <c r="F175" s="22">
        <v>49</v>
      </c>
      <c r="G175" s="22">
        <v>63</v>
      </c>
      <c r="H175" s="22">
        <v>8</v>
      </c>
      <c r="I175" s="22">
        <v>52</v>
      </c>
      <c r="J175" s="22">
        <v>180</v>
      </c>
      <c r="K175" s="22">
        <v>502</v>
      </c>
      <c r="L175" s="22">
        <v>420</v>
      </c>
      <c r="M175" s="22">
        <v>665</v>
      </c>
      <c r="N175" s="45">
        <f t="shared" si="36"/>
        <v>363</v>
      </c>
      <c r="O175" s="3">
        <f t="shared" si="95"/>
        <v>857</v>
      </c>
      <c r="P175" s="3">
        <f t="shared" si="96"/>
        <v>798</v>
      </c>
      <c r="Q175" s="3">
        <f t="shared" si="97"/>
        <v>1970</v>
      </c>
      <c r="R175" s="34">
        <f t="shared" ref="R175:R180" si="98">(N175-N174)/N174</f>
        <v>-0.11463414634146342</v>
      </c>
      <c r="S175" s="32">
        <f t="shared" ref="S175:S180" si="99">N175-N174</f>
        <v>-47</v>
      </c>
      <c r="T175" s="34">
        <f t="shared" ref="T175:T180" si="100">(N175-N123)/N123</f>
        <v>-0.46062407132243682</v>
      </c>
      <c r="U175" s="34">
        <f t="shared" si="94"/>
        <v>0.45488721804511278</v>
      </c>
      <c r="V175" s="35"/>
      <c r="W175" s="35"/>
      <c r="X175" s="35"/>
      <c r="Y175" s="35"/>
      <c r="Z175" s="35"/>
      <c r="AA175" s="36"/>
    </row>
    <row r="176" spans="1:27" ht="16" thickBot="1" x14ac:dyDescent="0.4">
      <c r="A176" s="20">
        <f t="shared" si="74"/>
        <v>39774</v>
      </c>
      <c r="B176" s="22">
        <v>229</v>
      </c>
      <c r="C176" s="22">
        <v>300</v>
      </c>
      <c r="D176" s="22">
        <v>84</v>
      </c>
      <c r="E176" s="22">
        <v>482</v>
      </c>
      <c r="F176" s="22">
        <v>11</v>
      </c>
      <c r="G176" s="22">
        <v>20</v>
      </c>
      <c r="H176" s="22">
        <v>5</v>
      </c>
      <c r="I176" s="22">
        <v>18</v>
      </c>
      <c r="J176" s="22">
        <v>206</v>
      </c>
      <c r="K176" s="22">
        <v>564</v>
      </c>
      <c r="L176" s="22">
        <v>535</v>
      </c>
      <c r="M176" s="22">
        <v>813</v>
      </c>
      <c r="N176" s="45">
        <f t="shared" si="36"/>
        <v>446</v>
      </c>
      <c r="O176" s="3">
        <f t="shared" si="95"/>
        <v>1070</v>
      </c>
      <c r="P176" s="3">
        <f t="shared" si="96"/>
        <v>884</v>
      </c>
      <c r="Q176" s="3">
        <f t="shared" si="97"/>
        <v>2197</v>
      </c>
      <c r="R176" s="34">
        <f t="shared" si="98"/>
        <v>0.22865013774104684</v>
      </c>
      <c r="S176" s="32">
        <f t="shared" si="99"/>
        <v>83</v>
      </c>
      <c r="T176" s="34">
        <f t="shared" si="100"/>
        <v>-0.36285714285714288</v>
      </c>
      <c r="U176" s="34">
        <f t="shared" si="94"/>
        <v>0.50452488687782804</v>
      </c>
      <c r="V176" s="35"/>
      <c r="W176" s="35"/>
      <c r="X176" s="35"/>
      <c r="Y176" s="35"/>
      <c r="Z176" s="35"/>
      <c r="AA176" s="36"/>
    </row>
    <row r="177" spans="1:27" ht="16" thickBot="1" x14ac:dyDescent="0.4">
      <c r="A177" s="20">
        <f t="shared" si="74"/>
        <v>39781</v>
      </c>
      <c r="B177" s="22">
        <v>298</v>
      </c>
      <c r="C177" s="22">
        <v>388</v>
      </c>
      <c r="D177" s="22">
        <v>76</v>
      </c>
      <c r="E177" s="22">
        <v>536</v>
      </c>
      <c r="F177" s="22">
        <v>50</v>
      </c>
      <c r="G177" s="22">
        <v>60</v>
      </c>
      <c r="H177" s="22">
        <v>10</v>
      </c>
      <c r="I177" s="22">
        <v>23</v>
      </c>
      <c r="J177" s="22">
        <v>193</v>
      </c>
      <c r="K177" s="22">
        <v>576</v>
      </c>
      <c r="L177" s="22">
        <v>381</v>
      </c>
      <c r="M177" s="22">
        <v>624</v>
      </c>
      <c r="N177" s="45">
        <f t="shared" si="36"/>
        <v>541</v>
      </c>
      <c r="O177" s="3">
        <f t="shared" si="95"/>
        <v>1008</v>
      </c>
      <c r="P177" s="3">
        <f t="shared" si="96"/>
        <v>1024</v>
      </c>
      <c r="Q177" s="3">
        <f t="shared" si="97"/>
        <v>2207</v>
      </c>
      <c r="R177" s="34">
        <f t="shared" si="98"/>
        <v>0.21300448430493274</v>
      </c>
      <c r="S177" s="32">
        <f t="shared" si="99"/>
        <v>95</v>
      </c>
      <c r="T177" s="34">
        <f t="shared" si="100"/>
        <v>-0.21137026239067055</v>
      </c>
      <c r="U177" s="34">
        <f t="shared" ref="U177:U182" si="101">N177/P177</f>
        <v>0.5283203125</v>
      </c>
      <c r="V177" s="35"/>
      <c r="W177" s="35"/>
      <c r="X177" s="35"/>
      <c r="Y177" s="35"/>
      <c r="Z177" s="35"/>
      <c r="AA177" s="36"/>
    </row>
    <row r="178" spans="1:27" ht="16" thickBot="1" x14ac:dyDescent="0.4">
      <c r="A178" s="20">
        <f t="shared" si="74"/>
        <v>39788</v>
      </c>
      <c r="B178" s="22">
        <v>137</v>
      </c>
      <c r="C178" s="22">
        <v>190</v>
      </c>
      <c r="D178" s="22">
        <v>89</v>
      </c>
      <c r="E178" s="22">
        <v>543</v>
      </c>
      <c r="F178" s="22">
        <v>29</v>
      </c>
      <c r="G178" s="22">
        <v>44</v>
      </c>
      <c r="H178" s="22">
        <v>11</v>
      </c>
      <c r="I178" s="22">
        <v>46</v>
      </c>
      <c r="J178" s="22">
        <v>197</v>
      </c>
      <c r="K178" s="22">
        <v>586</v>
      </c>
      <c r="L178" s="22">
        <v>444</v>
      </c>
      <c r="M178" s="22">
        <v>710</v>
      </c>
      <c r="N178" s="45">
        <f t="shared" si="36"/>
        <v>363</v>
      </c>
      <c r="O178" s="3">
        <f t="shared" si="95"/>
        <v>907</v>
      </c>
      <c r="P178" s="3">
        <f t="shared" si="96"/>
        <v>820</v>
      </c>
      <c r="Q178" s="3">
        <f t="shared" si="97"/>
        <v>2119</v>
      </c>
      <c r="R178" s="34">
        <f t="shared" si="98"/>
        <v>-0.32902033271719039</v>
      </c>
      <c r="S178" s="32">
        <f t="shared" si="99"/>
        <v>-178</v>
      </c>
      <c r="T178" s="34">
        <f t="shared" si="100"/>
        <v>-0.33394495412844039</v>
      </c>
      <c r="U178" s="34">
        <f t="shared" si="101"/>
        <v>0.4426829268292683</v>
      </c>
      <c r="V178" s="35"/>
      <c r="W178" s="35"/>
      <c r="X178" s="35"/>
      <c r="Y178" s="35"/>
      <c r="Z178" s="35"/>
      <c r="AA178" s="36"/>
    </row>
    <row r="179" spans="1:27" ht="16" thickBot="1" x14ac:dyDescent="0.4">
      <c r="A179" s="20">
        <f t="shared" si="74"/>
        <v>39795</v>
      </c>
      <c r="B179" s="22">
        <v>229</v>
      </c>
      <c r="C179" s="22">
        <v>287</v>
      </c>
      <c r="D179" s="22">
        <v>101</v>
      </c>
      <c r="E179" s="22">
        <v>470</v>
      </c>
      <c r="F179" s="22">
        <v>62</v>
      </c>
      <c r="G179" s="22">
        <v>74</v>
      </c>
      <c r="H179" s="22">
        <v>9</v>
      </c>
      <c r="I179" s="22">
        <v>43</v>
      </c>
      <c r="J179" s="22">
        <v>218</v>
      </c>
      <c r="K179" s="22">
        <v>632</v>
      </c>
      <c r="L179" s="22">
        <v>403</v>
      </c>
      <c r="M179" s="22">
        <v>687</v>
      </c>
      <c r="N179" s="45">
        <f t="shared" si="36"/>
        <v>509</v>
      </c>
      <c r="O179" s="3">
        <f t="shared" si="95"/>
        <v>1022</v>
      </c>
      <c r="P179" s="3">
        <f t="shared" si="96"/>
        <v>993</v>
      </c>
      <c r="Q179" s="3">
        <f t="shared" si="97"/>
        <v>2193</v>
      </c>
      <c r="R179" s="34">
        <f t="shared" si="98"/>
        <v>0.40220385674931131</v>
      </c>
      <c r="S179" s="32">
        <f t="shared" si="99"/>
        <v>146</v>
      </c>
      <c r="T179" s="34">
        <f t="shared" si="100"/>
        <v>-0.14020270270270271</v>
      </c>
      <c r="U179" s="34">
        <f t="shared" si="101"/>
        <v>0.51258811681772409</v>
      </c>
      <c r="V179" s="35"/>
      <c r="W179" s="35"/>
      <c r="X179" s="35"/>
      <c r="Y179" s="35"/>
      <c r="Z179" s="35"/>
      <c r="AA179" s="36"/>
    </row>
    <row r="180" spans="1:27" ht="16" thickBot="1" x14ac:dyDescent="0.4">
      <c r="A180" s="20">
        <f t="shared" si="74"/>
        <v>39802</v>
      </c>
      <c r="B180" s="22">
        <v>189</v>
      </c>
      <c r="C180" s="22">
        <v>250</v>
      </c>
      <c r="D180" s="22">
        <v>77</v>
      </c>
      <c r="E180" s="22">
        <v>347</v>
      </c>
      <c r="F180" s="22">
        <v>13</v>
      </c>
      <c r="G180" s="22">
        <v>22</v>
      </c>
      <c r="H180" s="22">
        <v>5</v>
      </c>
      <c r="I180" s="22">
        <v>32</v>
      </c>
      <c r="J180" s="22">
        <v>371</v>
      </c>
      <c r="K180" s="22">
        <v>748</v>
      </c>
      <c r="L180" s="22">
        <v>341</v>
      </c>
      <c r="M180" s="22">
        <v>647</v>
      </c>
      <c r="N180" s="45">
        <f t="shared" si="36"/>
        <v>573</v>
      </c>
      <c r="O180" s="3">
        <f t="shared" si="95"/>
        <v>996</v>
      </c>
      <c r="P180" s="3">
        <f t="shared" si="96"/>
        <v>1020</v>
      </c>
      <c r="Q180" s="3">
        <f t="shared" si="97"/>
        <v>2046</v>
      </c>
      <c r="R180" s="34">
        <f t="shared" si="98"/>
        <v>0.12573673870333987</v>
      </c>
      <c r="S180" s="32">
        <f t="shared" si="99"/>
        <v>64</v>
      </c>
      <c r="T180" s="34">
        <f t="shared" si="100"/>
        <v>0.27901785714285715</v>
      </c>
      <c r="U180" s="34">
        <f t="shared" si="101"/>
        <v>0.56176470588235294</v>
      </c>
      <c r="V180" s="35"/>
      <c r="W180" s="35"/>
      <c r="X180" s="35"/>
      <c r="Y180" s="35"/>
      <c r="Z180" s="35"/>
      <c r="AA180" s="36"/>
    </row>
    <row r="181" spans="1:27" ht="16" thickBot="1" x14ac:dyDescent="0.4">
      <c r="A181" s="20">
        <f t="shared" si="74"/>
        <v>39809</v>
      </c>
      <c r="B181" s="22">
        <v>160</v>
      </c>
      <c r="C181" s="22">
        <v>183</v>
      </c>
      <c r="D181" s="22">
        <v>15</v>
      </c>
      <c r="E181" s="22">
        <v>158</v>
      </c>
      <c r="F181" s="22">
        <v>18</v>
      </c>
      <c r="G181" s="22">
        <v>27</v>
      </c>
      <c r="H181" s="22">
        <v>13</v>
      </c>
      <c r="I181" s="22">
        <v>62</v>
      </c>
      <c r="J181" s="22">
        <v>137</v>
      </c>
      <c r="K181" s="22">
        <v>402</v>
      </c>
      <c r="L181" s="22">
        <v>267</v>
      </c>
      <c r="M181" s="22">
        <v>495</v>
      </c>
      <c r="N181" s="45">
        <f t="shared" si="36"/>
        <v>315</v>
      </c>
      <c r="O181" s="3">
        <f t="shared" si="95"/>
        <v>610</v>
      </c>
      <c r="P181" s="3">
        <f t="shared" si="96"/>
        <v>612</v>
      </c>
      <c r="Q181" s="3">
        <f t="shared" si="97"/>
        <v>1327</v>
      </c>
      <c r="R181" s="34">
        <f t="shared" ref="R181:R186" si="102">(N181-N180)/N180</f>
        <v>-0.45026178010471202</v>
      </c>
      <c r="S181" s="32">
        <f t="shared" ref="S181:S186" si="103">N181-N180</f>
        <v>-258</v>
      </c>
      <c r="T181" s="34">
        <f t="shared" ref="T181:T186" si="104">(N181-N129)/N129</f>
        <v>-0.52200303490136568</v>
      </c>
      <c r="U181" s="34">
        <f t="shared" si="101"/>
        <v>0.51470588235294112</v>
      </c>
      <c r="V181" s="35"/>
      <c r="W181" s="35"/>
      <c r="X181" s="35"/>
      <c r="Y181" s="35"/>
      <c r="Z181" s="35"/>
      <c r="AA181" s="36"/>
    </row>
    <row r="182" spans="1:27" ht="16" thickBot="1" x14ac:dyDescent="0.4">
      <c r="A182" s="20">
        <f t="shared" si="74"/>
        <v>39816</v>
      </c>
      <c r="B182" s="22">
        <v>129</v>
      </c>
      <c r="C182" s="22">
        <v>179</v>
      </c>
      <c r="D182" s="22">
        <v>62</v>
      </c>
      <c r="E182" s="22">
        <v>277</v>
      </c>
      <c r="F182" s="22">
        <v>39</v>
      </c>
      <c r="G182" s="22">
        <v>48</v>
      </c>
      <c r="H182" s="22">
        <v>11</v>
      </c>
      <c r="I182" s="22">
        <v>50</v>
      </c>
      <c r="J182" s="22">
        <v>267</v>
      </c>
      <c r="K182" s="22">
        <v>644</v>
      </c>
      <c r="L182" s="22">
        <v>380</v>
      </c>
      <c r="M182" s="22">
        <v>618</v>
      </c>
      <c r="N182" s="45">
        <f t="shared" si="36"/>
        <v>435</v>
      </c>
      <c r="O182" s="3">
        <f t="shared" si="95"/>
        <v>888</v>
      </c>
      <c r="P182" s="3">
        <f t="shared" si="96"/>
        <v>871</v>
      </c>
      <c r="Q182" s="3">
        <f t="shared" si="97"/>
        <v>1816</v>
      </c>
      <c r="R182" s="34">
        <f t="shared" si="102"/>
        <v>0.38095238095238093</v>
      </c>
      <c r="S182" s="32">
        <f t="shared" si="103"/>
        <v>120</v>
      </c>
      <c r="T182" s="34">
        <f t="shared" si="104"/>
        <v>-0.30288461538461536</v>
      </c>
      <c r="U182" s="34">
        <f t="shared" si="101"/>
        <v>0.49942594718714123</v>
      </c>
      <c r="V182" s="40">
        <f>AVERAGE(B26,B78,B130)</f>
        <v>216.66666666666666</v>
      </c>
      <c r="W182" s="40">
        <f>AVERAGE(F26,F78,F130)</f>
        <v>40.666666666666664</v>
      </c>
      <c r="X182" s="40">
        <f>AVERAGE(J26,J78,J130)</f>
        <v>188.66666666666666</v>
      </c>
      <c r="Y182" s="40">
        <f>AVERAGE(N26,N78,N130)</f>
        <v>446</v>
      </c>
      <c r="Z182" s="59">
        <f>(N182-Y182)/Y182</f>
        <v>-2.4663677130044841E-2</v>
      </c>
      <c r="AA182" s="36"/>
    </row>
    <row r="183" spans="1:27" ht="16" thickBot="1" x14ac:dyDescent="0.4">
      <c r="A183" s="20">
        <f t="shared" si="74"/>
        <v>39823</v>
      </c>
      <c r="B183" s="22">
        <v>222</v>
      </c>
      <c r="C183" s="22">
        <v>250</v>
      </c>
      <c r="D183" s="22">
        <v>96</v>
      </c>
      <c r="E183" s="22">
        <v>241</v>
      </c>
      <c r="F183" s="22">
        <v>38</v>
      </c>
      <c r="G183" s="22">
        <v>55</v>
      </c>
      <c r="H183" s="22">
        <v>1</v>
      </c>
      <c r="I183" s="22">
        <v>16</v>
      </c>
      <c r="J183" s="22">
        <v>193</v>
      </c>
      <c r="K183" s="22">
        <v>511</v>
      </c>
      <c r="L183" s="22">
        <v>320</v>
      </c>
      <c r="M183" s="22">
        <v>582</v>
      </c>
      <c r="N183" s="45">
        <f t="shared" si="36"/>
        <v>453</v>
      </c>
      <c r="O183" s="3">
        <f t="shared" si="95"/>
        <v>870</v>
      </c>
      <c r="P183" s="3">
        <f t="shared" si="96"/>
        <v>816</v>
      </c>
      <c r="Q183" s="3">
        <f t="shared" si="97"/>
        <v>1655</v>
      </c>
      <c r="R183" s="34">
        <f t="shared" si="102"/>
        <v>4.1379310344827586E-2</v>
      </c>
      <c r="S183" s="32">
        <f t="shared" si="103"/>
        <v>18</v>
      </c>
      <c r="T183" s="34">
        <f t="shared" si="104"/>
        <v>-0.22164948453608246</v>
      </c>
      <c r="U183" s="34">
        <f t="shared" ref="U183:U188" si="105">N183/P183</f>
        <v>0.55514705882352944</v>
      </c>
      <c r="V183" s="40">
        <f t="shared" ref="V183:V246" si="106">AVERAGE(B27,B79,B131)</f>
        <v>175</v>
      </c>
      <c r="W183" s="40">
        <f t="shared" ref="W183:W246" si="107">AVERAGE(F27,F79,F131)</f>
        <v>25</v>
      </c>
      <c r="X183" s="40">
        <f t="shared" ref="X183:X246" si="108">AVERAGE(J27,J79,J131)</f>
        <v>272.66666666666669</v>
      </c>
      <c r="Y183" s="40">
        <f t="shared" ref="Y183:Y246" si="109">AVERAGE(N27,N79,N131)</f>
        <v>472.66666666666669</v>
      </c>
      <c r="Z183" s="59">
        <f t="shared" ref="Z183:Z246" si="110">(N183-Y183)/Y183</f>
        <v>-4.160789844851908E-2</v>
      </c>
      <c r="AA183" s="36"/>
    </row>
    <row r="184" spans="1:27" ht="16" thickBot="1" x14ac:dyDescent="0.4">
      <c r="A184" s="20">
        <f t="shared" si="74"/>
        <v>39830</v>
      </c>
      <c r="B184" s="22">
        <v>169</v>
      </c>
      <c r="C184" s="22">
        <v>216</v>
      </c>
      <c r="D184" s="22">
        <v>39</v>
      </c>
      <c r="E184" s="22">
        <v>311</v>
      </c>
      <c r="F184" s="22">
        <v>39</v>
      </c>
      <c r="G184" s="22">
        <v>75</v>
      </c>
      <c r="H184" s="22">
        <v>16</v>
      </c>
      <c r="I184" s="22">
        <v>47</v>
      </c>
      <c r="J184" s="22">
        <v>111</v>
      </c>
      <c r="K184" s="22">
        <v>399</v>
      </c>
      <c r="L184" s="22">
        <v>365</v>
      </c>
      <c r="M184" s="22">
        <v>667</v>
      </c>
      <c r="N184" s="45">
        <f t="shared" si="36"/>
        <v>319</v>
      </c>
      <c r="O184" s="3">
        <f t="shared" si="95"/>
        <v>739</v>
      </c>
      <c r="P184" s="3">
        <f t="shared" si="96"/>
        <v>690</v>
      </c>
      <c r="Q184" s="3">
        <f t="shared" si="97"/>
        <v>1715</v>
      </c>
      <c r="R184" s="34">
        <f t="shared" si="102"/>
        <v>-0.2958057395143488</v>
      </c>
      <c r="S184" s="32">
        <f t="shared" si="103"/>
        <v>-134</v>
      </c>
      <c r="T184" s="34">
        <f t="shared" si="104"/>
        <v>-0.13550135501355012</v>
      </c>
      <c r="U184" s="34">
        <f t="shared" si="105"/>
        <v>0.46231884057971012</v>
      </c>
      <c r="V184" s="40">
        <f t="shared" si="106"/>
        <v>138.33333333333334</v>
      </c>
      <c r="W184" s="40">
        <f t="shared" si="107"/>
        <v>31</v>
      </c>
      <c r="X184" s="40">
        <f t="shared" si="108"/>
        <v>190</v>
      </c>
      <c r="Y184" s="40">
        <f t="shared" si="109"/>
        <v>359.33333333333331</v>
      </c>
      <c r="Z184" s="59">
        <f t="shared" si="110"/>
        <v>-0.11224489795918363</v>
      </c>
      <c r="AA184" s="36"/>
    </row>
    <row r="185" spans="1:27" ht="16" thickBot="1" x14ac:dyDescent="0.4">
      <c r="A185" s="20">
        <f t="shared" si="74"/>
        <v>39837</v>
      </c>
      <c r="B185" s="22">
        <v>76</v>
      </c>
      <c r="C185" s="22">
        <v>98</v>
      </c>
      <c r="D185" s="22">
        <v>48</v>
      </c>
      <c r="E185" s="22">
        <v>311</v>
      </c>
      <c r="F185" s="22">
        <v>13</v>
      </c>
      <c r="G185" s="22">
        <v>34</v>
      </c>
      <c r="H185" s="22">
        <v>9</v>
      </c>
      <c r="I185" s="22">
        <v>57</v>
      </c>
      <c r="J185" s="22">
        <v>267</v>
      </c>
      <c r="K185" s="22">
        <v>498</v>
      </c>
      <c r="L185" s="22">
        <v>355</v>
      </c>
      <c r="M185" s="22">
        <v>635</v>
      </c>
      <c r="N185" s="45">
        <f t="shared" si="36"/>
        <v>356</v>
      </c>
      <c r="O185" s="3">
        <f t="shared" si="95"/>
        <v>768</v>
      </c>
      <c r="P185" s="3">
        <f t="shared" si="96"/>
        <v>630</v>
      </c>
      <c r="Q185" s="3">
        <f t="shared" si="97"/>
        <v>1633</v>
      </c>
      <c r="R185" s="34">
        <f t="shared" si="102"/>
        <v>0.11598746081504702</v>
      </c>
      <c r="S185" s="32">
        <f t="shared" si="103"/>
        <v>37</v>
      </c>
      <c r="T185" s="34">
        <f t="shared" si="104"/>
        <v>-0.12315270935960591</v>
      </c>
      <c r="U185" s="34">
        <f t="shared" si="105"/>
        <v>0.56507936507936507</v>
      </c>
      <c r="V185" s="40">
        <f t="shared" si="106"/>
        <v>137.66666666666666</v>
      </c>
      <c r="W185" s="40">
        <f t="shared" si="107"/>
        <v>33.666666666666664</v>
      </c>
      <c r="X185" s="40">
        <f t="shared" si="108"/>
        <v>244.33333333333334</v>
      </c>
      <c r="Y185" s="40">
        <f t="shared" si="109"/>
        <v>415.66666666666669</v>
      </c>
      <c r="Z185" s="59">
        <f t="shared" si="110"/>
        <v>-0.1435445068163593</v>
      </c>
      <c r="AA185" s="36"/>
    </row>
    <row r="186" spans="1:27" ht="16" thickBot="1" x14ac:dyDescent="0.4">
      <c r="A186" s="20">
        <f t="shared" si="74"/>
        <v>39844</v>
      </c>
      <c r="B186" s="22">
        <v>103</v>
      </c>
      <c r="C186" s="22">
        <v>142</v>
      </c>
      <c r="D186" s="22">
        <v>23</v>
      </c>
      <c r="E186" s="22">
        <v>129</v>
      </c>
      <c r="F186" s="22">
        <v>53</v>
      </c>
      <c r="G186" s="22">
        <v>79</v>
      </c>
      <c r="H186" s="22">
        <v>6</v>
      </c>
      <c r="I186" s="22">
        <v>33</v>
      </c>
      <c r="J186" s="22">
        <v>142</v>
      </c>
      <c r="K186" s="22">
        <v>272</v>
      </c>
      <c r="L186" s="22">
        <v>90</v>
      </c>
      <c r="M186" s="22">
        <v>161</v>
      </c>
      <c r="N186" s="45">
        <f t="shared" si="36"/>
        <v>298</v>
      </c>
      <c r="O186" s="3">
        <f t="shared" si="95"/>
        <v>417</v>
      </c>
      <c r="P186" s="3">
        <f t="shared" si="96"/>
        <v>493</v>
      </c>
      <c r="Q186" s="3">
        <f t="shared" si="97"/>
        <v>816</v>
      </c>
      <c r="R186" s="34">
        <f t="shared" si="102"/>
        <v>-0.16292134831460675</v>
      </c>
      <c r="S186" s="32">
        <f t="shared" si="103"/>
        <v>-58</v>
      </c>
      <c r="T186" s="34">
        <f t="shared" si="104"/>
        <v>-0.30210772833723654</v>
      </c>
      <c r="U186" s="34">
        <f t="shared" si="105"/>
        <v>0.60446247464503045</v>
      </c>
      <c r="V186" s="40">
        <f t="shared" si="106"/>
        <v>151</v>
      </c>
      <c r="W186" s="40">
        <f t="shared" si="107"/>
        <v>35.333333333333336</v>
      </c>
      <c r="X186" s="40">
        <f t="shared" si="108"/>
        <v>239</v>
      </c>
      <c r="Y186" s="40">
        <f t="shared" si="109"/>
        <v>425.33333333333331</v>
      </c>
      <c r="Z186" s="59">
        <f t="shared" si="110"/>
        <v>-0.29937304075235105</v>
      </c>
      <c r="AA186" s="36"/>
    </row>
    <row r="187" spans="1:27" ht="16" thickBot="1" x14ac:dyDescent="0.4">
      <c r="A187" s="20">
        <f t="shared" si="74"/>
        <v>39851</v>
      </c>
      <c r="B187" s="22">
        <v>202</v>
      </c>
      <c r="C187" s="22">
        <v>257</v>
      </c>
      <c r="D187" s="22">
        <v>75</v>
      </c>
      <c r="E187" s="22">
        <v>209</v>
      </c>
      <c r="F187" s="22">
        <v>41</v>
      </c>
      <c r="G187" s="22">
        <v>53</v>
      </c>
      <c r="H187" s="22">
        <v>12</v>
      </c>
      <c r="I187" s="22">
        <v>54</v>
      </c>
      <c r="J187" s="22">
        <v>151</v>
      </c>
      <c r="K187" s="22">
        <v>421</v>
      </c>
      <c r="L187" s="22">
        <v>286</v>
      </c>
      <c r="M187" s="22">
        <v>575</v>
      </c>
      <c r="N187" s="45">
        <f t="shared" si="36"/>
        <v>394</v>
      </c>
      <c r="O187" s="3">
        <f t="shared" si="95"/>
        <v>767</v>
      </c>
      <c r="P187" s="3">
        <f t="shared" si="96"/>
        <v>731</v>
      </c>
      <c r="Q187" s="3">
        <f t="shared" si="97"/>
        <v>1569</v>
      </c>
      <c r="R187" s="34">
        <f t="shared" ref="R187:R192" si="111">(N187-N186)/N186</f>
        <v>0.32214765100671139</v>
      </c>
      <c r="S187" s="32">
        <f t="shared" ref="S187:S192" si="112">N187-N186</f>
        <v>96</v>
      </c>
      <c r="T187" s="34">
        <f t="shared" ref="T187:T192" si="113">(N187-N135)/N135</f>
        <v>-0.15811965811965811</v>
      </c>
      <c r="U187" s="34">
        <f t="shared" si="105"/>
        <v>0.53898768809849518</v>
      </c>
      <c r="V187" s="40">
        <f t="shared" si="106"/>
        <v>179.66666666666666</v>
      </c>
      <c r="W187" s="40">
        <f t="shared" si="107"/>
        <v>38</v>
      </c>
      <c r="X187" s="40">
        <f t="shared" si="108"/>
        <v>222.33333333333334</v>
      </c>
      <c r="Y187" s="40">
        <f t="shared" si="109"/>
        <v>440</v>
      </c>
      <c r="Z187" s="59">
        <f t="shared" si="110"/>
        <v>-0.10454545454545454</v>
      </c>
      <c r="AA187" s="36"/>
    </row>
    <row r="188" spans="1:27" ht="16" thickBot="1" x14ac:dyDescent="0.4">
      <c r="A188" s="20">
        <f t="shared" si="74"/>
        <v>39858</v>
      </c>
      <c r="B188" s="22">
        <v>239</v>
      </c>
      <c r="C188" s="22">
        <v>297</v>
      </c>
      <c r="D188" s="22">
        <v>67</v>
      </c>
      <c r="E188" s="22">
        <v>262</v>
      </c>
      <c r="F188" s="22">
        <v>41</v>
      </c>
      <c r="G188" s="22">
        <v>57</v>
      </c>
      <c r="H188" s="22">
        <v>8</v>
      </c>
      <c r="I188" s="22">
        <v>52</v>
      </c>
      <c r="J188" s="22">
        <v>218</v>
      </c>
      <c r="K188" s="22">
        <v>457</v>
      </c>
      <c r="L188" s="22">
        <v>332</v>
      </c>
      <c r="M188" s="22">
        <v>584</v>
      </c>
      <c r="N188" s="45">
        <f t="shared" si="36"/>
        <v>498</v>
      </c>
      <c r="O188" s="3">
        <f t="shared" si="95"/>
        <v>905</v>
      </c>
      <c r="P188" s="3">
        <f t="shared" si="96"/>
        <v>811</v>
      </c>
      <c r="Q188" s="3">
        <f t="shared" si="97"/>
        <v>1709</v>
      </c>
      <c r="R188" s="34">
        <f t="shared" si="111"/>
        <v>0.26395939086294418</v>
      </c>
      <c r="S188" s="32">
        <f t="shared" si="112"/>
        <v>104</v>
      </c>
      <c r="T188" s="34">
        <f t="shared" si="113"/>
        <v>0.12925170068027211</v>
      </c>
      <c r="U188" s="34">
        <f t="shared" si="105"/>
        <v>0.61405672009864365</v>
      </c>
      <c r="V188" s="40">
        <f t="shared" si="106"/>
        <v>154.66666666666666</v>
      </c>
      <c r="W188" s="40">
        <f t="shared" si="107"/>
        <v>42</v>
      </c>
      <c r="X188" s="40">
        <f t="shared" si="108"/>
        <v>271.66666666666669</v>
      </c>
      <c r="Y188" s="40">
        <f t="shared" si="109"/>
        <v>468.33333333333331</v>
      </c>
      <c r="Z188" s="59">
        <f t="shared" si="110"/>
        <v>6.334519572953741E-2</v>
      </c>
      <c r="AA188" s="36"/>
    </row>
    <row r="189" spans="1:27" ht="16" thickBot="1" x14ac:dyDescent="0.4">
      <c r="A189" s="20">
        <f t="shared" si="74"/>
        <v>39865</v>
      </c>
      <c r="B189" s="22">
        <v>415</v>
      </c>
      <c r="C189" s="22">
        <v>458</v>
      </c>
      <c r="D189" s="22">
        <v>77</v>
      </c>
      <c r="E189" s="22">
        <v>356</v>
      </c>
      <c r="F189" s="22">
        <v>41</v>
      </c>
      <c r="G189" s="22">
        <v>70</v>
      </c>
      <c r="H189" s="22">
        <v>8</v>
      </c>
      <c r="I189" s="22">
        <v>54</v>
      </c>
      <c r="J189" s="22">
        <v>261</v>
      </c>
      <c r="K189" s="22">
        <v>580</v>
      </c>
      <c r="L189" s="22">
        <v>336</v>
      </c>
      <c r="M189" s="22">
        <v>575</v>
      </c>
      <c r="N189" s="45">
        <f t="shared" si="36"/>
        <v>717</v>
      </c>
      <c r="O189" s="3">
        <f t="shared" si="95"/>
        <v>1138</v>
      </c>
      <c r="P189" s="3">
        <f t="shared" si="96"/>
        <v>1108</v>
      </c>
      <c r="Q189" s="3">
        <f t="shared" si="97"/>
        <v>2093</v>
      </c>
      <c r="R189" s="34">
        <f t="shared" si="111"/>
        <v>0.43975903614457829</v>
      </c>
      <c r="S189" s="32">
        <f t="shared" si="112"/>
        <v>219</v>
      </c>
      <c r="T189" s="34">
        <f t="shared" si="113"/>
        <v>0.8337595907928389</v>
      </c>
      <c r="U189" s="34">
        <f t="shared" ref="U189:U194" si="114">N189/P189</f>
        <v>0.6471119133574007</v>
      </c>
      <c r="V189" s="40">
        <f t="shared" si="106"/>
        <v>154.33333333333334</v>
      </c>
      <c r="W189" s="40">
        <f t="shared" si="107"/>
        <v>41.666666666666664</v>
      </c>
      <c r="X189" s="40">
        <f t="shared" si="108"/>
        <v>203.33333333333334</v>
      </c>
      <c r="Y189" s="40">
        <f t="shared" si="109"/>
        <v>399.33333333333331</v>
      </c>
      <c r="Z189" s="59">
        <f t="shared" si="110"/>
        <v>0.79549248747913193</v>
      </c>
      <c r="AA189" s="36"/>
    </row>
    <row r="190" spans="1:27" ht="16" thickBot="1" x14ac:dyDescent="0.4">
      <c r="A190" s="20">
        <f t="shared" si="74"/>
        <v>39872</v>
      </c>
      <c r="B190" s="22">
        <v>390</v>
      </c>
      <c r="C190" s="22">
        <v>421</v>
      </c>
      <c r="D190" s="22">
        <v>81</v>
      </c>
      <c r="E190" s="22">
        <v>547</v>
      </c>
      <c r="F190" s="22">
        <v>42</v>
      </c>
      <c r="G190" s="22">
        <v>66</v>
      </c>
      <c r="H190" s="22">
        <v>30</v>
      </c>
      <c r="I190" s="22">
        <v>78</v>
      </c>
      <c r="J190" s="22">
        <v>223</v>
      </c>
      <c r="K190" s="22">
        <v>520</v>
      </c>
      <c r="L190" s="22">
        <v>363</v>
      </c>
      <c r="M190" s="22">
        <v>709</v>
      </c>
      <c r="N190" s="45">
        <f t="shared" si="36"/>
        <v>655</v>
      </c>
      <c r="O190" s="3">
        <f t="shared" si="95"/>
        <v>1129</v>
      </c>
      <c r="P190" s="3">
        <f t="shared" si="96"/>
        <v>1007</v>
      </c>
      <c r="Q190" s="3">
        <f t="shared" si="97"/>
        <v>2341</v>
      </c>
      <c r="R190" s="34">
        <f t="shared" si="111"/>
        <v>-8.6471408647140868E-2</v>
      </c>
      <c r="S190" s="32">
        <f t="shared" si="112"/>
        <v>-62</v>
      </c>
      <c r="T190" s="34">
        <f t="shared" si="113"/>
        <v>0.43326039387308535</v>
      </c>
      <c r="U190" s="34">
        <f t="shared" si="114"/>
        <v>0.6504468718967229</v>
      </c>
      <c r="V190" s="40">
        <f t="shared" si="106"/>
        <v>258</v>
      </c>
      <c r="W190" s="40">
        <f t="shared" si="107"/>
        <v>30</v>
      </c>
      <c r="X190" s="40">
        <f t="shared" si="108"/>
        <v>209.33333333333334</v>
      </c>
      <c r="Y190" s="40">
        <f t="shared" si="109"/>
        <v>497.33333333333331</v>
      </c>
      <c r="Z190" s="59">
        <f t="shared" si="110"/>
        <v>0.31702412868632712</v>
      </c>
      <c r="AA190" s="36"/>
    </row>
    <row r="191" spans="1:27" ht="16" thickBot="1" x14ac:dyDescent="0.4">
      <c r="A191" s="20">
        <f t="shared" si="74"/>
        <v>39879</v>
      </c>
      <c r="B191" s="22">
        <v>509</v>
      </c>
      <c r="C191" s="22">
        <v>553</v>
      </c>
      <c r="D191" s="22">
        <v>51</v>
      </c>
      <c r="E191" s="22">
        <v>463</v>
      </c>
      <c r="F191" s="22">
        <v>5</v>
      </c>
      <c r="G191" s="22">
        <v>24</v>
      </c>
      <c r="H191" s="22">
        <v>28</v>
      </c>
      <c r="I191" s="22">
        <v>63</v>
      </c>
      <c r="J191" s="22">
        <v>184</v>
      </c>
      <c r="K191" s="22">
        <v>492</v>
      </c>
      <c r="L191" s="22">
        <v>365</v>
      </c>
      <c r="M191" s="22">
        <v>643</v>
      </c>
      <c r="N191" s="45">
        <f t="shared" si="36"/>
        <v>698</v>
      </c>
      <c r="O191" s="3">
        <f t="shared" si="95"/>
        <v>1142</v>
      </c>
      <c r="P191" s="3">
        <f t="shared" si="96"/>
        <v>1069</v>
      </c>
      <c r="Q191" s="3">
        <f t="shared" si="97"/>
        <v>2238</v>
      </c>
      <c r="R191" s="34">
        <f t="shared" si="111"/>
        <v>6.5648854961832065E-2</v>
      </c>
      <c r="S191" s="32">
        <f t="shared" si="112"/>
        <v>43</v>
      </c>
      <c r="T191" s="34">
        <f t="shared" si="113"/>
        <v>0.61200923787528871</v>
      </c>
      <c r="U191" s="34">
        <f t="shared" si="114"/>
        <v>0.65294667913938265</v>
      </c>
      <c r="V191" s="40">
        <f t="shared" si="106"/>
        <v>255.33333333333334</v>
      </c>
      <c r="W191" s="40">
        <f t="shared" si="107"/>
        <v>29</v>
      </c>
      <c r="X191" s="40">
        <f t="shared" si="108"/>
        <v>184.33333333333334</v>
      </c>
      <c r="Y191" s="40">
        <f t="shared" si="109"/>
        <v>468.66666666666669</v>
      </c>
      <c r="Z191" s="59">
        <f t="shared" si="110"/>
        <v>0.48933143669985768</v>
      </c>
      <c r="AA191" s="36"/>
    </row>
    <row r="192" spans="1:27" ht="16" thickBot="1" x14ac:dyDescent="0.4">
      <c r="A192" s="20">
        <f t="shared" si="74"/>
        <v>39886</v>
      </c>
      <c r="B192" s="22">
        <v>250</v>
      </c>
      <c r="C192" s="22">
        <v>314</v>
      </c>
      <c r="D192" s="22">
        <v>74</v>
      </c>
      <c r="E192" s="22">
        <v>472</v>
      </c>
      <c r="F192" s="22">
        <v>25</v>
      </c>
      <c r="G192" s="22">
        <v>52</v>
      </c>
      <c r="H192" s="22">
        <v>37</v>
      </c>
      <c r="I192" s="22">
        <v>60</v>
      </c>
      <c r="J192" s="22">
        <v>214</v>
      </c>
      <c r="K192" s="22">
        <v>549</v>
      </c>
      <c r="L192" s="22">
        <v>479</v>
      </c>
      <c r="M192" s="22">
        <v>697</v>
      </c>
      <c r="N192" s="45">
        <f t="shared" si="36"/>
        <v>489</v>
      </c>
      <c r="O192" s="3">
        <f t="shared" si="95"/>
        <v>1079</v>
      </c>
      <c r="P192" s="3">
        <f t="shared" si="96"/>
        <v>915</v>
      </c>
      <c r="Q192" s="3">
        <f t="shared" si="97"/>
        <v>2144</v>
      </c>
      <c r="R192" s="34">
        <f t="shared" si="111"/>
        <v>-0.29942693409742122</v>
      </c>
      <c r="S192" s="32">
        <f t="shared" si="112"/>
        <v>-209</v>
      </c>
      <c r="T192" s="34">
        <f t="shared" si="113"/>
        <v>-0.27448071216617209</v>
      </c>
      <c r="U192" s="34">
        <f t="shared" si="114"/>
        <v>0.53442622950819674</v>
      </c>
      <c r="V192" s="40">
        <f t="shared" si="106"/>
        <v>385</v>
      </c>
      <c r="W192" s="40">
        <f t="shared" si="107"/>
        <v>42</v>
      </c>
      <c r="X192" s="40">
        <f t="shared" si="108"/>
        <v>208.33333333333334</v>
      </c>
      <c r="Y192" s="40">
        <f t="shared" si="109"/>
        <v>635.33333333333337</v>
      </c>
      <c r="Z192" s="59">
        <f t="shared" si="110"/>
        <v>-0.23032528856243448</v>
      </c>
      <c r="AA192" s="36"/>
    </row>
    <row r="193" spans="1:27" ht="16" thickBot="1" x14ac:dyDescent="0.4">
      <c r="A193" s="20">
        <f t="shared" si="74"/>
        <v>39893</v>
      </c>
      <c r="B193" s="22">
        <v>322</v>
      </c>
      <c r="C193" s="22">
        <v>388</v>
      </c>
      <c r="D193" s="22">
        <v>47</v>
      </c>
      <c r="E193" s="22">
        <v>358</v>
      </c>
      <c r="F193" s="22">
        <v>44</v>
      </c>
      <c r="G193" s="22">
        <v>85</v>
      </c>
      <c r="H193" s="22">
        <v>62</v>
      </c>
      <c r="I193" s="22">
        <v>92</v>
      </c>
      <c r="J193" s="22">
        <v>210</v>
      </c>
      <c r="K193" s="22">
        <v>440</v>
      </c>
      <c r="L193" s="22">
        <v>390</v>
      </c>
      <c r="M193" s="22">
        <v>588</v>
      </c>
      <c r="N193" s="45">
        <f t="shared" si="36"/>
        <v>576</v>
      </c>
      <c r="O193" s="3">
        <f t="shared" si="95"/>
        <v>1075</v>
      </c>
      <c r="P193" s="3">
        <f t="shared" si="96"/>
        <v>913</v>
      </c>
      <c r="Q193" s="3">
        <f t="shared" si="97"/>
        <v>1951</v>
      </c>
      <c r="R193" s="34">
        <f t="shared" ref="R193:R198" si="115">(N193-N192)/N192</f>
        <v>0.17791411042944785</v>
      </c>
      <c r="S193" s="32">
        <f t="shared" ref="S193:S198" si="116">N193-N192</f>
        <v>87</v>
      </c>
      <c r="T193" s="34">
        <f t="shared" ref="T193:T198" si="117">(N193-N141)/N141</f>
        <v>0.10556621880998081</v>
      </c>
      <c r="U193" s="34">
        <f t="shared" si="114"/>
        <v>0.63088718510405262</v>
      </c>
      <c r="V193" s="40">
        <f t="shared" si="106"/>
        <v>387.66666666666669</v>
      </c>
      <c r="W193" s="40">
        <f t="shared" si="107"/>
        <v>26</v>
      </c>
      <c r="X193" s="40">
        <f t="shared" si="108"/>
        <v>166.66666666666666</v>
      </c>
      <c r="Y193" s="40">
        <f t="shared" si="109"/>
        <v>580.33333333333337</v>
      </c>
      <c r="Z193" s="59">
        <f t="shared" si="110"/>
        <v>-7.466973004020743E-3</v>
      </c>
      <c r="AA193" s="36"/>
    </row>
    <row r="194" spans="1:27" ht="16" thickBot="1" x14ac:dyDescent="0.4">
      <c r="A194" s="20">
        <f t="shared" si="74"/>
        <v>39900</v>
      </c>
      <c r="B194" s="22">
        <v>413</v>
      </c>
      <c r="C194" s="22">
        <v>509</v>
      </c>
      <c r="D194" s="22">
        <v>52</v>
      </c>
      <c r="E194" s="22">
        <v>389</v>
      </c>
      <c r="F194" s="22">
        <v>25</v>
      </c>
      <c r="G194" s="22">
        <v>46</v>
      </c>
      <c r="H194" s="22">
        <v>24</v>
      </c>
      <c r="I194" s="22">
        <v>52</v>
      </c>
      <c r="J194" s="22">
        <v>238</v>
      </c>
      <c r="K194" s="22">
        <v>518</v>
      </c>
      <c r="L194" s="22">
        <v>320</v>
      </c>
      <c r="M194" s="22">
        <v>528</v>
      </c>
      <c r="N194" s="45">
        <f t="shared" si="36"/>
        <v>676</v>
      </c>
      <c r="O194" s="3">
        <f t="shared" si="95"/>
        <v>1072</v>
      </c>
      <c r="P194" s="3">
        <f t="shared" si="96"/>
        <v>1073</v>
      </c>
      <c r="Q194" s="3">
        <f t="shared" si="97"/>
        <v>2042</v>
      </c>
      <c r="R194" s="34">
        <f t="shared" si="115"/>
        <v>0.1736111111111111</v>
      </c>
      <c r="S194" s="32">
        <f t="shared" si="116"/>
        <v>100</v>
      </c>
      <c r="T194" s="34">
        <f t="shared" si="117"/>
        <v>0.34661354581673309</v>
      </c>
      <c r="U194" s="34">
        <f t="shared" si="114"/>
        <v>0.63000931966449203</v>
      </c>
      <c r="V194" s="40">
        <f t="shared" si="106"/>
        <v>321.66666666666669</v>
      </c>
      <c r="W194" s="40">
        <f t="shared" si="107"/>
        <v>21.333333333333332</v>
      </c>
      <c r="X194" s="40">
        <f t="shared" si="108"/>
        <v>193.33333333333334</v>
      </c>
      <c r="Y194" s="40">
        <f t="shared" si="109"/>
        <v>536.33333333333337</v>
      </c>
      <c r="Z194" s="59">
        <f t="shared" si="110"/>
        <v>0.26041019266625226</v>
      </c>
      <c r="AA194" s="36"/>
    </row>
    <row r="195" spans="1:27" ht="16" thickBot="1" x14ac:dyDescent="0.4">
      <c r="A195" s="20">
        <f t="shared" si="74"/>
        <v>39907</v>
      </c>
      <c r="B195" s="22">
        <v>379</v>
      </c>
      <c r="C195" s="22">
        <v>457</v>
      </c>
      <c r="D195" s="22">
        <v>68</v>
      </c>
      <c r="E195" s="22">
        <v>500</v>
      </c>
      <c r="F195" s="22">
        <v>37</v>
      </c>
      <c r="G195" s="22">
        <v>52</v>
      </c>
      <c r="H195" s="22">
        <v>14</v>
      </c>
      <c r="I195" s="22">
        <v>30</v>
      </c>
      <c r="J195" s="22">
        <v>223</v>
      </c>
      <c r="K195" s="22">
        <v>469</v>
      </c>
      <c r="L195" s="22">
        <v>374</v>
      </c>
      <c r="M195" s="22">
        <v>561</v>
      </c>
      <c r="N195" s="45">
        <f t="shared" si="36"/>
        <v>639</v>
      </c>
      <c r="O195" s="3">
        <f t="shared" si="95"/>
        <v>1095</v>
      </c>
      <c r="P195" s="3">
        <f t="shared" si="96"/>
        <v>978</v>
      </c>
      <c r="Q195" s="3">
        <f t="shared" si="97"/>
        <v>2069</v>
      </c>
      <c r="R195" s="34">
        <f t="shared" si="115"/>
        <v>-5.473372781065089E-2</v>
      </c>
      <c r="S195" s="32">
        <f t="shared" si="116"/>
        <v>-37</v>
      </c>
      <c r="T195" s="34">
        <f t="shared" si="117"/>
        <v>-4.9107142857142856E-2</v>
      </c>
      <c r="U195" s="34">
        <f t="shared" ref="U195" si="118">N195/P195</f>
        <v>0.65337423312883436</v>
      </c>
      <c r="V195" s="40">
        <f t="shared" si="106"/>
        <v>417</v>
      </c>
      <c r="W195" s="40">
        <f t="shared" si="107"/>
        <v>21</v>
      </c>
      <c r="X195" s="40">
        <f t="shared" si="108"/>
        <v>207.33333333333334</v>
      </c>
      <c r="Y195" s="40">
        <f t="shared" si="109"/>
        <v>645.33333333333337</v>
      </c>
      <c r="Z195" s="59">
        <f t="shared" si="110"/>
        <v>-9.814049586776917E-3</v>
      </c>
      <c r="AA195" s="36"/>
    </row>
    <row r="196" spans="1:27" ht="16" thickBot="1" x14ac:dyDescent="0.4">
      <c r="A196" s="20">
        <f t="shared" si="74"/>
        <v>39914</v>
      </c>
      <c r="B196" s="22">
        <v>323</v>
      </c>
      <c r="C196" s="22">
        <v>406</v>
      </c>
      <c r="D196" s="22">
        <v>42</v>
      </c>
      <c r="E196" s="22">
        <v>441</v>
      </c>
      <c r="F196" s="22">
        <v>44</v>
      </c>
      <c r="G196" s="22">
        <v>69</v>
      </c>
      <c r="H196" s="22">
        <v>21</v>
      </c>
      <c r="I196" s="22">
        <v>55</v>
      </c>
      <c r="J196" s="22">
        <v>197</v>
      </c>
      <c r="K196" s="22">
        <v>407</v>
      </c>
      <c r="L196" s="22">
        <v>266</v>
      </c>
      <c r="M196" s="22">
        <v>432</v>
      </c>
      <c r="N196" s="45">
        <f t="shared" si="36"/>
        <v>564</v>
      </c>
      <c r="O196" s="3">
        <f t="shared" si="95"/>
        <v>893</v>
      </c>
      <c r="P196" s="3">
        <f t="shared" si="96"/>
        <v>882</v>
      </c>
      <c r="Q196" s="3">
        <f t="shared" si="97"/>
        <v>1810</v>
      </c>
      <c r="R196" s="34">
        <f t="shared" si="115"/>
        <v>-0.11737089201877934</v>
      </c>
      <c r="S196" s="32">
        <f t="shared" si="116"/>
        <v>-75</v>
      </c>
      <c r="T196" s="34">
        <f t="shared" si="117"/>
        <v>-0.06</v>
      </c>
      <c r="U196" s="34">
        <f t="shared" ref="U196" si="119">N196/P196</f>
        <v>0.63945578231292521</v>
      </c>
      <c r="V196" s="40">
        <f t="shared" si="106"/>
        <v>340</v>
      </c>
      <c r="W196" s="40">
        <f t="shared" si="107"/>
        <v>31.333333333333332</v>
      </c>
      <c r="X196" s="40">
        <f t="shared" si="108"/>
        <v>195</v>
      </c>
      <c r="Y196" s="40">
        <f t="shared" si="109"/>
        <v>566.33333333333337</v>
      </c>
      <c r="Z196" s="59">
        <f t="shared" si="110"/>
        <v>-4.1200706297822914E-3</v>
      </c>
      <c r="AA196" s="36"/>
    </row>
    <row r="197" spans="1:27" ht="16" thickBot="1" x14ac:dyDescent="0.4">
      <c r="A197" s="20">
        <f t="shared" si="74"/>
        <v>39921</v>
      </c>
      <c r="B197" s="22">
        <v>416</v>
      </c>
      <c r="C197" s="22">
        <v>546</v>
      </c>
      <c r="D197" s="22">
        <v>90</v>
      </c>
      <c r="E197" s="22">
        <v>575</v>
      </c>
      <c r="F197" s="22">
        <v>9</v>
      </c>
      <c r="G197" s="22">
        <v>15</v>
      </c>
      <c r="H197" s="22">
        <v>41</v>
      </c>
      <c r="I197" s="22">
        <v>75</v>
      </c>
      <c r="J197" s="22">
        <v>213</v>
      </c>
      <c r="K197" s="22">
        <v>503</v>
      </c>
      <c r="L197" s="22">
        <v>397</v>
      </c>
      <c r="M197" s="22">
        <v>577</v>
      </c>
      <c r="N197" s="45">
        <f t="shared" si="36"/>
        <v>638</v>
      </c>
      <c r="O197" s="3">
        <f t="shared" si="95"/>
        <v>1166</v>
      </c>
      <c r="P197" s="3">
        <f t="shared" si="96"/>
        <v>1064</v>
      </c>
      <c r="Q197" s="3">
        <f t="shared" si="97"/>
        <v>2291</v>
      </c>
      <c r="R197" s="34">
        <f t="shared" si="115"/>
        <v>0.13120567375886524</v>
      </c>
      <c r="S197" s="32">
        <f t="shared" si="116"/>
        <v>74</v>
      </c>
      <c r="T197" s="34">
        <f t="shared" si="117"/>
        <v>0.12920353982300886</v>
      </c>
      <c r="U197" s="34">
        <f t="shared" ref="U197" si="120">N197/P197</f>
        <v>0.59962406015037595</v>
      </c>
      <c r="V197" s="40">
        <f t="shared" si="106"/>
        <v>363.33333333333331</v>
      </c>
      <c r="W197" s="40">
        <f t="shared" si="107"/>
        <v>19.666666666666668</v>
      </c>
      <c r="X197" s="40">
        <f t="shared" si="108"/>
        <v>230.66666666666666</v>
      </c>
      <c r="Y197" s="40">
        <f t="shared" si="109"/>
        <v>613.66666666666663</v>
      </c>
      <c r="Z197" s="59">
        <f t="shared" si="110"/>
        <v>3.9652362846279259E-2</v>
      </c>
      <c r="AA197" s="36"/>
    </row>
    <row r="198" spans="1:27" ht="16" thickBot="1" x14ac:dyDescent="0.4">
      <c r="A198" s="20">
        <f t="shared" si="74"/>
        <v>39928</v>
      </c>
      <c r="B198" s="22">
        <v>312</v>
      </c>
      <c r="C198" s="22">
        <v>392</v>
      </c>
      <c r="D198" s="22">
        <v>64</v>
      </c>
      <c r="E198" s="22">
        <v>499</v>
      </c>
      <c r="F198" s="22">
        <v>34</v>
      </c>
      <c r="G198" s="22">
        <v>37</v>
      </c>
      <c r="H198" s="22">
        <v>9</v>
      </c>
      <c r="I198" s="22">
        <v>34</v>
      </c>
      <c r="J198" s="22">
        <v>166</v>
      </c>
      <c r="K198" s="22">
        <v>478</v>
      </c>
      <c r="L198" s="22">
        <v>373</v>
      </c>
      <c r="M198" s="22">
        <v>591</v>
      </c>
      <c r="N198" s="45">
        <f t="shared" si="36"/>
        <v>512</v>
      </c>
      <c r="O198" s="3">
        <f t="shared" si="95"/>
        <v>958</v>
      </c>
      <c r="P198" s="3">
        <f t="shared" si="96"/>
        <v>907</v>
      </c>
      <c r="Q198" s="3">
        <f t="shared" si="97"/>
        <v>2031</v>
      </c>
      <c r="R198" s="34">
        <f t="shared" si="115"/>
        <v>-0.19749216300940439</v>
      </c>
      <c r="S198" s="32">
        <f t="shared" si="116"/>
        <v>-126</v>
      </c>
      <c r="T198" s="34">
        <f t="shared" si="117"/>
        <v>4.2769857433808553E-2</v>
      </c>
      <c r="U198" s="34">
        <f t="shared" ref="U198" si="121">N198/P198</f>
        <v>0.56449834619625139</v>
      </c>
      <c r="V198" s="40">
        <f t="shared" si="106"/>
        <v>283</v>
      </c>
      <c r="W198" s="40">
        <f t="shared" si="107"/>
        <v>18.333333333333332</v>
      </c>
      <c r="X198" s="40">
        <f t="shared" si="108"/>
        <v>186.66666666666666</v>
      </c>
      <c r="Y198" s="40">
        <f t="shared" si="109"/>
        <v>488</v>
      </c>
      <c r="Z198" s="59">
        <f t="shared" si="110"/>
        <v>4.9180327868852458E-2</v>
      </c>
      <c r="AA198" s="36"/>
    </row>
    <row r="199" spans="1:27" ht="16" thickBot="1" x14ac:dyDescent="0.4">
      <c r="A199" s="20">
        <f t="shared" si="74"/>
        <v>39935</v>
      </c>
      <c r="B199" s="22">
        <v>371</v>
      </c>
      <c r="C199" s="22">
        <v>451</v>
      </c>
      <c r="D199" s="22">
        <v>47</v>
      </c>
      <c r="E199" s="22">
        <v>427</v>
      </c>
      <c r="F199" s="22">
        <v>41</v>
      </c>
      <c r="G199" s="22">
        <v>48</v>
      </c>
      <c r="H199" s="22">
        <v>25</v>
      </c>
      <c r="I199" s="22">
        <v>59</v>
      </c>
      <c r="J199" s="22">
        <v>179</v>
      </c>
      <c r="K199" s="22">
        <v>484</v>
      </c>
      <c r="L199" s="22">
        <v>412</v>
      </c>
      <c r="M199" s="22">
        <v>561</v>
      </c>
      <c r="N199" s="45">
        <f t="shared" si="36"/>
        <v>591</v>
      </c>
      <c r="O199" s="3">
        <f t="shared" si="95"/>
        <v>1075</v>
      </c>
      <c r="P199" s="3">
        <f t="shared" si="96"/>
        <v>983</v>
      </c>
      <c r="Q199" s="3">
        <f t="shared" si="97"/>
        <v>2030</v>
      </c>
      <c r="R199" s="34">
        <f t="shared" ref="R199" si="122">(N199-N198)/N198</f>
        <v>0.154296875</v>
      </c>
      <c r="S199" s="32">
        <f t="shared" ref="S199" si="123">N199-N198</f>
        <v>79</v>
      </c>
      <c r="T199" s="34">
        <f t="shared" ref="T199" si="124">(N199-N147)/N147</f>
        <v>0.74336283185840712</v>
      </c>
      <c r="U199" s="34">
        <f t="shared" ref="U199" si="125">N199/P199</f>
        <v>0.60122075279755849</v>
      </c>
      <c r="V199" s="40">
        <f t="shared" si="106"/>
        <v>250</v>
      </c>
      <c r="W199" s="40">
        <f t="shared" si="107"/>
        <v>40</v>
      </c>
      <c r="X199" s="40">
        <f t="shared" si="108"/>
        <v>176</v>
      </c>
      <c r="Y199" s="40">
        <f t="shared" si="109"/>
        <v>466</v>
      </c>
      <c r="Z199" s="59">
        <f t="shared" si="110"/>
        <v>0.26824034334763946</v>
      </c>
      <c r="AA199" s="36"/>
    </row>
    <row r="200" spans="1:27" ht="16" thickBot="1" x14ac:dyDescent="0.4">
      <c r="A200" s="20">
        <f t="shared" si="74"/>
        <v>39942</v>
      </c>
      <c r="B200" s="22">
        <v>456</v>
      </c>
      <c r="C200" s="22">
        <v>522</v>
      </c>
      <c r="D200" s="22">
        <v>62</v>
      </c>
      <c r="E200" s="22">
        <v>441</v>
      </c>
      <c r="F200" s="22">
        <v>4</v>
      </c>
      <c r="G200" s="22">
        <v>7</v>
      </c>
      <c r="H200" s="22">
        <v>0</v>
      </c>
      <c r="I200" s="22">
        <v>6</v>
      </c>
      <c r="J200" s="22">
        <v>160</v>
      </c>
      <c r="K200" s="22">
        <v>417</v>
      </c>
      <c r="L200" s="22">
        <v>361</v>
      </c>
      <c r="M200" s="22">
        <v>554</v>
      </c>
      <c r="N200" s="45">
        <f t="shared" si="36"/>
        <v>620</v>
      </c>
      <c r="O200" s="3">
        <f t="shared" si="95"/>
        <v>1043</v>
      </c>
      <c r="P200" s="3">
        <f t="shared" si="96"/>
        <v>946</v>
      </c>
      <c r="Q200" s="3">
        <f t="shared" si="97"/>
        <v>1947</v>
      </c>
      <c r="R200" s="34">
        <f t="shared" ref="R200" si="126">(N200-N199)/N199</f>
        <v>4.9069373942470386E-2</v>
      </c>
      <c r="S200" s="32">
        <f t="shared" ref="S200" si="127">N200-N199</f>
        <v>29</v>
      </c>
      <c r="T200" s="34">
        <f t="shared" ref="T200" si="128">(N200-N148)/N148</f>
        <v>0.75141242937853103</v>
      </c>
      <c r="U200" s="34">
        <f t="shared" ref="U200" si="129">N200/P200</f>
        <v>0.65539112050739956</v>
      </c>
      <c r="V200" s="40">
        <f t="shared" si="106"/>
        <v>261.33333333333331</v>
      </c>
      <c r="W200" s="40">
        <f t="shared" si="107"/>
        <v>22</v>
      </c>
      <c r="X200" s="40">
        <f t="shared" si="108"/>
        <v>163.66666666666666</v>
      </c>
      <c r="Y200" s="40">
        <f t="shared" si="109"/>
        <v>447</v>
      </c>
      <c r="Z200" s="59">
        <f t="shared" si="110"/>
        <v>0.38702460850111858</v>
      </c>
      <c r="AA200" s="36"/>
    </row>
    <row r="201" spans="1:27" ht="16" thickBot="1" x14ac:dyDescent="0.4">
      <c r="A201" s="20">
        <f t="shared" ref="A201:A291" si="130">7+A200</f>
        <v>39949</v>
      </c>
      <c r="B201" s="22">
        <v>553</v>
      </c>
      <c r="C201" s="22">
        <v>646</v>
      </c>
      <c r="D201" s="22">
        <v>64</v>
      </c>
      <c r="E201" s="22">
        <v>567</v>
      </c>
      <c r="F201" s="22">
        <v>4</v>
      </c>
      <c r="G201" s="22">
        <v>13</v>
      </c>
      <c r="H201" s="22">
        <v>0</v>
      </c>
      <c r="I201" s="22">
        <v>2</v>
      </c>
      <c r="J201" s="22">
        <v>256</v>
      </c>
      <c r="K201" s="22">
        <v>467</v>
      </c>
      <c r="L201" s="22">
        <v>325</v>
      </c>
      <c r="M201" s="22">
        <v>527</v>
      </c>
      <c r="N201" s="45">
        <f t="shared" si="36"/>
        <v>813</v>
      </c>
      <c r="O201" s="3">
        <f t="shared" si="95"/>
        <v>1202</v>
      </c>
      <c r="P201" s="3">
        <f t="shared" si="96"/>
        <v>1126</v>
      </c>
      <c r="Q201" s="3">
        <f t="shared" si="97"/>
        <v>2222</v>
      </c>
      <c r="R201" s="34">
        <f t="shared" ref="R201" si="131">(N201-N200)/N200</f>
        <v>0.31129032258064515</v>
      </c>
      <c r="S201" s="32">
        <f t="shared" ref="S201" si="132">N201-N200</f>
        <v>193</v>
      </c>
      <c r="T201" s="34">
        <f t="shared" ref="T201" si="133">(N201-N149)/N149</f>
        <v>0.45438282647584971</v>
      </c>
      <c r="U201" s="34">
        <f t="shared" ref="U201" si="134">N201/P201</f>
        <v>0.72202486678507993</v>
      </c>
      <c r="V201" s="40">
        <f t="shared" si="106"/>
        <v>346.66666666666669</v>
      </c>
      <c r="W201" s="40">
        <f t="shared" si="107"/>
        <v>27.666666666666668</v>
      </c>
      <c r="X201" s="40">
        <f t="shared" si="108"/>
        <v>236</v>
      </c>
      <c r="Y201" s="40">
        <f t="shared" si="109"/>
        <v>610.33333333333337</v>
      </c>
      <c r="Z201" s="59">
        <f t="shared" si="110"/>
        <v>0.33205898416166019</v>
      </c>
      <c r="AA201" s="36"/>
    </row>
    <row r="202" spans="1:27" ht="16" thickBot="1" x14ac:dyDescent="0.4">
      <c r="A202" s="20">
        <f t="shared" si="130"/>
        <v>39956</v>
      </c>
      <c r="B202" s="22">
        <v>444</v>
      </c>
      <c r="C202" s="22">
        <v>550</v>
      </c>
      <c r="D202" s="22">
        <v>40</v>
      </c>
      <c r="E202" s="22">
        <v>537</v>
      </c>
      <c r="F202" s="22">
        <v>0</v>
      </c>
      <c r="G202" s="22">
        <v>27</v>
      </c>
      <c r="H202" s="22">
        <v>17</v>
      </c>
      <c r="I202" s="22">
        <v>25</v>
      </c>
      <c r="J202" s="22">
        <v>138</v>
      </c>
      <c r="K202" s="22">
        <v>446</v>
      </c>
      <c r="L202" s="22">
        <v>322</v>
      </c>
      <c r="M202" s="22">
        <v>470</v>
      </c>
      <c r="N202" s="45">
        <f t="shared" si="36"/>
        <v>582</v>
      </c>
      <c r="O202" s="3">
        <f t="shared" si="95"/>
        <v>961</v>
      </c>
      <c r="P202" s="3">
        <f t="shared" si="96"/>
        <v>1023</v>
      </c>
      <c r="Q202" s="3">
        <f t="shared" si="97"/>
        <v>2055</v>
      </c>
      <c r="R202" s="34">
        <f t="shared" ref="R202" si="135">(N202-N201)/N201</f>
        <v>-0.28413284132841327</v>
      </c>
      <c r="S202" s="32">
        <f t="shared" ref="S202" si="136">N202-N201</f>
        <v>-231</v>
      </c>
      <c r="T202" s="34">
        <f t="shared" ref="T202" si="137">(N202-N150)/N150</f>
        <v>0.10227272727272728</v>
      </c>
      <c r="U202" s="34">
        <f t="shared" ref="U202" si="138">N202/P202</f>
        <v>0.56891495601173026</v>
      </c>
      <c r="V202" s="40">
        <f t="shared" si="106"/>
        <v>304.33333333333331</v>
      </c>
      <c r="W202" s="40">
        <f t="shared" si="107"/>
        <v>45</v>
      </c>
      <c r="X202" s="40">
        <f t="shared" si="108"/>
        <v>167.33333333333334</v>
      </c>
      <c r="Y202" s="40">
        <f t="shared" si="109"/>
        <v>516.66666666666663</v>
      </c>
      <c r="Z202" s="59">
        <f t="shared" si="110"/>
        <v>0.1264516129032259</v>
      </c>
      <c r="AA202" s="36"/>
    </row>
    <row r="203" spans="1:27" ht="16" thickBot="1" x14ac:dyDescent="0.4">
      <c r="A203" s="20">
        <f t="shared" si="130"/>
        <v>39963</v>
      </c>
      <c r="B203" s="22">
        <v>434</v>
      </c>
      <c r="C203" s="22">
        <v>572</v>
      </c>
      <c r="D203" s="22">
        <v>60</v>
      </c>
      <c r="E203" s="22">
        <v>501</v>
      </c>
      <c r="F203" s="22">
        <v>35</v>
      </c>
      <c r="G203" s="22">
        <v>44</v>
      </c>
      <c r="H203" s="22">
        <v>16</v>
      </c>
      <c r="I203" s="22">
        <v>41</v>
      </c>
      <c r="J203" s="22">
        <v>228</v>
      </c>
      <c r="K203" s="22">
        <v>528</v>
      </c>
      <c r="L203" s="22">
        <v>396</v>
      </c>
      <c r="M203" s="22">
        <v>563</v>
      </c>
      <c r="N203" s="45">
        <f t="shared" ref="N203:N281" si="139">SUM(B203,F203,J203)</f>
        <v>697</v>
      </c>
      <c r="O203" s="3">
        <f t="shared" ref="O203:O259" si="140">SUM(B203,D203,F203,H203,J203,L203)</f>
        <v>1169</v>
      </c>
      <c r="P203" s="3">
        <f t="shared" ref="P203:P259" si="141">SUM(C203,G203,K203)</f>
        <v>1144</v>
      </c>
      <c r="Q203" s="3">
        <f t="shared" ref="Q203:Q246" si="142">SUM(C203,E203,G203,I203,K203,M203)</f>
        <v>2249</v>
      </c>
      <c r="R203" s="34">
        <f t="shared" ref="R203" si="143">(N203-N202)/N202</f>
        <v>0.19759450171821305</v>
      </c>
      <c r="S203" s="32">
        <f t="shared" ref="S203" si="144">N203-N202</f>
        <v>115</v>
      </c>
      <c r="T203" s="34">
        <f t="shared" ref="T203" si="145">(N203-N151)/N151</f>
        <v>0.49250535331905781</v>
      </c>
      <c r="U203" s="34">
        <f t="shared" ref="U203" si="146">N203/P203</f>
        <v>0.60926573426573427</v>
      </c>
      <c r="V203" s="40">
        <f t="shared" si="106"/>
        <v>327.66666666666669</v>
      </c>
      <c r="W203" s="40">
        <f t="shared" si="107"/>
        <v>35.333333333333336</v>
      </c>
      <c r="X203" s="40">
        <f t="shared" si="108"/>
        <v>217.33333333333334</v>
      </c>
      <c r="Y203" s="40">
        <f t="shared" si="109"/>
        <v>580.33333333333337</v>
      </c>
      <c r="Z203" s="59">
        <f t="shared" si="110"/>
        <v>0.20103388856978741</v>
      </c>
      <c r="AA203" s="36"/>
    </row>
    <row r="204" spans="1:27" ht="16" thickBot="1" x14ac:dyDescent="0.4">
      <c r="A204" s="20">
        <f t="shared" si="130"/>
        <v>39970</v>
      </c>
      <c r="B204" s="22">
        <v>585</v>
      </c>
      <c r="C204" s="22">
        <v>672</v>
      </c>
      <c r="D204" s="22">
        <v>66</v>
      </c>
      <c r="E204" s="22">
        <v>611</v>
      </c>
      <c r="F204" s="22">
        <v>10</v>
      </c>
      <c r="G204" s="22">
        <v>35</v>
      </c>
      <c r="H204" s="22">
        <v>24</v>
      </c>
      <c r="I204" s="22">
        <v>43</v>
      </c>
      <c r="J204" s="22">
        <v>114</v>
      </c>
      <c r="K204" s="22">
        <v>389</v>
      </c>
      <c r="L204" s="22">
        <v>387</v>
      </c>
      <c r="M204" s="22">
        <v>570</v>
      </c>
      <c r="N204" s="45">
        <f t="shared" si="139"/>
        <v>709</v>
      </c>
      <c r="O204" s="3">
        <f t="shared" si="140"/>
        <v>1186</v>
      </c>
      <c r="P204" s="3">
        <f t="shared" si="141"/>
        <v>1096</v>
      </c>
      <c r="Q204" s="3">
        <f t="shared" si="142"/>
        <v>2320</v>
      </c>
      <c r="R204" s="34">
        <f t="shared" ref="R204" si="147">(N204-N203)/N203</f>
        <v>1.721664275466284E-2</v>
      </c>
      <c r="S204" s="32">
        <f t="shared" ref="S204" si="148">N204-N203</f>
        <v>12</v>
      </c>
      <c r="T204" s="34">
        <f t="shared" ref="T204" si="149">(N204-N152)/N152</f>
        <v>0.52473118279569897</v>
      </c>
      <c r="U204" s="34">
        <f t="shared" ref="U204" si="150">N204/P204</f>
        <v>0.64689781021897808</v>
      </c>
      <c r="V204" s="40">
        <f t="shared" si="106"/>
        <v>367</v>
      </c>
      <c r="W204" s="40">
        <f t="shared" si="107"/>
        <v>31.333333333333332</v>
      </c>
      <c r="X204" s="40">
        <f t="shared" si="108"/>
        <v>173.33333333333334</v>
      </c>
      <c r="Y204" s="40">
        <f t="shared" si="109"/>
        <v>571.66666666666663</v>
      </c>
      <c r="Z204" s="59">
        <f t="shared" si="110"/>
        <v>0.24023323615160358</v>
      </c>
      <c r="AA204" s="36"/>
    </row>
    <row r="205" spans="1:27" ht="16" thickBot="1" x14ac:dyDescent="0.4">
      <c r="A205" s="20">
        <f t="shared" si="130"/>
        <v>39977</v>
      </c>
      <c r="B205" s="22">
        <v>488</v>
      </c>
      <c r="C205" s="22">
        <v>587</v>
      </c>
      <c r="D205" s="22">
        <v>86</v>
      </c>
      <c r="E205" s="22">
        <v>608</v>
      </c>
      <c r="F205" s="22">
        <v>32</v>
      </c>
      <c r="G205" s="22">
        <v>37</v>
      </c>
      <c r="H205" s="22">
        <v>4</v>
      </c>
      <c r="I205" s="22">
        <v>42</v>
      </c>
      <c r="J205" s="22">
        <v>214</v>
      </c>
      <c r="K205" s="22">
        <v>464</v>
      </c>
      <c r="L205" s="22">
        <v>368</v>
      </c>
      <c r="M205" s="22">
        <v>552</v>
      </c>
      <c r="N205" s="45">
        <f t="shared" si="139"/>
        <v>734</v>
      </c>
      <c r="O205" s="3">
        <f t="shared" si="140"/>
        <v>1192</v>
      </c>
      <c r="P205" s="3">
        <f t="shared" si="141"/>
        <v>1088</v>
      </c>
      <c r="Q205" s="3">
        <f t="shared" si="142"/>
        <v>2290</v>
      </c>
      <c r="R205" s="34">
        <f t="shared" ref="R205" si="151">(N205-N204)/N204</f>
        <v>3.5260930888575459E-2</v>
      </c>
      <c r="S205" s="32">
        <f t="shared" ref="S205" si="152">N205-N204</f>
        <v>25</v>
      </c>
      <c r="T205" s="34">
        <f t="shared" ref="T205" si="153">(N205-N153)/N153</f>
        <v>0.59565217391304348</v>
      </c>
      <c r="U205" s="34">
        <f t="shared" ref="U205" si="154">N205/P205</f>
        <v>0.67463235294117652</v>
      </c>
      <c r="V205" s="40">
        <f t="shared" si="106"/>
        <v>342</v>
      </c>
      <c r="W205" s="40">
        <f t="shared" si="107"/>
        <v>24.333333333333332</v>
      </c>
      <c r="X205" s="40">
        <f t="shared" si="108"/>
        <v>199.33333333333334</v>
      </c>
      <c r="Y205" s="40">
        <f t="shared" si="109"/>
        <v>565.66666666666663</v>
      </c>
      <c r="Z205" s="59">
        <f t="shared" si="110"/>
        <v>0.2975839717147909</v>
      </c>
      <c r="AA205" s="36"/>
    </row>
    <row r="206" spans="1:27" ht="16" thickBot="1" x14ac:dyDescent="0.4">
      <c r="A206" s="20">
        <f t="shared" si="130"/>
        <v>39984</v>
      </c>
      <c r="B206" s="22">
        <v>422</v>
      </c>
      <c r="C206" s="22">
        <v>523</v>
      </c>
      <c r="D206" s="22">
        <v>70</v>
      </c>
      <c r="E206" s="22">
        <v>748</v>
      </c>
      <c r="F206" s="22">
        <v>50</v>
      </c>
      <c r="G206" s="22">
        <v>80</v>
      </c>
      <c r="H206" s="22">
        <v>16</v>
      </c>
      <c r="I206" s="22">
        <v>59</v>
      </c>
      <c r="J206" s="22">
        <v>120</v>
      </c>
      <c r="K206" s="22">
        <v>400</v>
      </c>
      <c r="L206" s="22">
        <v>373</v>
      </c>
      <c r="M206" s="22">
        <v>530</v>
      </c>
      <c r="N206" s="45">
        <f t="shared" si="139"/>
        <v>592</v>
      </c>
      <c r="O206" s="3">
        <f t="shared" si="140"/>
        <v>1051</v>
      </c>
      <c r="P206" s="3">
        <f t="shared" si="141"/>
        <v>1003</v>
      </c>
      <c r="Q206" s="3">
        <f t="shared" si="142"/>
        <v>2340</v>
      </c>
      <c r="R206" s="34">
        <f t="shared" ref="R206" si="155">(N206-N205)/N205</f>
        <v>-0.19346049046321526</v>
      </c>
      <c r="S206" s="32">
        <f t="shared" ref="S206" si="156">N206-N205</f>
        <v>-142</v>
      </c>
      <c r="T206" s="34">
        <f t="shared" ref="T206" si="157">(N206-N154)/N154</f>
        <v>0.20570264765784113</v>
      </c>
      <c r="U206" s="34">
        <f t="shared" ref="U206" si="158">N206/P206</f>
        <v>0.59022931206380858</v>
      </c>
      <c r="V206" s="40">
        <f t="shared" si="106"/>
        <v>302.66666666666669</v>
      </c>
      <c r="W206" s="40">
        <f t="shared" si="107"/>
        <v>39.333333333333336</v>
      </c>
      <c r="X206" s="40">
        <f t="shared" si="108"/>
        <v>250</v>
      </c>
      <c r="Y206" s="40">
        <f t="shared" si="109"/>
        <v>592</v>
      </c>
      <c r="Z206" s="59">
        <f t="shared" si="110"/>
        <v>0</v>
      </c>
      <c r="AA206" s="36"/>
    </row>
    <row r="207" spans="1:27" ht="16" thickBot="1" x14ac:dyDescent="0.4">
      <c r="A207" s="20">
        <f t="shared" si="130"/>
        <v>39991</v>
      </c>
      <c r="B207" s="22">
        <v>487</v>
      </c>
      <c r="C207" s="22">
        <v>587</v>
      </c>
      <c r="D207" s="22">
        <v>41</v>
      </c>
      <c r="E207" s="22">
        <v>615</v>
      </c>
      <c r="F207" s="22">
        <v>35</v>
      </c>
      <c r="G207" s="22">
        <v>45</v>
      </c>
      <c r="H207" s="22">
        <v>12</v>
      </c>
      <c r="I207" s="22">
        <v>42</v>
      </c>
      <c r="J207" s="22">
        <v>164</v>
      </c>
      <c r="K207" s="22">
        <v>418</v>
      </c>
      <c r="L207" s="22">
        <v>406</v>
      </c>
      <c r="M207" s="22">
        <v>564</v>
      </c>
      <c r="N207" s="45">
        <f t="shared" si="139"/>
        <v>686</v>
      </c>
      <c r="O207" s="3">
        <f t="shared" si="140"/>
        <v>1145</v>
      </c>
      <c r="P207" s="3">
        <f t="shared" si="141"/>
        <v>1050</v>
      </c>
      <c r="Q207" s="3">
        <f t="shared" si="142"/>
        <v>2271</v>
      </c>
      <c r="R207" s="34">
        <f t="shared" ref="R207" si="159">(N207-N206)/N206</f>
        <v>0.15878378378378377</v>
      </c>
      <c r="S207" s="32">
        <f t="shared" ref="S207" si="160">N207-N206</f>
        <v>94</v>
      </c>
      <c r="T207" s="34">
        <f t="shared" ref="T207" si="161">(N207-N155)/N155</f>
        <v>0.8794520547945206</v>
      </c>
      <c r="U207" s="34">
        <f t="shared" ref="U207" si="162">N207/P207</f>
        <v>0.65333333333333332</v>
      </c>
      <c r="V207" s="40">
        <f t="shared" si="106"/>
        <v>323.33333333333331</v>
      </c>
      <c r="W207" s="40">
        <f t="shared" si="107"/>
        <v>25</v>
      </c>
      <c r="X207" s="40">
        <f t="shared" si="108"/>
        <v>182.66666666666666</v>
      </c>
      <c r="Y207" s="40">
        <f t="shared" si="109"/>
        <v>531</v>
      </c>
      <c r="Z207" s="59">
        <f t="shared" si="110"/>
        <v>0.29190207156308851</v>
      </c>
      <c r="AA207" s="36"/>
    </row>
    <row r="208" spans="1:27" ht="16" thickBot="1" x14ac:dyDescent="0.4">
      <c r="A208" s="20">
        <f t="shared" si="130"/>
        <v>39998</v>
      </c>
      <c r="B208" s="22">
        <v>501</v>
      </c>
      <c r="C208" s="22">
        <v>563</v>
      </c>
      <c r="D208" s="22">
        <v>52</v>
      </c>
      <c r="E208" s="22">
        <v>641</v>
      </c>
      <c r="F208" s="22">
        <v>39</v>
      </c>
      <c r="G208" s="22">
        <v>51</v>
      </c>
      <c r="H208" s="22">
        <v>15</v>
      </c>
      <c r="I208" s="22">
        <v>42</v>
      </c>
      <c r="J208" s="22">
        <v>221</v>
      </c>
      <c r="K208" s="22">
        <v>525</v>
      </c>
      <c r="L208" s="22">
        <v>412</v>
      </c>
      <c r="M208" s="22">
        <v>586</v>
      </c>
      <c r="N208" s="45">
        <f t="shared" si="139"/>
        <v>761</v>
      </c>
      <c r="O208" s="3">
        <f t="shared" si="140"/>
        <v>1240</v>
      </c>
      <c r="P208" s="3">
        <f t="shared" si="141"/>
        <v>1139</v>
      </c>
      <c r="Q208" s="3">
        <f t="shared" si="142"/>
        <v>2408</v>
      </c>
      <c r="R208" s="34">
        <f t="shared" ref="R208" si="163">(N208-N207)/N207</f>
        <v>0.10932944606413994</v>
      </c>
      <c r="S208" s="32">
        <f t="shared" ref="S208" si="164">N208-N207</f>
        <v>75</v>
      </c>
      <c r="T208" s="34">
        <f t="shared" ref="T208" si="165">(N208-N156)/N156</f>
        <v>0.79481132075471694</v>
      </c>
      <c r="U208" s="34">
        <f t="shared" ref="U208" si="166">N208/P208</f>
        <v>0.66812993854258118</v>
      </c>
      <c r="V208" s="40">
        <f t="shared" si="106"/>
        <v>295.66666666666669</v>
      </c>
      <c r="W208" s="40">
        <f t="shared" si="107"/>
        <v>25.333333333333332</v>
      </c>
      <c r="X208" s="40">
        <f t="shared" si="108"/>
        <v>214.33333333333334</v>
      </c>
      <c r="Y208" s="40">
        <f t="shared" si="109"/>
        <v>535.33333333333337</v>
      </c>
      <c r="Z208" s="59">
        <f t="shared" si="110"/>
        <v>0.421544209215442</v>
      </c>
      <c r="AA208" s="36"/>
    </row>
    <row r="209" spans="1:27" ht="16" thickBot="1" x14ac:dyDescent="0.4">
      <c r="A209" s="20">
        <f t="shared" si="130"/>
        <v>40005</v>
      </c>
      <c r="B209" s="22">
        <v>479</v>
      </c>
      <c r="C209" s="22">
        <v>577</v>
      </c>
      <c r="D209" s="22">
        <v>51</v>
      </c>
      <c r="E209" s="22">
        <v>609</v>
      </c>
      <c r="F209" s="22">
        <v>24</v>
      </c>
      <c r="G209" s="22">
        <v>36</v>
      </c>
      <c r="H209" s="22">
        <v>11</v>
      </c>
      <c r="I209" s="22">
        <v>25</v>
      </c>
      <c r="J209" s="22">
        <v>148</v>
      </c>
      <c r="K209" s="22">
        <v>408</v>
      </c>
      <c r="L209" s="22">
        <v>395</v>
      </c>
      <c r="M209" s="22">
        <v>521</v>
      </c>
      <c r="N209" s="45">
        <f t="shared" si="139"/>
        <v>651</v>
      </c>
      <c r="O209" s="3">
        <f t="shared" si="140"/>
        <v>1108</v>
      </c>
      <c r="P209" s="3">
        <f t="shared" si="141"/>
        <v>1021</v>
      </c>
      <c r="Q209" s="3">
        <f t="shared" si="142"/>
        <v>2176</v>
      </c>
      <c r="R209" s="34">
        <f t="shared" ref="R209" si="167">(N209-N208)/N208</f>
        <v>-0.14454664914586071</v>
      </c>
      <c r="S209" s="32">
        <f t="shared" ref="S209" si="168">N209-N208</f>
        <v>-110</v>
      </c>
      <c r="T209" s="34">
        <f t="shared" ref="T209" si="169">(N209-N157)/N157</f>
        <v>9.9662162162162157E-2</v>
      </c>
      <c r="U209" s="34">
        <f t="shared" ref="U209" si="170">N209/P209</f>
        <v>0.63761018609206666</v>
      </c>
      <c r="V209" s="40">
        <f t="shared" si="106"/>
        <v>365</v>
      </c>
      <c r="W209" s="40">
        <f t="shared" si="107"/>
        <v>23.333333333333332</v>
      </c>
      <c r="X209" s="40">
        <f t="shared" si="108"/>
        <v>209</v>
      </c>
      <c r="Y209" s="40">
        <f t="shared" si="109"/>
        <v>597.33333333333337</v>
      </c>
      <c r="Z209" s="59">
        <f t="shared" si="110"/>
        <v>8.9843749999999931E-2</v>
      </c>
      <c r="AA209" s="36"/>
    </row>
    <row r="210" spans="1:27" ht="16" thickBot="1" x14ac:dyDescent="0.4">
      <c r="A210" s="20">
        <f t="shared" si="130"/>
        <v>40012</v>
      </c>
      <c r="B210" s="22">
        <v>559</v>
      </c>
      <c r="C210" s="22">
        <v>675</v>
      </c>
      <c r="D210" s="22">
        <v>89</v>
      </c>
      <c r="E210" s="22">
        <v>579</v>
      </c>
      <c r="F210" s="22">
        <v>41</v>
      </c>
      <c r="G210" s="22">
        <v>53</v>
      </c>
      <c r="H210" s="22">
        <v>14</v>
      </c>
      <c r="I210" s="22">
        <v>30</v>
      </c>
      <c r="J210" s="22">
        <v>277</v>
      </c>
      <c r="K210" s="22">
        <v>605</v>
      </c>
      <c r="L210" s="22">
        <v>467</v>
      </c>
      <c r="M210" s="22">
        <v>637</v>
      </c>
      <c r="N210" s="45">
        <f t="shared" si="139"/>
        <v>877</v>
      </c>
      <c r="O210" s="3">
        <f t="shared" si="140"/>
        <v>1447</v>
      </c>
      <c r="P210" s="3">
        <f t="shared" si="141"/>
        <v>1333</v>
      </c>
      <c r="Q210" s="3">
        <f t="shared" si="142"/>
        <v>2579</v>
      </c>
      <c r="R210" s="34">
        <f t="shared" ref="R210" si="171">(N210-N209)/N209</f>
        <v>0.34715821812596004</v>
      </c>
      <c r="S210" s="32">
        <f t="shared" ref="S210" si="172">N210-N209</f>
        <v>226</v>
      </c>
      <c r="T210" s="34">
        <f t="shared" ref="T210" si="173">(N210-N158)/N158</f>
        <v>0.63925233644859814</v>
      </c>
      <c r="U210" s="34">
        <f t="shared" ref="U210" si="174">N210/P210</f>
        <v>0.65791447861965491</v>
      </c>
      <c r="V210" s="40">
        <f t="shared" si="106"/>
        <v>334.66666666666669</v>
      </c>
      <c r="W210" s="40">
        <f t="shared" si="107"/>
        <v>23.666666666666668</v>
      </c>
      <c r="X210" s="40">
        <f t="shared" si="108"/>
        <v>164.33333333333334</v>
      </c>
      <c r="Y210" s="40">
        <f t="shared" si="109"/>
        <v>522.66666666666663</v>
      </c>
      <c r="Z210" s="59">
        <f t="shared" si="110"/>
        <v>0.67793367346938793</v>
      </c>
      <c r="AA210" s="36"/>
    </row>
    <row r="211" spans="1:27" ht="16" thickBot="1" x14ac:dyDescent="0.4">
      <c r="A211" s="20">
        <f t="shared" si="130"/>
        <v>40019</v>
      </c>
      <c r="B211" s="22">
        <v>525</v>
      </c>
      <c r="C211" s="22">
        <v>638</v>
      </c>
      <c r="D211" s="22">
        <v>57</v>
      </c>
      <c r="E211" s="22">
        <v>717</v>
      </c>
      <c r="F211" s="22">
        <v>43</v>
      </c>
      <c r="G211" s="22">
        <v>50</v>
      </c>
      <c r="H211" s="22">
        <v>16</v>
      </c>
      <c r="I211" s="22">
        <v>40</v>
      </c>
      <c r="J211" s="22">
        <v>215</v>
      </c>
      <c r="K211" s="22">
        <v>520</v>
      </c>
      <c r="L211" s="22">
        <v>331</v>
      </c>
      <c r="M211" s="22">
        <v>489</v>
      </c>
      <c r="N211" s="45">
        <f t="shared" si="139"/>
        <v>783</v>
      </c>
      <c r="O211" s="3">
        <f t="shared" si="140"/>
        <v>1187</v>
      </c>
      <c r="P211" s="3">
        <f t="shared" si="141"/>
        <v>1208</v>
      </c>
      <c r="Q211" s="3">
        <f t="shared" si="142"/>
        <v>2454</v>
      </c>
      <c r="R211" s="34">
        <f t="shared" ref="R211" si="175">(N211-N210)/N210</f>
        <v>-0.10718358038768529</v>
      </c>
      <c r="S211" s="32">
        <f t="shared" ref="S211" si="176">N211-N210</f>
        <v>-94</v>
      </c>
      <c r="T211" s="34">
        <f t="shared" ref="T211" si="177">(N211-N159)/N159</f>
        <v>0.50576923076923075</v>
      </c>
      <c r="U211" s="34">
        <f t="shared" ref="U211" si="178">N211/P211</f>
        <v>0.64817880794701987</v>
      </c>
      <c r="V211" s="40">
        <f t="shared" si="106"/>
        <v>322.33333333333331</v>
      </c>
      <c r="W211" s="40">
        <f t="shared" si="107"/>
        <v>29.333333333333332</v>
      </c>
      <c r="X211" s="40">
        <f t="shared" si="108"/>
        <v>197</v>
      </c>
      <c r="Y211" s="40">
        <f t="shared" si="109"/>
        <v>548.66666666666663</v>
      </c>
      <c r="Z211" s="59">
        <f t="shared" si="110"/>
        <v>0.42709599027946549</v>
      </c>
      <c r="AA211" s="36"/>
    </row>
    <row r="212" spans="1:27" ht="16" thickBot="1" x14ac:dyDescent="0.4">
      <c r="A212" s="20">
        <f t="shared" si="130"/>
        <v>40026</v>
      </c>
      <c r="B212" s="22">
        <v>438</v>
      </c>
      <c r="C212" s="22">
        <v>571</v>
      </c>
      <c r="D212" s="22">
        <v>70</v>
      </c>
      <c r="E212" s="22">
        <v>810</v>
      </c>
      <c r="F212" s="22">
        <v>35</v>
      </c>
      <c r="G212" s="22">
        <v>52</v>
      </c>
      <c r="H212" s="22">
        <v>8</v>
      </c>
      <c r="I212" s="22">
        <v>14</v>
      </c>
      <c r="J212" s="22">
        <v>214</v>
      </c>
      <c r="K212" s="22">
        <v>540</v>
      </c>
      <c r="L212" s="22">
        <v>407</v>
      </c>
      <c r="M212" s="22">
        <v>575</v>
      </c>
      <c r="N212" s="45">
        <f t="shared" si="139"/>
        <v>687</v>
      </c>
      <c r="O212" s="3">
        <f t="shared" si="140"/>
        <v>1172</v>
      </c>
      <c r="P212" s="3">
        <f t="shared" si="141"/>
        <v>1163</v>
      </c>
      <c r="Q212" s="3">
        <f t="shared" si="142"/>
        <v>2562</v>
      </c>
      <c r="R212" s="34">
        <f t="shared" ref="R212" si="179">(N212-N211)/N211</f>
        <v>-0.12260536398467432</v>
      </c>
      <c r="S212" s="32">
        <f t="shared" ref="S212" si="180">N212-N211</f>
        <v>-96</v>
      </c>
      <c r="T212" s="34">
        <f t="shared" ref="T212" si="181">(N212-N160)/N160</f>
        <v>0.34442270058708413</v>
      </c>
      <c r="U212" s="34">
        <f t="shared" ref="U212" si="182">N212/P212</f>
        <v>0.59071367153912291</v>
      </c>
      <c r="V212" s="40">
        <f t="shared" si="106"/>
        <v>256.66666666666669</v>
      </c>
      <c r="W212" s="40">
        <f t="shared" si="107"/>
        <v>32.333333333333336</v>
      </c>
      <c r="X212" s="40">
        <f t="shared" si="108"/>
        <v>174.33333333333334</v>
      </c>
      <c r="Y212" s="40">
        <f t="shared" si="109"/>
        <v>463.33333333333331</v>
      </c>
      <c r="Z212" s="59">
        <f t="shared" si="110"/>
        <v>0.48273381294964035</v>
      </c>
      <c r="AA212" s="36"/>
    </row>
    <row r="213" spans="1:27" ht="16" thickBot="1" x14ac:dyDescent="0.4">
      <c r="A213" s="20">
        <f t="shared" si="130"/>
        <v>40033</v>
      </c>
      <c r="B213" s="22">
        <v>324</v>
      </c>
      <c r="C213" s="22">
        <v>422</v>
      </c>
      <c r="D213" s="22">
        <v>100</v>
      </c>
      <c r="E213" s="22">
        <v>659</v>
      </c>
      <c r="F213" s="22">
        <v>49</v>
      </c>
      <c r="G213" s="22">
        <v>66</v>
      </c>
      <c r="H213" s="22">
        <v>7</v>
      </c>
      <c r="I213" s="22">
        <v>28</v>
      </c>
      <c r="J213" s="22">
        <v>242</v>
      </c>
      <c r="K213" s="22">
        <v>511</v>
      </c>
      <c r="L213" s="22">
        <v>352</v>
      </c>
      <c r="M213" s="22">
        <v>533</v>
      </c>
      <c r="N213" s="45">
        <f t="shared" si="139"/>
        <v>615</v>
      </c>
      <c r="O213" s="3">
        <f t="shared" si="140"/>
        <v>1074</v>
      </c>
      <c r="P213" s="3">
        <f t="shared" si="141"/>
        <v>999</v>
      </c>
      <c r="Q213" s="3">
        <f t="shared" si="142"/>
        <v>2219</v>
      </c>
      <c r="R213" s="34">
        <f t="shared" ref="R213" si="183">(N213-N212)/N212</f>
        <v>-0.10480349344978165</v>
      </c>
      <c r="S213" s="32">
        <f t="shared" ref="S213" si="184">N213-N212</f>
        <v>-72</v>
      </c>
      <c r="T213" s="34">
        <f t="shared" ref="T213" si="185">(N213-N161)/N161</f>
        <v>0.5222772277227723</v>
      </c>
      <c r="U213" s="34">
        <f t="shared" ref="U213" si="186">N213/P213</f>
        <v>0.61561561561561562</v>
      </c>
      <c r="V213" s="40">
        <f t="shared" si="106"/>
        <v>215</v>
      </c>
      <c r="W213" s="40">
        <f t="shared" si="107"/>
        <v>37.333333333333336</v>
      </c>
      <c r="X213" s="40">
        <f t="shared" si="108"/>
        <v>159.66666666666666</v>
      </c>
      <c r="Y213" s="40">
        <f t="shared" si="109"/>
        <v>412</v>
      </c>
      <c r="Z213" s="59">
        <f t="shared" si="110"/>
        <v>0.49271844660194175</v>
      </c>
      <c r="AA213" s="36"/>
    </row>
    <row r="214" spans="1:27" ht="16" thickBot="1" x14ac:dyDescent="0.4">
      <c r="A214" s="20">
        <f t="shared" si="130"/>
        <v>40040</v>
      </c>
      <c r="B214" s="22">
        <v>346</v>
      </c>
      <c r="C214" s="22">
        <v>440</v>
      </c>
      <c r="D214" s="22">
        <v>71</v>
      </c>
      <c r="E214" s="22">
        <v>710</v>
      </c>
      <c r="F214" s="22">
        <v>53</v>
      </c>
      <c r="G214" s="22">
        <v>65</v>
      </c>
      <c r="H214" s="22">
        <v>19</v>
      </c>
      <c r="I214" s="22">
        <v>34</v>
      </c>
      <c r="J214" s="22">
        <v>242</v>
      </c>
      <c r="K214" s="22">
        <v>575</v>
      </c>
      <c r="L214" s="22">
        <v>363</v>
      </c>
      <c r="M214" s="22">
        <v>530</v>
      </c>
      <c r="N214" s="45">
        <f t="shared" si="139"/>
        <v>641</v>
      </c>
      <c r="O214" s="3">
        <f t="shared" si="140"/>
        <v>1094</v>
      </c>
      <c r="P214" s="3">
        <f t="shared" si="141"/>
        <v>1080</v>
      </c>
      <c r="Q214" s="3">
        <f t="shared" si="142"/>
        <v>2354</v>
      </c>
      <c r="R214" s="34">
        <f t="shared" ref="R214" si="187">(N214-N213)/N213</f>
        <v>4.2276422764227641E-2</v>
      </c>
      <c r="S214" s="32">
        <f t="shared" ref="S214" si="188">N214-N213</f>
        <v>26</v>
      </c>
      <c r="T214" s="34">
        <f t="shared" ref="T214" si="189">(N214-N162)/N162</f>
        <v>6.4784053156146174E-2</v>
      </c>
      <c r="U214" s="34">
        <f t="shared" ref="U214" si="190">N214/P214</f>
        <v>0.59351851851851856</v>
      </c>
      <c r="V214" s="40">
        <f t="shared" si="106"/>
        <v>166.33333333333334</v>
      </c>
      <c r="W214" s="40">
        <f t="shared" si="107"/>
        <v>36</v>
      </c>
      <c r="X214" s="40">
        <f t="shared" si="108"/>
        <v>220.33333333333334</v>
      </c>
      <c r="Y214" s="40">
        <f t="shared" si="109"/>
        <v>422.66666666666669</v>
      </c>
      <c r="Z214" s="59">
        <f t="shared" si="110"/>
        <v>0.51656151419558349</v>
      </c>
      <c r="AA214" s="36"/>
    </row>
    <row r="215" spans="1:27" ht="16" thickBot="1" x14ac:dyDescent="0.4">
      <c r="A215" s="20">
        <f t="shared" si="130"/>
        <v>40047</v>
      </c>
      <c r="B215" s="22">
        <v>269</v>
      </c>
      <c r="C215" s="22">
        <v>351</v>
      </c>
      <c r="D215" s="22">
        <v>88</v>
      </c>
      <c r="E215" s="22">
        <v>590</v>
      </c>
      <c r="F215" s="22">
        <v>29</v>
      </c>
      <c r="G215" s="22">
        <v>44</v>
      </c>
      <c r="H215" s="22">
        <v>21</v>
      </c>
      <c r="I215" s="22">
        <v>40</v>
      </c>
      <c r="J215" s="22">
        <v>131</v>
      </c>
      <c r="K215" s="22">
        <v>408</v>
      </c>
      <c r="L215" s="22">
        <v>392</v>
      </c>
      <c r="M215" s="22">
        <v>559</v>
      </c>
      <c r="N215" s="45">
        <f t="shared" si="139"/>
        <v>429</v>
      </c>
      <c r="O215" s="3">
        <f t="shared" si="140"/>
        <v>930</v>
      </c>
      <c r="P215" s="3">
        <f t="shared" si="141"/>
        <v>803</v>
      </c>
      <c r="Q215" s="3">
        <f t="shared" si="142"/>
        <v>1992</v>
      </c>
      <c r="R215" s="34">
        <f t="shared" ref="R215" si="191">(N215-N214)/N214</f>
        <v>-0.33073322932917315</v>
      </c>
      <c r="S215" s="32">
        <f t="shared" ref="S215" si="192">N215-N214</f>
        <v>-212</v>
      </c>
      <c r="T215" s="34">
        <f t="shared" ref="T215" si="193">(N215-N163)/N163</f>
        <v>-5.921052631578947E-2</v>
      </c>
      <c r="U215" s="34">
        <f t="shared" ref="U215" si="194">N215/P215</f>
        <v>0.53424657534246578</v>
      </c>
      <c r="V215" s="40">
        <f t="shared" si="106"/>
        <v>158.33333333333334</v>
      </c>
      <c r="W215" s="40">
        <f t="shared" si="107"/>
        <v>37.333333333333336</v>
      </c>
      <c r="X215" s="40">
        <f t="shared" si="108"/>
        <v>166.33333333333334</v>
      </c>
      <c r="Y215" s="40">
        <f t="shared" si="109"/>
        <v>362</v>
      </c>
      <c r="Z215" s="59">
        <f t="shared" si="110"/>
        <v>0.18508287292817679</v>
      </c>
      <c r="AA215" s="36"/>
    </row>
    <row r="216" spans="1:27" ht="16" thickBot="1" x14ac:dyDescent="0.4">
      <c r="A216" s="20">
        <f t="shared" si="130"/>
        <v>40054</v>
      </c>
      <c r="B216" s="22">
        <v>274</v>
      </c>
      <c r="C216" s="22">
        <v>364</v>
      </c>
      <c r="D216" s="22">
        <v>75</v>
      </c>
      <c r="E216" s="22">
        <v>549</v>
      </c>
      <c r="F216" s="22">
        <v>65</v>
      </c>
      <c r="G216" s="22">
        <v>73</v>
      </c>
      <c r="H216" s="22">
        <v>19</v>
      </c>
      <c r="I216" s="22">
        <v>51</v>
      </c>
      <c r="J216" s="22">
        <v>184</v>
      </c>
      <c r="K216" s="22">
        <v>456</v>
      </c>
      <c r="L216" s="22">
        <v>349</v>
      </c>
      <c r="M216" s="22">
        <v>550</v>
      </c>
      <c r="N216" s="45">
        <f t="shared" si="139"/>
        <v>523</v>
      </c>
      <c r="O216" s="3">
        <f t="shared" si="140"/>
        <v>966</v>
      </c>
      <c r="P216" s="3">
        <f t="shared" si="141"/>
        <v>893</v>
      </c>
      <c r="Q216" s="3">
        <f t="shared" si="142"/>
        <v>2043</v>
      </c>
      <c r="R216" s="34">
        <f t="shared" ref="R216" si="195">(N216-N215)/N215</f>
        <v>0.21911421911421911</v>
      </c>
      <c r="S216" s="32">
        <f t="shared" ref="S216" si="196">N216-N215</f>
        <v>94</v>
      </c>
      <c r="T216" s="34">
        <f t="shared" ref="T216" si="197">(N216-N164)/N164</f>
        <v>0.62422360248447206</v>
      </c>
      <c r="U216" s="34">
        <f t="shared" ref="U216" si="198">N216/P216</f>
        <v>0.58566629339305709</v>
      </c>
      <c r="V216" s="40">
        <f t="shared" si="106"/>
        <v>115.66666666666667</v>
      </c>
      <c r="W216" s="40">
        <f t="shared" si="107"/>
        <v>32.666666666666664</v>
      </c>
      <c r="X216" s="40">
        <f t="shared" si="108"/>
        <v>142</v>
      </c>
      <c r="Y216" s="40">
        <f t="shared" si="109"/>
        <v>290.33333333333331</v>
      </c>
      <c r="Z216" s="59">
        <f t="shared" si="110"/>
        <v>0.80137772675086116</v>
      </c>
      <c r="AA216" s="36"/>
    </row>
    <row r="217" spans="1:27" ht="16" thickBot="1" x14ac:dyDescent="0.4">
      <c r="A217" s="20">
        <f t="shared" si="130"/>
        <v>40061</v>
      </c>
      <c r="B217" s="22">
        <v>222</v>
      </c>
      <c r="C217" s="22">
        <v>287</v>
      </c>
      <c r="D217" s="22">
        <v>50</v>
      </c>
      <c r="E217" s="22">
        <v>329</v>
      </c>
      <c r="F217" s="22">
        <v>50</v>
      </c>
      <c r="G217" s="22">
        <v>66</v>
      </c>
      <c r="H217" s="22">
        <v>7</v>
      </c>
      <c r="I217" s="22">
        <v>15</v>
      </c>
      <c r="J217" s="22">
        <v>243</v>
      </c>
      <c r="K217" s="22">
        <v>566</v>
      </c>
      <c r="L217" s="22">
        <v>343</v>
      </c>
      <c r="M217" s="22">
        <v>508</v>
      </c>
      <c r="N217" s="45">
        <f t="shared" si="139"/>
        <v>515</v>
      </c>
      <c r="O217" s="3">
        <f t="shared" si="140"/>
        <v>915</v>
      </c>
      <c r="P217" s="3">
        <f t="shared" si="141"/>
        <v>919</v>
      </c>
      <c r="Q217" s="3">
        <f t="shared" si="142"/>
        <v>1771</v>
      </c>
      <c r="R217" s="34">
        <f t="shared" ref="R217" si="199">(N217-N216)/N216</f>
        <v>-1.5296367112810707E-2</v>
      </c>
      <c r="S217" s="32">
        <f t="shared" ref="S217" si="200">N217-N216</f>
        <v>-8</v>
      </c>
      <c r="T217" s="34">
        <f t="shared" ref="T217" si="201">(N217-N165)/N165</f>
        <v>0.51470588235294112</v>
      </c>
      <c r="U217" s="34">
        <f t="shared" ref="U217" si="202">N217/P217</f>
        <v>0.56039173014145816</v>
      </c>
      <c r="V217" s="40">
        <f t="shared" si="106"/>
        <v>115</v>
      </c>
      <c r="W217" s="40">
        <f t="shared" si="107"/>
        <v>22</v>
      </c>
      <c r="X217" s="40">
        <f t="shared" si="108"/>
        <v>166.66666666666666</v>
      </c>
      <c r="Y217" s="40">
        <f t="shared" si="109"/>
        <v>303.66666666666669</v>
      </c>
      <c r="Z217" s="59">
        <f t="shared" si="110"/>
        <v>0.69593852908891318</v>
      </c>
      <c r="AA217" s="36"/>
    </row>
    <row r="218" spans="1:27" ht="16" thickBot="1" x14ac:dyDescent="0.4">
      <c r="A218" s="20">
        <f t="shared" si="130"/>
        <v>40068</v>
      </c>
      <c r="B218" s="22">
        <v>155</v>
      </c>
      <c r="C218" s="22">
        <v>273</v>
      </c>
      <c r="D218" s="22">
        <v>103</v>
      </c>
      <c r="E218" s="22">
        <v>333</v>
      </c>
      <c r="F218" s="22">
        <v>28</v>
      </c>
      <c r="G218" s="22">
        <v>30</v>
      </c>
      <c r="H218" s="22">
        <v>33</v>
      </c>
      <c r="I218" s="22">
        <v>44</v>
      </c>
      <c r="J218" s="22">
        <v>187</v>
      </c>
      <c r="K218" s="22">
        <v>400</v>
      </c>
      <c r="L218" s="22">
        <v>313</v>
      </c>
      <c r="M218" s="22">
        <v>389</v>
      </c>
      <c r="N218" s="45">
        <f t="shared" si="139"/>
        <v>370</v>
      </c>
      <c r="O218" s="3">
        <f t="shared" si="140"/>
        <v>819</v>
      </c>
      <c r="P218" s="3">
        <f t="shared" si="141"/>
        <v>703</v>
      </c>
      <c r="Q218" s="3">
        <f t="shared" si="142"/>
        <v>1469</v>
      </c>
      <c r="R218" s="34">
        <f t="shared" ref="R218" si="203">(N218-N217)/N217</f>
        <v>-0.28155339805825241</v>
      </c>
      <c r="S218" s="32">
        <f t="shared" ref="S218" si="204">N218-N217</f>
        <v>-145</v>
      </c>
      <c r="T218" s="34">
        <f t="shared" ref="T218" si="205">(N218-N166)/N166</f>
        <v>6.9364161849710976E-2</v>
      </c>
      <c r="U218" s="34">
        <f t="shared" ref="U218" si="206">N218/P218</f>
        <v>0.52631578947368418</v>
      </c>
      <c r="V218" s="40">
        <f t="shared" si="106"/>
        <v>154</v>
      </c>
      <c r="W218" s="40">
        <f t="shared" si="107"/>
        <v>36</v>
      </c>
      <c r="X218" s="40">
        <f t="shared" si="108"/>
        <v>166.66666666666666</v>
      </c>
      <c r="Y218" s="40">
        <f t="shared" si="109"/>
        <v>356.66666666666669</v>
      </c>
      <c r="Z218" s="59">
        <f t="shared" si="110"/>
        <v>3.73831775700934E-2</v>
      </c>
      <c r="AA218" s="36"/>
    </row>
    <row r="219" spans="1:27" ht="16" thickBot="1" x14ac:dyDescent="0.4">
      <c r="A219" s="20">
        <f t="shared" si="130"/>
        <v>40075</v>
      </c>
      <c r="B219" s="22">
        <v>166</v>
      </c>
      <c r="C219" s="22">
        <v>217</v>
      </c>
      <c r="D219" s="22">
        <v>66</v>
      </c>
      <c r="E219" s="22">
        <v>269</v>
      </c>
      <c r="F219" s="22">
        <v>52</v>
      </c>
      <c r="G219" s="22">
        <v>60</v>
      </c>
      <c r="H219" s="22">
        <v>8</v>
      </c>
      <c r="I219" s="22">
        <v>38</v>
      </c>
      <c r="J219" s="22">
        <v>174</v>
      </c>
      <c r="K219" s="22">
        <v>392</v>
      </c>
      <c r="L219" s="22">
        <v>254</v>
      </c>
      <c r="M219" s="22">
        <v>409</v>
      </c>
      <c r="N219" s="45">
        <f t="shared" si="139"/>
        <v>392</v>
      </c>
      <c r="O219" s="3">
        <f t="shared" si="140"/>
        <v>720</v>
      </c>
      <c r="P219" s="3">
        <f t="shared" si="141"/>
        <v>669</v>
      </c>
      <c r="Q219" s="3">
        <f t="shared" si="142"/>
        <v>1385</v>
      </c>
      <c r="R219" s="34">
        <f t="shared" ref="R219" si="207">(N219-N218)/N218</f>
        <v>5.9459459459459463E-2</v>
      </c>
      <c r="S219" s="32">
        <f t="shared" ref="S219" si="208">N219-N218</f>
        <v>22</v>
      </c>
      <c r="T219" s="34">
        <f t="shared" ref="T219" si="209">(N219-N167)/N167</f>
        <v>3.9787798408488062E-2</v>
      </c>
      <c r="U219" s="34">
        <f t="shared" ref="U219" si="210">N219/P219</f>
        <v>0.58594917787742895</v>
      </c>
      <c r="V219" s="40">
        <f t="shared" si="106"/>
        <v>188.66666666666666</v>
      </c>
      <c r="W219" s="40">
        <f t="shared" si="107"/>
        <v>32.666666666666664</v>
      </c>
      <c r="X219" s="40">
        <f t="shared" si="108"/>
        <v>201</v>
      </c>
      <c r="Y219" s="40">
        <f t="shared" si="109"/>
        <v>422.33333333333331</v>
      </c>
      <c r="Z219" s="59">
        <f t="shared" si="110"/>
        <v>-7.1823204419889458E-2</v>
      </c>
      <c r="AA219" s="36"/>
    </row>
    <row r="220" spans="1:27" ht="16" thickBot="1" x14ac:dyDescent="0.4">
      <c r="A220" s="20">
        <f>7+A219</f>
        <v>40082</v>
      </c>
      <c r="B220" s="22">
        <v>215</v>
      </c>
      <c r="C220" s="22">
        <v>281</v>
      </c>
      <c r="D220" s="22">
        <v>82</v>
      </c>
      <c r="E220" s="22">
        <v>246</v>
      </c>
      <c r="F220" s="22">
        <v>28</v>
      </c>
      <c r="G220" s="22">
        <v>36</v>
      </c>
      <c r="H220" s="22">
        <v>17</v>
      </c>
      <c r="I220" s="22">
        <v>22</v>
      </c>
      <c r="J220" s="22">
        <v>241</v>
      </c>
      <c r="K220" s="22">
        <v>540</v>
      </c>
      <c r="L220" s="22">
        <v>347</v>
      </c>
      <c r="M220" s="22">
        <v>592</v>
      </c>
      <c r="N220" s="45">
        <f t="shared" si="139"/>
        <v>484</v>
      </c>
      <c r="O220" s="3">
        <f t="shared" si="140"/>
        <v>930</v>
      </c>
      <c r="P220" s="3">
        <f t="shared" si="141"/>
        <v>857</v>
      </c>
      <c r="Q220" s="3">
        <f t="shared" si="142"/>
        <v>1717</v>
      </c>
      <c r="R220" s="34">
        <f t="shared" ref="R220" si="211">(N220-N219)/N219</f>
        <v>0.23469387755102042</v>
      </c>
      <c r="S220" s="32">
        <f t="shared" ref="S220" si="212">N220-N219</f>
        <v>92</v>
      </c>
      <c r="T220" s="34">
        <f t="shared" ref="T220" si="213">(N220-N168)/N168</f>
        <v>0.24742268041237114</v>
      </c>
      <c r="U220" s="34">
        <f t="shared" ref="U220:U221" si="214">N220/P220</f>
        <v>0.56476079346557762</v>
      </c>
      <c r="V220" s="40">
        <f t="shared" si="106"/>
        <v>175</v>
      </c>
      <c r="W220" s="40">
        <f t="shared" si="107"/>
        <v>58.333333333333336</v>
      </c>
      <c r="X220" s="40">
        <f t="shared" si="108"/>
        <v>204.66666666666666</v>
      </c>
      <c r="Y220" s="40">
        <f t="shared" si="109"/>
        <v>438</v>
      </c>
      <c r="Z220" s="59">
        <f t="shared" si="110"/>
        <v>0.1050228310502283</v>
      </c>
      <c r="AA220" s="36"/>
    </row>
    <row r="221" spans="1:27" ht="16" thickBot="1" x14ac:dyDescent="0.4">
      <c r="A221" s="20">
        <f t="shared" si="130"/>
        <v>40089</v>
      </c>
      <c r="B221" s="22">
        <v>162</v>
      </c>
      <c r="C221" s="22">
        <v>250</v>
      </c>
      <c r="D221" s="22">
        <v>112</v>
      </c>
      <c r="E221" s="22">
        <v>332</v>
      </c>
      <c r="F221" s="22">
        <v>42</v>
      </c>
      <c r="G221" s="22">
        <v>59</v>
      </c>
      <c r="H221" s="22">
        <v>18</v>
      </c>
      <c r="I221" s="22">
        <v>41</v>
      </c>
      <c r="J221" s="22">
        <v>271</v>
      </c>
      <c r="K221" s="22">
        <v>571</v>
      </c>
      <c r="L221" s="22">
        <v>364</v>
      </c>
      <c r="M221" s="22">
        <v>550</v>
      </c>
      <c r="N221" s="45">
        <f t="shared" si="139"/>
        <v>475</v>
      </c>
      <c r="O221" s="3">
        <f t="shared" si="140"/>
        <v>969</v>
      </c>
      <c r="P221" s="3">
        <f t="shared" si="141"/>
        <v>880</v>
      </c>
      <c r="Q221" s="3">
        <f t="shared" si="142"/>
        <v>1803</v>
      </c>
      <c r="R221" s="34">
        <f t="shared" ref="R221" si="215">(N221-N220)/N220</f>
        <v>-1.859504132231405E-2</v>
      </c>
      <c r="S221" s="32">
        <f t="shared" ref="S221" si="216">N221-N220</f>
        <v>-9</v>
      </c>
      <c r="T221" s="34">
        <f t="shared" ref="T221" si="217">(N221-N169)/N169</f>
        <v>0.4890282131661442</v>
      </c>
      <c r="U221" s="34">
        <f t="shared" si="214"/>
        <v>0.53977272727272729</v>
      </c>
      <c r="V221" s="40">
        <f t="shared" si="106"/>
        <v>190</v>
      </c>
      <c r="W221" s="40">
        <f t="shared" si="107"/>
        <v>42.666666666666664</v>
      </c>
      <c r="X221" s="40">
        <f t="shared" si="108"/>
        <v>184.66666666666666</v>
      </c>
      <c r="Y221" s="40">
        <f t="shared" si="109"/>
        <v>417.33333333333331</v>
      </c>
      <c r="Z221" s="59">
        <f t="shared" si="110"/>
        <v>0.13817891373801922</v>
      </c>
      <c r="AA221" s="36"/>
    </row>
    <row r="222" spans="1:27" ht="16" thickBot="1" x14ac:dyDescent="0.4">
      <c r="A222" s="20">
        <f t="shared" si="130"/>
        <v>40096</v>
      </c>
      <c r="B222" s="22">
        <v>217</v>
      </c>
      <c r="C222" s="22">
        <v>307</v>
      </c>
      <c r="D222" s="22">
        <v>82</v>
      </c>
      <c r="E222" s="22">
        <v>357</v>
      </c>
      <c r="F222" s="22">
        <v>40</v>
      </c>
      <c r="G222" s="22">
        <v>62</v>
      </c>
      <c r="H222" s="22">
        <v>16</v>
      </c>
      <c r="I222" s="22">
        <v>45</v>
      </c>
      <c r="J222" s="22">
        <v>256</v>
      </c>
      <c r="K222" s="22">
        <v>440</v>
      </c>
      <c r="L222" s="22">
        <v>262</v>
      </c>
      <c r="M222" s="22">
        <v>536</v>
      </c>
      <c r="N222" s="45">
        <f t="shared" si="139"/>
        <v>513</v>
      </c>
      <c r="O222" s="3">
        <f t="shared" si="140"/>
        <v>873</v>
      </c>
      <c r="P222" s="3">
        <f t="shared" si="141"/>
        <v>809</v>
      </c>
      <c r="Q222" s="3">
        <f t="shared" si="142"/>
        <v>1747</v>
      </c>
      <c r="R222" s="34">
        <f t="shared" ref="R222" si="218">(N222-N221)/N221</f>
        <v>0.08</v>
      </c>
      <c r="S222" s="32">
        <f t="shared" ref="S222" si="219">N222-N221</f>
        <v>38</v>
      </c>
      <c r="T222" s="34">
        <f t="shared" ref="T222" si="220">(N222-N170)/N170</f>
        <v>0.67647058823529416</v>
      </c>
      <c r="U222" s="34">
        <f t="shared" ref="U222" si="221">N222/P222</f>
        <v>0.63411619283065512</v>
      </c>
      <c r="V222" s="40">
        <f t="shared" si="106"/>
        <v>158.66666666666666</v>
      </c>
      <c r="W222" s="40">
        <f t="shared" si="107"/>
        <v>33</v>
      </c>
      <c r="X222" s="40">
        <f t="shared" si="108"/>
        <v>194</v>
      </c>
      <c r="Y222" s="40">
        <f t="shared" si="109"/>
        <v>385.66666666666669</v>
      </c>
      <c r="Z222" s="59">
        <f t="shared" si="110"/>
        <v>0.3301642178046672</v>
      </c>
      <c r="AA222" s="36"/>
    </row>
    <row r="223" spans="1:27" ht="16" thickBot="1" x14ac:dyDescent="0.4">
      <c r="A223" s="20">
        <f t="shared" si="130"/>
        <v>40103</v>
      </c>
      <c r="B223" s="22">
        <v>315</v>
      </c>
      <c r="C223" s="22">
        <v>396</v>
      </c>
      <c r="D223" s="22">
        <v>67</v>
      </c>
      <c r="E223" s="22">
        <v>360</v>
      </c>
      <c r="F223" s="22">
        <v>2</v>
      </c>
      <c r="G223" s="22">
        <v>13</v>
      </c>
      <c r="H223" s="22">
        <v>12</v>
      </c>
      <c r="I223" s="22">
        <v>21</v>
      </c>
      <c r="J223" s="22">
        <v>195</v>
      </c>
      <c r="K223" s="22">
        <v>474</v>
      </c>
      <c r="L223" s="22">
        <v>332</v>
      </c>
      <c r="M223" s="22">
        <v>562</v>
      </c>
      <c r="N223" s="45">
        <f t="shared" si="139"/>
        <v>512</v>
      </c>
      <c r="O223" s="3">
        <f t="shared" si="140"/>
        <v>923</v>
      </c>
      <c r="P223" s="3">
        <f t="shared" si="141"/>
        <v>883</v>
      </c>
      <c r="Q223" s="3">
        <f t="shared" si="142"/>
        <v>1826</v>
      </c>
      <c r="R223" s="34">
        <f t="shared" ref="R223" si="222">(N223-N222)/N222</f>
        <v>-1.9493177387914229E-3</v>
      </c>
      <c r="S223" s="32">
        <f t="shared" ref="S223" si="223">N223-N222</f>
        <v>-1</v>
      </c>
      <c r="T223" s="34">
        <f t="shared" ref="T223" si="224">(N223-N171)/N171</f>
        <v>0.48837209302325579</v>
      </c>
      <c r="U223" s="34">
        <f t="shared" ref="U223" si="225">N223/P223</f>
        <v>0.57984144960362405</v>
      </c>
      <c r="V223" s="40">
        <f t="shared" si="106"/>
        <v>212</v>
      </c>
      <c r="W223" s="40">
        <f t="shared" si="107"/>
        <v>40.666666666666664</v>
      </c>
      <c r="X223" s="40">
        <f t="shared" si="108"/>
        <v>199.33333333333334</v>
      </c>
      <c r="Y223" s="40">
        <f t="shared" si="109"/>
        <v>452</v>
      </c>
      <c r="Z223" s="59">
        <f t="shared" si="110"/>
        <v>0.13274336283185842</v>
      </c>
      <c r="AA223" s="36"/>
    </row>
    <row r="224" spans="1:27" ht="16" thickBot="1" x14ac:dyDescent="0.4">
      <c r="A224" s="20">
        <f t="shared" si="130"/>
        <v>40110</v>
      </c>
      <c r="B224" s="22">
        <v>210</v>
      </c>
      <c r="C224" s="22">
        <v>258</v>
      </c>
      <c r="D224" s="22">
        <v>91</v>
      </c>
      <c r="E224" s="22">
        <v>440</v>
      </c>
      <c r="F224" s="22">
        <v>35</v>
      </c>
      <c r="G224" s="22">
        <v>64</v>
      </c>
      <c r="H224" s="22">
        <v>10</v>
      </c>
      <c r="I224" s="22">
        <v>41</v>
      </c>
      <c r="J224" s="22">
        <v>206</v>
      </c>
      <c r="K224" s="22">
        <v>460</v>
      </c>
      <c r="L224" s="22">
        <v>276</v>
      </c>
      <c r="M224" s="22">
        <v>596</v>
      </c>
      <c r="N224" s="45">
        <f t="shared" si="139"/>
        <v>451</v>
      </c>
      <c r="O224" s="3">
        <f t="shared" si="140"/>
        <v>828</v>
      </c>
      <c r="P224" s="3">
        <f t="shared" si="141"/>
        <v>782</v>
      </c>
      <c r="Q224" s="3">
        <f t="shared" si="142"/>
        <v>1859</v>
      </c>
      <c r="R224" s="34">
        <f t="shared" ref="R224" si="226">(N224-N223)/N223</f>
        <v>-0.119140625</v>
      </c>
      <c r="S224" s="32">
        <f t="shared" ref="S224" si="227">N224-N223</f>
        <v>-61</v>
      </c>
      <c r="T224" s="34">
        <f t="shared" ref="T224" si="228">(N224-N172)/N172</f>
        <v>0.21891891891891893</v>
      </c>
      <c r="U224" s="34">
        <f t="shared" ref="U224" si="229">N224/P224</f>
        <v>0.57672634271099743</v>
      </c>
      <c r="V224" s="40">
        <f t="shared" si="106"/>
        <v>307.33333333333331</v>
      </c>
      <c r="W224" s="40">
        <f t="shared" si="107"/>
        <v>29</v>
      </c>
      <c r="X224" s="40">
        <f t="shared" si="108"/>
        <v>226.33333333333334</v>
      </c>
      <c r="Y224" s="40">
        <f t="shared" si="109"/>
        <v>562.66666666666663</v>
      </c>
      <c r="Z224" s="59">
        <f t="shared" si="110"/>
        <v>-0.19845971563981038</v>
      </c>
      <c r="AA224" s="36"/>
    </row>
    <row r="225" spans="1:27" ht="16" thickBot="1" x14ac:dyDescent="0.4">
      <c r="A225" s="20">
        <f t="shared" si="130"/>
        <v>40117</v>
      </c>
      <c r="B225" s="22">
        <v>303</v>
      </c>
      <c r="C225" s="22">
        <v>339</v>
      </c>
      <c r="D225" s="22">
        <v>92</v>
      </c>
      <c r="E225" s="22">
        <v>489</v>
      </c>
      <c r="F225" s="22">
        <v>23</v>
      </c>
      <c r="G225" s="22">
        <v>50</v>
      </c>
      <c r="H225" s="22">
        <v>15</v>
      </c>
      <c r="I225" s="22">
        <v>35</v>
      </c>
      <c r="J225" s="22">
        <v>191</v>
      </c>
      <c r="K225" s="22">
        <v>439</v>
      </c>
      <c r="L225" s="22">
        <v>337</v>
      </c>
      <c r="M225" s="22">
        <v>596</v>
      </c>
      <c r="N225" s="45">
        <f t="shared" si="139"/>
        <v>517</v>
      </c>
      <c r="O225" s="3">
        <f t="shared" si="140"/>
        <v>961</v>
      </c>
      <c r="P225" s="3">
        <f t="shared" si="141"/>
        <v>828</v>
      </c>
      <c r="Q225" s="3">
        <f t="shared" si="142"/>
        <v>1948</v>
      </c>
      <c r="R225" s="34">
        <f t="shared" ref="R225" si="230">(N225-N224)/N224</f>
        <v>0.14634146341463414</v>
      </c>
      <c r="S225" s="32">
        <f t="shared" ref="S225" si="231">N225-N224</f>
        <v>66</v>
      </c>
      <c r="T225" s="34">
        <f t="shared" ref="T225" si="232">(N225-N173)/N173</f>
        <v>0.44817927170868349</v>
      </c>
      <c r="U225" s="34">
        <f t="shared" ref="U225" si="233">N225/P225</f>
        <v>0.62439613526570048</v>
      </c>
      <c r="V225" s="40">
        <f t="shared" si="106"/>
        <v>284</v>
      </c>
      <c r="W225" s="40">
        <f t="shared" si="107"/>
        <v>44.333333333333336</v>
      </c>
      <c r="X225" s="40">
        <f t="shared" si="108"/>
        <v>197.33333333333334</v>
      </c>
      <c r="Y225" s="40">
        <f t="shared" si="109"/>
        <v>525.66666666666663</v>
      </c>
      <c r="Z225" s="59">
        <f t="shared" si="110"/>
        <v>-1.6487000634115338E-2</v>
      </c>
      <c r="AA225" s="36"/>
    </row>
    <row r="226" spans="1:27" ht="16" thickBot="1" x14ac:dyDescent="0.4">
      <c r="A226" s="20">
        <f t="shared" si="130"/>
        <v>40124</v>
      </c>
      <c r="B226" s="22">
        <v>323</v>
      </c>
      <c r="C226" s="22">
        <v>359</v>
      </c>
      <c r="D226" s="22">
        <v>49</v>
      </c>
      <c r="E226" s="22">
        <v>377</v>
      </c>
      <c r="F226" s="22">
        <v>22</v>
      </c>
      <c r="G226" s="22">
        <v>44</v>
      </c>
      <c r="H226" s="22">
        <v>13</v>
      </c>
      <c r="I226" s="22">
        <v>29</v>
      </c>
      <c r="J226" s="22">
        <v>190</v>
      </c>
      <c r="K226" s="22">
        <v>417</v>
      </c>
      <c r="L226" s="22">
        <v>262</v>
      </c>
      <c r="M226" s="22">
        <v>553</v>
      </c>
      <c r="N226" s="45">
        <f t="shared" si="139"/>
        <v>535</v>
      </c>
      <c r="O226" s="3">
        <f t="shared" si="140"/>
        <v>859</v>
      </c>
      <c r="P226" s="3">
        <f t="shared" si="141"/>
        <v>820</v>
      </c>
      <c r="Q226" s="3">
        <f t="shared" si="142"/>
        <v>1779</v>
      </c>
      <c r="R226" s="34">
        <f t="shared" ref="R226" si="234">(N226-N225)/N225</f>
        <v>3.4816247582205029E-2</v>
      </c>
      <c r="S226" s="32">
        <f t="shared" ref="S226" si="235">N226-N225</f>
        <v>18</v>
      </c>
      <c r="T226" s="34">
        <f t="shared" ref="T226" si="236">(N226-N174)/N174</f>
        <v>0.3048780487804878</v>
      </c>
      <c r="U226" s="34">
        <f t="shared" ref="U226" si="237">N226/P226</f>
        <v>0.65243902439024393</v>
      </c>
      <c r="V226" s="40">
        <f t="shared" si="106"/>
        <v>309.66666666666669</v>
      </c>
      <c r="W226" s="40">
        <f t="shared" si="107"/>
        <v>31.666666666666668</v>
      </c>
      <c r="X226" s="40">
        <f t="shared" si="108"/>
        <v>195.33333333333334</v>
      </c>
      <c r="Y226" s="40">
        <f t="shared" si="109"/>
        <v>536.66666666666663</v>
      </c>
      <c r="Z226" s="59">
        <f t="shared" si="110"/>
        <v>-3.1055900621117308E-3</v>
      </c>
      <c r="AA226" s="36"/>
    </row>
    <row r="227" spans="1:27" ht="16" thickBot="1" x14ac:dyDescent="0.4">
      <c r="A227" s="20">
        <f t="shared" si="130"/>
        <v>40131</v>
      </c>
      <c r="B227" s="22">
        <v>304</v>
      </c>
      <c r="C227" s="22">
        <v>335</v>
      </c>
      <c r="D227" s="22">
        <v>128</v>
      </c>
      <c r="E227" s="22">
        <v>766</v>
      </c>
      <c r="F227" s="22">
        <v>31</v>
      </c>
      <c r="G227" s="22">
        <v>54</v>
      </c>
      <c r="H227" s="22">
        <v>2</v>
      </c>
      <c r="I227" s="22">
        <v>27</v>
      </c>
      <c r="J227" s="22">
        <v>275</v>
      </c>
      <c r="K227" s="22">
        <v>486</v>
      </c>
      <c r="L227" s="22">
        <v>300</v>
      </c>
      <c r="M227" s="22">
        <v>647</v>
      </c>
      <c r="N227" s="45">
        <f t="shared" si="139"/>
        <v>610</v>
      </c>
      <c r="O227" s="3">
        <f t="shared" si="140"/>
        <v>1040</v>
      </c>
      <c r="P227" s="3">
        <f t="shared" si="141"/>
        <v>875</v>
      </c>
      <c r="Q227" s="3">
        <f t="shared" si="142"/>
        <v>2315</v>
      </c>
      <c r="R227" s="34">
        <f t="shared" ref="R227" si="238">(N227-N226)/N226</f>
        <v>0.14018691588785046</v>
      </c>
      <c r="S227" s="32">
        <f t="shared" ref="S227" si="239">N227-N226</f>
        <v>75</v>
      </c>
      <c r="T227" s="34">
        <f t="shared" ref="T227" si="240">(N227-N175)/N175</f>
        <v>0.68044077134986225</v>
      </c>
      <c r="U227" s="34">
        <f t="shared" ref="U227" si="241">N227/P227</f>
        <v>0.69714285714285718</v>
      </c>
      <c r="V227" s="40">
        <f t="shared" si="106"/>
        <v>312.33333333333331</v>
      </c>
      <c r="W227" s="40">
        <f t="shared" si="107"/>
        <v>38</v>
      </c>
      <c r="X227" s="40">
        <f t="shared" si="108"/>
        <v>194.33333333333334</v>
      </c>
      <c r="Y227" s="40">
        <f t="shared" si="109"/>
        <v>544.66666666666663</v>
      </c>
      <c r="Z227" s="59">
        <f t="shared" si="110"/>
        <v>0.11995104039167695</v>
      </c>
      <c r="AA227" s="36"/>
    </row>
    <row r="228" spans="1:27" ht="16" thickBot="1" x14ac:dyDescent="0.4">
      <c r="A228" s="20">
        <f t="shared" si="130"/>
        <v>40138</v>
      </c>
      <c r="B228" s="22">
        <v>214</v>
      </c>
      <c r="C228" s="22">
        <v>240</v>
      </c>
      <c r="D228" s="22">
        <v>64</v>
      </c>
      <c r="E228" s="22">
        <v>586</v>
      </c>
      <c r="F228" s="22">
        <v>44</v>
      </c>
      <c r="G228" s="22">
        <v>64</v>
      </c>
      <c r="H228" s="22">
        <v>10</v>
      </c>
      <c r="I228" s="22">
        <v>84</v>
      </c>
      <c r="J228" s="22">
        <v>168</v>
      </c>
      <c r="K228" s="22">
        <v>476</v>
      </c>
      <c r="L228" s="22">
        <v>310</v>
      </c>
      <c r="M228" s="22">
        <v>566</v>
      </c>
      <c r="N228" s="45">
        <f t="shared" si="139"/>
        <v>426</v>
      </c>
      <c r="O228" s="3">
        <f t="shared" si="140"/>
        <v>810</v>
      </c>
      <c r="P228" s="3">
        <f t="shared" si="141"/>
        <v>780</v>
      </c>
      <c r="Q228" s="3">
        <f t="shared" si="142"/>
        <v>2016</v>
      </c>
      <c r="R228" s="34">
        <f t="shared" ref="R228" si="242">(N228-N227)/N227</f>
        <v>-0.30163934426229511</v>
      </c>
      <c r="S228" s="32">
        <f t="shared" ref="S228" si="243">N228-N227</f>
        <v>-184</v>
      </c>
      <c r="T228" s="34">
        <f t="shared" ref="T228" si="244">(N228-N176)/N176</f>
        <v>-4.4843049327354258E-2</v>
      </c>
      <c r="U228" s="34">
        <f t="shared" ref="U228" si="245">N228/P228</f>
        <v>0.5461538461538461</v>
      </c>
      <c r="V228" s="40">
        <f t="shared" si="106"/>
        <v>314.66666666666669</v>
      </c>
      <c r="W228" s="40">
        <f t="shared" si="107"/>
        <v>13</v>
      </c>
      <c r="X228" s="40">
        <f t="shared" si="108"/>
        <v>234.33333333333334</v>
      </c>
      <c r="Y228" s="40">
        <f t="shared" si="109"/>
        <v>562</v>
      </c>
      <c r="Z228" s="59">
        <f t="shared" si="110"/>
        <v>-0.24199288256227758</v>
      </c>
      <c r="AA228" s="36"/>
    </row>
    <row r="229" spans="1:27" ht="16" thickBot="1" x14ac:dyDescent="0.4">
      <c r="A229" s="20">
        <f t="shared" si="130"/>
        <v>40145</v>
      </c>
      <c r="B229" s="22">
        <v>426</v>
      </c>
      <c r="C229" s="22">
        <v>463</v>
      </c>
      <c r="D229" s="22">
        <v>102</v>
      </c>
      <c r="E229" s="22">
        <v>647</v>
      </c>
      <c r="F229" s="22">
        <v>41</v>
      </c>
      <c r="G229" s="22">
        <v>65</v>
      </c>
      <c r="H229" s="22">
        <v>13</v>
      </c>
      <c r="I229" s="22">
        <v>65</v>
      </c>
      <c r="J229" s="22">
        <v>191</v>
      </c>
      <c r="K229" s="22">
        <v>518</v>
      </c>
      <c r="L229" s="22">
        <v>358</v>
      </c>
      <c r="M229" s="22">
        <v>623</v>
      </c>
      <c r="N229" s="45">
        <f t="shared" si="139"/>
        <v>658</v>
      </c>
      <c r="O229" s="3">
        <f t="shared" si="140"/>
        <v>1131</v>
      </c>
      <c r="P229" s="3">
        <f t="shared" si="141"/>
        <v>1046</v>
      </c>
      <c r="Q229" s="3">
        <f t="shared" si="142"/>
        <v>2381</v>
      </c>
      <c r="R229" s="34">
        <f t="shared" ref="R229" si="246">(N229-N228)/N228</f>
        <v>0.54460093896713613</v>
      </c>
      <c r="S229" s="32">
        <f t="shared" ref="S229" si="247">N229-N228</f>
        <v>232</v>
      </c>
      <c r="T229" s="34">
        <f t="shared" ref="T229" si="248">(N229-N177)/N177</f>
        <v>0.21626617375231053</v>
      </c>
      <c r="U229" s="34">
        <f t="shared" ref="U229" si="249">N229/P229</f>
        <v>0.62906309751434031</v>
      </c>
      <c r="V229" s="40">
        <f t="shared" si="106"/>
        <v>354</v>
      </c>
      <c r="W229" s="40">
        <f t="shared" si="107"/>
        <v>47</v>
      </c>
      <c r="X229" s="40">
        <f t="shared" si="108"/>
        <v>237.66666666666666</v>
      </c>
      <c r="Y229" s="40">
        <f t="shared" si="109"/>
        <v>638.66666666666663</v>
      </c>
      <c r="Z229" s="59">
        <f t="shared" si="110"/>
        <v>3.0271398747390457E-2</v>
      </c>
      <c r="AA229" s="36"/>
    </row>
    <row r="230" spans="1:27" ht="16" thickBot="1" x14ac:dyDescent="0.4">
      <c r="A230" s="20">
        <f t="shared" si="130"/>
        <v>40152</v>
      </c>
      <c r="B230" s="22">
        <v>368</v>
      </c>
      <c r="C230" s="22">
        <v>383</v>
      </c>
      <c r="D230" s="22">
        <v>63</v>
      </c>
      <c r="E230" s="22">
        <v>697</v>
      </c>
      <c r="F230" s="22">
        <v>37</v>
      </c>
      <c r="G230" s="22">
        <v>54</v>
      </c>
      <c r="H230" s="22">
        <v>10</v>
      </c>
      <c r="I230" s="22">
        <v>62</v>
      </c>
      <c r="J230" s="22">
        <v>233</v>
      </c>
      <c r="K230" s="22">
        <v>572</v>
      </c>
      <c r="L230" s="22">
        <v>373</v>
      </c>
      <c r="M230" s="22">
        <v>616</v>
      </c>
      <c r="N230" s="45">
        <f t="shared" si="139"/>
        <v>638</v>
      </c>
      <c r="O230" s="3">
        <f t="shared" si="140"/>
        <v>1084</v>
      </c>
      <c r="P230" s="3">
        <f t="shared" si="141"/>
        <v>1009</v>
      </c>
      <c r="Q230" s="3">
        <f t="shared" si="142"/>
        <v>2384</v>
      </c>
      <c r="R230" s="34">
        <f t="shared" ref="R230" si="250">(N230-N229)/N229</f>
        <v>-3.0395136778115502E-2</v>
      </c>
      <c r="S230" s="32">
        <f t="shared" ref="S230" si="251">N230-N229</f>
        <v>-20</v>
      </c>
      <c r="T230" s="34">
        <f t="shared" ref="T230" si="252">(N230-N178)/N178</f>
        <v>0.75757575757575757</v>
      </c>
      <c r="U230" s="34">
        <f t="shared" ref="U230" si="253">N230/P230</f>
        <v>0.63230921704658072</v>
      </c>
      <c r="V230" s="40">
        <f t="shared" si="106"/>
        <v>268.33333333333331</v>
      </c>
      <c r="W230" s="40">
        <f t="shared" si="107"/>
        <v>22.666666666666668</v>
      </c>
      <c r="X230" s="40">
        <f t="shared" si="108"/>
        <v>182.33333333333334</v>
      </c>
      <c r="Y230" s="40">
        <f t="shared" si="109"/>
        <v>473.33333333333331</v>
      </c>
      <c r="Z230" s="59">
        <f t="shared" si="110"/>
        <v>0.34788732394366201</v>
      </c>
      <c r="AA230" s="36"/>
    </row>
    <row r="231" spans="1:27" ht="16" thickBot="1" x14ac:dyDescent="0.4">
      <c r="A231" s="20">
        <f t="shared" si="130"/>
        <v>40159</v>
      </c>
      <c r="B231" s="22">
        <v>314</v>
      </c>
      <c r="C231" s="22">
        <v>325</v>
      </c>
      <c r="D231" s="22">
        <v>50</v>
      </c>
      <c r="E231" s="22">
        <v>629</v>
      </c>
      <c r="F231" s="22">
        <v>76</v>
      </c>
      <c r="G231" s="22">
        <v>93</v>
      </c>
      <c r="H231" s="22">
        <v>7</v>
      </c>
      <c r="I231" s="22">
        <v>58</v>
      </c>
      <c r="J231" s="22">
        <v>101</v>
      </c>
      <c r="K231" s="22">
        <v>345</v>
      </c>
      <c r="L231" s="22">
        <v>280</v>
      </c>
      <c r="M231" s="22">
        <v>536</v>
      </c>
      <c r="N231" s="45">
        <f t="shared" si="139"/>
        <v>491</v>
      </c>
      <c r="O231" s="3">
        <f t="shared" si="140"/>
        <v>828</v>
      </c>
      <c r="P231" s="3">
        <f t="shared" si="141"/>
        <v>763</v>
      </c>
      <c r="Q231" s="3">
        <f t="shared" si="142"/>
        <v>1986</v>
      </c>
      <c r="R231" s="34">
        <f t="shared" ref="R231" si="254">(N231-N230)/N230</f>
        <v>-0.2304075235109718</v>
      </c>
      <c r="S231" s="32">
        <f t="shared" ref="S231" si="255">N231-N230</f>
        <v>-147</v>
      </c>
      <c r="T231" s="34">
        <f t="shared" ref="T231" si="256">(N231-N179)/N179</f>
        <v>-3.536345776031434E-2</v>
      </c>
      <c r="U231" s="34">
        <f t="shared" ref="U231" si="257">N231/P231</f>
        <v>0.64351245085190034</v>
      </c>
      <c r="V231" s="40">
        <f t="shared" si="106"/>
        <v>330.66666666666669</v>
      </c>
      <c r="W231" s="40">
        <f t="shared" si="107"/>
        <v>48.666666666666664</v>
      </c>
      <c r="X231" s="40">
        <f t="shared" si="108"/>
        <v>208.33333333333334</v>
      </c>
      <c r="Y231" s="40">
        <f t="shared" si="109"/>
        <v>587.66666666666663</v>
      </c>
      <c r="Z231" s="59">
        <f t="shared" si="110"/>
        <v>-0.16449234259784454</v>
      </c>
      <c r="AA231" s="36"/>
    </row>
    <row r="232" spans="1:27" ht="16" thickBot="1" x14ac:dyDescent="0.4">
      <c r="A232" s="20">
        <f t="shared" si="130"/>
        <v>40166</v>
      </c>
      <c r="B232" s="22">
        <v>290</v>
      </c>
      <c r="C232" s="22">
        <v>316</v>
      </c>
      <c r="D232" s="22">
        <v>96</v>
      </c>
      <c r="E232" s="22">
        <v>575</v>
      </c>
      <c r="F232" s="22">
        <v>56</v>
      </c>
      <c r="G232" s="22">
        <v>69</v>
      </c>
      <c r="H232" s="22">
        <v>4</v>
      </c>
      <c r="I232" s="22">
        <v>55</v>
      </c>
      <c r="J232" s="22">
        <v>230</v>
      </c>
      <c r="K232" s="22">
        <v>524</v>
      </c>
      <c r="L232" s="22">
        <v>316</v>
      </c>
      <c r="M232" s="22">
        <v>597</v>
      </c>
      <c r="N232" s="45">
        <f t="shared" si="139"/>
        <v>576</v>
      </c>
      <c r="O232" s="3">
        <f t="shared" si="140"/>
        <v>992</v>
      </c>
      <c r="P232" s="3">
        <f t="shared" si="141"/>
        <v>909</v>
      </c>
      <c r="Q232" s="3">
        <f t="shared" si="142"/>
        <v>2136</v>
      </c>
      <c r="R232" s="34">
        <f t="shared" ref="R232" si="258">(N232-N231)/N231</f>
        <v>0.17311608961303462</v>
      </c>
      <c r="S232" s="32">
        <f t="shared" ref="S232" si="259">N232-N231</f>
        <v>85</v>
      </c>
      <c r="T232" s="34">
        <f t="shared" ref="T232" si="260">(N232-N180)/N180</f>
        <v>5.235602094240838E-3</v>
      </c>
      <c r="U232" s="34">
        <f t="shared" ref="U232" si="261">N232/P232</f>
        <v>0.63366336633663367</v>
      </c>
      <c r="V232" s="40">
        <f t="shared" si="106"/>
        <v>182.66666666666666</v>
      </c>
      <c r="W232" s="40">
        <f t="shared" si="107"/>
        <v>26.333333333333332</v>
      </c>
      <c r="X232" s="40">
        <f t="shared" si="108"/>
        <v>244.66666666666666</v>
      </c>
      <c r="Y232" s="40">
        <f t="shared" si="109"/>
        <v>453.66666666666669</v>
      </c>
      <c r="Z232" s="59">
        <f t="shared" si="110"/>
        <v>0.26965466568699481</v>
      </c>
      <c r="AA232" s="36"/>
    </row>
    <row r="233" spans="1:27" ht="16" thickBot="1" x14ac:dyDescent="0.4">
      <c r="A233" s="20">
        <f t="shared" si="130"/>
        <v>40173</v>
      </c>
      <c r="B233" s="22">
        <v>167</v>
      </c>
      <c r="C233" s="22">
        <v>192</v>
      </c>
      <c r="D233" s="22">
        <v>45</v>
      </c>
      <c r="E233" s="22">
        <v>385</v>
      </c>
      <c r="F233" s="22">
        <v>38</v>
      </c>
      <c r="G233" s="22">
        <v>47</v>
      </c>
      <c r="H233" s="22">
        <v>3</v>
      </c>
      <c r="I233" s="22">
        <v>28</v>
      </c>
      <c r="J233" s="22">
        <v>97</v>
      </c>
      <c r="K233" s="22">
        <v>370</v>
      </c>
      <c r="L233" s="22">
        <v>302</v>
      </c>
      <c r="M233" s="22">
        <v>533</v>
      </c>
      <c r="N233" s="45">
        <f t="shared" si="139"/>
        <v>302</v>
      </c>
      <c r="O233" s="3">
        <f t="shared" si="140"/>
        <v>652</v>
      </c>
      <c r="P233" s="3">
        <f t="shared" si="141"/>
        <v>609</v>
      </c>
      <c r="Q233" s="3">
        <f t="shared" si="142"/>
        <v>1555</v>
      </c>
      <c r="R233" s="34">
        <f t="shared" ref="R233" si="262">(N233-N232)/N232</f>
        <v>-0.47569444444444442</v>
      </c>
      <c r="S233" s="32">
        <f t="shared" ref="S233" si="263">N233-N232</f>
        <v>-274</v>
      </c>
      <c r="T233" s="34">
        <f t="shared" ref="T233" si="264">(N233-N181)/N181</f>
        <v>-4.1269841269841269E-2</v>
      </c>
      <c r="U233" s="34">
        <f t="shared" ref="U233" si="265">N233/P233</f>
        <v>0.49589490968801314</v>
      </c>
      <c r="V233" s="40">
        <f t="shared" si="106"/>
        <v>228</v>
      </c>
      <c r="W233" s="40">
        <f t="shared" si="107"/>
        <v>27.333333333333332</v>
      </c>
      <c r="X233" s="40">
        <f t="shared" si="108"/>
        <v>187.66666666666666</v>
      </c>
      <c r="Y233" s="40">
        <f t="shared" si="109"/>
        <v>443</v>
      </c>
      <c r="Z233" s="59">
        <f t="shared" si="110"/>
        <v>-0.31828442437923249</v>
      </c>
      <c r="AA233" s="36"/>
    </row>
    <row r="234" spans="1:27" ht="16" thickBot="1" x14ac:dyDescent="0.4">
      <c r="A234" s="20">
        <f t="shared" si="130"/>
        <v>40180</v>
      </c>
      <c r="B234" s="22">
        <v>227</v>
      </c>
      <c r="C234" s="22">
        <v>250</v>
      </c>
      <c r="D234" s="22">
        <v>42</v>
      </c>
      <c r="E234" s="22">
        <v>201</v>
      </c>
      <c r="F234" s="22">
        <v>18</v>
      </c>
      <c r="G234" s="22">
        <v>31</v>
      </c>
      <c r="H234" s="22">
        <v>4</v>
      </c>
      <c r="I234" s="22">
        <v>60</v>
      </c>
      <c r="J234" s="22">
        <v>116</v>
      </c>
      <c r="K234" s="22">
        <v>378</v>
      </c>
      <c r="L234" s="22">
        <v>248</v>
      </c>
      <c r="M234" s="22">
        <v>353</v>
      </c>
      <c r="N234" s="45">
        <f t="shared" si="139"/>
        <v>361</v>
      </c>
      <c r="O234" s="3">
        <f t="shared" si="140"/>
        <v>655</v>
      </c>
      <c r="P234" s="3">
        <f t="shared" si="141"/>
        <v>659</v>
      </c>
      <c r="Q234" s="3">
        <f t="shared" si="142"/>
        <v>1273</v>
      </c>
      <c r="R234" s="34">
        <f t="shared" ref="R234" si="266">(N234-N233)/N233</f>
        <v>0.19536423841059603</v>
      </c>
      <c r="S234" s="32">
        <f t="shared" ref="S234" si="267">N234-N233</f>
        <v>59</v>
      </c>
      <c r="T234" s="34">
        <f t="shared" ref="T234" si="268">(N234-N182)/N182</f>
        <v>-0.17011494252873563</v>
      </c>
      <c r="U234" s="34">
        <f t="shared" ref="U234" si="269">N234/P234</f>
        <v>0.54779969650986338</v>
      </c>
      <c r="V234" s="40">
        <f t="shared" si="106"/>
        <v>223</v>
      </c>
      <c r="W234" s="40">
        <f t="shared" si="107"/>
        <v>38.333333333333336</v>
      </c>
      <c r="X234" s="40">
        <f t="shared" si="108"/>
        <v>216.66666666666666</v>
      </c>
      <c r="Y234" s="40">
        <f t="shared" si="109"/>
        <v>478</v>
      </c>
      <c r="Z234" s="59">
        <f t="shared" si="110"/>
        <v>-0.24476987447698745</v>
      </c>
      <c r="AA234" s="36"/>
    </row>
    <row r="235" spans="1:27" ht="16" thickBot="1" x14ac:dyDescent="0.4">
      <c r="A235" s="20">
        <f t="shared" si="130"/>
        <v>40187</v>
      </c>
      <c r="B235" s="22">
        <v>134</v>
      </c>
      <c r="C235" s="22">
        <v>139</v>
      </c>
      <c r="D235" s="22">
        <v>21</v>
      </c>
      <c r="E235" s="22">
        <v>158</v>
      </c>
      <c r="F235" s="22">
        <v>31</v>
      </c>
      <c r="G235" s="22">
        <v>49</v>
      </c>
      <c r="H235" s="22">
        <v>0</v>
      </c>
      <c r="I235" s="22">
        <v>65</v>
      </c>
      <c r="J235" s="22">
        <v>188</v>
      </c>
      <c r="K235" s="22">
        <v>390</v>
      </c>
      <c r="L235" s="22">
        <v>330</v>
      </c>
      <c r="M235" s="22">
        <v>472</v>
      </c>
      <c r="N235" s="45">
        <f t="shared" si="139"/>
        <v>353</v>
      </c>
      <c r="O235" s="3">
        <f t="shared" si="140"/>
        <v>704</v>
      </c>
      <c r="P235" s="3">
        <f t="shared" si="141"/>
        <v>578</v>
      </c>
      <c r="Q235" s="3">
        <f t="shared" si="142"/>
        <v>1273</v>
      </c>
      <c r="R235" s="34">
        <f t="shared" ref="R235:R236" si="270">(N235-N234)/N234</f>
        <v>-2.2160664819944598E-2</v>
      </c>
      <c r="S235" s="32">
        <f t="shared" ref="S235:S236" si="271">N235-N234</f>
        <v>-8</v>
      </c>
      <c r="T235" s="34">
        <f t="shared" ref="T235:T236" si="272">(N235-N183)/N183</f>
        <v>-0.22075055187637968</v>
      </c>
      <c r="U235" s="34">
        <f t="shared" ref="U235:U236" si="273">N235/P235</f>
        <v>0.61072664359861595</v>
      </c>
      <c r="V235" s="40">
        <f t="shared" si="106"/>
        <v>207.33333333333334</v>
      </c>
      <c r="W235" s="40">
        <f t="shared" si="107"/>
        <v>26.666666666666668</v>
      </c>
      <c r="X235" s="40">
        <f t="shared" si="108"/>
        <v>279.66666666666669</v>
      </c>
      <c r="Y235" s="40">
        <f t="shared" si="109"/>
        <v>513.66666666666663</v>
      </c>
      <c r="Z235" s="59">
        <f t="shared" si="110"/>
        <v>-0.31278390655418553</v>
      </c>
      <c r="AA235" s="36"/>
    </row>
    <row r="236" spans="1:27" ht="16" thickBot="1" x14ac:dyDescent="0.4">
      <c r="A236" s="20">
        <f t="shared" si="130"/>
        <v>40194</v>
      </c>
      <c r="B236" s="22">
        <v>92</v>
      </c>
      <c r="C236" s="22">
        <v>98</v>
      </c>
      <c r="D236" s="22">
        <v>10</v>
      </c>
      <c r="E236" s="22">
        <v>127</v>
      </c>
      <c r="F236" s="22">
        <v>37</v>
      </c>
      <c r="G236" s="22">
        <v>46</v>
      </c>
      <c r="H236" s="22">
        <v>13</v>
      </c>
      <c r="I236" s="22">
        <v>48</v>
      </c>
      <c r="J236" s="22">
        <v>273</v>
      </c>
      <c r="K236" s="22">
        <v>522</v>
      </c>
      <c r="L236" s="22">
        <v>267</v>
      </c>
      <c r="M236" s="22">
        <v>526</v>
      </c>
      <c r="N236" s="45">
        <f t="shared" si="139"/>
        <v>402</v>
      </c>
      <c r="O236" s="3">
        <f t="shared" si="140"/>
        <v>692</v>
      </c>
      <c r="P236" s="3">
        <f t="shared" si="141"/>
        <v>666</v>
      </c>
      <c r="Q236" s="3">
        <f t="shared" si="142"/>
        <v>1367</v>
      </c>
      <c r="R236" s="34">
        <f t="shared" si="270"/>
        <v>0.13881019830028329</v>
      </c>
      <c r="S236" s="32">
        <f t="shared" si="271"/>
        <v>49</v>
      </c>
      <c r="T236" s="34">
        <f t="shared" si="272"/>
        <v>0.2601880877742947</v>
      </c>
      <c r="U236" s="34">
        <f t="shared" si="273"/>
        <v>0.60360360360360366</v>
      </c>
      <c r="V236" s="40">
        <f t="shared" si="106"/>
        <v>145.66666666666666</v>
      </c>
      <c r="W236" s="40">
        <f t="shared" si="107"/>
        <v>33.333333333333336</v>
      </c>
      <c r="X236" s="40">
        <f t="shared" si="108"/>
        <v>164.33333333333334</v>
      </c>
      <c r="Y236" s="40">
        <f t="shared" si="109"/>
        <v>343.33333333333331</v>
      </c>
      <c r="Z236" s="59">
        <f t="shared" si="110"/>
        <v>0.17087378640776704</v>
      </c>
      <c r="AA236" s="36"/>
    </row>
    <row r="237" spans="1:27" ht="16" thickBot="1" x14ac:dyDescent="0.4">
      <c r="A237" s="20">
        <f t="shared" si="130"/>
        <v>40201</v>
      </c>
      <c r="B237" s="22">
        <v>161</v>
      </c>
      <c r="C237" s="22">
        <v>182</v>
      </c>
      <c r="D237" s="22">
        <v>21</v>
      </c>
      <c r="E237" s="22">
        <v>270</v>
      </c>
      <c r="F237" s="22">
        <v>19</v>
      </c>
      <c r="G237" s="22">
        <v>32</v>
      </c>
      <c r="H237" s="22">
        <v>1</v>
      </c>
      <c r="I237" s="22">
        <v>37</v>
      </c>
      <c r="J237" s="22">
        <v>164</v>
      </c>
      <c r="K237" s="22">
        <v>401</v>
      </c>
      <c r="L237" s="22">
        <v>303</v>
      </c>
      <c r="M237" s="22">
        <v>568</v>
      </c>
      <c r="N237" s="45">
        <f t="shared" si="139"/>
        <v>344</v>
      </c>
      <c r="O237" s="3">
        <f t="shared" si="140"/>
        <v>669</v>
      </c>
      <c r="P237" s="3">
        <f t="shared" si="141"/>
        <v>615</v>
      </c>
      <c r="Q237" s="3">
        <f t="shared" si="142"/>
        <v>1490</v>
      </c>
      <c r="R237" s="34">
        <f t="shared" ref="R237" si="274">(N237-N236)/N236</f>
        <v>-0.14427860696517414</v>
      </c>
      <c r="S237" s="32">
        <f t="shared" ref="S237" si="275">N237-N236</f>
        <v>-58</v>
      </c>
      <c r="T237" s="34">
        <f t="shared" ref="T237" si="276">(N237-N185)/N185</f>
        <v>-3.3707865168539325E-2</v>
      </c>
      <c r="U237" s="34">
        <f t="shared" ref="U237" si="277">N237/P237</f>
        <v>0.55934959349593494</v>
      </c>
      <c r="V237" s="40">
        <f t="shared" si="106"/>
        <v>116.66666666666667</v>
      </c>
      <c r="W237" s="40">
        <f t="shared" si="107"/>
        <v>25</v>
      </c>
      <c r="X237" s="40">
        <f t="shared" si="108"/>
        <v>258</v>
      </c>
      <c r="Y237" s="40">
        <f t="shared" si="109"/>
        <v>399.66666666666669</v>
      </c>
      <c r="Z237" s="59">
        <f t="shared" si="110"/>
        <v>-0.13928273561301088</v>
      </c>
      <c r="AA237" s="36"/>
    </row>
    <row r="238" spans="1:27" ht="16" thickBot="1" x14ac:dyDescent="0.4">
      <c r="A238" s="20">
        <f t="shared" si="130"/>
        <v>40208</v>
      </c>
      <c r="B238" s="22">
        <v>165</v>
      </c>
      <c r="C238" s="22">
        <v>206</v>
      </c>
      <c r="D238" s="22">
        <v>56</v>
      </c>
      <c r="E238" s="22">
        <v>343</v>
      </c>
      <c r="F238" s="22">
        <v>32</v>
      </c>
      <c r="G238" s="22">
        <v>50</v>
      </c>
      <c r="H238" s="22">
        <v>8</v>
      </c>
      <c r="I238" s="22">
        <v>41</v>
      </c>
      <c r="J238" s="22">
        <v>196</v>
      </c>
      <c r="K238" s="22">
        <v>350</v>
      </c>
      <c r="L238" s="22">
        <v>284</v>
      </c>
      <c r="M238" s="22">
        <v>633</v>
      </c>
      <c r="N238" s="45">
        <f t="shared" si="139"/>
        <v>393</v>
      </c>
      <c r="O238" s="3">
        <f t="shared" si="140"/>
        <v>741</v>
      </c>
      <c r="P238" s="3">
        <f t="shared" si="141"/>
        <v>606</v>
      </c>
      <c r="Q238" s="3">
        <f t="shared" si="142"/>
        <v>1623</v>
      </c>
      <c r="R238" s="34">
        <f t="shared" ref="R238" si="278">(N238-N237)/N237</f>
        <v>0.14244186046511628</v>
      </c>
      <c r="S238" s="32">
        <f t="shared" ref="S238" si="279">N238-N237</f>
        <v>49</v>
      </c>
      <c r="T238" s="34">
        <f t="shared" ref="T238" si="280">(N238-N186)/N186</f>
        <v>0.31879194630872482</v>
      </c>
      <c r="U238" s="34">
        <f t="shared" ref="U238" si="281">N238/P238</f>
        <v>0.64851485148514854</v>
      </c>
      <c r="V238" s="40">
        <f t="shared" si="106"/>
        <v>137.66666666666666</v>
      </c>
      <c r="W238" s="40">
        <f t="shared" si="107"/>
        <v>43.333333333333336</v>
      </c>
      <c r="X238" s="40">
        <f t="shared" si="108"/>
        <v>225.66666666666666</v>
      </c>
      <c r="Y238" s="40">
        <f t="shared" si="109"/>
        <v>406.66666666666669</v>
      </c>
      <c r="Z238" s="59">
        <f t="shared" si="110"/>
        <v>-3.3606557377049227E-2</v>
      </c>
      <c r="AA238" s="36"/>
    </row>
    <row r="239" spans="1:27" ht="16" thickBot="1" x14ac:dyDescent="0.4">
      <c r="A239" s="20">
        <f t="shared" si="130"/>
        <v>40215</v>
      </c>
      <c r="B239" s="22">
        <v>290</v>
      </c>
      <c r="C239" s="22">
        <v>326</v>
      </c>
      <c r="D239" s="22">
        <v>58</v>
      </c>
      <c r="E239" s="22">
        <v>341</v>
      </c>
      <c r="F239" s="22">
        <v>28</v>
      </c>
      <c r="G239" s="22">
        <v>38</v>
      </c>
      <c r="H239" s="22">
        <v>4</v>
      </c>
      <c r="I239" s="22">
        <v>65</v>
      </c>
      <c r="J239" s="22">
        <v>182</v>
      </c>
      <c r="K239" s="22">
        <v>463</v>
      </c>
      <c r="L239" s="22">
        <v>233</v>
      </c>
      <c r="M239" s="22">
        <v>527</v>
      </c>
      <c r="N239" s="45">
        <f t="shared" si="139"/>
        <v>500</v>
      </c>
      <c r="O239" s="3">
        <f t="shared" si="140"/>
        <v>795</v>
      </c>
      <c r="P239" s="3">
        <f t="shared" si="141"/>
        <v>827</v>
      </c>
      <c r="Q239" s="3">
        <f t="shared" si="142"/>
        <v>1760</v>
      </c>
      <c r="R239" s="34">
        <f t="shared" ref="R239" si="282">(N239-N238)/N238</f>
        <v>0.27226463104325699</v>
      </c>
      <c r="S239" s="32">
        <f t="shared" ref="S239" si="283">N239-N238</f>
        <v>107</v>
      </c>
      <c r="T239" s="34">
        <f t="shared" ref="T239" si="284">(N239-N187)/N187</f>
        <v>0.26903553299492383</v>
      </c>
      <c r="U239" s="34">
        <f t="shared" ref="U239" si="285">N239/P239</f>
        <v>0.60459492140266025</v>
      </c>
      <c r="V239" s="40">
        <f t="shared" si="106"/>
        <v>175.66666666666666</v>
      </c>
      <c r="W239" s="40">
        <f t="shared" si="107"/>
        <v>39</v>
      </c>
      <c r="X239" s="40">
        <f t="shared" si="108"/>
        <v>207</v>
      </c>
      <c r="Y239" s="40">
        <f t="shared" si="109"/>
        <v>421.66666666666669</v>
      </c>
      <c r="Z239" s="59">
        <f t="shared" si="110"/>
        <v>0.18577075098814225</v>
      </c>
      <c r="AA239" s="36"/>
    </row>
    <row r="240" spans="1:27" ht="16" thickBot="1" x14ac:dyDescent="0.4">
      <c r="A240" s="20">
        <f t="shared" si="130"/>
        <v>40222</v>
      </c>
      <c r="B240" s="22">
        <v>238</v>
      </c>
      <c r="C240" s="22">
        <v>259</v>
      </c>
      <c r="D240" s="22">
        <v>47</v>
      </c>
      <c r="E240" s="22">
        <v>324</v>
      </c>
      <c r="F240" s="22">
        <v>52</v>
      </c>
      <c r="G240" s="22">
        <v>60</v>
      </c>
      <c r="H240" s="22">
        <v>7</v>
      </c>
      <c r="I240" s="22">
        <v>55</v>
      </c>
      <c r="J240" s="22">
        <v>316</v>
      </c>
      <c r="K240" s="22">
        <v>563</v>
      </c>
      <c r="L240" s="22">
        <v>250</v>
      </c>
      <c r="M240" s="22">
        <v>553</v>
      </c>
      <c r="N240" s="45">
        <f t="shared" si="139"/>
        <v>606</v>
      </c>
      <c r="O240" s="3">
        <f t="shared" si="140"/>
        <v>910</v>
      </c>
      <c r="P240" s="3">
        <f t="shared" si="141"/>
        <v>882</v>
      </c>
      <c r="Q240" s="3">
        <f t="shared" si="142"/>
        <v>1814</v>
      </c>
      <c r="R240" s="34">
        <f t="shared" ref="R240" si="286">(N240-N239)/N239</f>
        <v>0.21199999999999999</v>
      </c>
      <c r="S240" s="32">
        <f t="shared" ref="S240" si="287">N240-N239</f>
        <v>106</v>
      </c>
      <c r="T240" s="34">
        <f t="shared" ref="T240" si="288">(N240-N188)/N188</f>
        <v>0.21686746987951808</v>
      </c>
      <c r="U240" s="34">
        <f t="shared" ref="U240" si="289">N240/P240</f>
        <v>0.68707482993197277</v>
      </c>
      <c r="V240" s="40">
        <f t="shared" si="106"/>
        <v>176</v>
      </c>
      <c r="W240" s="40">
        <f t="shared" si="107"/>
        <v>39.666666666666664</v>
      </c>
      <c r="X240" s="40">
        <f t="shared" si="108"/>
        <v>257.33333333333331</v>
      </c>
      <c r="Y240" s="40">
        <f t="shared" si="109"/>
        <v>473</v>
      </c>
      <c r="Z240" s="59">
        <f t="shared" si="110"/>
        <v>0.28118393234672306</v>
      </c>
      <c r="AA240" s="36"/>
    </row>
    <row r="241" spans="1:27" ht="16" thickBot="1" x14ac:dyDescent="0.4">
      <c r="A241" s="20">
        <f t="shared" si="130"/>
        <v>40229</v>
      </c>
      <c r="B241" s="22">
        <v>241</v>
      </c>
      <c r="C241" s="22">
        <v>277</v>
      </c>
      <c r="D241" s="22">
        <v>54</v>
      </c>
      <c r="E241" s="22">
        <v>262</v>
      </c>
      <c r="F241" s="22">
        <v>45</v>
      </c>
      <c r="G241" s="22">
        <v>58</v>
      </c>
      <c r="H241" s="22">
        <v>5</v>
      </c>
      <c r="I241" s="22">
        <v>48</v>
      </c>
      <c r="J241" s="22">
        <v>245</v>
      </c>
      <c r="K241" s="22">
        <v>553</v>
      </c>
      <c r="L241" s="22">
        <v>334</v>
      </c>
      <c r="M241" s="22">
        <v>608</v>
      </c>
      <c r="N241" s="45">
        <f t="shared" si="139"/>
        <v>531</v>
      </c>
      <c r="O241" s="3">
        <f t="shared" si="140"/>
        <v>924</v>
      </c>
      <c r="P241" s="3">
        <f t="shared" si="141"/>
        <v>888</v>
      </c>
      <c r="Q241" s="3">
        <f t="shared" si="142"/>
        <v>1806</v>
      </c>
      <c r="R241" s="34">
        <f t="shared" ref="R241" si="290">(N241-N240)/N240</f>
        <v>-0.12376237623762376</v>
      </c>
      <c r="S241" s="32">
        <f t="shared" ref="S241" si="291">N241-N240</f>
        <v>-75</v>
      </c>
      <c r="T241" s="34">
        <f t="shared" ref="T241" si="292">(N241-N189)/N189</f>
        <v>-0.2594142259414226</v>
      </c>
      <c r="U241" s="34">
        <f t="shared" ref="U241" si="293">N241/P241</f>
        <v>0.59797297297297303</v>
      </c>
      <c r="V241" s="40">
        <f t="shared" si="106"/>
        <v>221.33333333333334</v>
      </c>
      <c r="W241" s="40">
        <f t="shared" si="107"/>
        <v>33.666666666666664</v>
      </c>
      <c r="X241" s="40">
        <f t="shared" si="108"/>
        <v>237.66666666666666</v>
      </c>
      <c r="Y241" s="40">
        <f t="shared" si="109"/>
        <v>492.66666666666669</v>
      </c>
      <c r="Z241" s="59">
        <f t="shared" si="110"/>
        <v>7.7807848443842989E-2</v>
      </c>
      <c r="AA241" s="36"/>
    </row>
    <row r="242" spans="1:27" ht="16" thickBot="1" x14ac:dyDescent="0.4">
      <c r="A242" s="20">
        <f t="shared" si="130"/>
        <v>40236</v>
      </c>
      <c r="B242" s="22">
        <v>303</v>
      </c>
      <c r="C242" s="22">
        <v>368</v>
      </c>
      <c r="D242" s="22">
        <v>78</v>
      </c>
      <c r="E242" s="22">
        <v>361</v>
      </c>
      <c r="F242" s="22">
        <v>44</v>
      </c>
      <c r="G242" s="22">
        <v>58</v>
      </c>
      <c r="H242" s="22">
        <v>6</v>
      </c>
      <c r="I242" s="22">
        <v>49</v>
      </c>
      <c r="J242" s="22">
        <v>120</v>
      </c>
      <c r="K242" s="22">
        <v>394</v>
      </c>
      <c r="L242" s="22">
        <v>343</v>
      </c>
      <c r="M242" s="22">
        <v>641</v>
      </c>
      <c r="N242" s="45">
        <f t="shared" si="139"/>
        <v>467</v>
      </c>
      <c r="O242" s="3">
        <f t="shared" si="140"/>
        <v>894</v>
      </c>
      <c r="P242" s="3">
        <f t="shared" si="141"/>
        <v>820</v>
      </c>
      <c r="Q242" s="3">
        <f t="shared" si="142"/>
        <v>1871</v>
      </c>
      <c r="R242" s="34">
        <f t="shared" ref="R242" si="294">(N242-N241)/N241</f>
        <v>-0.12052730696798493</v>
      </c>
      <c r="S242" s="32">
        <f t="shared" ref="S242" si="295">N242-N241</f>
        <v>-64</v>
      </c>
      <c r="T242" s="34">
        <f t="shared" ref="T242" si="296">(N242-N190)/N190</f>
        <v>-0.28702290076335879</v>
      </c>
      <c r="U242" s="34">
        <f t="shared" ref="U242" si="297">N242/P242</f>
        <v>0.56951219512195117</v>
      </c>
      <c r="V242" s="40">
        <f t="shared" si="106"/>
        <v>304</v>
      </c>
      <c r="W242" s="40">
        <f t="shared" si="107"/>
        <v>34.333333333333336</v>
      </c>
      <c r="X242" s="40">
        <f t="shared" si="108"/>
        <v>207</v>
      </c>
      <c r="Y242" s="40">
        <f t="shared" si="109"/>
        <v>545.33333333333337</v>
      </c>
      <c r="Z242" s="59">
        <f t="shared" si="110"/>
        <v>-0.14364303178484114</v>
      </c>
      <c r="AA242" s="36"/>
    </row>
    <row r="243" spans="1:27" ht="16" thickBot="1" x14ac:dyDescent="0.4">
      <c r="A243" s="20">
        <f t="shared" si="130"/>
        <v>40243</v>
      </c>
      <c r="B243" s="22">
        <v>421</v>
      </c>
      <c r="C243" s="22">
        <v>478</v>
      </c>
      <c r="D243" s="22">
        <v>71</v>
      </c>
      <c r="E243" s="22">
        <v>455</v>
      </c>
      <c r="F243" s="22">
        <v>13</v>
      </c>
      <c r="G243" s="22">
        <v>28</v>
      </c>
      <c r="H243" s="22">
        <v>8</v>
      </c>
      <c r="I243" s="22">
        <v>58</v>
      </c>
      <c r="J243" s="22">
        <v>276</v>
      </c>
      <c r="K243" s="22">
        <v>583</v>
      </c>
      <c r="L243" s="22">
        <v>397</v>
      </c>
      <c r="M243" s="22">
        <v>734</v>
      </c>
      <c r="N243" s="45">
        <f t="shared" si="139"/>
        <v>710</v>
      </c>
      <c r="O243" s="3">
        <f t="shared" si="140"/>
        <v>1186</v>
      </c>
      <c r="P243" s="3">
        <f t="shared" si="141"/>
        <v>1089</v>
      </c>
      <c r="Q243" s="3">
        <f t="shared" si="142"/>
        <v>2336</v>
      </c>
      <c r="R243" s="34">
        <f t="shared" ref="R243" si="298">(N243-N242)/N242</f>
        <v>0.52034261241970026</v>
      </c>
      <c r="S243" s="32">
        <f t="shared" ref="S243" si="299">N243-N242</f>
        <v>243</v>
      </c>
      <c r="T243" s="34">
        <f t="shared" ref="T243" si="300">(N243-N191)/N191</f>
        <v>1.7191977077363897E-2</v>
      </c>
      <c r="U243" s="34">
        <f t="shared" ref="U243" si="301">N243/P243</f>
        <v>0.6519742883379247</v>
      </c>
      <c r="V243" s="40">
        <f t="shared" si="106"/>
        <v>359.66666666666669</v>
      </c>
      <c r="W243" s="40">
        <f t="shared" si="107"/>
        <v>17.666666666666668</v>
      </c>
      <c r="X243" s="40">
        <f t="shared" si="108"/>
        <v>184.33333333333334</v>
      </c>
      <c r="Y243" s="40">
        <f t="shared" si="109"/>
        <v>561.66666666666663</v>
      </c>
      <c r="Z243" s="59">
        <f t="shared" si="110"/>
        <v>0.26409495548961431</v>
      </c>
      <c r="AA243" s="36"/>
    </row>
    <row r="244" spans="1:27" ht="16" thickBot="1" x14ac:dyDescent="0.4">
      <c r="A244" s="20">
        <f t="shared" si="130"/>
        <v>40250</v>
      </c>
      <c r="B244" s="22">
        <v>238</v>
      </c>
      <c r="C244" s="22">
        <v>294</v>
      </c>
      <c r="D244" s="22">
        <v>57</v>
      </c>
      <c r="E244" s="22">
        <v>424</v>
      </c>
      <c r="F244" s="22">
        <v>43</v>
      </c>
      <c r="G244" s="22">
        <v>57</v>
      </c>
      <c r="H244" s="22">
        <v>19</v>
      </c>
      <c r="I244" s="22">
        <v>62</v>
      </c>
      <c r="J244" s="22">
        <v>304</v>
      </c>
      <c r="K244" s="22">
        <v>599</v>
      </c>
      <c r="L244" s="22">
        <v>388</v>
      </c>
      <c r="M244" s="22">
        <v>781</v>
      </c>
      <c r="N244" s="45">
        <f t="shared" si="139"/>
        <v>585</v>
      </c>
      <c r="O244" s="3">
        <f t="shared" si="140"/>
        <v>1049</v>
      </c>
      <c r="P244" s="3">
        <f t="shared" si="141"/>
        <v>950</v>
      </c>
      <c r="Q244" s="3">
        <f t="shared" si="142"/>
        <v>2217</v>
      </c>
      <c r="R244" s="34">
        <f t="shared" ref="R244" si="302">(N244-N243)/N243</f>
        <v>-0.176056338028169</v>
      </c>
      <c r="S244" s="32">
        <f t="shared" ref="S244" si="303">N244-N243</f>
        <v>-125</v>
      </c>
      <c r="T244" s="34">
        <f t="shared" ref="T244" si="304">(N244-N192)/N192</f>
        <v>0.19631901840490798</v>
      </c>
      <c r="U244" s="34">
        <f t="shared" ref="U244" si="305">N244/P244</f>
        <v>0.61578947368421055</v>
      </c>
      <c r="V244" s="40">
        <f t="shared" si="106"/>
        <v>371</v>
      </c>
      <c r="W244" s="40">
        <f t="shared" si="107"/>
        <v>43</v>
      </c>
      <c r="X244" s="40">
        <f t="shared" si="108"/>
        <v>222</v>
      </c>
      <c r="Y244" s="40">
        <f t="shared" si="109"/>
        <v>636</v>
      </c>
      <c r="Z244" s="59">
        <f t="shared" si="110"/>
        <v>-8.0188679245283015E-2</v>
      </c>
      <c r="AA244" s="36"/>
    </row>
    <row r="245" spans="1:27" ht="16" thickBot="1" x14ac:dyDescent="0.4">
      <c r="A245" s="20">
        <f t="shared" si="130"/>
        <v>40257</v>
      </c>
      <c r="B245" s="22">
        <v>191</v>
      </c>
      <c r="C245" s="22">
        <v>224</v>
      </c>
      <c r="D245" s="22">
        <v>47</v>
      </c>
      <c r="E245" s="22">
        <v>202</v>
      </c>
      <c r="F245" s="22">
        <v>45</v>
      </c>
      <c r="G245" s="22">
        <v>61</v>
      </c>
      <c r="H245" s="22">
        <v>10</v>
      </c>
      <c r="I245" s="22">
        <v>47</v>
      </c>
      <c r="J245" s="22">
        <v>227</v>
      </c>
      <c r="K245" s="22">
        <v>513</v>
      </c>
      <c r="L245" s="22">
        <v>319</v>
      </c>
      <c r="M245" s="22">
        <v>645</v>
      </c>
      <c r="N245" s="45">
        <f t="shared" si="139"/>
        <v>463</v>
      </c>
      <c r="O245" s="3">
        <f t="shared" si="140"/>
        <v>839</v>
      </c>
      <c r="P245" s="3">
        <f t="shared" si="141"/>
        <v>798</v>
      </c>
      <c r="Q245" s="3">
        <f t="shared" si="142"/>
        <v>1692</v>
      </c>
      <c r="R245" s="34">
        <f t="shared" ref="R245" si="306">(N245-N244)/N244</f>
        <v>-0.20854700854700856</v>
      </c>
      <c r="S245" s="32">
        <f t="shared" ref="S245" si="307">N245-N244</f>
        <v>-122</v>
      </c>
      <c r="T245" s="34">
        <f t="shared" ref="T245" si="308">(N245-N193)/N193</f>
        <v>-0.19618055555555555</v>
      </c>
      <c r="U245" s="34">
        <f t="shared" ref="U245" si="309">N245/P245</f>
        <v>0.58020050125313283</v>
      </c>
      <c r="V245" s="40">
        <f t="shared" si="106"/>
        <v>401.33333333333331</v>
      </c>
      <c r="W245" s="40">
        <f t="shared" si="107"/>
        <v>24.666666666666668</v>
      </c>
      <c r="X245" s="40">
        <f t="shared" si="108"/>
        <v>155.33333333333334</v>
      </c>
      <c r="Y245" s="40">
        <f t="shared" si="109"/>
        <v>581.33333333333337</v>
      </c>
      <c r="Z245" s="59">
        <f t="shared" si="110"/>
        <v>-0.20355504587155968</v>
      </c>
      <c r="AA245" s="36"/>
    </row>
    <row r="246" spans="1:27" ht="16" thickBot="1" x14ac:dyDescent="0.4">
      <c r="A246" s="20">
        <f t="shared" si="130"/>
        <v>40264</v>
      </c>
      <c r="B246" s="22">
        <v>198</v>
      </c>
      <c r="C246" s="22">
        <v>227</v>
      </c>
      <c r="D246" s="22">
        <v>46</v>
      </c>
      <c r="E246" s="22">
        <v>260</v>
      </c>
      <c r="F246" s="22">
        <v>27</v>
      </c>
      <c r="G246" s="22">
        <v>28</v>
      </c>
      <c r="H246" s="22">
        <v>20</v>
      </c>
      <c r="I246" s="22">
        <v>59</v>
      </c>
      <c r="J246" s="22">
        <v>192</v>
      </c>
      <c r="K246" s="22">
        <v>500</v>
      </c>
      <c r="L246" s="22">
        <v>310</v>
      </c>
      <c r="M246" s="22">
        <v>615</v>
      </c>
      <c r="N246" s="45">
        <f t="shared" si="139"/>
        <v>417</v>
      </c>
      <c r="O246" s="3">
        <f t="shared" si="140"/>
        <v>793</v>
      </c>
      <c r="P246" s="3">
        <f t="shared" si="141"/>
        <v>755</v>
      </c>
      <c r="Q246" s="3">
        <f t="shared" si="142"/>
        <v>1689</v>
      </c>
      <c r="R246" s="34">
        <f t="shared" ref="R246" si="310">(N246-N245)/N245</f>
        <v>-9.9352051835853133E-2</v>
      </c>
      <c r="S246" s="32">
        <f t="shared" ref="S246" si="311">N246-N245</f>
        <v>-46</v>
      </c>
      <c r="T246" s="34">
        <f t="shared" ref="T246" si="312">(N246-N194)/N194</f>
        <v>-0.38313609467455623</v>
      </c>
      <c r="U246" s="34">
        <f t="shared" ref="U246" si="313">N246/P246</f>
        <v>0.55231788079470201</v>
      </c>
      <c r="V246" s="40">
        <f t="shared" si="106"/>
        <v>389</v>
      </c>
      <c r="W246" s="40">
        <f t="shared" si="107"/>
        <v>22</v>
      </c>
      <c r="X246" s="40">
        <f t="shared" si="108"/>
        <v>203.66666666666666</v>
      </c>
      <c r="Y246" s="40">
        <f t="shared" si="109"/>
        <v>614.66666666666663</v>
      </c>
      <c r="Z246" s="59">
        <f t="shared" si="110"/>
        <v>-0.32158351409978303</v>
      </c>
      <c r="AA246" s="36"/>
    </row>
    <row r="247" spans="1:27" ht="16" thickBot="1" x14ac:dyDescent="0.4">
      <c r="A247" s="20">
        <f t="shared" si="130"/>
        <v>40271</v>
      </c>
      <c r="B247" s="22">
        <v>378</v>
      </c>
      <c r="C247" s="22">
        <v>444</v>
      </c>
      <c r="D247" s="22">
        <v>66</v>
      </c>
      <c r="E247" s="22">
        <v>324</v>
      </c>
      <c r="F247" s="22">
        <v>18</v>
      </c>
      <c r="G247" s="22">
        <v>55</v>
      </c>
      <c r="H247" s="22">
        <v>14</v>
      </c>
      <c r="I247" s="22">
        <v>58</v>
      </c>
      <c r="J247" s="22">
        <v>320</v>
      </c>
      <c r="K247" s="22">
        <v>562</v>
      </c>
      <c r="L247" s="22">
        <v>391</v>
      </c>
      <c r="M247" s="22">
        <v>667</v>
      </c>
      <c r="N247" s="45">
        <f t="shared" si="139"/>
        <v>716</v>
      </c>
      <c r="O247" s="3">
        <f t="shared" si="140"/>
        <v>1187</v>
      </c>
      <c r="P247" s="3">
        <f t="shared" si="141"/>
        <v>1061</v>
      </c>
      <c r="Q247" s="3">
        <f t="shared" ref="Q247" si="314">SUM(C247,E247,G247,I247,K247,M247)</f>
        <v>2110</v>
      </c>
      <c r="R247" s="34">
        <f t="shared" ref="R247" si="315">(N247-N246)/N246</f>
        <v>0.71702637889688248</v>
      </c>
      <c r="S247" s="32">
        <f t="shared" ref="S247" si="316">N247-N246</f>
        <v>299</v>
      </c>
      <c r="T247" s="34">
        <f t="shared" ref="T247" si="317">(N247-N195)/N195</f>
        <v>0.12050078247261346</v>
      </c>
      <c r="U247" s="34">
        <f t="shared" ref="U247" si="318">N247/P247</f>
        <v>0.67483506126295945</v>
      </c>
      <c r="V247" s="40">
        <f t="shared" ref="V247:V249" si="319">AVERAGE(B91,B143,B195)</f>
        <v>448</v>
      </c>
      <c r="W247" s="40">
        <f t="shared" ref="W247:W249" si="320">AVERAGE(F91,F143,F195)</f>
        <v>22.666666666666668</v>
      </c>
      <c r="X247" s="40">
        <f t="shared" ref="X247:X249" si="321">AVERAGE(J91,J143,J195)</f>
        <v>204.66666666666666</v>
      </c>
      <c r="Y247" s="40">
        <f t="shared" ref="Y247:Y249" si="322">AVERAGE(N91,N143,N195)</f>
        <v>675.33333333333337</v>
      </c>
      <c r="Z247" s="59">
        <f t="shared" ref="Z247:Z292" si="323">(N247-Y247)/Y247</f>
        <v>6.0217176702862724E-2</v>
      </c>
      <c r="AA247" s="36"/>
    </row>
    <row r="248" spans="1:27" ht="16" thickBot="1" x14ac:dyDescent="0.4">
      <c r="A248" s="20">
        <f t="shared" si="130"/>
        <v>40278</v>
      </c>
      <c r="B248" s="22">
        <v>451</v>
      </c>
      <c r="C248" s="22">
        <v>510</v>
      </c>
      <c r="D248" s="22">
        <v>46</v>
      </c>
      <c r="E248" s="22">
        <v>248</v>
      </c>
      <c r="F248" s="22">
        <v>30</v>
      </c>
      <c r="G248" s="22">
        <v>48</v>
      </c>
      <c r="H248" s="22">
        <v>24</v>
      </c>
      <c r="I248" s="22">
        <v>59</v>
      </c>
      <c r="J248" s="22">
        <v>216</v>
      </c>
      <c r="K248" s="22">
        <v>496</v>
      </c>
      <c r="L248" s="22">
        <v>366</v>
      </c>
      <c r="M248" s="22">
        <v>667</v>
      </c>
      <c r="N248" s="45">
        <f t="shared" si="139"/>
        <v>697</v>
      </c>
      <c r="O248" s="3">
        <f t="shared" si="140"/>
        <v>1133</v>
      </c>
      <c r="P248" s="3">
        <f t="shared" si="141"/>
        <v>1054</v>
      </c>
      <c r="Q248" s="3">
        <f t="shared" ref="Q248" si="324">SUM(C248,E248,G248,I248,K248,M248)</f>
        <v>2028</v>
      </c>
      <c r="R248" s="34">
        <f t="shared" ref="R248" si="325">(N248-N247)/N247</f>
        <v>-2.6536312849162011E-2</v>
      </c>
      <c r="S248" s="32">
        <f t="shared" ref="S248" si="326">N248-N247</f>
        <v>-19</v>
      </c>
      <c r="T248" s="34">
        <f t="shared" ref="T248" si="327">(N248-N196)/N196</f>
        <v>0.23581560283687944</v>
      </c>
      <c r="U248" s="34">
        <f t="shared" ref="U248" si="328">N248/P248</f>
        <v>0.66129032258064513</v>
      </c>
      <c r="V248" s="40">
        <f t="shared" si="319"/>
        <v>345.33333333333331</v>
      </c>
      <c r="W248" s="40">
        <f t="shared" si="320"/>
        <v>36.666666666666664</v>
      </c>
      <c r="X248" s="40">
        <f t="shared" si="321"/>
        <v>223.66666666666666</v>
      </c>
      <c r="Y248" s="40">
        <f t="shared" si="322"/>
        <v>605.66666666666663</v>
      </c>
      <c r="Z248" s="59">
        <f t="shared" si="323"/>
        <v>0.15079801871216297</v>
      </c>
      <c r="AA248" s="36"/>
    </row>
    <row r="249" spans="1:27" ht="16" thickBot="1" x14ac:dyDescent="0.4">
      <c r="A249" s="20">
        <f t="shared" si="130"/>
        <v>40285</v>
      </c>
      <c r="B249" s="22">
        <v>385</v>
      </c>
      <c r="C249" s="22">
        <v>446</v>
      </c>
      <c r="D249" s="22">
        <v>54</v>
      </c>
      <c r="E249" s="22">
        <v>372</v>
      </c>
      <c r="F249" s="22">
        <v>18</v>
      </c>
      <c r="G249" s="22">
        <v>42</v>
      </c>
      <c r="H249" s="22">
        <v>23</v>
      </c>
      <c r="I249" s="22">
        <v>45</v>
      </c>
      <c r="J249" s="22">
        <v>284</v>
      </c>
      <c r="K249" s="22">
        <v>461</v>
      </c>
      <c r="L249" s="22">
        <v>394</v>
      </c>
      <c r="M249" s="22">
        <v>691</v>
      </c>
      <c r="N249" s="45">
        <f t="shared" si="139"/>
        <v>687</v>
      </c>
      <c r="O249" s="3">
        <f t="shared" si="140"/>
        <v>1158</v>
      </c>
      <c r="P249" s="3">
        <f t="shared" si="141"/>
        <v>949</v>
      </c>
      <c r="Q249" s="3">
        <f t="shared" ref="Q249" si="329">SUM(C249,E249,G249,I249,K249,M249)</f>
        <v>2057</v>
      </c>
      <c r="R249" s="34">
        <f t="shared" ref="R249" si="330">(N249-N248)/N248</f>
        <v>-1.4347202295552367E-2</v>
      </c>
      <c r="S249" s="32">
        <f t="shared" ref="S249" si="331">N249-N248</f>
        <v>-10</v>
      </c>
      <c r="T249" s="34">
        <f t="shared" ref="T249" si="332">(N249-N197)/N197</f>
        <v>7.6802507836990594E-2</v>
      </c>
      <c r="U249" s="34">
        <f t="shared" ref="U249" si="333">N249/P249</f>
        <v>0.72391991570073766</v>
      </c>
      <c r="V249" s="40">
        <f t="shared" si="319"/>
        <v>387.33333333333331</v>
      </c>
      <c r="W249" s="40">
        <f t="shared" si="320"/>
        <v>15.666666666666666</v>
      </c>
      <c r="X249" s="40">
        <f t="shared" si="321"/>
        <v>200.66666666666666</v>
      </c>
      <c r="Y249" s="40">
        <f t="shared" si="322"/>
        <v>603.66666666666663</v>
      </c>
      <c r="Z249" s="59">
        <f t="shared" si="323"/>
        <v>0.13804527885146334</v>
      </c>
      <c r="AA249" s="36"/>
    </row>
    <row r="250" spans="1:27" ht="16" thickBot="1" x14ac:dyDescent="0.4">
      <c r="A250" s="20">
        <f t="shared" si="130"/>
        <v>40292</v>
      </c>
      <c r="B250" s="22">
        <v>321</v>
      </c>
      <c r="C250" s="22">
        <v>366</v>
      </c>
      <c r="D250" s="22">
        <v>46</v>
      </c>
      <c r="E250" s="22">
        <v>456</v>
      </c>
      <c r="F250" s="22">
        <v>20</v>
      </c>
      <c r="G250" s="22">
        <v>30</v>
      </c>
      <c r="H250" s="22">
        <v>20</v>
      </c>
      <c r="I250" s="22">
        <v>41</v>
      </c>
      <c r="J250" s="22">
        <v>255</v>
      </c>
      <c r="K250" s="22">
        <v>470</v>
      </c>
      <c r="L250" s="22">
        <v>308</v>
      </c>
      <c r="M250" s="22">
        <v>498</v>
      </c>
      <c r="N250" s="45">
        <f t="shared" si="139"/>
        <v>596</v>
      </c>
      <c r="O250" s="3">
        <f t="shared" si="140"/>
        <v>970</v>
      </c>
      <c r="P250" s="3">
        <f t="shared" si="141"/>
        <v>866</v>
      </c>
      <c r="Q250" s="3">
        <f t="shared" ref="Q250:Q251" si="334">SUM(C250,E250,G250,I250,K250,M250)</f>
        <v>1861</v>
      </c>
      <c r="R250" s="34">
        <f t="shared" ref="R250" si="335">(N250-N249)/N249</f>
        <v>-0.1324599708879185</v>
      </c>
      <c r="S250" s="32">
        <f t="shared" ref="S250" si="336">N250-N249</f>
        <v>-91</v>
      </c>
      <c r="T250" s="34">
        <f t="shared" ref="T250" si="337">(N250-N198)/N198</f>
        <v>0.1640625</v>
      </c>
      <c r="U250" s="34">
        <f t="shared" ref="U250" si="338">N250/P250</f>
        <v>0.68822170900692836</v>
      </c>
      <c r="V250" s="40">
        <f t="shared" ref="V250" si="339">AVERAGE(B94,B146,B198)</f>
        <v>302.66666666666669</v>
      </c>
      <c r="W250" s="40">
        <f t="shared" ref="W250" si="340">AVERAGE(F94,F146,F198)</f>
        <v>27.666666666666668</v>
      </c>
      <c r="X250" s="40">
        <f t="shared" ref="X250" si="341">AVERAGE(J94,J146,J198)</f>
        <v>180.66666666666666</v>
      </c>
      <c r="Y250" s="40">
        <f t="shared" ref="Y250" si="342">AVERAGE(N94,N146,N198)</f>
        <v>511</v>
      </c>
      <c r="Z250" s="59">
        <f t="shared" si="323"/>
        <v>0.16634050880626222</v>
      </c>
      <c r="AA250" s="36"/>
    </row>
    <row r="251" spans="1:27" ht="16" thickBot="1" x14ac:dyDescent="0.4">
      <c r="A251" s="20">
        <f t="shared" si="130"/>
        <v>40299</v>
      </c>
      <c r="B251" s="22">
        <v>357</v>
      </c>
      <c r="C251" s="22">
        <v>420</v>
      </c>
      <c r="D251" s="22">
        <v>88</v>
      </c>
      <c r="E251" s="22">
        <v>440</v>
      </c>
      <c r="F251" s="22">
        <v>6</v>
      </c>
      <c r="G251" s="22">
        <v>32</v>
      </c>
      <c r="H251" s="22">
        <v>33</v>
      </c>
      <c r="I251" s="22">
        <v>55</v>
      </c>
      <c r="J251" s="22">
        <v>260</v>
      </c>
      <c r="K251" s="22">
        <v>524</v>
      </c>
      <c r="L251" s="22">
        <v>345</v>
      </c>
      <c r="M251" s="22">
        <v>615</v>
      </c>
      <c r="N251" s="45">
        <f t="shared" si="139"/>
        <v>623</v>
      </c>
      <c r="O251" s="3">
        <f t="shared" si="140"/>
        <v>1089</v>
      </c>
      <c r="P251" s="3">
        <f t="shared" si="141"/>
        <v>976</v>
      </c>
      <c r="Q251" s="3">
        <f t="shared" si="334"/>
        <v>2086</v>
      </c>
      <c r="R251" s="34">
        <f t="shared" ref="R251" si="343">(N251-N250)/N250</f>
        <v>4.5302013422818789E-2</v>
      </c>
      <c r="S251" s="32">
        <f t="shared" ref="S251" si="344">N251-N250</f>
        <v>27</v>
      </c>
      <c r="T251" s="34">
        <f t="shared" ref="T251" si="345">(N251-N199)/N199</f>
        <v>5.4145516074450083E-2</v>
      </c>
      <c r="U251" s="34">
        <f t="shared" ref="U251" si="346">N251/P251</f>
        <v>0.63831967213114749</v>
      </c>
      <c r="V251" s="40">
        <f t="shared" ref="V251" si="347">AVERAGE(B95,B147,B199)</f>
        <v>297</v>
      </c>
      <c r="W251" s="40">
        <f t="shared" ref="W251" si="348">AVERAGE(F95,F147,F199)</f>
        <v>35.333333333333336</v>
      </c>
      <c r="X251" s="40">
        <f t="shared" ref="X251" si="349">AVERAGE(J95,J147,J199)</f>
        <v>176.66666666666666</v>
      </c>
      <c r="Y251" s="40">
        <f t="shared" ref="Y251" si="350">AVERAGE(N95,N147,N199)</f>
        <v>509</v>
      </c>
      <c r="Z251" s="59">
        <f t="shared" si="323"/>
        <v>0.22396856581532418</v>
      </c>
      <c r="AA251" s="36"/>
    </row>
    <row r="252" spans="1:27" ht="16" thickBot="1" x14ac:dyDescent="0.4">
      <c r="A252" s="20">
        <f t="shared" si="130"/>
        <v>40306</v>
      </c>
      <c r="B252" s="22">
        <v>396</v>
      </c>
      <c r="C252" s="22">
        <v>463</v>
      </c>
      <c r="D252" s="22">
        <v>80</v>
      </c>
      <c r="E252" s="22">
        <v>589</v>
      </c>
      <c r="F252" s="22">
        <v>12</v>
      </c>
      <c r="G252" s="22">
        <v>28</v>
      </c>
      <c r="H252" s="22">
        <v>42</v>
      </c>
      <c r="I252" s="22">
        <v>70</v>
      </c>
      <c r="J252" s="22">
        <v>207</v>
      </c>
      <c r="K252" s="22">
        <v>494</v>
      </c>
      <c r="L252" s="22">
        <v>292</v>
      </c>
      <c r="M252" s="22">
        <v>550</v>
      </c>
      <c r="N252" s="45">
        <f t="shared" si="139"/>
        <v>615</v>
      </c>
      <c r="O252" s="3">
        <f t="shared" si="140"/>
        <v>1029</v>
      </c>
      <c r="P252" s="3">
        <f t="shared" si="141"/>
        <v>985</v>
      </c>
      <c r="Q252" s="3">
        <f t="shared" ref="Q252:Q253" si="351">SUM(C252,E252,G252,I252,K252,M252)</f>
        <v>2194</v>
      </c>
      <c r="R252" s="34">
        <f t="shared" ref="R252" si="352">(N252-N251)/N251</f>
        <v>-1.2841091492776886E-2</v>
      </c>
      <c r="S252" s="32">
        <f t="shared" ref="S252" si="353">N252-N251</f>
        <v>-8</v>
      </c>
      <c r="T252" s="34">
        <f t="shared" ref="T252" si="354">(N252-N200)/N200</f>
        <v>-8.0645161290322578E-3</v>
      </c>
      <c r="U252" s="34">
        <f t="shared" ref="U252" si="355">N252/P252</f>
        <v>0.62436548223350252</v>
      </c>
      <c r="V252" s="40">
        <f t="shared" ref="V252" si="356">AVERAGE(B96,B148,B200)</f>
        <v>340.33333333333331</v>
      </c>
      <c r="W252" s="40">
        <f t="shared" ref="W252" si="357">AVERAGE(F96,F148,F200)</f>
        <v>20.333333333333332</v>
      </c>
      <c r="X252" s="40">
        <f t="shared" ref="X252" si="358">AVERAGE(J96,J148,J200)</f>
        <v>147.33333333333334</v>
      </c>
      <c r="Y252" s="40">
        <f t="shared" ref="Y252" si="359">AVERAGE(N96,N148,N200)</f>
        <v>508</v>
      </c>
      <c r="Z252" s="59">
        <f t="shared" si="323"/>
        <v>0.21062992125984251</v>
      </c>
      <c r="AA252" s="36"/>
    </row>
    <row r="253" spans="1:27" ht="16" thickBot="1" x14ac:dyDescent="0.4">
      <c r="A253" s="20">
        <f t="shared" si="130"/>
        <v>40313</v>
      </c>
      <c r="B253" s="22">
        <v>506</v>
      </c>
      <c r="C253" s="22">
        <v>554</v>
      </c>
      <c r="D253" s="22">
        <v>65</v>
      </c>
      <c r="E253" s="22">
        <v>605</v>
      </c>
      <c r="F253" s="22">
        <v>16</v>
      </c>
      <c r="G253" s="22">
        <v>58</v>
      </c>
      <c r="H253" s="22">
        <v>37</v>
      </c>
      <c r="I253" s="22">
        <v>61</v>
      </c>
      <c r="J253" s="22">
        <v>190</v>
      </c>
      <c r="K253" s="22">
        <v>407</v>
      </c>
      <c r="L253" s="22">
        <v>340</v>
      </c>
      <c r="M253" s="22">
        <v>635</v>
      </c>
      <c r="N253" s="45">
        <f t="shared" si="139"/>
        <v>712</v>
      </c>
      <c r="O253" s="3">
        <f t="shared" si="140"/>
        <v>1154</v>
      </c>
      <c r="P253" s="3">
        <f t="shared" si="141"/>
        <v>1019</v>
      </c>
      <c r="Q253" s="3">
        <f t="shared" si="351"/>
        <v>2320</v>
      </c>
      <c r="R253" s="34">
        <f t="shared" ref="R253" si="360">(N253-N252)/N252</f>
        <v>0.15772357723577235</v>
      </c>
      <c r="S253" s="32">
        <f t="shared" ref="S253" si="361">N253-N252</f>
        <v>97</v>
      </c>
      <c r="T253" s="34">
        <f t="shared" ref="T253" si="362">(N253-N201)/N201</f>
        <v>-0.12423124231242312</v>
      </c>
      <c r="U253" s="34">
        <f t="shared" ref="U253" si="363">N253/P253</f>
        <v>0.6987242394504416</v>
      </c>
      <c r="V253" s="40">
        <f t="shared" ref="V253" si="364">AVERAGE(B97,B149,B201)</f>
        <v>400</v>
      </c>
      <c r="W253" s="40">
        <f t="shared" ref="W253" si="365">AVERAGE(F97,F149,F201)</f>
        <v>19.666666666666668</v>
      </c>
      <c r="X253" s="40">
        <f t="shared" ref="X253" si="366">AVERAGE(J97,J149,J201)</f>
        <v>239.66666666666666</v>
      </c>
      <c r="Y253" s="40">
        <f t="shared" ref="Y253" si="367">AVERAGE(N97,N149,N201)</f>
        <v>659.33333333333337</v>
      </c>
      <c r="Z253" s="59">
        <f t="shared" si="323"/>
        <v>7.9878665318503475E-2</v>
      </c>
      <c r="AA253" s="36"/>
    </row>
    <row r="254" spans="1:27" ht="16" thickBot="1" x14ac:dyDescent="0.4">
      <c r="A254" s="20">
        <f t="shared" si="130"/>
        <v>40320</v>
      </c>
      <c r="B254" s="22">
        <v>487</v>
      </c>
      <c r="C254" s="22">
        <v>531</v>
      </c>
      <c r="D254" s="22">
        <v>60</v>
      </c>
      <c r="E254" s="22">
        <v>568</v>
      </c>
      <c r="F254" s="22">
        <v>16</v>
      </c>
      <c r="G254" s="22">
        <v>24</v>
      </c>
      <c r="H254" s="22">
        <v>16</v>
      </c>
      <c r="I254" s="22">
        <v>43</v>
      </c>
      <c r="J254" s="22">
        <v>286</v>
      </c>
      <c r="K254" s="22">
        <v>547</v>
      </c>
      <c r="L254" s="22">
        <v>256</v>
      </c>
      <c r="M254" s="22">
        <v>516</v>
      </c>
      <c r="N254" s="45">
        <f t="shared" si="139"/>
        <v>789</v>
      </c>
      <c r="O254" s="3">
        <f t="shared" si="140"/>
        <v>1121</v>
      </c>
      <c r="P254" s="3">
        <f t="shared" si="141"/>
        <v>1102</v>
      </c>
      <c r="Q254" s="3">
        <f t="shared" ref="Q254:Q259" si="368">SUM(C254,E254,G254,I254,K254,M254)</f>
        <v>2229</v>
      </c>
      <c r="R254" s="34">
        <f t="shared" ref="R254" si="369">(N254-N253)/N253</f>
        <v>0.10814606741573034</v>
      </c>
      <c r="S254" s="32">
        <f t="shared" ref="S254" si="370">N254-N253</f>
        <v>77</v>
      </c>
      <c r="T254" s="34">
        <f t="shared" ref="T254" si="371">(N254-N202)/N202</f>
        <v>0.35567010309278352</v>
      </c>
      <c r="U254" s="34">
        <f t="shared" ref="U254:U255" si="372">N254/P254</f>
        <v>0.71597096188747733</v>
      </c>
      <c r="V254" s="40">
        <f t="shared" ref="V254" si="373">AVERAGE(B98,B150,B202)</f>
        <v>390</v>
      </c>
      <c r="W254" s="40">
        <f t="shared" ref="W254" si="374">AVERAGE(F98,F150,F202)</f>
        <v>27</v>
      </c>
      <c r="X254" s="40">
        <f t="shared" ref="X254" si="375">AVERAGE(J98,J150,J202)</f>
        <v>151.66666666666666</v>
      </c>
      <c r="Y254" s="40">
        <f t="shared" ref="Y254" si="376">AVERAGE(N98,N150,N202)</f>
        <v>568.66666666666663</v>
      </c>
      <c r="Z254" s="59">
        <f t="shared" si="323"/>
        <v>0.38745603751465424</v>
      </c>
      <c r="AA254" s="36"/>
    </row>
    <row r="255" spans="1:27" ht="16" thickBot="1" x14ac:dyDescent="0.4">
      <c r="A255" s="20">
        <f t="shared" si="130"/>
        <v>40327</v>
      </c>
      <c r="B255" s="22">
        <v>543</v>
      </c>
      <c r="C255" s="22">
        <v>605</v>
      </c>
      <c r="D255" s="22">
        <v>77</v>
      </c>
      <c r="E255" s="22">
        <v>619</v>
      </c>
      <c r="F255" s="22">
        <v>9</v>
      </c>
      <c r="G255" s="22">
        <v>26</v>
      </c>
      <c r="H255" s="22">
        <v>18</v>
      </c>
      <c r="I255" s="22">
        <v>37</v>
      </c>
      <c r="J255" s="22">
        <v>221</v>
      </c>
      <c r="K255" s="22">
        <v>464</v>
      </c>
      <c r="L255" s="22">
        <v>301</v>
      </c>
      <c r="M255" s="22">
        <v>607</v>
      </c>
      <c r="N255" s="45">
        <f t="shared" si="139"/>
        <v>773</v>
      </c>
      <c r="O255" s="3">
        <f t="shared" si="140"/>
        <v>1169</v>
      </c>
      <c r="P255" s="3">
        <f t="shared" si="141"/>
        <v>1095</v>
      </c>
      <c r="Q255" s="3">
        <f t="shared" si="368"/>
        <v>2358</v>
      </c>
      <c r="R255" s="34">
        <f t="shared" ref="R255" si="377">(N255-N254)/N254</f>
        <v>-2.0278833967046894E-2</v>
      </c>
      <c r="S255" s="32">
        <f t="shared" ref="S255" si="378">N255-N254</f>
        <v>-16</v>
      </c>
      <c r="T255" s="34">
        <f t="shared" ref="T255" si="379">(N255-N203)/N203</f>
        <v>0.10903873744619799</v>
      </c>
      <c r="U255" s="34">
        <f t="shared" si="372"/>
        <v>0.70593607305936068</v>
      </c>
      <c r="V255" s="40">
        <f t="shared" ref="V255" si="380">AVERAGE(B99,B151,B203)</f>
        <v>352</v>
      </c>
      <c r="W255" s="40">
        <f t="shared" ref="W255" si="381">AVERAGE(F99,F151,F203)</f>
        <v>31.666666666666668</v>
      </c>
      <c r="X255" s="40">
        <f t="shared" ref="X255" si="382">AVERAGE(J99,J151,J203)</f>
        <v>200.66666666666666</v>
      </c>
      <c r="Y255" s="40">
        <f t="shared" ref="Y255" si="383">AVERAGE(N99,N151,N203)</f>
        <v>584.33333333333337</v>
      </c>
      <c r="Z255" s="59">
        <f t="shared" si="323"/>
        <v>0.32287507130633192</v>
      </c>
      <c r="AA255" s="36"/>
    </row>
    <row r="256" spans="1:27" ht="16" thickBot="1" x14ac:dyDescent="0.4">
      <c r="A256" s="20">
        <f t="shared" si="130"/>
        <v>40334</v>
      </c>
      <c r="B256" s="22">
        <v>457</v>
      </c>
      <c r="C256" s="22">
        <v>533</v>
      </c>
      <c r="D256" s="22">
        <v>54</v>
      </c>
      <c r="E256" s="22">
        <v>552</v>
      </c>
      <c r="F256" s="22">
        <v>16</v>
      </c>
      <c r="G256" s="22">
        <v>43</v>
      </c>
      <c r="H256" s="22">
        <v>12</v>
      </c>
      <c r="I256" s="22">
        <v>46</v>
      </c>
      <c r="J256" s="22">
        <v>214</v>
      </c>
      <c r="K256" s="22">
        <v>417</v>
      </c>
      <c r="L256" s="22">
        <v>355</v>
      </c>
      <c r="M256" s="22">
        <v>647</v>
      </c>
      <c r="N256" s="45">
        <f t="shared" si="139"/>
        <v>687</v>
      </c>
      <c r="O256" s="3">
        <f t="shared" si="140"/>
        <v>1108</v>
      </c>
      <c r="P256" s="3">
        <f t="shared" si="141"/>
        <v>993</v>
      </c>
      <c r="Q256" s="3">
        <f t="shared" si="368"/>
        <v>2238</v>
      </c>
      <c r="R256" s="34">
        <f t="shared" ref="R256" si="384">(N256-N255)/N255</f>
        <v>-0.11125485122897801</v>
      </c>
      <c r="S256" s="32">
        <f t="shared" ref="S256" si="385">N256-N255</f>
        <v>-86</v>
      </c>
      <c r="T256" s="34">
        <f t="shared" ref="T256" si="386">(N256-N204)/N204</f>
        <v>-3.1029619181946404E-2</v>
      </c>
      <c r="U256" s="34">
        <f t="shared" ref="U256" si="387">N256/P256</f>
        <v>0.69184290030211482</v>
      </c>
      <c r="V256" s="40">
        <f t="shared" ref="V256" si="388">AVERAGE(B100,B152,B204)</f>
        <v>434</v>
      </c>
      <c r="W256" s="40">
        <f t="shared" ref="W256" si="389">AVERAGE(F100,F152,F204)</f>
        <v>25</v>
      </c>
      <c r="X256" s="40">
        <f t="shared" ref="X256" si="390">AVERAGE(J100,J152,J204)</f>
        <v>142.33333333333334</v>
      </c>
      <c r="Y256" s="40">
        <f t="shared" ref="Y256" si="391">AVERAGE(N100,N152,N204)</f>
        <v>601.33333333333337</v>
      </c>
      <c r="Z256" s="59">
        <f t="shared" si="323"/>
        <v>0.14246119733924606</v>
      </c>
      <c r="AA256" s="36"/>
    </row>
    <row r="257" spans="1:27" ht="16" thickBot="1" x14ac:dyDescent="0.4">
      <c r="A257" s="20">
        <f t="shared" si="130"/>
        <v>40341</v>
      </c>
      <c r="B257" s="22">
        <v>497</v>
      </c>
      <c r="C257" s="22">
        <v>559</v>
      </c>
      <c r="D257" s="22">
        <v>47</v>
      </c>
      <c r="E257" s="22">
        <v>588</v>
      </c>
      <c r="F257" s="22">
        <v>20</v>
      </c>
      <c r="G257" s="22">
        <v>54</v>
      </c>
      <c r="H257" s="22">
        <v>8</v>
      </c>
      <c r="I257" s="22">
        <v>34</v>
      </c>
      <c r="J257" s="22">
        <v>325</v>
      </c>
      <c r="K257" s="22">
        <v>640</v>
      </c>
      <c r="L257" s="22">
        <v>408</v>
      </c>
      <c r="M257" s="22">
        <v>596</v>
      </c>
      <c r="N257" s="45">
        <f t="shared" si="139"/>
        <v>842</v>
      </c>
      <c r="O257" s="3">
        <f t="shared" si="140"/>
        <v>1305</v>
      </c>
      <c r="P257" s="3">
        <f t="shared" si="141"/>
        <v>1253</v>
      </c>
      <c r="Q257" s="3">
        <f t="shared" si="368"/>
        <v>2471</v>
      </c>
      <c r="R257" s="34">
        <f t="shared" ref="R257" si="392">(N257-N256)/N256</f>
        <v>0.22561863173216884</v>
      </c>
      <c r="S257" s="32">
        <f t="shared" ref="S257" si="393">N257-N256</f>
        <v>155</v>
      </c>
      <c r="T257" s="34">
        <f t="shared" ref="T257" si="394">(N257-N205)/N205</f>
        <v>0.14713896457765668</v>
      </c>
      <c r="U257" s="34">
        <f t="shared" ref="U257" si="395">N257/P257</f>
        <v>0.6719872306464485</v>
      </c>
      <c r="V257" s="40">
        <f t="shared" ref="V257" si="396">AVERAGE(B101,B153,B205)</f>
        <v>364.66666666666669</v>
      </c>
      <c r="W257" s="40">
        <f t="shared" ref="W257" si="397">AVERAGE(F101,F153,F205)</f>
        <v>23.333333333333332</v>
      </c>
      <c r="X257" s="40">
        <f t="shared" ref="X257" si="398">AVERAGE(J101,J153,J205)</f>
        <v>211</v>
      </c>
      <c r="Y257" s="40">
        <f t="shared" ref="Y257" si="399">AVERAGE(N101,N153,N205)</f>
        <v>599</v>
      </c>
      <c r="Z257" s="59">
        <f t="shared" si="323"/>
        <v>0.40567612687813021</v>
      </c>
      <c r="AA257" s="36"/>
    </row>
    <row r="258" spans="1:27" ht="16" thickBot="1" x14ac:dyDescent="0.4">
      <c r="A258" s="20">
        <f t="shared" si="130"/>
        <v>40348</v>
      </c>
      <c r="B258" s="22">
        <v>466</v>
      </c>
      <c r="C258" s="22">
        <v>554</v>
      </c>
      <c r="D258" s="22">
        <v>66</v>
      </c>
      <c r="E258" s="22">
        <v>584</v>
      </c>
      <c r="F258" s="22">
        <v>20</v>
      </c>
      <c r="G258" s="22">
        <v>27</v>
      </c>
      <c r="H258" s="22">
        <v>22</v>
      </c>
      <c r="I258" s="22">
        <v>54</v>
      </c>
      <c r="J258" s="22">
        <v>239</v>
      </c>
      <c r="K258" s="22">
        <v>512</v>
      </c>
      <c r="L258" s="22">
        <v>317</v>
      </c>
      <c r="M258" s="22">
        <v>612</v>
      </c>
      <c r="N258" s="45">
        <f t="shared" si="139"/>
        <v>725</v>
      </c>
      <c r="O258" s="3">
        <f t="shared" si="140"/>
        <v>1130</v>
      </c>
      <c r="P258" s="3">
        <f t="shared" si="141"/>
        <v>1093</v>
      </c>
      <c r="Q258" s="3">
        <f t="shared" si="368"/>
        <v>2343</v>
      </c>
      <c r="R258" s="34">
        <f t="shared" ref="R258" si="400">(N258-N257)/N257</f>
        <v>-0.13895486935866982</v>
      </c>
      <c r="S258" s="32">
        <f t="shared" ref="S258" si="401">N258-N257</f>
        <v>-117</v>
      </c>
      <c r="T258" s="34">
        <f t="shared" ref="T258" si="402">(N258-N206)/N206</f>
        <v>0.22466216216216217</v>
      </c>
      <c r="U258" s="34">
        <f t="shared" ref="U258" si="403">N258/P258</f>
        <v>0.66331198536139069</v>
      </c>
      <c r="V258" s="40">
        <f t="shared" ref="V258" si="404">AVERAGE(B102,B154,B206)</f>
        <v>315.33333333333331</v>
      </c>
      <c r="W258" s="40">
        <f t="shared" ref="W258" si="405">AVERAGE(F102,F154,F206)</f>
        <v>39.333333333333336</v>
      </c>
      <c r="X258" s="40">
        <f t="shared" ref="X258" si="406">AVERAGE(J102,J154,J206)</f>
        <v>207</v>
      </c>
      <c r="Y258" s="40">
        <f t="shared" ref="Y258" si="407">AVERAGE(N102,N154,N206)</f>
        <v>561.66666666666663</v>
      </c>
      <c r="Z258" s="59">
        <f t="shared" si="323"/>
        <v>0.29080118694362028</v>
      </c>
      <c r="AA258" s="36"/>
    </row>
    <row r="259" spans="1:27" ht="16" thickBot="1" x14ac:dyDescent="0.4">
      <c r="A259" s="20">
        <f t="shared" si="130"/>
        <v>40355</v>
      </c>
      <c r="B259" s="22">
        <v>419</v>
      </c>
      <c r="C259" s="22">
        <v>475</v>
      </c>
      <c r="D259" s="22">
        <v>61</v>
      </c>
      <c r="E259" s="22">
        <v>522</v>
      </c>
      <c r="F259" s="22">
        <v>4</v>
      </c>
      <c r="G259" s="22">
        <v>25</v>
      </c>
      <c r="H259" s="22">
        <v>15</v>
      </c>
      <c r="I259" s="22">
        <v>60</v>
      </c>
      <c r="J259" s="22">
        <v>217</v>
      </c>
      <c r="K259" s="22">
        <v>430</v>
      </c>
      <c r="L259" s="22">
        <v>407</v>
      </c>
      <c r="M259" s="22">
        <v>651</v>
      </c>
      <c r="N259" s="45">
        <f t="shared" si="139"/>
        <v>640</v>
      </c>
      <c r="O259" s="3">
        <f t="shared" si="140"/>
        <v>1123</v>
      </c>
      <c r="P259" s="3">
        <f t="shared" si="141"/>
        <v>930</v>
      </c>
      <c r="Q259" s="3">
        <f t="shared" si="368"/>
        <v>2163</v>
      </c>
      <c r="R259" s="34">
        <f t="shared" ref="R259" si="408">(N259-N258)/N258</f>
        <v>-0.11724137931034483</v>
      </c>
      <c r="S259" s="32">
        <f t="shared" ref="S259" si="409">N259-N258</f>
        <v>-85</v>
      </c>
      <c r="T259" s="34">
        <f t="shared" ref="T259" si="410">(N259-N207)/N207</f>
        <v>-6.7055393586005832E-2</v>
      </c>
      <c r="U259" s="34">
        <f t="shared" ref="U259" si="411">N259/P259</f>
        <v>0.68817204301075274</v>
      </c>
      <c r="V259" s="40">
        <f t="shared" ref="V259" si="412">AVERAGE(B103,B155,B207)</f>
        <v>346.33333333333331</v>
      </c>
      <c r="W259" s="40">
        <f t="shared" ref="W259" si="413">AVERAGE(F103,F155,F207)</f>
        <v>25.666666666666668</v>
      </c>
      <c r="X259" s="40">
        <f t="shared" ref="X259" si="414">AVERAGE(J103,J155,J207)</f>
        <v>182.66666666666666</v>
      </c>
      <c r="Y259" s="40">
        <f t="shared" ref="Y259" si="415">AVERAGE(N103,N155,N207)</f>
        <v>554.66666666666663</v>
      </c>
      <c r="Z259" s="59">
        <f t="shared" si="323"/>
        <v>0.15384615384615394</v>
      </c>
      <c r="AA259" s="36"/>
    </row>
    <row r="260" spans="1:27" ht="16" thickBot="1" x14ac:dyDescent="0.4">
      <c r="A260" s="20">
        <f t="shared" si="130"/>
        <v>40362</v>
      </c>
      <c r="B260" s="22">
        <v>447</v>
      </c>
      <c r="C260" s="22">
        <v>568</v>
      </c>
      <c r="D260" s="22">
        <v>57</v>
      </c>
      <c r="E260" s="22">
        <v>553</v>
      </c>
      <c r="F260" s="22">
        <v>18</v>
      </c>
      <c r="G260" s="22">
        <v>38</v>
      </c>
      <c r="H260" s="22">
        <v>18</v>
      </c>
      <c r="I260" s="22">
        <v>53</v>
      </c>
      <c r="J260" s="22">
        <v>275</v>
      </c>
      <c r="K260" s="22">
        <v>590</v>
      </c>
      <c r="L260" s="22">
        <v>315</v>
      </c>
      <c r="M260" s="22">
        <v>506</v>
      </c>
      <c r="N260" s="45">
        <f t="shared" si="139"/>
        <v>740</v>
      </c>
      <c r="O260" s="3">
        <f t="shared" ref="O260:O268" si="416">SUM(B260,D260,F260,H260,J260,L260)</f>
        <v>1130</v>
      </c>
      <c r="P260" s="3">
        <f t="shared" ref="P260:P268" si="417">SUM(C260,G260,K260)</f>
        <v>1196</v>
      </c>
      <c r="Q260" s="3">
        <f t="shared" ref="Q260:Q264" si="418">SUM(C260,E260,G260,I260,K260,M260)</f>
        <v>2308</v>
      </c>
      <c r="R260" s="34">
        <f t="shared" ref="R260" si="419">(N260-N259)/N259</f>
        <v>0.15625</v>
      </c>
      <c r="S260" s="32">
        <f t="shared" ref="S260" si="420">N260-N259</f>
        <v>100</v>
      </c>
      <c r="T260" s="34">
        <f t="shared" ref="T260" si="421">(N260-N208)/N208</f>
        <v>-2.7595269382391589E-2</v>
      </c>
      <c r="U260" s="34">
        <f t="shared" ref="U260" si="422">N260/P260</f>
        <v>0.61872909698996659</v>
      </c>
      <c r="V260" s="40">
        <f t="shared" ref="V260" si="423">AVERAGE(B104,B156,B208)</f>
        <v>359.33333333333331</v>
      </c>
      <c r="W260" s="40">
        <f t="shared" ref="W260" si="424">AVERAGE(F104,F156,F208)</f>
        <v>27.333333333333332</v>
      </c>
      <c r="X260" s="40">
        <f t="shared" ref="X260" si="425">AVERAGE(J104,J156,J208)</f>
        <v>223.66666666666666</v>
      </c>
      <c r="Y260" s="40">
        <f t="shared" ref="Y260" si="426">AVERAGE(N104,N156,N208)</f>
        <v>610.33333333333337</v>
      </c>
      <c r="Z260" s="59">
        <f t="shared" si="323"/>
        <v>0.2124522119060622</v>
      </c>
      <c r="AA260" s="36"/>
    </row>
    <row r="261" spans="1:27" ht="16" thickBot="1" x14ac:dyDescent="0.4">
      <c r="A261" s="20">
        <f t="shared" si="130"/>
        <v>40369</v>
      </c>
      <c r="B261" s="22">
        <v>379</v>
      </c>
      <c r="C261" s="22">
        <v>462</v>
      </c>
      <c r="D261" s="22">
        <v>66</v>
      </c>
      <c r="E261" s="22">
        <v>529</v>
      </c>
      <c r="F261" s="22">
        <v>13</v>
      </c>
      <c r="G261" s="22">
        <v>32</v>
      </c>
      <c r="H261" s="22">
        <v>20</v>
      </c>
      <c r="I261" s="22">
        <v>46</v>
      </c>
      <c r="J261" s="22">
        <v>190</v>
      </c>
      <c r="K261" s="22">
        <v>450</v>
      </c>
      <c r="L261" s="22">
        <v>265</v>
      </c>
      <c r="M261" s="22">
        <v>449</v>
      </c>
      <c r="N261" s="45">
        <f t="shared" si="139"/>
        <v>582</v>
      </c>
      <c r="O261" s="3">
        <f t="shared" si="416"/>
        <v>933</v>
      </c>
      <c r="P261" s="3">
        <f t="shared" si="417"/>
        <v>944</v>
      </c>
      <c r="Q261" s="3">
        <f t="shared" si="418"/>
        <v>1968</v>
      </c>
      <c r="R261" s="34">
        <f t="shared" ref="R261" si="427">(N261-N260)/N260</f>
        <v>-0.21351351351351353</v>
      </c>
      <c r="S261" s="32">
        <f t="shared" ref="S261" si="428">N261-N260</f>
        <v>-158</v>
      </c>
      <c r="T261" s="34">
        <f t="shared" ref="T261" si="429">(N261-N209)/N209</f>
        <v>-0.10599078341013825</v>
      </c>
      <c r="U261" s="34">
        <f t="shared" ref="U261" si="430">N261/P261</f>
        <v>0.61652542372881358</v>
      </c>
      <c r="V261" s="40">
        <f t="shared" ref="V261" si="431">AVERAGE(B105,B157,B209)</f>
        <v>444</v>
      </c>
      <c r="W261" s="40">
        <f t="shared" ref="W261" si="432">AVERAGE(F105,F157,F209)</f>
        <v>20.666666666666668</v>
      </c>
      <c r="X261" s="40">
        <f t="shared" ref="X261" si="433">AVERAGE(J105,J157,J209)</f>
        <v>189.66666666666666</v>
      </c>
      <c r="Y261" s="40">
        <f t="shared" ref="Y261" si="434">AVERAGE(N105,N157,N209)</f>
        <v>654.33333333333337</v>
      </c>
      <c r="Z261" s="59">
        <f t="shared" si="323"/>
        <v>-0.11054508405501788</v>
      </c>
      <c r="AA261" s="36"/>
    </row>
    <row r="262" spans="1:27" ht="16" thickBot="1" x14ac:dyDescent="0.4">
      <c r="A262" s="20">
        <f t="shared" si="130"/>
        <v>40376</v>
      </c>
      <c r="B262" s="22">
        <v>504</v>
      </c>
      <c r="C262" s="22">
        <v>588</v>
      </c>
      <c r="D262" s="22">
        <v>61</v>
      </c>
      <c r="E262" s="22">
        <v>585</v>
      </c>
      <c r="F262" s="22">
        <v>30</v>
      </c>
      <c r="G262" s="22">
        <v>53</v>
      </c>
      <c r="H262" s="22">
        <v>9</v>
      </c>
      <c r="I262" s="22">
        <v>30</v>
      </c>
      <c r="J262" s="22">
        <v>187</v>
      </c>
      <c r="K262" s="22">
        <v>478</v>
      </c>
      <c r="L262" s="22">
        <v>387</v>
      </c>
      <c r="M262" s="22">
        <v>620</v>
      </c>
      <c r="N262" s="45">
        <f t="shared" si="139"/>
        <v>721</v>
      </c>
      <c r="O262" s="3">
        <f t="shared" si="416"/>
        <v>1178</v>
      </c>
      <c r="P262" s="3">
        <f t="shared" si="417"/>
        <v>1119</v>
      </c>
      <c r="Q262" s="3">
        <f t="shared" si="418"/>
        <v>2354</v>
      </c>
      <c r="R262" s="34">
        <f t="shared" ref="R262" si="435">(N262-N261)/N261</f>
        <v>0.23883161512027493</v>
      </c>
      <c r="S262" s="32">
        <f t="shared" ref="S262" si="436">N262-N261</f>
        <v>139</v>
      </c>
      <c r="T262" s="34">
        <f t="shared" ref="T262" si="437">(N262-N210)/N210</f>
        <v>-0.17787913340935005</v>
      </c>
      <c r="U262" s="34">
        <f t="shared" ref="U262" si="438">N262/P262</f>
        <v>0.644325290437891</v>
      </c>
      <c r="V262" s="40">
        <f t="shared" ref="V262" si="439">AVERAGE(B106,B158,B210)</f>
        <v>420</v>
      </c>
      <c r="W262" s="40">
        <f t="shared" ref="W262" si="440">AVERAGE(F106,F158,F210)</f>
        <v>25</v>
      </c>
      <c r="X262" s="40">
        <f t="shared" ref="X262" si="441">AVERAGE(J106,J158,J210)</f>
        <v>209.33333333333334</v>
      </c>
      <c r="Y262" s="40">
        <f t="shared" ref="Y262" si="442">AVERAGE(N106,N158,N210)</f>
        <v>654.33333333333337</v>
      </c>
      <c r="Z262" s="59">
        <f t="shared" si="323"/>
        <v>0.10188487009679056</v>
      </c>
      <c r="AA262" s="36"/>
    </row>
    <row r="263" spans="1:27" ht="16" thickBot="1" x14ac:dyDescent="0.4">
      <c r="A263" s="20">
        <f t="shared" si="130"/>
        <v>40383</v>
      </c>
      <c r="B263" s="22">
        <v>374</v>
      </c>
      <c r="C263" s="22">
        <v>445</v>
      </c>
      <c r="D263" s="22">
        <v>81</v>
      </c>
      <c r="E263" s="22">
        <v>614</v>
      </c>
      <c r="F263" s="22">
        <v>4</v>
      </c>
      <c r="G263" s="22">
        <v>24</v>
      </c>
      <c r="H263" s="22">
        <v>24</v>
      </c>
      <c r="I263" s="22">
        <v>46</v>
      </c>
      <c r="J263" s="22">
        <v>253</v>
      </c>
      <c r="K263" s="22">
        <v>567</v>
      </c>
      <c r="L263" s="22">
        <v>337</v>
      </c>
      <c r="M263" s="22">
        <v>557</v>
      </c>
      <c r="N263" s="45">
        <f t="shared" si="139"/>
        <v>631</v>
      </c>
      <c r="O263" s="3">
        <f t="shared" si="416"/>
        <v>1073</v>
      </c>
      <c r="P263" s="3">
        <f t="shared" si="417"/>
        <v>1036</v>
      </c>
      <c r="Q263" s="3">
        <f t="shared" si="418"/>
        <v>2253</v>
      </c>
      <c r="R263" s="34">
        <f t="shared" ref="R263" si="443">(N263-N262)/N262</f>
        <v>-0.12482662968099861</v>
      </c>
      <c r="S263" s="32">
        <f t="shared" ref="S263" si="444">N263-N262</f>
        <v>-90</v>
      </c>
      <c r="T263" s="34">
        <f t="shared" ref="T263" si="445">(N263-N211)/N211</f>
        <v>-0.19412515964240101</v>
      </c>
      <c r="U263" s="34">
        <f t="shared" ref="U263" si="446">N263/P263</f>
        <v>0.60907335907335902</v>
      </c>
      <c r="V263" s="40">
        <f t="shared" ref="V263" si="447">AVERAGE(B107,B159,B211)</f>
        <v>423.66666666666669</v>
      </c>
      <c r="W263" s="40">
        <f t="shared" ref="W263" si="448">AVERAGE(F107,F159,F211)</f>
        <v>32.333333333333336</v>
      </c>
      <c r="X263" s="40">
        <f t="shared" ref="X263" si="449">AVERAGE(J107,J159,J211)</f>
        <v>182.33333333333334</v>
      </c>
      <c r="Y263" s="40">
        <f t="shared" ref="Y263" si="450">AVERAGE(N107,N159,N211)</f>
        <v>638.33333333333337</v>
      </c>
      <c r="Z263" s="59">
        <f t="shared" si="323"/>
        <v>-1.1488250652741573E-2</v>
      </c>
      <c r="AA263" s="36"/>
    </row>
    <row r="264" spans="1:27" ht="16" thickBot="1" x14ac:dyDescent="0.4">
      <c r="A264" s="20">
        <f t="shared" si="130"/>
        <v>40390</v>
      </c>
      <c r="B264" s="22">
        <v>323</v>
      </c>
      <c r="C264" s="22">
        <v>383</v>
      </c>
      <c r="D264" s="22">
        <v>73</v>
      </c>
      <c r="E264" s="22">
        <v>628</v>
      </c>
      <c r="F264" s="22">
        <v>16</v>
      </c>
      <c r="G264" s="22">
        <v>55</v>
      </c>
      <c r="H264" s="22">
        <v>11</v>
      </c>
      <c r="I264" s="22">
        <v>44</v>
      </c>
      <c r="J264" s="22">
        <v>248</v>
      </c>
      <c r="K264" s="22">
        <v>509</v>
      </c>
      <c r="L264" s="22">
        <v>337</v>
      </c>
      <c r="M264" s="22">
        <v>621</v>
      </c>
      <c r="N264" s="45">
        <f t="shared" si="139"/>
        <v>587</v>
      </c>
      <c r="O264" s="3">
        <f t="shared" si="416"/>
        <v>1008</v>
      </c>
      <c r="P264" s="3">
        <f t="shared" si="417"/>
        <v>947</v>
      </c>
      <c r="Q264" s="3">
        <f t="shared" si="418"/>
        <v>2240</v>
      </c>
      <c r="R264" s="34">
        <f t="shared" ref="R264" si="451">(N264-N263)/N263</f>
        <v>-6.9730586370839939E-2</v>
      </c>
      <c r="S264" s="32">
        <f t="shared" ref="S264" si="452">N264-N263</f>
        <v>-44</v>
      </c>
      <c r="T264" s="34">
        <f t="shared" ref="T264" si="453">(N264-N212)/N212</f>
        <v>-0.14556040756914118</v>
      </c>
      <c r="U264" s="34">
        <f t="shared" ref="U264" si="454">N264/P264</f>
        <v>0.61985216473072857</v>
      </c>
      <c r="V264" s="40">
        <f t="shared" ref="V264" si="455">AVERAGE(B108,B160,B212)</f>
        <v>320.66666666666669</v>
      </c>
      <c r="W264" s="40">
        <f t="shared" ref="W264" si="456">AVERAGE(F108,F160,F212)</f>
        <v>31</v>
      </c>
      <c r="X264" s="40">
        <f t="shared" ref="X264" si="457">AVERAGE(J108,J160,J212)</f>
        <v>194.66666666666666</v>
      </c>
      <c r="Y264" s="40">
        <f t="shared" ref="Y264" si="458">AVERAGE(N108,N160,N212)</f>
        <v>546.33333333333337</v>
      </c>
      <c r="Z264" s="59">
        <f t="shared" si="323"/>
        <v>7.4435631482611272E-2</v>
      </c>
      <c r="AA264" s="36"/>
    </row>
    <row r="265" spans="1:27" ht="16" thickBot="1" x14ac:dyDescent="0.4">
      <c r="A265" s="20">
        <f t="shared" si="130"/>
        <v>40397</v>
      </c>
      <c r="B265" s="22">
        <v>290</v>
      </c>
      <c r="C265" s="29">
        <v>384</v>
      </c>
      <c r="D265" s="22">
        <v>54</v>
      </c>
      <c r="E265" s="22">
        <v>557</v>
      </c>
      <c r="F265" s="22">
        <v>35</v>
      </c>
      <c r="G265" s="22">
        <v>54</v>
      </c>
      <c r="H265" s="22">
        <v>6</v>
      </c>
      <c r="I265" s="22">
        <v>43</v>
      </c>
      <c r="J265" s="22">
        <v>174</v>
      </c>
      <c r="K265" s="22">
        <v>412</v>
      </c>
      <c r="L265" s="22">
        <v>339</v>
      </c>
      <c r="M265" s="22">
        <v>574</v>
      </c>
      <c r="N265" s="45">
        <f t="shared" si="139"/>
        <v>499</v>
      </c>
      <c r="O265" s="3">
        <f t="shared" si="416"/>
        <v>898</v>
      </c>
      <c r="P265" s="3">
        <f t="shared" si="417"/>
        <v>850</v>
      </c>
      <c r="Q265" s="3">
        <f t="shared" ref="Q265:Q268" si="459">SUM(C265,E265,G265,I265,K265,M265)</f>
        <v>2024</v>
      </c>
      <c r="R265" s="34">
        <f t="shared" ref="R265" si="460">(N265-N264)/N264</f>
        <v>-0.14991482112436116</v>
      </c>
      <c r="S265" s="32">
        <f t="shared" ref="S265" si="461">N265-N264</f>
        <v>-88</v>
      </c>
      <c r="T265" s="34">
        <f t="shared" ref="T265" si="462">(N265-N213)/N213</f>
        <v>-0.1886178861788618</v>
      </c>
      <c r="U265" s="34">
        <f t="shared" ref="U265" si="463">N265/P265</f>
        <v>0.58705882352941174</v>
      </c>
      <c r="V265" s="40">
        <f t="shared" ref="V265" si="464">AVERAGE(B109,B161,B213)</f>
        <v>251.33333333333334</v>
      </c>
      <c r="W265" s="40">
        <f t="shared" ref="W265" si="465">AVERAGE(F109,F161,F213)</f>
        <v>38.666666666666664</v>
      </c>
      <c r="X265" s="40">
        <f t="shared" ref="X265" si="466">AVERAGE(J109,J161,J213)</f>
        <v>189.33333333333334</v>
      </c>
      <c r="Y265" s="40">
        <f t="shared" ref="Y265" si="467">AVERAGE(N109,N161,N213)</f>
        <v>479.33333333333331</v>
      </c>
      <c r="Z265" s="59">
        <f t="shared" si="323"/>
        <v>4.1029207232267079E-2</v>
      </c>
      <c r="AA265" s="36"/>
    </row>
    <row r="266" spans="1:27" ht="16" thickBot="1" x14ac:dyDescent="0.4">
      <c r="A266" s="20">
        <f t="shared" si="130"/>
        <v>40404</v>
      </c>
      <c r="B266" s="22">
        <v>246</v>
      </c>
      <c r="C266" s="22">
        <v>317</v>
      </c>
      <c r="D266" s="22">
        <v>87</v>
      </c>
      <c r="E266" s="22">
        <v>615</v>
      </c>
      <c r="F266" s="22">
        <v>26</v>
      </c>
      <c r="G266" s="22">
        <v>48</v>
      </c>
      <c r="H266" s="22">
        <v>13</v>
      </c>
      <c r="I266" s="22">
        <v>38</v>
      </c>
      <c r="J266" s="22">
        <v>241</v>
      </c>
      <c r="K266" s="22">
        <v>576</v>
      </c>
      <c r="L266" s="22">
        <v>339</v>
      </c>
      <c r="M266" s="22">
        <v>590</v>
      </c>
      <c r="N266" s="45">
        <f t="shared" si="139"/>
        <v>513</v>
      </c>
      <c r="O266" s="3">
        <f t="shared" si="416"/>
        <v>952</v>
      </c>
      <c r="P266" s="3">
        <f t="shared" si="417"/>
        <v>941</v>
      </c>
      <c r="Q266" s="3">
        <f t="shared" si="459"/>
        <v>2184</v>
      </c>
      <c r="R266" s="34">
        <f t="shared" ref="R266" si="468">(N266-N265)/N265</f>
        <v>2.8056112224448898E-2</v>
      </c>
      <c r="S266" s="32">
        <f t="shared" ref="S266" si="469">N266-N265</f>
        <v>14</v>
      </c>
      <c r="T266" s="34">
        <f t="shared" ref="T266" si="470">(N266-N214)/N214</f>
        <v>-0.19968798751950079</v>
      </c>
      <c r="U266" s="34">
        <f t="shared" ref="U266" si="471">N266/P266</f>
        <v>0.54516471838469716</v>
      </c>
      <c r="V266" s="40">
        <f t="shared" ref="V266" si="472">AVERAGE(B110,B162,B214)</f>
        <v>232</v>
      </c>
      <c r="W266" s="40">
        <f t="shared" ref="W266" si="473">AVERAGE(F110,F162,F214)</f>
        <v>33</v>
      </c>
      <c r="X266" s="40">
        <f t="shared" ref="X266" si="474">AVERAGE(J110,J162,J214)</f>
        <v>248.33333333333334</v>
      </c>
      <c r="Y266" s="40">
        <f t="shared" ref="Y266" si="475">AVERAGE(N110,N162,N214)</f>
        <v>513.33333333333337</v>
      </c>
      <c r="Z266" s="59">
        <f t="shared" si="323"/>
        <v>-6.4935064935072308E-4</v>
      </c>
      <c r="AA266" s="36"/>
    </row>
    <row r="267" spans="1:27" ht="16" thickBot="1" x14ac:dyDescent="0.4">
      <c r="A267" s="20">
        <f t="shared" si="130"/>
        <v>40411</v>
      </c>
      <c r="B267" s="22">
        <v>188</v>
      </c>
      <c r="C267" s="22">
        <v>266</v>
      </c>
      <c r="D267" s="22">
        <v>68</v>
      </c>
      <c r="E267" s="22">
        <v>357</v>
      </c>
      <c r="F267" s="22">
        <v>8</v>
      </c>
      <c r="G267" s="22">
        <v>16</v>
      </c>
      <c r="H267" s="22">
        <v>11</v>
      </c>
      <c r="I267" s="22">
        <v>46</v>
      </c>
      <c r="J267" s="22">
        <v>170</v>
      </c>
      <c r="K267" s="22">
        <v>479</v>
      </c>
      <c r="L267" s="22">
        <v>320</v>
      </c>
      <c r="M267" s="22">
        <v>539</v>
      </c>
      <c r="N267" s="45">
        <f t="shared" si="139"/>
        <v>366</v>
      </c>
      <c r="O267" s="3">
        <f t="shared" si="416"/>
        <v>765</v>
      </c>
      <c r="P267" s="3">
        <f t="shared" si="417"/>
        <v>761</v>
      </c>
      <c r="Q267" s="3">
        <f t="shared" si="459"/>
        <v>1703</v>
      </c>
      <c r="R267" s="34">
        <f t="shared" ref="R267" si="476">(N267-N266)/N266</f>
        <v>-0.28654970760233917</v>
      </c>
      <c r="S267" s="32">
        <f t="shared" ref="S267" si="477">N267-N266</f>
        <v>-147</v>
      </c>
      <c r="T267" s="34">
        <f t="shared" ref="T267" si="478">(N267-N215)/N215</f>
        <v>-0.14685314685314685</v>
      </c>
      <c r="U267" s="34">
        <f t="shared" ref="U267" si="479">N267/P267</f>
        <v>0.48094612352168198</v>
      </c>
      <c r="V267" s="40">
        <f t="shared" ref="V267" si="480">AVERAGE(B111,B163,B215)</f>
        <v>185.33333333333334</v>
      </c>
      <c r="W267" s="40">
        <f t="shared" ref="W267" si="481">AVERAGE(F111,F163,F215)</f>
        <v>42</v>
      </c>
      <c r="X267" s="40">
        <f t="shared" ref="X267" si="482">AVERAGE(J111,J163,J215)</f>
        <v>169.33333333333334</v>
      </c>
      <c r="Y267" s="40">
        <f t="shared" ref="Y267" si="483">AVERAGE(N111,N163,N215)</f>
        <v>396.66666666666669</v>
      </c>
      <c r="Z267" s="59">
        <f t="shared" si="323"/>
        <v>-7.7310924369747944E-2</v>
      </c>
      <c r="AA267" s="36"/>
    </row>
    <row r="268" spans="1:27" ht="16" thickBot="1" x14ac:dyDescent="0.4">
      <c r="A268" s="20">
        <f t="shared" si="130"/>
        <v>40418</v>
      </c>
      <c r="B268" s="22">
        <v>212</v>
      </c>
      <c r="C268" s="22">
        <v>247</v>
      </c>
      <c r="D268" s="22">
        <v>43</v>
      </c>
      <c r="E268" s="22">
        <v>288</v>
      </c>
      <c r="F268" s="22">
        <v>9</v>
      </c>
      <c r="G268" s="22">
        <v>24</v>
      </c>
      <c r="H268" s="22">
        <v>17</v>
      </c>
      <c r="I268" s="22">
        <v>48</v>
      </c>
      <c r="J268" s="22">
        <v>235</v>
      </c>
      <c r="K268" s="22">
        <v>524</v>
      </c>
      <c r="L268" s="22">
        <v>319</v>
      </c>
      <c r="M268" s="22">
        <v>561</v>
      </c>
      <c r="N268" s="45">
        <f t="shared" si="139"/>
        <v>456</v>
      </c>
      <c r="O268" s="3">
        <f t="shared" si="416"/>
        <v>835</v>
      </c>
      <c r="P268" s="3">
        <f t="shared" si="417"/>
        <v>795</v>
      </c>
      <c r="Q268" s="3">
        <f t="shared" si="459"/>
        <v>1692</v>
      </c>
      <c r="R268" s="34">
        <f t="shared" ref="R268" si="484">(N268-N267)/N267</f>
        <v>0.24590163934426229</v>
      </c>
      <c r="S268" s="32">
        <f t="shared" ref="S268" si="485">N268-N267</f>
        <v>90</v>
      </c>
      <c r="T268" s="34">
        <f t="shared" ref="T268" si="486">(N268-N216)/N216</f>
        <v>-0.12810707456978968</v>
      </c>
      <c r="U268" s="34">
        <f t="shared" ref="U268" si="487">N268/P268</f>
        <v>0.57358490566037734</v>
      </c>
      <c r="V268" s="40">
        <f t="shared" ref="V268" si="488">AVERAGE(B112,B164,B216)</f>
        <v>158.66666666666666</v>
      </c>
      <c r="W268" s="40">
        <f t="shared" ref="W268" si="489">AVERAGE(F112,F164,F216)</f>
        <v>39</v>
      </c>
      <c r="X268" s="40">
        <f t="shared" ref="X268" si="490">AVERAGE(J112,J164,J216)</f>
        <v>167</v>
      </c>
      <c r="Y268" s="40">
        <f t="shared" ref="Y268" si="491">AVERAGE(N112,N164,N216)</f>
        <v>364.66666666666669</v>
      </c>
      <c r="Z268" s="59">
        <f t="shared" si="323"/>
        <v>0.2504570383912248</v>
      </c>
      <c r="AA268" s="36"/>
    </row>
    <row r="269" spans="1:27" ht="16" thickBot="1" x14ac:dyDescent="0.4">
      <c r="A269" s="20">
        <f t="shared" si="130"/>
        <v>40425</v>
      </c>
      <c r="B269" s="22">
        <v>155</v>
      </c>
      <c r="C269" s="22">
        <v>221</v>
      </c>
      <c r="D269" s="22">
        <v>60</v>
      </c>
      <c r="E269" s="22">
        <v>384</v>
      </c>
      <c r="F269" s="22">
        <v>14</v>
      </c>
      <c r="G269" s="22">
        <v>14</v>
      </c>
      <c r="H269" s="22">
        <v>7</v>
      </c>
      <c r="I269" s="22">
        <v>23</v>
      </c>
      <c r="J269" s="22">
        <v>237</v>
      </c>
      <c r="K269" s="22">
        <v>426</v>
      </c>
      <c r="L269" s="22">
        <v>246</v>
      </c>
      <c r="M269" s="22">
        <v>454</v>
      </c>
      <c r="N269" s="45">
        <f t="shared" si="139"/>
        <v>406</v>
      </c>
      <c r="O269" s="3">
        <f t="shared" ref="O269:O277" si="492">SUM(B269,D269,F269,H269,J269,L269)</f>
        <v>719</v>
      </c>
      <c r="P269" s="3">
        <f t="shared" ref="P269:P277" si="493">SUM(C269,G269,K269)</f>
        <v>661</v>
      </c>
      <c r="Q269" s="3">
        <f t="shared" ref="Q269:Q277" si="494">SUM(C269,E269,G269,I269,K269,M269)</f>
        <v>1522</v>
      </c>
      <c r="R269" s="34">
        <f t="shared" ref="R269" si="495">(N269-N268)/N268</f>
        <v>-0.10964912280701754</v>
      </c>
      <c r="S269" s="32">
        <f t="shared" ref="S269" si="496">N269-N268</f>
        <v>-50</v>
      </c>
      <c r="T269" s="34">
        <f t="shared" ref="T269" si="497">(N269-N217)/N217</f>
        <v>-0.21165048543689322</v>
      </c>
      <c r="U269" s="34">
        <f t="shared" ref="U269" si="498">N269/P269</f>
        <v>0.61422087745839637</v>
      </c>
      <c r="V269" s="40">
        <f t="shared" ref="V269" si="499">AVERAGE(B113,B165,B217)</f>
        <v>143.33333333333334</v>
      </c>
      <c r="W269" s="40">
        <f t="shared" ref="W269" si="500">AVERAGE(F113,F165,F217)</f>
        <v>31</v>
      </c>
      <c r="X269" s="40">
        <f t="shared" ref="X269" si="501">AVERAGE(J113,J165,J217)</f>
        <v>214.66666666666666</v>
      </c>
      <c r="Y269" s="40">
        <f t="shared" ref="Y269" si="502">AVERAGE(N113,N165,N217)</f>
        <v>389</v>
      </c>
      <c r="Z269" s="59">
        <f t="shared" si="323"/>
        <v>4.3701799485861184E-2</v>
      </c>
      <c r="AA269" s="36"/>
    </row>
    <row r="270" spans="1:27" ht="16" thickBot="1" x14ac:dyDescent="0.4">
      <c r="A270" s="20">
        <f t="shared" si="130"/>
        <v>40432</v>
      </c>
      <c r="B270" s="22">
        <v>153</v>
      </c>
      <c r="C270" s="22">
        <v>249</v>
      </c>
      <c r="D270" s="22">
        <v>98</v>
      </c>
      <c r="E270" s="22">
        <v>384</v>
      </c>
      <c r="F270" s="22">
        <v>18</v>
      </c>
      <c r="G270" s="22">
        <v>18</v>
      </c>
      <c r="H270" s="22">
        <v>0</v>
      </c>
      <c r="I270" s="22">
        <v>32</v>
      </c>
      <c r="J270" s="22">
        <v>337</v>
      </c>
      <c r="K270" s="22">
        <v>693</v>
      </c>
      <c r="L270" s="22">
        <v>298</v>
      </c>
      <c r="M270" s="22">
        <v>574</v>
      </c>
      <c r="N270" s="45">
        <f t="shared" si="139"/>
        <v>508</v>
      </c>
      <c r="O270" s="3">
        <f t="shared" si="492"/>
        <v>904</v>
      </c>
      <c r="P270" s="3">
        <f t="shared" si="493"/>
        <v>960</v>
      </c>
      <c r="Q270" s="3">
        <f t="shared" si="494"/>
        <v>1950</v>
      </c>
      <c r="R270" s="34">
        <f t="shared" ref="R270" si="503">(N270-N269)/N269</f>
        <v>0.25123152709359609</v>
      </c>
      <c r="S270" s="32">
        <f t="shared" ref="S270" si="504">N270-N269</f>
        <v>102</v>
      </c>
      <c r="T270" s="34">
        <f t="shared" ref="T270" si="505">(N270-N218)/N218</f>
        <v>0.37297297297297299</v>
      </c>
      <c r="U270" s="34">
        <f t="shared" ref="U270" si="506">N270/P270</f>
        <v>0.52916666666666667</v>
      </c>
      <c r="V270" s="40">
        <f t="shared" ref="V270" si="507">AVERAGE(B114,B166,B218)</f>
        <v>150</v>
      </c>
      <c r="W270" s="40">
        <f t="shared" ref="W270" si="508">AVERAGE(F114,F166,F218)</f>
        <v>36</v>
      </c>
      <c r="X270" s="40">
        <f t="shared" ref="X270" si="509">AVERAGE(J114,J166,J218)</f>
        <v>173.66666666666666</v>
      </c>
      <c r="Y270" s="40">
        <f t="shared" ref="Y270" si="510">AVERAGE(N114,N166,N218)</f>
        <v>359.66666666666669</v>
      </c>
      <c r="Z270" s="59">
        <f t="shared" si="323"/>
        <v>0.41241890639480994</v>
      </c>
      <c r="AA270" s="36"/>
    </row>
    <row r="271" spans="1:27" ht="16" thickBot="1" x14ac:dyDescent="0.4">
      <c r="A271" s="20">
        <f t="shared" si="130"/>
        <v>40439</v>
      </c>
      <c r="B271" s="22">
        <v>130</v>
      </c>
      <c r="C271" s="22">
        <v>188</v>
      </c>
      <c r="D271" s="22">
        <v>76</v>
      </c>
      <c r="E271" s="22">
        <v>347</v>
      </c>
      <c r="F271" s="22">
        <v>18</v>
      </c>
      <c r="G271" s="22">
        <v>43</v>
      </c>
      <c r="H271" s="22">
        <v>3</v>
      </c>
      <c r="I271" s="22">
        <v>51</v>
      </c>
      <c r="J271" s="22">
        <v>251</v>
      </c>
      <c r="K271" s="22">
        <v>510</v>
      </c>
      <c r="L271" s="22">
        <v>353</v>
      </c>
      <c r="M271" s="22">
        <v>726</v>
      </c>
      <c r="N271" s="45">
        <f t="shared" si="139"/>
        <v>399</v>
      </c>
      <c r="O271" s="3">
        <f t="shared" si="492"/>
        <v>831</v>
      </c>
      <c r="P271" s="3">
        <f t="shared" si="493"/>
        <v>741</v>
      </c>
      <c r="Q271" s="3">
        <f t="shared" si="494"/>
        <v>1865</v>
      </c>
      <c r="R271" s="34">
        <f t="shared" ref="R271" si="511">(N271-N270)/N270</f>
        <v>-0.21456692913385828</v>
      </c>
      <c r="S271" s="32">
        <f t="shared" ref="S271" si="512">N271-N270</f>
        <v>-109</v>
      </c>
      <c r="T271" s="34">
        <f t="shared" ref="T271" si="513">(N271-N219)/N219</f>
        <v>1.7857142857142856E-2</v>
      </c>
      <c r="U271" s="34">
        <f t="shared" ref="U271" si="514">N271/P271</f>
        <v>0.53846153846153844</v>
      </c>
      <c r="V271" s="40">
        <f t="shared" ref="V271" si="515">AVERAGE(B115,B167,B219)</f>
        <v>150.66666666666666</v>
      </c>
      <c r="W271" s="40">
        <f t="shared" ref="W271" si="516">AVERAGE(F115,F167,F219)</f>
        <v>34</v>
      </c>
      <c r="X271" s="40">
        <f t="shared" ref="X271" si="517">AVERAGE(J115,J167,J219)</f>
        <v>213.66666666666666</v>
      </c>
      <c r="Y271" s="40">
        <f t="shared" ref="Y271" si="518">AVERAGE(N115,N167,N219)</f>
        <v>398.33333333333331</v>
      </c>
      <c r="Z271" s="59">
        <f t="shared" si="323"/>
        <v>1.6736401673640643E-3</v>
      </c>
      <c r="AA271" s="36"/>
    </row>
    <row r="272" spans="1:27" ht="16" thickBot="1" x14ac:dyDescent="0.4">
      <c r="A272" s="20">
        <f t="shared" si="130"/>
        <v>40446</v>
      </c>
      <c r="B272" s="22">
        <v>200</v>
      </c>
      <c r="C272" s="22">
        <v>253</v>
      </c>
      <c r="D272" s="22">
        <v>85</v>
      </c>
      <c r="E272" s="22">
        <v>375</v>
      </c>
      <c r="F272" s="22">
        <v>37</v>
      </c>
      <c r="G272" s="22">
        <v>55</v>
      </c>
      <c r="H272" s="22">
        <v>0</v>
      </c>
      <c r="I272" s="22">
        <v>27</v>
      </c>
      <c r="J272" s="22">
        <v>254</v>
      </c>
      <c r="K272" s="22">
        <v>526</v>
      </c>
      <c r="L272" s="22">
        <v>375</v>
      </c>
      <c r="M272" s="22">
        <v>759</v>
      </c>
      <c r="N272" s="45">
        <f t="shared" si="139"/>
        <v>491</v>
      </c>
      <c r="O272" s="3">
        <f t="shared" si="492"/>
        <v>951</v>
      </c>
      <c r="P272" s="3">
        <f t="shared" si="493"/>
        <v>834</v>
      </c>
      <c r="Q272" s="3">
        <f t="shared" si="494"/>
        <v>1995</v>
      </c>
      <c r="R272" s="34">
        <f t="shared" ref="R272" si="519">(N272-N271)/N271</f>
        <v>0.23057644110275688</v>
      </c>
      <c r="S272" s="32">
        <f t="shared" ref="S272" si="520">N272-N271</f>
        <v>92</v>
      </c>
      <c r="T272" s="34">
        <f t="shared" ref="T272" si="521">(N272-N220)/N220</f>
        <v>1.4462809917355372E-2</v>
      </c>
      <c r="U272" s="34">
        <f t="shared" ref="U272" si="522">N272/P272</f>
        <v>0.58872901678657075</v>
      </c>
      <c r="V272" s="40">
        <f t="shared" ref="V272" si="523">AVERAGE(B116,B168,B220)</f>
        <v>185.33333333333334</v>
      </c>
      <c r="W272" s="40">
        <f t="shared" ref="W272" si="524">AVERAGE(F116,F168,F220)</f>
        <v>53.666666666666664</v>
      </c>
      <c r="X272" s="40">
        <f t="shared" ref="X272" si="525">AVERAGE(J116,J168,J220)</f>
        <v>225.66666666666666</v>
      </c>
      <c r="Y272" s="40">
        <f t="shared" ref="Y272" si="526">AVERAGE(N116,N168,N220)</f>
        <v>464.66666666666669</v>
      </c>
      <c r="Z272" s="59">
        <f t="shared" si="323"/>
        <v>5.6671449067431809E-2</v>
      </c>
      <c r="AA272" s="36"/>
    </row>
    <row r="273" spans="1:27" ht="16" thickBot="1" x14ac:dyDescent="0.4">
      <c r="A273" s="20">
        <f t="shared" si="130"/>
        <v>40453</v>
      </c>
      <c r="B273" s="22">
        <v>139</v>
      </c>
      <c r="C273" s="22">
        <v>224</v>
      </c>
      <c r="D273" s="22">
        <v>73</v>
      </c>
      <c r="E273" s="22">
        <v>308</v>
      </c>
      <c r="F273" s="22">
        <v>15</v>
      </c>
      <c r="G273" s="22">
        <v>33</v>
      </c>
      <c r="H273" s="22">
        <v>15</v>
      </c>
      <c r="I273" s="22">
        <v>43</v>
      </c>
      <c r="J273" s="22">
        <v>166</v>
      </c>
      <c r="K273" s="22">
        <v>453</v>
      </c>
      <c r="L273" s="22">
        <v>314</v>
      </c>
      <c r="M273" s="22">
        <v>607</v>
      </c>
      <c r="N273" s="45">
        <f t="shared" si="139"/>
        <v>320</v>
      </c>
      <c r="O273" s="3">
        <f t="shared" si="492"/>
        <v>722</v>
      </c>
      <c r="P273" s="3">
        <f t="shared" si="493"/>
        <v>710</v>
      </c>
      <c r="Q273" s="3">
        <f t="shared" si="494"/>
        <v>1668</v>
      </c>
      <c r="R273" s="34">
        <f t="shared" ref="R273" si="527">(N273-N272)/N272</f>
        <v>-0.34826883910386963</v>
      </c>
      <c r="S273" s="32">
        <f t="shared" ref="S273" si="528">N273-N272</f>
        <v>-171</v>
      </c>
      <c r="T273" s="34">
        <f t="shared" ref="T273" si="529">(N273-N221)/N221</f>
        <v>-0.32631578947368423</v>
      </c>
      <c r="U273" s="34">
        <f t="shared" ref="U273" si="530">N273/P273</f>
        <v>0.45070422535211269</v>
      </c>
      <c r="V273" s="40">
        <f t="shared" ref="V273" si="531">AVERAGE(B117,B169,B221)</f>
        <v>171.33333333333334</v>
      </c>
      <c r="W273" s="40">
        <f t="shared" ref="W273" si="532">AVERAGE(F117,F169,F221)</f>
        <v>43</v>
      </c>
      <c r="X273" s="40">
        <f t="shared" ref="X273" si="533">AVERAGE(J117,J169,J221)</f>
        <v>219.33333333333334</v>
      </c>
      <c r="Y273" s="40">
        <f t="shared" ref="Y273" si="534">AVERAGE(N117,N169,N221)</f>
        <v>433.66666666666669</v>
      </c>
      <c r="Z273" s="59">
        <f t="shared" si="323"/>
        <v>-0.2621060722521138</v>
      </c>
      <c r="AA273" s="36"/>
    </row>
    <row r="274" spans="1:27" ht="16" thickBot="1" x14ac:dyDescent="0.4">
      <c r="A274" s="20">
        <f t="shared" si="130"/>
        <v>40460</v>
      </c>
      <c r="B274" s="22">
        <v>253</v>
      </c>
      <c r="C274" s="22">
        <v>309</v>
      </c>
      <c r="D274" s="22">
        <v>52</v>
      </c>
      <c r="E274" s="22">
        <v>345</v>
      </c>
      <c r="F274" s="22">
        <v>14</v>
      </c>
      <c r="G274" s="22">
        <v>21</v>
      </c>
      <c r="H274" s="22">
        <v>11</v>
      </c>
      <c r="I274" s="22">
        <v>61</v>
      </c>
      <c r="J274" s="22">
        <v>239</v>
      </c>
      <c r="K274" s="22">
        <v>527</v>
      </c>
      <c r="L274" s="22">
        <v>288</v>
      </c>
      <c r="M274" s="22">
        <v>558</v>
      </c>
      <c r="N274" s="45">
        <f t="shared" si="139"/>
        <v>506</v>
      </c>
      <c r="O274" s="3">
        <f t="shared" si="492"/>
        <v>857</v>
      </c>
      <c r="P274" s="3">
        <f t="shared" si="493"/>
        <v>857</v>
      </c>
      <c r="Q274" s="3">
        <f t="shared" si="494"/>
        <v>1821</v>
      </c>
      <c r="R274" s="34">
        <f t="shared" ref="R274" si="535">(N274-N273)/N273</f>
        <v>0.58125000000000004</v>
      </c>
      <c r="S274" s="32">
        <f t="shared" ref="S274" si="536">N274-N273</f>
        <v>186</v>
      </c>
      <c r="T274" s="34">
        <f t="shared" ref="T274" si="537">(N274-N222)/N222</f>
        <v>-1.364522417153996E-2</v>
      </c>
      <c r="U274" s="34">
        <f t="shared" ref="U274" si="538">N274/P274</f>
        <v>0.59043173862310383</v>
      </c>
      <c r="V274" s="40">
        <f t="shared" ref="V274" si="539">AVERAGE(B118,B170,B222)</f>
        <v>182.33333333333334</v>
      </c>
      <c r="W274" s="40">
        <f t="shared" ref="W274" si="540">AVERAGE(F118,F170,F222)</f>
        <v>39</v>
      </c>
      <c r="X274" s="40">
        <f t="shared" ref="X274" si="541">AVERAGE(J118,J170,J222)</f>
        <v>227.33333333333334</v>
      </c>
      <c r="Y274" s="40">
        <f t="shared" ref="Y274" si="542">AVERAGE(N118,N170,N222)</f>
        <v>448.66666666666669</v>
      </c>
      <c r="Z274" s="59">
        <f t="shared" si="323"/>
        <v>0.12778603268945019</v>
      </c>
      <c r="AA274" s="36"/>
    </row>
    <row r="275" spans="1:27" ht="16" thickBot="1" x14ac:dyDescent="0.4">
      <c r="A275" s="20">
        <f t="shared" si="130"/>
        <v>40467</v>
      </c>
      <c r="B275" s="22">
        <v>324</v>
      </c>
      <c r="C275" s="22">
        <v>423</v>
      </c>
      <c r="D275" s="22">
        <v>84</v>
      </c>
      <c r="E275" s="22">
        <v>591</v>
      </c>
      <c r="F275" s="22">
        <v>38</v>
      </c>
      <c r="G275" s="22">
        <v>51</v>
      </c>
      <c r="H275" s="22">
        <v>2</v>
      </c>
      <c r="I275" s="22">
        <v>38</v>
      </c>
      <c r="J275" s="22">
        <v>317</v>
      </c>
      <c r="K275" s="22">
        <v>644</v>
      </c>
      <c r="L275" s="22">
        <v>339</v>
      </c>
      <c r="M275" s="22">
        <v>760</v>
      </c>
      <c r="N275" s="45">
        <f t="shared" si="139"/>
        <v>679</v>
      </c>
      <c r="O275" s="3">
        <f t="shared" si="492"/>
        <v>1104</v>
      </c>
      <c r="P275" s="3">
        <f t="shared" si="493"/>
        <v>1118</v>
      </c>
      <c r="Q275" s="3">
        <f t="shared" si="494"/>
        <v>2507</v>
      </c>
      <c r="R275" s="34">
        <f t="shared" ref="R275" si="543">(N275-N274)/N274</f>
        <v>0.34189723320158105</v>
      </c>
      <c r="S275" s="32">
        <f t="shared" ref="S275" si="544">N275-N274</f>
        <v>173</v>
      </c>
      <c r="T275" s="34">
        <f t="shared" ref="T275" si="545">(N275-N223)/N223</f>
        <v>0.326171875</v>
      </c>
      <c r="U275" s="34">
        <f t="shared" ref="U275" si="546">N275/P275</f>
        <v>0.60733452593917714</v>
      </c>
      <c r="V275" s="40">
        <f t="shared" ref="V275" si="547">AVERAGE(B119,B171,B223)</f>
        <v>243.33333333333334</v>
      </c>
      <c r="W275" s="40">
        <f t="shared" ref="W275" si="548">AVERAGE(F119,F171,F223)</f>
        <v>26.666666666666668</v>
      </c>
      <c r="X275" s="40">
        <f t="shared" ref="X275" si="549">AVERAGE(J119,J171,J223)</f>
        <v>203.33333333333334</v>
      </c>
      <c r="Y275" s="40">
        <f t="shared" ref="Y275" si="550">AVERAGE(N119,N171,N223)</f>
        <v>473.33333333333331</v>
      </c>
      <c r="Z275" s="59">
        <f t="shared" si="323"/>
        <v>0.43450704225352116</v>
      </c>
      <c r="AA275" s="36"/>
    </row>
    <row r="276" spans="1:27" ht="16" thickBot="1" x14ac:dyDescent="0.4">
      <c r="A276" s="20">
        <f t="shared" si="130"/>
        <v>40474</v>
      </c>
      <c r="B276" s="22">
        <v>152</v>
      </c>
      <c r="C276" s="22">
        <v>242</v>
      </c>
      <c r="D276" s="22">
        <v>50</v>
      </c>
      <c r="E276" s="22">
        <v>502</v>
      </c>
      <c r="F276" s="22">
        <v>21</v>
      </c>
      <c r="G276" s="22">
        <v>33</v>
      </c>
      <c r="H276" s="22">
        <v>8</v>
      </c>
      <c r="I276" s="22">
        <v>53</v>
      </c>
      <c r="J276" s="22">
        <v>106</v>
      </c>
      <c r="K276" s="22">
        <v>300</v>
      </c>
      <c r="L276" s="22">
        <v>178</v>
      </c>
      <c r="M276" s="22">
        <v>424</v>
      </c>
      <c r="N276" s="45">
        <f t="shared" si="139"/>
        <v>279</v>
      </c>
      <c r="O276" s="3">
        <f t="shared" si="492"/>
        <v>515</v>
      </c>
      <c r="P276" s="3">
        <f t="shared" si="493"/>
        <v>575</v>
      </c>
      <c r="Q276" s="3">
        <f t="shared" si="494"/>
        <v>1554</v>
      </c>
      <c r="R276" s="34">
        <f t="shared" ref="R276" si="551">(N276-N275)/N275</f>
        <v>-0.5891016200294551</v>
      </c>
      <c r="S276" s="32">
        <f t="shared" ref="S276" si="552">N276-N275</f>
        <v>-400</v>
      </c>
      <c r="T276" s="34">
        <f t="shared" ref="T276" si="553">(N276-N224)/N224</f>
        <v>-0.38137472283813745</v>
      </c>
      <c r="U276" s="34">
        <f t="shared" ref="U276" si="554">N276/P276</f>
        <v>0.48521739130434782</v>
      </c>
      <c r="V276" s="40">
        <f t="shared" ref="V276" si="555">AVERAGE(B120,B172,B224)</f>
        <v>289</v>
      </c>
      <c r="W276" s="40">
        <f t="shared" ref="W276" si="556">AVERAGE(F120,F172,F224)</f>
        <v>34.333333333333336</v>
      </c>
      <c r="X276" s="40">
        <f t="shared" ref="X276" si="557">AVERAGE(J120,J172,J224)</f>
        <v>230.66666666666666</v>
      </c>
      <c r="Y276" s="40">
        <f t="shared" ref="Y276" si="558">AVERAGE(N120,N172,N224)</f>
        <v>554</v>
      </c>
      <c r="Z276" s="59">
        <f t="shared" si="323"/>
        <v>-0.49638989169675091</v>
      </c>
      <c r="AA276" s="36"/>
    </row>
    <row r="277" spans="1:27" ht="16" thickBot="1" x14ac:dyDescent="0.4">
      <c r="A277" s="20">
        <f t="shared" si="130"/>
        <v>40481</v>
      </c>
      <c r="B277" s="22">
        <v>167</v>
      </c>
      <c r="C277" s="22">
        <v>228</v>
      </c>
      <c r="D277" s="22">
        <v>92</v>
      </c>
      <c r="E277" s="22">
        <v>468</v>
      </c>
      <c r="F277" s="22">
        <v>9</v>
      </c>
      <c r="G277" s="22">
        <v>24</v>
      </c>
      <c r="H277" s="22">
        <v>9</v>
      </c>
      <c r="I277" s="22">
        <v>53</v>
      </c>
      <c r="J277" s="22">
        <v>170</v>
      </c>
      <c r="K277" s="22">
        <v>322</v>
      </c>
      <c r="L277" s="22">
        <v>263</v>
      </c>
      <c r="M277" s="22">
        <v>486</v>
      </c>
      <c r="N277" s="45">
        <f t="shared" si="139"/>
        <v>346</v>
      </c>
      <c r="O277" s="3">
        <f t="shared" si="492"/>
        <v>710</v>
      </c>
      <c r="P277" s="3">
        <f t="shared" si="493"/>
        <v>574</v>
      </c>
      <c r="Q277" s="3">
        <f t="shared" si="494"/>
        <v>1581</v>
      </c>
      <c r="R277" s="34">
        <f t="shared" ref="R277" si="559">(N277-N276)/N276</f>
        <v>0.24014336917562723</v>
      </c>
      <c r="S277" s="32">
        <f t="shared" ref="S277" si="560">N277-N276</f>
        <v>67</v>
      </c>
      <c r="T277" s="34">
        <f t="shared" ref="T277" si="561">(N277-N225)/N225</f>
        <v>-0.33075435203094777</v>
      </c>
      <c r="U277" s="34">
        <f t="shared" ref="U277" si="562">N277/P277</f>
        <v>0.60278745644599308</v>
      </c>
      <c r="V277" s="40">
        <f t="shared" ref="V277" si="563">AVERAGE(B121,B173,B225)</f>
        <v>269</v>
      </c>
      <c r="W277" s="40">
        <f t="shared" ref="W277" si="564">AVERAGE(F121,F173,F225)</f>
        <v>35.333333333333336</v>
      </c>
      <c r="X277" s="40">
        <f t="shared" ref="X277" si="565">AVERAGE(J121,J173,J225)</f>
        <v>202.33333333333334</v>
      </c>
      <c r="Y277" s="40">
        <f t="shared" ref="Y277" si="566">AVERAGE(N121,N173,N225)</f>
        <v>506.66666666666669</v>
      </c>
      <c r="Z277" s="59">
        <f t="shared" si="323"/>
        <v>-0.31710526315789478</v>
      </c>
      <c r="AA277" s="36"/>
    </row>
    <row r="278" spans="1:27" ht="16" thickBot="1" x14ac:dyDescent="0.4">
      <c r="A278" s="20">
        <f t="shared" si="130"/>
        <v>40488</v>
      </c>
      <c r="B278" s="22">
        <v>426</v>
      </c>
      <c r="C278" s="22">
        <v>484</v>
      </c>
      <c r="D278" s="22">
        <v>50</v>
      </c>
      <c r="E278" s="22">
        <v>390</v>
      </c>
      <c r="F278" s="22">
        <v>40</v>
      </c>
      <c r="G278" s="22">
        <v>46</v>
      </c>
      <c r="H278" s="22">
        <v>11</v>
      </c>
      <c r="I278" s="22">
        <v>40</v>
      </c>
      <c r="J278" s="22">
        <v>322</v>
      </c>
      <c r="K278" s="22">
        <v>640</v>
      </c>
      <c r="L278" s="22">
        <v>271</v>
      </c>
      <c r="M278" s="22">
        <v>607</v>
      </c>
      <c r="N278" s="45">
        <f t="shared" si="139"/>
        <v>788</v>
      </c>
      <c r="O278" s="3">
        <f t="shared" ref="O278" si="567">SUM(B278,D278,F278,H278,J278,L278)</f>
        <v>1120</v>
      </c>
      <c r="P278" s="3">
        <f t="shared" ref="P278" si="568">SUM(C278,G278,K278)</f>
        <v>1170</v>
      </c>
      <c r="Q278" s="3">
        <f t="shared" ref="Q278" si="569">SUM(C278,E278,G278,I278,K278,M278)</f>
        <v>2207</v>
      </c>
      <c r="R278" s="34">
        <f t="shared" ref="R278" si="570">(N278-N277)/N277</f>
        <v>1.277456647398844</v>
      </c>
      <c r="S278" s="32">
        <f t="shared" ref="S278" si="571">N278-N277</f>
        <v>442</v>
      </c>
      <c r="T278" s="34">
        <f t="shared" ref="T278" si="572">(N278-N226)/N226</f>
        <v>0.47289719626168225</v>
      </c>
      <c r="U278" s="34">
        <f t="shared" ref="U278" si="573">N278/P278</f>
        <v>0.67350427350427355</v>
      </c>
      <c r="V278" s="40">
        <f t="shared" ref="V278" si="574">AVERAGE(B122,B174,B226)</f>
        <v>286.33333333333331</v>
      </c>
      <c r="W278" s="40">
        <f t="shared" ref="W278" si="575">AVERAGE(F122,F174,F226)</f>
        <v>33.333333333333336</v>
      </c>
      <c r="X278" s="40">
        <f t="shared" ref="X278" si="576">AVERAGE(J122,J174,J226)</f>
        <v>207.33333333333334</v>
      </c>
      <c r="Y278" s="40">
        <f t="shared" ref="Y278" si="577">AVERAGE(N122,N174,N226)</f>
        <v>527</v>
      </c>
      <c r="Z278" s="59">
        <f t="shared" si="323"/>
        <v>0.49525616698292219</v>
      </c>
      <c r="AA278" s="36"/>
    </row>
    <row r="279" spans="1:27" ht="16" thickBot="1" x14ac:dyDescent="0.4">
      <c r="A279" s="20">
        <f t="shared" si="130"/>
        <v>40495</v>
      </c>
      <c r="B279" s="22">
        <v>464</v>
      </c>
      <c r="C279" s="22">
        <v>507</v>
      </c>
      <c r="D279" s="22">
        <v>73</v>
      </c>
      <c r="E279" s="22">
        <v>614</v>
      </c>
      <c r="F279" s="22">
        <v>61</v>
      </c>
      <c r="G279" s="22">
        <v>69</v>
      </c>
      <c r="H279" s="22">
        <v>2</v>
      </c>
      <c r="I279" s="22">
        <v>69</v>
      </c>
      <c r="J279" s="22">
        <v>201</v>
      </c>
      <c r="K279" s="22">
        <v>481</v>
      </c>
      <c r="L279" s="22">
        <v>330</v>
      </c>
      <c r="M279" s="22">
        <v>619</v>
      </c>
      <c r="N279" s="45">
        <f t="shared" si="139"/>
        <v>726</v>
      </c>
      <c r="O279" s="3">
        <f t="shared" ref="O279" si="578">SUM(B279,D279,F279,H279,J279,L279)</f>
        <v>1131</v>
      </c>
      <c r="P279" s="3">
        <f t="shared" ref="P279" si="579">SUM(C279,G279,K279)</f>
        <v>1057</v>
      </c>
      <c r="Q279" s="3">
        <f t="shared" ref="Q279" si="580">SUM(C279,E279,G279,I279,K279,M279)</f>
        <v>2359</v>
      </c>
      <c r="R279" s="34">
        <f t="shared" ref="R279" si="581">(N279-N278)/N278</f>
        <v>-7.8680203045685279E-2</v>
      </c>
      <c r="S279" s="32">
        <f t="shared" ref="S279" si="582">N279-N278</f>
        <v>-62</v>
      </c>
      <c r="T279" s="34">
        <f t="shared" ref="T279" si="583">(N279-N227)/N227</f>
        <v>0.1901639344262295</v>
      </c>
      <c r="U279" s="34">
        <f t="shared" ref="U279" si="584">N279/P279</f>
        <v>0.68684957426679283</v>
      </c>
      <c r="V279" s="40">
        <f t="shared" ref="V279" si="585">AVERAGE(B123,B175,B227)</f>
        <v>279.66666666666669</v>
      </c>
      <c r="W279" s="40">
        <f t="shared" ref="W279" si="586">AVERAGE(F123,F175,F227)</f>
        <v>34</v>
      </c>
      <c r="X279" s="40">
        <f t="shared" ref="X279" si="587">AVERAGE(J123,J175,J227)</f>
        <v>235</v>
      </c>
      <c r="Y279" s="40">
        <f t="shared" ref="Y279" si="588">AVERAGE(N123,N175,N227)</f>
        <v>548.66666666666663</v>
      </c>
      <c r="Z279" s="59">
        <f t="shared" si="323"/>
        <v>0.3232077764277036</v>
      </c>
      <c r="AA279" s="36"/>
    </row>
    <row r="280" spans="1:27" ht="16" thickBot="1" x14ac:dyDescent="0.4">
      <c r="A280" s="20">
        <f t="shared" si="130"/>
        <v>40502</v>
      </c>
      <c r="B280" s="22">
        <v>295</v>
      </c>
      <c r="C280" s="22">
        <v>333</v>
      </c>
      <c r="D280" s="22">
        <v>62</v>
      </c>
      <c r="E280" s="22">
        <v>542</v>
      </c>
      <c r="F280" s="22">
        <v>31</v>
      </c>
      <c r="G280" s="22">
        <v>42</v>
      </c>
      <c r="H280" s="22">
        <v>18</v>
      </c>
      <c r="I280" s="22">
        <v>50</v>
      </c>
      <c r="J280" s="22">
        <v>320</v>
      </c>
      <c r="K280" s="22">
        <v>591</v>
      </c>
      <c r="L280" s="22">
        <v>301</v>
      </c>
      <c r="M280" s="22">
        <v>507</v>
      </c>
      <c r="N280" s="45">
        <f t="shared" si="139"/>
        <v>646</v>
      </c>
      <c r="O280" s="3">
        <f t="shared" ref="O280" si="589">SUM(B280,D280,F280,H280,J280,L280)</f>
        <v>1027</v>
      </c>
      <c r="P280" s="3">
        <f t="shared" ref="P280" si="590">SUM(C280,G280,K280)</f>
        <v>966</v>
      </c>
      <c r="Q280" s="3">
        <f t="shared" ref="Q280" si="591">SUM(C280,E280,G280,I280,K280,M280)</f>
        <v>2065</v>
      </c>
      <c r="R280" s="34">
        <f t="shared" ref="R280" si="592">(N280-N279)/N279</f>
        <v>-0.11019283746556474</v>
      </c>
      <c r="S280" s="32">
        <f t="shared" ref="S280" si="593">N280-N279</f>
        <v>-80</v>
      </c>
      <c r="T280" s="34">
        <f t="shared" ref="T280" si="594">(N280-N228)/N228</f>
        <v>0.51643192488262912</v>
      </c>
      <c r="U280" s="34">
        <f t="shared" ref="U280" si="595">N280/P280</f>
        <v>0.66873706004140787</v>
      </c>
      <c r="V280" s="40">
        <f t="shared" ref="V280" si="596">AVERAGE(B124,B176,B228)</f>
        <v>275</v>
      </c>
      <c r="W280" s="40">
        <f t="shared" ref="W280" si="597">AVERAGE(F124,F176,F228)</f>
        <v>26.666666666666668</v>
      </c>
      <c r="X280" s="40">
        <f t="shared" ref="X280" si="598">AVERAGE(J124,J176,J228)</f>
        <v>222.33333333333334</v>
      </c>
      <c r="Y280" s="40">
        <f t="shared" ref="Y280" si="599">AVERAGE(N124,N176,N228)</f>
        <v>524</v>
      </c>
      <c r="Z280" s="59">
        <f t="shared" si="323"/>
        <v>0.23282442748091603</v>
      </c>
      <c r="AA280" s="36"/>
    </row>
    <row r="281" spans="1:27" ht="16" thickBot="1" x14ac:dyDescent="0.4">
      <c r="A281" s="20">
        <f t="shared" si="130"/>
        <v>40509</v>
      </c>
      <c r="B281" s="22">
        <v>330</v>
      </c>
      <c r="C281" s="22">
        <v>390</v>
      </c>
      <c r="D281" s="22">
        <v>94</v>
      </c>
      <c r="E281" s="22">
        <v>578</v>
      </c>
      <c r="F281" s="22">
        <v>22</v>
      </c>
      <c r="G281" s="22">
        <v>45</v>
      </c>
      <c r="H281" s="22">
        <v>6</v>
      </c>
      <c r="I281" s="22">
        <v>69</v>
      </c>
      <c r="J281" s="22">
        <v>284</v>
      </c>
      <c r="K281" s="22">
        <v>626</v>
      </c>
      <c r="L281" s="22">
        <v>357</v>
      </c>
      <c r="M281" s="22">
        <v>720</v>
      </c>
      <c r="N281" s="45">
        <f t="shared" si="139"/>
        <v>636</v>
      </c>
      <c r="O281" s="3">
        <f t="shared" ref="O281" si="600">SUM(B281,D281,F281,H281,J281,L281)</f>
        <v>1093</v>
      </c>
      <c r="P281" s="3">
        <f t="shared" ref="P281" si="601">SUM(C281,G281,K281)</f>
        <v>1061</v>
      </c>
      <c r="Q281" s="3">
        <f t="shared" ref="Q281" si="602">SUM(C281,E281,G281,I281,K281,M281)</f>
        <v>2428</v>
      </c>
      <c r="R281" s="34">
        <f t="shared" ref="R281" si="603">(N281-N280)/N280</f>
        <v>-1.5479876160990712E-2</v>
      </c>
      <c r="S281" s="32">
        <f t="shared" ref="S281" si="604">N281-N280</f>
        <v>-10</v>
      </c>
      <c r="T281" s="34">
        <f t="shared" ref="T281" si="605">(N281-N229)/N229</f>
        <v>-3.3434650455927049E-2</v>
      </c>
      <c r="U281" s="34">
        <f t="shared" ref="U281" si="606">N281/P281</f>
        <v>0.59943449575871821</v>
      </c>
      <c r="V281" s="40">
        <f t="shared" ref="V281" si="607">AVERAGE(B125,B177,B229)</f>
        <v>358</v>
      </c>
      <c r="W281" s="40">
        <f t="shared" ref="W281" si="608">AVERAGE(F125,F177,F229)</f>
        <v>46</v>
      </c>
      <c r="X281" s="40">
        <f t="shared" ref="X281" si="609">AVERAGE(J125,J177,J229)</f>
        <v>224.33333333333334</v>
      </c>
      <c r="Y281" s="40">
        <f t="shared" ref="Y281" si="610">AVERAGE(N125,N177,N229)</f>
        <v>628.33333333333337</v>
      </c>
      <c r="Z281" s="59">
        <f t="shared" si="323"/>
        <v>1.2201591511936279E-2</v>
      </c>
      <c r="AA281" s="36"/>
    </row>
    <row r="282" spans="1:27" ht="16" thickBot="1" x14ac:dyDescent="0.4">
      <c r="A282" s="20">
        <f t="shared" si="130"/>
        <v>40516</v>
      </c>
      <c r="B282" s="22">
        <v>376</v>
      </c>
      <c r="C282" s="22">
        <v>394</v>
      </c>
      <c r="D282" s="22">
        <v>75</v>
      </c>
      <c r="E282" s="22">
        <v>803</v>
      </c>
      <c r="F282" s="22">
        <v>45</v>
      </c>
      <c r="G282" s="22">
        <v>66</v>
      </c>
      <c r="H282" s="22">
        <v>2</v>
      </c>
      <c r="I282" s="22">
        <v>58</v>
      </c>
      <c r="J282" s="22">
        <v>340</v>
      </c>
      <c r="K282" s="22">
        <v>622</v>
      </c>
      <c r="L282" s="22">
        <v>318</v>
      </c>
      <c r="M282" s="22">
        <v>566</v>
      </c>
      <c r="N282" s="45">
        <f t="shared" ref="N282:N335" si="611">SUM(B282,F282,J282)</f>
        <v>761</v>
      </c>
      <c r="O282" s="3">
        <f t="shared" ref="O282" si="612">SUM(B282,D282,F282,H282,J282,L282)</f>
        <v>1156</v>
      </c>
      <c r="P282" s="3">
        <f t="shared" ref="P282" si="613">SUM(C282,G282,K282)</f>
        <v>1082</v>
      </c>
      <c r="Q282" s="3">
        <f t="shared" ref="Q282" si="614">SUM(C282,E282,G282,I282,K282,M282)</f>
        <v>2509</v>
      </c>
      <c r="R282" s="34">
        <f t="shared" ref="R282" si="615">(N282-N281)/N281</f>
        <v>0.19654088050314467</v>
      </c>
      <c r="S282" s="32">
        <f t="shared" ref="S282" si="616">N282-N281</f>
        <v>125</v>
      </c>
      <c r="T282" s="34">
        <f t="shared" ref="T282" si="617">(N282-N230)/N230</f>
        <v>0.19278996865203762</v>
      </c>
      <c r="U282" s="34">
        <f t="shared" ref="U282" si="618">N282/P282</f>
        <v>0.70332717190388172</v>
      </c>
      <c r="V282" s="40">
        <f t="shared" ref="V282" si="619">AVERAGE(B126,B178,B230)</f>
        <v>261.66666666666669</v>
      </c>
      <c r="W282" s="40">
        <f t="shared" ref="W282" si="620">AVERAGE(F126,F178,F230)</f>
        <v>26.666666666666668</v>
      </c>
      <c r="X282" s="40">
        <f t="shared" ref="X282" si="621">AVERAGE(J126,J178,J230)</f>
        <v>227</v>
      </c>
      <c r="Y282" s="40">
        <f t="shared" ref="Y282" si="622">AVERAGE(N126,N178,N230)</f>
        <v>515.33333333333337</v>
      </c>
      <c r="Z282" s="59">
        <f t="shared" si="323"/>
        <v>0.47671410090556265</v>
      </c>
      <c r="AA282" s="36"/>
    </row>
    <row r="283" spans="1:27" ht="16" thickBot="1" x14ac:dyDescent="0.4">
      <c r="A283" s="20">
        <f t="shared" si="130"/>
        <v>40523</v>
      </c>
      <c r="B283" s="22">
        <v>352</v>
      </c>
      <c r="C283" s="22">
        <v>389</v>
      </c>
      <c r="D283" s="22">
        <v>52</v>
      </c>
      <c r="E283" s="22">
        <v>553</v>
      </c>
      <c r="F283" s="22">
        <v>25</v>
      </c>
      <c r="G283" s="22">
        <v>44</v>
      </c>
      <c r="H283" s="22">
        <v>4</v>
      </c>
      <c r="I283" s="22">
        <v>40</v>
      </c>
      <c r="J283" s="22">
        <v>291</v>
      </c>
      <c r="K283" s="22">
        <v>562</v>
      </c>
      <c r="L283" s="22">
        <v>226</v>
      </c>
      <c r="M283" s="22">
        <v>429</v>
      </c>
      <c r="N283" s="45">
        <f t="shared" si="611"/>
        <v>668</v>
      </c>
      <c r="O283" s="3">
        <f t="shared" ref="O283" si="623">SUM(B283,D283,F283,H283,J283,L283)</f>
        <v>950</v>
      </c>
      <c r="P283" s="3">
        <f t="shared" ref="P283" si="624">SUM(C283,G283,K283)</f>
        <v>995</v>
      </c>
      <c r="Q283" s="3">
        <f t="shared" ref="Q283" si="625">SUM(C283,E283,G283,I283,K283,M283)</f>
        <v>2017</v>
      </c>
      <c r="R283" s="34">
        <f t="shared" ref="R283" si="626">(N283-N282)/N282</f>
        <v>-0.12220762155059132</v>
      </c>
      <c r="S283" s="32">
        <f t="shared" ref="S283" si="627">N283-N282</f>
        <v>-93</v>
      </c>
      <c r="T283" s="34">
        <f t="shared" ref="T283" si="628">(N283-N231)/N231</f>
        <v>0.3604887983706721</v>
      </c>
      <c r="U283" s="34">
        <f t="shared" ref="U283" si="629">N283/P283</f>
        <v>0.67135678391959797</v>
      </c>
      <c r="V283" s="40">
        <f t="shared" ref="V283" si="630">AVERAGE(B127,B179,B231)</f>
        <v>292.66666666666669</v>
      </c>
      <c r="W283" s="40">
        <f t="shared" ref="W283" si="631">AVERAGE(F127,F179,F231)</f>
        <v>61.333333333333336</v>
      </c>
      <c r="X283" s="40">
        <f t="shared" ref="X283" si="632">AVERAGE(J127,J179,J231)</f>
        <v>176.66666666666666</v>
      </c>
      <c r="Y283" s="40">
        <f t="shared" ref="Y283" si="633">AVERAGE(N127,N179,N231)</f>
        <v>530.66666666666663</v>
      </c>
      <c r="Z283" s="59">
        <f t="shared" si="323"/>
        <v>0.2587939698492463</v>
      </c>
      <c r="AA283" s="36"/>
    </row>
    <row r="284" spans="1:27" ht="16" thickBot="1" x14ac:dyDescent="0.4">
      <c r="A284" s="20">
        <f t="shared" si="130"/>
        <v>40530</v>
      </c>
      <c r="B284" s="22">
        <v>261</v>
      </c>
      <c r="C284" s="22">
        <v>277</v>
      </c>
      <c r="D284" s="22">
        <v>47</v>
      </c>
      <c r="E284" s="22">
        <v>396</v>
      </c>
      <c r="F284" s="22">
        <v>31</v>
      </c>
      <c r="G284" s="22">
        <v>40</v>
      </c>
      <c r="H284" s="22">
        <v>5</v>
      </c>
      <c r="I284" s="22">
        <v>68</v>
      </c>
      <c r="J284" s="22">
        <v>299</v>
      </c>
      <c r="K284" s="22">
        <v>589</v>
      </c>
      <c r="L284" s="22">
        <v>298</v>
      </c>
      <c r="M284" s="22">
        <v>618</v>
      </c>
      <c r="N284" s="45">
        <f t="shared" si="611"/>
        <v>591</v>
      </c>
      <c r="O284" s="3">
        <f t="shared" ref="O284" si="634">SUM(B284,D284,F284,H284,J284,L284)</f>
        <v>941</v>
      </c>
      <c r="P284" s="3">
        <f t="shared" ref="P284" si="635">SUM(C284,G284,K284)</f>
        <v>906</v>
      </c>
      <c r="Q284" s="3">
        <f t="shared" ref="Q284" si="636">SUM(C284,E284,G284,I284,K284,M284)</f>
        <v>1988</v>
      </c>
      <c r="R284" s="34">
        <f t="shared" ref="R284" si="637">(N284-N283)/N283</f>
        <v>-0.11526946107784432</v>
      </c>
      <c r="S284" s="32">
        <f t="shared" ref="S284" si="638">N284-N283</f>
        <v>-77</v>
      </c>
      <c r="T284" s="34">
        <f t="shared" ref="T284" si="639">(N284-N232)/N232</f>
        <v>2.6041666666666668E-2</v>
      </c>
      <c r="U284" s="34">
        <f t="shared" ref="U284" si="640">N284/P284</f>
        <v>0.65231788079470199</v>
      </c>
      <c r="V284" s="40">
        <f t="shared" ref="V284" si="641">AVERAGE(B128,B180,B232)</f>
        <v>228.33333333333334</v>
      </c>
      <c r="W284" s="40">
        <f t="shared" ref="W284" si="642">AVERAGE(F128,F180,F232)</f>
        <v>34.666666666666664</v>
      </c>
      <c r="X284" s="40">
        <f t="shared" ref="X284" si="643">AVERAGE(J128,J180,J232)</f>
        <v>269.33333333333331</v>
      </c>
      <c r="Y284" s="40">
        <f t="shared" ref="Y284" si="644">AVERAGE(N128,N180,N232)</f>
        <v>532.33333333333337</v>
      </c>
      <c r="Z284" s="59">
        <f t="shared" si="323"/>
        <v>0.11020663744520968</v>
      </c>
      <c r="AA284" s="36"/>
    </row>
    <row r="285" spans="1:27" ht="16" thickBot="1" x14ac:dyDescent="0.4">
      <c r="A285" s="20">
        <f t="shared" si="130"/>
        <v>40537</v>
      </c>
      <c r="B285" s="22">
        <v>263</v>
      </c>
      <c r="C285" s="22">
        <v>300</v>
      </c>
      <c r="D285" s="22">
        <v>98</v>
      </c>
      <c r="E285" s="22">
        <v>526</v>
      </c>
      <c r="F285" s="22">
        <v>37</v>
      </c>
      <c r="G285" s="22">
        <v>44</v>
      </c>
      <c r="H285" s="22">
        <v>18</v>
      </c>
      <c r="I285" s="22">
        <v>108</v>
      </c>
      <c r="J285" s="22">
        <v>354</v>
      </c>
      <c r="K285" s="22">
        <v>632</v>
      </c>
      <c r="L285" s="22">
        <v>264</v>
      </c>
      <c r="M285" s="22">
        <v>643</v>
      </c>
      <c r="N285" s="45">
        <f t="shared" si="611"/>
        <v>654</v>
      </c>
      <c r="O285" s="3">
        <f t="shared" ref="O285" si="645">SUM(B285,D285,F285,H285,J285,L285)</f>
        <v>1034</v>
      </c>
      <c r="P285" s="3">
        <f t="shared" ref="P285" si="646">SUM(C285,G285,K285)</f>
        <v>976</v>
      </c>
      <c r="Q285" s="3">
        <f t="shared" ref="Q285" si="647">SUM(C285,E285,G285,I285,K285,M285)</f>
        <v>2253</v>
      </c>
      <c r="R285" s="34">
        <f t="shared" ref="R285" si="648">(N285-N284)/N284</f>
        <v>0.1065989847715736</v>
      </c>
      <c r="S285" s="32">
        <f t="shared" ref="S285" si="649">N285-N284</f>
        <v>63</v>
      </c>
      <c r="T285" s="34">
        <f t="shared" ref="T285" si="650">(N285-N233)/N233</f>
        <v>1.1655629139072847</v>
      </c>
      <c r="U285" s="34">
        <f t="shared" ref="U285" si="651">N285/P285</f>
        <v>0.67008196721311475</v>
      </c>
      <c r="V285" s="40">
        <f t="shared" ref="V285" si="652">AVERAGE(B129,B181,B233)</f>
        <v>234</v>
      </c>
      <c r="W285" s="40">
        <f t="shared" ref="W285" si="653">AVERAGE(F129,F181,F233)</f>
        <v>28.333333333333332</v>
      </c>
      <c r="X285" s="40">
        <f t="shared" ref="X285" si="654">AVERAGE(J129,J181,J233)</f>
        <v>163</v>
      </c>
      <c r="Y285" s="40">
        <f t="shared" ref="Y285" si="655">AVERAGE(N129,N181,N233)</f>
        <v>425.33333333333331</v>
      </c>
      <c r="Z285" s="59">
        <f t="shared" si="323"/>
        <v>0.53761755485893425</v>
      </c>
      <c r="AA285" s="36"/>
    </row>
    <row r="286" spans="1:27" ht="16" thickBot="1" x14ac:dyDescent="0.4">
      <c r="A286" s="20">
        <f t="shared" si="130"/>
        <v>40544</v>
      </c>
      <c r="B286" s="22">
        <v>308</v>
      </c>
      <c r="C286" s="22">
        <v>325</v>
      </c>
      <c r="D286" s="22">
        <v>32</v>
      </c>
      <c r="E286" s="22">
        <v>365</v>
      </c>
      <c r="F286" s="22">
        <v>24</v>
      </c>
      <c r="G286" s="22">
        <v>31</v>
      </c>
      <c r="H286" s="22">
        <v>7</v>
      </c>
      <c r="I286" s="22">
        <v>49</v>
      </c>
      <c r="J286" s="22">
        <v>153</v>
      </c>
      <c r="K286" s="22">
        <v>391</v>
      </c>
      <c r="L286" s="22">
        <v>257</v>
      </c>
      <c r="M286" s="22">
        <v>560</v>
      </c>
      <c r="N286" s="45">
        <f t="shared" si="611"/>
        <v>485</v>
      </c>
      <c r="O286" s="3">
        <f t="shared" ref="O286" si="656">SUM(B286,D286,F286,H286,J286,L286)</f>
        <v>781</v>
      </c>
      <c r="P286" s="3">
        <f t="shared" ref="P286" si="657">SUM(C286,G286,K286)</f>
        <v>747</v>
      </c>
      <c r="Q286" s="3">
        <f t="shared" ref="Q286" si="658">SUM(C286,E286,G286,I286,K286,M286)</f>
        <v>1721</v>
      </c>
      <c r="R286" s="34">
        <f t="shared" ref="R286" si="659">(N286-N285)/N285</f>
        <v>-0.25840978593272174</v>
      </c>
      <c r="S286" s="32">
        <f t="shared" ref="S286" si="660">N286-N285</f>
        <v>-169</v>
      </c>
      <c r="T286" s="34">
        <f t="shared" ref="T286" si="661">(N286-N234)/N234</f>
        <v>0.34349030470914127</v>
      </c>
      <c r="U286" s="34">
        <f t="shared" ref="U286" si="662">N286/P286</f>
        <v>0.64926372155287815</v>
      </c>
      <c r="V286" s="40">
        <f t="shared" ref="V286" si="663">AVERAGE(B130,B182,B234)</f>
        <v>226.33333333333334</v>
      </c>
      <c r="W286" s="40">
        <f t="shared" ref="W286" si="664">AVERAGE(F130,F182,F234)</f>
        <v>33.333333333333336</v>
      </c>
      <c r="X286" s="40">
        <f t="shared" ref="X286" si="665">AVERAGE(J130,J182,J234)</f>
        <v>213.66666666666666</v>
      </c>
      <c r="Y286" s="40">
        <f t="shared" ref="Y286" si="666">AVERAGE(N130,N182,N234)</f>
        <v>473.33333333333331</v>
      </c>
      <c r="Z286" s="59">
        <f t="shared" si="323"/>
        <v>2.4647887323943702E-2</v>
      </c>
      <c r="AA286" s="36"/>
    </row>
    <row r="287" spans="1:27" ht="16" thickBot="1" x14ac:dyDescent="0.4">
      <c r="A287" s="20">
        <f t="shared" si="130"/>
        <v>40551</v>
      </c>
      <c r="B287" s="22">
        <v>223</v>
      </c>
      <c r="C287" s="22">
        <v>248</v>
      </c>
      <c r="D287" s="22">
        <v>67</v>
      </c>
      <c r="E287" s="22">
        <v>346</v>
      </c>
      <c r="F287" s="22">
        <v>53</v>
      </c>
      <c r="G287" s="22">
        <v>81</v>
      </c>
      <c r="H287" s="22">
        <v>7</v>
      </c>
      <c r="I287" s="22">
        <v>42</v>
      </c>
      <c r="J287" s="22">
        <v>351</v>
      </c>
      <c r="K287" s="22">
        <v>602</v>
      </c>
      <c r="L287" s="22">
        <v>284</v>
      </c>
      <c r="M287" s="22">
        <v>592</v>
      </c>
      <c r="N287" s="45">
        <f t="shared" si="611"/>
        <v>627</v>
      </c>
      <c r="O287" s="3">
        <f t="shared" ref="O287" si="667">SUM(B287,D287,F287,H287,J287,L287)</f>
        <v>985</v>
      </c>
      <c r="P287" s="3">
        <f t="shared" ref="P287" si="668">SUM(C287,G287,K287)</f>
        <v>931</v>
      </c>
      <c r="Q287" s="3">
        <f t="shared" ref="Q287" si="669">SUM(C287,E287,G287,I287,K287,M287)</f>
        <v>1911</v>
      </c>
      <c r="R287" s="34">
        <f t="shared" ref="R287" si="670">(N287-N286)/N286</f>
        <v>0.29278350515463919</v>
      </c>
      <c r="S287" s="32">
        <f t="shared" ref="S287" si="671">N287-N286</f>
        <v>142</v>
      </c>
      <c r="T287" s="34">
        <f t="shared" ref="T287" si="672">(N287-N235)/N235</f>
        <v>0.77620396600566577</v>
      </c>
      <c r="U287" s="34">
        <f t="shared" ref="U287" si="673">N287/P287</f>
        <v>0.67346938775510201</v>
      </c>
      <c r="V287" s="40">
        <f t="shared" ref="V287" si="674">AVERAGE(B131,B183,B235)</f>
        <v>184.66666666666666</v>
      </c>
      <c r="W287" s="40">
        <f t="shared" ref="W287" si="675">AVERAGE(F131,F183,F235)</f>
        <v>26.333333333333332</v>
      </c>
      <c r="X287" s="40">
        <f t="shared" ref="X287" si="676">AVERAGE(J131,J183,J235)</f>
        <v>251.66666666666666</v>
      </c>
      <c r="Y287" s="40">
        <f t="shared" ref="Y287" si="677">AVERAGE(N131,N183,N235)</f>
        <v>462.66666666666669</v>
      </c>
      <c r="Z287" s="59">
        <f t="shared" si="323"/>
        <v>0.35518731988472618</v>
      </c>
      <c r="AA287" s="36"/>
    </row>
    <row r="288" spans="1:27" ht="16" thickBot="1" x14ac:dyDescent="0.4">
      <c r="A288" s="20">
        <f t="shared" si="130"/>
        <v>40558</v>
      </c>
      <c r="B288" s="22">
        <v>159</v>
      </c>
      <c r="C288" s="22">
        <v>191</v>
      </c>
      <c r="D288" s="22">
        <v>43</v>
      </c>
      <c r="E288" s="22">
        <v>277</v>
      </c>
      <c r="F288" s="22">
        <v>22</v>
      </c>
      <c r="G288" s="22">
        <v>33</v>
      </c>
      <c r="H288" s="22">
        <v>14</v>
      </c>
      <c r="I288" s="22">
        <v>49</v>
      </c>
      <c r="J288" s="22">
        <v>237</v>
      </c>
      <c r="K288" s="22">
        <v>467</v>
      </c>
      <c r="L288" s="22">
        <v>197</v>
      </c>
      <c r="M288" s="22">
        <v>577</v>
      </c>
      <c r="N288" s="45">
        <f t="shared" si="611"/>
        <v>418</v>
      </c>
      <c r="O288" s="3">
        <f t="shared" ref="O288" si="678">SUM(B288,D288,F288,H288,J288,L288)</f>
        <v>672</v>
      </c>
      <c r="P288" s="3">
        <f t="shared" ref="P288" si="679">SUM(C288,G288,K288)</f>
        <v>691</v>
      </c>
      <c r="Q288" s="3">
        <f t="shared" ref="Q288" si="680">SUM(C288,E288,G288,I288,K288,M288)</f>
        <v>1594</v>
      </c>
      <c r="R288" s="34">
        <f t="shared" ref="R288" si="681">(N288-N287)/N287</f>
        <v>-0.33333333333333331</v>
      </c>
      <c r="S288" s="32">
        <f t="shared" ref="S288" si="682">N288-N287</f>
        <v>-209</v>
      </c>
      <c r="T288" s="34">
        <f t="shared" ref="T288" si="683">(N288-N236)/N236</f>
        <v>3.9800995024875621E-2</v>
      </c>
      <c r="U288" s="34">
        <f t="shared" ref="U288" si="684">N288/P288</f>
        <v>0.60492040520984081</v>
      </c>
      <c r="V288" s="40">
        <f t="shared" ref="V288" si="685">AVERAGE(B132,B184,B236)</f>
        <v>130.66666666666666</v>
      </c>
      <c r="W288" s="40">
        <f t="shared" ref="W288" si="686">AVERAGE(F132,F184,F236)</f>
        <v>38</v>
      </c>
      <c r="X288" s="40">
        <f t="shared" ref="X288" si="687">AVERAGE(J132,J184,J236)</f>
        <v>194.66666666666666</v>
      </c>
      <c r="Y288" s="40">
        <f t="shared" ref="Y288" si="688">AVERAGE(N132,N184,N236)</f>
        <v>363.33333333333331</v>
      </c>
      <c r="Z288" s="59">
        <f t="shared" si="323"/>
        <v>0.15045871559633034</v>
      </c>
      <c r="AA288" s="36"/>
    </row>
    <row r="289" spans="1:27" ht="16" thickBot="1" x14ac:dyDescent="0.4">
      <c r="A289" s="20">
        <f t="shared" si="130"/>
        <v>40565</v>
      </c>
      <c r="B289" s="22">
        <v>142</v>
      </c>
      <c r="C289" s="22">
        <v>149</v>
      </c>
      <c r="D289" s="22">
        <v>68</v>
      </c>
      <c r="E289" s="22">
        <v>274</v>
      </c>
      <c r="F289" s="22">
        <v>39</v>
      </c>
      <c r="G289" s="22">
        <v>45</v>
      </c>
      <c r="H289" s="22">
        <v>11</v>
      </c>
      <c r="I289" s="22">
        <v>49</v>
      </c>
      <c r="J289" s="22">
        <v>309</v>
      </c>
      <c r="K289" s="22">
        <v>522</v>
      </c>
      <c r="L289" s="22">
        <v>281</v>
      </c>
      <c r="M289" s="22">
        <v>659</v>
      </c>
      <c r="N289" s="45">
        <f t="shared" si="611"/>
        <v>490</v>
      </c>
      <c r="O289" s="3">
        <f t="shared" ref="O289" si="689">SUM(B289,D289,F289,H289,J289,L289)</f>
        <v>850</v>
      </c>
      <c r="P289" s="3">
        <f t="shared" ref="P289" si="690">SUM(C289,G289,K289)</f>
        <v>716</v>
      </c>
      <c r="Q289" s="3">
        <f t="shared" ref="Q289" si="691">SUM(C289,E289,G289,I289,K289,M289)</f>
        <v>1698</v>
      </c>
      <c r="R289" s="34">
        <f t="shared" ref="R289" si="692">(N289-N288)/N288</f>
        <v>0.17224880382775121</v>
      </c>
      <c r="S289" s="32">
        <f t="shared" ref="S289" si="693">N289-N288</f>
        <v>72</v>
      </c>
      <c r="T289" s="34">
        <f t="shared" ref="T289" si="694">(N289-N237)/N237</f>
        <v>0.42441860465116277</v>
      </c>
      <c r="U289" s="34">
        <f t="shared" ref="U289" si="695">N289/P289</f>
        <v>0.68435754189944131</v>
      </c>
      <c r="V289" s="40">
        <f t="shared" ref="V289" si="696">AVERAGE(B133,B185,B237)</f>
        <v>123.33333333333333</v>
      </c>
      <c r="W289" s="40">
        <f t="shared" ref="W289" si="697">AVERAGE(F133,F185,F237)</f>
        <v>20.666666666666668</v>
      </c>
      <c r="X289" s="40">
        <f t="shared" ref="X289" si="698">AVERAGE(J133,J185,J237)</f>
        <v>224.66666666666666</v>
      </c>
      <c r="Y289" s="40">
        <f t="shared" ref="Y289" si="699">AVERAGE(N133,N185,N237)</f>
        <v>368.66666666666669</v>
      </c>
      <c r="Z289" s="59">
        <f t="shared" si="323"/>
        <v>0.32911392405063283</v>
      </c>
      <c r="AA289" s="36"/>
    </row>
    <row r="290" spans="1:27" ht="16" thickBot="1" x14ac:dyDescent="0.4">
      <c r="A290" s="20">
        <f t="shared" si="130"/>
        <v>40572</v>
      </c>
      <c r="B290" s="22">
        <v>153</v>
      </c>
      <c r="C290" s="22">
        <v>183</v>
      </c>
      <c r="D290" s="22">
        <v>40</v>
      </c>
      <c r="E290" s="22">
        <v>282</v>
      </c>
      <c r="F290" s="22">
        <v>26</v>
      </c>
      <c r="G290" s="22">
        <v>37</v>
      </c>
      <c r="H290" s="22">
        <v>16</v>
      </c>
      <c r="I290" s="22">
        <v>52</v>
      </c>
      <c r="J290" s="22">
        <v>167</v>
      </c>
      <c r="K290" s="22">
        <v>423</v>
      </c>
      <c r="L290" s="22">
        <v>311</v>
      </c>
      <c r="M290" s="22">
        <v>660</v>
      </c>
      <c r="N290" s="45">
        <f t="shared" si="611"/>
        <v>346</v>
      </c>
      <c r="O290" s="3">
        <f t="shared" ref="O290" si="700">SUM(B290,D290,F290,H290,J290,L290)</f>
        <v>713</v>
      </c>
      <c r="P290" s="3">
        <f t="shared" ref="P290" si="701">SUM(C290,G290,K290)</f>
        <v>643</v>
      </c>
      <c r="Q290" s="3">
        <f t="shared" ref="Q290" si="702">SUM(C290,E290,G290,I290,K290,M290)</f>
        <v>1637</v>
      </c>
      <c r="R290" s="34">
        <f t="shared" ref="R290" si="703">(N290-N289)/N289</f>
        <v>-0.29387755102040819</v>
      </c>
      <c r="S290" s="32">
        <f t="shared" ref="S290" si="704">N290-N289</f>
        <v>-144</v>
      </c>
      <c r="T290" s="34">
        <f t="shared" ref="T290" si="705">(N290-N238)/N238</f>
        <v>-0.11959287531806616</v>
      </c>
      <c r="U290" s="34">
        <f t="shared" ref="U290" si="706">N290/P290</f>
        <v>0.53810264385692064</v>
      </c>
      <c r="V290" s="40">
        <f t="shared" ref="V290" si="707">AVERAGE(B134,B186,B238)</f>
        <v>138.66666666666666</v>
      </c>
      <c r="W290" s="40">
        <f t="shared" ref="W290" si="708">AVERAGE(F134,F186,F238)</f>
        <v>43.333333333333336</v>
      </c>
      <c r="X290" s="40">
        <f t="shared" ref="X290" si="709">AVERAGE(J134,J186,J238)</f>
        <v>190.66666666666666</v>
      </c>
      <c r="Y290" s="40">
        <f t="shared" ref="Y290" si="710">AVERAGE(N134,N186,N238)</f>
        <v>372.66666666666669</v>
      </c>
      <c r="Z290" s="59">
        <f t="shared" si="323"/>
        <v>-7.155635062611812E-2</v>
      </c>
      <c r="AA290" s="36"/>
    </row>
    <row r="291" spans="1:27" ht="16" thickBot="1" x14ac:dyDescent="0.4">
      <c r="A291" s="20">
        <f t="shared" si="130"/>
        <v>40579</v>
      </c>
      <c r="B291" s="22">
        <v>149</v>
      </c>
      <c r="C291" s="22">
        <v>165</v>
      </c>
      <c r="D291" s="22">
        <v>30</v>
      </c>
      <c r="E291" s="22">
        <v>173</v>
      </c>
      <c r="F291" s="22">
        <v>27</v>
      </c>
      <c r="G291" s="22">
        <v>53</v>
      </c>
      <c r="H291" s="22">
        <v>6</v>
      </c>
      <c r="I291" s="22">
        <v>48</v>
      </c>
      <c r="J291" s="22">
        <v>270</v>
      </c>
      <c r="K291" s="22">
        <v>573</v>
      </c>
      <c r="L291" s="22">
        <v>341</v>
      </c>
      <c r="M291" s="22">
        <v>764</v>
      </c>
      <c r="N291" s="45">
        <f t="shared" si="611"/>
        <v>446</v>
      </c>
      <c r="O291" s="3">
        <f t="shared" ref="O291" si="711">SUM(B291,D291,F291,H291,J291,L291)</f>
        <v>823</v>
      </c>
      <c r="P291" s="3">
        <f t="shared" ref="P291" si="712">SUM(C291,G291,K291)</f>
        <v>791</v>
      </c>
      <c r="Q291" s="3">
        <f t="shared" ref="Q291" si="713">SUM(C291,E291,G291,I291,K291,M291)</f>
        <v>1776</v>
      </c>
      <c r="R291" s="34">
        <f t="shared" ref="R291" si="714">(N291-N290)/N290</f>
        <v>0.28901734104046245</v>
      </c>
      <c r="S291" s="32">
        <f t="shared" ref="S291" si="715">N291-N290</f>
        <v>100</v>
      </c>
      <c r="T291" s="34">
        <f t="shared" ref="T291" si="716">(N291-N239)/N239</f>
        <v>-0.108</v>
      </c>
      <c r="U291" s="34">
        <f t="shared" ref="U291" si="717">N291/P291</f>
        <v>0.5638432364096081</v>
      </c>
      <c r="V291" s="40">
        <f t="shared" ref="V291" si="718">AVERAGE(B135,B187,B239)</f>
        <v>232</v>
      </c>
      <c r="W291" s="40">
        <f t="shared" ref="W291" si="719">AVERAGE(F135,F187,F239)</f>
        <v>36.666666666666664</v>
      </c>
      <c r="X291" s="40">
        <f t="shared" ref="X291" si="720">AVERAGE(J135,J187,J239)</f>
        <v>185.33333333333334</v>
      </c>
      <c r="Y291" s="40">
        <f t="shared" ref="Y291" si="721">AVERAGE(N135,N187,N239)</f>
        <v>454</v>
      </c>
      <c r="Z291" s="59">
        <f t="shared" si="323"/>
        <v>-1.7621145374449341E-2</v>
      </c>
      <c r="AA291" s="36"/>
    </row>
    <row r="292" spans="1:27" ht="16" thickBot="1" x14ac:dyDescent="0.4">
      <c r="A292" s="20">
        <f t="shared" ref="A292:A430" si="722">7+A291</f>
        <v>40586</v>
      </c>
      <c r="B292" s="22">
        <v>179</v>
      </c>
      <c r="C292" s="22">
        <v>207</v>
      </c>
      <c r="D292" s="22">
        <v>23</v>
      </c>
      <c r="E292" s="22">
        <v>160</v>
      </c>
      <c r="F292" s="22">
        <v>35</v>
      </c>
      <c r="G292" s="22">
        <v>51</v>
      </c>
      <c r="H292" s="22">
        <v>5</v>
      </c>
      <c r="I292" s="22">
        <v>37</v>
      </c>
      <c r="J292" s="22">
        <v>175</v>
      </c>
      <c r="K292" s="22">
        <v>450</v>
      </c>
      <c r="L292" s="22">
        <v>349</v>
      </c>
      <c r="M292" s="22">
        <v>805</v>
      </c>
      <c r="N292" s="45">
        <f t="shared" si="611"/>
        <v>389</v>
      </c>
      <c r="O292" s="3">
        <f t="shared" ref="O292" si="723">SUM(B292,D292,F292,H292,J292,L292)</f>
        <v>766</v>
      </c>
      <c r="P292" s="3">
        <f t="shared" ref="P292" si="724">SUM(C292,G292,K292)</f>
        <v>708</v>
      </c>
      <c r="Q292" s="3">
        <f t="shared" ref="Q292" si="725">SUM(C292,E292,G292,I292,K292,M292)</f>
        <v>1710</v>
      </c>
      <c r="R292" s="34">
        <f t="shared" ref="R292" si="726">(N292-N291)/N291</f>
        <v>-0.12780269058295965</v>
      </c>
      <c r="S292" s="32">
        <f t="shared" ref="S292" si="727">N292-N291</f>
        <v>-57</v>
      </c>
      <c r="T292" s="34">
        <f t="shared" ref="T292" si="728">(N292-N240)/N240</f>
        <v>-0.35808580858085809</v>
      </c>
      <c r="U292" s="34">
        <f t="shared" ref="U292" si="729">N292/P292</f>
        <v>0.54943502824858759</v>
      </c>
      <c r="V292" s="40">
        <f t="shared" ref="V292" si="730">AVERAGE(B136,B188,B240)</f>
        <v>236.33333333333334</v>
      </c>
      <c r="W292" s="40">
        <f t="shared" ref="W292" si="731">AVERAGE(F136,F188,F240)</f>
        <v>50.666666666666664</v>
      </c>
      <c r="X292" s="40">
        <f t="shared" ref="X292" si="732">AVERAGE(J136,J188,J240)</f>
        <v>228</v>
      </c>
      <c r="Y292" s="40">
        <f t="shared" ref="Y292" si="733">AVERAGE(N136,N188,N240)</f>
        <v>515</v>
      </c>
      <c r="Z292" s="59">
        <f t="shared" si="323"/>
        <v>-0.24466019417475729</v>
      </c>
      <c r="AA292" s="36"/>
    </row>
    <row r="293" spans="1:27" ht="16" thickBot="1" x14ac:dyDescent="0.4">
      <c r="A293" s="20">
        <f t="shared" si="722"/>
        <v>40593</v>
      </c>
      <c r="B293" s="22">
        <v>266</v>
      </c>
      <c r="C293" s="22">
        <v>290</v>
      </c>
      <c r="D293" s="22">
        <v>59</v>
      </c>
      <c r="E293" s="22">
        <v>321</v>
      </c>
      <c r="F293" s="22">
        <v>21</v>
      </c>
      <c r="G293" s="22">
        <v>31</v>
      </c>
      <c r="H293" s="22">
        <v>8</v>
      </c>
      <c r="I293" s="22">
        <v>67</v>
      </c>
      <c r="J293" s="22">
        <v>247</v>
      </c>
      <c r="K293" s="22">
        <v>444</v>
      </c>
      <c r="L293" s="22">
        <v>266</v>
      </c>
      <c r="M293" s="22">
        <v>685</v>
      </c>
      <c r="N293" s="45">
        <f t="shared" si="611"/>
        <v>534</v>
      </c>
      <c r="O293" s="3">
        <f t="shared" ref="O293:O296" si="734">SUM(B293,D293,F293,H293,J293,L293)</f>
        <v>867</v>
      </c>
      <c r="P293" s="3">
        <f t="shared" ref="P293:P296" si="735">SUM(C293,G293,K293)</f>
        <v>765</v>
      </c>
      <c r="Q293" s="3">
        <f t="shared" ref="Q293:Q296" si="736">SUM(C293,E293,G293,I293,K293,M293)</f>
        <v>1838</v>
      </c>
      <c r="R293" s="34">
        <f t="shared" ref="R293" si="737">(N293-N292)/N292</f>
        <v>0.37275064267352187</v>
      </c>
      <c r="S293" s="32">
        <f t="shared" ref="S293" si="738">N293-N292</f>
        <v>145</v>
      </c>
      <c r="T293" s="34">
        <f t="shared" ref="T293" si="739">(N293-N241)/N241</f>
        <v>5.6497175141242938E-3</v>
      </c>
      <c r="U293" s="34">
        <f t="shared" ref="U293" si="740">N293/P293</f>
        <v>0.69803921568627447</v>
      </c>
      <c r="V293" s="40">
        <f t="shared" ref="V293" si="741">AVERAGE(B137,B189,B241)</f>
        <v>256.66666666666669</v>
      </c>
      <c r="W293" s="40">
        <f t="shared" ref="W293" si="742">AVERAGE(F137,F189,F241)</f>
        <v>42.333333333333336</v>
      </c>
      <c r="X293" s="40">
        <f t="shared" ref="X293" si="743">AVERAGE(J137,J189,J241)</f>
        <v>247.33333333333334</v>
      </c>
      <c r="Y293" s="40">
        <f t="shared" ref="Y293" si="744">AVERAGE(N137,N189,N241)</f>
        <v>546.33333333333337</v>
      </c>
      <c r="Z293" s="59">
        <f t="shared" ref="Z293" si="745">(N293-Y293)/Y293</f>
        <v>-2.2574740695546134E-2</v>
      </c>
      <c r="AA293" s="36"/>
    </row>
    <row r="294" spans="1:27" ht="16" thickBot="1" x14ac:dyDescent="0.4">
      <c r="A294" s="20">
        <f t="shared" si="722"/>
        <v>40600</v>
      </c>
      <c r="B294" s="22">
        <v>259</v>
      </c>
      <c r="C294" s="22">
        <v>294</v>
      </c>
      <c r="D294" s="22">
        <v>97</v>
      </c>
      <c r="E294" s="22">
        <v>368</v>
      </c>
      <c r="F294" s="22">
        <v>14</v>
      </c>
      <c r="G294" s="22">
        <v>32</v>
      </c>
      <c r="H294" s="22">
        <v>5</v>
      </c>
      <c r="I294" s="22">
        <v>42</v>
      </c>
      <c r="J294" s="22">
        <v>301</v>
      </c>
      <c r="K294" s="22">
        <v>657</v>
      </c>
      <c r="L294" s="22">
        <v>285</v>
      </c>
      <c r="M294" s="22">
        <v>705</v>
      </c>
      <c r="N294" s="45">
        <f t="shared" si="611"/>
        <v>574</v>
      </c>
      <c r="O294" s="3">
        <f t="shared" si="734"/>
        <v>961</v>
      </c>
      <c r="P294" s="3">
        <f t="shared" si="735"/>
        <v>983</v>
      </c>
      <c r="Q294" s="3">
        <f t="shared" si="736"/>
        <v>2098</v>
      </c>
      <c r="R294" s="34">
        <f t="shared" ref="R294" si="746">(N294-N293)/N293</f>
        <v>7.4906367041198504E-2</v>
      </c>
      <c r="S294" s="32">
        <f t="shared" ref="S294" si="747">N294-N293</f>
        <v>40</v>
      </c>
      <c r="T294" s="34">
        <f t="shared" ref="T294" si="748">(N294-N242)/N242</f>
        <v>0.22912205567451821</v>
      </c>
      <c r="U294" s="34">
        <f t="shared" ref="U294" si="749">N294/P294</f>
        <v>0.58392675483214651</v>
      </c>
      <c r="V294" s="40">
        <f t="shared" ref="V294" si="750">AVERAGE(B138,B190,B242)</f>
        <v>316.66666666666669</v>
      </c>
      <c r="W294" s="40">
        <f t="shared" ref="W294" si="751">AVERAGE(F138,F190,F242)</f>
        <v>33</v>
      </c>
      <c r="X294" s="40">
        <f t="shared" ref="X294" si="752">AVERAGE(J138,J190,J242)</f>
        <v>176.66666666666666</v>
      </c>
      <c r="Y294" s="40">
        <f t="shared" ref="Y294" si="753">AVERAGE(N138,N190,N242)</f>
        <v>526.33333333333337</v>
      </c>
      <c r="Z294" s="59">
        <f t="shared" ref="Z294" si="754">(N294-Y294)/Y294</f>
        <v>9.0563647878403972E-2</v>
      </c>
      <c r="AA294" s="36"/>
    </row>
    <row r="295" spans="1:27" ht="16" thickBot="1" x14ac:dyDescent="0.4">
      <c r="A295" s="20">
        <f t="shared" si="722"/>
        <v>40607</v>
      </c>
      <c r="B295" s="22">
        <v>279</v>
      </c>
      <c r="C295" s="22">
        <v>300</v>
      </c>
      <c r="D295" s="22">
        <v>59</v>
      </c>
      <c r="E295" s="22">
        <v>249</v>
      </c>
      <c r="F295" s="22">
        <v>26</v>
      </c>
      <c r="G295" s="22">
        <v>35</v>
      </c>
      <c r="H295" s="22">
        <v>7</v>
      </c>
      <c r="I295" s="22">
        <v>63</v>
      </c>
      <c r="J295" s="22">
        <v>163</v>
      </c>
      <c r="K295" s="22">
        <v>345</v>
      </c>
      <c r="L295" s="22">
        <v>166</v>
      </c>
      <c r="M295" s="22">
        <v>417</v>
      </c>
      <c r="N295" s="45">
        <f t="shared" si="611"/>
        <v>468</v>
      </c>
      <c r="O295" s="3">
        <f t="shared" si="734"/>
        <v>700</v>
      </c>
      <c r="P295" s="3">
        <f t="shared" si="735"/>
        <v>680</v>
      </c>
      <c r="Q295" s="3">
        <f t="shared" si="736"/>
        <v>1409</v>
      </c>
      <c r="R295" s="34">
        <f t="shared" ref="R295" si="755">(N295-N294)/N294</f>
        <v>-0.18466898954703834</v>
      </c>
      <c r="S295" s="32">
        <f t="shared" ref="S295" si="756">N295-N294</f>
        <v>-106</v>
      </c>
      <c r="T295" s="34">
        <f t="shared" ref="T295" si="757">(N295-N243)/N243</f>
        <v>-0.3408450704225352</v>
      </c>
      <c r="U295" s="34">
        <f t="shared" ref="U295" si="758">N295/P295</f>
        <v>0.68823529411764706</v>
      </c>
      <c r="V295" s="40">
        <f t="shared" ref="V295" si="759">AVERAGE(B139,B191,B243)</f>
        <v>384</v>
      </c>
      <c r="W295" s="40">
        <f t="shared" ref="W295" si="760">AVERAGE(F139,F191,F243)</f>
        <v>16</v>
      </c>
      <c r="X295" s="40">
        <f t="shared" ref="X295" si="761">AVERAGE(J139,J191,J243)</f>
        <v>213.66666666666666</v>
      </c>
      <c r="Y295" s="40">
        <f t="shared" ref="Y295" si="762">AVERAGE(N139,N191,N243)</f>
        <v>613.66666666666663</v>
      </c>
      <c r="Z295" s="59">
        <f t="shared" ref="Z295" si="763">(N295-Y295)/Y295</f>
        <v>-0.23737099402498638</v>
      </c>
      <c r="AA295" s="36"/>
    </row>
    <row r="296" spans="1:27" ht="16" thickBot="1" x14ac:dyDescent="0.4">
      <c r="A296" s="20">
        <f t="shared" si="722"/>
        <v>40614</v>
      </c>
      <c r="B296" s="22">
        <v>382</v>
      </c>
      <c r="C296" s="22">
        <v>430</v>
      </c>
      <c r="D296" s="22">
        <v>65</v>
      </c>
      <c r="E296" s="22">
        <v>365</v>
      </c>
      <c r="F296" s="22">
        <v>23</v>
      </c>
      <c r="G296" s="22">
        <v>52</v>
      </c>
      <c r="H296" s="22">
        <v>12</v>
      </c>
      <c r="I296" s="22">
        <v>82</v>
      </c>
      <c r="J296" s="22">
        <v>168</v>
      </c>
      <c r="K296" s="22">
        <v>328</v>
      </c>
      <c r="L296" s="22">
        <v>205</v>
      </c>
      <c r="M296" s="22">
        <v>432</v>
      </c>
      <c r="N296" s="45">
        <f t="shared" si="611"/>
        <v>573</v>
      </c>
      <c r="O296" s="3">
        <f t="shared" si="734"/>
        <v>855</v>
      </c>
      <c r="P296" s="3">
        <f t="shared" si="735"/>
        <v>810</v>
      </c>
      <c r="Q296" s="3">
        <f t="shared" si="736"/>
        <v>1689</v>
      </c>
      <c r="R296" s="34">
        <f t="shared" ref="R296" si="764">(N296-N295)/N295</f>
        <v>0.22435897435897437</v>
      </c>
      <c r="S296" s="32">
        <f t="shared" ref="S296" si="765">N296-N295</f>
        <v>105</v>
      </c>
      <c r="T296" s="34">
        <f t="shared" ref="T296" si="766">(N296-N244)/N244</f>
        <v>-2.0512820512820513E-2</v>
      </c>
      <c r="U296" s="34">
        <f t="shared" ref="U296" si="767">N296/P296</f>
        <v>0.70740740740740737</v>
      </c>
      <c r="V296" s="40">
        <f t="shared" ref="V296" si="768">AVERAGE(B140,B192,B244)</f>
        <v>298.66666666666669</v>
      </c>
      <c r="W296" s="40">
        <f t="shared" ref="W296" si="769">AVERAGE(F140,F192,F244)</f>
        <v>41.666666666666664</v>
      </c>
      <c r="X296" s="40">
        <f t="shared" ref="X296" si="770">AVERAGE(J140,J192,J244)</f>
        <v>242.33333333333334</v>
      </c>
      <c r="Y296" s="40">
        <f t="shared" ref="Y296" si="771">AVERAGE(N140,N192,N244)</f>
        <v>582.66666666666663</v>
      </c>
      <c r="Z296" s="59">
        <f t="shared" ref="Z296" si="772">(N296-Y296)/Y296</f>
        <v>-1.6590389016018243E-2</v>
      </c>
      <c r="AA296" s="36"/>
    </row>
    <row r="297" spans="1:27" ht="16" thickBot="1" x14ac:dyDescent="0.4">
      <c r="A297" s="20">
        <f t="shared" si="722"/>
        <v>40621</v>
      </c>
      <c r="B297" s="22">
        <v>471</v>
      </c>
      <c r="C297" s="22">
        <v>515</v>
      </c>
      <c r="D297" s="22">
        <v>63</v>
      </c>
      <c r="E297" s="22">
        <v>413</v>
      </c>
      <c r="F297" s="22">
        <v>27</v>
      </c>
      <c r="G297" s="22">
        <v>41</v>
      </c>
      <c r="H297" s="22">
        <v>4</v>
      </c>
      <c r="I297" s="22">
        <v>50</v>
      </c>
      <c r="J297" s="22">
        <v>216</v>
      </c>
      <c r="K297" s="22">
        <v>361</v>
      </c>
      <c r="L297" s="22">
        <v>142</v>
      </c>
      <c r="M297" s="22">
        <v>349</v>
      </c>
      <c r="N297" s="45">
        <f t="shared" si="611"/>
        <v>714</v>
      </c>
      <c r="O297" s="3">
        <f t="shared" ref="O297:O301" si="773">SUM(B297,D297,F297,H297,J297,L297)</f>
        <v>923</v>
      </c>
      <c r="P297" s="3">
        <f t="shared" ref="P297:P300" si="774">SUM(C297,G297,K297)</f>
        <v>917</v>
      </c>
      <c r="Q297" s="3">
        <f t="shared" ref="Q297:Q300" si="775">SUM(C297,E297,G297,I297,K297,M297)</f>
        <v>1729</v>
      </c>
      <c r="R297" s="34">
        <f t="shared" ref="R297" si="776">(N297-N296)/N296</f>
        <v>0.24607329842931938</v>
      </c>
      <c r="S297" s="32">
        <f t="shared" ref="S297" si="777">N297-N296</f>
        <v>141</v>
      </c>
      <c r="T297" s="34">
        <f t="shared" ref="T297" si="778">(N297-N245)/N245</f>
        <v>0.54211663066954641</v>
      </c>
      <c r="U297" s="34">
        <f t="shared" ref="U297" si="779">N297/P297</f>
        <v>0.77862595419847325</v>
      </c>
      <c r="V297" s="40">
        <f t="shared" ref="V297" si="780">AVERAGE(B141,B193,B245)</f>
        <v>308.33333333333331</v>
      </c>
      <c r="W297" s="40">
        <f t="shared" ref="W297" si="781">AVERAGE(F141,F193,F245)</f>
        <v>31</v>
      </c>
      <c r="X297" s="40">
        <f t="shared" ref="X297" si="782">AVERAGE(J141,J193,J245)</f>
        <v>180.66666666666666</v>
      </c>
      <c r="Y297" s="40">
        <f t="shared" ref="Y297" si="783">AVERAGE(N141,N193,N245)</f>
        <v>520</v>
      </c>
      <c r="Z297" s="59">
        <f t="shared" ref="Z297" si="784">(N297-Y297)/Y297</f>
        <v>0.37307692307692308</v>
      </c>
      <c r="AA297" s="36"/>
    </row>
    <row r="298" spans="1:27" ht="16" thickBot="1" x14ac:dyDescent="0.4">
      <c r="A298" s="20">
        <f t="shared" si="722"/>
        <v>40628</v>
      </c>
      <c r="B298" s="22">
        <v>288</v>
      </c>
      <c r="C298" s="22">
        <v>328</v>
      </c>
      <c r="D298" s="22">
        <v>27</v>
      </c>
      <c r="E298" s="22">
        <v>372</v>
      </c>
      <c r="F298" s="22">
        <v>19</v>
      </c>
      <c r="G298" s="22">
        <v>29</v>
      </c>
      <c r="H298" s="22">
        <v>12</v>
      </c>
      <c r="I298" s="22">
        <v>73</v>
      </c>
      <c r="J298" s="22">
        <v>167</v>
      </c>
      <c r="K298" s="22">
        <v>415</v>
      </c>
      <c r="L298" s="22">
        <v>235</v>
      </c>
      <c r="M298" s="22">
        <v>538</v>
      </c>
      <c r="N298" s="45">
        <f t="shared" si="611"/>
        <v>474</v>
      </c>
      <c r="O298" s="22">
        <f t="shared" si="773"/>
        <v>748</v>
      </c>
      <c r="P298" s="22">
        <f t="shared" si="774"/>
        <v>772</v>
      </c>
      <c r="Q298" s="22">
        <f t="shared" si="775"/>
        <v>1755</v>
      </c>
      <c r="R298" s="34">
        <f t="shared" ref="R298" si="785">(N298-N297)/N297</f>
        <v>-0.33613445378151263</v>
      </c>
      <c r="S298" s="32">
        <f t="shared" ref="S298" si="786">N298-N297</f>
        <v>-240</v>
      </c>
      <c r="T298" s="34">
        <f t="shared" ref="T298" si="787">(N298-N246)/N246</f>
        <v>0.1366906474820144</v>
      </c>
      <c r="U298" s="34">
        <f t="shared" ref="U298" si="788">N298/P298</f>
        <v>0.61398963730569944</v>
      </c>
      <c r="V298" s="40">
        <f t="shared" ref="V298" si="789">AVERAGE(B142,B194,B246)</f>
        <v>326</v>
      </c>
      <c r="W298" s="40">
        <f t="shared" ref="W298" si="790">AVERAGE(F142,F194,F246)</f>
        <v>19</v>
      </c>
      <c r="X298" s="40">
        <f t="shared" ref="X298" si="791">AVERAGE(J142,J194,J246)</f>
        <v>186.66666666666666</v>
      </c>
      <c r="Y298" s="40">
        <f t="shared" ref="Y298" si="792">AVERAGE(N142,N194,N246)</f>
        <v>531.66666666666663</v>
      </c>
      <c r="Z298" s="59">
        <f t="shared" ref="Z298" si="793">(N298-Y298)/Y298</f>
        <v>-0.10846394984326012</v>
      </c>
      <c r="AA298" s="36"/>
    </row>
    <row r="299" spans="1:27" ht="16" thickBot="1" x14ac:dyDescent="0.4">
      <c r="A299" s="20">
        <f t="shared" si="722"/>
        <v>40635</v>
      </c>
      <c r="B299" s="22">
        <v>306</v>
      </c>
      <c r="C299" s="22">
        <v>379</v>
      </c>
      <c r="D299" s="22">
        <v>75</v>
      </c>
      <c r="E299" s="22">
        <v>448</v>
      </c>
      <c r="F299" s="22">
        <v>24</v>
      </c>
      <c r="G299" s="22">
        <v>43</v>
      </c>
      <c r="H299" s="22">
        <v>12</v>
      </c>
      <c r="I299" s="22">
        <v>76</v>
      </c>
      <c r="J299" s="22">
        <v>198</v>
      </c>
      <c r="K299" s="22">
        <v>426</v>
      </c>
      <c r="L299" s="22">
        <v>331</v>
      </c>
      <c r="M299" s="22">
        <v>728</v>
      </c>
      <c r="N299" s="45">
        <f t="shared" si="611"/>
        <v>528</v>
      </c>
      <c r="O299" s="22">
        <f t="shared" si="773"/>
        <v>946</v>
      </c>
      <c r="P299" s="22">
        <f t="shared" si="774"/>
        <v>848</v>
      </c>
      <c r="Q299" s="22">
        <f t="shared" si="775"/>
        <v>2100</v>
      </c>
      <c r="R299" s="34">
        <f t="shared" ref="R299" si="794">(N299-N298)/N298</f>
        <v>0.11392405063291139</v>
      </c>
      <c r="S299" s="32">
        <f t="shared" ref="S299:S304" si="795">N299-N298</f>
        <v>54</v>
      </c>
      <c r="T299" s="34">
        <f t="shared" ref="T299" si="796">(N299-N247)/N247</f>
        <v>-0.26256983240223464</v>
      </c>
      <c r="U299" s="34">
        <f t="shared" ref="U299" si="797">N299/P299</f>
        <v>0.62264150943396224</v>
      </c>
      <c r="V299" s="40">
        <f t="shared" ref="V299" si="798">AVERAGE(B143,B195,B247)</f>
        <v>397</v>
      </c>
      <c r="W299" s="40">
        <f t="shared" ref="W299" si="799">AVERAGE(F143,F195,F247)</f>
        <v>18.333333333333332</v>
      </c>
      <c r="X299" s="40">
        <f t="shared" ref="X299" si="800">AVERAGE(J143,J195,J247)</f>
        <v>260.33333333333331</v>
      </c>
      <c r="Y299" s="40">
        <f t="shared" ref="Y299" si="801">AVERAGE(N143,N195,N247)</f>
        <v>675.66666666666663</v>
      </c>
      <c r="Z299" s="59">
        <f t="shared" ref="Z299" si="802">(N299-Y299)/Y299</f>
        <v>-0.21854958066107544</v>
      </c>
      <c r="AA299" s="36"/>
    </row>
    <row r="300" spans="1:27" ht="16" thickBot="1" x14ac:dyDescent="0.4">
      <c r="A300" s="20">
        <f t="shared" si="722"/>
        <v>40642</v>
      </c>
      <c r="B300" s="22">
        <v>326</v>
      </c>
      <c r="C300" s="22">
        <v>385</v>
      </c>
      <c r="D300" s="22">
        <v>61</v>
      </c>
      <c r="E300" s="22">
        <v>330</v>
      </c>
      <c r="F300" s="22">
        <v>12</v>
      </c>
      <c r="G300" s="22">
        <v>34</v>
      </c>
      <c r="H300" s="22">
        <v>8</v>
      </c>
      <c r="I300" s="22">
        <v>33</v>
      </c>
      <c r="J300" s="22">
        <v>291</v>
      </c>
      <c r="K300" s="22">
        <v>572</v>
      </c>
      <c r="L300" s="22">
        <v>279</v>
      </c>
      <c r="M300" s="22">
        <v>584</v>
      </c>
      <c r="N300" s="45">
        <f t="shared" si="611"/>
        <v>629</v>
      </c>
      <c r="O300" s="22">
        <f t="shared" si="773"/>
        <v>977</v>
      </c>
      <c r="P300" s="22">
        <f t="shared" si="774"/>
        <v>991</v>
      </c>
      <c r="Q300" s="22">
        <f t="shared" si="775"/>
        <v>1938</v>
      </c>
      <c r="R300" s="34">
        <f t="shared" ref="R300" si="803">(N300-N299)/N299</f>
        <v>0.19128787878787878</v>
      </c>
      <c r="S300" s="32">
        <f t="shared" si="795"/>
        <v>101</v>
      </c>
      <c r="T300" s="34">
        <f t="shared" ref="T300" si="804">(N300-N248)/N248</f>
        <v>-9.7560975609756101E-2</v>
      </c>
      <c r="U300" s="34">
        <f t="shared" ref="U300" si="805">N300/P300</f>
        <v>0.63471241170534809</v>
      </c>
      <c r="V300" s="40">
        <f t="shared" ref="V300" si="806">AVERAGE(B144,B196,B248)</f>
        <v>380.33333333333331</v>
      </c>
      <c r="W300" s="40">
        <f t="shared" ref="W300" si="807">AVERAGE(F144,F196,F248)</f>
        <v>24.666666666666668</v>
      </c>
      <c r="X300" s="40">
        <f t="shared" ref="X300" si="808">AVERAGE(J144,J196,J248)</f>
        <v>215.33333333333334</v>
      </c>
      <c r="Y300" s="40">
        <f t="shared" ref="Y300" si="809">AVERAGE(N144,N196,N248)</f>
        <v>620.33333333333337</v>
      </c>
      <c r="Z300" s="59">
        <f t="shared" ref="Z300" si="810">(N300-Y300)/Y300</f>
        <v>1.397098334228903E-2</v>
      </c>
      <c r="AA300" s="36"/>
    </row>
    <row r="301" spans="1:27" ht="16" thickBot="1" x14ac:dyDescent="0.4">
      <c r="A301" s="20">
        <f t="shared" si="722"/>
        <v>40649</v>
      </c>
      <c r="B301" s="22">
        <v>298</v>
      </c>
      <c r="C301" s="22">
        <v>343</v>
      </c>
      <c r="D301" s="22">
        <v>80</v>
      </c>
      <c r="E301" s="22">
        <v>429</v>
      </c>
      <c r="F301" s="22">
        <v>10</v>
      </c>
      <c r="G301" s="22">
        <v>33</v>
      </c>
      <c r="H301" s="22">
        <v>12</v>
      </c>
      <c r="I301" s="22">
        <v>51</v>
      </c>
      <c r="J301" s="22">
        <v>258</v>
      </c>
      <c r="K301" s="22">
        <v>514</v>
      </c>
      <c r="L301" s="22">
        <v>270</v>
      </c>
      <c r="M301" s="22">
        <v>515</v>
      </c>
      <c r="N301" s="45">
        <f t="shared" si="611"/>
        <v>566</v>
      </c>
      <c r="O301" s="22">
        <f t="shared" si="773"/>
        <v>928</v>
      </c>
      <c r="P301" s="22">
        <f t="shared" ref="P301" si="811">SUM(C301,G301,K301)</f>
        <v>890</v>
      </c>
      <c r="Q301" s="22">
        <f t="shared" ref="Q301" si="812">SUM(C301,E301,G301,I301,K301,M301)</f>
        <v>1885</v>
      </c>
      <c r="R301" s="34">
        <f t="shared" ref="R301" si="813">(N301-N300)/N300</f>
        <v>-0.10015898251192369</v>
      </c>
      <c r="S301" s="32">
        <f t="shared" si="795"/>
        <v>-63</v>
      </c>
      <c r="T301" s="34">
        <f t="shared" ref="T301" si="814">(N301-N249)/N249</f>
        <v>-0.17612809315866085</v>
      </c>
      <c r="U301" s="34">
        <f t="shared" ref="U301" si="815">N301/P301</f>
        <v>0.63595505617977532</v>
      </c>
      <c r="V301" s="40">
        <f t="shared" ref="V301" si="816">AVERAGE(B145,B197,B249)</f>
        <v>388</v>
      </c>
      <c r="W301" s="40">
        <f t="shared" ref="W301" si="817">AVERAGE(F145,F197,F249)</f>
        <v>9.6666666666666661</v>
      </c>
      <c r="X301" s="40">
        <f t="shared" ref="X301" si="818">AVERAGE(J145,J197,J249)</f>
        <v>232.33333333333334</v>
      </c>
      <c r="Y301" s="40">
        <f t="shared" ref="Y301" si="819">AVERAGE(N145,N197,N249)</f>
        <v>630</v>
      </c>
      <c r="Z301" s="59">
        <f t="shared" ref="Z301" si="820">(N301-Y301)/Y301</f>
        <v>-0.10158730158730159</v>
      </c>
      <c r="AA301" s="36"/>
    </row>
    <row r="302" spans="1:27" ht="16" thickBot="1" x14ac:dyDescent="0.4">
      <c r="A302" s="20">
        <f t="shared" si="722"/>
        <v>40656</v>
      </c>
      <c r="B302" s="22">
        <v>248</v>
      </c>
      <c r="C302" s="22">
        <v>292</v>
      </c>
      <c r="D302" s="22">
        <v>48</v>
      </c>
      <c r="E302" s="22">
        <v>294</v>
      </c>
      <c r="F302" s="22">
        <v>8</v>
      </c>
      <c r="G302" s="22">
        <v>24</v>
      </c>
      <c r="H302" s="22">
        <v>17</v>
      </c>
      <c r="I302" s="22">
        <v>67</v>
      </c>
      <c r="J302" s="22">
        <v>282</v>
      </c>
      <c r="K302" s="22">
        <v>410</v>
      </c>
      <c r="L302" s="22">
        <v>185</v>
      </c>
      <c r="M302" s="22">
        <v>384</v>
      </c>
      <c r="N302" s="45">
        <f t="shared" si="611"/>
        <v>538</v>
      </c>
      <c r="O302" s="22">
        <f t="shared" ref="O302" si="821">SUM(B302,D302,F302,H302,J302,L302)</f>
        <v>788</v>
      </c>
      <c r="P302" s="22">
        <f t="shared" ref="P302" si="822">SUM(C302,G302,K302)</f>
        <v>726</v>
      </c>
      <c r="Q302" s="22">
        <f t="shared" ref="Q302" si="823">SUM(C302,E302,G302,I302,K302,M302)</f>
        <v>1471</v>
      </c>
      <c r="R302" s="34">
        <f t="shared" ref="R302" si="824">(N302-N301)/N301</f>
        <v>-4.9469964664310952E-2</v>
      </c>
      <c r="S302" s="32">
        <f t="shared" si="795"/>
        <v>-28</v>
      </c>
      <c r="T302" s="34">
        <f t="shared" ref="T302" si="825">(N302-N250)/N250</f>
        <v>-9.7315436241610737E-2</v>
      </c>
      <c r="U302" s="34">
        <f t="shared" ref="U302" si="826">N302/P302</f>
        <v>0.74104683195592291</v>
      </c>
      <c r="V302" s="40">
        <f t="shared" ref="V302" si="827">AVERAGE(B146,B198,B250)</f>
        <v>304</v>
      </c>
      <c r="W302" s="40">
        <f t="shared" ref="W302" si="828">AVERAGE(F146,F198,F250)</f>
        <v>26.333333333333332</v>
      </c>
      <c r="X302" s="40">
        <f t="shared" ref="X302" si="829">AVERAGE(J146,J198,J250)</f>
        <v>202.66666666666666</v>
      </c>
      <c r="Y302" s="40">
        <f t="shared" ref="Y302" si="830">AVERAGE(N146,N198,N250)</f>
        <v>533</v>
      </c>
      <c r="Z302" s="59">
        <f t="shared" ref="Z302" si="831">(N302-Y302)/Y302</f>
        <v>9.3808630393996256E-3</v>
      </c>
      <c r="AA302" s="36"/>
    </row>
    <row r="303" spans="1:27" ht="16" thickBot="1" x14ac:dyDescent="0.4">
      <c r="A303" s="20">
        <f t="shared" si="722"/>
        <v>40663</v>
      </c>
      <c r="B303" s="22">
        <v>216</v>
      </c>
      <c r="C303" s="22">
        <v>263</v>
      </c>
      <c r="D303" s="22">
        <v>40</v>
      </c>
      <c r="E303" s="22">
        <v>215</v>
      </c>
      <c r="F303" s="22">
        <v>2</v>
      </c>
      <c r="G303" s="22">
        <v>18</v>
      </c>
      <c r="H303" s="22">
        <v>4</v>
      </c>
      <c r="I303" s="22">
        <v>13</v>
      </c>
      <c r="J303" s="22">
        <v>183</v>
      </c>
      <c r="K303" s="22">
        <v>227</v>
      </c>
      <c r="L303" s="22">
        <v>116</v>
      </c>
      <c r="M303" s="22">
        <v>297</v>
      </c>
      <c r="N303" s="45">
        <f t="shared" si="611"/>
        <v>401</v>
      </c>
      <c r="O303" s="22">
        <f t="shared" ref="O303" si="832">SUM(B303,D303,F303,H303,J303,L303)</f>
        <v>561</v>
      </c>
      <c r="P303" s="22">
        <f t="shared" ref="P303" si="833">SUM(C303,G303,K303)</f>
        <v>508</v>
      </c>
      <c r="Q303" s="22">
        <f t="shared" ref="Q303" si="834">SUM(C303,E303,G303,I303,K303,M303)</f>
        <v>1033</v>
      </c>
      <c r="R303" s="34">
        <f t="shared" ref="R303" si="835">(N303-N302)/N302</f>
        <v>-0.25464684014869887</v>
      </c>
      <c r="S303" s="32">
        <f t="shared" si="795"/>
        <v>-137</v>
      </c>
      <c r="T303" s="34">
        <f t="shared" ref="T303" si="836">(N303-N251)/N251</f>
        <v>-0.3563402889245586</v>
      </c>
      <c r="U303" s="34">
        <f t="shared" ref="U303" si="837">N303/P303</f>
        <v>0.78937007874015752</v>
      </c>
      <c r="V303" s="40">
        <f t="shared" ref="V303" si="838">AVERAGE(B147,B199,B251)</f>
        <v>306.66666666666669</v>
      </c>
      <c r="W303" s="40">
        <f t="shared" ref="W303" si="839">AVERAGE(F147,F199,F251)</f>
        <v>20</v>
      </c>
      <c r="X303" s="40">
        <f t="shared" ref="X303" si="840">AVERAGE(J147,J199,J251)</f>
        <v>191</v>
      </c>
      <c r="Y303" s="40">
        <f t="shared" ref="Y303" si="841">AVERAGE(N147,N199,N251)</f>
        <v>517.66666666666663</v>
      </c>
      <c r="Z303" s="59">
        <f t="shared" ref="Z303" si="842">(N303-Y303)/Y303</f>
        <v>-0.22537025112685119</v>
      </c>
      <c r="AA303" s="36"/>
    </row>
    <row r="304" spans="1:27" ht="16" thickBot="1" x14ac:dyDescent="0.4">
      <c r="A304" s="20">
        <f t="shared" si="722"/>
        <v>40670</v>
      </c>
      <c r="B304" s="22">
        <v>415</v>
      </c>
      <c r="C304" s="22">
        <v>517</v>
      </c>
      <c r="D304" s="22">
        <v>55</v>
      </c>
      <c r="E304" s="22">
        <v>284</v>
      </c>
      <c r="F304" s="22">
        <v>12</v>
      </c>
      <c r="G304" s="22">
        <v>12</v>
      </c>
      <c r="H304" s="22">
        <v>14</v>
      </c>
      <c r="I304" s="22">
        <v>14</v>
      </c>
      <c r="J304" s="22">
        <v>38</v>
      </c>
      <c r="K304" s="22">
        <v>40</v>
      </c>
      <c r="L304" s="22">
        <v>15</v>
      </c>
      <c r="M304" s="22">
        <v>17</v>
      </c>
      <c r="N304" s="45">
        <f t="shared" si="611"/>
        <v>465</v>
      </c>
      <c r="O304" s="22">
        <f t="shared" ref="O304" si="843">SUM(B304,D304,F304,H304,J304,L304)</f>
        <v>549</v>
      </c>
      <c r="P304" s="22">
        <f t="shared" ref="P304" si="844">SUM(C304,G304,K304)</f>
        <v>569</v>
      </c>
      <c r="Q304" s="22">
        <f t="shared" ref="Q304" si="845">SUM(C304,E304,G304,I304,K304,M304)</f>
        <v>884</v>
      </c>
      <c r="R304" s="34">
        <f t="shared" ref="R304" si="846">(N304-N303)/N303</f>
        <v>0.15960099750623441</v>
      </c>
      <c r="S304" s="32">
        <f t="shared" si="795"/>
        <v>64</v>
      </c>
      <c r="T304" s="34">
        <f t="shared" ref="T304" si="847">(N304-N252)/N252</f>
        <v>-0.24390243902439024</v>
      </c>
      <c r="U304" s="34">
        <f t="shared" ref="U304" si="848">N304/P304</f>
        <v>0.81722319859402459</v>
      </c>
      <c r="V304" s="40">
        <f t="shared" ref="V304" si="849">AVERAGE(B148,B200,B252)</f>
        <v>351.33333333333331</v>
      </c>
      <c r="W304" s="40">
        <f t="shared" ref="W304" si="850">AVERAGE(F148,F200,F252)</f>
        <v>9</v>
      </c>
      <c r="X304" s="40">
        <f t="shared" ref="X304" si="851">AVERAGE(J148,J200,J252)</f>
        <v>169.33333333333334</v>
      </c>
      <c r="Y304" s="40">
        <f t="shared" ref="Y304" si="852">AVERAGE(N148,N200,N252)</f>
        <v>529.66666666666663</v>
      </c>
      <c r="Z304" s="59">
        <f t="shared" ref="Z304" si="853">(N304-Y304)/Y304</f>
        <v>-0.12208936438011321</v>
      </c>
      <c r="AA304" s="36"/>
    </row>
    <row r="305" spans="1:27" ht="16" thickBot="1" x14ac:dyDescent="0.4">
      <c r="A305" s="20">
        <f t="shared" si="722"/>
        <v>40677</v>
      </c>
      <c r="B305" s="22">
        <v>360</v>
      </c>
      <c r="C305" s="22">
        <v>404</v>
      </c>
      <c r="D305" s="22">
        <v>37</v>
      </c>
      <c r="E305" s="22">
        <v>414</v>
      </c>
      <c r="F305" s="22">
        <v>0</v>
      </c>
      <c r="G305" s="22">
        <v>0</v>
      </c>
      <c r="H305" s="22">
        <v>0</v>
      </c>
      <c r="I305" s="22">
        <v>0</v>
      </c>
      <c r="J305" s="22">
        <v>47</v>
      </c>
      <c r="K305" s="22">
        <v>95</v>
      </c>
      <c r="L305" s="22">
        <v>38</v>
      </c>
      <c r="M305" s="22">
        <v>62</v>
      </c>
      <c r="N305" s="45">
        <f t="shared" si="611"/>
        <v>407</v>
      </c>
      <c r="O305" s="22">
        <f t="shared" ref="O305" si="854">SUM(B305,D305,F305,H305,J305,L305)</f>
        <v>482</v>
      </c>
      <c r="P305" s="22">
        <f t="shared" ref="P305" si="855">SUM(C305,G305,K305)</f>
        <v>499</v>
      </c>
      <c r="Q305" s="22">
        <f t="shared" ref="Q305" si="856">SUM(C305,E305,G305,I305,K305,M305)</f>
        <v>975</v>
      </c>
      <c r="R305" s="34">
        <f t="shared" ref="R305" si="857">(N305-N304)/N304</f>
        <v>-0.12473118279569892</v>
      </c>
      <c r="S305" s="32">
        <f t="shared" ref="S305" si="858">N305-N304</f>
        <v>-58</v>
      </c>
      <c r="T305" s="34">
        <f t="shared" ref="T305" si="859">(N305-N253)/N253</f>
        <v>-0.42837078651685395</v>
      </c>
      <c r="U305" s="34">
        <f t="shared" ref="U305" si="860">N305/P305</f>
        <v>0.81563126252505014</v>
      </c>
      <c r="V305" s="40">
        <f t="shared" ref="V305" si="861">AVERAGE(B149,B201,B253)</f>
        <v>449.33333333333331</v>
      </c>
      <c r="W305" s="40">
        <f t="shared" ref="W305" si="862">AVERAGE(F149,F201,F253)</f>
        <v>18</v>
      </c>
      <c r="X305" s="40">
        <f t="shared" ref="X305" si="863">AVERAGE(J149,J201,J253)</f>
        <v>227.33333333333334</v>
      </c>
      <c r="Y305" s="40">
        <f t="shared" ref="Y305" si="864">AVERAGE(N149,N201,N253)</f>
        <v>694.66666666666663</v>
      </c>
      <c r="Z305" s="59">
        <f t="shared" ref="Z305" si="865">(N305-Y305)/Y305</f>
        <v>-0.41410748560460647</v>
      </c>
      <c r="AA305" s="36"/>
    </row>
    <row r="306" spans="1:27" ht="16" thickBot="1" x14ac:dyDescent="0.4">
      <c r="A306" s="20">
        <f t="shared" si="722"/>
        <v>40684</v>
      </c>
      <c r="B306" s="22">
        <v>280</v>
      </c>
      <c r="C306" s="22">
        <v>339</v>
      </c>
      <c r="D306" s="22">
        <v>63</v>
      </c>
      <c r="E306" s="22">
        <v>501</v>
      </c>
      <c r="F306" s="22">
        <v>0</v>
      </c>
      <c r="G306" s="22">
        <v>0</v>
      </c>
      <c r="H306" s="22">
        <v>0</v>
      </c>
      <c r="I306" s="22">
        <v>0</v>
      </c>
      <c r="J306" s="22">
        <v>194</v>
      </c>
      <c r="K306" s="22">
        <v>501</v>
      </c>
      <c r="L306" s="22">
        <v>351</v>
      </c>
      <c r="M306" s="22">
        <v>915</v>
      </c>
      <c r="N306" s="45">
        <f t="shared" si="611"/>
        <v>474</v>
      </c>
      <c r="O306" s="22">
        <f t="shared" ref="O306" si="866">SUM(B306,D306,F306,H306,J306,L306)</f>
        <v>888</v>
      </c>
      <c r="P306" s="22">
        <f t="shared" ref="P306" si="867">SUM(C306,G306,K306)</f>
        <v>840</v>
      </c>
      <c r="Q306" s="22">
        <f t="shared" ref="Q306" si="868">SUM(C306,E306,G306,I306,K306,M306)</f>
        <v>2256</v>
      </c>
      <c r="R306" s="34">
        <f t="shared" ref="R306" si="869">(N306-N305)/N305</f>
        <v>0.16461916461916462</v>
      </c>
      <c r="S306" s="32">
        <f t="shared" ref="S306" si="870">N306-N305</f>
        <v>67</v>
      </c>
      <c r="T306" s="34">
        <f t="shared" ref="T306" si="871">(N306-N254)/N254</f>
        <v>-0.39923954372623577</v>
      </c>
      <c r="U306" s="34">
        <f t="shared" ref="U306" si="872">N306/P306</f>
        <v>0.56428571428571428</v>
      </c>
      <c r="V306" s="40">
        <f t="shared" ref="V306" si="873">AVERAGE(B150,B202,B254)</f>
        <v>427.33333333333331</v>
      </c>
      <c r="W306" s="40">
        <f t="shared" ref="W306" si="874">AVERAGE(F150,F202,F254)</f>
        <v>10.666666666666666</v>
      </c>
      <c r="X306" s="40">
        <f t="shared" ref="X306" si="875">AVERAGE(J150,J202,J254)</f>
        <v>195</v>
      </c>
      <c r="Y306" s="40">
        <f t="shared" ref="Y306" si="876">AVERAGE(N150,N202,N254)</f>
        <v>633</v>
      </c>
      <c r="Z306" s="59">
        <f t="shared" ref="Z306" si="877">(N306-Y306)/Y306</f>
        <v>-0.25118483412322273</v>
      </c>
      <c r="AA306" s="36"/>
    </row>
    <row r="307" spans="1:27" ht="16" thickBot="1" x14ac:dyDescent="0.4">
      <c r="A307" s="20">
        <f t="shared" si="722"/>
        <v>40691</v>
      </c>
      <c r="B307" s="22">
        <v>253</v>
      </c>
      <c r="C307" s="22">
        <v>313</v>
      </c>
      <c r="D307" s="22">
        <v>75</v>
      </c>
      <c r="E307" s="22">
        <v>466</v>
      </c>
      <c r="F307" s="22">
        <v>22</v>
      </c>
      <c r="G307" s="22">
        <v>67</v>
      </c>
      <c r="H307" s="22">
        <v>24</v>
      </c>
      <c r="I307" s="22">
        <v>108</v>
      </c>
      <c r="J307" s="22">
        <v>139</v>
      </c>
      <c r="K307" s="22">
        <v>323</v>
      </c>
      <c r="L307" s="22">
        <v>274</v>
      </c>
      <c r="M307" s="22">
        <v>530</v>
      </c>
      <c r="N307" s="45">
        <f t="shared" si="611"/>
        <v>414</v>
      </c>
      <c r="O307" s="22">
        <f t="shared" ref="O307" si="878">SUM(B307,D307,F307,H307,J307,L307)</f>
        <v>787</v>
      </c>
      <c r="P307" s="22">
        <f t="shared" ref="P307" si="879">SUM(C307,G307,K307)</f>
        <v>703</v>
      </c>
      <c r="Q307" s="22">
        <f t="shared" ref="Q307" si="880">SUM(C307,E307,G307,I307,K307,M307)</f>
        <v>1807</v>
      </c>
      <c r="R307" s="34">
        <f t="shared" ref="R307" si="881">(N307-N306)/N306</f>
        <v>-0.12658227848101267</v>
      </c>
      <c r="S307" s="32">
        <f t="shared" ref="S307" si="882">N307-N306</f>
        <v>-60</v>
      </c>
      <c r="T307" s="34">
        <f t="shared" ref="T307" si="883">(N307-N255)/N255</f>
        <v>-0.4644243208279431</v>
      </c>
      <c r="U307" s="34">
        <f t="shared" ref="U307" si="884">N307/P307</f>
        <v>0.58890469416785207</v>
      </c>
      <c r="V307" s="40">
        <f t="shared" ref="V307" si="885">AVERAGE(B151,B203,B255)</f>
        <v>400.33333333333331</v>
      </c>
      <c r="W307" s="40">
        <f t="shared" ref="W307" si="886">AVERAGE(F151,F203,F255)</f>
        <v>27.333333333333332</v>
      </c>
      <c r="X307" s="40">
        <f t="shared" ref="X307" si="887">AVERAGE(J151,J203,J255)</f>
        <v>218</v>
      </c>
      <c r="Y307" s="40">
        <f t="shared" ref="Y307" si="888">AVERAGE(N151,N203,N255)</f>
        <v>645.66666666666663</v>
      </c>
      <c r="Z307" s="59">
        <f t="shared" ref="Z307" si="889">(N307-Y307)/Y307</f>
        <v>-0.35880227155394939</v>
      </c>
      <c r="AA307" s="36"/>
    </row>
    <row r="308" spans="1:27" ht="16" thickBot="1" x14ac:dyDescent="0.4">
      <c r="A308" s="20">
        <f t="shared" si="722"/>
        <v>40698</v>
      </c>
      <c r="B308" s="22">
        <v>273</v>
      </c>
      <c r="C308" s="22">
        <v>361</v>
      </c>
      <c r="D308" s="22">
        <v>51</v>
      </c>
      <c r="E308" s="22">
        <v>371</v>
      </c>
      <c r="F308" s="22">
        <v>4</v>
      </c>
      <c r="G308" s="22">
        <v>16</v>
      </c>
      <c r="H308" s="22">
        <v>7</v>
      </c>
      <c r="I308" s="22">
        <v>20</v>
      </c>
      <c r="J308" s="22">
        <v>150</v>
      </c>
      <c r="K308" s="22">
        <v>377</v>
      </c>
      <c r="L308" s="22">
        <v>266</v>
      </c>
      <c r="M308" s="22">
        <v>627</v>
      </c>
      <c r="N308" s="45">
        <f t="shared" si="611"/>
        <v>427</v>
      </c>
      <c r="O308" s="22">
        <f t="shared" ref="O308" si="890">SUM(B308,D308,F308,H308,J308,L308)</f>
        <v>751</v>
      </c>
      <c r="P308" s="22">
        <f t="shared" ref="P308" si="891">SUM(C308,G308,K308)</f>
        <v>754</v>
      </c>
      <c r="Q308" s="22">
        <f t="shared" ref="Q308" si="892">SUM(C308,E308,G308,I308,K308,M308)</f>
        <v>1772</v>
      </c>
      <c r="R308" s="34">
        <f t="shared" ref="R308" si="893">(N308-N307)/N307</f>
        <v>3.140096618357488E-2</v>
      </c>
      <c r="S308" s="32">
        <f t="shared" ref="S308" si="894">N308-N307</f>
        <v>13</v>
      </c>
      <c r="T308" s="34">
        <f t="shared" ref="T308" si="895">(N308-N256)/N256</f>
        <v>-0.37845705967976712</v>
      </c>
      <c r="U308" s="34">
        <f t="shared" ref="U308" si="896">N308/P308</f>
        <v>0.56631299734748008</v>
      </c>
      <c r="V308" s="40">
        <f t="shared" ref="V308" si="897">AVERAGE(B152,B204,B256)</f>
        <v>433</v>
      </c>
      <c r="W308" s="40">
        <f t="shared" ref="W308" si="898">AVERAGE(F152,F204,F256)</f>
        <v>17.333333333333332</v>
      </c>
      <c r="X308" s="40">
        <f t="shared" ref="X308" si="899">AVERAGE(J152,J204,J256)</f>
        <v>170</v>
      </c>
      <c r="Y308" s="40">
        <f t="shared" ref="Y308" si="900">AVERAGE(N152,N204,N256)</f>
        <v>620.33333333333337</v>
      </c>
      <c r="Z308" s="59">
        <f t="shared" ref="Z308" si="901">(N308-Y308)/Y308</f>
        <v>-0.31166039763567976</v>
      </c>
      <c r="AA308" s="36"/>
    </row>
    <row r="309" spans="1:27" ht="16" thickBot="1" x14ac:dyDescent="0.4">
      <c r="A309" s="20">
        <f t="shared" si="722"/>
        <v>40705</v>
      </c>
      <c r="B309" s="22">
        <v>295</v>
      </c>
      <c r="C309" s="22">
        <v>345</v>
      </c>
      <c r="D309" s="22">
        <v>106</v>
      </c>
      <c r="E309" s="22">
        <v>434</v>
      </c>
      <c r="F309" s="22">
        <v>11</v>
      </c>
      <c r="G309" s="22">
        <v>56</v>
      </c>
      <c r="H309" s="22">
        <v>8</v>
      </c>
      <c r="I309" s="22">
        <v>53</v>
      </c>
      <c r="J309" s="22">
        <v>225</v>
      </c>
      <c r="K309" s="22">
        <v>505</v>
      </c>
      <c r="L309" s="22">
        <v>334</v>
      </c>
      <c r="M309" s="22">
        <v>686</v>
      </c>
      <c r="N309" s="45">
        <f t="shared" si="611"/>
        <v>531</v>
      </c>
      <c r="O309" s="22">
        <f t="shared" ref="O309" si="902">SUM(B309,D309,F309,H309,J309,L309)</f>
        <v>979</v>
      </c>
      <c r="P309" s="22">
        <f t="shared" ref="P309" si="903">SUM(C309,G309,K309)</f>
        <v>906</v>
      </c>
      <c r="Q309" s="22">
        <f t="shared" ref="Q309" si="904">SUM(C309,E309,G309,I309,K309,M309)</f>
        <v>2079</v>
      </c>
      <c r="R309" s="34">
        <f t="shared" ref="R309" si="905">(N309-N308)/N308</f>
        <v>0.24355971896955503</v>
      </c>
      <c r="S309" s="32">
        <f t="shared" ref="S309" si="906">N309-N308</f>
        <v>104</v>
      </c>
      <c r="T309" s="34">
        <f t="shared" ref="T309" si="907">(N309-N257)/N257</f>
        <v>-0.36935866983372923</v>
      </c>
      <c r="U309" s="34">
        <f t="shared" ref="U309" si="908">N309/P309</f>
        <v>0.58609271523178808</v>
      </c>
      <c r="V309" s="40">
        <f t="shared" ref="V309" si="909">AVERAGE(B153,B205,B257)</f>
        <v>393.66666666666669</v>
      </c>
      <c r="W309" s="40">
        <f t="shared" ref="W309" si="910">AVERAGE(F153,F205,F257)</f>
        <v>26.666666666666668</v>
      </c>
      <c r="X309" s="40">
        <f t="shared" ref="X309" si="911">AVERAGE(J153,J205,J257)</f>
        <v>258.33333333333331</v>
      </c>
      <c r="Y309" s="40">
        <f t="shared" ref="Y309" si="912">AVERAGE(N153,N205,N257)</f>
        <v>678.66666666666663</v>
      </c>
      <c r="Z309" s="59">
        <f t="shared" ref="Z309" si="913">(N309-Y309)/Y309</f>
        <v>-0.21758349705304514</v>
      </c>
      <c r="AA309" s="36"/>
    </row>
    <row r="310" spans="1:27" ht="16" thickBot="1" x14ac:dyDescent="0.4">
      <c r="A310" s="20">
        <f t="shared" si="722"/>
        <v>40712</v>
      </c>
      <c r="B310" s="22">
        <v>338</v>
      </c>
      <c r="C310" s="22">
        <v>421</v>
      </c>
      <c r="D310" s="22">
        <v>34</v>
      </c>
      <c r="E310" s="22">
        <v>254</v>
      </c>
      <c r="F310" s="22">
        <v>10</v>
      </c>
      <c r="G310" s="22">
        <v>32</v>
      </c>
      <c r="H310" s="22">
        <v>16</v>
      </c>
      <c r="I310" s="22">
        <v>42</v>
      </c>
      <c r="J310" s="22">
        <v>245</v>
      </c>
      <c r="K310" s="22">
        <v>511</v>
      </c>
      <c r="L310" s="22">
        <v>341</v>
      </c>
      <c r="M310" s="22">
        <v>708</v>
      </c>
      <c r="N310" s="45">
        <f t="shared" si="611"/>
        <v>593</v>
      </c>
      <c r="O310" s="22">
        <f t="shared" ref="O310" si="914">SUM(B310,D310,F310,H310,J310,L310)</f>
        <v>984</v>
      </c>
      <c r="P310" s="22">
        <f t="shared" ref="P310" si="915">SUM(C310,G310,K310)</f>
        <v>964</v>
      </c>
      <c r="Q310" s="22">
        <f t="shared" ref="Q310" si="916">SUM(C310,E310,G310,I310,K310,M310)</f>
        <v>1968</v>
      </c>
      <c r="R310" s="34">
        <f t="shared" ref="R310" si="917">(N310-N309)/N309</f>
        <v>0.1167608286252354</v>
      </c>
      <c r="S310" s="32">
        <f t="shared" ref="S310" si="918">N310-N309</f>
        <v>62</v>
      </c>
      <c r="T310" s="34">
        <f t="shared" ref="T310" si="919">(N310-N258)/N258</f>
        <v>-0.18206896551724139</v>
      </c>
      <c r="U310" s="34">
        <f t="shared" ref="U310" si="920">N310/P310</f>
        <v>0.61514522821576767</v>
      </c>
      <c r="V310" s="40">
        <f t="shared" ref="V310" si="921">AVERAGE(B154,B206,B258)</f>
        <v>334.66666666666669</v>
      </c>
      <c r="W310" s="40">
        <f t="shared" ref="W310" si="922">AVERAGE(F154,F206,F258)</f>
        <v>34.666666666666664</v>
      </c>
      <c r="X310" s="40">
        <f t="shared" ref="X310" si="923">AVERAGE(J154,J206,J258)</f>
        <v>233.33333333333334</v>
      </c>
      <c r="Y310" s="40">
        <f t="shared" ref="Y310" si="924">AVERAGE(N154,N206,N258)</f>
        <v>602.66666666666663</v>
      </c>
      <c r="Z310" s="59">
        <f t="shared" ref="Z310" si="925">(N310-Y310)/Y310</f>
        <v>-1.6039823008849496E-2</v>
      </c>
      <c r="AA310" s="36"/>
    </row>
    <row r="311" spans="1:27" ht="16" thickBot="1" x14ac:dyDescent="0.4">
      <c r="A311" s="20">
        <f t="shared" si="722"/>
        <v>40719</v>
      </c>
      <c r="B311" s="22">
        <v>320</v>
      </c>
      <c r="C311" s="22">
        <v>412</v>
      </c>
      <c r="D311" s="22">
        <v>77</v>
      </c>
      <c r="E311" s="22">
        <v>388</v>
      </c>
      <c r="F311" s="22">
        <v>18</v>
      </c>
      <c r="G311" s="22">
        <v>40</v>
      </c>
      <c r="H311" s="22">
        <v>12</v>
      </c>
      <c r="I311" s="22">
        <v>41</v>
      </c>
      <c r="J311" s="22">
        <v>265</v>
      </c>
      <c r="K311" s="22">
        <v>459</v>
      </c>
      <c r="L311" s="22">
        <v>241</v>
      </c>
      <c r="M311" s="22">
        <v>599</v>
      </c>
      <c r="N311" s="45">
        <f t="shared" si="611"/>
        <v>603</v>
      </c>
      <c r="O311" s="22">
        <f t="shared" ref="O311" si="926">SUM(B311,D311,F311,H311,J311,L311)</f>
        <v>933</v>
      </c>
      <c r="P311" s="22">
        <f t="shared" ref="P311" si="927">SUM(C311,G311,K311)</f>
        <v>911</v>
      </c>
      <c r="Q311" s="22">
        <f t="shared" ref="Q311" si="928">SUM(C311,E311,G311,I311,K311,M311)</f>
        <v>1939</v>
      </c>
      <c r="R311" s="34">
        <f t="shared" ref="R311" si="929">(N311-N310)/N310</f>
        <v>1.6863406408094434E-2</v>
      </c>
      <c r="S311" s="32">
        <f t="shared" ref="S311" si="930">N311-N310</f>
        <v>10</v>
      </c>
      <c r="T311" s="34">
        <f t="shared" ref="T311" si="931">(N311-N259)/N259</f>
        <v>-5.7812500000000003E-2</v>
      </c>
      <c r="U311" s="34">
        <f t="shared" ref="U311" si="932">N311/P311</f>
        <v>0.66190998902305154</v>
      </c>
      <c r="V311" s="40">
        <f t="shared" ref="V311" si="933">AVERAGE(B155,B207,B259)</f>
        <v>346.66666666666669</v>
      </c>
      <c r="W311" s="40">
        <f t="shared" ref="W311" si="934">AVERAGE(F155,F207,F259)</f>
        <v>18</v>
      </c>
      <c r="X311" s="40">
        <f t="shared" ref="X311" si="935">AVERAGE(J155,J207,J259)</f>
        <v>199</v>
      </c>
      <c r="Y311" s="40">
        <f t="shared" ref="Y311" si="936">AVERAGE(N155,N207,N259)</f>
        <v>563.66666666666663</v>
      </c>
      <c r="Z311" s="59">
        <f t="shared" ref="Z311" si="937">(N311-Y311)/Y311</f>
        <v>6.9781194559432366E-2</v>
      </c>
      <c r="AA311" s="36"/>
    </row>
    <row r="312" spans="1:27" ht="16" thickBot="1" x14ac:dyDescent="0.4">
      <c r="A312" s="20">
        <f t="shared" si="722"/>
        <v>40726</v>
      </c>
      <c r="B312" s="22">
        <v>260</v>
      </c>
      <c r="C312" s="22">
        <v>329</v>
      </c>
      <c r="D312" s="22">
        <v>79</v>
      </c>
      <c r="E312" s="22">
        <v>524</v>
      </c>
      <c r="F312" s="22">
        <v>11</v>
      </c>
      <c r="G312" s="22">
        <v>27</v>
      </c>
      <c r="H312" s="22">
        <v>4</v>
      </c>
      <c r="I312" s="22">
        <v>42</v>
      </c>
      <c r="J312" s="22">
        <v>254</v>
      </c>
      <c r="K312" s="22">
        <v>468</v>
      </c>
      <c r="L312" s="22">
        <v>251</v>
      </c>
      <c r="M312" s="22">
        <v>632</v>
      </c>
      <c r="N312" s="45">
        <f t="shared" si="611"/>
        <v>525</v>
      </c>
      <c r="O312" s="22">
        <f t="shared" ref="O312" si="938">SUM(B312,D312,F312,H312,J312,L312)</f>
        <v>859</v>
      </c>
      <c r="P312" s="22">
        <f t="shared" ref="P312" si="939">SUM(C312,G312,K312)</f>
        <v>824</v>
      </c>
      <c r="Q312" s="22">
        <f t="shared" ref="Q312" si="940">SUM(C312,E312,G312,I312,K312,M312)</f>
        <v>2022</v>
      </c>
      <c r="R312" s="34">
        <f t="shared" ref="R312" si="941">(N312-N311)/N311</f>
        <v>-0.12935323383084577</v>
      </c>
      <c r="S312" s="32">
        <f t="shared" ref="S312" si="942">N312-N311</f>
        <v>-78</v>
      </c>
      <c r="T312" s="34">
        <f t="shared" ref="T312" si="943">(N312-N260)/N260</f>
        <v>-0.29054054054054052</v>
      </c>
      <c r="U312" s="34">
        <f t="shared" ref="U312" si="944">N312/P312</f>
        <v>0.63713592233009708</v>
      </c>
      <c r="V312" s="40">
        <f t="shared" ref="V312" si="945">AVERAGE(B156,B208,B260)</f>
        <v>358.66666666666669</v>
      </c>
      <c r="W312" s="40">
        <f t="shared" ref="W312" si="946">AVERAGE(F156,F208,F260)</f>
        <v>31.333333333333332</v>
      </c>
      <c r="X312" s="40">
        <f t="shared" ref="X312" si="947">AVERAGE(J156,J208,J260)</f>
        <v>251.66666666666666</v>
      </c>
      <c r="Y312" s="40">
        <f t="shared" ref="Y312" si="948">AVERAGE(N156,N208,N260)</f>
        <v>641.66666666666663</v>
      </c>
      <c r="Z312" s="59">
        <f t="shared" ref="Z312" si="949">(N312-Y312)/Y312</f>
        <v>-0.18181818181818177</v>
      </c>
      <c r="AA312" s="36"/>
    </row>
    <row r="313" spans="1:27" ht="16" thickBot="1" x14ac:dyDescent="0.4">
      <c r="A313" s="20">
        <f t="shared" si="722"/>
        <v>40733</v>
      </c>
      <c r="B313" s="22">
        <v>346</v>
      </c>
      <c r="C313" s="22">
        <v>431</v>
      </c>
      <c r="D313" s="22">
        <v>41</v>
      </c>
      <c r="E313" s="22">
        <v>458</v>
      </c>
      <c r="F313" s="22">
        <v>12</v>
      </c>
      <c r="G313" s="22">
        <v>55</v>
      </c>
      <c r="H313" s="22">
        <v>17</v>
      </c>
      <c r="I313" s="22">
        <v>34</v>
      </c>
      <c r="J313" s="22">
        <v>239</v>
      </c>
      <c r="K313" s="22">
        <v>452</v>
      </c>
      <c r="L313" s="22">
        <v>283</v>
      </c>
      <c r="M313" s="22">
        <v>569</v>
      </c>
      <c r="N313" s="45">
        <f t="shared" si="611"/>
        <v>597</v>
      </c>
      <c r="O313" s="22">
        <f t="shared" ref="O313" si="950">SUM(B313,D313,F313,H313,J313,L313)</f>
        <v>938</v>
      </c>
      <c r="P313" s="22">
        <f t="shared" ref="P313" si="951">SUM(C313,G313,K313)</f>
        <v>938</v>
      </c>
      <c r="Q313" s="22">
        <f t="shared" ref="Q313" si="952">SUM(C313,E313,G313,I313,K313,M313)</f>
        <v>1999</v>
      </c>
      <c r="R313" s="34">
        <f t="shared" ref="R313" si="953">(N313-N312)/N312</f>
        <v>0.13714285714285715</v>
      </c>
      <c r="S313" s="32">
        <f t="shared" ref="S313" si="954">N313-N312</f>
        <v>72</v>
      </c>
      <c r="T313" s="34">
        <f t="shared" ref="T313" si="955">(N313-N261)/N261</f>
        <v>2.5773195876288658E-2</v>
      </c>
      <c r="U313" s="34">
        <f t="shared" ref="U313" si="956">N313/P313</f>
        <v>0.63646055437100213</v>
      </c>
      <c r="V313" s="40">
        <f t="shared" ref="V313" si="957">AVERAGE(B157,B209,B261)</f>
        <v>408.33333333333331</v>
      </c>
      <c r="W313" s="40">
        <f t="shared" ref="W313" si="958">AVERAGE(F157,F209,F261)</f>
        <v>22.666666666666668</v>
      </c>
      <c r="X313" s="40">
        <f t="shared" ref="X313" si="959">AVERAGE(J157,J209,J261)</f>
        <v>177.33333333333334</v>
      </c>
      <c r="Y313" s="40">
        <f t="shared" ref="Y313" si="960">AVERAGE(N157,N209,N261)</f>
        <v>608.33333333333337</v>
      </c>
      <c r="Z313" s="59">
        <f t="shared" ref="Z313" si="961">(N313-Y313)/Y313</f>
        <v>-1.8630136986301431E-2</v>
      </c>
      <c r="AA313" s="36"/>
    </row>
    <row r="314" spans="1:27" ht="16" thickBot="1" x14ac:dyDescent="0.4">
      <c r="A314" s="20">
        <f t="shared" si="722"/>
        <v>40740</v>
      </c>
      <c r="B314" s="22">
        <v>389</v>
      </c>
      <c r="C314" s="22">
        <v>454</v>
      </c>
      <c r="D314" s="22">
        <v>93</v>
      </c>
      <c r="E314" s="22">
        <v>577</v>
      </c>
      <c r="F314" s="22">
        <v>25</v>
      </c>
      <c r="G314" s="22">
        <v>32</v>
      </c>
      <c r="H314" s="22">
        <v>31</v>
      </c>
      <c r="I314" s="22">
        <v>61</v>
      </c>
      <c r="J314" s="22">
        <v>281</v>
      </c>
      <c r="K314" s="22">
        <v>571</v>
      </c>
      <c r="L314" s="22">
        <v>277</v>
      </c>
      <c r="M314" s="22">
        <v>531</v>
      </c>
      <c r="N314" s="45">
        <f t="shared" si="611"/>
        <v>695</v>
      </c>
      <c r="O314" s="22">
        <f t="shared" ref="O314" si="962">SUM(B314,D314,F314,H314,J314,L314)</f>
        <v>1096</v>
      </c>
      <c r="P314" s="22">
        <f t="shared" ref="P314" si="963">SUM(C314,G314,K314)</f>
        <v>1057</v>
      </c>
      <c r="Q314" s="22">
        <f t="shared" ref="Q314" si="964">SUM(C314,E314,G314,I314,K314,M314)</f>
        <v>2226</v>
      </c>
      <c r="R314" s="34">
        <f t="shared" ref="R314" si="965">(N314-N313)/N313</f>
        <v>0.16415410385259632</v>
      </c>
      <c r="S314" s="32">
        <f t="shared" ref="S314" si="966">N314-N313</f>
        <v>98</v>
      </c>
      <c r="T314" s="34">
        <f t="shared" ref="T314" si="967">(N314-N262)/N262</f>
        <v>-3.6061026352288486E-2</v>
      </c>
      <c r="U314" s="34">
        <f t="shared" ref="U314" si="968">N314/P314</f>
        <v>0.65752128666035947</v>
      </c>
      <c r="V314" s="40">
        <f t="shared" ref="V314" si="969">AVERAGE(B158,B210,B262)</f>
        <v>451.66666666666669</v>
      </c>
      <c r="W314" s="40">
        <f t="shared" ref="W314" si="970">AVERAGE(F158,F210,F262)</f>
        <v>34</v>
      </c>
      <c r="X314" s="40">
        <f t="shared" ref="X314" si="971">AVERAGE(J158,J210,J262)</f>
        <v>225.33333333333334</v>
      </c>
      <c r="Y314" s="40">
        <f t="shared" ref="Y314" si="972">AVERAGE(N158,N210,N262)</f>
        <v>711</v>
      </c>
      <c r="Z314" s="59">
        <f t="shared" ref="Z314" si="973">(N314-Y314)/Y314</f>
        <v>-2.2503516174402251E-2</v>
      </c>
      <c r="AA314" s="36"/>
    </row>
    <row r="315" spans="1:27" ht="16" thickBot="1" x14ac:dyDescent="0.4">
      <c r="A315" s="20">
        <f t="shared" si="722"/>
        <v>40747</v>
      </c>
      <c r="B315" s="22">
        <v>362</v>
      </c>
      <c r="C315" s="22">
        <v>420</v>
      </c>
      <c r="D315" s="22">
        <v>63</v>
      </c>
      <c r="E315" s="22">
        <v>504</v>
      </c>
      <c r="F315" s="22">
        <v>23</v>
      </c>
      <c r="G315" s="22">
        <v>40</v>
      </c>
      <c r="H315" s="22">
        <v>29</v>
      </c>
      <c r="I315" s="22">
        <v>59</v>
      </c>
      <c r="J315" s="22">
        <v>364</v>
      </c>
      <c r="K315" s="22">
        <v>707</v>
      </c>
      <c r="L315" s="22">
        <v>344</v>
      </c>
      <c r="M315" s="22">
        <v>648</v>
      </c>
      <c r="N315" s="45">
        <f t="shared" si="611"/>
        <v>749</v>
      </c>
      <c r="O315" s="22">
        <f t="shared" ref="O315" si="974">SUM(B315,D315,F315,H315,J315,L315)</f>
        <v>1185</v>
      </c>
      <c r="P315" s="22">
        <f t="shared" ref="P315" si="975">SUM(C315,G315,K315)</f>
        <v>1167</v>
      </c>
      <c r="Q315" s="22">
        <f t="shared" ref="Q315" si="976">SUM(C315,E315,G315,I315,K315,M315)</f>
        <v>2378</v>
      </c>
      <c r="R315" s="34">
        <f t="shared" ref="R315" si="977">(N315-N314)/N314</f>
        <v>7.7697841726618699E-2</v>
      </c>
      <c r="S315" s="32">
        <f t="shared" ref="S315" si="978">N315-N314</f>
        <v>54</v>
      </c>
      <c r="T315" s="34">
        <f t="shared" ref="T315" si="979">(N315-N263)/N263</f>
        <v>0.18700475435816163</v>
      </c>
      <c r="U315" s="34">
        <f t="shared" ref="U315" si="980">N315/P315</f>
        <v>0.64181662382176519</v>
      </c>
      <c r="V315" s="40">
        <f t="shared" ref="V315" si="981">AVERAGE(B159,B211,B263)</f>
        <v>408</v>
      </c>
      <c r="W315" s="40">
        <f t="shared" ref="W315" si="982">AVERAGE(F159,F211,F263)</f>
        <v>26.666666666666668</v>
      </c>
      <c r="X315" s="40">
        <f t="shared" ref="X315" si="983">AVERAGE(J159,J211,J263)</f>
        <v>210</v>
      </c>
      <c r="Y315" s="40">
        <f t="shared" ref="Y315" si="984">AVERAGE(N159,N211,N263)</f>
        <v>644.66666666666663</v>
      </c>
      <c r="Z315" s="59">
        <f t="shared" ref="Z315" si="985">(N315-Y315)/Y315</f>
        <v>0.16184074457083772</v>
      </c>
      <c r="AA315" s="36"/>
    </row>
    <row r="316" spans="1:27" ht="16" thickBot="1" x14ac:dyDescent="0.4">
      <c r="A316" s="20">
        <f t="shared" si="722"/>
        <v>40754</v>
      </c>
      <c r="B316" s="22">
        <v>210</v>
      </c>
      <c r="C316" s="22">
        <v>293</v>
      </c>
      <c r="D316" s="22">
        <v>90</v>
      </c>
      <c r="E316" s="22">
        <v>604</v>
      </c>
      <c r="F316" s="22">
        <v>17</v>
      </c>
      <c r="G316" s="22">
        <v>47</v>
      </c>
      <c r="H316" s="22">
        <v>28</v>
      </c>
      <c r="I316" s="22">
        <v>65</v>
      </c>
      <c r="J316" s="22">
        <v>350</v>
      </c>
      <c r="K316" s="22">
        <v>629</v>
      </c>
      <c r="L316" s="22">
        <v>369</v>
      </c>
      <c r="M316" s="22">
        <v>702</v>
      </c>
      <c r="N316" s="45">
        <f t="shared" si="611"/>
        <v>577</v>
      </c>
      <c r="O316" s="22">
        <f t="shared" ref="O316" si="986">SUM(B316,D316,F316,H316,J316,L316)</f>
        <v>1064</v>
      </c>
      <c r="P316" s="22">
        <f t="shared" ref="P316" si="987">SUM(C316,G316,K316)</f>
        <v>969</v>
      </c>
      <c r="Q316" s="22">
        <f t="shared" ref="Q316" si="988">SUM(C316,E316,G316,I316,K316,M316)</f>
        <v>2340</v>
      </c>
      <c r="R316" s="34">
        <f t="shared" ref="R316" si="989">(N316-N315)/N315</f>
        <v>-0.22963951935914553</v>
      </c>
      <c r="S316" s="32">
        <f t="shared" ref="S316" si="990">N316-N315</f>
        <v>-172</v>
      </c>
      <c r="T316" s="34">
        <f t="shared" ref="T316" si="991">(N316-N264)/N264</f>
        <v>-1.7035775127768313E-2</v>
      </c>
      <c r="U316" s="34">
        <f t="shared" ref="U316" si="992">N316/P316</f>
        <v>0.59545923632610942</v>
      </c>
      <c r="V316" s="40">
        <f t="shared" ref="V316" si="993">AVERAGE(B160,B212,B264)</f>
        <v>354</v>
      </c>
      <c r="W316" s="40">
        <f t="shared" ref="W316" si="994">AVERAGE(F160,F212,F264)</f>
        <v>27.666666666666668</v>
      </c>
      <c r="X316" s="40">
        <f t="shared" ref="X316" si="995">AVERAGE(J160,J212,J264)</f>
        <v>213.33333333333334</v>
      </c>
      <c r="Y316" s="40">
        <f t="shared" ref="Y316" si="996">AVERAGE(N160,N212,N264)</f>
        <v>595</v>
      </c>
      <c r="Z316" s="59">
        <f t="shared" ref="Z316" si="997">(N316-Y316)/Y316</f>
        <v>-3.0252100840336135E-2</v>
      </c>
      <c r="AA316" s="36"/>
    </row>
    <row r="317" spans="1:27" ht="16" thickBot="1" x14ac:dyDescent="0.4">
      <c r="A317" s="20">
        <f t="shared" si="722"/>
        <v>40761</v>
      </c>
      <c r="B317" s="22">
        <v>240</v>
      </c>
      <c r="C317" s="22">
        <v>332</v>
      </c>
      <c r="D317" s="22">
        <v>79</v>
      </c>
      <c r="E317" s="22">
        <v>500</v>
      </c>
      <c r="F317" s="22">
        <v>25</v>
      </c>
      <c r="G317" s="22">
        <v>59</v>
      </c>
      <c r="H317" s="22">
        <v>11</v>
      </c>
      <c r="I317" s="22">
        <v>35</v>
      </c>
      <c r="J317" s="22">
        <v>343</v>
      </c>
      <c r="K317" s="22">
        <v>670</v>
      </c>
      <c r="L317" s="22">
        <v>333</v>
      </c>
      <c r="M317" s="22">
        <v>681</v>
      </c>
      <c r="N317" s="45">
        <f t="shared" si="611"/>
        <v>608</v>
      </c>
      <c r="O317" s="22">
        <f t="shared" ref="O317" si="998">SUM(B317,D317,F317,H317,J317,L317)</f>
        <v>1031</v>
      </c>
      <c r="P317" s="22">
        <f t="shared" ref="P317" si="999">SUM(C317,G317,K317)</f>
        <v>1061</v>
      </c>
      <c r="Q317" s="22">
        <f t="shared" ref="Q317" si="1000">SUM(C317,E317,G317,I317,K317,M317)</f>
        <v>2277</v>
      </c>
      <c r="R317" s="34">
        <f t="shared" ref="R317" si="1001">(N317-N316)/N316</f>
        <v>5.3726169844020795E-2</v>
      </c>
      <c r="S317" s="32">
        <f t="shared" ref="S317" si="1002">N317-N316</f>
        <v>31</v>
      </c>
      <c r="T317" s="34">
        <f t="shared" ref="T317" si="1003">(N317-N265)/N265</f>
        <v>0.21843687374749499</v>
      </c>
      <c r="U317" s="34">
        <f t="shared" ref="U317" si="1004">N317/P317</f>
        <v>0.57304429783223376</v>
      </c>
      <c r="V317" s="40">
        <f t="shared" ref="V317" si="1005">AVERAGE(B161,B213,B265)</f>
        <v>265.33333333333331</v>
      </c>
      <c r="W317" s="40">
        <f t="shared" ref="W317" si="1006">AVERAGE(F161,F213,F265)</f>
        <v>40.666666666666664</v>
      </c>
      <c r="X317" s="40">
        <f t="shared" ref="X317" si="1007">AVERAGE(J161,J213,J265)</f>
        <v>200</v>
      </c>
      <c r="Y317" s="40">
        <f t="shared" ref="Y317" si="1008">AVERAGE(N161,N213,N265)</f>
        <v>506</v>
      </c>
      <c r="Z317" s="59">
        <f t="shared" ref="Z317" si="1009">(N317-Y317)/Y317</f>
        <v>0.20158102766798419</v>
      </c>
      <c r="AA317" s="36"/>
    </row>
    <row r="318" spans="1:27" ht="16" thickBot="1" x14ac:dyDescent="0.4">
      <c r="A318" s="20">
        <f t="shared" si="722"/>
        <v>40768</v>
      </c>
      <c r="B318" s="22">
        <v>162</v>
      </c>
      <c r="C318" s="22">
        <v>226</v>
      </c>
      <c r="D318" s="22">
        <v>56</v>
      </c>
      <c r="E318" s="22">
        <v>457</v>
      </c>
      <c r="F318" s="22">
        <v>14</v>
      </c>
      <c r="G318" s="22">
        <v>55</v>
      </c>
      <c r="H318" s="22">
        <v>19</v>
      </c>
      <c r="I318" s="22">
        <v>48</v>
      </c>
      <c r="J318" s="22">
        <v>184</v>
      </c>
      <c r="K318" s="22">
        <v>415</v>
      </c>
      <c r="L318" s="22">
        <v>388</v>
      </c>
      <c r="M318" s="22">
        <v>697</v>
      </c>
      <c r="N318" s="45">
        <f t="shared" si="611"/>
        <v>360</v>
      </c>
      <c r="O318" s="22">
        <f t="shared" ref="O318" si="1010">SUM(B318,D318,F318,H318,J318,L318)</f>
        <v>823</v>
      </c>
      <c r="P318" s="22">
        <f t="shared" ref="P318" si="1011">SUM(C318,G318,K318)</f>
        <v>696</v>
      </c>
      <c r="Q318" s="22">
        <f t="shared" ref="Q318" si="1012">SUM(C318,E318,G318,I318,K318,M318)</f>
        <v>1898</v>
      </c>
      <c r="R318" s="34">
        <f t="shared" ref="R318" si="1013">(N318-N317)/N317</f>
        <v>-0.40789473684210525</v>
      </c>
      <c r="S318" s="32">
        <f t="shared" ref="S318" si="1014">N318-N317</f>
        <v>-248</v>
      </c>
      <c r="T318" s="34">
        <f t="shared" ref="T318" si="1015">(N318-N266)/N266</f>
        <v>-0.2982456140350877</v>
      </c>
      <c r="U318" s="34">
        <f t="shared" ref="U318" si="1016">N318/P318</f>
        <v>0.51724137931034486</v>
      </c>
      <c r="V318" s="40">
        <f t="shared" ref="V318" si="1017">AVERAGE(B162,B214,B266)</f>
        <v>270.66666666666669</v>
      </c>
      <c r="W318" s="40">
        <f t="shared" ref="W318" si="1018">AVERAGE(F162,F214,F266)</f>
        <v>37.666666666666664</v>
      </c>
      <c r="X318" s="40">
        <f t="shared" ref="X318" si="1019">AVERAGE(J162,J214,J266)</f>
        <v>277</v>
      </c>
      <c r="Y318" s="40">
        <f t="shared" ref="Y318" si="1020">AVERAGE(N162,N214,N266)</f>
        <v>585.33333333333337</v>
      </c>
      <c r="Z318" s="59">
        <f t="shared" ref="Z318" si="1021">(N318-Y318)/Y318</f>
        <v>-0.38496583143507979</v>
      </c>
      <c r="AA318" s="36"/>
    </row>
    <row r="319" spans="1:27" ht="16" thickBot="1" x14ac:dyDescent="0.4">
      <c r="A319" s="20">
        <f t="shared" si="722"/>
        <v>40775</v>
      </c>
      <c r="B319" s="22">
        <v>161</v>
      </c>
      <c r="C319" s="22">
        <v>249</v>
      </c>
      <c r="D319" s="22">
        <v>78</v>
      </c>
      <c r="E319" s="22">
        <v>429</v>
      </c>
      <c r="F319" s="22">
        <v>33</v>
      </c>
      <c r="G319" s="22">
        <v>60</v>
      </c>
      <c r="H319" s="22">
        <v>14</v>
      </c>
      <c r="I319" s="22">
        <v>36</v>
      </c>
      <c r="J319" s="22">
        <v>231</v>
      </c>
      <c r="K319" s="22">
        <v>520</v>
      </c>
      <c r="L319" s="22">
        <v>319</v>
      </c>
      <c r="M319" s="22">
        <v>606</v>
      </c>
      <c r="N319" s="45">
        <f t="shared" si="611"/>
        <v>425</v>
      </c>
      <c r="O319" s="22">
        <f t="shared" ref="O319" si="1022">SUM(B319,D319,F319,H319,J319,L319)</f>
        <v>836</v>
      </c>
      <c r="P319" s="22">
        <f t="shared" ref="P319" si="1023">SUM(C319,G319,K319)</f>
        <v>829</v>
      </c>
      <c r="Q319" s="22">
        <f t="shared" ref="Q319" si="1024">SUM(C319,E319,G319,I319,K319,M319)</f>
        <v>1900</v>
      </c>
      <c r="R319" s="34">
        <f t="shared" ref="R319" si="1025">(N319-N318)/N318</f>
        <v>0.18055555555555555</v>
      </c>
      <c r="S319" s="32">
        <f t="shared" ref="S319" si="1026">N319-N318</f>
        <v>65</v>
      </c>
      <c r="T319" s="34">
        <f t="shared" ref="T319" si="1027">(N319-N267)/N267</f>
        <v>0.16120218579234974</v>
      </c>
      <c r="U319" s="34">
        <f t="shared" ref="U319" si="1028">N319/P319</f>
        <v>0.51266586248492163</v>
      </c>
      <c r="V319" s="40">
        <f t="shared" ref="V319" si="1029">AVERAGE(B163,B215,B267)</f>
        <v>206.33333333333334</v>
      </c>
      <c r="W319" s="40">
        <f t="shared" ref="W319" si="1030">AVERAGE(F163,F215,F267)</f>
        <v>36</v>
      </c>
      <c r="X319" s="40">
        <f t="shared" ref="X319" si="1031">AVERAGE(J163,J215,J267)</f>
        <v>174.66666666666666</v>
      </c>
      <c r="Y319" s="40">
        <f t="shared" ref="Y319" si="1032">AVERAGE(N163,N215,N267)</f>
        <v>417</v>
      </c>
      <c r="Z319" s="59">
        <f t="shared" ref="Z319" si="1033">(N319-Y319)/Y319</f>
        <v>1.9184652278177457E-2</v>
      </c>
      <c r="AA319" s="36"/>
    </row>
    <row r="320" spans="1:27" ht="16" thickBot="1" x14ac:dyDescent="0.4">
      <c r="A320" s="20">
        <f t="shared" si="722"/>
        <v>40782</v>
      </c>
      <c r="B320" s="22">
        <v>132</v>
      </c>
      <c r="C320" s="22">
        <v>215</v>
      </c>
      <c r="D320" s="22">
        <v>89</v>
      </c>
      <c r="E320" s="22">
        <v>397</v>
      </c>
      <c r="F320" s="22">
        <v>19</v>
      </c>
      <c r="G320" s="22">
        <v>32</v>
      </c>
      <c r="H320" s="22">
        <v>26</v>
      </c>
      <c r="I320" s="22">
        <v>49</v>
      </c>
      <c r="J320" s="22">
        <v>267</v>
      </c>
      <c r="K320" s="22">
        <v>563</v>
      </c>
      <c r="L320" s="22">
        <v>349</v>
      </c>
      <c r="M320" s="22">
        <v>713</v>
      </c>
      <c r="N320" s="45">
        <f t="shared" si="611"/>
        <v>418</v>
      </c>
      <c r="O320" s="22">
        <f t="shared" ref="O320" si="1034">SUM(B320,D320,F320,H320,J320,L320)</f>
        <v>882</v>
      </c>
      <c r="P320" s="22">
        <f t="shared" ref="P320" si="1035">SUM(C320,G320,K320)</f>
        <v>810</v>
      </c>
      <c r="Q320" s="22">
        <f t="shared" ref="Q320" si="1036">SUM(C320,E320,G320,I320,K320,M320)</f>
        <v>1969</v>
      </c>
      <c r="R320" s="34">
        <f t="shared" ref="R320" si="1037">(N320-N319)/N319</f>
        <v>-1.6470588235294119E-2</v>
      </c>
      <c r="S320" s="32">
        <f t="shared" ref="S320" si="1038">N320-N319</f>
        <v>-7</v>
      </c>
      <c r="T320" s="34">
        <f t="shared" ref="T320" si="1039">(N320-N268)/N268</f>
        <v>-8.3333333333333329E-2</v>
      </c>
      <c r="U320" s="34">
        <f t="shared" ref="U320" si="1040">N320/P320</f>
        <v>0.51604938271604939</v>
      </c>
      <c r="V320" s="40">
        <f t="shared" ref="V320" si="1041">AVERAGE(B164,B216,B268)</f>
        <v>201.33333333333334</v>
      </c>
      <c r="W320" s="40">
        <f t="shared" ref="W320" si="1042">AVERAGE(F164,F216,F268)</f>
        <v>36.666666666666664</v>
      </c>
      <c r="X320" s="40">
        <f t="shared" ref="X320" si="1043">AVERAGE(J164,J216,J268)</f>
        <v>195.66666666666666</v>
      </c>
      <c r="Y320" s="40">
        <f t="shared" ref="Y320" si="1044">AVERAGE(N164,N216,N268)</f>
        <v>433.66666666666669</v>
      </c>
      <c r="Z320" s="59">
        <f t="shared" ref="Z320" si="1045">(N320-Y320)/Y320</f>
        <v>-3.6126056879323638E-2</v>
      </c>
      <c r="AA320" s="36"/>
    </row>
    <row r="321" spans="1:27" ht="16" thickBot="1" x14ac:dyDescent="0.4">
      <c r="A321" s="20">
        <f t="shared" si="722"/>
        <v>40789</v>
      </c>
      <c r="B321" s="22">
        <v>105</v>
      </c>
      <c r="C321" s="22">
        <v>167</v>
      </c>
      <c r="D321" s="22">
        <v>74</v>
      </c>
      <c r="E321" s="22">
        <v>331</v>
      </c>
      <c r="F321" s="22">
        <v>4</v>
      </c>
      <c r="G321" s="22">
        <v>19</v>
      </c>
      <c r="H321" s="22">
        <v>24</v>
      </c>
      <c r="I321" s="22">
        <v>57</v>
      </c>
      <c r="J321" s="22">
        <v>272</v>
      </c>
      <c r="K321" s="22">
        <v>575</v>
      </c>
      <c r="L321" s="22">
        <v>341</v>
      </c>
      <c r="M321" s="22">
        <v>605</v>
      </c>
      <c r="N321" s="45">
        <f t="shared" si="611"/>
        <v>381</v>
      </c>
      <c r="O321" s="22">
        <f t="shared" ref="O321" si="1046">SUM(B321,D321,F321,H321,J321,L321)</f>
        <v>820</v>
      </c>
      <c r="P321" s="22">
        <f t="shared" ref="P321" si="1047">SUM(C321,G321,K321)</f>
        <v>761</v>
      </c>
      <c r="Q321" s="22">
        <f t="shared" ref="Q321" si="1048">SUM(C321,E321,G321,I321,K321,M321)</f>
        <v>1754</v>
      </c>
      <c r="R321" s="34">
        <f t="shared" ref="R321" si="1049">(N321-N320)/N320</f>
        <v>-8.8516746411483258E-2</v>
      </c>
      <c r="S321" s="32">
        <f t="shared" ref="S321" si="1050">N321-N320</f>
        <v>-37</v>
      </c>
      <c r="T321" s="34">
        <f t="shared" ref="T321" si="1051">(N321-N269)/N269</f>
        <v>-6.1576354679802957E-2</v>
      </c>
      <c r="U321" s="34">
        <f t="shared" ref="U321" si="1052">N321/P321</f>
        <v>0.50065703022339025</v>
      </c>
      <c r="V321" s="40">
        <f t="shared" ref="V321" si="1053">AVERAGE(B165,B217,B269)</f>
        <v>170.33333333333334</v>
      </c>
      <c r="W321" s="40">
        <f t="shared" ref="W321" si="1054">AVERAGE(F165,F217,F269)</f>
        <v>26.666666666666668</v>
      </c>
      <c r="X321" s="40">
        <f t="shared" ref="X321" si="1055">AVERAGE(J165,J217,J269)</f>
        <v>223.33333333333334</v>
      </c>
      <c r="Y321" s="40">
        <f t="shared" ref="Y321" si="1056">AVERAGE(N165,N217,N269)</f>
        <v>420.33333333333331</v>
      </c>
      <c r="Z321" s="59">
        <f t="shared" ref="Z321" si="1057">(N321-Y321)/Y321</f>
        <v>-9.3576526566217247E-2</v>
      </c>
      <c r="AA321" s="36"/>
    </row>
    <row r="322" spans="1:27" ht="16" thickBot="1" x14ac:dyDescent="0.4">
      <c r="A322" s="20">
        <f t="shared" si="722"/>
        <v>40796</v>
      </c>
      <c r="B322" s="22">
        <v>98</v>
      </c>
      <c r="C322" s="22">
        <v>165</v>
      </c>
      <c r="D322" s="22">
        <v>104</v>
      </c>
      <c r="E322" s="22">
        <v>329</v>
      </c>
      <c r="F322" s="22">
        <v>24</v>
      </c>
      <c r="G322" s="22">
        <v>56</v>
      </c>
      <c r="H322" s="22">
        <v>13</v>
      </c>
      <c r="I322" s="22">
        <v>28</v>
      </c>
      <c r="J322" s="22">
        <v>266</v>
      </c>
      <c r="K322" s="22">
        <v>535</v>
      </c>
      <c r="L322" s="22">
        <v>320</v>
      </c>
      <c r="M322" s="22">
        <v>606</v>
      </c>
      <c r="N322" s="45">
        <f t="shared" si="611"/>
        <v>388</v>
      </c>
      <c r="O322" s="22">
        <f t="shared" ref="O322" si="1058">SUM(B322,D322,F322,H322,J322,L322)</f>
        <v>825</v>
      </c>
      <c r="P322" s="22">
        <f t="shared" ref="P322" si="1059">SUM(C322,G322,K322)</f>
        <v>756</v>
      </c>
      <c r="Q322" s="22">
        <f t="shared" ref="Q322" si="1060">SUM(C322,E322,G322,I322,K322,M322)</f>
        <v>1719</v>
      </c>
      <c r="R322" s="34">
        <f t="shared" ref="R322" si="1061">(N322-N321)/N321</f>
        <v>1.8372703412073491E-2</v>
      </c>
      <c r="S322" s="32">
        <f t="shared" ref="S322" si="1062">N322-N321</f>
        <v>7</v>
      </c>
      <c r="T322" s="34">
        <f t="shared" ref="T322" si="1063">(N322-N270)/N270</f>
        <v>-0.23622047244094488</v>
      </c>
      <c r="U322" s="34">
        <f t="shared" ref="U322" si="1064">N322/P322</f>
        <v>0.51322751322751325</v>
      </c>
      <c r="V322" s="40">
        <f t="shared" ref="V322" si="1065">AVERAGE(B166,B218,B270)</f>
        <v>140.33333333333334</v>
      </c>
      <c r="W322" s="40">
        <f t="shared" ref="W322" si="1066">AVERAGE(F166,F218,F270)</f>
        <v>30</v>
      </c>
      <c r="X322" s="40">
        <f t="shared" ref="X322" si="1067">AVERAGE(J166,J218,J270)</f>
        <v>237.66666666666666</v>
      </c>
      <c r="Y322" s="40">
        <f t="shared" ref="Y322" si="1068">AVERAGE(N166,N218,N270)</f>
        <v>408</v>
      </c>
      <c r="Z322" s="59">
        <f t="shared" ref="Z322" si="1069">(N322-Y322)/Y322</f>
        <v>-4.9019607843137254E-2</v>
      </c>
      <c r="AA322" s="36"/>
    </row>
    <row r="323" spans="1:27" ht="16" thickBot="1" x14ac:dyDescent="0.4">
      <c r="A323" s="20">
        <f t="shared" si="722"/>
        <v>40803</v>
      </c>
      <c r="B323" s="22">
        <v>135</v>
      </c>
      <c r="C323" s="22">
        <v>202</v>
      </c>
      <c r="D323" s="22">
        <v>43</v>
      </c>
      <c r="E323" s="22">
        <v>202</v>
      </c>
      <c r="F323" s="22">
        <v>24</v>
      </c>
      <c r="G323" s="22">
        <v>47</v>
      </c>
      <c r="H323" s="22">
        <v>17</v>
      </c>
      <c r="I323" s="22">
        <v>51</v>
      </c>
      <c r="J323" s="22">
        <v>234</v>
      </c>
      <c r="K323" s="22">
        <v>518</v>
      </c>
      <c r="L323" s="22">
        <v>304</v>
      </c>
      <c r="M323" s="22">
        <v>730</v>
      </c>
      <c r="N323" s="45">
        <f t="shared" si="611"/>
        <v>393</v>
      </c>
      <c r="O323" s="22">
        <f t="shared" ref="O323" si="1070">SUM(B323,D323,F323,H323,J323,L323)</f>
        <v>757</v>
      </c>
      <c r="P323" s="22">
        <f t="shared" ref="P323" si="1071">SUM(C323,G323,K323)</f>
        <v>767</v>
      </c>
      <c r="Q323" s="22">
        <f t="shared" ref="Q323" si="1072">SUM(C323,E323,G323,I323,K323,M323)</f>
        <v>1750</v>
      </c>
      <c r="R323" s="34">
        <f t="shared" ref="R323" si="1073">(N323-N322)/N322</f>
        <v>1.2886597938144329E-2</v>
      </c>
      <c r="S323" s="32">
        <f t="shared" ref="S323" si="1074">N323-N322</f>
        <v>5</v>
      </c>
      <c r="T323" s="34">
        <f t="shared" ref="T323" si="1075">(N323-N271)/N271</f>
        <v>-1.5037593984962405E-2</v>
      </c>
      <c r="U323" s="34">
        <f t="shared" ref="U323" si="1076">N323/P323</f>
        <v>0.51238591916558018</v>
      </c>
      <c r="V323" s="40">
        <f t="shared" ref="V323" si="1077">AVERAGE(B167,B219,B271)</f>
        <v>129</v>
      </c>
      <c r="W323" s="40">
        <f t="shared" ref="W323" si="1078">AVERAGE(F167,F219,F271)</f>
        <v>35.666666666666664</v>
      </c>
      <c r="X323" s="40">
        <f t="shared" ref="X323" si="1079">AVERAGE(J167,J219,J271)</f>
        <v>224.66666666666666</v>
      </c>
      <c r="Y323" s="40">
        <f t="shared" ref="Y323" si="1080">AVERAGE(N167,N219,N271)</f>
        <v>389.33333333333331</v>
      </c>
      <c r="Z323" s="59">
        <f t="shared" ref="Z323" si="1081">(N323-Y323)/Y323</f>
        <v>9.417808219178132E-3</v>
      </c>
      <c r="AA323" s="36"/>
    </row>
    <row r="324" spans="1:27" ht="16" thickBot="1" x14ac:dyDescent="0.4">
      <c r="A324" s="20">
        <f t="shared" si="722"/>
        <v>40810</v>
      </c>
      <c r="B324" s="22">
        <v>92</v>
      </c>
      <c r="C324" s="22">
        <v>130</v>
      </c>
      <c r="D324" s="22">
        <v>82</v>
      </c>
      <c r="E324" s="22">
        <v>245</v>
      </c>
      <c r="F324" s="22">
        <v>16</v>
      </c>
      <c r="G324" s="22">
        <v>33</v>
      </c>
      <c r="H324" s="22">
        <v>3</v>
      </c>
      <c r="I324" s="22">
        <v>22</v>
      </c>
      <c r="J324" s="22">
        <v>298</v>
      </c>
      <c r="K324" s="22">
        <v>553</v>
      </c>
      <c r="L324" s="22">
        <v>303</v>
      </c>
      <c r="M324" s="22">
        <v>684</v>
      </c>
      <c r="N324" s="45">
        <f t="shared" si="611"/>
        <v>406</v>
      </c>
      <c r="O324" s="22">
        <f t="shared" ref="O324" si="1082">SUM(B324,D324,F324,H324,J324,L324)</f>
        <v>794</v>
      </c>
      <c r="P324" s="22">
        <f t="shared" ref="P324" si="1083">SUM(C324,G324,K324)</f>
        <v>716</v>
      </c>
      <c r="Q324" s="22">
        <f t="shared" ref="Q324" si="1084">SUM(C324,E324,G324,I324,K324,M324)</f>
        <v>1667</v>
      </c>
      <c r="R324" s="34">
        <f t="shared" ref="R324" si="1085">(N324-N323)/N323</f>
        <v>3.3078880407124679E-2</v>
      </c>
      <c r="S324" s="32">
        <f t="shared" ref="S324" si="1086">N324-N323</f>
        <v>13</v>
      </c>
      <c r="T324" s="34">
        <f t="shared" ref="T324" si="1087">(N324-N272)/N272</f>
        <v>-0.17311608961303462</v>
      </c>
      <c r="U324" s="34">
        <f t="shared" ref="U324" si="1088">N324/P324</f>
        <v>0.56703910614525144</v>
      </c>
      <c r="V324" s="40">
        <f t="shared" ref="V324" si="1089">AVERAGE(B168,B220,B272)</f>
        <v>175.66666666666666</v>
      </c>
      <c r="W324" s="40">
        <f t="shared" ref="W324" si="1090">AVERAGE(F168,F220,F272)</f>
        <v>42</v>
      </c>
      <c r="X324" s="40">
        <f t="shared" ref="X324" si="1091">AVERAGE(J168,J220,J272)</f>
        <v>236.66666666666666</v>
      </c>
      <c r="Y324" s="40">
        <f t="shared" ref="Y324" si="1092">AVERAGE(N168,N220,N272)</f>
        <v>454.33333333333331</v>
      </c>
      <c r="Z324" s="59">
        <f t="shared" ref="Z324" si="1093">(N324-Y324)/Y324</f>
        <v>-0.10638297872340421</v>
      </c>
      <c r="AA324" s="36"/>
    </row>
    <row r="325" spans="1:27" ht="16" thickBot="1" x14ac:dyDescent="0.4">
      <c r="A325" s="20">
        <f t="shared" si="722"/>
        <v>40817</v>
      </c>
      <c r="B325" s="22">
        <v>193</v>
      </c>
      <c r="C325" s="22">
        <v>277</v>
      </c>
      <c r="D325" s="22">
        <v>90</v>
      </c>
      <c r="E325" s="22">
        <v>304</v>
      </c>
      <c r="F325" s="22">
        <v>23</v>
      </c>
      <c r="G325" s="22">
        <v>43</v>
      </c>
      <c r="H325" s="22">
        <v>19</v>
      </c>
      <c r="I325" s="22">
        <v>43</v>
      </c>
      <c r="J325" s="22">
        <v>454</v>
      </c>
      <c r="K325" s="22">
        <v>740</v>
      </c>
      <c r="L325" s="22">
        <v>323</v>
      </c>
      <c r="M325" s="22">
        <v>605</v>
      </c>
      <c r="N325" s="45">
        <f t="shared" si="611"/>
        <v>670</v>
      </c>
      <c r="O325" s="22">
        <f t="shared" ref="O325" si="1094">SUM(B325,D325,F325,H325,J325,L325)</f>
        <v>1102</v>
      </c>
      <c r="P325" s="22">
        <f t="shared" ref="P325" si="1095">SUM(C325,G325,K325)</f>
        <v>1060</v>
      </c>
      <c r="Q325" s="22">
        <f t="shared" ref="Q325" si="1096">SUM(C325,E325,G325,I325,K325,M325)</f>
        <v>2012</v>
      </c>
      <c r="R325" s="34">
        <f t="shared" ref="R325" si="1097">(N325-N324)/N324</f>
        <v>0.65024630541871919</v>
      </c>
      <c r="S325" s="32">
        <f t="shared" ref="S325" si="1098">N325-N324</f>
        <v>264</v>
      </c>
      <c r="T325" s="34">
        <f t="shared" ref="T325" si="1099">(N325-N273)/N273</f>
        <v>1.09375</v>
      </c>
      <c r="U325" s="34">
        <f t="shared" ref="U325" si="1100">N325/P325</f>
        <v>0.63207547169811318</v>
      </c>
      <c r="V325" s="40">
        <f t="shared" ref="V325" si="1101">AVERAGE(B169,B221,B273)</f>
        <v>137.66666666666666</v>
      </c>
      <c r="W325" s="40">
        <f t="shared" ref="W325" si="1102">AVERAGE(F169,F221,F273)</f>
        <v>31.666666666666668</v>
      </c>
      <c r="X325" s="40">
        <f t="shared" ref="X325" si="1103">AVERAGE(J169,J221,J273)</f>
        <v>202</v>
      </c>
      <c r="Y325" s="40">
        <f t="shared" ref="Y325" si="1104">AVERAGE(N169,N221,N273)</f>
        <v>371.33333333333331</v>
      </c>
      <c r="Z325" s="59">
        <f t="shared" ref="Z325" si="1105">(N325-Y325)/Y325</f>
        <v>0.80430879712746872</v>
      </c>
      <c r="AA325" s="36"/>
    </row>
    <row r="326" spans="1:27" ht="16" thickBot="1" x14ac:dyDescent="0.4">
      <c r="A326" s="20">
        <f t="shared" si="722"/>
        <v>40824</v>
      </c>
      <c r="B326" s="22">
        <v>132</v>
      </c>
      <c r="C326" s="22">
        <v>186</v>
      </c>
      <c r="D326" s="22">
        <v>98</v>
      </c>
      <c r="E326" s="22">
        <v>301</v>
      </c>
      <c r="F326" s="22">
        <v>21</v>
      </c>
      <c r="G326" s="22">
        <v>40</v>
      </c>
      <c r="H326" s="22">
        <v>17</v>
      </c>
      <c r="I326" s="22">
        <v>59</v>
      </c>
      <c r="J326" s="22">
        <v>249</v>
      </c>
      <c r="K326" s="22">
        <v>508</v>
      </c>
      <c r="L326" s="22">
        <v>313</v>
      </c>
      <c r="M326" s="22">
        <v>660</v>
      </c>
      <c r="N326" s="45">
        <f t="shared" si="611"/>
        <v>402</v>
      </c>
      <c r="O326" s="22">
        <f t="shared" ref="O326" si="1106">SUM(B326,D326,F326,H326,J326,L326)</f>
        <v>830</v>
      </c>
      <c r="P326" s="22">
        <f t="shared" ref="P326" si="1107">SUM(C326,G326,K326)</f>
        <v>734</v>
      </c>
      <c r="Q326" s="22">
        <f t="shared" ref="Q326" si="1108">SUM(C326,E326,G326,I326,K326,M326)</f>
        <v>1754</v>
      </c>
      <c r="R326" s="34">
        <f t="shared" ref="R326" si="1109">(N326-N325)/N325</f>
        <v>-0.4</v>
      </c>
      <c r="S326" s="32">
        <f t="shared" ref="S326" si="1110">N326-N325</f>
        <v>-268</v>
      </c>
      <c r="T326" s="34">
        <f t="shared" ref="T326" si="1111">(N326-N274)/N274</f>
        <v>-0.20553359683794467</v>
      </c>
      <c r="U326" s="34">
        <f t="shared" ref="U326" si="1112">N326/P326</f>
        <v>0.54768392370572205</v>
      </c>
      <c r="V326" s="40">
        <f t="shared" ref="V326" si="1113">AVERAGE(B170,B222,B274)</f>
        <v>177.66666666666666</v>
      </c>
      <c r="W326" s="40">
        <f t="shared" ref="W326" si="1114">AVERAGE(F170,F222,F274)</f>
        <v>35</v>
      </c>
      <c r="X326" s="40">
        <f t="shared" ref="X326" si="1115">AVERAGE(J170,J222,J274)</f>
        <v>229</v>
      </c>
      <c r="Y326" s="40">
        <f t="shared" ref="Y326" si="1116">AVERAGE(N170,N222,N274)</f>
        <v>441.66666666666669</v>
      </c>
      <c r="Z326" s="59">
        <f t="shared" ref="Z326" si="1117">(N326-Y326)/Y326</f>
        <v>-8.9811320754717025E-2</v>
      </c>
      <c r="AA326" s="36"/>
    </row>
    <row r="327" spans="1:27" ht="16" thickBot="1" x14ac:dyDescent="0.4">
      <c r="A327" s="20">
        <f t="shared" si="722"/>
        <v>40831</v>
      </c>
      <c r="B327" s="22">
        <v>135</v>
      </c>
      <c r="C327" s="22">
        <v>204</v>
      </c>
      <c r="D327" s="22">
        <v>82</v>
      </c>
      <c r="E327" s="22">
        <v>360</v>
      </c>
      <c r="F327" s="22">
        <v>27</v>
      </c>
      <c r="G327" s="22">
        <v>56</v>
      </c>
      <c r="H327" s="22">
        <v>4</v>
      </c>
      <c r="I327" s="22">
        <v>49</v>
      </c>
      <c r="J327" s="22">
        <v>252</v>
      </c>
      <c r="K327" s="22">
        <v>478</v>
      </c>
      <c r="L327" s="22">
        <v>331</v>
      </c>
      <c r="M327" s="22">
        <v>690</v>
      </c>
      <c r="N327" s="45">
        <f t="shared" si="611"/>
        <v>414</v>
      </c>
      <c r="O327" s="22">
        <f t="shared" ref="O327" si="1118">SUM(B327,D327,F327,H327,J327,L327)</f>
        <v>831</v>
      </c>
      <c r="P327" s="22">
        <f t="shared" ref="P327" si="1119">SUM(C327,G327,K327)</f>
        <v>738</v>
      </c>
      <c r="Q327" s="22">
        <f t="shared" ref="Q327" si="1120">SUM(C327,E327,G327,I327,K327,M327)</f>
        <v>1837</v>
      </c>
      <c r="R327" s="34">
        <f t="shared" ref="R327" si="1121">(N327-N326)/N326</f>
        <v>2.9850746268656716E-2</v>
      </c>
      <c r="S327" s="32">
        <f t="shared" ref="S327" si="1122">N327-N326</f>
        <v>12</v>
      </c>
      <c r="T327" s="34">
        <f t="shared" ref="T327" si="1123">(N327-N275)/N275</f>
        <v>-0.39027982326951399</v>
      </c>
      <c r="U327" s="34">
        <f t="shared" ref="U327" si="1124">N327/P327</f>
        <v>0.56097560975609762</v>
      </c>
      <c r="V327" s="40">
        <f t="shared" ref="V327" si="1125">AVERAGE(B171,B223,B275)</f>
        <v>252.66666666666666</v>
      </c>
      <c r="W327" s="40">
        <f t="shared" ref="W327" si="1126">AVERAGE(F171,F223,F275)</f>
        <v>25.666666666666668</v>
      </c>
      <c r="X327" s="40">
        <f t="shared" ref="X327" si="1127">AVERAGE(J171,J223,J275)</f>
        <v>233.33333333333334</v>
      </c>
      <c r="Y327" s="40">
        <f t="shared" ref="Y327" si="1128">AVERAGE(N171,N223,N275)</f>
        <v>511.66666666666669</v>
      </c>
      <c r="Z327" s="59">
        <f t="shared" ref="Z327" si="1129">(N327-Y327)/Y327</f>
        <v>-0.19087947882736159</v>
      </c>
      <c r="AA327" s="36"/>
    </row>
    <row r="328" spans="1:27" ht="16" thickBot="1" x14ac:dyDescent="0.4">
      <c r="A328" s="20">
        <f t="shared" si="722"/>
        <v>40838</v>
      </c>
      <c r="B328" s="22">
        <v>112</v>
      </c>
      <c r="C328" s="22">
        <v>182</v>
      </c>
      <c r="D328" s="22">
        <v>99</v>
      </c>
      <c r="E328" s="22">
        <v>416</v>
      </c>
      <c r="F328" s="22">
        <v>23</v>
      </c>
      <c r="G328" s="22">
        <v>49</v>
      </c>
      <c r="H328" s="22">
        <v>13</v>
      </c>
      <c r="I328" s="22">
        <v>54</v>
      </c>
      <c r="J328" s="22">
        <v>331</v>
      </c>
      <c r="K328" s="22">
        <v>542</v>
      </c>
      <c r="L328" s="22">
        <v>361</v>
      </c>
      <c r="M328" s="22">
        <v>758</v>
      </c>
      <c r="N328" s="45">
        <f t="shared" si="611"/>
        <v>466</v>
      </c>
      <c r="O328" s="22">
        <f t="shared" ref="O328" si="1130">SUM(B328,D328,F328,H328,J328,L328)</f>
        <v>939</v>
      </c>
      <c r="P328" s="22">
        <f t="shared" ref="P328" si="1131">SUM(C328,G328,K328)</f>
        <v>773</v>
      </c>
      <c r="Q328" s="22">
        <f t="shared" ref="Q328" si="1132">SUM(C328,E328,G328,I328,K328,M328)</f>
        <v>2001</v>
      </c>
      <c r="R328" s="34">
        <f t="shared" ref="R328" si="1133">(N328-N327)/N327</f>
        <v>0.12560386473429952</v>
      </c>
      <c r="S328" s="32">
        <f t="shared" ref="S328" si="1134">N328-N327</f>
        <v>52</v>
      </c>
      <c r="T328" s="34">
        <f t="shared" ref="T328" si="1135">(N328-N276)/N276</f>
        <v>0.67025089605734767</v>
      </c>
      <c r="U328" s="34">
        <f t="shared" ref="U328" si="1136">N328/P328</f>
        <v>0.60284605433376459</v>
      </c>
      <c r="V328" s="40">
        <f t="shared" ref="V328" si="1137">AVERAGE(B172,B224,B276)</f>
        <v>154.33333333333334</v>
      </c>
      <c r="W328" s="40">
        <f t="shared" ref="W328" si="1138">AVERAGE(F172,F224,F276)</f>
        <v>31.666666666666668</v>
      </c>
      <c r="X328" s="40">
        <f t="shared" ref="X328" si="1139">AVERAGE(J172,J224,J276)</f>
        <v>180.66666666666666</v>
      </c>
      <c r="Y328" s="40">
        <f t="shared" ref="Y328" si="1140">AVERAGE(N172,N224,N276)</f>
        <v>366.66666666666669</v>
      </c>
      <c r="Z328" s="59">
        <f t="shared" ref="Z328" si="1141">(N328-Y328)/Y328</f>
        <v>0.27090909090909082</v>
      </c>
      <c r="AA328" s="36"/>
    </row>
    <row r="329" spans="1:27" ht="16" thickBot="1" x14ac:dyDescent="0.4">
      <c r="A329" s="20">
        <f t="shared" si="722"/>
        <v>40845</v>
      </c>
      <c r="B329" s="22">
        <v>211</v>
      </c>
      <c r="C329" s="22">
        <v>259</v>
      </c>
      <c r="D329" s="22">
        <v>81</v>
      </c>
      <c r="E329" s="22">
        <v>375</v>
      </c>
      <c r="F329" s="22">
        <v>29</v>
      </c>
      <c r="G329" s="22">
        <v>51</v>
      </c>
      <c r="H329" s="22">
        <v>9</v>
      </c>
      <c r="I329" s="22">
        <v>53</v>
      </c>
      <c r="J329" s="22">
        <v>380</v>
      </c>
      <c r="K329" s="22">
        <v>677</v>
      </c>
      <c r="L329" s="22">
        <v>344</v>
      </c>
      <c r="M329" s="22">
        <v>732</v>
      </c>
      <c r="N329" s="45">
        <f t="shared" si="611"/>
        <v>620</v>
      </c>
      <c r="O329" s="22">
        <f t="shared" ref="O329" si="1142">SUM(B329,D329,F329,H329,J329,L329)</f>
        <v>1054</v>
      </c>
      <c r="P329" s="22">
        <f t="shared" ref="P329" si="1143">SUM(C329,G329,K329)</f>
        <v>987</v>
      </c>
      <c r="Q329" s="22">
        <f t="shared" ref="Q329" si="1144">SUM(C329,E329,G329,I329,K329,M329)</f>
        <v>2147</v>
      </c>
      <c r="R329" s="34">
        <f t="shared" ref="R329" si="1145">(N329-N328)/N328</f>
        <v>0.33047210300429186</v>
      </c>
      <c r="S329" s="32">
        <f t="shared" ref="S329" si="1146">N329-N328</f>
        <v>154</v>
      </c>
      <c r="T329" s="34">
        <f t="shared" ref="T329" si="1147">(N329-N277)/N277</f>
        <v>0.79190751445086704</v>
      </c>
      <c r="U329" s="34">
        <f t="shared" ref="U329" si="1148">N329/P329</f>
        <v>0.62816616008105375</v>
      </c>
      <c r="V329" s="40">
        <f t="shared" ref="V329" si="1149">AVERAGE(B173,B225,B277)</f>
        <v>185</v>
      </c>
      <c r="W329" s="40">
        <f t="shared" ref="W329" si="1150">AVERAGE(F173,F225,F277)</f>
        <v>24.333333333333332</v>
      </c>
      <c r="X329" s="40">
        <f t="shared" ref="X329" si="1151">AVERAGE(J173,J225,J277)</f>
        <v>197.33333333333334</v>
      </c>
      <c r="Y329" s="40">
        <f t="shared" ref="Y329" si="1152">AVERAGE(N173,N225,N277)</f>
        <v>406.66666666666669</v>
      </c>
      <c r="Z329" s="59">
        <f t="shared" ref="Z329" si="1153">(N329-Y329)/Y329</f>
        <v>0.52459016393442615</v>
      </c>
      <c r="AA329" s="36"/>
    </row>
    <row r="330" spans="1:27" ht="16" thickBot="1" x14ac:dyDescent="0.4">
      <c r="A330" s="20">
        <f t="shared" si="722"/>
        <v>40852</v>
      </c>
      <c r="B330" s="22">
        <v>244</v>
      </c>
      <c r="C330" s="22">
        <v>277</v>
      </c>
      <c r="D330" s="22">
        <v>91</v>
      </c>
      <c r="E330" s="22">
        <v>446</v>
      </c>
      <c r="F330" s="22">
        <v>11</v>
      </c>
      <c r="G330" s="22">
        <v>28</v>
      </c>
      <c r="H330" s="22">
        <v>11</v>
      </c>
      <c r="I330" s="22">
        <v>44</v>
      </c>
      <c r="J330" s="22">
        <v>383</v>
      </c>
      <c r="K330" s="22">
        <v>593</v>
      </c>
      <c r="L330" s="22">
        <v>288</v>
      </c>
      <c r="M330" s="22">
        <v>667</v>
      </c>
      <c r="N330" s="45">
        <f t="shared" si="611"/>
        <v>638</v>
      </c>
      <c r="O330" s="22">
        <f t="shared" ref="O330" si="1154">SUM(B330,D330,F330,H330,J330,L330)</f>
        <v>1028</v>
      </c>
      <c r="P330" s="22">
        <f t="shared" ref="P330" si="1155">SUM(C330,G330,K330)</f>
        <v>898</v>
      </c>
      <c r="Q330" s="22">
        <f t="shared" ref="Q330" si="1156">SUM(C330,E330,G330,I330,K330,M330)</f>
        <v>2055</v>
      </c>
      <c r="R330" s="34">
        <f t="shared" ref="R330" si="1157">(N330-N329)/N329</f>
        <v>2.903225806451613E-2</v>
      </c>
      <c r="S330" s="32">
        <f t="shared" ref="S330" si="1158">N330-N329</f>
        <v>18</v>
      </c>
      <c r="T330" s="34">
        <f t="shared" ref="T330" si="1159">(N330-N278)/N278</f>
        <v>-0.19035532994923857</v>
      </c>
      <c r="U330" s="34">
        <f t="shared" ref="U330" si="1160">N330/P330</f>
        <v>0.71046770601336307</v>
      </c>
      <c r="V330" s="40">
        <f t="shared" ref="V330" si="1161">AVERAGE(B174,B226,B278)</f>
        <v>283.66666666666669</v>
      </c>
      <c r="W330" s="40">
        <f t="shared" ref="W330" si="1162">AVERAGE(F174,F226,F278)</f>
        <v>35</v>
      </c>
      <c r="X330" s="40">
        <f t="shared" ref="X330" si="1163">AVERAGE(J174,J226,J278)</f>
        <v>259</v>
      </c>
      <c r="Y330" s="40">
        <f t="shared" ref="Y330" si="1164">AVERAGE(N174,N226,N278)</f>
        <v>577.66666666666663</v>
      </c>
      <c r="Z330" s="59">
        <f t="shared" ref="Z330" si="1165">(N330-Y330)/Y330</f>
        <v>0.10444316214656672</v>
      </c>
      <c r="AA330" s="36"/>
    </row>
    <row r="331" spans="1:27" ht="16" thickBot="1" x14ac:dyDescent="0.4">
      <c r="A331" s="20">
        <f t="shared" si="722"/>
        <v>40859</v>
      </c>
      <c r="B331" s="22">
        <v>257</v>
      </c>
      <c r="C331" s="22">
        <v>304</v>
      </c>
      <c r="D331" s="22">
        <v>89</v>
      </c>
      <c r="E331" s="22">
        <v>407</v>
      </c>
      <c r="F331" s="22">
        <v>11</v>
      </c>
      <c r="G331" s="22">
        <v>32</v>
      </c>
      <c r="H331" s="22">
        <v>14</v>
      </c>
      <c r="I331" s="22">
        <v>43</v>
      </c>
      <c r="J331" s="22">
        <v>373</v>
      </c>
      <c r="K331" s="22">
        <v>615</v>
      </c>
      <c r="L331" s="22">
        <v>269</v>
      </c>
      <c r="M331" s="22">
        <v>667</v>
      </c>
      <c r="N331" s="45">
        <f t="shared" si="611"/>
        <v>641</v>
      </c>
      <c r="O331" s="22">
        <f t="shared" ref="O331" si="1166">SUM(B331,D331,F331,H331,J331,L331)</f>
        <v>1013</v>
      </c>
      <c r="P331" s="22">
        <f t="shared" ref="P331" si="1167">SUM(C331,G331,K331)</f>
        <v>951</v>
      </c>
      <c r="Q331" s="22">
        <f t="shared" ref="Q331" si="1168">SUM(C331,E331,G331,I331,K331,M331)</f>
        <v>2068</v>
      </c>
      <c r="R331" s="34">
        <f t="shared" ref="R331" si="1169">(N331-N330)/N330</f>
        <v>4.7021943573667714E-3</v>
      </c>
      <c r="S331" s="32">
        <f t="shared" ref="S331" si="1170">N331-N330</f>
        <v>3</v>
      </c>
      <c r="T331" s="34">
        <f t="shared" ref="T331" si="1171">(N331-N279)/N279</f>
        <v>-0.11707988980716254</v>
      </c>
      <c r="U331" s="34">
        <f t="shared" ref="U331" si="1172">N331/P331</f>
        <v>0.67402733964248163</v>
      </c>
      <c r="V331" s="40">
        <f t="shared" ref="V331" si="1173">AVERAGE(B175,B227,B279)</f>
        <v>300.66666666666669</v>
      </c>
      <c r="W331" s="40">
        <f t="shared" ref="W331" si="1174">AVERAGE(F175,F227,F279)</f>
        <v>47</v>
      </c>
      <c r="X331" s="40">
        <f t="shared" ref="X331" si="1175">AVERAGE(J175,J227,J279)</f>
        <v>218.66666666666666</v>
      </c>
      <c r="Y331" s="40">
        <f t="shared" ref="Y331" si="1176">AVERAGE(N175,N227,N279)</f>
        <v>566.33333333333337</v>
      </c>
      <c r="Z331" s="59">
        <f t="shared" ref="Z331" si="1177">(N331-Y331)/Y331</f>
        <v>0.13184226015303113</v>
      </c>
      <c r="AA331" s="36"/>
    </row>
    <row r="332" spans="1:27" ht="16" thickBot="1" x14ac:dyDescent="0.4">
      <c r="A332" s="20">
        <f t="shared" si="722"/>
        <v>40866</v>
      </c>
      <c r="B332" s="22">
        <v>223</v>
      </c>
      <c r="C332" s="22">
        <v>237</v>
      </c>
      <c r="D332" s="22">
        <v>77</v>
      </c>
      <c r="E332" s="22">
        <v>570</v>
      </c>
      <c r="F332" s="22">
        <v>26</v>
      </c>
      <c r="G332" s="22">
        <v>47</v>
      </c>
      <c r="H332" s="22">
        <v>15</v>
      </c>
      <c r="I332" s="22">
        <v>44</v>
      </c>
      <c r="J332" s="22">
        <v>438</v>
      </c>
      <c r="K332" s="22">
        <v>670</v>
      </c>
      <c r="L332" s="22">
        <v>225</v>
      </c>
      <c r="M332" s="22">
        <v>591</v>
      </c>
      <c r="N332" s="45">
        <f t="shared" si="611"/>
        <v>687</v>
      </c>
      <c r="O332" s="22">
        <f t="shared" ref="O332" si="1178">SUM(B332,D332,F332,H332,J332,L332)</f>
        <v>1004</v>
      </c>
      <c r="P332" s="22">
        <f t="shared" ref="P332" si="1179">SUM(C332,G332,K332)</f>
        <v>954</v>
      </c>
      <c r="Q332" s="22">
        <f t="shared" ref="Q332" si="1180">SUM(C332,E332,G332,I332,K332,M332)</f>
        <v>2159</v>
      </c>
      <c r="R332" s="34">
        <f t="shared" ref="R332" si="1181">(N332-N331)/N331</f>
        <v>7.1762870514820595E-2</v>
      </c>
      <c r="S332" s="32">
        <f t="shared" ref="S332" si="1182">N332-N331</f>
        <v>46</v>
      </c>
      <c r="T332" s="34">
        <f t="shared" ref="T332" si="1183">(N332-N280)/N280</f>
        <v>6.3467492260061917E-2</v>
      </c>
      <c r="U332" s="34">
        <f t="shared" ref="U332" si="1184">N332/P332</f>
        <v>0.72012578616352196</v>
      </c>
      <c r="V332" s="40">
        <f t="shared" ref="V332" si="1185">AVERAGE(B176,B228,B280)</f>
        <v>246</v>
      </c>
      <c r="W332" s="40">
        <f t="shared" ref="W332" si="1186">AVERAGE(F176,F228,F280)</f>
        <v>28.666666666666668</v>
      </c>
      <c r="X332" s="40">
        <f t="shared" ref="X332" si="1187">AVERAGE(J176,J228,J280)</f>
        <v>231.33333333333334</v>
      </c>
      <c r="Y332" s="40">
        <f t="shared" ref="Y332" si="1188">AVERAGE(N176,N228,N280)</f>
        <v>506</v>
      </c>
      <c r="Z332" s="59">
        <f t="shared" ref="Z332" si="1189">(N332-Y332)/Y332</f>
        <v>0.35770750988142291</v>
      </c>
      <c r="AA332" s="36"/>
    </row>
    <row r="333" spans="1:27" ht="16" thickBot="1" x14ac:dyDescent="0.4">
      <c r="A333" s="20">
        <f t="shared" si="722"/>
        <v>40873</v>
      </c>
      <c r="B333" s="22">
        <v>439</v>
      </c>
      <c r="C333" s="22">
        <v>494</v>
      </c>
      <c r="D333" s="22">
        <v>91</v>
      </c>
      <c r="E333" s="22">
        <v>723</v>
      </c>
      <c r="F333" s="22">
        <v>29</v>
      </c>
      <c r="G333" s="22">
        <v>39</v>
      </c>
      <c r="H333" s="22">
        <v>40</v>
      </c>
      <c r="I333" s="22">
        <v>53</v>
      </c>
      <c r="J333" s="22">
        <v>347</v>
      </c>
      <c r="K333" s="22">
        <v>522</v>
      </c>
      <c r="L333" s="22">
        <v>251</v>
      </c>
      <c r="M333" s="22">
        <v>597</v>
      </c>
      <c r="N333" s="45">
        <f t="shared" si="611"/>
        <v>815</v>
      </c>
      <c r="O333" s="22">
        <f t="shared" ref="O333" si="1190">SUM(B333,D333,F333,H333,J333,L333)</f>
        <v>1197</v>
      </c>
      <c r="P333" s="22">
        <f t="shared" ref="P333" si="1191">SUM(C333,G333,K333)</f>
        <v>1055</v>
      </c>
      <c r="Q333" s="22">
        <f t="shared" ref="Q333" si="1192">SUM(C333,E333,G333,I333,K333,M333)</f>
        <v>2428</v>
      </c>
      <c r="R333" s="34">
        <f t="shared" ref="R333" si="1193">(N333-N332)/N332</f>
        <v>0.18631732168850074</v>
      </c>
      <c r="S333" s="32">
        <f t="shared" ref="S333" si="1194">N333-N332</f>
        <v>128</v>
      </c>
      <c r="T333" s="34">
        <f t="shared" ref="T333" si="1195">(N333-N281)/N281</f>
        <v>0.28144654088050314</v>
      </c>
      <c r="U333" s="34">
        <f t="shared" ref="U333" si="1196">N333/P333</f>
        <v>0.77251184834123221</v>
      </c>
      <c r="V333" s="40">
        <f t="shared" ref="V333" si="1197">AVERAGE(B177,B229,B281)</f>
        <v>351.33333333333331</v>
      </c>
      <c r="W333" s="40">
        <f t="shared" ref="W333" si="1198">AVERAGE(F177,F229,F281)</f>
        <v>37.666666666666664</v>
      </c>
      <c r="X333" s="40">
        <f t="shared" ref="X333" si="1199">AVERAGE(J177,J229,J281)</f>
        <v>222.66666666666666</v>
      </c>
      <c r="Y333" s="40">
        <f t="shared" ref="Y333" si="1200">AVERAGE(N177,N229,N281)</f>
        <v>611.66666666666663</v>
      </c>
      <c r="Z333" s="59">
        <f t="shared" ref="Z333" si="1201">(N333-Y333)/Y333</f>
        <v>0.33242506811989109</v>
      </c>
      <c r="AA333" s="36"/>
    </row>
    <row r="334" spans="1:27" ht="16" thickBot="1" x14ac:dyDescent="0.4">
      <c r="A334" s="20">
        <f t="shared" si="722"/>
        <v>40880</v>
      </c>
      <c r="B334" s="22">
        <v>396</v>
      </c>
      <c r="C334" s="22">
        <v>425</v>
      </c>
      <c r="D334" s="22">
        <v>91</v>
      </c>
      <c r="E334" s="22">
        <v>666</v>
      </c>
      <c r="F334" s="22">
        <v>8</v>
      </c>
      <c r="G334" s="22">
        <v>21</v>
      </c>
      <c r="H334" s="22">
        <v>15</v>
      </c>
      <c r="I334" s="22">
        <v>42</v>
      </c>
      <c r="J334" s="22">
        <v>352</v>
      </c>
      <c r="K334" s="22">
        <v>512</v>
      </c>
      <c r="L334" s="22">
        <v>235</v>
      </c>
      <c r="M334" s="22">
        <v>543</v>
      </c>
      <c r="N334" s="45">
        <f t="shared" si="611"/>
        <v>756</v>
      </c>
      <c r="O334" s="22">
        <f t="shared" ref="O334" si="1202">SUM(B334,D334,F334,H334,J334,L334)</f>
        <v>1097</v>
      </c>
      <c r="P334" s="22">
        <f t="shared" ref="P334" si="1203">SUM(C334,G334,K334)</f>
        <v>958</v>
      </c>
      <c r="Q334" s="22">
        <f t="shared" ref="Q334" si="1204">SUM(C334,E334,G334,I334,K334,M334)</f>
        <v>2209</v>
      </c>
      <c r="R334" s="34">
        <f t="shared" ref="R334" si="1205">(N334-N333)/N333</f>
        <v>-7.2392638036809814E-2</v>
      </c>
      <c r="S334" s="32">
        <f t="shared" ref="S334" si="1206">N334-N333</f>
        <v>-59</v>
      </c>
      <c r="T334" s="34">
        <f t="shared" ref="T334" si="1207">(N334-N282)/N282</f>
        <v>-6.5703022339027592E-3</v>
      </c>
      <c r="U334" s="34">
        <f t="shared" ref="U334" si="1208">N334/P334</f>
        <v>0.78914405010438415</v>
      </c>
      <c r="V334" s="40">
        <f t="shared" ref="V334" si="1209">AVERAGE(B178,B230,B282)</f>
        <v>293.66666666666669</v>
      </c>
      <c r="W334" s="40">
        <f t="shared" ref="W334" si="1210">AVERAGE(F178,F230,F282)</f>
        <v>37</v>
      </c>
      <c r="X334" s="40">
        <f t="shared" ref="X334" si="1211">AVERAGE(J178,J230,J282)</f>
        <v>256.66666666666669</v>
      </c>
      <c r="Y334" s="40">
        <f t="shared" ref="Y334" si="1212">AVERAGE(N178,N230,N282)</f>
        <v>587.33333333333337</v>
      </c>
      <c r="Z334" s="59">
        <f t="shared" ref="Z334" si="1213">(N334-Y334)/Y334</f>
        <v>0.28717366628830865</v>
      </c>
      <c r="AA334" s="36"/>
    </row>
    <row r="335" spans="1:27" ht="16" thickBot="1" x14ac:dyDescent="0.4">
      <c r="A335" s="20">
        <f t="shared" si="722"/>
        <v>40887</v>
      </c>
      <c r="B335" s="22">
        <v>402</v>
      </c>
      <c r="C335" s="22">
        <v>429</v>
      </c>
      <c r="D335" s="22">
        <v>85</v>
      </c>
      <c r="E335" s="22">
        <v>685</v>
      </c>
      <c r="F335" s="22">
        <v>23</v>
      </c>
      <c r="G335" s="22">
        <v>38</v>
      </c>
      <c r="H335" s="22">
        <v>11</v>
      </c>
      <c r="I335" s="22">
        <v>30</v>
      </c>
      <c r="J335" s="22">
        <v>383</v>
      </c>
      <c r="K335" s="22">
        <v>584</v>
      </c>
      <c r="L335" s="22">
        <v>284</v>
      </c>
      <c r="M335" s="22">
        <v>667</v>
      </c>
      <c r="N335" s="45">
        <f t="shared" si="611"/>
        <v>808</v>
      </c>
      <c r="O335" s="22">
        <f t="shared" ref="O335" si="1214">SUM(B335,D335,F335,H335,J335,L335)</f>
        <v>1188</v>
      </c>
      <c r="P335" s="22">
        <f t="shared" ref="P335" si="1215">SUM(C335,G335,K335)</f>
        <v>1051</v>
      </c>
      <c r="Q335" s="22">
        <f t="shared" ref="Q335" si="1216">SUM(C335,E335,G335,I335,K335,M335)</f>
        <v>2433</v>
      </c>
      <c r="R335" s="34">
        <f t="shared" ref="R335" si="1217">(N335-N334)/N334</f>
        <v>6.8783068783068779E-2</v>
      </c>
      <c r="S335" s="32">
        <f t="shared" ref="S335" si="1218">N335-N334</f>
        <v>52</v>
      </c>
      <c r="T335" s="34">
        <f t="shared" ref="T335" si="1219">(N335-N283)/N283</f>
        <v>0.20958083832335328</v>
      </c>
      <c r="U335" s="34">
        <f t="shared" ref="U335" si="1220">N335/P335</f>
        <v>0.76879162702188397</v>
      </c>
      <c r="V335" s="40">
        <f t="shared" ref="V335" si="1221">AVERAGE(B179,B231,B283)</f>
        <v>298.33333333333331</v>
      </c>
      <c r="W335" s="40">
        <f t="shared" ref="W335" si="1222">AVERAGE(F179,F231,F283)</f>
        <v>54.333333333333336</v>
      </c>
      <c r="X335" s="40">
        <f t="shared" ref="X335" si="1223">AVERAGE(J179,J231,J283)</f>
        <v>203.33333333333334</v>
      </c>
      <c r="Y335" s="40">
        <f t="shared" ref="Y335" si="1224">AVERAGE(N179,N231,N283)</f>
        <v>556</v>
      </c>
      <c r="Z335" s="59">
        <f t="shared" ref="Z335" si="1225">(N335-Y335)/Y335</f>
        <v>0.45323741007194246</v>
      </c>
      <c r="AA335" s="36"/>
    </row>
    <row r="336" spans="1:27" ht="16" thickBot="1" x14ac:dyDescent="0.4">
      <c r="A336" s="20">
        <f t="shared" si="722"/>
        <v>40894</v>
      </c>
      <c r="B336" s="22">
        <v>320</v>
      </c>
      <c r="C336" s="22">
        <v>354</v>
      </c>
      <c r="D336" s="22">
        <v>106</v>
      </c>
      <c r="E336" s="22">
        <v>610</v>
      </c>
      <c r="F336" s="22">
        <v>18</v>
      </c>
      <c r="G336" s="22">
        <v>34</v>
      </c>
      <c r="H336" s="22">
        <v>29</v>
      </c>
      <c r="I336" s="22">
        <v>46</v>
      </c>
      <c r="J336" s="22">
        <v>333</v>
      </c>
      <c r="K336" s="22">
        <v>523</v>
      </c>
      <c r="L336" s="22">
        <v>261</v>
      </c>
      <c r="M336" s="22">
        <v>603</v>
      </c>
      <c r="N336" s="45">
        <f t="shared" ref="N336:N376" si="1226">SUM(B336,F336,J336)</f>
        <v>671</v>
      </c>
      <c r="O336" s="22">
        <f t="shared" ref="O336" si="1227">SUM(B336,D336,F336,H336,J336,L336)</f>
        <v>1067</v>
      </c>
      <c r="P336" s="22">
        <f t="shared" ref="P336" si="1228">SUM(C336,G336,K336)</f>
        <v>911</v>
      </c>
      <c r="Q336" s="22">
        <f t="shared" ref="Q336" si="1229">SUM(C336,E336,G336,I336,K336,M336)</f>
        <v>2170</v>
      </c>
      <c r="R336" s="34">
        <f t="shared" ref="R336" si="1230">(N336-N335)/N335</f>
        <v>-0.16955445544554457</v>
      </c>
      <c r="S336" s="32">
        <f t="shared" ref="S336" si="1231">N336-N335</f>
        <v>-137</v>
      </c>
      <c r="T336" s="34">
        <f t="shared" ref="T336" si="1232">(N336-N284)/N284</f>
        <v>0.13536379018612521</v>
      </c>
      <c r="U336" s="34">
        <f t="shared" ref="U336" si="1233">N336/P336</f>
        <v>0.73655323819978047</v>
      </c>
      <c r="V336" s="40">
        <f t="shared" ref="V336" si="1234">AVERAGE(B180,B232,B284)</f>
        <v>246.66666666666666</v>
      </c>
      <c r="W336" s="40">
        <f t="shared" ref="W336" si="1235">AVERAGE(F180,F232,F284)</f>
        <v>33.333333333333336</v>
      </c>
      <c r="X336" s="40">
        <f t="shared" ref="X336" si="1236">AVERAGE(J180,J232,J284)</f>
        <v>300</v>
      </c>
      <c r="Y336" s="40">
        <f t="shared" ref="Y336" si="1237">AVERAGE(N180,N232,N284)</f>
        <v>580</v>
      </c>
      <c r="Z336" s="59">
        <f t="shared" ref="Z336" si="1238">(N336-Y336)/Y336</f>
        <v>0.15689655172413794</v>
      </c>
      <c r="AA336" s="36"/>
    </row>
    <row r="337" spans="1:27" ht="16" thickBot="1" x14ac:dyDescent="0.4">
      <c r="A337" s="20">
        <f t="shared" si="722"/>
        <v>40901</v>
      </c>
      <c r="B337" s="22">
        <v>234</v>
      </c>
      <c r="C337" s="22">
        <v>270</v>
      </c>
      <c r="D337" s="22">
        <v>60</v>
      </c>
      <c r="E337" s="22">
        <v>381</v>
      </c>
      <c r="F337" s="22">
        <v>9</v>
      </c>
      <c r="G337" s="22">
        <v>15</v>
      </c>
      <c r="H337" s="22">
        <v>6</v>
      </c>
      <c r="I337" s="22">
        <v>31</v>
      </c>
      <c r="J337" s="22">
        <v>462</v>
      </c>
      <c r="K337" s="22">
        <v>682</v>
      </c>
      <c r="L337" s="22">
        <v>274</v>
      </c>
      <c r="M337" s="22">
        <v>703</v>
      </c>
      <c r="N337" s="45">
        <f t="shared" si="1226"/>
        <v>705</v>
      </c>
      <c r="O337" s="22">
        <f t="shared" ref="O337" si="1239">SUM(B337,D337,F337,H337,J337,L337)</f>
        <v>1045</v>
      </c>
      <c r="P337" s="22">
        <f t="shared" ref="P337" si="1240">SUM(C337,G337,K337)</f>
        <v>967</v>
      </c>
      <c r="Q337" s="22">
        <f t="shared" ref="Q337" si="1241">SUM(C337,E337,G337,I337,K337,M337)</f>
        <v>2082</v>
      </c>
      <c r="R337" s="34">
        <f t="shared" ref="R337" si="1242">(N337-N336)/N336</f>
        <v>5.0670640834575259E-2</v>
      </c>
      <c r="S337" s="32">
        <f t="shared" ref="S337" si="1243">N337-N336</f>
        <v>34</v>
      </c>
      <c r="T337" s="34">
        <f t="shared" ref="T337" si="1244">(N337-N285)/N285</f>
        <v>7.7981651376146793E-2</v>
      </c>
      <c r="U337" s="34">
        <f t="shared" ref="U337" si="1245">N337/P337</f>
        <v>0.72905894519131331</v>
      </c>
      <c r="V337" s="40">
        <f t="shared" ref="V337" si="1246">AVERAGE(B181,B233,B285)</f>
        <v>196.66666666666666</v>
      </c>
      <c r="W337" s="40">
        <f t="shared" ref="W337" si="1247">AVERAGE(F181,F233,F285)</f>
        <v>31</v>
      </c>
      <c r="X337" s="40">
        <f t="shared" ref="X337" si="1248">AVERAGE(J181,J233,J285)</f>
        <v>196</v>
      </c>
      <c r="Y337" s="40">
        <f t="shared" ref="Y337" si="1249">AVERAGE(N181,N233,N285)</f>
        <v>423.66666666666669</v>
      </c>
      <c r="Z337" s="59">
        <f t="shared" ref="Z337" si="1250">(N337-Y337)/Y337</f>
        <v>0.66404405979543657</v>
      </c>
      <c r="AA337" s="36"/>
    </row>
    <row r="338" spans="1:27" ht="16" thickBot="1" x14ac:dyDescent="0.4">
      <c r="A338" s="20">
        <f t="shared" si="722"/>
        <v>40908</v>
      </c>
      <c r="B338" s="22">
        <v>214</v>
      </c>
      <c r="C338" s="22">
        <v>246</v>
      </c>
      <c r="D338" s="22">
        <v>34</v>
      </c>
      <c r="E338" s="22">
        <v>259</v>
      </c>
      <c r="F338" s="22">
        <v>17</v>
      </c>
      <c r="G338" s="22">
        <v>37</v>
      </c>
      <c r="H338" s="22">
        <v>14</v>
      </c>
      <c r="I338" s="22">
        <v>39</v>
      </c>
      <c r="J338" s="22">
        <v>302</v>
      </c>
      <c r="K338" s="22">
        <v>521</v>
      </c>
      <c r="L338" s="22">
        <v>269</v>
      </c>
      <c r="M338" s="22">
        <v>588</v>
      </c>
      <c r="N338" s="45">
        <f t="shared" si="1226"/>
        <v>533</v>
      </c>
      <c r="O338" s="22">
        <f t="shared" ref="O338" si="1251">SUM(B338,D338,F338,H338,J338,L338)</f>
        <v>850</v>
      </c>
      <c r="P338" s="22">
        <f t="shared" ref="P338" si="1252">SUM(C338,G338,K338)</f>
        <v>804</v>
      </c>
      <c r="Q338" s="22">
        <f t="shared" ref="Q338" si="1253">SUM(C338,E338,G338,I338,K338,M338)</f>
        <v>1690</v>
      </c>
      <c r="R338" s="34">
        <f t="shared" ref="R338" si="1254">(N338-N337)/N337</f>
        <v>-0.24397163120567375</v>
      </c>
      <c r="S338" s="32">
        <f t="shared" ref="S338" si="1255">N338-N337</f>
        <v>-172</v>
      </c>
      <c r="T338" s="34">
        <f t="shared" ref="T338" si="1256">(N338-N286)/N286</f>
        <v>9.8969072164948449E-2</v>
      </c>
      <c r="U338" s="34">
        <f t="shared" ref="U338" si="1257">N338/P338</f>
        <v>0.66293532338308458</v>
      </c>
      <c r="V338" s="40">
        <f t="shared" ref="V338" si="1258">AVERAGE(B182,B234,B286)</f>
        <v>221.33333333333334</v>
      </c>
      <c r="W338" s="40">
        <f t="shared" ref="W338" si="1259">AVERAGE(F182,F234,F286)</f>
        <v>27</v>
      </c>
      <c r="X338" s="40">
        <f t="shared" ref="X338" si="1260">AVERAGE(J182,J234,J286)</f>
        <v>178.66666666666666</v>
      </c>
      <c r="Y338" s="40">
        <f t="shared" ref="Y338" si="1261">AVERAGE(N182,N234,N286)</f>
        <v>427</v>
      </c>
      <c r="Z338" s="59">
        <f t="shared" ref="Z338" si="1262">(N338-Y338)/Y338</f>
        <v>0.24824355971896955</v>
      </c>
      <c r="AA338" s="36"/>
    </row>
    <row r="339" spans="1:27" ht="16" thickBot="1" x14ac:dyDescent="0.4">
      <c r="A339" s="20">
        <f t="shared" si="722"/>
        <v>40915</v>
      </c>
      <c r="B339" s="22">
        <v>231</v>
      </c>
      <c r="C339" s="22">
        <v>258</v>
      </c>
      <c r="D339" s="22">
        <v>51</v>
      </c>
      <c r="E339" s="22">
        <v>267</v>
      </c>
      <c r="F339" s="22">
        <v>16</v>
      </c>
      <c r="G339" s="22">
        <v>44</v>
      </c>
      <c r="H339" s="22">
        <v>14</v>
      </c>
      <c r="I339" s="22">
        <v>34</v>
      </c>
      <c r="J339" s="22">
        <v>370</v>
      </c>
      <c r="K339" s="22">
        <v>598</v>
      </c>
      <c r="L339" s="22">
        <v>244</v>
      </c>
      <c r="M339" s="22">
        <v>584</v>
      </c>
      <c r="N339" s="45">
        <f t="shared" si="1226"/>
        <v>617</v>
      </c>
      <c r="O339" s="22">
        <f t="shared" ref="O339" si="1263">SUM(B339,D339,F339,H339,J339,L339)</f>
        <v>926</v>
      </c>
      <c r="P339" s="22">
        <f t="shared" ref="P339" si="1264">SUM(C339,G339,K339)</f>
        <v>900</v>
      </c>
      <c r="Q339" s="22">
        <f t="shared" ref="Q339" si="1265">SUM(C339,E339,G339,I339,K339,M339)</f>
        <v>1785</v>
      </c>
      <c r="R339" s="34">
        <f t="shared" ref="R339" si="1266">(N339-N338)/N338</f>
        <v>0.1575984990619137</v>
      </c>
      <c r="S339" s="32">
        <f t="shared" ref="S339" si="1267">N339-N338</f>
        <v>84</v>
      </c>
      <c r="T339" s="34">
        <f t="shared" ref="T339" si="1268">(N339-N287)/N287</f>
        <v>-1.5948963317384369E-2</v>
      </c>
      <c r="U339" s="34">
        <f t="shared" ref="U339" si="1269">N339/P339</f>
        <v>0.68555555555555558</v>
      </c>
      <c r="V339" s="40">
        <f t="shared" ref="V339" si="1270">AVERAGE(B183,B235,B287)</f>
        <v>193</v>
      </c>
      <c r="W339" s="40">
        <f t="shared" ref="W339" si="1271">AVERAGE(F183,F235,F287)</f>
        <v>40.666666666666664</v>
      </c>
      <c r="X339" s="40">
        <f t="shared" ref="X339" si="1272">AVERAGE(J183,J235,J287)</f>
        <v>244</v>
      </c>
      <c r="Y339" s="40">
        <f t="shared" ref="Y339" si="1273">AVERAGE(N183,N235,N287)</f>
        <v>477.66666666666669</v>
      </c>
      <c r="Z339" s="59">
        <f t="shared" ref="Z339" si="1274">(N339-Y339)/Y339</f>
        <v>0.29169574319609204</v>
      </c>
      <c r="AA339" s="36"/>
    </row>
    <row r="340" spans="1:27" ht="16" thickBot="1" x14ac:dyDescent="0.4">
      <c r="A340" s="20">
        <f t="shared" si="722"/>
        <v>40922</v>
      </c>
      <c r="B340" s="22">
        <v>293</v>
      </c>
      <c r="C340" s="22">
        <v>318</v>
      </c>
      <c r="D340" s="22">
        <v>54</v>
      </c>
      <c r="E340" s="22">
        <v>260</v>
      </c>
      <c r="F340" s="22">
        <v>11</v>
      </c>
      <c r="G340" s="22">
        <v>26</v>
      </c>
      <c r="H340" s="22">
        <v>11</v>
      </c>
      <c r="I340" s="22">
        <v>40</v>
      </c>
      <c r="J340" s="22">
        <v>373</v>
      </c>
      <c r="K340" s="22">
        <v>602</v>
      </c>
      <c r="L340" s="22">
        <v>298</v>
      </c>
      <c r="M340" s="22">
        <v>760</v>
      </c>
      <c r="N340" s="45">
        <f t="shared" si="1226"/>
        <v>677</v>
      </c>
      <c r="O340" s="22">
        <f t="shared" ref="O340" si="1275">SUM(B340,D340,F340,H340,J340,L340)</f>
        <v>1040</v>
      </c>
      <c r="P340" s="22">
        <f t="shared" ref="P340" si="1276">SUM(C340,G340,K340)</f>
        <v>946</v>
      </c>
      <c r="Q340" s="22">
        <f t="shared" ref="Q340" si="1277">SUM(C340,E340,G340,I340,K340,M340)</f>
        <v>2006</v>
      </c>
      <c r="R340" s="34">
        <f t="shared" ref="R340" si="1278">(N340-N339)/N339</f>
        <v>9.7244732576985418E-2</v>
      </c>
      <c r="S340" s="32">
        <f t="shared" ref="S340" si="1279">N340-N339</f>
        <v>60</v>
      </c>
      <c r="T340" s="34">
        <f t="shared" ref="T340" si="1280">(N340-N288)/N288</f>
        <v>0.61961722488038273</v>
      </c>
      <c r="U340" s="34">
        <f t="shared" ref="U340" si="1281">N340/P340</f>
        <v>0.71564482029598309</v>
      </c>
      <c r="V340" s="40">
        <f t="shared" ref="V340" si="1282">AVERAGE(B184,B236,B288)</f>
        <v>140</v>
      </c>
      <c r="W340" s="40">
        <f t="shared" ref="W340" si="1283">AVERAGE(F184,F236,F288)</f>
        <v>32.666666666666664</v>
      </c>
      <c r="X340" s="40">
        <f t="shared" ref="X340" si="1284">AVERAGE(J184,J236,J288)</f>
        <v>207</v>
      </c>
      <c r="Y340" s="40">
        <f t="shared" ref="Y340" si="1285">AVERAGE(N184,N236,N288)</f>
        <v>379.66666666666669</v>
      </c>
      <c r="Z340" s="59">
        <f t="shared" ref="Z340" si="1286">(N340-Y340)/Y340</f>
        <v>0.7831431079894644</v>
      </c>
      <c r="AA340" s="36"/>
    </row>
    <row r="341" spans="1:27" ht="16" thickBot="1" x14ac:dyDescent="0.4">
      <c r="A341" s="20">
        <f t="shared" si="722"/>
        <v>40929</v>
      </c>
      <c r="B341" s="22">
        <v>224</v>
      </c>
      <c r="C341" s="22">
        <v>257</v>
      </c>
      <c r="D341" s="22">
        <v>51</v>
      </c>
      <c r="E341" s="22">
        <v>365</v>
      </c>
      <c r="F341" s="22">
        <v>11</v>
      </c>
      <c r="G341" s="22">
        <v>29</v>
      </c>
      <c r="H341" s="22">
        <v>15</v>
      </c>
      <c r="I341" s="22">
        <v>44</v>
      </c>
      <c r="J341" s="22">
        <v>445</v>
      </c>
      <c r="K341" s="22">
        <v>717</v>
      </c>
      <c r="L341" s="22">
        <v>281</v>
      </c>
      <c r="M341" s="22">
        <v>664</v>
      </c>
      <c r="N341" s="45">
        <f t="shared" si="1226"/>
        <v>680</v>
      </c>
      <c r="O341" s="22">
        <f t="shared" ref="O341" si="1287">SUM(B341,D341,F341,H341,J341,L341)</f>
        <v>1027</v>
      </c>
      <c r="P341" s="22">
        <f t="shared" ref="P341" si="1288">SUM(C341,G341,K341)</f>
        <v>1003</v>
      </c>
      <c r="Q341" s="22">
        <f t="shared" ref="Q341" si="1289">SUM(C341,E341,G341,I341,K341,M341)</f>
        <v>2076</v>
      </c>
      <c r="R341" s="34">
        <f t="shared" ref="R341" si="1290">(N341-N340)/N340</f>
        <v>4.4313146233382573E-3</v>
      </c>
      <c r="S341" s="32">
        <f t="shared" ref="S341" si="1291">N341-N340</f>
        <v>3</v>
      </c>
      <c r="T341" s="34">
        <f t="shared" ref="T341" si="1292">(N341-N289)/N289</f>
        <v>0.38775510204081631</v>
      </c>
      <c r="U341" s="34">
        <f t="shared" ref="U341" si="1293">N341/P341</f>
        <v>0.67796610169491522</v>
      </c>
      <c r="V341" s="40">
        <f t="shared" ref="V341" si="1294">AVERAGE(B185,B237,B289)</f>
        <v>126.33333333333333</v>
      </c>
      <c r="W341" s="40">
        <f t="shared" ref="W341" si="1295">AVERAGE(F185,F237,F289)</f>
        <v>23.666666666666668</v>
      </c>
      <c r="X341" s="40">
        <f t="shared" ref="X341" si="1296">AVERAGE(J185,J237,J289)</f>
        <v>246.66666666666666</v>
      </c>
      <c r="Y341" s="40">
        <f t="shared" ref="Y341" si="1297">AVERAGE(N185,N237,N289)</f>
        <v>396.66666666666669</v>
      </c>
      <c r="Z341" s="59">
        <f t="shared" ref="Z341" si="1298">(N341-Y341)/Y341</f>
        <v>0.71428571428571419</v>
      </c>
      <c r="AA341" s="36"/>
    </row>
    <row r="342" spans="1:27" ht="16" thickBot="1" x14ac:dyDescent="0.4">
      <c r="A342" s="20">
        <f t="shared" si="722"/>
        <v>40936</v>
      </c>
      <c r="B342" s="22">
        <v>301</v>
      </c>
      <c r="C342" s="22">
        <v>335</v>
      </c>
      <c r="D342" s="22">
        <v>31</v>
      </c>
      <c r="E342" s="22">
        <v>279</v>
      </c>
      <c r="F342" s="22">
        <v>23</v>
      </c>
      <c r="G342" s="22">
        <v>27</v>
      </c>
      <c r="H342" s="22">
        <v>20</v>
      </c>
      <c r="I342" s="22">
        <v>51</v>
      </c>
      <c r="J342" s="22">
        <v>296</v>
      </c>
      <c r="K342" s="22">
        <v>537</v>
      </c>
      <c r="L342" s="22">
        <v>320</v>
      </c>
      <c r="M342" s="22">
        <v>702</v>
      </c>
      <c r="N342" s="45">
        <f t="shared" si="1226"/>
        <v>620</v>
      </c>
      <c r="O342" s="22">
        <f t="shared" ref="O342" si="1299">SUM(B342,D342,F342,H342,J342,L342)</f>
        <v>991</v>
      </c>
      <c r="P342" s="22">
        <f t="shared" ref="P342" si="1300">SUM(C342,G342,K342)</f>
        <v>899</v>
      </c>
      <c r="Q342" s="22">
        <f t="shared" ref="Q342" si="1301">SUM(C342,E342,G342,I342,K342,M342)</f>
        <v>1931</v>
      </c>
      <c r="R342" s="34">
        <f t="shared" ref="R342" si="1302">(N342-N341)/N341</f>
        <v>-8.8235294117647065E-2</v>
      </c>
      <c r="S342" s="32">
        <f t="shared" ref="S342" si="1303">N342-N341</f>
        <v>-60</v>
      </c>
      <c r="T342" s="34">
        <f t="shared" ref="T342" si="1304">(N342-N290)/N290</f>
        <v>0.79190751445086704</v>
      </c>
      <c r="U342" s="34">
        <f t="shared" ref="U342" si="1305">N342/P342</f>
        <v>0.68965517241379315</v>
      </c>
      <c r="V342" s="40">
        <f t="shared" ref="V342" si="1306">AVERAGE(B186,B238,B290)</f>
        <v>140.33333333333334</v>
      </c>
      <c r="W342" s="40">
        <f t="shared" ref="W342" si="1307">AVERAGE(F186,F238,F290)</f>
        <v>37</v>
      </c>
      <c r="X342" s="40">
        <f t="shared" ref="X342" si="1308">AVERAGE(J186,J238,J290)</f>
        <v>168.33333333333334</v>
      </c>
      <c r="Y342" s="40">
        <f t="shared" ref="Y342" si="1309">AVERAGE(N186,N238,N290)</f>
        <v>345.66666666666669</v>
      </c>
      <c r="Z342" s="59">
        <f t="shared" ref="Z342" si="1310">(N342-Y342)/Y342</f>
        <v>0.79363548698167785</v>
      </c>
      <c r="AA342" s="36"/>
    </row>
    <row r="343" spans="1:27" ht="16" thickBot="1" x14ac:dyDescent="0.4">
      <c r="A343" s="20">
        <f t="shared" si="722"/>
        <v>40943</v>
      </c>
      <c r="B343" s="22">
        <v>319</v>
      </c>
      <c r="C343" s="22">
        <v>380</v>
      </c>
      <c r="D343" s="22">
        <v>58</v>
      </c>
      <c r="E343" s="22">
        <v>402</v>
      </c>
      <c r="F343" s="22">
        <v>29</v>
      </c>
      <c r="G343" s="22">
        <v>58</v>
      </c>
      <c r="H343" s="22">
        <v>9</v>
      </c>
      <c r="I343" s="22">
        <v>46</v>
      </c>
      <c r="J343" s="22">
        <v>333</v>
      </c>
      <c r="K343" s="22">
        <v>562</v>
      </c>
      <c r="L343" s="22">
        <v>314</v>
      </c>
      <c r="M343" s="22">
        <v>695</v>
      </c>
      <c r="N343" s="45">
        <f t="shared" si="1226"/>
        <v>681</v>
      </c>
      <c r="O343" s="22">
        <f t="shared" ref="O343" si="1311">SUM(B343,D343,F343,H343,J343,L343)</f>
        <v>1062</v>
      </c>
      <c r="P343" s="22">
        <f t="shared" ref="P343" si="1312">SUM(C343,G343,K343)</f>
        <v>1000</v>
      </c>
      <c r="Q343" s="22">
        <f t="shared" ref="Q343" si="1313">SUM(C343,E343,G343,I343,K343,M343)</f>
        <v>2143</v>
      </c>
      <c r="R343" s="34">
        <f t="shared" ref="R343" si="1314">(N343-N342)/N342</f>
        <v>9.838709677419355E-2</v>
      </c>
      <c r="S343" s="32">
        <f t="shared" ref="S343" si="1315">N343-N342</f>
        <v>61</v>
      </c>
      <c r="T343" s="34">
        <f t="shared" ref="T343" si="1316">(N343-N291)/N291</f>
        <v>0.52690582959641252</v>
      </c>
      <c r="U343" s="34">
        <f t="shared" ref="U343" si="1317">N343/P343</f>
        <v>0.68100000000000005</v>
      </c>
      <c r="V343" s="40">
        <f t="shared" ref="V343" si="1318">AVERAGE(B187,B239,B291)</f>
        <v>213.66666666666666</v>
      </c>
      <c r="W343" s="40">
        <f t="shared" ref="W343" si="1319">AVERAGE(F187,F239,F291)</f>
        <v>32</v>
      </c>
      <c r="X343" s="40">
        <f t="shared" ref="X343" si="1320">AVERAGE(J187,J239,J291)</f>
        <v>201</v>
      </c>
      <c r="Y343" s="40">
        <f t="shared" ref="Y343" si="1321">AVERAGE(N187,N239,N291)</f>
        <v>446.66666666666669</v>
      </c>
      <c r="Z343" s="59">
        <f t="shared" ref="Z343" si="1322">(N343-Y343)/Y343</f>
        <v>0.52462686567164174</v>
      </c>
      <c r="AA343" s="36"/>
    </row>
    <row r="344" spans="1:27" ht="16" thickBot="1" x14ac:dyDescent="0.4">
      <c r="A344" s="20">
        <f t="shared" si="722"/>
        <v>40950</v>
      </c>
      <c r="B344" s="22">
        <v>247</v>
      </c>
      <c r="C344" s="22">
        <v>257</v>
      </c>
      <c r="D344" s="22">
        <v>45</v>
      </c>
      <c r="E344" s="22">
        <v>376</v>
      </c>
      <c r="F344" s="22">
        <v>21</v>
      </c>
      <c r="G344" s="22">
        <v>48</v>
      </c>
      <c r="H344" s="22">
        <v>12</v>
      </c>
      <c r="I344" s="22">
        <v>45</v>
      </c>
      <c r="J344" s="22">
        <v>319</v>
      </c>
      <c r="K344" s="22">
        <v>519</v>
      </c>
      <c r="L344" s="22">
        <v>292</v>
      </c>
      <c r="M344" s="22">
        <v>747</v>
      </c>
      <c r="N344" s="45">
        <f t="shared" si="1226"/>
        <v>587</v>
      </c>
      <c r="O344" s="22">
        <f t="shared" ref="O344" si="1323">SUM(B344,D344,F344,H344,J344,L344)</f>
        <v>936</v>
      </c>
      <c r="P344" s="22">
        <f t="shared" ref="P344" si="1324">SUM(C344,G344,K344)</f>
        <v>824</v>
      </c>
      <c r="Q344" s="22">
        <f t="shared" ref="Q344" si="1325">SUM(C344,E344,G344,I344,K344,M344)</f>
        <v>1992</v>
      </c>
      <c r="R344" s="34">
        <f t="shared" ref="R344" si="1326">(N344-N343)/N343</f>
        <v>-0.13803230543318648</v>
      </c>
      <c r="S344" s="32">
        <f t="shared" ref="S344" si="1327">N344-N343</f>
        <v>-94</v>
      </c>
      <c r="T344" s="34">
        <f t="shared" ref="T344" si="1328">(N344-N292)/N292</f>
        <v>0.50899742930591263</v>
      </c>
      <c r="U344" s="34">
        <f t="shared" ref="U344" si="1329">N344/P344</f>
        <v>0.71237864077669899</v>
      </c>
      <c r="V344" s="40">
        <f t="shared" ref="V344" si="1330">AVERAGE(B188,B240,B292)</f>
        <v>218.66666666666666</v>
      </c>
      <c r="W344" s="40">
        <f t="shared" ref="W344" si="1331">AVERAGE(F188,F240,F292)</f>
        <v>42.666666666666664</v>
      </c>
      <c r="X344" s="40">
        <f t="shared" ref="X344" si="1332">AVERAGE(J188,J240,J292)</f>
        <v>236.33333333333334</v>
      </c>
      <c r="Y344" s="40">
        <f t="shared" ref="Y344" si="1333">AVERAGE(N188,N240,N292)</f>
        <v>497.66666666666669</v>
      </c>
      <c r="Z344" s="59">
        <f t="shared" ref="Z344" si="1334">(N344-Y344)/Y344</f>
        <v>0.17950435365036835</v>
      </c>
      <c r="AA344" s="36"/>
    </row>
    <row r="345" spans="1:27" ht="16" thickBot="1" x14ac:dyDescent="0.4">
      <c r="A345" s="20">
        <f t="shared" si="722"/>
        <v>40957</v>
      </c>
      <c r="B345" s="22">
        <v>275</v>
      </c>
      <c r="C345" s="22">
        <v>305</v>
      </c>
      <c r="D345" s="22">
        <v>33</v>
      </c>
      <c r="E345" s="22">
        <v>356</v>
      </c>
      <c r="F345" s="22">
        <v>18</v>
      </c>
      <c r="G345" s="22">
        <v>39</v>
      </c>
      <c r="H345" s="22">
        <v>10</v>
      </c>
      <c r="I345" s="22">
        <v>34</v>
      </c>
      <c r="J345" s="22">
        <v>262</v>
      </c>
      <c r="K345" s="22">
        <v>536</v>
      </c>
      <c r="L345" s="22">
        <v>360</v>
      </c>
      <c r="M345" s="22">
        <v>760</v>
      </c>
      <c r="N345" s="45">
        <f t="shared" si="1226"/>
        <v>555</v>
      </c>
      <c r="O345" s="22">
        <f t="shared" ref="O345" si="1335">SUM(B345,D345,F345,H345,J345,L345)</f>
        <v>958</v>
      </c>
      <c r="P345" s="22">
        <f t="shared" ref="P345" si="1336">SUM(C345,G345,K345)</f>
        <v>880</v>
      </c>
      <c r="Q345" s="22">
        <f t="shared" ref="Q345" si="1337">SUM(C345,E345,G345,I345,K345,M345)</f>
        <v>2030</v>
      </c>
      <c r="R345" s="34">
        <f t="shared" ref="R345" si="1338">(N345-N344)/N344</f>
        <v>-5.4514480408858604E-2</v>
      </c>
      <c r="S345" s="32">
        <f t="shared" ref="S345" si="1339">N345-N344</f>
        <v>-32</v>
      </c>
      <c r="T345" s="34">
        <f t="shared" ref="T345" si="1340">(N345-N293)/N293</f>
        <v>3.9325842696629212E-2</v>
      </c>
      <c r="U345" s="34">
        <f t="shared" ref="U345" si="1341">N345/P345</f>
        <v>0.63068181818181823</v>
      </c>
      <c r="V345" s="40">
        <f t="shared" ref="V345" si="1342">AVERAGE(B189,B241,B293)</f>
        <v>307.33333333333331</v>
      </c>
      <c r="W345" s="40">
        <f t="shared" ref="W345" si="1343">AVERAGE(F189,F241,F293)</f>
        <v>35.666666666666664</v>
      </c>
      <c r="X345" s="40">
        <f t="shared" ref="X345" si="1344">AVERAGE(J189,J241,J293)</f>
        <v>251</v>
      </c>
      <c r="Y345" s="40">
        <f t="shared" ref="Y345" si="1345">AVERAGE(N189,N241,N293)</f>
        <v>594</v>
      </c>
      <c r="Z345" s="59">
        <f t="shared" ref="Z345" si="1346">(N345-Y345)/Y345</f>
        <v>-6.5656565656565663E-2</v>
      </c>
      <c r="AA345" s="36"/>
    </row>
    <row r="346" spans="1:27" ht="16" thickBot="1" x14ac:dyDescent="0.4">
      <c r="A346" s="20">
        <f t="shared" si="722"/>
        <v>40964</v>
      </c>
      <c r="B346" s="22">
        <v>292</v>
      </c>
      <c r="C346" s="22">
        <v>331</v>
      </c>
      <c r="D346" s="22">
        <v>63</v>
      </c>
      <c r="E346" s="22">
        <v>307</v>
      </c>
      <c r="F346" s="22">
        <v>23</v>
      </c>
      <c r="G346" s="22">
        <v>59</v>
      </c>
      <c r="H346" s="22">
        <v>10</v>
      </c>
      <c r="I346" s="22">
        <v>58</v>
      </c>
      <c r="J346" s="22">
        <v>419</v>
      </c>
      <c r="K346" s="22">
        <v>699</v>
      </c>
      <c r="L346" s="22">
        <v>356</v>
      </c>
      <c r="M346" s="22">
        <v>730</v>
      </c>
      <c r="N346" s="45">
        <f t="shared" si="1226"/>
        <v>734</v>
      </c>
      <c r="O346" s="22">
        <f t="shared" ref="O346" si="1347">SUM(B346,D346,F346,H346,J346,L346)</f>
        <v>1163</v>
      </c>
      <c r="P346" s="22">
        <f t="shared" ref="P346" si="1348">SUM(C346,G346,K346)</f>
        <v>1089</v>
      </c>
      <c r="Q346" s="22">
        <f t="shared" ref="Q346" si="1349">SUM(C346,E346,G346,I346,K346,M346)</f>
        <v>2184</v>
      </c>
      <c r="R346" s="34">
        <f t="shared" ref="R346" si="1350">(N346-N345)/N345</f>
        <v>0.3225225225225225</v>
      </c>
      <c r="S346" s="32">
        <f t="shared" ref="S346" si="1351">N346-N345</f>
        <v>179</v>
      </c>
      <c r="T346" s="34">
        <f t="shared" ref="T346" si="1352">(N346-N294)/N294</f>
        <v>0.27874564459930312</v>
      </c>
      <c r="U346" s="34">
        <f t="shared" ref="U346" si="1353">N346/P346</f>
        <v>0.67401285583103765</v>
      </c>
      <c r="V346" s="40">
        <f t="shared" ref="V346" si="1354">AVERAGE(B190,B242,B294)</f>
        <v>317.33333333333331</v>
      </c>
      <c r="W346" s="40">
        <f t="shared" ref="W346" si="1355">AVERAGE(F190,F242,F294)</f>
        <v>33.333333333333336</v>
      </c>
      <c r="X346" s="40">
        <f t="shared" ref="X346" si="1356">AVERAGE(J190,J242,J294)</f>
        <v>214.66666666666666</v>
      </c>
      <c r="Y346" s="40">
        <f t="shared" ref="Y346" si="1357">AVERAGE(N190,N242,N294)</f>
        <v>565.33333333333337</v>
      </c>
      <c r="Z346" s="59">
        <f t="shared" ref="Z346" si="1358">(N346-Y346)/Y346</f>
        <v>0.29834905660377348</v>
      </c>
      <c r="AA346" s="36"/>
    </row>
    <row r="347" spans="1:27" ht="16" thickBot="1" x14ac:dyDescent="0.4">
      <c r="A347" s="20">
        <f t="shared" si="722"/>
        <v>40971</v>
      </c>
      <c r="B347" s="22">
        <v>235</v>
      </c>
      <c r="C347" s="22">
        <v>263</v>
      </c>
      <c r="D347" s="22">
        <v>24</v>
      </c>
      <c r="E347" s="22">
        <v>229</v>
      </c>
      <c r="F347" s="22">
        <v>27</v>
      </c>
      <c r="G347" s="22">
        <v>50</v>
      </c>
      <c r="H347" s="22">
        <v>32</v>
      </c>
      <c r="I347" s="22">
        <v>96</v>
      </c>
      <c r="J347" s="22">
        <v>302</v>
      </c>
      <c r="K347" s="22">
        <v>561</v>
      </c>
      <c r="L347" s="22">
        <v>402</v>
      </c>
      <c r="M347" s="22">
        <v>754</v>
      </c>
      <c r="N347" s="45">
        <f t="shared" si="1226"/>
        <v>564</v>
      </c>
      <c r="O347" s="22">
        <f t="shared" ref="O347" si="1359">SUM(B347,D347,F347,H347,J347,L347)</f>
        <v>1022</v>
      </c>
      <c r="P347" s="22">
        <f t="shared" ref="P347" si="1360">SUM(C347,G347,K347)</f>
        <v>874</v>
      </c>
      <c r="Q347" s="22">
        <f t="shared" ref="Q347" si="1361">SUM(C347,E347,G347,I347,K347,M347)</f>
        <v>1953</v>
      </c>
      <c r="R347" s="34">
        <f t="shared" ref="R347" si="1362">(N347-N346)/N346</f>
        <v>-0.23160762942779292</v>
      </c>
      <c r="S347" s="32">
        <f t="shared" ref="S347" si="1363">N347-N346</f>
        <v>-170</v>
      </c>
      <c r="T347" s="34">
        <f t="shared" ref="T347" si="1364">(N347-N295)/N295</f>
        <v>0.20512820512820512</v>
      </c>
      <c r="U347" s="34">
        <f t="shared" ref="U347" si="1365">N347/P347</f>
        <v>0.64530892448512589</v>
      </c>
      <c r="V347" s="40">
        <f t="shared" ref="V347" si="1366">AVERAGE(B191,B243,B295)</f>
        <v>403</v>
      </c>
      <c r="W347" s="40">
        <f t="shared" ref="W347" si="1367">AVERAGE(F191,F243,F295)</f>
        <v>14.666666666666666</v>
      </c>
      <c r="X347" s="40">
        <f t="shared" ref="X347" si="1368">AVERAGE(J191,J243,J295)</f>
        <v>207.66666666666666</v>
      </c>
      <c r="Y347" s="40">
        <f t="shared" ref="Y347" si="1369">AVERAGE(N191,N243,N295)</f>
        <v>625.33333333333337</v>
      </c>
      <c r="Z347" s="59">
        <f t="shared" ref="Z347" si="1370">(N347-Y347)/Y347</f>
        <v>-9.808102345415784E-2</v>
      </c>
      <c r="AA347" s="36"/>
    </row>
    <row r="348" spans="1:27" ht="16" thickBot="1" x14ac:dyDescent="0.4">
      <c r="A348" s="20">
        <f t="shared" si="722"/>
        <v>40978</v>
      </c>
      <c r="B348" s="22">
        <v>361</v>
      </c>
      <c r="C348" s="22">
        <v>411</v>
      </c>
      <c r="D348" s="22">
        <v>48</v>
      </c>
      <c r="E348" s="22">
        <v>264</v>
      </c>
      <c r="F348" s="22">
        <v>14</v>
      </c>
      <c r="G348" s="22">
        <v>38</v>
      </c>
      <c r="H348" s="22">
        <v>20</v>
      </c>
      <c r="I348" s="22">
        <v>61</v>
      </c>
      <c r="J348" s="22">
        <v>374</v>
      </c>
      <c r="K348" s="22">
        <v>605</v>
      </c>
      <c r="L348" s="22">
        <v>359</v>
      </c>
      <c r="M348" s="22">
        <v>826</v>
      </c>
      <c r="N348" s="45">
        <f t="shared" si="1226"/>
        <v>749</v>
      </c>
      <c r="O348" s="22">
        <f t="shared" ref="O348" si="1371">SUM(B348,D348,F348,H348,J348,L348)</f>
        <v>1176</v>
      </c>
      <c r="P348" s="22">
        <f t="shared" ref="P348" si="1372">SUM(C348,G348,K348)</f>
        <v>1054</v>
      </c>
      <c r="Q348" s="22">
        <f t="shared" ref="Q348" si="1373">SUM(C348,E348,G348,I348,K348,M348)</f>
        <v>2205</v>
      </c>
      <c r="R348" s="34">
        <f t="shared" ref="R348" si="1374">(N348-N347)/N347</f>
        <v>0.32801418439716312</v>
      </c>
      <c r="S348" s="32">
        <f t="shared" ref="S348" si="1375">N348-N347</f>
        <v>185</v>
      </c>
      <c r="T348" s="34">
        <f t="shared" ref="T348" si="1376">(N348-N296)/N296</f>
        <v>0.30715532286212915</v>
      </c>
      <c r="U348" s="34">
        <f t="shared" ref="U348" si="1377">N348/P348</f>
        <v>0.71062618595825422</v>
      </c>
      <c r="V348" s="40">
        <f t="shared" ref="V348" si="1378">AVERAGE(B192,B244,B296)</f>
        <v>290</v>
      </c>
      <c r="W348" s="40">
        <f t="shared" ref="W348" si="1379">AVERAGE(F192,F244,F296)</f>
        <v>30.333333333333332</v>
      </c>
      <c r="X348" s="40">
        <f t="shared" ref="X348" si="1380">AVERAGE(J192,J244,J296)</f>
        <v>228.66666666666666</v>
      </c>
      <c r="Y348" s="40">
        <f t="shared" ref="Y348" si="1381">AVERAGE(N192,N244,N296)</f>
        <v>549</v>
      </c>
      <c r="Z348" s="59">
        <f t="shared" ref="Z348" si="1382">(N348-Y348)/Y348</f>
        <v>0.36429872495446264</v>
      </c>
      <c r="AA348" s="36"/>
    </row>
    <row r="349" spans="1:27" ht="16" thickBot="1" x14ac:dyDescent="0.4">
      <c r="A349" s="20">
        <f t="shared" si="722"/>
        <v>40985</v>
      </c>
      <c r="B349" s="22">
        <v>554</v>
      </c>
      <c r="C349" s="22">
        <v>611</v>
      </c>
      <c r="D349" s="22">
        <v>34</v>
      </c>
      <c r="E349" s="22">
        <v>255</v>
      </c>
      <c r="F349" s="22">
        <v>10</v>
      </c>
      <c r="G349" s="22">
        <v>29</v>
      </c>
      <c r="H349" s="22">
        <v>19</v>
      </c>
      <c r="I349" s="22">
        <v>54</v>
      </c>
      <c r="J349" s="22">
        <v>244</v>
      </c>
      <c r="K349" s="22">
        <v>597</v>
      </c>
      <c r="L349" s="22">
        <v>421</v>
      </c>
      <c r="M349" s="22">
        <v>716</v>
      </c>
      <c r="N349" s="45">
        <f t="shared" si="1226"/>
        <v>808</v>
      </c>
      <c r="O349" s="22">
        <f t="shared" ref="O349" si="1383">SUM(B349,D349,F349,H349,J349,L349)</f>
        <v>1282</v>
      </c>
      <c r="P349" s="22">
        <f t="shared" ref="P349" si="1384">SUM(C349,G349,K349)</f>
        <v>1237</v>
      </c>
      <c r="Q349" s="22">
        <f t="shared" ref="Q349" si="1385">SUM(C349,E349,G349,I349,K349,M349)</f>
        <v>2262</v>
      </c>
      <c r="R349" s="34">
        <f t="shared" ref="R349" si="1386">(N349-N348)/N348</f>
        <v>7.8771695594125501E-2</v>
      </c>
      <c r="S349" s="32">
        <f t="shared" ref="S349" si="1387">N349-N348</f>
        <v>59</v>
      </c>
      <c r="T349" s="34">
        <f t="shared" ref="T349" si="1388">(N349-N297)/N297</f>
        <v>0.13165266106442577</v>
      </c>
      <c r="U349" s="34">
        <f t="shared" ref="U349" si="1389">N349/P349</f>
        <v>0.65319320937752623</v>
      </c>
      <c r="V349" s="40">
        <f t="shared" ref="V349" si="1390">AVERAGE(B193,B245,B297)</f>
        <v>328</v>
      </c>
      <c r="W349" s="40">
        <f t="shared" ref="W349" si="1391">AVERAGE(F193,F245,F297)</f>
        <v>38.666666666666664</v>
      </c>
      <c r="X349" s="40">
        <f t="shared" ref="X349" si="1392">AVERAGE(J193,J245,J297)</f>
        <v>217.66666666666666</v>
      </c>
      <c r="Y349" s="40">
        <f t="shared" ref="Y349" si="1393">AVERAGE(N193,N245,N297)</f>
        <v>584.33333333333337</v>
      </c>
      <c r="Z349" s="59">
        <f t="shared" ref="Z349" si="1394">(N349-Y349)/Y349</f>
        <v>0.3827723901882486</v>
      </c>
      <c r="AA349" s="36"/>
    </row>
    <row r="350" spans="1:27" ht="16" thickBot="1" x14ac:dyDescent="0.4">
      <c r="A350" s="20">
        <f t="shared" si="722"/>
        <v>40992</v>
      </c>
      <c r="B350" s="22">
        <v>358</v>
      </c>
      <c r="C350" s="22">
        <v>440</v>
      </c>
      <c r="D350" s="22">
        <v>59</v>
      </c>
      <c r="E350" s="22">
        <v>493</v>
      </c>
      <c r="F350" s="22">
        <v>6</v>
      </c>
      <c r="G350" s="22">
        <v>10</v>
      </c>
      <c r="H350" s="22">
        <v>6</v>
      </c>
      <c r="I350" s="22">
        <v>35</v>
      </c>
      <c r="J350" s="22">
        <v>360</v>
      </c>
      <c r="K350" s="22">
        <v>540</v>
      </c>
      <c r="L350" s="22">
        <v>413</v>
      </c>
      <c r="M350" s="22">
        <v>730</v>
      </c>
      <c r="N350" s="43">
        <f t="shared" si="1226"/>
        <v>724</v>
      </c>
      <c r="O350" s="22">
        <f t="shared" ref="O350:O353" si="1395">SUM(B350,D350,F350,H350,J350,L350)</f>
        <v>1202</v>
      </c>
      <c r="P350" s="22">
        <f t="shared" ref="P350:P352" si="1396">SUM(C350,G350,K350)</f>
        <v>990</v>
      </c>
      <c r="Q350" s="22">
        <f t="shared" ref="Q350:Q352" si="1397">SUM(C350,E350,G350,I350,K350,M350)</f>
        <v>2248</v>
      </c>
      <c r="R350" s="34">
        <f t="shared" ref="R350" si="1398">(N350-N349)/N349</f>
        <v>-0.10396039603960396</v>
      </c>
      <c r="S350" s="32">
        <f t="shared" ref="S350" si="1399">N350-N349</f>
        <v>-84</v>
      </c>
      <c r="T350" s="34">
        <f t="shared" ref="T350" si="1400">(N350-N298)/N298</f>
        <v>0.52742616033755274</v>
      </c>
      <c r="U350" s="34">
        <f t="shared" ref="U350" si="1401">N350/P350</f>
        <v>0.73131313131313136</v>
      </c>
      <c r="V350" s="40">
        <f t="shared" ref="V350" si="1402">AVERAGE(B194,B246,B298)</f>
        <v>299.66666666666669</v>
      </c>
      <c r="W350" s="40">
        <f t="shared" ref="W350" si="1403">AVERAGE(F194,F246,F298)</f>
        <v>23.666666666666668</v>
      </c>
      <c r="X350" s="40">
        <f t="shared" ref="X350" si="1404">AVERAGE(J194,J246,J298)</f>
        <v>199</v>
      </c>
      <c r="Y350" s="40">
        <f t="shared" ref="Y350" si="1405">AVERAGE(N194,N246,N298)</f>
        <v>522.33333333333337</v>
      </c>
      <c r="Z350" s="59">
        <f t="shared" ref="Z350" si="1406">(N350-Y350)/Y350</f>
        <v>0.38608806636885756</v>
      </c>
      <c r="AA350" s="36"/>
    </row>
    <row r="351" spans="1:27" ht="16" thickBot="1" x14ac:dyDescent="0.4">
      <c r="A351" s="20">
        <f t="shared" si="722"/>
        <v>40999</v>
      </c>
      <c r="B351" s="22">
        <v>376</v>
      </c>
      <c r="C351" s="22">
        <v>397</v>
      </c>
      <c r="D351" s="22">
        <v>57</v>
      </c>
      <c r="E351" s="22">
        <v>501</v>
      </c>
      <c r="F351" s="22">
        <v>21</v>
      </c>
      <c r="G351" s="22">
        <v>34</v>
      </c>
      <c r="H351" s="22">
        <v>9</v>
      </c>
      <c r="I351" s="22">
        <v>34</v>
      </c>
      <c r="J351" s="22">
        <v>389</v>
      </c>
      <c r="K351" s="22">
        <v>565</v>
      </c>
      <c r="L351" s="22">
        <v>293</v>
      </c>
      <c r="M351" s="22">
        <v>719</v>
      </c>
      <c r="N351" s="43">
        <f t="shared" si="1226"/>
        <v>786</v>
      </c>
      <c r="O351" s="22">
        <f t="shared" si="1395"/>
        <v>1145</v>
      </c>
      <c r="P351" s="22">
        <f t="shared" si="1396"/>
        <v>996</v>
      </c>
      <c r="Q351" s="22">
        <f t="shared" si="1397"/>
        <v>2250</v>
      </c>
      <c r="R351" s="34">
        <f t="shared" ref="R351" si="1407">(N351-N350)/N350</f>
        <v>8.5635359116022103E-2</v>
      </c>
      <c r="S351" s="32">
        <f t="shared" ref="S351" si="1408">N351-N350</f>
        <v>62</v>
      </c>
      <c r="T351" s="34">
        <f t="shared" ref="T351" si="1409">(N351-N299)/N299</f>
        <v>0.48863636363636365</v>
      </c>
      <c r="U351" s="34">
        <f t="shared" ref="U351" si="1410">N351/P351</f>
        <v>0.78915662650602414</v>
      </c>
      <c r="V351" s="40">
        <f t="shared" ref="V351" si="1411">AVERAGE(B195,B247,B299)</f>
        <v>354.33333333333331</v>
      </c>
      <c r="W351" s="40">
        <f t="shared" ref="W351" si="1412">AVERAGE(F195,F247,F299)</f>
        <v>26.333333333333332</v>
      </c>
      <c r="X351" s="40">
        <f t="shared" ref="X351" si="1413">AVERAGE(J195,J247,J299)</f>
        <v>247</v>
      </c>
      <c r="Y351" s="40">
        <f t="shared" ref="Y351" si="1414">AVERAGE(N195,N247,N299)</f>
        <v>627.66666666666663</v>
      </c>
      <c r="Z351" s="59">
        <f t="shared" ref="Z351" si="1415">(N351-Y351)/Y351</f>
        <v>0.25225703664365384</v>
      </c>
      <c r="AA351" s="36"/>
    </row>
    <row r="352" spans="1:27" ht="16" thickBot="1" x14ac:dyDescent="0.4">
      <c r="A352" s="20">
        <f t="shared" si="722"/>
        <v>41006</v>
      </c>
      <c r="B352" s="22">
        <v>328</v>
      </c>
      <c r="C352" s="22">
        <v>372</v>
      </c>
      <c r="D352" s="22">
        <v>60</v>
      </c>
      <c r="E352" s="22">
        <v>428</v>
      </c>
      <c r="F352" s="22">
        <v>8</v>
      </c>
      <c r="G352" s="22">
        <v>33</v>
      </c>
      <c r="H352" s="22">
        <v>13</v>
      </c>
      <c r="I352" s="22">
        <v>26</v>
      </c>
      <c r="J352" s="22">
        <v>174</v>
      </c>
      <c r="K352" s="22">
        <v>420</v>
      </c>
      <c r="L352" s="22">
        <v>394</v>
      </c>
      <c r="M352" s="22">
        <v>692</v>
      </c>
      <c r="N352" s="43">
        <f t="shared" si="1226"/>
        <v>510</v>
      </c>
      <c r="O352" s="22">
        <f t="shared" si="1395"/>
        <v>977</v>
      </c>
      <c r="P352" s="22">
        <f t="shared" si="1396"/>
        <v>825</v>
      </c>
      <c r="Q352" s="22">
        <f t="shared" si="1397"/>
        <v>1971</v>
      </c>
      <c r="R352" s="34">
        <f t="shared" ref="R352" si="1416">(N352-N351)/N351</f>
        <v>-0.35114503816793891</v>
      </c>
      <c r="S352" s="32">
        <f t="shared" ref="S352" si="1417">N352-N351</f>
        <v>-276</v>
      </c>
      <c r="T352" s="34">
        <f t="shared" ref="T352" si="1418">(N352-N300)/N300</f>
        <v>-0.1891891891891892</v>
      </c>
      <c r="U352" s="34">
        <f t="shared" ref="U352" si="1419">N352/P352</f>
        <v>0.61818181818181817</v>
      </c>
      <c r="V352" s="40">
        <f t="shared" ref="V352" si="1420">AVERAGE(B196,B248,B300)</f>
        <v>366.66666666666669</v>
      </c>
      <c r="W352" s="40">
        <f t="shared" ref="W352" si="1421">AVERAGE(F196,F248,F300)</f>
        <v>28.666666666666668</v>
      </c>
      <c r="X352" s="40">
        <f t="shared" ref="X352" si="1422">AVERAGE(J196,J248,J300)</f>
        <v>234.66666666666666</v>
      </c>
      <c r="Y352" s="40">
        <f t="shared" ref="Y352" si="1423">AVERAGE(N196,N248,N300)</f>
        <v>630</v>
      </c>
      <c r="Z352" s="59">
        <f t="shared" ref="Z352" si="1424">(N352-Y352)/Y352</f>
        <v>-0.19047619047619047</v>
      </c>
      <c r="AA352" s="36"/>
    </row>
    <row r="353" spans="1:27" ht="16" thickBot="1" x14ac:dyDescent="0.4">
      <c r="A353" s="20">
        <f t="shared" si="722"/>
        <v>41013</v>
      </c>
      <c r="B353" s="22">
        <v>410</v>
      </c>
      <c r="C353" s="22">
        <v>490</v>
      </c>
      <c r="D353" s="22">
        <v>48</v>
      </c>
      <c r="E353" s="22">
        <v>356</v>
      </c>
      <c r="F353" s="22">
        <v>20</v>
      </c>
      <c r="G353" s="22">
        <v>48</v>
      </c>
      <c r="H353" s="22">
        <v>15</v>
      </c>
      <c r="I353" s="22">
        <v>58</v>
      </c>
      <c r="J353" s="22">
        <v>287</v>
      </c>
      <c r="K353" s="22">
        <v>505</v>
      </c>
      <c r="L353" s="22">
        <v>262</v>
      </c>
      <c r="M353" s="22">
        <v>555</v>
      </c>
      <c r="N353" s="43">
        <f t="shared" si="1226"/>
        <v>717</v>
      </c>
      <c r="O353" s="22">
        <f t="shared" si="1395"/>
        <v>1042</v>
      </c>
      <c r="P353" s="22">
        <f t="shared" ref="P353" si="1425">SUM(C353,G353,K353)</f>
        <v>1043</v>
      </c>
      <c r="Q353" s="22">
        <f t="shared" ref="Q353" si="1426">SUM(C353,E353,G353,I353,K353,M353)</f>
        <v>2012</v>
      </c>
      <c r="R353" s="34">
        <f t="shared" ref="R353" si="1427">(N353-N352)/N352</f>
        <v>0.40588235294117647</v>
      </c>
      <c r="S353" s="32">
        <f t="shared" ref="S353" si="1428">N353-N352</f>
        <v>207</v>
      </c>
      <c r="T353" s="34">
        <f t="shared" ref="T353" si="1429">(N353-N301)/N301</f>
        <v>0.2667844522968198</v>
      </c>
      <c r="U353" s="34">
        <f t="shared" ref="U353" si="1430">N353/P353</f>
        <v>0.68744007670182172</v>
      </c>
      <c r="V353" s="40">
        <f t="shared" ref="V353" si="1431">AVERAGE(B197,B249,B301)</f>
        <v>366.33333333333331</v>
      </c>
      <c r="W353" s="40">
        <f t="shared" ref="W353" si="1432">AVERAGE(F197,F249,F301)</f>
        <v>12.333333333333334</v>
      </c>
      <c r="X353" s="40">
        <f t="shared" ref="X353" si="1433">AVERAGE(J197,J249,J301)</f>
        <v>251.66666666666666</v>
      </c>
      <c r="Y353" s="40">
        <f t="shared" ref="Y353" si="1434">AVERAGE(N197,N249,N301)</f>
        <v>630.33333333333337</v>
      </c>
      <c r="Z353" s="59">
        <f t="shared" ref="Z353" si="1435">(N353-Y353)/Y353</f>
        <v>0.13749338974087777</v>
      </c>
      <c r="AA353" s="36"/>
    </row>
    <row r="354" spans="1:27" ht="16" thickBot="1" x14ac:dyDescent="0.4">
      <c r="A354" s="20">
        <f t="shared" si="722"/>
        <v>41020</v>
      </c>
      <c r="B354" s="22">
        <v>325</v>
      </c>
      <c r="C354" s="22">
        <v>402</v>
      </c>
      <c r="D354" s="22">
        <v>64</v>
      </c>
      <c r="E354" s="22">
        <v>516</v>
      </c>
      <c r="F354" s="22">
        <v>11</v>
      </c>
      <c r="G354" s="22">
        <v>15</v>
      </c>
      <c r="H354" s="22">
        <v>20</v>
      </c>
      <c r="I354" s="22">
        <v>44</v>
      </c>
      <c r="J354" s="22">
        <v>189</v>
      </c>
      <c r="K354" s="22">
        <v>346</v>
      </c>
      <c r="L354" s="22">
        <v>240</v>
      </c>
      <c r="M354" s="22">
        <v>520</v>
      </c>
      <c r="N354" s="43">
        <f t="shared" si="1226"/>
        <v>525</v>
      </c>
      <c r="O354" s="22">
        <f t="shared" ref="O354" si="1436">SUM(B354,D354,F354,H354,J354,L354)</f>
        <v>849</v>
      </c>
      <c r="P354" s="22">
        <f t="shared" ref="P354" si="1437">SUM(C354,G354,K354)</f>
        <v>763</v>
      </c>
      <c r="Q354" s="22">
        <f t="shared" ref="Q354" si="1438">SUM(C354,E354,G354,I354,K354,M354)</f>
        <v>1843</v>
      </c>
      <c r="R354" s="34">
        <f t="shared" ref="R354" si="1439">(N354-N353)/N353</f>
        <v>-0.26778242677824265</v>
      </c>
      <c r="S354" s="32">
        <f t="shared" ref="S354" si="1440">N354-N353</f>
        <v>-192</v>
      </c>
      <c r="T354" s="34">
        <f t="shared" ref="T354" si="1441">(N354-N302)/N302</f>
        <v>-2.4163568773234202E-2</v>
      </c>
      <c r="U354" s="34">
        <f t="shared" ref="U354" si="1442">N354/P354</f>
        <v>0.68807339449541283</v>
      </c>
      <c r="V354" s="40">
        <f t="shared" ref="V354" si="1443">AVERAGE(B198,B250,B302)</f>
        <v>293.66666666666669</v>
      </c>
      <c r="W354" s="40">
        <f t="shared" ref="W354" si="1444">AVERAGE(F198,F250,F302)</f>
        <v>20.666666666666668</v>
      </c>
      <c r="X354" s="40">
        <f t="shared" ref="X354" si="1445">AVERAGE(J198,J250,J302)</f>
        <v>234.33333333333334</v>
      </c>
      <c r="Y354" s="40">
        <f t="shared" ref="Y354" si="1446">AVERAGE(N198,N250,N302)</f>
        <v>548.66666666666663</v>
      </c>
      <c r="Z354" s="59">
        <f t="shared" ref="Z354" si="1447">(N354-Y354)/Y354</f>
        <v>-4.3134872417982924E-2</v>
      </c>
      <c r="AA354" s="36"/>
    </row>
    <row r="355" spans="1:27" ht="16" thickBot="1" x14ac:dyDescent="0.4">
      <c r="A355" s="20">
        <f t="shared" si="722"/>
        <v>41027</v>
      </c>
      <c r="B355" s="22">
        <v>369</v>
      </c>
      <c r="C355" s="22">
        <v>437</v>
      </c>
      <c r="D355" s="22">
        <v>64</v>
      </c>
      <c r="E355" s="22">
        <v>453</v>
      </c>
      <c r="F355" s="22">
        <v>28</v>
      </c>
      <c r="G355" s="22">
        <v>70</v>
      </c>
      <c r="H355" s="22">
        <v>20</v>
      </c>
      <c r="I355" s="22">
        <v>73</v>
      </c>
      <c r="J355" s="62">
        <v>433</v>
      </c>
      <c r="K355" s="62"/>
      <c r="L355" s="62"/>
      <c r="M355" s="62"/>
      <c r="N355" s="43">
        <f t="shared" si="1226"/>
        <v>830</v>
      </c>
      <c r="O355" s="22">
        <f t="shared" ref="O355" si="1448">SUM(B355,D355,F355,H355,J355,L355)</f>
        <v>914</v>
      </c>
      <c r="P355" s="22">
        <f t="shared" ref="P355" si="1449">SUM(C355,G355,K355)</f>
        <v>507</v>
      </c>
      <c r="Q355" s="22">
        <f t="shared" ref="Q355" si="1450">SUM(C355,E355,G355,I355,K355,M355)</f>
        <v>1033</v>
      </c>
      <c r="R355" s="34">
        <f t="shared" ref="R355" si="1451">(N355-N354)/N354</f>
        <v>0.580952380952381</v>
      </c>
      <c r="S355" s="32">
        <f t="shared" ref="S355" si="1452">N355-N354</f>
        <v>305</v>
      </c>
      <c r="T355" s="34">
        <f t="shared" ref="T355" si="1453">(N355-N303)/N303</f>
        <v>1.0698254364089776</v>
      </c>
      <c r="U355" s="34">
        <f t="shared" ref="U355" si="1454">N355/P355</f>
        <v>1.6370808678500985</v>
      </c>
      <c r="V355" s="40">
        <f t="shared" ref="V355" si="1455">AVERAGE(B199,B251,B303)</f>
        <v>314.66666666666669</v>
      </c>
      <c r="W355" s="40">
        <f t="shared" ref="W355" si="1456">AVERAGE(F199,F251,F303)</f>
        <v>16.333333333333332</v>
      </c>
      <c r="X355" s="40">
        <f t="shared" ref="X355" si="1457">AVERAGE(J199,J251,J303)</f>
        <v>207.33333333333334</v>
      </c>
      <c r="Y355" s="40">
        <f t="shared" ref="Y355" si="1458">AVERAGE(N199,N251,N303)</f>
        <v>538.33333333333337</v>
      </c>
      <c r="Z355" s="59">
        <f t="shared" ref="Z355" si="1459">(N355-Y355)/Y355</f>
        <v>0.54179566563467485</v>
      </c>
      <c r="AA355" s="36" t="s">
        <v>34</v>
      </c>
    </row>
    <row r="356" spans="1:27" ht="16" thickBot="1" x14ac:dyDescent="0.4">
      <c r="A356" s="20">
        <f t="shared" si="722"/>
        <v>41034</v>
      </c>
      <c r="B356" s="22">
        <v>134</v>
      </c>
      <c r="C356" s="22">
        <v>152</v>
      </c>
      <c r="D356" s="22">
        <v>22</v>
      </c>
      <c r="E356" s="22">
        <v>261</v>
      </c>
      <c r="F356" s="22">
        <v>5</v>
      </c>
      <c r="G356" s="22">
        <v>13</v>
      </c>
      <c r="H356" s="22">
        <v>9</v>
      </c>
      <c r="I356" s="22">
        <v>21</v>
      </c>
      <c r="J356" s="62">
        <v>227</v>
      </c>
      <c r="K356" s="62"/>
      <c r="L356" s="62"/>
      <c r="M356" s="62"/>
      <c r="N356" s="43">
        <f t="shared" si="1226"/>
        <v>366</v>
      </c>
      <c r="O356" s="22">
        <f t="shared" ref="O356" si="1460">SUM(B356,D356,F356,H356,J356,L356)</f>
        <v>397</v>
      </c>
      <c r="P356" s="22">
        <f t="shared" ref="P356" si="1461">SUM(C356,G356,K356)</f>
        <v>165</v>
      </c>
      <c r="Q356" s="22">
        <f t="shared" ref="Q356" si="1462">SUM(C356,E356,G356,I356,K356,M356)</f>
        <v>447</v>
      </c>
      <c r="R356" s="34">
        <f t="shared" ref="R356" si="1463">(N356-N355)/N355</f>
        <v>-0.5590361445783133</v>
      </c>
      <c r="S356" s="32">
        <f t="shared" ref="S356" si="1464">N356-N355</f>
        <v>-464</v>
      </c>
      <c r="T356" s="34">
        <f t="shared" ref="T356" si="1465">(N356-N304)/N304</f>
        <v>-0.2129032258064516</v>
      </c>
      <c r="U356" s="34">
        <f t="shared" ref="U356" si="1466">N356/P356</f>
        <v>2.2181818181818183</v>
      </c>
      <c r="V356" s="40">
        <f t="shared" ref="V356" si="1467">AVERAGE(B200,B252,B304)</f>
        <v>422.33333333333331</v>
      </c>
      <c r="W356" s="40">
        <f t="shared" ref="W356" si="1468">AVERAGE(F200,F252,F304)</f>
        <v>9.3333333333333339</v>
      </c>
      <c r="X356" s="40">
        <f t="shared" ref="X356" si="1469">AVERAGE(J200,J252,J304)</f>
        <v>135</v>
      </c>
      <c r="Y356" s="40">
        <f t="shared" ref="Y356" si="1470">AVERAGE(N200,N252,N304)</f>
        <v>566.66666666666663</v>
      </c>
      <c r="Z356" s="59">
        <f t="shared" ref="Z356" si="1471">(N356-Y356)/Y356</f>
        <v>-0.35411764705882348</v>
      </c>
      <c r="AA356" s="36" t="s">
        <v>34</v>
      </c>
    </row>
    <row r="357" spans="1:27" ht="16" thickBot="1" x14ac:dyDescent="0.4">
      <c r="A357" s="20">
        <f t="shared" si="722"/>
        <v>41041</v>
      </c>
      <c r="B357" s="22">
        <v>411</v>
      </c>
      <c r="C357" s="22">
        <v>509</v>
      </c>
      <c r="D357" s="22">
        <v>67</v>
      </c>
      <c r="E357" s="22">
        <v>626</v>
      </c>
      <c r="F357" s="22">
        <v>15</v>
      </c>
      <c r="G357" s="22">
        <v>20</v>
      </c>
      <c r="H357" s="22">
        <v>10</v>
      </c>
      <c r="I357" s="22">
        <v>90</v>
      </c>
      <c r="J357" s="22">
        <v>250</v>
      </c>
      <c r="K357" s="22">
        <v>560</v>
      </c>
      <c r="L357" s="22">
        <v>307</v>
      </c>
      <c r="M357" s="22">
        <v>777</v>
      </c>
      <c r="N357" s="43">
        <f t="shared" si="1226"/>
        <v>676</v>
      </c>
      <c r="O357" s="22">
        <f t="shared" ref="O357:O362" si="1472">SUM(B357,D357,F357,H357,J357,L357)</f>
        <v>1060</v>
      </c>
      <c r="P357" s="22">
        <f t="shared" ref="P357:P362" si="1473">SUM(C357,G357,K357)</f>
        <v>1089</v>
      </c>
      <c r="Q357" s="22">
        <f t="shared" ref="Q357:Q362" si="1474">SUM(C357,E357,G357,I357,K357,M357)</f>
        <v>2582</v>
      </c>
      <c r="R357" s="34">
        <f t="shared" ref="R357:R362" si="1475">(N357-N356)/N356</f>
        <v>0.84699453551912574</v>
      </c>
      <c r="S357" s="32">
        <f t="shared" ref="S357:S362" si="1476">N357-N356</f>
        <v>310</v>
      </c>
      <c r="T357" s="34">
        <f t="shared" ref="T357:T362" si="1477">(N357-N305)/N305</f>
        <v>0.6609336609336609</v>
      </c>
      <c r="U357" s="34">
        <f t="shared" ref="U357:U362" si="1478">N357/P357</f>
        <v>0.62075298438934801</v>
      </c>
      <c r="V357" s="40">
        <f t="shared" ref="V357:V362" si="1479">AVERAGE(B201,B253,B305)</f>
        <v>473</v>
      </c>
      <c r="W357" s="40">
        <f t="shared" ref="W357:W362" si="1480">AVERAGE(F201,F253,F305)</f>
        <v>6.666666666666667</v>
      </c>
      <c r="X357" s="40">
        <f t="shared" ref="X357:X362" si="1481">AVERAGE(J201,J253,J305)</f>
        <v>164.33333333333334</v>
      </c>
      <c r="Y357" s="40">
        <f t="shared" ref="Y357:Y362" si="1482">AVERAGE(N201,N253,N305)</f>
        <v>644</v>
      </c>
      <c r="Z357" s="59">
        <f t="shared" ref="Z357:Z362" si="1483">(N357-Y357)/Y357</f>
        <v>4.9689440993788817E-2</v>
      </c>
      <c r="AA357" s="36"/>
    </row>
    <row r="358" spans="1:27" ht="16" thickBot="1" x14ac:dyDescent="0.4">
      <c r="A358" s="20">
        <f t="shared" si="722"/>
        <v>41048</v>
      </c>
      <c r="B358" s="22">
        <v>380</v>
      </c>
      <c r="C358" s="22">
        <v>495</v>
      </c>
      <c r="D358" s="22">
        <v>76</v>
      </c>
      <c r="E358" s="22">
        <v>633</v>
      </c>
      <c r="F358" s="22">
        <v>17</v>
      </c>
      <c r="G358" s="22">
        <v>19</v>
      </c>
      <c r="H358" s="22">
        <v>11</v>
      </c>
      <c r="I358" s="22">
        <v>67</v>
      </c>
      <c r="J358" s="22">
        <v>380</v>
      </c>
      <c r="K358" s="22">
        <v>773</v>
      </c>
      <c r="L358" s="22">
        <v>326</v>
      </c>
      <c r="M358" s="22">
        <v>901</v>
      </c>
      <c r="N358" s="43">
        <f t="shared" si="1226"/>
        <v>777</v>
      </c>
      <c r="O358" s="22">
        <f t="shared" si="1472"/>
        <v>1190</v>
      </c>
      <c r="P358" s="22">
        <f t="shared" si="1473"/>
        <v>1287</v>
      </c>
      <c r="Q358" s="22">
        <f t="shared" si="1474"/>
        <v>2888</v>
      </c>
      <c r="R358" s="34">
        <f t="shared" si="1475"/>
        <v>0.14940828402366865</v>
      </c>
      <c r="S358" s="32">
        <f t="shared" si="1476"/>
        <v>101</v>
      </c>
      <c r="T358" s="34">
        <f t="shared" si="1477"/>
        <v>0.63924050632911389</v>
      </c>
      <c r="U358" s="34">
        <f t="shared" si="1478"/>
        <v>0.60372960372960371</v>
      </c>
      <c r="V358" s="40">
        <f t="shared" si="1479"/>
        <v>403.66666666666669</v>
      </c>
      <c r="W358" s="40">
        <f t="shared" si="1480"/>
        <v>5.333333333333333</v>
      </c>
      <c r="X358" s="40">
        <f t="shared" si="1481"/>
        <v>206</v>
      </c>
      <c r="Y358" s="40">
        <f t="shared" si="1482"/>
        <v>615</v>
      </c>
      <c r="Z358" s="59">
        <f t="shared" si="1483"/>
        <v>0.26341463414634148</v>
      </c>
      <c r="AA358" s="36"/>
    </row>
    <row r="359" spans="1:27" ht="16" thickBot="1" x14ac:dyDescent="0.4">
      <c r="A359" s="20">
        <f t="shared" si="722"/>
        <v>41055</v>
      </c>
      <c r="B359" s="22">
        <v>342</v>
      </c>
      <c r="C359" s="22">
        <v>450</v>
      </c>
      <c r="D359" s="22">
        <v>43</v>
      </c>
      <c r="E359" s="22">
        <v>538</v>
      </c>
      <c r="F359" s="22">
        <v>31</v>
      </c>
      <c r="G359" s="22">
        <v>36</v>
      </c>
      <c r="H359" s="22">
        <v>16</v>
      </c>
      <c r="I359" s="22">
        <v>89</v>
      </c>
      <c r="J359" s="22">
        <v>199</v>
      </c>
      <c r="K359" s="22">
        <v>483</v>
      </c>
      <c r="L359" s="22">
        <v>290</v>
      </c>
      <c r="M359" s="22">
        <v>805</v>
      </c>
      <c r="N359" s="43">
        <f t="shared" si="1226"/>
        <v>572</v>
      </c>
      <c r="O359" s="22">
        <f t="shared" si="1472"/>
        <v>921</v>
      </c>
      <c r="P359" s="22">
        <f t="shared" si="1473"/>
        <v>969</v>
      </c>
      <c r="Q359" s="22">
        <f t="shared" si="1474"/>
        <v>2401</v>
      </c>
      <c r="R359" s="34">
        <f t="shared" si="1475"/>
        <v>-0.26383526383526384</v>
      </c>
      <c r="S359" s="32">
        <f t="shared" si="1476"/>
        <v>-205</v>
      </c>
      <c r="T359" s="34">
        <f t="shared" si="1477"/>
        <v>0.38164251207729466</v>
      </c>
      <c r="U359" s="34">
        <f t="shared" si="1478"/>
        <v>0.59029927760577916</v>
      </c>
      <c r="V359" s="40">
        <f t="shared" si="1479"/>
        <v>410</v>
      </c>
      <c r="W359" s="40">
        <f t="shared" si="1480"/>
        <v>22</v>
      </c>
      <c r="X359" s="40">
        <f t="shared" si="1481"/>
        <v>196</v>
      </c>
      <c r="Y359" s="40">
        <f t="shared" si="1482"/>
        <v>628</v>
      </c>
      <c r="Z359" s="59">
        <f t="shared" si="1483"/>
        <v>-8.9171974522292988E-2</v>
      </c>
      <c r="AA359" s="36"/>
    </row>
    <row r="360" spans="1:27" ht="16" thickBot="1" x14ac:dyDescent="0.4">
      <c r="A360" s="20">
        <f t="shared" si="722"/>
        <v>41062</v>
      </c>
      <c r="B360" s="22">
        <v>240</v>
      </c>
      <c r="C360" s="22">
        <v>353</v>
      </c>
      <c r="D360" s="22">
        <v>44</v>
      </c>
      <c r="E360" s="22">
        <v>581</v>
      </c>
      <c r="F360" s="22">
        <v>9</v>
      </c>
      <c r="G360" s="22">
        <v>45</v>
      </c>
      <c r="H360" s="22">
        <v>6</v>
      </c>
      <c r="I360" s="22">
        <v>90</v>
      </c>
      <c r="J360" s="22">
        <v>251</v>
      </c>
      <c r="K360" s="22">
        <v>511</v>
      </c>
      <c r="L360" s="22">
        <v>302</v>
      </c>
      <c r="M360" s="22">
        <v>701</v>
      </c>
      <c r="N360" s="43">
        <f t="shared" si="1226"/>
        <v>500</v>
      </c>
      <c r="O360" s="22">
        <f t="shared" si="1472"/>
        <v>852</v>
      </c>
      <c r="P360" s="22">
        <f t="shared" si="1473"/>
        <v>909</v>
      </c>
      <c r="Q360" s="22">
        <f t="shared" si="1474"/>
        <v>2281</v>
      </c>
      <c r="R360" s="34">
        <f t="shared" si="1475"/>
        <v>-0.12587412587412589</v>
      </c>
      <c r="S360" s="32">
        <f t="shared" si="1476"/>
        <v>-72</v>
      </c>
      <c r="T360" s="34">
        <f t="shared" si="1477"/>
        <v>0.17096018735362997</v>
      </c>
      <c r="U360" s="34">
        <f t="shared" si="1478"/>
        <v>0.55005500550055009</v>
      </c>
      <c r="V360" s="40">
        <f t="shared" si="1479"/>
        <v>438.33333333333331</v>
      </c>
      <c r="W360" s="40">
        <f t="shared" si="1480"/>
        <v>10</v>
      </c>
      <c r="X360" s="40">
        <f t="shared" si="1481"/>
        <v>159.33333333333334</v>
      </c>
      <c r="Y360" s="40">
        <f t="shared" si="1482"/>
        <v>607.66666666666663</v>
      </c>
      <c r="Z360" s="59">
        <f t="shared" si="1483"/>
        <v>-0.17718047174986282</v>
      </c>
      <c r="AA360" s="36"/>
    </row>
    <row r="361" spans="1:27" ht="16" thickBot="1" x14ac:dyDescent="0.4">
      <c r="A361" s="20">
        <f t="shared" si="722"/>
        <v>41069</v>
      </c>
      <c r="B361" s="22">
        <v>303</v>
      </c>
      <c r="C361" s="22">
        <v>454</v>
      </c>
      <c r="D361" s="22">
        <v>89</v>
      </c>
      <c r="E361" s="22">
        <v>568</v>
      </c>
      <c r="F361" s="22">
        <v>26</v>
      </c>
      <c r="G361" s="22">
        <v>34</v>
      </c>
      <c r="H361" s="22">
        <v>5</v>
      </c>
      <c r="I361" s="22">
        <v>70</v>
      </c>
      <c r="J361" s="22">
        <v>317</v>
      </c>
      <c r="K361" s="22">
        <v>666</v>
      </c>
      <c r="L361" s="22">
        <v>317</v>
      </c>
      <c r="M361" s="22">
        <v>865</v>
      </c>
      <c r="N361" s="43">
        <f t="shared" si="1226"/>
        <v>646</v>
      </c>
      <c r="O361" s="22">
        <f t="shared" si="1472"/>
        <v>1057</v>
      </c>
      <c r="P361" s="22">
        <f t="shared" si="1473"/>
        <v>1154</v>
      </c>
      <c r="Q361" s="22">
        <f t="shared" si="1474"/>
        <v>2657</v>
      </c>
      <c r="R361" s="34">
        <f t="shared" si="1475"/>
        <v>0.29199999999999998</v>
      </c>
      <c r="S361" s="32">
        <f t="shared" si="1476"/>
        <v>146</v>
      </c>
      <c r="T361" s="34">
        <f t="shared" si="1477"/>
        <v>0.21657250470809794</v>
      </c>
      <c r="U361" s="34">
        <f t="shared" si="1478"/>
        <v>0.5597920277296361</v>
      </c>
      <c r="V361" s="40">
        <f t="shared" si="1479"/>
        <v>426.66666666666669</v>
      </c>
      <c r="W361" s="40">
        <f t="shared" si="1480"/>
        <v>21</v>
      </c>
      <c r="X361" s="40">
        <f t="shared" si="1481"/>
        <v>254.66666666666666</v>
      </c>
      <c r="Y361" s="40">
        <f t="shared" si="1482"/>
        <v>702.33333333333337</v>
      </c>
      <c r="Z361" s="59">
        <f t="shared" si="1483"/>
        <v>-8.0208827717133419E-2</v>
      </c>
      <c r="AA361" s="36"/>
    </row>
    <row r="362" spans="1:27" ht="16" thickBot="1" x14ac:dyDescent="0.4">
      <c r="A362" s="20">
        <f t="shared" si="722"/>
        <v>41076</v>
      </c>
      <c r="B362" s="22">
        <v>308</v>
      </c>
      <c r="C362" s="22">
        <v>373</v>
      </c>
      <c r="D362" s="22">
        <v>38</v>
      </c>
      <c r="E362" s="22">
        <v>478</v>
      </c>
      <c r="F362" s="22">
        <v>31</v>
      </c>
      <c r="G362" s="22">
        <v>37</v>
      </c>
      <c r="H362" s="22">
        <v>8</v>
      </c>
      <c r="I362" s="22">
        <v>80</v>
      </c>
      <c r="J362" s="22">
        <v>297</v>
      </c>
      <c r="K362" s="22">
        <v>544</v>
      </c>
      <c r="L362" s="22">
        <v>296</v>
      </c>
      <c r="M362" s="22">
        <v>755</v>
      </c>
      <c r="N362" s="43">
        <f t="shared" si="1226"/>
        <v>636</v>
      </c>
      <c r="O362" s="22">
        <f t="shared" si="1472"/>
        <v>978</v>
      </c>
      <c r="P362" s="22">
        <f t="shared" si="1473"/>
        <v>954</v>
      </c>
      <c r="Q362" s="22">
        <f t="shared" si="1474"/>
        <v>2267</v>
      </c>
      <c r="R362" s="34">
        <f t="shared" si="1475"/>
        <v>-1.5479876160990712E-2</v>
      </c>
      <c r="S362" s="32">
        <f t="shared" si="1476"/>
        <v>-10</v>
      </c>
      <c r="T362" s="34">
        <f t="shared" si="1477"/>
        <v>7.2512647554806076E-2</v>
      </c>
      <c r="U362" s="34">
        <f t="shared" si="1478"/>
        <v>0.66666666666666663</v>
      </c>
      <c r="V362" s="40">
        <f t="shared" si="1479"/>
        <v>408.66666666666669</v>
      </c>
      <c r="W362" s="40">
        <f t="shared" si="1480"/>
        <v>26.666666666666668</v>
      </c>
      <c r="X362" s="40">
        <f t="shared" si="1481"/>
        <v>201.33333333333334</v>
      </c>
      <c r="Y362" s="40">
        <f t="shared" si="1482"/>
        <v>636.66666666666663</v>
      </c>
      <c r="Z362" s="61">
        <f t="shared" si="1483"/>
        <v>-1.047120418848108E-3</v>
      </c>
    </row>
    <row r="363" spans="1:27" ht="16" thickBot="1" x14ac:dyDescent="0.4">
      <c r="A363" s="20">
        <f t="shared" si="722"/>
        <v>41083</v>
      </c>
      <c r="B363" s="22">
        <v>350</v>
      </c>
      <c r="C363" s="22">
        <v>555</v>
      </c>
      <c r="D363" s="22">
        <v>71</v>
      </c>
      <c r="E363" s="22">
        <v>581</v>
      </c>
      <c r="F363" s="22">
        <v>23</v>
      </c>
      <c r="G363" s="22">
        <v>41</v>
      </c>
      <c r="H363" s="22">
        <v>13</v>
      </c>
      <c r="I363" s="22">
        <v>66</v>
      </c>
      <c r="J363" s="22">
        <v>228</v>
      </c>
      <c r="K363" s="22">
        <v>610</v>
      </c>
      <c r="L363" s="22">
        <v>226</v>
      </c>
      <c r="M363" s="22">
        <v>673</v>
      </c>
      <c r="N363" s="43">
        <f t="shared" si="1226"/>
        <v>601</v>
      </c>
      <c r="O363" s="22">
        <f t="shared" ref="O363" si="1484">SUM(B363,D363,F363,H363,J363,L363)</f>
        <v>911</v>
      </c>
      <c r="P363" s="22">
        <f t="shared" ref="P363" si="1485">SUM(C363,G363,K363)</f>
        <v>1206</v>
      </c>
      <c r="Q363" s="22">
        <f t="shared" ref="Q363" si="1486">SUM(C363,E363,G363,I363,K363,M363)</f>
        <v>2526</v>
      </c>
      <c r="R363" s="34">
        <f t="shared" ref="R363" si="1487">(N363-N362)/N362</f>
        <v>-5.5031446540880505E-2</v>
      </c>
      <c r="S363" s="32">
        <f t="shared" ref="S363" si="1488">N363-N362</f>
        <v>-35</v>
      </c>
      <c r="T363" s="34">
        <f t="shared" ref="T363" si="1489">(N363-N311)/N311</f>
        <v>-3.3167495854063019E-3</v>
      </c>
      <c r="U363" s="34">
        <f t="shared" ref="U363" si="1490">N363/P363</f>
        <v>0.49834162520729686</v>
      </c>
      <c r="V363" s="40">
        <f t="shared" ref="V363" si="1491">AVERAGE(B207,B259,B311)</f>
        <v>408.66666666666669</v>
      </c>
      <c r="W363" s="40">
        <f t="shared" ref="W363" si="1492">AVERAGE(F207,F259,F311)</f>
        <v>19</v>
      </c>
      <c r="X363" s="40">
        <f t="shared" ref="X363" si="1493">AVERAGE(J207,J259,J311)</f>
        <v>215.33333333333334</v>
      </c>
      <c r="Y363" s="40">
        <f t="shared" ref="Y363" si="1494">AVERAGE(N207,N259,N311)</f>
        <v>643</v>
      </c>
      <c r="Z363" s="61">
        <f t="shared" ref="Z363" si="1495">(N363-Y363)/Y363</f>
        <v>-6.5318818040435461E-2</v>
      </c>
    </row>
    <row r="364" spans="1:27" ht="16" thickBot="1" x14ac:dyDescent="0.4">
      <c r="A364" s="20">
        <f t="shared" si="722"/>
        <v>41090</v>
      </c>
      <c r="B364" s="22">
        <v>305</v>
      </c>
      <c r="C364" s="22">
        <v>559</v>
      </c>
      <c r="D364" s="22">
        <v>49</v>
      </c>
      <c r="E364" s="22">
        <v>523</v>
      </c>
      <c r="F364" s="22">
        <v>49</v>
      </c>
      <c r="G364" s="22">
        <v>89</v>
      </c>
      <c r="H364" s="22">
        <v>3</v>
      </c>
      <c r="I364" s="22">
        <v>75</v>
      </c>
      <c r="J364" s="22">
        <v>250</v>
      </c>
      <c r="K364" s="22">
        <v>751</v>
      </c>
      <c r="L364" s="22">
        <v>314</v>
      </c>
      <c r="M364" s="22">
        <v>752</v>
      </c>
      <c r="N364" s="43">
        <f t="shared" si="1226"/>
        <v>604</v>
      </c>
      <c r="O364" s="22">
        <f t="shared" ref="O364" si="1496">SUM(B364,D364,F364,H364,J364,L364)</f>
        <v>970</v>
      </c>
      <c r="P364" s="22">
        <f t="shared" ref="P364" si="1497">SUM(C364,G364,K364)</f>
        <v>1399</v>
      </c>
      <c r="Q364" s="22">
        <f t="shared" ref="Q364" si="1498">SUM(C364,E364,G364,I364,K364,M364)</f>
        <v>2749</v>
      </c>
      <c r="R364" s="34">
        <f t="shared" ref="R364" si="1499">(N364-N363)/N363</f>
        <v>4.9916805324459234E-3</v>
      </c>
      <c r="S364" s="32">
        <f t="shared" ref="S364" si="1500">N364-N363</f>
        <v>3</v>
      </c>
      <c r="T364" s="34">
        <f t="shared" ref="T364" si="1501">(N364-N312)/N312</f>
        <v>0.15047619047619049</v>
      </c>
      <c r="U364" s="34">
        <f t="shared" ref="U364" si="1502">N364/P364</f>
        <v>0.43173695496783415</v>
      </c>
      <c r="V364" s="40">
        <f t="shared" ref="V364" si="1503">AVERAGE(B208,B260,B312)</f>
        <v>402.66666666666669</v>
      </c>
      <c r="W364" s="40">
        <f t="shared" ref="W364" si="1504">AVERAGE(F208,F260,F312)</f>
        <v>22.666666666666668</v>
      </c>
      <c r="X364" s="40">
        <f t="shared" ref="X364" si="1505">AVERAGE(J208,J260,J312)</f>
        <v>250</v>
      </c>
      <c r="Y364" s="40">
        <f t="shared" ref="Y364" si="1506">AVERAGE(N208,N260,N312)</f>
        <v>675.33333333333337</v>
      </c>
      <c r="Z364" s="61">
        <f t="shared" ref="Z364" si="1507">(N364-Y364)/Y364</f>
        <v>-0.10562685093780853</v>
      </c>
    </row>
    <row r="365" spans="1:27" ht="16" thickBot="1" x14ac:dyDescent="0.4">
      <c r="A365" s="20">
        <f t="shared" si="722"/>
        <v>41097</v>
      </c>
      <c r="B365" s="22">
        <v>287</v>
      </c>
      <c r="C365" s="22">
        <v>496</v>
      </c>
      <c r="D365" s="22">
        <v>55</v>
      </c>
      <c r="E365" s="22">
        <v>568</v>
      </c>
      <c r="F365" s="22">
        <v>37</v>
      </c>
      <c r="G365" s="22">
        <v>89</v>
      </c>
      <c r="H365" s="22">
        <v>3</v>
      </c>
      <c r="I365" s="22">
        <v>81</v>
      </c>
      <c r="J365" s="22">
        <v>208</v>
      </c>
      <c r="K365" s="22">
        <v>690</v>
      </c>
      <c r="L365" s="22">
        <v>265</v>
      </c>
      <c r="M365" s="22">
        <v>795</v>
      </c>
      <c r="N365" s="43">
        <f t="shared" si="1226"/>
        <v>532</v>
      </c>
      <c r="O365" s="22">
        <f t="shared" ref="O365" si="1508">SUM(B365,D365,F365,H365,J365,L365)</f>
        <v>855</v>
      </c>
      <c r="P365" s="22">
        <f t="shared" ref="P365" si="1509">SUM(C365,G365,K365)</f>
        <v>1275</v>
      </c>
      <c r="Q365" s="22">
        <f t="shared" ref="Q365" si="1510">SUM(C365,E365,G365,I365,K365,M365)</f>
        <v>2719</v>
      </c>
      <c r="R365" s="34">
        <f t="shared" ref="R365" si="1511">(N365-N364)/N364</f>
        <v>-0.11920529801324503</v>
      </c>
      <c r="S365" s="32">
        <f t="shared" ref="S365" si="1512">N365-N364</f>
        <v>-72</v>
      </c>
      <c r="T365" s="34">
        <f t="shared" ref="T365" si="1513">(N365-N313)/N313</f>
        <v>-0.10887772194304858</v>
      </c>
      <c r="U365" s="34">
        <f t="shared" ref="U365" si="1514">N365/P365</f>
        <v>0.4172549019607843</v>
      </c>
      <c r="V365" s="40">
        <f t="shared" ref="V365" si="1515">AVERAGE(B209,B261,B313)</f>
        <v>401.33333333333331</v>
      </c>
      <c r="W365" s="40">
        <f t="shared" ref="W365" si="1516">AVERAGE(F209,F261,F313)</f>
        <v>16.333333333333332</v>
      </c>
      <c r="X365" s="40">
        <f t="shared" ref="X365" si="1517">AVERAGE(J209,J261,J313)</f>
        <v>192.33333333333334</v>
      </c>
      <c r="Y365" s="40">
        <f t="shared" ref="Y365" si="1518">AVERAGE(N209,N261,N313)</f>
        <v>610</v>
      </c>
      <c r="Z365" s="61">
        <f t="shared" ref="Z365" si="1519">(N365-Y365)/Y365</f>
        <v>-0.12786885245901639</v>
      </c>
      <c r="AA365" s="22"/>
    </row>
    <row r="366" spans="1:27" ht="16" thickBot="1" x14ac:dyDescent="0.4">
      <c r="A366" s="20">
        <f t="shared" si="722"/>
        <v>41104</v>
      </c>
      <c r="B366" s="22">
        <v>399</v>
      </c>
      <c r="C366" s="22">
        <v>612</v>
      </c>
      <c r="D366" s="22">
        <v>59</v>
      </c>
      <c r="E366" s="22">
        <v>503</v>
      </c>
      <c r="F366" s="22">
        <v>22</v>
      </c>
      <c r="G366" s="22">
        <v>56</v>
      </c>
      <c r="H366" s="22">
        <v>1</v>
      </c>
      <c r="I366" s="22">
        <v>51</v>
      </c>
      <c r="J366" s="22">
        <v>356</v>
      </c>
      <c r="K366" s="22">
        <v>781</v>
      </c>
      <c r="L366" s="22">
        <v>339</v>
      </c>
      <c r="M366" s="22">
        <v>820</v>
      </c>
      <c r="N366" s="43">
        <f t="shared" si="1226"/>
        <v>777</v>
      </c>
      <c r="O366" s="22">
        <f t="shared" ref="O366" si="1520">SUM(B366,D366,F366,H366,J366,L366)</f>
        <v>1176</v>
      </c>
      <c r="P366" s="22">
        <f t="shared" ref="P366" si="1521">SUM(C366,G366,K366)</f>
        <v>1449</v>
      </c>
      <c r="Q366" s="22">
        <f t="shared" ref="Q366" si="1522">SUM(C366,E366,G366,I366,K366,M366)</f>
        <v>2823</v>
      </c>
      <c r="R366" s="34">
        <f t="shared" ref="R366" si="1523">(N366-N365)/N365</f>
        <v>0.46052631578947367</v>
      </c>
      <c r="S366" s="32">
        <f t="shared" ref="S366" si="1524">N366-N365</f>
        <v>245</v>
      </c>
      <c r="T366" s="34">
        <f t="shared" ref="T366" si="1525">(N366-N314)/N314</f>
        <v>0.11798561151079137</v>
      </c>
      <c r="U366" s="34">
        <f t="shared" ref="U366" si="1526">N366/P366</f>
        <v>0.53623188405797106</v>
      </c>
      <c r="V366" s="40">
        <f t="shared" ref="V366" si="1527">AVERAGE(B210,B262,B314)</f>
        <v>484</v>
      </c>
      <c r="W366" s="40">
        <f t="shared" ref="W366" si="1528">AVERAGE(F210,F262,F314)</f>
        <v>32</v>
      </c>
      <c r="X366" s="40">
        <f t="shared" ref="X366" si="1529">AVERAGE(J210,J262,J314)</f>
        <v>248.33333333333334</v>
      </c>
      <c r="Y366" s="40">
        <f t="shared" ref="Y366" si="1530">AVERAGE(N210,N262,N314)</f>
        <v>764.33333333333337</v>
      </c>
      <c r="Z366" s="61">
        <f t="shared" ref="Z366" si="1531">(N366-Y366)/Y366</f>
        <v>1.6572176188399425E-2</v>
      </c>
      <c r="AA366" s="22"/>
    </row>
    <row r="367" spans="1:27" ht="16" thickBot="1" x14ac:dyDescent="0.4">
      <c r="A367" s="20">
        <f t="shared" si="722"/>
        <v>41111</v>
      </c>
      <c r="B367" s="22">
        <v>477</v>
      </c>
      <c r="C367" s="22">
        <v>657</v>
      </c>
      <c r="D367" s="22">
        <v>44</v>
      </c>
      <c r="E367" s="22">
        <v>533</v>
      </c>
      <c r="F367" s="22">
        <v>45</v>
      </c>
      <c r="G367" s="22">
        <v>81</v>
      </c>
      <c r="H367" s="22">
        <v>7</v>
      </c>
      <c r="I367" s="22">
        <v>65</v>
      </c>
      <c r="J367" s="22">
        <v>213</v>
      </c>
      <c r="K367" s="22">
        <v>667</v>
      </c>
      <c r="L367" s="22">
        <v>309</v>
      </c>
      <c r="M367" s="22">
        <v>731</v>
      </c>
      <c r="N367" s="43">
        <f t="shared" si="1226"/>
        <v>735</v>
      </c>
      <c r="O367" s="22">
        <f t="shared" ref="O367" si="1532">SUM(B367,D367,F367,H367,J367,L367)</f>
        <v>1095</v>
      </c>
      <c r="P367" s="22">
        <f t="shared" ref="P367" si="1533">SUM(C367,G367,K367)</f>
        <v>1405</v>
      </c>
      <c r="Q367" s="22">
        <f t="shared" ref="Q367" si="1534">SUM(C367,E367,G367,I367,K367,M367)</f>
        <v>2734</v>
      </c>
      <c r="R367" s="34">
        <f t="shared" ref="R367" si="1535">(N367-N366)/N366</f>
        <v>-5.4054054054054057E-2</v>
      </c>
      <c r="S367" s="32">
        <f t="shared" ref="S367" si="1536">N367-N366</f>
        <v>-42</v>
      </c>
      <c r="T367" s="34">
        <f t="shared" ref="T367" si="1537">(N367-N315)/N315</f>
        <v>-1.8691588785046728E-2</v>
      </c>
      <c r="U367" s="34">
        <f t="shared" ref="U367" si="1538">N367/P367</f>
        <v>0.52313167259786475</v>
      </c>
      <c r="V367" s="40">
        <f t="shared" ref="V367" si="1539">AVERAGE(B211,B263,B315)</f>
        <v>420.33333333333331</v>
      </c>
      <c r="W367" s="40">
        <f t="shared" ref="W367" si="1540">AVERAGE(F211,F263,F315)</f>
        <v>23.333333333333332</v>
      </c>
      <c r="X367" s="40">
        <f t="shared" ref="X367" si="1541">AVERAGE(J211,J263,J315)</f>
        <v>277.33333333333331</v>
      </c>
      <c r="Y367" s="40">
        <f t="shared" ref="Y367" si="1542">AVERAGE(N211,N263,N315)</f>
        <v>721</v>
      </c>
      <c r="Z367" s="61">
        <f t="shared" ref="Z367" si="1543">(N367-Y367)/Y367</f>
        <v>1.9417475728155338E-2</v>
      </c>
      <c r="AA367" s="22"/>
    </row>
    <row r="368" spans="1:27" ht="16" thickBot="1" x14ac:dyDescent="0.4">
      <c r="A368" s="20">
        <f t="shared" si="722"/>
        <v>41118</v>
      </c>
      <c r="B368" s="22">
        <v>382</v>
      </c>
      <c r="C368" s="22">
        <v>610</v>
      </c>
      <c r="D368" s="22">
        <v>57</v>
      </c>
      <c r="E368" s="22">
        <v>644</v>
      </c>
      <c r="F368" s="22">
        <v>39</v>
      </c>
      <c r="G368" s="22">
        <v>84</v>
      </c>
      <c r="H368" s="22">
        <v>8</v>
      </c>
      <c r="I368" s="22">
        <v>69</v>
      </c>
      <c r="J368" s="22">
        <v>234</v>
      </c>
      <c r="K368" s="22">
        <v>731</v>
      </c>
      <c r="L368" s="22">
        <v>315</v>
      </c>
      <c r="M368" s="22">
        <v>778</v>
      </c>
      <c r="N368" s="43">
        <f t="shared" si="1226"/>
        <v>655</v>
      </c>
      <c r="O368" s="22">
        <f t="shared" ref="O368" si="1544">SUM(B368,D368,F368,H368,J368,L368)</f>
        <v>1035</v>
      </c>
      <c r="P368" s="22">
        <f t="shared" ref="P368" si="1545">SUM(C368,G368,K368)</f>
        <v>1425</v>
      </c>
      <c r="Q368" s="22">
        <f t="shared" ref="Q368" si="1546">SUM(C368,E368,G368,I368,K368,M368)</f>
        <v>2916</v>
      </c>
      <c r="R368" s="34">
        <f t="shared" ref="R368" si="1547">(N368-N367)/N367</f>
        <v>-0.10884353741496598</v>
      </c>
      <c r="S368" s="32">
        <f t="shared" ref="S368" si="1548">N368-N367</f>
        <v>-80</v>
      </c>
      <c r="T368" s="34">
        <f t="shared" ref="T368" si="1549">(N368-N316)/N316</f>
        <v>0.13518197573656845</v>
      </c>
      <c r="U368" s="34">
        <f t="shared" ref="U368" si="1550">N368/P368</f>
        <v>0.45964912280701753</v>
      </c>
      <c r="V368" s="40">
        <f t="shared" ref="V368" si="1551">AVERAGE(B212,B264,B316)</f>
        <v>323.66666666666669</v>
      </c>
      <c r="W368" s="40">
        <f t="shared" ref="W368" si="1552">AVERAGE(F212,F264,F316)</f>
        <v>22.666666666666668</v>
      </c>
      <c r="X368" s="40">
        <f t="shared" ref="X368" si="1553">AVERAGE(J212,J264,J316)</f>
        <v>270.66666666666669</v>
      </c>
      <c r="Y368" s="40">
        <f t="shared" ref="Y368" si="1554">AVERAGE(N212,N264,N316)</f>
        <v>617</v>
      </c>
      <c r="Z368" s="61">
        <f t="shared" ref="Z368" si="1555">(N368-Y368)/Y368</f>
        <v>6.1588330632090758E-2</v>
      </c>
      <c r="AA368" s="22"/>
    </row>
    <row r="369" spans="1:27" ht="16" thickBot="1" x14ac:dyDescent="0.4">
      <c r="A369" s="20">
        <f t="shared" si="722"/>
        <v>41125</v>
      </c>
      <c r="B369" s="22">
        <v>325</v>
      </c>
      <c r="C369" s="22">
        <v>549</v>
      </c>
      <c r="D369" s="22">
        <v>77</v>
      </c>
      <c r="E369" s="22">
        <v>630</v>
      </c>
      <c r="F369" s="22">
        <v>22</v>
      </c>
      <c r="G369" s="22">
        <v>70</v>
      </c>
      <c r="H369" s="22">
        <v>4</v>
      </c>
      <c r="I369" s="22">
        <v>58</v>
      </c>
      <c r="J369" s="22">
        <v>187</v>
      </c>
      <c r="K369" s="22">
        <v>691</v>
      </c>
      <c r="L369" s="22">
        <v>370</v>
      </c>
      <c r="M369" s="22">
        <v>929</v>
      </c>
      <c r="N369" s="43">
        <f t="shared" si="1226"/>
        <v>534</v>
      </c>
      <c r="O369" s="22">
        <f t="shared" ref="O369" si="1556">SUM(B369,D369,F369,H369,J369,L369)</f>
        <v>985</v>
      </c>
      <c r="P369" s="22">
        <f t="shared" ref="P369" si="1557">SUM(C369,G369,K369)</f>
        <v>1310</v>
      </c>
      <c r="Q369" s="22">
        <f t="shared" ref="Q369" si="1558">SUM(C369,E369,G369,I369,K369,M369)</f>
        <v>2927</v>
      </c>
      <c r="R369" s="34">
        <f t="shared" ref="R369" si="1559">(N369-N368)/N368</f>
        <v>-0.18473282442748093</v>
      </c>
      <c r="S369" s="32">
        <f t="shared" ref="S369" si="1560">N369-N368</f>
        <v>-121</v>
      </c>
      <c r="T369" s="34">
        <f t="shared" ref="T369" si="1561">(N369-N317)/N317</f>
        <v>-0.12171052631578948</v>
      </c>
      <c r="U369" s="34">
        <f t="shared" ref="U369" si="1562">N369/P369</f>
        <v>0.40763358778625952</v>
      </c>
      <c r="V369" s="40">
        <f t="shared" ref="V369" si="1563">AVERAGE(B213,B265,B317)</f>
        <v>284.66666666666669</v>
      </c>
      <c r="W369" s="40">
        <f t="shared" ref="W369" si="1564">AVERAGE(F213,F265,F317)</f>
        <v>36.333333333333336</v>
      </c>
      <c r="X369" s="40">
        <f t="shared" ref="X369" si="1565">AVERAGE(J213,J265,J317)</f>
        <v>253</v>
      </c>
      <c r="Y369" s="40">
        <f t="shared" ref="Y369" si="1566">AVERAGE(N213,N265,N317)</f>
        <v>574</v>
      </c>
      <c r="Z369" s="61">
        <f t="shared" ref="Z369" si="1567">(N369-Y369)/Y369</f>
        <v>-6.968641114982578E-2</v>
      </c>
      <c r="AA369" s="22"/>
    </row>
    <row r="370" spans="1:27" ht="16" thickBot="1" x14ac:dyDescent="0.4">
      <c r="A370" s="20">
        <f t="shared" si="722"/>
        <v>41132</v>
      </c>
      <c r="B370" s="22">
        <v>201</v>
      </c>
      <c r="C370" s="22">
        <v>442</v>
      </c>
      <c r="D370" s="22">
        <v>42</v>
      </c>
      <c r="E370" s="22">
        <v>569</v>
      </c>
      <c r="F370" s="22">
        <v>56</v>
      </c>
      <c r="G370" s="22">
        <v>95</v>
      </c>
      <c r="H370" s="22">
        <v>13</v>
      </c>
      <c r="I370" s="22">
        <v>64</v>
      </c>
      <c r="J370" s="22">
        <v>279</v>
      </c>
      <c r="K370" s="22">
        <v>763</v>
      </c>
      <c r="L370" s="22">
        <v>295</v>
      </c>
      <c r="M370" s="22">
        <v>654</v>
      </c>
      <c r="N370" s="43">
        <f t="shared" si="1226"/>
        <v>536</v>
      </c>
      <c r="O370" s="22">
        <f t="shared" ref="O370" si="1568">SUM(B370,D370,F370,H370,J370,L370)</f>
        <v>886</v>
      </c>
      <c r="P370" s="22">
        <f t="shared" ref="P370" si="1569">SUM(C370,G370,K370)</f>
        <v>1300</v>
      </c>
      <c r="Q370" s="22">
        <f t="shared" ref="Q370" si="1570">SUM(C370,E370,G370,I370,K370,M370)</f>
        <v>2587</v>
      </c>
      <c r="R370" s="34">
        <f t="shared" ref="R370" si="1571">(N370-N369)/N369</f>
        <v>3.7453183520599251E-3</v>
      </c>
      <c r="S370" s="32">
        <f t="shared" ref="S370" si="1572">N370-N369</f>
        <v>2</v>
      </c>
      <c r="T370" s="34">
        <f t="shared" ref="T370" si="1573">(N370-N318)/N318</f>
        <v>0.48888888888888887</v>
      </c>
      <c r="U370" s="34">
        <f t="shared" ref="U370" si="1574">N370/P370</f>
        <v>0.41230769230769232</v>
      </c>
      <c r="V370" s="40">
        <f t="shared" ref="V370" si="1575">AVERAGE(B214,B266,B318)</f>
        <v>251.33333333333334</v>
      </c>
      <c r="W370" s="40">
        <f t="shared" ref="W370" si="1576">AVERAGE(F214,F266,F318)</f>
        <v>31</v>
      </c>
      <c r="X370" s="40">
        <f t="shared" ref="X370" si="1577">AVERAGE(J214,J266,J318)</f>
        <v>222.33333333333334</v>
      </c>
      <c r="Y370" s="40">
        <f t="shared" ref="Y370" si="1578">AVERAGE(N214,N266,N318)</f>
        <v>504.66666666666669</v>
      </c>
      <c r="Z370" s="61">
        <f t="shared" ref="Z370" si="1579">(N370-Y370)/Y370</f>
        <v>6.2087186261558742E-2</v>
      </c>
      <c r="AA370" s="22"/>
    </row>
    <row r="371" spans="1:27" ht="16" thickBot="1" x14ac:dyDescent="0.4">
      <c r="A371" s="20">
        <f t="shared" si="722"/>
        <v>41139</v>
      </c>
      <c r="B371" s="22">
        <v>108</v>
      </c>
      <c r="C371" s="22">
        <v>312</v>
      </c>
      <c r="D371" s="22">
        <v>94</v>
      </c>
      <c r="E371" s="22">
        <v>566</v>
      </c>
      <c r="F371" s="22">
        <v>58</v>
      </c>
      <c r="G371" s="22">
        <v>81</v>
      </c>
      <c r="H371" s="22">
        <v>9</v>
      </c>
      <c r="I371" s="22">
        <v>121</v>
      </c>
      <c r="J371" s="22">
        <v>275</v>
      </c>
      <c r="K371" s="22">
        <v>676</v>
      </c>
      <c r="L371" s="22">
        <v>338</v>
      </c>
      <c r="M371" s="22">
        <v>732</v>
      </c>
      <c r="N371" s="43">
        <f t="shared" si="1226"/>
        <v>441</v>
      </c>
      <c r="O371" s="22">
        <f t="shared" ref="O371" si="1580">SUM(B371,D371,F371,H371,J371,L371)</f>
        <v>882</v>
      </c>
      <c r="P371" s="22">
        <f t="shared" ref="P371" si="1581">SUM(C371,G371,K371)</f>
        <v>1069</v>
      </c>
      <c r="Q371" s="22">
        <f t="shared" ref="Q371" si="1582">SUM(C371,E371,G371,I371,K371,M371)</f>
        <v>2488</v>
      </c>
      <c r="R371" s="34">
        <f t="shared" ref="R371" si="1583">(N371-N370)/N370</f>
        <v>-0.17723880597014927</v>
      </c>
      <c r="S371" s="32">
        <f t="shared" ref="S371" si="1584">N371-N370</f>
        <v>-95</v>
      </c>
      <c r="T371" s="34">
        <f t="shared" ref="T371" si="1585">(N371-N319)/N319</f>
        <v>3.7647058823529408E-2</v>
      </c>
      <c r="U371" s="34">
        <f t="shared" ref="U371" si="1586">N371/P371</f>
        <v>0.41253507951356405</v>
      </c>
      <c r="V371" s="40">
        <f t="shared" ref="V371" si="1587">AVERAGE(B215,B267,B319)</f>
        <v>206</v>
      </c>
      <c r="W371" s="40">
        <f t="shared" ref="W371" si="1588">AVERAGE(F215,F267,F319)</f>
        <v>23.333333333333332</v>
      </c>
      <c r="X371" s="40">
        <f t="shared" ref="X371" si="1589">AVERAGE(J215,J267,J319)</f>
        <v>177.33333333333334</v>
      </c>
      <c r="Y371" s="40">
        <f t="shared" ref="Y371" si="1590">AVERAGE(N215,N267,N319)</f>
        <v>406.66666666666669</v>
      </c>
      <c r="Z371" s="61">
        <f t="shared" ref="Z371" si="1591">(N371-Y371)/Y371</f>
        <v>8.4426229508196671E-2</v>
      </c>
      <c r="AA371" s="22"/>
    </row>
    <row r="372" spans="1:27" ht="16" thickBot="1" x14ac:dyDescent="0.4">
      <c r="A372" s="20">
        <f t="shared" si="722"/>
        <v>41146</v>
      </c>
      <c r="B372" s="22">
        <v>117</v>
      </c>
      <c r="C372" s="22">
        <v>462</v>
      </c>
      <c r="D372" s="22">
        <v>101</v>
      </c>
      <c r="E372" s="22">
        <v>385</v>
      </c>
      <c r="F372" s="22">
        <v>35</v>
      </c>
      <c r="G372" s="22">
        <v>57</v>
      </c>
      <c r="H372" s="22">
        <v>13</v>
      </c>
      <c r="I372" s="22">
        <v>97</v>
      </c>
      <c r="J372" s="22">
        <v>207</v>
      </c>
      <c r="K372" s="22">
        <v>614</v>
      </c>
      <c r="L372" s="22">
        <v>365</v>
      </c>
      <c r="M372" s="22">
        <v>838</v>
      </c>
      <c r="N372" s="43">
        <f t="shared" si="1226"/>
        <v>359</v>
      </c>
      <c r="O372" s="22">
        <f t="shared" ref="O372" si="1592">SUM(B372,D372,F372,H372,J372,L372)</f>
        <v>838</v>
      </c>
      <c r="P372" s="22">
        <f t="shared" ref="P372" si="1593">SUM(C372,G372,K372)</f>
        <v>1133</v>
      </c>
      <c r="Q372" s="22">
        <f t="shared" ref="Q372" si="1594">SUM(C372,E372,G372,I372,K372,M372)</f>
        <v>2453</v>
      </c>
      <c r="R372" s="34">
        <f t="shared" ref="R372" si="1595">(N372-N371)/N371</f>
        <v>-0.18594104308390022</v>
      </c>
      <c r="S372" s="32">
        <f t="shared" ref="S372" si="1596">N372-N371</f>
        <v>-82</v>
      </c>
      <c r="T372" s="34">
        <f t="shared" ref="T372" si="1597">(N372-N320)/N320</f>
        <v>-0.14114832535885166</v>
      </c>
      <c r="U372" s="34">
        <f t="shared" ref="U372" si="1598">N372/P372</f>
        <v>0.31685789938217124</v>
      </c>
      <c r="V372" s="40">
        <f t="shared" ref="V372" si="1599">AVERAGE(B216,B268,B320)</f>
        <v>206</v>
      </c>
      <c r="W372" s="40">
        <f t="shared" ref="W372" si="1600">AVERAGE(F216,F268,F320)</f>
        <v>31</v>
      </c>
      <c r="X372" s="40">
        <f t="shared" ref="X372" si="1601">AVERAGE(J216,J268,J320)</f>
        <v>228.66666666666666</v>
      </c>
      <c r="Y372" s="40">
        <f t="shared" ref="Y372" si="1602">AVERAGE(N216,N268,N320)</f>
        <v>465.66666666666669</v>
      </c>
      <c r="Z372" s="61">
        <f t="shared" ref="Z372" si="1603">(N372-Y372)/Y372</f>
        <v>-0.22906227630637083</v>
      </c>
      <c r="AA372" s="22"/>
    </row>
    <row r="373" spans="1:27" ht="16" thickBot="1" x14ac:dyDescent="0.4">
      <c r="A373" s="20">
        <f t="shared" si="722"/>
        <v>41153</v>
      </c>
      <c r="B373" s="22">
        <v>99</v>
      </c>
      <c r="C373" s="22">
        <v>337</v>
      </c>
      <c r="D373" s="22">
        <v>51</v>
      </c>
      <c r="E373" s="22">
        <v>283</v>
      </c>
      <c r="F373" s="22">
        <v>40</v>
      </c>
      <c r="G373" s="22">
        <v>68</v>
      </c>
      <c r="H373" s="22">
        <v>1</v>
      </c>
      <c r="I373" s="22">
        <v>43</v>
      </c>
      <c r="J373" s="22">
        <v>228</v>
      </c>
      <c r="K373" s="22">
        <v>730</v>
      </c>
      <c r="L373" s="22">
        <v>403</v>
      </c>
      <c r="M373" s="22">
        <v>788</v>
      </c>
      <c r="N373" s="43">
        <f t="shared" si="1226"/>
        <v>367</v>
      </c>
      <c r="O373" s="22">
        <f t="shared" ref="O373" si="1604">SUM(B373,D373,F373,H373,J373,L373)</f>
        <v>822</v>
      </c>
      <c r="P373" s="22">
        <f t="shared" ref="P373" si="1605">SUM(C373,G373,K373)</f>
        <v>1135</v>
      </c>
      <c r="Q373" s="22">
        <f t="shared" ref="Q373" si="1606">SUM(C373,E373,G373,I373,K373,M373)</f>
        <v>2249</v>
      </c>
      <c r="R373" s="34">
        <f t="shared" ref="R373" si="1607">(N373-N372)/N372</f>
        <v>2.2284122562674095E-2</v>
      </c>
      <c r="S373" s="32">
        <f t="shared" ref="S373" si="1608">N373-N372</f>
        <v>8</v>
      </c>
      <c r="T373" s="34">
        <f t="shared" ref="T373" si="1609">(N373-N321)/N321</f>
        <v>-3.6745406824146981E-2</v>
      </c>
      <c r="U373" s="34">
        <f t="shared" ref="U373" si="1610">N373/P373</f>
        <v>0.3233480176211454</v>
      </c>
      <c r="V373" s="40">
        <f t="shared" ref="V373" si="1611">AVERAGE(B217,B269,B321)</f>
        <v>160.66666666666666</v>
      </c>
      <c r="W373" s="40">
        <f t="shared" ref="W373" si="1612">AVERAGE(F217,F269,F321)</f>
        <v>22.666666666666668</v>
      </c>
      <c r="X373" s="40">
        <f t="shared" ref="X373" si="1613">AVERAGE(J217,J269,J321)</f>
        <v>250.66666666666666</v>
      </c>
      <c r="Y373" s="40">
        <f t="shared" ref="Y373" si="1614">AVERAGE(N217,N269,N321)</f>
        <v>434</v>
      </c>
      <c r="Z373" s="61">
        <f t="shared" ref="Z373" si="1615">(N373-Y373)/Y373</f>
        <v>-0.15437788018433179</v>
      </c>
      <c r="AA373" s="22"/>
    </row>
    <row r="374" spans="1:27" ht="16" thickBot="1" x14ac:dyDescent="0.4">
      <c r="A374" s="20">
        <f t="shared" si="722"/>
        <v>41160</v>
      </c>
      <c r="B374" s="22">
        <v>106</v>
      </c>
      <c r="C374" s="22">
        <v>353</v>
      </c>
      <c r="D374" s="22">
        <v>79</v>
      </c>
      <c r="E374" s="22">
        <v>346</v>
      </c>
      <c r="F374" s="22">
        <v>23</v>
      </c>
      <c r="G374" s="22">
        <v>81</v>
      </c>
      <c r="H374" s="22">
        <v>7</v>
      </c>
      <c r="I374" s="22">
        <v>25</v>
      </c>
      <c r="J374" s="22">
        <v>226</v>
      </c>
      <c r="K374" s="22">
        <v>676</v>
      </c>
      <c r="L374" s="22">
        <v>249</v>
      </c>
      <c r="M374" s="22">
        <v>552</v>
      </c>
      <c r="N374" s="43">
        <f t="shared" si="1226"/>
        <v>355</v>
      </c>
      <c r="O374" s="22">
        <f t="shared" ref="O374" si="1616">SUM(B374,D374,F374,H374,J374,L374)</f>
        <v>690</v>
      </c>
      <c r="P374" s="22">
        <f t="shared" ref="P374" si="1617">SUM(C374,G374,K374)</f>
        <v>1110</v>
      </c>
      <c r="Q374" s="22">
        <f t="shared" ref="Q374" si="1618">SUM(C374,E374,G374,I374,K374,M374)</f>
        <v>2033</v>
      </c>
      <c r="R374" s="34">
        <f t="shared" ref="R374" si="1619">(N374-N373)/N373</f>
        <v>-3.2697547683923703E-2</v>
      </c>
      <c r="S374" s="32">
        <f t="shared" ref="S374" si="1620">N374-N373</f>
        <v>-12</v>
      </c>
      <c r="T374" s="34">
        <f t="shared" ref="T374" si="1621">(N374-N322)/N322</f>
        <v>-8.505154639175258E-2</v>
      </c>
      <c r="U374" s="34">
        <f t="shared" ref="U374" si="1622">N374/P374</f>
        <v>0.31981981981981983</v>
      </c>
      <c r="V374" s="40">
        <f t="shared" ref="V374" si="1623">AVERAGE(B218,B270,B322)</f>
        <v>135.33333333333334</v>
      </c>
      <c r="W374" s="40">
        <f t="shared" ref="W374" si="1624">AVERAGE(F218,F270,F322)</f>
        <v>23.333333333333332</v>
      </c>
      <c r="X374" s="40">
        <f t="shared" ref="X374" si="1625">AVERAGE(J218,J270,J322)</f>
        <v>263.33333333333331</v>
      </c>
      <c r="Y374" s="40">
        <f t="shared" ref="Y374" si="1626">AVERAGE(N218,N270,N322)</f>
        <v>422</v>
      </c>
      <c r="Z374" s="61">
        <f t="shared" ref="Z374" si="1627">(N374-Y374)/Y374</f>
        <v>-0.15876777251184834</v>
      </c>
      <c r="AA374" s="22"/>
    </row>
    <row r="375" spans="1:27" ht="16" thickBot="1" x14ac:dyDescent="0.4">
      <c r="A375" s="20">
        <f t="shared" si="722"/>
        <v>41167</v>
      </c>
      <c r="B375" s="22">
        <v>102</v>
      </c>
      <c r="C375" s="22">
        <v>383</v>
      </c>
      <c r="D375" s="22">
        <v>47</v>
      </c>
      <c r="E375" s="22">
        <v>254</v>
      </c>
      <c r="F375" s="22">
        <v>40</v>
      </c>
      <c r="G375" s="22">
        <v>85</v>
      </c>
      <c r="H375" s="22">
        <v>13</v>
      </c>
      <c r="I375" s="22">
        <v>92</v>
      </c>
      <c r="J375" s="22">
        <v>174</v>
      </c>
      <c r="K375" s="22">
        <v>617</v>
      </c>
      <c r="L375" s="22">
        <v>337</v>
      </c>
      <c r="M375" s="22">
        <v>775</v>
      </c>
      <c r="N375" s="43">
        <f t="shared" si="1226"/>
        <v>316</v>
      </c>
      <c r="O375" s="22">
        <f t="shared" ref="O375" si="1628">SUM(B375,D375,F375,H375,J375,L375)</f>
        <v>713</v>
      </c>
      <c r="P375" s="22">
        <f t="shared" ref="P375" si="1629">SUM(C375,G375,K375)</f>
        <v>1085</v>
      </c>
      <c r="Q375" s="22">
        <f t="shared" ref="Q375" si="1630">SUM(C375,E375,G375,I375,K375,M375)</f>
        <v>2206</v>
      </c>
      <c r="R375" s="34">
        <f t="shared" ref="R375" si="1631">(N375-N374)/N374</f>
        <v>-0.10985915492957747</v>
      </c>
      <c r="S375" s="32">
        <f t="shared" ref="S375" si="1632">N375-N374</f>
        <v>-39</v>
      </c>
      <c r="T375" s="34">
        <f t="shared" ref="T375" si="1633">(N375-N323)/N323</f>
        <v>-0.19592875318066158</v>
      </c>
      <c r="U375" s="34">
        <f t="shared" ref="U375" si="1634">N375/P375</f>
        <v>0.29124423963133639</v>
      </c>
      <c r="V375" s="40">
        <f t="shared" ref="V375" si="1635">AVERAGE(B219,B271,B323)</f>
        <v>143.66666666666666</v>
      </c>
      <c r="W375" s="40">
        <f t="shared" ref="W375" si="1636">AVERAGE(F219,F271,F323)</f>
        <v>31.333333333333332</v>
      </c>
      <c r="X375" s="40">
        <f t="shared" ref="X375" si="1637">AVERAGE(J219,J271,J323)</f>
        <v>219.66666666666666</v>
      </c>
      <c r="Y375" s="40">
        <f t="shared" ref="Y375" si="1638">AVERAGE(N219,N271,N323)</f>
        <v>394.66666666666669</v>
      </c>
      <c r="Z375" s="61">
        <f t="shared" ref="Z375" si="1639">(N375-Y375)/Y375</f>
        <v>-0.19932432432432437</v>
      </c>
      <c r="AA375" s="22"/>
    </row>
    <row r="376" spans="1:27" ht="16" thickBot="1" x14ac:dyDescent="0.4">
      <c r="A376" s="20">
        <f t="shared" si="722"/>
        <v>41174</v>
      </c>
      <c r="B376" s="22">
        <v>94</v>
      </c>
      <c r="C376" s="22">
        <v>302</v>
      </c>
      <c r="D376" s="22">
        <v>74</v>
      </c>
      <c r="E376" s="22">
        <v>307</v>
      </c>
      <c r="F376" s="22">
        <v>37</v>
      </c>
      <c r="G376" s="22">
        <v>108</v>
      </c>
      <c r="H376" s="22">
        <v>15</v>
      </c>
      <c r="I376" s="22">
        <v>88</v>
      </c>
      <c r="J376" s="22">
        <v>255</v>
      </c>
      <c r="K376" s="22">
        <v>935</v>
      </c>
      <c r="L376" s="22">
        <v>425</v>
      </c>
      <c r="M376" s="22">
        <v>790</v>
      </c>
      <c r="N376" s="43">
        <f t="shared" si="1226"/>
        <v>386</v>
      </c>
      <c r="O376" s="22">
        <f t="shared" ref="O376" si="1640">SUM(B376,D376,F376,H376,J376,L376)</f>
        <v>900</v>
      </c>
      <c r="P376" s="22">
        <f t="shared" ref="P376" si="1641">SUM(C376,G376,K376)</f>
        <v>1345</v>
      </c>
      <c r="Q376" s="22">
        <f t="shared" ref="Q376" si="1642">SUM(C376,E376,G376,I376,K376,M376)</f>
        <v>2530</v>
      </c>
      <c r="R376" s="34">
        <f t="shared" ref="R376" si="1643">(N376-N375)/N375</f>
        <v>0.22151898734177214</v>
      </c>
      <c r="S376" s="32">
        <f t="shared" ref="S376" si="1644">N376-N375</f>
        <v>70</v>
      </c>
      <c r="T376" s="34">
        <f t="shared" ref="T376" si="1645">(N376-N324)/N324</f>
        <v>-4.9261083743842367E-2</v>
      </c>
      <c r="U376" s="34">
        <f t="shared" ref="U376" si="1646">N376/P376</f>
        <v>0.28698884758364313</v>
      </c>
      <c r="V376" s="40">
        <f t="shared" ref="V376" si="1647">AVERAGE(B220,B272,B324)</f>
        <v>169</v>
      </c>
      <c r="W376" s="40">
        <f t="shared" ref="W376" si="1648">AVERAGE(F220,F272,F324)</f>
        <v>27</v>
      </c>
      <c r="X376" s="40">
        <f t="shared" ref="X376" si="1649">AVERAGE(J220,J272,J324)</f>
        <v>264.33333333333331</v>
      </c>
      <c r="Y376" s="40">
        <f t="shared" ref="Y376" si="1650">AVERAGE(N220,N272,N324)</f>
        <v>460.33333333333331</v>
      </c>
      <c r="Z376" s="61">
        <f t="shared" ref="Z376" si="1651">(N376-Y376)/Y376</f>
        <v>-0.16147719044170888</v>
      </c>
      <c r="AA376" s="22"/>
    </row>
    <row r="377" spans="1:27" ht="16" thickBot="1" x14ac:dyDescent="0.4">
      <c r="A377" s="20">
        <f t="shared" si="722"/>
        <v>41181</v>
      </c>
      <c r="B377" s="22">
        <v>160</v>
      </c>
      <c r="C377" s="22">
        <v>591</v>
      </c>
      <c r="D377" s="22">
        <v>71</v>
      </c>
      <c r="E377" s="22">
        <v>855</v>
      </c>
      <c r="F377" s="22">
        <v>19</v>
      </c>
      <c r="G377" s="22">
        <v>76</v>
      </c>
      <c r="H377" s="22">
        <v>17</v>
      </c>
      <c r="I377" s="22">
        <v>114</v>
      </c>
      <c r="J377" s="22">
        <v>228</v>
      </c>
      <c r="K377" s="22">
        <v>673</v>
      </c>
      <c r="L377" s="22">
        <v>529</v>
      </c>
      <c r="M377" s="22">
        <v>1073</v>
      </c>
      <c r="N377" s="43">
        <f t="shared" ref="N377:N406" si="1652">SUM(B377,F377,J377)</f>
        <v>407</v>
      </c>
      <c r="O377" s="22">
        <f t="shared" ref="O377" si="1653">SUM(B377,D377,F377,H377,J377,L377)</f>
        <v>1024</v>
      </c>
      <c r="P377" s="22">
        <f t="shared" ref="P377" si="1654">SUM(C377,G377,K377)</f>
        <v>1340</v>
      </c>
      <c r="Q377" s="22">
        <f t="shared" ref="Q377" si="1655">SUM(C377,E377,G377,I377,K377,M377)</f>
        <v>3382</v>
      </c>
      <c r="R377" s="34">
        <f t="shared" ref="R377" si="1656">(N377-N376)/N376</f>
        <v>5.4404145077720206E-2</v>
      </c>
      <c r="S377" s="32">
        <f t="shared" ref="S377" si="1657">N377-N376</f>
        <v>21</v>
      </c>
      <c r="T377" s="34">
        <f t="shared" ref="T377" si="1658">(N377-N325)/N325</f>
        <v>-0.39253731343283582</v>
      </c>
      <c r="U377" s="34">
        <f t="shared" ref="U377" si="1659">N377/P377</f>
        <v>0.30373134328358209</v>
      </c>
      <c r="V377" s="40">
        <f t="shared" ref="V377" si="1660">AVERAGE(B221,B273,B325)</f>
        <v>164.66666666666666</v>
      </c>
      <c r="W377" s="40">
        <f t="shared" ref="W377" si="1661">AVERAGE(F221,F273,F325)</f>
        <v>26.666666666666668</v>
      </c>
      <c r="X377" s="40">
        <f t="shared" ref="X377" si="1662">AVERAGE(J221,J273,J325)</f>
        <v>297</v>
      </c>
      <c r="Y377" s="40">
        <f t="shared" ref="Y377" si="1663">AVERAGE(N221,N273,N325)</f>
        <v>488.33333333333331</v>
      </c>
      <c r="Z377" s="61">
        <f t="shared" ref="Z377" si="1664">(N377-Y377)/Y377</f>
        <v>-0.16655290102389075</v>
      </c>
      <c r="AA377" s="22"/>
    </row>
    <row r="378" spans="1:27" ht="16" thickBot="1" x14ac:dyDescent="0.4">
      <c r="A378" s="20">
        <f t="shared" si="722"/>
        <v>41188</v>
      </c>
      <c r="B378" s="22">
        <v>221</v>
      </c>
      <c r="C378" s="22">
        <v>533</v>
      </c>
      <c r="D378" s="22">
        <v>70</v>
      </c>
      <c r="E378" s="22">
        <v>354</v>
      </c>
      <c r="F378" s="22">
        <v>41</v>
      </c>
      <c r="G378" s="22">
        <v>140</v>
      </c>
      <c r="H378" s="22">
        <v>22</v>
      </c>
      <c r="I378" s="22">
        <v>77</v>
      </c>
      <c r="J378" s="22">
        <v>336</v>
      </c>
      <c r="K378" s="22">
        <v>899</v>
      </c>
      <c r="L378" s="22">
        <v>408</v>
      </c>
      <c r="M378" s="22">
        <v>795</v>
      </c>
      <c r="N378" s="43">
        <f t="shared" si="1652"/>
        <v>598</v>
      </c>
      <c r="O378" s="22">
        <f t="shared" ref="O378" si="1665">SUM(B378,D378,F378,H378,J378,L378)</f>
        <v>1098</v>
      </c>
      <c r="P378" s="22">
        <f t="shared" ref="P378" si="1666">SUM(C378,G378,K378)</f>
        <v>1572</v>
      </c>
      <c r="Q378" s="22">
        <f t="shared" ref="Q378" si="1667">SUM(C378,E378,G378,I378,K378,M378)</f>
        <v>2798</v>
      </c>
      <c r="R378" s="34">
        <f t="shared" ref="R378" si="1668">(N378-N377)/N377</f>
        <v>0.46928746928746928</v>
      </c>
      <c r="S378" s="32">
        <f t="shared" ref="S378" si="1669">N378-N377</f>
        <v>191</v>
      </c>
      <c r="T378" s="34">
        <f t="shared" ref="T378" si="1670">(N378-N326)/N326</f>
        <v>0.48756218905472637</v>
      </c>
      <c r="U378" s="34">
        <f t="shared" ref="U378" si="1671">N378/P378</f>
        <v>0.38040712468193383</v>
      </c>
      <c r="V378" s="40">
        <f t="shared" ref="V378" si="1672">AVERAGE(B222,B274,B326)</f>
        <v>200.66666666666666</v>
      </c>
      <c r="W378" s="40">
        <f t="shared" ref="W378" si="1673">AVERAGE(F222,F274,F326)</f>
        <v>25</v>
      </c>
      <c r="X378" s="40">
        <f t="shared" ref="X378" si="1674">AVERAGE(J222,J274,J326)</f>
        <v>248</v>
      </c>
      <c r="Y378" s="40">
        <f t="shared" ref="Y378" si="1675">AVERAGE(N222,N274,N326)</f>
        <v>473.66666666666669</v>
      </c>
      <c r="Z378" s="61">
        <f t="shared" ref="Z378" si="1676">(N378-Y378)/Y378</f>
        <v>0.26249120337790283</v>
      </c>
      <c r="AA378" s="22"/>
    </row>
    <row r="379" spans="1:27" ht="16" thickBot="1" x14ac:dyDescent="0.4">
      <c r="A379" s="20">
        <f t="shared" si="722"/>
        <v>41195</v>
      </c>
      <c r="B379" s="22">
        <v>192</v>
      </c>
      <c r="C379" s="22">
        <v>486</v>
      </c>
      <c r="D379" s="22">
        <v>57</v>
      </c>
      <c r="E379" s="22">
        <v>508</v>
      </c>
      <c r="F379" s="22">
        <v>26</v>
      </c>
      <c r="G379" s="22">
        <v>85</v>
      </c>
      <c r="H379" s="22">
        <v>15</v>
      </c>
      <c r="I379" s="22">
        <v>92</v>
      </c>
      <c r="J379" s="22">
        <v>297</v>
      </c>
      <c r="K379" s="22">
        <v>799</v>
      </c>
      <c r="L379" s="22">
        <v>347</v>
      </c>
      <c r="M379" s="22">
        <v>791</v>
      </c>
      <c r="N379" s="43">
        <f t="shared" si="1652"/>
        <v>515</v>
      </c>
      <c r="O379" s="22">
        <f t="shared" ref="O379" si="1677">SUM(B379,D379,F379,H379,J379,L379)</f>
        <v>934</v>
      </c>
      <c r="P379" s="22">
        <f t="shared" ref="P379" si="1678">SUM(C379,G379,K379)</f>
        <v>1370</v>
      </c>
      <c r="Q379" s="22">
        <f t="shared" ref="Q379" si="1679">SUM(C379,E379,G379,I379,K379,M379)</f>
        <v>2761</v>
      </c>
      <c r="R379" s="34">
        <f t="shared" ref="R379" si="1680">(N379-N378)/N378</f>
        <v>-0.13879598662207357</v>
      </c>
      <c r="S379" s="32">
        <f t="shared" ref="S379" si="1681">N379-N378</f>
        <v>-83</v>
      </c>
      <c r="T379" s="34">
        <f t="shared" ref="T379" si="1682">(N379-N327)/N327</f>
        <v>0.24396135265700483</v>
      </c>
      <c r="U379" s="34">
        <f t="shared" ref="U379" si="1683">N379/P379</f>
        <v>0.37591240875912407</v>
      </c>
      <c r="V379" s="40">
        <f t="shared" ref="V379" si="1684">AVERAGE(B223,B275,B327)</f>
        <v>258</v>
      </c>
      <c r="W379" s="40">
        <f t="shared" ref="W379" si="1685">AVERAGE(F223,F275,F327)</f>
        <v>22.333333333333332</v>
      </c>
      <c r="X379" s="40">
        <f t="shared" ref="X379" si="1686">AVERAGE(J223,J275,J327)</f>
        <v>254.66666666666666</v>
      </c>
      <c r="Y379" s="40">
        <f t="shared" ref="Y379" si="1687">AVERAGE(N223,N275,N327)</f>
        <v>535</v>
      </c>
      <c r="Z379" s="61">
        <f t="shared" ref="Z379" si="1688">(N379-Y379)/Y379</f>
        <v>-3.7383177570093455E-2</v>
      </c>
      <c r="AA379" s="22"/>
    </row>
    <row r="380" spans="1:27" ht="16" thickBot="1" x14ac:dyDescent="0.4">
      <c r="A380" s="20">
        <f t="shared" si="722"/>
        <v>41202</v>
      </c>
      <c r="B380" s="22">
        <v>161</v>
      </c>
      <c r="C380" s="22">
        <v>540</v>
      </c>
      <c r="D380" s="22">
        <v>67</v>
      </c>
      <c r="E380" s="22">
        <v>617</v>
      </c>
      <c r="F380" s="22">
        <v>47</v>
      </c>
      <c r="G380" s="22">
        <v>94</v>
      </c>
      <c r="H380" s="22">
        <v>11</v>
      </c>
      <c r="I380" s="22">
        <v>83</v>
      </c>
      <c r="J380" s="22">
        <v>296</v>
      </c>
      <c r="K380" s="22">
        <v>757</v>
      </c>
      <c r="L380" s="22">
        <v>337</v>
      </c>
      <c r="M380" s="22">
        <v>869</v>
      </c>
      <c r="N380" s="43">
        <f t="shared" si="1652"/>
        <v>504</v>
      </c>
      <c r="O380" s="22">
        <f t="shared" ref="O380" si="1689">SUM(B380,D380,F380,H380,J380,L380)</f>
        <v>919</v>
      </c>
      <c r="P380" s="22">
        <f t="shared" ref="P380" si="1690">SUM(C380,G380,K380)</f>
        <v>1391</v>
      </c>
      <c r="Q380" s="22">
        <f t="shared" ref="Q380" si="1691">SUM(C380,E380,G380,I380,K380,M380)</f>
        <v>2960</v>
      </c>
      <c r="R380" s="34">
        <f t="shared" ref="R380" si="1692">(N380-N379)/N379</f>
        <v>-2.1359223300970873E-2</v>
      </c>
      <c r="S380" s="32">
        <f t="shared" ref="S380" si="1693">N380-N379</f>
        <v>-11</v>
      </c>
      <c r="T380" s="34">
        <f t="shared" ref="T380" si="1694">(N380-N328)/N328</f>
        <v>8.15450643776824E-2</v>
      </c>
      <c r="U380" s="34">
        <f t="shared" ref="U380" si="1695">N380/P380</f>
        <v>0.3623292595255212</v>
      </c>
      <c r="V380" s="40">
        <f t="shared" ref="V380" si="1696">AVERAGE(B224,B276,B328)</f>
        <v>158</v>
      </c>
      <c r="W380" s="40">
        <f t="shared" ref="W380" si="1697">AVERAGE(F224,F276,F328)</f>
        <v>26.333333333333332</v>
      </c>
      <c r="X380" s="40">
        <f t="shared" ref="X380" si="1698">AVERAGE(J224,J276,J328)</f>
        <v>214.33333333333334</v>
      </c>
      <c r="Y380" s="40">
        <f t="shared" ref="Y380" si="1699">AVERAGE(N224,N276,N328)</f>
        <v>398.66666666666669</v>
      </c>
      <c r="Z380" s="61">
        <f t="shared" ref="Z380" si="1700">(N380-Y380)/Y380</f>
        <v>0.26421404682274241</v>
      </c>
      <c r="AA380" s="22"/>
    </row>
    <row r="381" spans="1:27" ht="16" thickBot="1" x14ac:dyDescent="0.4">
      <c r="A381" s="20">
        <f t="shared" si="722"/>
        <v>41209</v>
      </c>
      <c r="B381" s="22">
        <v>131</v>
      </c>
      <c r="C381" s="22">
        <v>480</v>
      </c>
      <c r="D381" s="22">
        <v>34</v>
      </c>
      <c r="E381" s="22">
        <v>350</v>
      </c>
      <c r="F381" s="22">
        <v>16</v>
      </c>
      <c r="G381" s="22">
        <v>62</v>
      </c>
      <c r="H381" s="22">
        <v>18</v>
      </c>
      <c r="I381" s="22">
        <v>93</v>
      </c>
      <c r="J381" s="22">
        <v>332</v>
      </c>
      <c r="K381" s="22">
        <v>906</v>
      </c>
      <c r="L381" s="22">
        <v>305</v>
      </c>
      <c r="M381" s="22">
        <v>833</v>
      </c>
      <c r="N381" s="43">
        <f t="shared" si="1652"/>
        <v>479</v>
      </c>
      <c r="O381" s="22">
        <f t="shared" ref="O381" si="1701">SUM(B381,D381,F381,H381,J381,L381)</f>
        <v>836</v>
      </c>
      <c r="P381" s="22">
        <f t="shared" ref="P381" si="1702">SUM(C381,G381,K381)</f>
        <v>1448</v>
      </c>
      <c r="Q381" s="22">
        <f t="shared" ref="Q381" si="1703">SUM(C381,E381,G381,I381,K381,M381)</f>
        <v>2724</v>
      </c>
      <c r="R381" s="34">
        <f t="shared" ref="R381" si="1704">(N381-N380)/N380</f>
        <v>-4.96031746031746E-2</v>
      </c>
      <c r="S381" s="32">
        <f t="shared" ref="S381" si="1705">N381-N380</f>
        <v>-25</v>
      </c>
      <c r="T381" s="34">
        <f t="shared" ref="T381" si="1706">(N381-N329)/N329</f>
        <v>-0.22741935483870968</v>
      </c>
      <c r="U381" s="34">
        <f t="shared" ref="U381" si="1707">N381/P381</f>
        <v>0.33080110497237569</v>
      </c>
      <c r="V381" s="40">
        <f t="shared" ref="V381" si="1708">AVERAGE(B225,B277,B329)</f>
        <v>227</v>
      </c>
      <c r="W381" s="40">
        <f t="shared" ref="W381" si="1709">AVERAGE(F225,F277,F329)</f>
        <v>20.333333333333332</v>
      </c>
      <c r="X381" s="40">
        <f t="shared" ref="X381" si="1710">AVERAGE(J225,J277,J329)</f>
        <v>247</v>
      </c>
      <c r="Y381" s="40">
        <f t="shared" ref="Y381" si="1711">AVERAGE(N225,N277,N329)</f>
        <v>494.33333333333331</v>
      </c>
      <c r="Z381" s="61">
        <f t="shared" ref="Z381" si="1712">(N381-Y381)/Y381</f>
        <v>-3.1018206338502996E-2</v>
      </c>
      <c r="AA381" s="22"/>
    </row>
    <row r="382" spans="1:27" ht="16" thickBot="1" x14ac:dyDescent="0.4">
      <c r="A382" s="20">
        <f t="shared" si="722"/>
        <v>41216</v>
      </c>
      <c r="B382" s="22">
        <v>117</v>
      </c>
      <c r="C382" s="22">
        <v>311</v>
      </c>
      <c r="D382" s="22">
        <v>39</v>
      </c>
      <c r="E382" s="22">
        <v>548</v>
      </c>
      <c r="F382" s="22">
        <v>13</v>
      </c>
      <c r="G382" s="22">
        <v>85</v>
      </c>
      <c r="H382" s="22">
        <v>16</v>
      </c>
      <c r="I382" s="22">
        <v>73</v>
      </c>
      <c r="J382" s="22">
        <v>400</v>
      </c>
      <c r="K382" s="22">
        <v>994</v>
      </c>
      <c r="L382" s="22">
        <v>294</v>
      </c>
      <c r="M382" s="22">
        <v>926</v>
      </c>
      <c r="N382" s="43">
        <f t="shared" si="1652"/>
        <v>530</v>
      </c>
      <c r="O382" s="22">
        <f t="shared" ref="O382" si="1713">SUM(B382,D382,F382,H382,J382,L382)</f>
        <v>879</v>
      </c>
      <c r="P382" s="22">
        <f t="shared" ref="P382" si="1714">SUM(C382,G382,K382)</f>
        <v>1390</v>
      </c>
      <c r="Q382" s="22">
        <f t="shared" ref="Q382" si="1715">SUM(C382,E382,G382,I382,K382,M382)</f>
        <v>2937</v>
      </c>
      <c r="R382" s="34">
        <f t="shared" ref="R382" si="1716">(N382-N381)/N381</f>
        <v>0.10647181628392484</v>
      </c>
      <c r="S382" s="32">
        <f t="shared" ref="S382" si="1717">N382-N381</f>
        <v>51</v>
      </c>
      <c r="T382" s="34">
        <f t="shared" ref="T382" si="1718">(N382-N330)/N330</f>
        <v>-0.16927899686520376</v>
      </c>
      <c r="U382" s="34">
        <f t="shared" ref="U382" si="1719">N382/P382</f>
        <v>0.38129496402877699</v>
      </c>
      <c r="V382" s="40">
        <f t="shared" ref="V382" si="1720">AVERAGE(B226,B278,B330)</f>
        <v>331</v>
      </c>
      <c r="W382" s="40">
        <f t="shared" ref="W382" si="1721">AVERAGE(F226,F278,F330)</f>
        <v>24.333333333333332</v>
      </c>
      <c r="X382" s="40">
        <f t="shared" ref="X382" si="1722">AVERAGE(J226,J278,J330)</f>
        <v>298.33333333333331</v>
      </c>
      <c r="Y382" s="40">
        <f t="shared" ref="Y382" si="1723">AVERAGE(N226,N278,N330)</f>
        <v>653.66666666666663</v>
      </c>
      <c r="Z382" s="61">
        <f t="shared" ref="Z382" si="1724">(N382-Y382)/Y382</f>
        <v>-0.18918918918918914</v>
      </c>
      <c r="AA382" s="22"/>
    </row>
    <row r="383" spans="1:27" ht="16" thickBot="1" x14ac:dyDescent="0.4">
      <c r="A383" s="20">
        <f t="shared" si="722"/>
        <v>41223</v>
      </c>
      <c r="B383" s="22">
        <v>214</v>
      </c>
      <c r="C383" s="22">
        <v>522</v>
      </c>
      <c r="D383" s="22">
        <v>46</v>
      </c>
      <c r="E383" s="22">
        <v>478</v>
      </c>
      <c r="F383" s="22">
        <v>23</v>
      </c>
      <c r="G383" s="22">
        <v>69</v>
      </c>
      <c r="H383" s="22">
        <v>23</v>
      </c>
      <c r="I383" s="22">
        <v>80</v>
      </c>
      <c r="J383" s="22">
        <v>251</v>
      </c>
      <c r="K383" s="22">
        <v>623</v>
      </c>
      <c r="L383" s="22">
        <v>253</v>
      </c>
      <c r="M383" s="22">
        <v>875</v>
      </c>
      <c r="N383" s="43">
        <f t="shared" si="1652"/>
        <v>488</v>
      </c>
      <c r="O383" s="22">
        <f t="shared" ref="O383" si="1725">SUM(B383,D383,F383,H383,J383,L383)</f>
        <v>810</v>
      </c>
      <c r="P383" s="22">
        <f t="shared" ref="P383" si="1726">SUM(C383,G383,K383)</f>
        <v>1214</v>
      </c>
      <c r="Q383" s="22">
        <f t="shared" ref="Q383" si="1727">SUM(C383,E383,G383,I383,K383,M383)</f>
        <v>2647</v>
      </c>
      <c r="R383" s="34">
        <f t="shared" ref="R383" si="1728">(N383-N382)/N382</f>
        <v>-7.9245283018867921E-2</v>
      </c>
      <c r="S383" s="32">
        <f t="shared" ref="S383" si="1729">N383-N382</f>
        <v>-42</v>
      </c>
      <c r="T383" s="34">
        <f t="shared" ref="T383" si="1730">(N383-N331)/N331</f>
        <v>-0.23868954758190328</v>
      </c>
      <c r="U383" s="34">
        <f t="shared" ref="U383" si="1731">N383/P383</f>
        <v>0.40197693574958815</v>
      </c>
      <c r="V383" s="40">
        <f t="shared" ref="V383" si="1732">AVERAGE(B227,B279,B331)</f>
        <v>341.66666666666669</v>
      </c>
      <c r="W383" s="40">
        <f t="shared" ref="W383" si="1733">AVERAGE(F227,F279,F331)</f>
        <v>34.333333333333336</v>
      </c>
      <c r="X383" s="40">
        <f t="shared" ref="X383" si="1734">AVERAGE(J227,J279,J331)</f>
        <v>283</v>
      </c>
      <c r="Y383" s="40">
        <f t="shared" ref="Y383" si="1735">AVERAGE(N227,N279,N331)</f>
        <v>659</v>
      </c>
      <c r="Z383" s="61">
        <f t="shared" ref="Z383" si="1736">(N383-Y383)/Y383</f>
        <v>-0.25948406676783003</v>
      </c>
      <c r="AA383" s="22"/>
    </row>
    <row r="384" spans="1:27" ht="16" thickBot="1" x14ac:dyDescent="0.4">
      <c r="A384" s="20">
        <f t="shared" si="722"/>
        <v>41230</v>
      </c>
      <c r="B384" s="22">
        <v>306</v>
      </c>
      <c r="C384" s="22">
        <v>482</v>
      </c>
      <c r="D384" s="22">
        <v>59</v>
      </c>
      <c r="E384" s="22">
        <v>497</v>
      </c>
      <c r="F384" s="22">
        <v>45</v>
      </c>
      <c r="G384" s="22">
        <v>117</v>
      </c>
      <c r="H384" s="22">
        <v>19</v>
      </c>
      <c r="I384" s="22">
        <v>116</v>
      </c>
      <c r="J384" s="22">
        <v>275</v>
      </c>
      <c r="K384" s="22">
        <v>636</v>
      </c>
      <c r="L384" s="22">
        <v>227</v>
      </c>
      <c r="M384" s="22">
        <v>557</v>
      </c>
      <c r="N384" s="43">
        <f t="shared" si="1652"/>
        <v>626</v>
      </c>
      <c r="O384" s="22">
        <f t="shared" ref="O384" si="1737">SUM(B384,D384,F384,H384,J384,L384)</f>
        <v>931</v>
      </c>
      <c r="P384" s="22">
        <f t="shared" ref="P384" si="1738">SUM(C384,G384,K384)</f>
        <v>1235</v>
      </c>
      <c r="Q384" s="22">
        <f t="shared" ref="Q384" si="1739">SUM(C384,E384,G384,I384,K384,M384)</f>
        <v>2405</v>
      </c>
      <c r="R384" s="34">
        <f t="shared" ref="R384" si="1740">(N384-N383)/N383</f>
        <v>0.28278688524590162</v>
      </c>
      <c r="S384" s="32">
        <f t="shared" ref="S384" si="1741">N384-N383</f>
        <v>138</v>
      </c>
      <c r="T384" s="34">
        <f t="shared" ref="T384" si="1742">(N384-N332)/N332</f>
        <v>-8.8791848617176122E-2</v>
      </c>
      <c r="U384" s="34">
        <f t="shared" ref="U384" si="1743">N384/P384</f>
        <v>0.5068825910931174</v>
      </c>
      <c r="V384" s="40">
        <f t="shared" ref="V384" si="1744">AVERAGE(B228,B280,B332)</f>
        <v>244</v>
      </c>
      <c r="W384" s="40">
        <f t="shared" ref="W384" si="1745">AVERAGE(F228,F280,F332)</f>
        <v>33.666666666666664</v>
      </c>
      <c r="X384" s="40">
        <f t="shared" ref="X384" si="1746">AVERAGE(J228,J280,J332)</f>
        <v>308.66666666666669</v>
      </c>
      <c r="Y384" s="40">
        <f t="shared" ref="Y384" si="1747">AVERAGE(N228,N280,N332)</f>
        <v>586.33333333333337</v>
      </c>
      <c r="Z384" s="61">
        <f t="shared" ref="Z384" si="1748">(N384-Y384)/Y384</f>
        <v>6.7652075042637788E-2</v>
      </c>
      <c r="AA384" s="22"/>
    </row>
    <row r="385" spans="1:27" ht="16" thickBot="1" x14ac:dyDescent="0.4">
      <c r="A385" s="20">
        <f t="shared" si="722"/>
        <v>41237</v>
      </c>
      <c r="B385" s="22">
        <v>308</v>
      </c>
      <c r="C385" s="22">
        <v>487</v>
      </c>
      <c r="D385" s="22">
        <v>72</v>
      </c>
      <c r="E385" s="22">
        <v>621</v>
      </c>
      <c r="F385" s="22">
        <v>18</v>
      </c>
      <c r="G385" s="22">
        <v>74</v>
      </c>
      <c r="H385" s="22">
        <v>9</v>
      </c>
      <c r="I385" s="22">
        <v>77</v>
      </c>
      <c r="J385" s="22">
        <v>403</v>
      </c>
      <c r="K385" s="22">
        <v>868</v>
      </c>
      <c r="L385" s="22">
        <v>285</v>
      </c>
      <c r="M385" s="22">
        <v>939</v>
      </c>
      <c r="N385" s="43">
        <f t="shared" si="1652"/>
        <v>729</v>
      </c>
      <c r="O385" s="22">
        <f t="shared" ref="O385" si="1749">SUM(B385,D385,F385,H385,J385,L385)</f>
        <v>1095</v>
      </c>
      <c r="P385" s="22">
        <f t="shared" ref="P385" si="1750">SUM(C385,G385,K385)</f>
        <v>1429</v>
      </c>
      <c r="Q385" s="22">
        <f t="shared" ref="Q385" si="1751">SUM(C385,E385,G385,I385,K385,M385)</f>
        <v>3066</v>
      </c>
      <c r="R385" s="34">
        <f t="shared" ref="R385" si="1752">(N385-N384)/N384</f>
        <v>0.16453674121405751</v>
      </c>
      <c r="S385" s="32">
        <f t="shared" ref="S385" si="1753">N385-N384</f>
        <v>103</v>
      </c>
      <c r="T385" s="34">
        <f t="shared" ref="T385" si="1754">(N385-N333)/N333</f>
        <v>-0.10552147239263804</v>
      </c>
      <c r="U385" s="34">
        <f t="shared" ref="U385" si="1755">N385/P385</f>
        <v>0.51014695591322601</v>
      </c>
      <c r="V385" s="40">
        <f t="shared" ref="V385" si="1756">AVERAGE(B229,B281,B333)</f>
        <v>398.33333333333331</v>
      </c>
      <c r="W385" s="40">
        <f t="shared" ref="W385" si="1757">AVERAGE(F229,F281,F333)</f>
        <v>30.666666666666668</v>
      </c>
      <c r="X385" s="40">
        <f t="shared" ref="X385" si="1758">AVERAGE(J229,J281,J333)</f>
        <v>274</v>
      </c>
      <c r="Y385" s="40">
        <f t="shared" ref="Y385" si="1759">AVERAGE(N229,N281,N333)</f>
        <v>703</v>
      </c>
      <c r="Z385" s="61">
        <f t="shared" ref="Z385" si="1760">(N385-Y385)/Y385</f>
        <v>3.6984352773826459E-2</v>
      </c>
      <c r="AA385" s="22"/>
    </row>
    <row r="386" spans="1:27" ht="16" thickBot="1" x14ac:dyDescent="0.4">
      <c r="A386" s="20">
        <f t="shared" si="722"/>
        <v>41244</v>
      </c>
      <c r="B386" s="22">
        <v>288</v>
      </c>
      <c r="C386" s="22">
        <v>485</v>
      </c>
      <c r="D386" s="22">
        <v>80</v>
      </c>
      <c r="E386" s="22">
        <v>789</v>
      </c>
      <c r="F386" s="22">
        <v>12</v>
      </c>
      <c r="G386" s="22">
        <v>69</v>
      </c>
      <c r="H386" s="22">
        <v>23</v>
      </c>
      <c r="I386" s="22">
        <v>112</v>
      </c>
      <c r="J386" s="22">
        <v>282</v>
      </c>
      <c r="K386" s="22">
        <v>833</v>
      </c>
      <c r="L386" s="22">
        <v>341</v>
      </c>
      <c r="M386" s="22">
        <v>924</v>
      </c>
      <c r="N386" s="43">
        <f t="shared" si="1652"/>
        <v>582</v>
      </c>
      <c r="O386" s="22">
        <f t="shared" ref="O386" si="1761">SUM(B386,D386,F386,H386,J386,L386)</f>
        <v>1026</v>
      </c>
      <c r="P386" s="22">
        <f t="shared" ref="P386" si="1762">SUM(C386,G386,K386)</f>
        <v>1387</v>
      </c>
      <c r="Q386" s="22">
        <f t="shared" ref="Q386" si="1763">SUM(C386,E386,G386,I386,K386,M386)</f>
        <v>3212</v>
      </c>
      <c r="R386" s="34">
        <f t="shared" ref="R386" si="1764">(N386-N385)/N385</f>
        <v>-0.20164609053497942</v>
      </c>
      <c r="S386" s="32">
        <f t="shared" ref="S386" si="1765">N386-N385</f>
        <v>-147</v>
      </c>
      <c r="T386" s="34">
        <f t="shared" ref="T386" si="1766">(N386-N334)/N334</f>
        <v>-0.23015873015873015</v>
      </c>
      <c r="U386" s="34">
        <f t="shared" ref="U386" si="1767">N386/P386</f>
        <v>0.41961067051189616</v>
      </c>
      <c r="V386" s="40">
        <f t="shared" ref="V386" si="1768">AVERAGE(B230,B282,B334)</f>
        <v>380</v>
      </c>
      <c r="W386" s="40">
        <f t="shared" ref="W386" si="1769">AVERAGE(F230,F282,F334)</f>
        <v>30</v>
      </c>
      <c r="X386" s="40">
        <f t="shared" ref="X386" si="1770">AVERAGE(J230,J282,J334)</f>
        <v>308.33333333333331</v>
      </c>
      <c r="Y386" s="40">
        <f t="shared" ref="Y386" si="1771">AVERAGE(N230,N282,N334)</f>
        <v>718.33333333333337</v>
      </c>
      <c r="Z386" s="61">
        <f t="shared" ref="Z386" si="1772">(N386-Y386)/Y386</f>
        <v>-0.18979118329466363</v>
      </c>
      <c r="AA386" s="22"/>
    </row>
    <row r="387" spans="1:27" ht="16" thickBot="1" x14ac:dyDescent="0.4">
      <c r="A387" s="20">
        <f t="shared" si="722"/>
        <v>41251</v>
      </c>
      <c r="B387" s="22">
        <v>232</v>
      </c>
      <c r="C387" s="22">
        <v>435</v>
      </c>
      <c r="D387" s="22">
        <v>68</v>
      </c>
      <c r="E387" s="22">
        <v>755</v>
      </c>
      <c r="F387" s="22">
        <v>5</v>
      </c>
      <c r="G387" s="22">
        <v>5</v>
      </c>
      <c r="H387" s="22">
        <v>0</v>
      </c>
      <c r="I387" s="22">
        <v>6</v>
      </c>
      <c r="J387" s="22">
        <v>387</v>
      </c>
      <c r="K387" s="22">
        <v>895</v>
      </c>
      <c r="L387" s="22">
        <v>313</v>
      </c>
      <c r="M387" s="22">
        <v>765</v>
      </c>
      <c r="N387" s="43">
        <f t="shared" si="1652"/>
        <v>624</v>
      </c>
      <c r="O387" s="22">
        <f t="shared" ref="O387" si="1773">SUM(B387,D387,F387,H387,J387,L387)</f>
        <v>1005</v>
      </c>
      <c r="P387" s="22">
        <f t="shared" ref="P387" si="1774">SUM(C387,G387,K387)</f>
        <v>1335</v>
      </c>
      <c r="Q387" s="22">
        <f t="shared" ref="Q387" si="1775">SUM(C387,E387,G387,I387,K387,M387)</f>
        <v>2861</v>
      </c>
      <c r="R387" s="34">
        <f t="shared" ref="R387" si="1776">(N387-N386)/N386</f>
        <v>7.2164948453608241E-2</v>
      </c>
      <c r="S387" s="32">
        <f t="shared" ref="S387" si="1777">N387-N386</f>
        <v>42</v>
      </c>
      <c r="T387" s="34">
        <f t="shared" ref="T387" si="1778">(N387-N335)/N335</f>
        <v>-0.22772277227722773</v>
      </c>
      <c r="U387" s="34">
        <f t="shared" ref="U387" si="1779">N387/P387</f>
        <v>0.46741573033707867</v>
      </c>
      <c r="V387" s="40">
        <f t="shared" ref="V387" si="1780">AVERAGE(B231,B283,B335)</f>
        <v>356</v>
      </c>
      <c r="W387" s="40">
        <f t="shared" ref="W387" si="1781">AVERAGE(F231,F283,F335)</f>
        <v>41.333333333333336</v>
      </c>
      <c r="X387" s="40">
        <f t="shared" ref="X387" si="1782">AVERAGE(J231,J283,J335)</f>
        <v>258.33333333333331</v>
      </c>
      <c r="Y387" s="40">
        <f t="shared" ref="Y387" si="1783">AVERAGE(N231,N283,N335)</f>
        <v>655.66666666666663</v>
      </c>
      <c r="Z387" s="61">
        <f t="shared" ref="Z387" si="1784">(N387-Y387)/Y387</f>
        <v>-4.8296898830706605E-2</v>
      </c>
      <c r="AA387" s="22"/>
    </row>
    <row r="388" spans="1:27" ht="16" thickBot="1" x14ac:dyDescent="0.4">
      <c r="A388" s="20">
        <f t="shared" si="722"/>
        <v>41258</v>
      </c>
      <c r="B388" s="22">
        <v>101</v>
      </c>
      <c r="C388" s="22">
        <v>251</v>
      </c>
      <c r="D388" s="22">
        <v>70</v>
      </c>
      <c r="E388" s="22">
        <v>447</v>
      </c>
      <c r="F388" s="22">
        <v>10</v>
      </c>
      <c r="G388" s="22">
        <v>22</v>
      </c>
      <c r="H388" s="22">
        <v>4</v>
      </c>
      <c r="I388" s="22">
        <v>57</v>
      </c>
      <c r="J388" s="22">
        <v>562</v>
      </c>
      <c r="K388" s="22">
        <v>1177</v>
      </c>
      <c r="L388" s="22">
        <v>289</v>
      </c>
      <c r="M388" s="22">
        <v>891</v>
      </c>
      <c r="N388" s="43">
        <f t="shared" si="1652"/>
        <v>673</v>
      </c>
      <c r="O388" s="22">
        <f t="shared" ref="O388" si="1785">SUM(B388,D388,F388,H388,J388,L388)</f>
        <v>1036</v>
      </c>
      <c r="P388" s="22">
        <f t="shared" ref="P388" si="1786">SUM(C388,G388,K388)</f>
        <v>1450</v>
      </c>
      <c r="Q388" s="22">
        <f t="shared" ref="Q388" si="1787">SUM(C388,E388,G388,I388,K388,M388)</f>
        <v>2845</v>
      </c>
      <c r="R388" s="34">
        <f t="shared" ref="R388" si="1788">(N388-N387)/N387</f>
        <v>7.8525641025641024E-2</v>
      </c>
      <c r="S388" s="32">
        <f t="shared" ref="S388" si="1789">N388-N387</f>
        <v>49</v>
      </c>
      <c r="T388" s="34">
        <f t="shared" ref="T388" si="1790">(N388-N336)/N336</f>
        <v>2.9806259314456036E-3</v>
      </c>
      <c r="U388" s="34">
        <f t="shared" ref="U388" si="1791">N388/P388</f>
        <v>0.46413793103448275</v>
      </c>
      <c r="V388" s="40">
        <f t="shared" ref="V388" si="1792">AVERAGE(B232,B284,B336)</f>
        <v>290.33333333333331</v>
      </c>
      <c r="W388" s="40">
        <f t="shared" ref="W388" si="1793">AVERAGE(F232,F284,F336)</f>
        <v>35</v>
      </c>
      <c r="X388" s="40">
        <f t="shared" ref="X388" si="1794">AVERAGE(J232,J284,J336)</f>
        <v>287.33333333333331</v>
      </c>
      <c r="Y388" s="40">
        <f t="shared" ref="Y388" si="1795">AVERAGE(N232,N284,N336)</f>
        <v>612.66666666666663</v>
      </c>
      <c r="Z388" s="61">
        <f t="shared" ref="Z388" si="1796">(N388-Y388)/Y388</f>
        <v>9.8476605005440768E-2</v>
      </c>
      <c r="AA388" s="22"/>
    </row>
    <row r="389" spans="1:27" ht="16" thickBot="1" x14ac:dyDescent="0.4">
      <c r="A389" s="20">
        <f t="shared" si="722"/>
        <v>41265</v>
      </c>
      <c r="B389" s="22">
        <v>151</v>
      </c>
      <c r="C389" s="22">
        <v>317</v>
      </c>
      <c r="D389" s="22">
        <v>34</v>
      </c>
      <c r="E389" s="22">
        <v>356</v>
      </c>
      <c r="F389" s="22">
        <v>30</v>
      </c>
      <c r="G389" s="22">
        <v>114</v>
      </c>
      <c r="H389" s="22">
        <v>4</v>
      </c>
      <c r="I389" s="22">
        <v>49</v>
      </c>
      <c r="J389" s="22">
        <v>461</v>
      </c>
      <c r="K389" s="22">
        <v>1000</v>
      </c>
      <c r="L389" s="22">
        <v>268</v>
      </c>
      <c r="M389" s="22">
        <v>772</v>
      </c>
      <c r="N389" s="43">
        <f t="shared" si="1652"/>
        <v>642</v>
      </c>
      <c r="O389" s="22">
        <f t="shared" ref="O389" si="1797">SUM(B389,D389,F389,H389,J389,L389)</f>
        <v>948</v>
      </c>
      <c r="P389" s="22">
        <f t="shared" ref="P389" si="1798">SUM(C389,G389,K389)</f>
        <v>1431</v>
      </c>
      <c r="Q389" s="22">
        <f t="shared" ref="Q389" si="1799">SUM(C389,E389,G389,I389,K389,M389)</f>
        <v>2608</v>
      </c>
      <c r="R389" s="34">
        <f t="shared" ref="R389" si="1800">(N389-N388)/N388</f>
        <v>-4.6062407132243688E-2</v>
      </c>
      <c r="S389" s="32">
        <f t="shared" ref="S389" si="1801">N389-N388</f>
        <v>-31</v>
      </c>
      <c r="T389" s="34">
        <f t="shared" ref="T389" si="1802">(N389-N337)/N337</f>
        <v>-8.9361702127659579E-2</v>
      </c>
      <c r="U389" s="34">
        <f t="shared" ref="U389" si="1803">N389/P389</f>
        <v>0.44863731656184486</v>
      </c>
      <c r="V389" s="40">
        <f t="shared" ref="V389" si="1804">AVERAGE(B233,B285,B337)</f>
        <v>221.33333333333334</v>
      </c>
      <c r="W389" s="40">
        <f t="shared" ref="W389" si="1805">AVERAGE(F233,F285,F337)</f>
        <v>28</v>
      </c>
      <c r="X389" s="40">
        <f t="shared" ref="X389" si="1806">AVERAGE(J233,J285,J337)</f>
        <v>304.33333333333331</v>
      </c>
      <c r="Y389" s="40">
        <f t="shared" ref="Y389" si="1807">AVERAGE(N233,N285,N337)</f>
        <v>553.66666666666663</v>
      </c>
      <c r="Z389" s="61">
        <f t="shared" ref="Z389" si="1808">(N389-Y389)/Y389</f>
        <v>0.15954244431065631</v>
      </c>
      <c r="AA389" s="22"/>
    </row>
    <row r="390" spans="1:27" ht="16" thickBot="1" x14ac:dyDescent="0.4">
      <c r="A390" s="20">
        <f t="shared" si="722"/>
        <v>41272</v>
      </c>
      <c r="B390" s="22">
        <v>154</v>
      </c>
      <c r="C390" s="22">
        <v>240</v>
      </c>
      <c r="D390" s="22">
        <v>41</v>
      </c>
      <c r="E390" s="22">
        <v>281</v>
      </c>
      <c r="F390" s="22">
        <v>22</v>
      </c>
      <c r="G390" s="22">
        <v>85</v>
      </c>
      <c r="H390" s="22">
        <v>11</v>
      </c>
      <c r="I390" s="22">
        <v>33</v>
      </c>
      <c r="J390" s="22">
        <v>468</v>
      </c>
      <c r="K390" s="22">
        <v>1082</v>
      </c>
      <c r="L390" s="22">
        <v>266</v>
      </c>
      <c r="M390" s="22">
        <v>882</v>
      </c>
      <c r="N390" s="43">
        <f t="shared" si="1652"/>
        <v>644</v>
      </c>
      <c r="O390" s="22">
        <f t="shared" ref="O390" si="1809">SUM(B390,D390,F390,H390,J390,L390)</f>
        <v>962</v>
      </c>
      <c r="P390" s="22">
        <f t="shared" ref="P390" si="1810">SUM(C390,G390,K390)</f>
        <v>1407</v>
      </c>
      <c r="Q390" s="22">
        <f t="shared" ref="Q390" si="1811">SUM(C390,E390,G390,I390,K390,M390)</f>
        <v>2603</v>
      </c>
      <c r="R390" s="34">
        <f t="shared" ref="R390" si="1812">(N390-N389)/N389</f>
        <v>3.1152647975077881E-3</v>
      </c>
      <c r="S390" s="32">
        <f t="shared" ref="S390" si="1813">N390-N389</f>
        <v>2</v>
      </c>
      <c r="T390" s="34">
        <f t="shared" ref="T390" si="1814">(N390-N338)/N338</f>
        <v>0.20825515947467166</v>
      </c>
      <c r="U390" s="34">
        <f t="shared" ref="U390" si="1815">N390/P390</f>
        <v>0.45771144278606968</v>
      </c>
      <c r="V390" s="40">
        <f t="shared" ref="V390" si="1816">AVERAGE(B234,B286,B338)</f>
        <v>249.66666666666666</v>
      </c>
      <c r="W390" s="40">
        <f t="shared" ref="W390" si="1817">AVERAGE(F234,F286,F338)</f>
        <v>19.666666666666668</v>
      </c>
      <c r="X390" s="40">
        <f t="shared" ref="X390" si="1818">AVERAGE(J234,J286,J338)</f>
        <v>190.33333333333334</v>
      </c>
      <c r="Y390" s="40">
        <f t="shared" ref="Y390" si="1819">AVERAGE(N234,N286,N338)</f>
        <v>459.66666666666669</v>
      </c>
      <c r="Z390" s="61">
        <f t="shared" ref="Z390" si="1820">(N390-Y390)/Y390</f>
        <v>0.40101522842639586</v>
      </c>
      <c r="AA390" s="22"/>
    </row>
    <row r="391" spans="1:27" ht="16" thickBot="1" x14ac:dyDescent="0.4">
      <c r="A391" s="20">
        <f t="shared" si="722"/>
        <v>41279</v>
      </c>
      <c r="B391" s="22">
        <v>146</v>
      </c>
      <c r="C391" s="22">
        <v>278</v>
      </c>
      <c r="D391" s="22">
        <v>50</v>
      </c>
      <c r="E391" s="22">
        <v>352</v>
      </c>
      <c r="F391" s="22">
        <v>37</v>
      </c>
      <c r="G391" s="22">
        <v>127</v>
      </c>
      <c r="H391" s="22">
        <v>7</v>
      </c>
      <c r="I391" s="22">
        <v>103</v>
      </c>
      <c r="J391" s="22">
        <v>590</v>
      </c>
      <c r="K391" s="22">
        <v>1096</v>
      </c>
      <c r="L391" s="22">
        <v>296</v>
      </c>
      <c r="M391" s="22">
        <v>848</v>
      </c>
      <c r="N391" s="43">
        <f t="shared" si="1652"/>
        <v>773</v>
      </c>
      <c r="O391" s="22">
        <f t="shared" ref="O391" si="1821">SUM(B391,D391,F391,H391,J391,L391)</f>
        <v>1126</v>
      </c>
      <c r="P391" s="22">
        <f t="shared" ref="P391" si="1822">SUM(C391,G391,K391)</f>
        <v>1501</v>
      </c>
      <c r="Q391" s="22">
        <f t="shared" ref="Q391" si="1823">SUM(C391,E391,G391,I391,K391,M391)</f>
        <v>2804</v>
      </c>
      <c r="R391" s="34">
        <f t="shared" ref="R391" si="1824">(N391-N390)/N390</f>
        <v>0.20031055900621117</v>
      </c>
      <c r="S391" s="32">
        <f t="shared" ref="S391" si="1825">N391-N390</f>
        <v>129</v>
      </c>
      <c r="T391" s="34">
        <f t="shared" ref="T391" si="1826">(N391-N339)/N339</f>
        <v>0.25283630470016205</v>
      </c>
      <c r="U391" s="34">
        <f t="shared" ref="U391" si="1827">N391/P391</f>
        <v>0.51499000666222516</v>
      </c>
      <c r="V391" s="40">
        <f t="shared" ref="V391" si="1828">AVERAGE(B235,B287,B339)</f>
        <v>196</v>
      </c>
      <c r="W391" s="40">
        <f t="shared" ref="W391" si="1829">AVERAGE(F235,F287,F339)</f>
        <v>33.333333333333336</v>
      </c>
      <c r="X391" s="40">
        <f t="shared" ref="X391" si="1830">AVERAGE(J235,J287,J339)</f>
        <v>303</v>
      </c>
      <c r="Y391" s="40">
        <f t="shared" ref="Y391" si="1831">AVERAGE(N235,N287,N339)</f>
        <v>532.33333333333337</v>
      </c>
      <c r="Z391" s="61">
        <f t="shared" ref="Z391" si="1832">(N391-Y391)/Y391</f>
        <v>0.45209768315591725</v>
      </c>
      <c r="AA391" s="22"/>
    </row>
    <row r="392" spans="1:27" ht="16" thickBot="1" x14ac:dyDescent="0.4">
      <c r="A392" s="20">
        <f t="shared" si="722"/>
        <v>41286</v>
      </c>
      <c r="B392" s="22">
        <v>173</v>
      </c>
      <c r="C392" s="22">
        <v>271</v>
      </c>
      <c r="D392" s="22">
        <v>14</v>
      </c>
      <c r="E392" s="22">
        <v>181</v>
      </c>
      <c r="F392" s="22">
        <v>26</v>
      </c>
      <c r="G392" s="22">
        <v>98</v>
      </c>
      <c r="H392" s="22">
        <v>7</v>
      </c>
      <c r="I392" s="22">
        <v>62</v>
      </c>
      <c r="J392" s="22">
        <v>418</v>
      </c>
      <c r="K392" s="22">
        <v>899</v>
      </c>
      <c r="L392" s="22">
        <v>330</v>
      </c>
      <c r="M392" s="22">
        <v>851</v>
      </c>
      <c r="N392" s="43">
        <f t="shared" si="1652"/>
        <v>617</v>
      </c>
      <c r="O392" s="22">
        <f t="shared" ref="O392" si="1833">SUM(B392,D392,F392,H392,J392,L392)</f>
        <v>968</v>
      </c>
      <c r="P392" s="22">
        <f t="shared" ref="P392" si="1834">SUM(C392,G392,K392)</f>
        <v>1268</v>
      </c>
      <c r="Q392" s="22">
        <f t="shared" ref="Q392" si="1835">SUM(C392,E392,G392,I392,K392,M392)</f>
        <v>2362</v>
      </c>
      <c r="R392" s="34">
        <f t="shared" ref="R392" si="1836">(N392-N391)/N391</f>
        <v>-0.20181112548512289</v>
      </c>
      <c r="S392" s="32">
        <f t="shared" ref="S392" si="1837">N392-N391</f>
        <v>-156</v>
      </c>
      <c r="T392" s="34">
        <f t="shared" ref="T392" si="1838">(N392-N340)/N340</f>
        <v>-8.8626292466765136E-2</v>
      </c>
      <c r="U392" s="34">
        <f t="shared" ref="U392" si="1839">N392/P392</f>
        <v>0.48659305993690849</v>
      </c>
      <c r="V392" s="40">
        <f t="shared" ref="V392" si="1840">AVERAGE(B236,B288,B340)</f>
        <v>181.33333333333334</v>
      </c>
      <c r="W392" s="40">
        <f t="shared" ref="W392" si="1841">AVERAGE(F236,F288,F340)</f>
        <v>23.333333333333332</v>
      </c>
      <c r="X392" s="40">
        <f t="shared" ref="X392" si="1842">AVERAGE(J236,J288,J340)</f>
        <v>294.33333333333331</v>
      </c>
      <c r="Y392" s="40">
        <f t="shared" ref="Y392" si="1843">AVERAGE(N236,N288,N340)</f>
        <v>499</v>
      </c>
      <c r="Z392" s="61">
        <f t="shared" ref="Z392" si="1844">(N392-Y392)/Y392</f>
        <v>0.23647294589178355</v>
      </c>
      <c r="AA392" s="22"/>
    </row>
    <row r="393" spans="1:27" ht="16" thickBot="1" x14ac:dyDescent="0.4">
      <c r="A393" s="20">
        <f t="shared" si="722"/>
        <v>41293</v>
      </c>
      <c r="B393" s="22">
        <v>211</v>
      </c>
      <c r="C393" s="22">
        <v>290</v>
      </c>
      <c r="D393" s="22">
        <v>39</v>
      </c>
      <c r="E393" s="22">
        <v>377</v>
      </c>
      <c r="F393" s="22">
        <v>26</v>
      </c>
      <c r="G393" s="22">
        <v>82</v>
      </c>
      <c r="H393" s="22">
        <v>4</v>
      </c>
      <c r="I393" s="22">
        <v>85</v>
      </c>
      <c r="J393" s="22">
        <v>258</v>
      </c>
      <c r="K393" s="22">
        <v>603</v>
      </c>
      <c r="L393" s="22">
        <v>339</v>
      </c>
      <c r="M393" s="22">
        <v>877</v>
      </c>
      <c r="N393" s="43">
        <f t="shared" si="1652"/>
        <v>495</v>
      </c>
      <c r="O393" s="22">
        <f t="shared" ref="O393" si="1845">SUM(B393,D393,F393,H393,J393,L393)</f>
        <v>877</v>
      </c>
      <c r="P393" s="22">
        <f t="shared" ref="P393" si="1846">SUM(C393,G393,K393)</f>
        <v>975</v>
      </c>
      <c r="Q393" s="22">
        <f t="shared" ref="Q393" si="1847">SUM(C393,E393,G393,I393,K393,M393)</f>
        <v>2314</v>
      </c>
      <c r="R393" s="34">
        <f t="shared" ref="R393" si="1848">(N393-N392)/N392</f>
        <v>-0.19773095623987033</v>
      </c>
      <c r="S393" s="32">
        <f t="shared" ref="S393" si="1849">N393-N392</f>
        <v>-122</v>
      </c>
      <c r="T393" s="34">
        <f t="shared" ref="T393" si="1850">(N393-N341)/N341</f>
        <v>-0.27205882352941174</v>
      </c>
      <c r="U393" s="34">
        <f t="shared" ref="U393" si="1851">N393/P393</f>
        <v>0.50769230769230766</v>
      </c>
      <c r="V393" s="40">
        <f t="shared" ref="V393" si="1852">AVERAGE(B237,B289,B341)</f>
        <v>175.66666666666666</v>
      </c>
      <c r="W393" s="40">
        <f t="shared" ref="W393" si="1853">AVERAGE(F237,F289,F341)</f>
        <v>23</v>
      </c>
      <c r="X393" s="40">
        <f t="shared" ref="X393" si="1854">AVERAGE(J237,J289,J341)</f>
        <v>306</v>
      </c>
      <c r="Y393" s="40">
        <f t="shared" ref="Y393" si="1855">AVERAGE(N237,N289,N341)</f>
        <v>504.66666666666669</v>
      </c>
      <c r="Z393" s="61">
        <f t="shared" ref="Z393" si="1856">(N393-Y393)/Y393</f>
        <v>-1.9154557463672429E-2</v>
      </c>
      <c r="AA393" s="22"/>
    </row>
    <row r="394" spans="1:27" ht="16" thickBot="1" x14ac:dyDescent="0.4">
      <c r="A394" s="20">
        <f t="shared" si="722"/>
        <v>41300</v>
      </c>
      <c r="B394" s="22">
        <v>192</v>
      </c>
      <c r="C394" s="22">
        <v>260</v>
      </c>
      <c r="D394" s="22">
        <v>54</v>
      </c>
      <c r="E394" s="22">
        <v>277</v>
      </c>
      <c r="F394" s="22">
        <v>30</v>
      </c>
      <c r="G394" s="22">
        <v>107</v>
      </c>
      <c r="H394" s="22">
        <v>17</v>
      </c>
      <c r="I394" s="22">
        <v>93</v>
      </c>
      <c r="J394" s="22">
        <v>254</v>
      </c>
      <c r="K394" s="22">
        <v>737</v>
      </c>
      <c r="L394" s="22">
        <v>302</v>
      </c>
      <c r="M394" s="22">
        <v>772</v>
      </c>
      <c r="N394" s="43">
        <f t="shared" si="1652"/>
        <v>476</v>
      </c>
      <c r="O394" s="22">
        <f t="shared" ref="O394" si="1857">SUM(B394,D394,F394,H394,J394,L394)</f>
        <v>849</v>
      </c>
      <c r="P394" s="22">
        <f t="shared" ref="P394" si="1858">SUM(C394,G394,K394)</f>
        <v>1104</v>
      </c>
      <c r="Q394" s="22">
        <f t="shared" ref="Q394" si="1859">SUM(C394,E394,G394,I394,K394,M394)</f>
        <v>2246</v>
      </c>
      <c r="R394" s="34">
        <f t="shared" ref="R394" si="1860">(N394-N393)/N393</f>
        <v>-3.8383838383838381E-2</v>
      </c>
      <c r="S394" s="32">
        <f t="shared" ref="S394" si="1861">N394-N393</f>
        <v>-19</v>
      </c>
      <c r="T394" s="34">
        <f t="shared" ref="T394" si="1862">(N394-N342)/N342</f>
        <v>-0.23225806451612904</v>
      </c>
      <c r="U394" s="34">
        <f t="shared" ref="U394" si="1863">N394/P394</f>
        <v>0.4311594202898551</v>
      </c>
      <c r="V394" s="40">
        <f t="shared" ref="V394" si="1864">AVERAGE(B238,B290,B342)</f>
        <v>206.33333333333334</v>
      </c>
      <c r="W394" s="40">
        <f t="shared" ref="W394" si="1865">AVERAGE(F238,F290,F342)</f>
        <v>27</v>
      </c>
      <c r="X394" s="40">
        <f t="shared" ref="X394" si="1866">AVERAGE(J238,J290,J342)</f>
        <v>219.66666666666666</v>
      </c>
      <c r="Y394" s="40">
        <f t="shared" ref="Y394" si="1867">AVERAGE(N238,N290,N342)</f>
        <v>453</v>
      </c>
      <c r="Z394" s="61">
        <f t="shared" ref="Z394" si="1868">(N394-Y394)/Y394</f>
        <v>5.0772626931567331E-2</v>
      </c>
      <c r="AA394" s="22"/>
    </row>
    <row r="395" spans="1:27" ht="16" thickBot="1" x14ac:dyDescent="0.4">
      <c r="A395" s="20">
        <f t="shared" si="722"/>
        <v>41307</v>
      </c>
      <c r="B395" s="22">
        <v>158</v>
      </c>
      <c r="C395" s="22">
        <v>258</v>
      </c>
      <c r="D395" s="22">
        <v>31</v>
      </c>
      <c r="E395" s="22">
        <v>268</v>
      </c>
      <c r="F395" s="22">
        <v>31</v>
      </c>
      <c r="G395" s="22">
        <v>84</v>
      </c>
      <c r="H395" s="22">
        <v>13</v>
      </c>
      <c r="I395" s="22">
        <v>110</v>
      </c>
      <c r="J395" s="22">
        <v>299</v>
      </c>
      <c r="K395" s="22">
        <v>758</v>
      </c>
      <c r="L395" s="22">
        <v>297</v>
      </c>
      <c r="M395" s="22">
        <v>892</v>
      </c>
      <c r="N395" s="43">
        <f t="shared" si="1652"/>
        <v>488</v>
      </c>
      <c r="O395" s="22">
        <f t="shared" ref="O395" si="1869">SUM(B395,D395,F395,H395,J395,L395)</f>
        <v>829</v>
      </c>
      <c r="P395" s="22">
        <f t="shared" ref="P395" si="1870">SUM(C395,G395,K395)</f>
        <v>1100</v>
      </c>
      <c r="Q395" s="22">
        <f t="shared" ref="Q395" si="1871">SUM(C395,E395,G395,I395,K395,M395)</f>
        <v>2370</v>
      </c>
      <c r="R395" s="34">
        <f t="shared" ref="R395" si="1872">(N395-N394)/N394</f>
        <v>2.5210084033613446E-2</v>
      </c>
      <c r="S395" s="32">
        <f t="shared" ref="S395" si="1873">N395-N394</f>
        <v>12</v>
      </c>
      <c r="T395" s="34">
        <f t="shared" ref="T395" si="1874">(N395-N343)/N343</f>
        <v>-0.28340675477239352</v>
      </c>
      <c r="U395" s="34">
        <f t="shared" ref="U395" si="1875">N395/P395</f>
        <v>0.44363636363636366</v>
      </c>
      <c r="V395" s="40">
        <f t="shared" ref="V395" si="1876">AVERAGE(B239,B291,B343)</f>
        <v>252.66666666666666</v>
      </c>
      <c r="W395" s="40">
        <f t="shared" ref="W395" si="1877">AVERAGE(F239,F291,F343)</f>
        <v>28</v>
      </c>
      <c r="X395" s="40">
        <f t="shared" ref="X395" si="1878">AVERAGE(J239,J291,J343)</f>
        <v>261.66666666666669</v>
      </c>
      <c r="Y395" s="40">
        <f t="shared" ref="Y395" si="1879">AVERAGE(N239,N291,N343)</f>
        <v>542.33333333333337</v>
      </c>
      <c r="Z395" s="61">
        <f t="shared" ref="Z395" si="1880">(N395-Y395)/Y395</f>
        <v>-0.10018438844499085</v>
      </c>
      <c r="AA395" s="22"/>
    </row>
    <row r="396" spans="1:27" ht="16" thickBot="1" x14ac:dyDescent="0.4">
      <c r="A396" s="20">
        <f t="shared" si="722"/>
        <v>41314</v>
      </c>
      <c r="B396" s="22">
        <v>201</v>
      </c>
      <c r="C396" s="22">
        <v>310</v>
      </c>
      <c r="D396" s="22">
        <v>44</v>
      </c>
      <c r="E396" s="22">
        <v>301</v>
      </c>
      <c r="F396" s="22">
        <v>21</v>
      </c>
      <c r="G396" s="22">
        <v>99</v>
      </c>
      <c r="H396" s="22">
        <v>10</v>
      </c>
      <c r="I396" s="22">
        <v>86</v>
      </c>
      <c r="J396" s="22">
        <v>340</v>
      </c>
      <c r="K396" s="22">
        <v>833</v>
      </c>
      <c r="L396" s="22">
        <v>236</v>
      </c>
      <c r="M396" s="22">
        <v>746</v>
      </c>
      <c r="N396" s="43">
        <f t="shared" si="1652"/>
        <v>562</v>
      </c>
      <c r="O396" s="22">
        <f t="shared" ref="O396" si="1881">SUM(B396,D396,F396,H396,J396,L396)</f>
        <v>852</v>
      </c>
      <c r="P396" s="22">
        <f t="shared" ref="P396" si="1882">SUM(C396,G396,K396)</f>
        <v>1242</v>
      </c>
      <c r="Q396" s="22">
        <f t="shared" ref="Q396" si="1883">SUM(C396,E396,G396,I396,K396,M396)</f>
        <v>2375</v>
      </c>
      <c r="R396" s="34">
        <f t="shared" ref="R396" si="1884">(N396-N395)/N395</f>
        <v>0.15163934426229508</v>
      </c>
      <c r="S396" s="32">
        <f t="shared" ref="S396" si="1885">N396-N395</f>
        <v>74</v>
      </c>
      <c r="T396" s="34">
        <f t="shared" ref="T396" si="1886">(N396-N344)/N344</f>
        <v>-4.2589437819420782E-2</v>
      </c>
      <c r="U396" s="34">
        <f t="shared" ref="U396" si="1887">N396/P396</f>
        <v>0.45249597423510468</v>
      </c>
      <c r="V396" s="40">
        <f t="shared" ref="V396" si="1888">AVERAGE(B240,B292,B344)</f>
        <v>221.33333333333334</v>
      </c>
      <c r="W396" s="40">
        <f t="shared" ref="W396" si="1889">AVERAGE(F240,F292,F344)</f>
        <v>36</v>
      </c>
      <c r="X396" s="40">
        <f t="shared" ref="X396" si="1890">AVERAGE(J240,J292,J344)</f>
        <v>270</v>
      </c>
      <c r="Y396" s="40">
        <f t="shared" ref="Y396" si="1891">AVERAGE(N240,N292,N344)</f>
        <v>527.33333333333337</v>
      </c>
      <c r="Z396" s="61">
        <f t="shared" ref="Z396" si="1892">(N396-Y396)/Y396</f>
        <v>6.5739570164348851E-2</v>
      </c>
      <c r="AA396" s="22"/>
    </row>
    <row r="397" spans="1:27" ht="16" thickBot="1" x14ac:dyDescent="0.4">
      <c r="A397" s="20">
        <f t="shared" si="722"/>
        <v>41321</v>
      </c>
      <c r="B397" s="22">
        <v>200</v>
      </c>
      <c r="C397" s="22">
        <v>386</v>
      </c>
      <c r="D397" s="22">
        <v>44</v>
      </c>
      <c r="E397" s="22">
        <v>327</v>
      </c>
      <c r="F397" s="22">
        <v>20</v>
      </c>
      <c r="G397" s="22">
        <v>108</v>
      </c>
      <c r="H397" s="22">
        <v>18</v>
      </c>
      <c r="I397" s="22">
        <v>92</v>
      </c>
      <c r="J397" s="22">
        <v>353</v>
      </c>
      <c r="K397" s="22">
        <v>877</v>
      </c>
      <c r="L397" s="22">
        <v>296</v>
      </c>
      <c r="M397" s="22">
        <v>801</v>
      </c>
      <c r="N397" s="43">
        <f t="shared" si="1652"/>
        <v>573</v>
      </c>
      <c r="O397" s="22">
        <f t="shared" ref="O397" si="1893">SUM(B397,D397,F397,H397,J397,L397)</f>
        <v>931</v>
      </c>
      <c r="P397" s="22">
        <f t="shared" ref="P397" si="1894">SUM(C397,G397,K397)</f>
        <v>1371</v>
      </c>
      <c r="Q397" s="22">
        <f t="shared" ref="Q397" si="1895">SUM(C397,E397,G397,I397,K397,M397)</f>
        <v>2591</v>
      </c>
      <c r="R397" s="34">
        <f t="shared" ref="R397" si="1896">(N397-N396)/N396</f>
        <v>1.9572953736654804E-2</v>
      </c>
      <c r="S397" s="32">
        <f t="shared" ref="S397" si="1897">N397-N396</f>
        <v>11</v>
      </c>
      <c r="T397" s="34">
        <f t="shared" ref="T397" si="1898">(N397-N345)/N345</f>
        <v>3.2432432432432434E-2</v>
      </c>
      <c r="U397" s="34">
        <f t="shared" ref="U397:U399" si="1899">N397/P397</f>
        <v>0.41794310722100658</v>
      </c>
      <c r="V397" s="40">
        <f t="shared" ref="V397" si="1900">AVERAGE(B241,B293,B345)</f>
        <v>260.66666666666669</v>
      </c>
      <c r="W397" s="40">
        <f t="shared" ref="W397" si="1901">AVERAGE(F241,F293,F345)</f>
        <v>28</v>
      </c>
      <c r="X397" s="40">
        <f t="shared" ref="X397" si="1902">AVERAGE(J241,J293,J345)</f>
        <v>251.33333333333334</v>
      </c>
      <c r="Y397" s="40">
        <f t="shared" ref="Y397" si="1903">AVERAGE(N241,N293,N345)</f>
        <v>540</v>
      </c>
      <c r="Z397" s="61">
        <f t="shared" ref="Z397" si="1904">(N397-Y397)/Y397</f>
        <v>6.1111111111111109E-2</v>
      </c>
      <c r="AA397" s="22"/>
    </row>
    <row r="398" spans="1:27" ht="16" thickBot="1" x14ac:dyDescent="0.4">
      <c r="A398" s="20">
        <f t="shared" si="722"/>
        <v>41328</v>
      </c>
      <c r="B398" s="22">
        <v>211</v>
      </c>
      <c r="C398" s="22">
        <v>349</v>
      </c>
      <c r="D398" s="22">
        <v>22</v>
      </c>
      <c r="E398" s="22">
        <v>279</v>
      </c>
      <c r="F398" s="22">
        <v>20</v>
      </c>
      <c r="G398" s="22">
        <v>80</v>
      </c>
      <c r="H398" s="22">
        <v>12</v>
      </c>
      <c r="I398" s="22">
        <v>99</v>
      </c>
      <c r="J398" s="22">
        <v>268</v>
      </c>
      <c r="K398" s="22">
        <v>827</v>
      </c>
      <c r="L398" s="22">
        <v>329</v>
      </c>
      <c r="M398" s="22">
        <v>900</v>
      </c>
      <c r="N398" s="43">
        <f t="shared" si="1652"/>
        <v>499</v>
      </c>
      <c r="O398" s="22">
        <f t="shared" ref="O398:O399" si="1905">SUM(B398,D398,F398,H398,J398,L398)</f>
        <v>862</v>
      </c>
      <c r="P398" s="22">
        <f t="shared" ref="P398" si="1906">SUM(C398,G398,K398)</f>
        <v>1256</v>
      </c>
      <c r="Q398" s="22">
        <f t="shared" ref="Q398" si="1907">SUM(C398,E398,G398,I398,K398,M398)</f>
        <v>2534</v>
      </c>
      <c r="R398" s="34">
        <f t="shared" ref="R398:R399" si="1908">(N398-N397)/N397</f>
        <v>-0.12914485165794065</v>
      </c>
      <c r="S398" s="32">
        <f t="shared" ref="S398:S399" si="1909">N398-N397</f>
        <v>-74</v>
      </c>
      <c r="T398" s="34">
        <f t="shared" ref="T398:T399" si="1910">(N398-N346)/N346</f>
        <v>-0.32016348773841963</v>
      </c>
      <c r="U398" s="34">
        <f t="shared" ref="U398" si="1911">N398/P398</f>
        <v>0.39729299363057324</v>
      </c>
      <c r="V398" s="40">
        <f t="shared" ref="V398:V399" si="1912">AVERAGE(B242,B294,B346)</f>
        <v>284.66666666666669</v>
      </c>
      <c r="W398" s="40">
        <f t="shared" ref="W398:W399" si="1913">AVERAGE(F242,F294,F346)</f>
        <v>27</v>
      </c>
      <c r="X398" s="40">
        <f t="shared" ref="X398:X399" si="1914">AVERAGE(J242,J294,J346)</f>
        <v>280</v>
      </c>
      <c r="Y398" s="40">
        <f t="shared" ref="Y398:Y399" si="1915">AVERAGE(N242,N294,N346)</f>
        <v>591.66666666666663</v>
      </c>
      <c r="Z398" s="61">
        <f t="shared" ref="Z398:Z399" si="1916">(N398-Y398)/Y398</f>
        <v>-0.1566197183098591</v>
      </c>
      <c r="AA398" s="22"/>
    </row>
    <row r="399" spans="1:27" ht="16" thickBot="1" x14ac:dyDescent="0.4">
      <c r="A399" s="20">
        <f t="shared" si="722"/>
        <v>41335</v>
      </c>
      <c r="B399" s="22">
        <v>261</v>
      </c>
      <c r="C399" s="22">
        <v>596</v>
      </c>
      <c r="D399" s="22">
        <v>31</v>
      </c>
      <c r="E399" s="22">
        <v>271</v>
      </c>
      <c r="F399" s="22">
        <v>22</v>
      </c>
      <c r="G399" s="22">
        <v>103</v>
      </c>
      <c r="H399" s="22">
        <v>29</v>
      </c>
      <c r="I399" s="22">
        <v>90</v>
      </c>
      <c r="J399" s="22">
        <v>296</v>
      </c>
      <c r="K399" s="22">
        <v>817</v>
      </c>
      <c r="L399" s="22">
        <v>326</v>
      </c>
      <c r="M399" s="22">
        <v>856</v>
      </c>
      <c r="N399" s="43">
        <f t="shared" si="1652"/>
        <v>579</v>
      </c>
      <c r="O399" s="22">
        <f t="shared" si="1905"/>
        <v>965</v>
      </c>
      <c r="P399" s="22">
        <f t="shared" ref="P399" si="1917">SUM(C399,E399,G399,I399,K399,M399)</f>
        <v>2733</v>
      </c>
      <c r="Q399" s="22">
        <f t="shared" ref="Q399" si="1918">SUM(D399,H399,L399)</f>
        <v>386</v>
      </c>
      <c r="R399" s="34">
        <f t="shared" si="1908"/>
        <v>0.16032064128256512</v>
      </c>
      <c r="S399" s="32">
        <f t="shared" si="1909"/>
        <v>80</v>
      </c>
      <c r="T399" s="34">
        <f t="shared" si="1910"/>
        <v>2.6595744680851064E-2</v>
      </c>
      <c r="U399" s="34">
        <f t="shared" si="1899"/>
        <v>0.21185510428100987</v>
      </c>
      <c r="V399" s="40">
        <f t="shared" si="1912"/>
        <v>311.66666666666669</v>
      </c>
      <c r="W399" s="40">
        <f t="shared" si="1913"/>
        <v>22</v>
      </c>
      <c r="X399" s="40">
        <f t="shared" si="1914"/>
        <v>247</v>
      </c>
      <c r="Y399" s="40">
        <f t="shared" si="1915"/>
        <v>580.66666666666663</v>
      </c>
      <c r="Z399" s="61">
        <f t="shared" si="1916"/>
        <v>-2.8702640642938502E-3</v>
      </c>
      <c r="AA399" s="61"/>
    </row>
    <row r="400" spans="1:27" ht="16" thickBot="1" x14ac:dyDescent="0.4">
      <c r="A400" s="20">
        <f t="shared" si="722"/>
        <v>41342</v>
      </c>
      <c r="B400" s="22">
        <v>296</v>
      </c>
      <c r="C400" s="22">
        <v>616</v>
      </c>
      <c r="D400" s="22">
        <v>30</v>
      </c>
      <c r="E400" s="22">
        <v>455</v>
      </c>
      <c r="F400" s="22">
        <v>17</v>
      </c>
      <c r="G400" s="22">
        <v>84</v>
      </c>
      <c r="H400" s="22">
        <v>19</v>
      </c>
      <c r="I400" s="22">
        <v>84</v>
      </c>
      <c r="J400" s="22">
        <v>311</v>
      </c>
      <c r="K400" s="22">
        <v>827</v>
      </c>
      <c r="L400" s="22">
        <v>343</v>
      </c>
      <c r="M400" s="22">
        <v>900</v>
      </c>
      <c r="N400" s="43">
        <f t="shared" si="1652"/>
        <v>624</v>
      </c>
      <c r="O400" s="22">
        <f t="shared" ref="O400" si="1919">SUM(B400,D400,F400,H400,J400,L400)</f>
        <v>1016</v>
      </c>
      <c r="P400" s="22">
        <f t="shared" ref="P400" si="1920">SUM(C400,E400,G400,I400,K400,M400)</f>
        <v>2966</v>
      </c>
      <c r="Q400" s="22">
        <f t="shared" ref="Q400" si="1921">SUM(D400,H400,L400)</f>
        <v>392</v>
      </c>
      <c r="R400" s="34">
        <f t="shared" ref="R400" si="1922">(N400-N399)/N399</f>
        <v>7.7720207253886009E-2</v>
      </c>
      <c r="S400" s="32">
        <f t="shared" ref="S400" si="1923">N400-N399</f>
        <v>45</v>
      </c>
      <c r="T400" s="34">
        <f t="shared" ref="T400" si="1924">(N400-N348)/N348</f>
        <v>-0.16688918558077437</v>
      </c>
      <c r="U400" s="34">
        <f t="shared" ref="U400" si="1925">N400/P400</f>
        <v>0.21038435603506406</v>
      </c>
      <c r="V400" s="40">
        <f t="shared" ref="V400" si="1926">AVERAGE(B244,B296,B348)</f>
        <v>327</v>
      </c>
      <c r="W400" s="40">
        <f t="shared" ref="W400" si="1927">AVERAGE(F244,F296,F348)</f>
        <v>26.666666666666668</v>
      </c>
      <c r="X400" s="40">
        <f t="shared" ref="X400" si="1928">AVERAGE(J244,J296,J348)</f>
        <v>282</v>
      </c>
      <c r="Y400" s="40">
        <f t="shared" ref="Y400" si="1929">AVERAGE(N244,N296,N348)</f>
        <v>635.66666666666663</v>
      </c>
      <c r="Z400" s="61">
        <f t="shared" ref="Z400" si="1930">(N400-Y400)/Y400</f>
        <v>-1.8353434714210744E-2</v>
      </c>
      <c r="AA400" s="61"/>
    </row>
    <row r="401" spans="1:29" ht="16" thickBot="1" x14ac:dyDescent="0.4">
      <c r="A401" s="20">
        <f t="shared" si="722"/>
        <v>41349</v>
      </c>
      <c r="B401" s="22">
        <v>239</v>
      </c>
      <c r="C401" s="22">
        <v>481</v>
      </c>
      <c r="D401" s="22">
        <v>32</v>
      </c>
      <c r="E401" s="22">
        <v>349</v>
      </c>
      <c r="F401" s="22">
        <v>12</v>
      </c>
      <c r="G401" s="22">
        <v>81</v>
      </c>
      <c r="H401" s="22">
        <v>18</v>
      </c>
      <c r="I401" s="22">
        <v>77</v>
      </c>
      <c r="J401" s="22">
        <v>319</v>
      </c>
      <c r="K401" s="22">
        <v>809</v>
      </c>
      <c r="L401" s="22">
        <v>340</v>
      </c>
      <c r="M401" s="22">
        <v>978</v>
      </c>
      <c r="N401" s="43">
        <f t="shared" si="1652"/>
        <v>570</v>
      </c>
      <c r="O401" s="22">
        <f t="shared" ref="O401" si="1931">SUM(B401,D401,F401,H401,J401,L401)</f>
        <v>960</v>
      </c>
      <c r="P401" s="22">
        <f t="shared" ref="P401" si="1932">SUM(C401,E401,G401,I401,K401,M401)</f>
        <v>2775</v>
      </c>
      <c r="Q401" s="22">
        <f t="shared" ref="Q401" si="1933">SUM(D401,H401,L401)</f>
        <v>390</v>
      </c>
      <c r="R401" s="34">
        <f t="shared" ref="R401" si="1934">(N401-N400)/N400</f>
        <v>-8.6538461538461536E-2</v>
      </c>
      <c r="S401" s="32">
        <f t="shared" ref="S401" si="1935">N401-N400</f>
        <v>-54</v>
      </c>
      <c r="T401" s="34">
        <f t="shared" ref="T401" si="1936">(N401-N349)/N349</f>
        <v>-0.29455445544554454</v>
      </c>
      <c r="U401" s="34">
        <f t="shared" ref="U401" si="1937">N401/P401</f>
        <v>0.20540540540540542</v>
      </c>
      <c r="V401" s="40">
        <f t="shared" ref="V401" si="1938">AVERAGE(B245,B297,B349)</f>
        <v>405.33333333333331</v>
      </c>
      <c r="W401" s="40">
        <f t="shared" ref="W401" si="1939">AVERAGE(F245,F297,F349)</f>
        <v>27.333333333333332</v>
      </c>
      <c r="X401" s="40">
        <f t="shared" ref="X401" si="1940">AVERAGE(J245,J297,J349)</f>
        <v>229</v>
      </c>
      <c r="Y401" s="40">
        <f t="shared" ref="Y401" si="1941">AVERAGE(N245,N297,N349)</f>
        <v>661.66666666666663</v>
      </c>
      <c r="Z401" s="61">
        <f t="shared" ref="Z401" si="1942">(N401-Y401)/Y401</f>
        <v>-0.13853904282115864</v>
      </c>
      <c r="AA401" s="61"/>
    </row>
    <row r="402" spans="1:29" ht="16" thickBot="1" x14ac:dyDescent="0.4">
      <c r="A402" s="20">
        <f t="shared" si="722"/>
        <v>41356</v>
      </c>
      <c r="B402" s="22">
        <v>264</v>
      </c>
      <c r="C402" s="22">
        <v>477</v>
      </c>
      <c r="D402" s="22">
        <v>48</v>
      </c>
      <c r="E402" s="22">
        <v>379</v>
      </c>
      <c r="F402" s="22">
        <v>16</v>
      </c>
      <c r="G402" s="22">
        <v>70</v>
      </c>
      <c r="H402" s="22">
        <v>16</v>
      </c>
      <c r="I402" s="22">
        <v>87</v>
      </c>
      <c r="J402" s="22">
        <v>278</v>
      </c>
      <c r="K402" s="22">
        <v>777</v>
      </c>
      <c r="L402" s="22">
        <v>381</v>
      </c>
      <c r="M402" s="22">
        <v>873</v>
      </c>
      <c r="N402" s="43">
        <f t="shared" si="1652"/>
        <v>558</v>
      </c>
      <c r="O402" s="22">
        <f t="shared" ref="O402" si="1943">SUM(B402,D402,F402,H402,J402,L402)</f>
        <v>1003</v>
      </c>
      <c r="P402" s="22">
        <f t="shared" ref="P402" si="1944">SUM(C402,E402,G402,I402,K402,M402)</f>
        <v>2663</v>
      </c>
      <c r="Q402" s="22">
        <f t="shared" ref="Q402" si="1945">SUM(D402,H402,L402)</f>
        <v>445</v>
      </c>
      <c r="R402" s="34">
        <f t="shared" ref="R402" si="1946">(N402-N401)/N401</f>
        <v>-2.1052631578947368E-2</v>
      </c>
      <c r="S402" s="32">
        <f t="shared" ref="S402" si="1947">N402-N401</f>
        <v>-12</v>
      </c>
      <c r="T402" s="34">
        <f t="shared" ref="T402" si="1948">(N402-N350)/N350</f>
        <v>-0.2292817679558011</v>
      </c>
      <c r="U402" s="34">
        <f t="shared" ref="U402" si="1949">N402/P402</f>
        <v>0.20953811490799851</v>
      </c>
      <c r="V402" s="40">
        <f t="shared" ref="V402" si="1950">AVERAGE(B246,B298,B350)</f>
        <v>281.33333333333331</v>
      </c>
      <c r="W402" s="40">
        <f t="shared" ref="W402" si="1951">AVERAGE(F246,F298,F350)</f>
        <v>17.333333333333332</v>
      </c>
      <c r="X402" s="40">
        <f t="shared" ref="X402" si="1952">AVERAGE(J246,J298,J350)</f>
        <v>239.66666666666666</v>
      </c>
      <c r="Y402" s="40">
        <f t="shared" ref="Y402" si="1953">AVERAGE(N246,N298,N350)</f>
        <v>538.33333333333337</v>
      </c>
      <c r="Z402" s="61">
        <f t="shared" ref="Z402" si="1954">(N402-Y402)/Y402</f>
        <v>3.6532507739938005E-2</v>
      </c>
      <c r="AA402" s="61"/>
    </row>
    <row r="403" spans="1:29" ht="16" thickBot="1" x14ac:dyDescent="0.4">
      <c r="A403" s="20">
        <f t="shared" si="722"/>
        <v>41363</v>
      </c>
      <c r="B403" s="22">
        <v>199</v>
      </c>
      <c r="C403" s="22">
        <v>654</v>
      </c>
      <c r="D403" s="22">
        <v>38</v>
      </c>
      <c r="E403" s="22">
        <v>435</v>
      </c>
      <c r="F403" s="22">
        <v>14</v>
      </c>
      <c r="G403" s="22">
        <v>82</v>
      </c>
      <c r="H403" s="22">
        <v>18</v>
      </c>
      <c r="I403" s="22">
        <v>73</v>
      </c>
      <c r="J403" s="22">
        <v>256</v>
      </c>
      <c r="K403" s="22">
        <v>759</v>
      </c>
      <c r="L403" s="22">
        <v>322</v>
      </c>
      <c r="M403" s="22">
        <v>831</v>
      </c>
      <c r="N403" s="43">
        <f t="shared" si="1652"/>
        <v>469</v>
      </c>
      <c r="O403" s="22">
        <f t="shared" ref="O403" si="1955">SUM(B403,D403,F403,H403,J403,L403)</f>
        <v>847</v>
      </c>
      <c r="P403" s="22">
        <f t="shared" ref="P403" si="1956">SUM(C403,E403,G403,I403,K403,M403)</f>
        <v>2834</v>
      </c>
      <c r="Q403" s="22">
        <f t="shared" ref="Q403" si="1957">SUM(D403,H403,L403)</f>
        <v>378</v>
      </c>
      <c r="R403" s="34">
        <f t="shared" ref="R403" si="1958">(N403-N402)/N402</f>
        <v>-0.15949820788530467</v>
      </c>
      <c r="S403" s="32">
        <f t="shared" ref="S403" si="1959">N403-N402</f>
        <v>-89</v>
      </c>
      <c r="T403" s="34">
        <f t="shared" ref="T403" si="1960">(N403-N351)/N351</f>
        <v>-0.40330788804071249</v>
      </c>
      <c r="U403" s="34">
        <f t="shared" ref="U403" si="1961">N403/P403</f>
        <v>0.16549047282992238</v>
      </c>
      <c r="V403" s="40">
        <f t="shared" ref="V403" si="1962">AVERAGE(B247,B299,B351)</f>
        <v>353.33333333333331</v>
      </c>
      <c r="W403" s="40">
        <f t="shared" ref="W403" si="1963">AVERAGE(F247,F299,F351)</f>
        <v>21</v>
      </c>
      <c r="X403" s="40">
        <f t="shared" ref="X403" si="1964">AVERAGE(J247,J299,J351)</f>
        <v>302.33333333333331</v>
      </c>
      <c r="Y403" s="40">
        <f t="shared" ref="Y403" si="1965">AVERAGE(N247,N299,N351)</f>
        <v>676.66666666666663</v>
      </c>
      <c r="Z403" s="61">
        <f t="shared" ref="Z403" si="1966">(N403-Y403)/Y403</f>
        <v>-0.30689655172413788</v>
      </c>
      <c r="AA403" s="61"/>
    </row>
    <row r="404" spans="1:29" ht="16" thickBot="1" x14ac:dyDescent="0.4">
      <c r="A404" s="20">
        <f t="shared" si="722"/>
        <v>41370</v>
      </c>
      <c r="B404" s="22">
        <v>182</v>
      </c>
      <c r="C404" s="22">
        <v>580</v>
      </c>
      <c r="D404" s="22">
        <v>41</v>
      </c>
      <c r="E404" s="22">
        <v>307</v>
      </c>
      <c r="F404" s="22">
        <v>2</v>
      </c>
      <c r="G404" s="22">
        <v>84</v>
      </c>
      <c r="H404" s="22">
        <v>19</v>
      </c>
      <c r="I404" s="22">
        <v>71</v>
      </c>
      <c r="J404" s="22">
        <v>268</v>
      </c>
      <c r="K404" s="22">
        <v>804</v>
      </c>
      <c r="L404" s="22">
        <v>349</v>
      </c>
      <c r="M404" s="22">
        <v>906</v>
      </c>
      <c r="N404" s="43">
        <f t="shared" si="1652"/>
        <v>452</v>
      </c>
      <c r="O404" s="22">
        <f t="shared" ref="O404" si="1967">SUM(B404,D404,F404,H404,J404,L404)</f>
        <v>861</v>
      </c>
      <c r="P404" s="22">
        <f t="shared" ref="P404" si="1968">SUM(C404,E404,G404,I404,K404,M404)</f>
        <v>2752</v>
      </c>
      <c r="Q404" s="22">
        <f t="shared" ref="Q404" si="1969">SUM(D404,H404,L404)</f>
        <v>409</v>
      </c>
      <c r="R404" s="34">
        <f t="shared" ref="R404" si="1970">(N404-N403)/N403</f>
        <v>-3.6247334754797439E-2</v>
      </c>
      <c r="S404" s="32">
        <f t="shared" ref="S404" si="1971">N404-N403</f>
        <v>-17</v>
      </c>
      <c r="T404" s="34">
        <f t="shared" ref="T404" si="1972">(N404-N352)/N352</f>
        <v>-0.11372549019607843</v>
      </c>
      <c r="U404" s="34">
        <f t="shared" ref="U404" si="1973">N404/P404</f>
        <v>0.16424418604651161</v>
      </c>
      <c r="V404" s="40">
        <f t="shared" ref="V404" si="1974">AVERAGE(B248,B300,B352)</f>
        <v>368.33333333333331</v>
      </c>
      <c r="W404" s="40">
        <f t="shared" ref="W404" si="1975">AVERAGE(F248,F300,F352)</f>
        <v>16.666666666666668</v>
      </c>
      <c r="X404" s="40">
        <f t="shared" ref="X404" si="1976">AVERAGE(J248,J300,J352)</f>
        <v>227</v>
      </c>
      <c r="Y404" s="40">
        <f t="shared" ref="Y404" si="1977">AVERAGE(N248,N300,N352)</f>
        <v>612</v>
      </c>
      <c r="Z404" s="61">
        <f t="shared" ref="Z404" si="1978">(N404-Y404)/Y404</f>
        <v>-0.26143790849673204</v>
      </c>
      <c r="AA404" s="61"/>
    </row>
    <row r="405" spans="1:29" ht="16" thickBot="1" x14ac:dyDescent="0.4">
      <c r="A405" s="20">
        <f t="shared" si="722"/>
        <v>41377</v>
      </c>
      <c r="B405" s="22">
        <v>234</v>
      </c>
      <c r="C405" s="22">
        <v>563</v>
      </c>
      <c r="D405" s="22">
        <v>60</v>
      </c>
      <c r="E405" s="22">
        <v>371</v>
      </c>
      <c r="F405" s="22">
        <v>8</v>
      </c>
      <c r="G405" s="22">
        <v>69</v>
      </c>
      <c r="H405" s="22">
        <v>13</v>
      </c>
      <c r="I405" s="22">
        <v>56</v>
      </c>
      <c r="J405" s="22">
        <v>208</v>
      </c>
      <c r="K405" s="22">
        <v>681</v>
      </c>
      <c r="L405" s="22">
        <v>282</v>
      </c>
      <c r="M405" s="22">
        <v>758</v>
      </c>
      <c r="N405" s="43">
        <f t="shared" si="1652"/>
        <v>450</v>
      </c>
      <c r="O405" s="22">
        <f t="shared" ref="O405" si="1979">SUM(B405,D405,F405,H405,J405,L405)</f>
        <v>805</v>
      </c>
      <c r="P405" s="22">
        <f t="shared" ref="P405" si="1980">SUM(C405,E405,G405,I405,K405,M405)</f>
        <v>2498</v>
      </c>
      <c r="Q405" s="22">
        <f t="shared" ref="Q405" si="1981">SUM(D405,H405,L405)</f>
        <v>355</v>
      </c>
      <c r="R405" s="34">
        <f t="shared" ref="R405" si="1982">(N405-N404)/N404</f>
        <v>-4.4247787610619468E-3</v>
      </c>
      <c r="S405" s="32">
        <f t="shared" ref="S405" si="1983">N405-N404</f>
        <v>-2</v>
      </c>
      <c r="T405" s="34">
        <f t="shared" ref="T405" si="1984">(N405-N353)/N353</f>
        <v>-0.3723849372384937</v>
      </c>
      <c r="U405" s="34">
        <f t="shared" ref="U405" si="1985">N405/P405</f>
        <v>0.18014411529223379</v>
      </c>
      <c r="V405" s="40">
        <f t="shared" ref="V405" si="1986">AVERAGE(B249,B301,B353)</f>
        <v>364.33333333333331</v>
      </c>
      <c r="W405" s="40">
        <f t="shared" ref="W405" si="1987">AVERAGE(F249,F301,F353)</f>
        <v>16</v>
      </c>
      <c r="X405" s="40">
        <f t="shared" ref="X405" si="1988">AVERAGE(J249,J301,J353)</f>
        <v>276.33333333333331</v>
      </c>
      <c r="Y405" s="40">
        <f t="shared" ref="Y405" si="1989">AVERAGE(N249,N301,N353)</f>
        <v>656.66666666666663</v>
      </c>
      <c r="Z405" s="61">
        <f t="shared" ref="Z405" si="1990">(N405-Y405)/Y405</f>
        <v>-0.31472081218274106</v>
      </c>
      <c r="AA405" s="61"/>
    </row>
    <row r="406" spans="1:29" ht="16" thickBot="1" x14ac:dyDescent="0.4">
      <c r="A406" s="20">
        <f t="shared" si="722"/>
        <v>41384</v>
      </c>
      <c r="B406" s="22">
        <v>229</v>
      </c>
      <c r="C406" s="22">
        <v>442</v>
      </c>
      <c r="D406" s="22">
        <v>53</v>
      </c>
      <c r="E406" s="22">
        <v>314</v>
      </c>
      <c r="F406" s="22">
        <v>14</v>
      </c>
      <c r="G406" s="22">
        <v>52</v>
      </c>
      <c r="H406" s="22">
        <v>27</v>
      </c>
      <c r="I406" s="22">
        <v>81</v>
      </c>
      <c r="J406" s="22">
        <v>298</v>
      </c>
      <c r="K406" s="22">
        <v>756</v>
      </c>
      <c r="L406" s="22">
        <v>288</v>
      </c>
      <c r="M406" s="22">
        <v>757</v>
      </c>
      <c r="N406" s="43">
        <f t="shared" si="1652"/>
        <v>541</v>
      </c>
      <c r="O406" s="22">
        <f t="shared" ref="O406" si="1991">SUM(B406,D406,F406,H406,J406,L406)</f>
        <v>909</v>
      </c>
      <c r="P406" s="22">
        <f t="shared" ref="P406" si="1992">SUM(C406,E406,G406,I406,K406,M406)</f>
        <v>2402</v>
      </c>
      <c r="Q406" s="22">
        <f t="shared" ref="Q406" si="1993">SUM(D406,H406,L406)</f>
        <v>368</v>
      </c>
      <c r="R406" s="34">
        <f t="shared" ref="R406" si="1994">(N406-N405)/N405</f>
        <v>0.20222222222222222</v>
      </c>
      <c r="S406" s="32">
        <f t="shared" ref="S406" si="1995">N406-N405</f>
        <v>91</v>
      </c>
      <c r="T406" s="34">
        <f t="shared" ref="T406" si="1996">(N406-N354)/N354</f>
        <v>3.0476190476190476E-2</v>
      </c>
      <c r="U406" s="34">
        <f t="shared" ref="U406" si="1997">N406/P406</f>
        <v>0.22522897585345544</v>
      </c>
      <c r="V406" s="40">
        <f t="shared" ref="V406" si="1998">AVERAGE(B250,B302,B354)</f>
        <v>298</v>
      </c>
      <c r="W406" s="40">
        <f t="shared" ref="W406" si="1999">AVERAGE(F250,F302,F354)</f>
        <v>13</v>
      </c>
      <c r="X406" s="40">
        <f t="shared" ref="X406" si="2000">AVERAGE(J250,J302,J354)</f>
        <v>242</v>
      </c>
      <c r="Y406" s="40">
        <f t="shared" ref="Y406" si="2001">AVERAGE(N250,N302,N354)</f>
        <v>553</v>
      </c>
      <c r="Z406" s="61">
        <f t="shared" ref="Z406" si="2002">(N406-Y406)/Y406</f>
        <v>-2.1699819168173599E-2</v>
      </c>
      <c r="AA406" s="61"/>
    </row>
    <row r="407" spans="1:29" ht="16" thickBot="1" x14ac:dyDescent="0.4">
      <c r="A407" s="20">
        <f t="shared" si="722"/>
        <v>41391</v>
      </c>
      <c r="B407" s="22">
        <v>112</v>
      </c>
      <c r="C407" s="22">
        <v>189</v>
      </c>
      <c r="D407" s="22">
        <v>21</v>
      </c>
      <c r="E407" s="22">
        <v>107</v>
      </c>
      <c r="F407" s="22">
        <v>18</v>
      </c>
      <c r="G407" s="22">
        <v>98</v>
      </c>
      <c r="H407" s="22">
        <v>10</v>
      </c>
      <c r="I407" s="22">
        <v>49</v>
      </c>
      <c r="J407" s="22">
        <v>223</v>
      </c>
      <c r="K407" s="22">
        <v>610</v>
      </c>
      <c r="L407" s="22">
        <v>343</v>
      </c>
      <c r="M407" s="22">
        <v>788</v>
      </c>
      <c r="N407" s="43">
        <f t="shared" ref="N407:N438" si="2003">SUM(B407,F407,J407)</f>
        <v>353</v>
      </c>
      <c r="O407" s="22">
        <f t="shared" ref="O407" si="2004">SUM(B407,D407,F407,H407,J407,L407)</f>
        <v>727</v>
      </c>
      <c r="P407" s="22">
        <f t="shared" ref="P407" si="2005">SUM(C407,E407,G407,I407,K407,M407)</f>
        <v>1841</v>
      </c>
      <c r="Q407" s="22">
        <f t="shared" ref="Q407" si="2006">SUM(D407,H407,L407)</f>
        <v>374</v>
      </c>
      <c r="R407" s="34">
        <f t="shared" ref="R407" si="2007">(N407-N406)/N406</f>
        <v>-0.34750462107208874</v>
      </c>
      <c r="S407" s="32">
        <f t="shared" ref="S407" si="2008">N407-N406</f>
        <v>-188</v>
      </c>
      <c r="T407" s="34">
        <f t="shared" ref="T407" si="2009">(N407-N355)/N355</f>
        <v>-0.57469879518072287</v>
      </c>
      <c r="U407" s="34">
        <f t="shared" ref="U407" si="2010">N407/P407</f>
        <v>0.19174361759913092</v>
      </c>
      <c r="V407" s="40">
        <f t="shared" ref="V407" si="2011">AVERAGE(B251,B303,B355)</f>
        <v>314</v>
      </c>
      <c r="W407" s="40">
        <f t="shared" ref="W407" si="2012">AVERAGE(F251,F303,F355)</f>
        <v>12</v>
      </c>
      <c r="X407" s="40">
        <f t="shared" ref="X407" si="2013">AVERAGE(J251,J303,J355)</f>
        <v>292</v>
      </c>
      <c r="Y407" s="40">
        <f t="shared" ref="Y407" si="2014">AVERAGE(N251,N303,N355)</f>
        <v>618</v>
      </c>
      <c r="Z407" s="61">
        <f t="shared" ref="Z407" si="2015">(N407-Y407)/Y407</f>
        <v>-0.42880258899676377</v>
      </c>
      <c r="AA407" s="61"/>
    </row>
    <row r="408" spans="1:29" ht="16" thickBot="1" x14ac:dyDescent="0.4">
      <c r="A408" s="20">
        <f t="shared" si="722"/>
        <v>41398</v>
      </c>
      <c r="B408" s="22">
        <v>264</v>
      </c>
      <c r="C408" s="22">
        <v>533</v>
      </c>
      <c r="D408" s="22">
        <v>40</v>
      </c>
      <c r="E408" s="22">
        <v>347</v>
      </c>
      <c r="F408" s="22">
        <v>8</v>
      </c>
      <c r="G408" s="22">
        <v>55</v>
      </c>
      <c r="H408" s="22">
        <v>28</v>
      </c>
      <c r="I408" s="22">
        <v>66</v>
      </c>
      <c r="J408" s="22">
        <v>349</v>
      </c>
      <c r="K408" s="22">
        <v>736</v>
      </c>
      <c r="L408" s="22">
        <v>280</v>
      </c>
      <c r="M408" s="22">
        <v>774</v>
      </c>
      <c r="N408" s="43">
        <f t="shared" si="2003"/>
        <v>621</v>
      </c>
      <c r="O408" s="22">
        <f t="shared" ref="O408" si="2016">SUM(B408,D408,F408,H408,J408,L408)</f>
        <v>969</v>
      </c>
      <c r="P408" s="22">
        <f t="shared" ref="P408" si="2017">SUM(C408,E408,G408,I408,K408,M408)</f>
        <v>2511</v>
      </c>
      <c r="Q408" s="22">
        <f t="shared" ref="Q408" si="2018">SUM(D408,H408,L408)</f>
        <v>348</v>
      </c>
      <c r="R408" s="34">
        <f t="shared" ref="R408" si="2019">(N408-N407)/N407</f>
        <v>0.75920679886685549</v>
      </c>
      <c r="S408" s="32">
        <f t="shared" ref="S408" si="2020">N408-N407</f>
        <v>268</v>
      </c>
      <c r="T408" s="34">
        <f t="shared" ref="T408" si="2021">(N408-N356)/N356</f>
        <v>0.69672131147540983</v>
      </c>
      <c r="U408" s="34">
        <f t="shared" ref="U408" si="2022">N408/P408</f>
        <v>0.24731182795698925</v>
      </c>
      <c r="V408" s="40">
        <f t="shared" ref="V408" si="2023">AVERAGE(B252,B304,B356)</f>
        <v>315</v>
      </c>
      <c r="W408" s="40">
        <f t="shared" ref="W408" si="2024">AVERAGE(F252,F304,F356)</f>
        <v>9.6666666666666661</v>
      </c>
      <c r="X408" s="40">
        <f t="shared" ref="X408" si="2025">AVERAGE(J252,J304,J356)</f>
        <v>157.33333333333334</v>
      </c>
      <c r="Y408" s="40">
        <f t="shared" ref="Y408" si="2026">AVERAGE(N252,N304,N356)</f>
        <v>482</v>
      </c>
      <c r="Z408" s="61">
        <f t="shared" ref="Z408" si="2027">(N408-Y408)/Y408</f>
        <v>0.28838174273858919</v>
      </c>
      <c r="AA408" s="61"/>
    </row>
    <row r="409" spans="1:29" ht="16" thickBot="1" x14ac:dyDescent="0.4">
      <c r="A409" s="20">
        <f t="shared" si="722"/>
        <v>41405</v>
      </c>
      <c r="B409" s="22">
        <v>232</v>
      </c>
      <c r="C409" s="22">
        <v>502</v>
      </c>
      <c r="D409" s="22">
        <v>17</v>
      </c>
      <c r="E409" s="22">
        <v>296</v>
      </c>
      <c r="F409" s="22">
        <v>10</v>
      </c>
      <c r="G409" s="22">
        <v>58</v>
      </c>
      <c r="H409" s="22">
        <v>16</v>
      </c>
      <c r="I409" s="22">
        <v>81</v>
      </c>
      <c r="J409" s="22">
        <v>263</v>
      </c>
      <c r="K409" s="22">
        <v>648</v>
      </c>
      <c r="L409" s="22">
        <v>231</v>
      </c>
      <c r="M409" s="22">
        <v>647</v>
      </c>
      <c r="N409" s="43">
        <f t="shared" si="2003"/>
        <v>505</v>
      </c>
      <c r="O409" s="22">
        <f t="shared" ref="O409" si="2028">SUM(B409,D409,F409,H409,J409,L409)</f>
        <v>769</v>
      </c>
      <c r="P409" s="22">
        <f t="shared" ref="P409" si="2029">SUM(C409,E409,G409,I409,K409,M409)</f>
        <v>2232</v>
      </c>
      <c r="Q409" s="22">
        <f t="shared" ref="Q409" si="2030">SUM(D409,H409,L409)</f>
        <v>264</v>
      </c>
      <c r="R409" s="34">
        <f t="shared" ref="R409" si="2031">(N409-N408)/N408</f>
        <v>-0.18679549114331723</v>
      </c>
      <c r="S409" s="32">
        <f t="shared" ref="S409" si="2032">N409-N408</f>
        <v>-116</v>
      </c>
      <c r="T409" s="34">
        <f t="shared" ref="T409" si="2033">(N409-N357)/N357</f>
        <v>-0.25295857988165682</v>
      </c>
      <c r="U409" s="34">
        <f t="shared" ref="U409" si="2034">N409/P409</f>
        <v>0.22625448028673836</v>
      </c>
      <c r="V409" s="40">
        <f t="shared" ref="V409" si="2035">AVERAGE(B253,B305,B357)</f>
        <v>425.66666666666669</v>
      </c>
      <c r="W409" s="40">
        <f t="shared" ref="W409" si="2036">AVERAGE(F253,F305,F357)</f>
        <v>10.333333333333334</v>
      </c>
      <c r="X409" s="40">
        <f t="shared" ref="X409" si="2037">AVERAGE(J253,J305,J357)</f>
        <v>162.33333333333334</v>
      </c>
      <c r="Y409" s="40">
        <f t="shared" ref="Y409" si="2038">AVERAGE(N253,N305,N357)</f>
        <v>598.33333333333337</v>
      </c>
      <c r="Z409" s="61">
        <f t="shared" ref="Z409" si="2039">(N409-Y409)/Y409</f>
        <v>-0.15598885793871872</v>
      </c>
      <c r="AA409" s="61"/>
    </row>
    <row r="410" spans="1:29" ht="16" thickBot="1" x14ac:dyDescent="0.4">
      <c r="A410" s="20">
        <f t="shared" si="722"/>
        <v>41412</v>
      </c>
      <c r="B410" s="22">
        <v>262</v>
      </c>
      <c r="C410" s="22">
        <v>543</v>
      </c>
      <c r="D410" s="22">
        <v>68</v>
      </c>
      <c r="E410" s="22">
        <v>561</v>
      </c>
      <c r="F410" s="22">
        <v>13</v>
      </c>
      <c r="G410" s="22">
        <v>67</v>
      </c>
      <c r="H410" s="22">
        <v>17</v>
      </c>
      <c r="I410" s="22">
        <v>51</v>
      </c>
      <c r="J410" s="22">
        <v>147</v>
      </c>
      <c r="K410" s="22">
        <v>510</v>
      </c>
      <c r="L410" s="22">
        <v>265</v>
      </c>
      <c r="M410" s="22">
        <v>625</v>
      </c>
      <c r="N410" s="43">
        <f t="shared" si="2003"/>
        <v>422</v>
      </c>
      <c r="O410" s="22">
        <f t="shared" ref="O410" si="2040">SUM(B410,D410,F410,H410,J410,L410)</f>
        <v>772</v>
      </c>
      <c r="P410" s="22">
        <f t="shared" ref="P410" si="2041">SUM(C410,E410,G410,I410,K410,M410)</f>
        <v>2357</v>
      </c>
      <c r="Q410" s="22">
        <f t="shared" ref="Q410" si="2042">SUM(D410,H410,L410)</f>
        <v>350</v>
      </c>
      <c r="R410" s="34">
        <f t="shared" ref="R410" si="2043">(N410-N409)/N409</f>
        <v>-0.16435643564356436</v>
      </c>
      <c r="S410" s="32">
        <f t="shared" ref="S410" si="2044">N410-N409</f>
        <v>-83</v>
      </c>
      <c r="T410" s="34">
        <f t="shared" ref="T410" si="2045">(N410-N358)/N358</f>
        <v>-0.4568854568854569</v>
      </c>
      <c r="U410" s="34">
        <f t="shared" ref="U410" si="2046">N410/P410</f>
        <v>0.1790411540093339</v>
      </c>
      <c r="V410" s="40">
        <f t="shared" ref="V410" si="2047">AVERAGE(B254,B306,B358)</f>
        <v>382.33333333333331</v>
      </c>
      <c r="W410" s="40">
        <f t="shared" ref="W410" si="2048">AVERAGE(F254,F306,F358)</f>
        <v>11</v>
      </c>
      <c r="X410" s="40">
        <f t="shared" ref="X410" si="2049">AVERAGE(J254,J306,J358)</f>
        <v>286.66666666666669</v>
      </c>
      <c r="Y410" s="40">
        <f t="shared" ref="Y410" si="2050">AVERAGE(N254,N306,N358)</f>
        <v>680</v>
      </c>
      <c r="Z410" s="61">
        <f t="shared" ref="Z410" si="2051">(N410-Y410)/Y410</f>
        <v>-0.37941176470588234</v>
      </c>
      <c r="AA410" s="61"/>
    </row>
    <row r="411" spans="1:29" ht="16" thickBot="1" x14ac:dyDescent="0.4">
      <c r="A411" s="20">
        <f t="shared" si="722"/>
        <v>41419</v>
      </c>
      <c r="B411" s="22">
        <v>250</v>
      </c>
      <c r="C411" s="22">
        <v>456</v>
      </c>
      <c r="D411" s="22">
        <v>100</v>
      </c>
      <c r="E411" s="22">
        <v>523</v>
      </c>
      <c r="F411" s="22">
        <v>11</v>
      </c>
      <c r="G411" s="22">
        <v>66</v>
      </c>
      <c r="H411" s="22">
        <v>11</v>
      </c>
      <c r="I411" s="22">
        <v>85</v>
      </c>
      <c r="J411" s="22">
        <v>256</v>
      </c>
      <c r="K411" s="22">
        <v>794</v>
      </c>
      <c r="L411" s="22">
        <v>327</v>
      </c>
      <c r="M411" s="22">
        <v>756</v>
      </c>
      <c r="N411" s="43">
        <f t="shared" si="2003"/>
        <v>517</v>
      </c>
      <c r="O411" s="22">
        <f t="shared" ref="O411" si="2052">SUM(B411,D411,F411,H411,J411,L411)</f>
        <v>955</v>
      </c>
      <c r="P411" s="22">
        <f t="shared" ref="P411" si="2053">SUM(C411,E411,G411,I411,K411,M411)</f>
        <v>2680</v>
      </c>
      <c r="Q411" s="22">
        <f t="shared" ref="Q411" si="2054">SUM(D411,H411,L411)</f>
        <v>438</v>
      </c>
      <c r="R411" s="34">
        <f t="shared" ref="R411" si="2055">(N411-N410)/N410</f>
        <v>0.22511848341232227</v>
      </c>
      <c r="S411" s="32">
        <f t="shared" ref="S411" si="2056">N411-N410</f>
        <v>95</v>
      </c>
      <c r="T411" s="34">
        <f t="shared" ref="T411" si="2057">(N411-N359)/N359</f>
        <v>-9.6153846153846159E-2</v>
      </c>
      <c r="U411" s="34">
        <f t="shared" ref="U411" si="2058">N411/P411</f>
        <v>0.19291044776119404</v>
      </c>
      <c r="V411" s="40">
        <f t="shared" ref="V411" si="2059">AVERAGE(B255,B307,B359)</f>
        <v>379.33333333333331</v>
      </c>
      <c r="W411" s="40">
        <f t="shared" ref="W411" si="2060">AVERAGE(F255,F307,F359)</f>
        <v>20.666666666666668</v>
      </c>
      <c r="X411" s="40">
        <f t="shared" ref="X411" si="2061">AVERAGE(J255,J307,J359)</f>
        <v>186.33333333333334</v>
      </c>
      <c r="Y411" s="40">
        <f t="shared" ref="Y411" si="2062">AVERAGE(N255,N307,N359)</f>
        <v>586.33333333333337</v>
      </c>
      <c r="Z411" s="61">
        <f t="shared" ref="Z411" si="2063">(N411-Y411)/Y411</f>
        <v>-0.11824900511654354</v>
      </c>
      <c r="AA411" s="61"/>
    </row>
    <row r="412" spans="1:29" ht="16" thickBot="1" x14ac:dyDescent="0.4">
      <c r="A412" s="20">
        <f t="shared" si="722"/>
        <v>41426</v>
      </c>
      <c r="B412" s="22">
        <v>232</v>
      </c>
      <c r="C412" s="22">
        <v>510</v>
      </c>
      <c r="D412" s="22">
        <v>44</v>
      </c>
      <c r="E412" s="22">
        <v>475</v>
      </c>
      <c r="F412" s="22">
        <v>22</v>
      </c>
      <c r="G412" s="22">
        <v>70</v>
      </c>
      <c r="H412" s="22">
        <v>20</v>
      </c>
      <c r="I412" s="22">
        <v>35</v>
      </c>
      <c r="J412" s="22">
        <v>288</v>
      </c>
      <c r="K412" s="22">
        <v>723</v>
      </c>
      <c r="L412" s="22">
        <v>247</v>
      </c>
      <c r="M412" s="22">
        <v>601</v>
      </c>
      <c r="N412" s="43">
        <f t="shared" si="2003"/>
        <v>542</v>
      </c>
      <c r="O412" s="22">
        <f t="shared" ref="O412" si="2064">SUM(B412,D412,F412,H412,J412,L412)</f>
        <v>853</v>
      </c>
      <c r="P412" s="22">
        <f t="shared" ref="P412" si="2065">SUM(C412,E412,G412,I412,K412,M412)</f>
        <v>2414</v>
      </c>
      <c r="Q412" s="22">
        <f t="shared" ref="Q412" si="2066">SUM(D412,H412,L412)</f>
        <v>311</v>
      </c>
      <c r="R412" s="34">
        <f t="shared" ref="R412" si="2067">(N412-N411)/N411</f>
        <v>4.8355899419729204E-2</v>
      </c>
      <c r="S412" s="32">
        <f t="shared" ref="S412" si="2068">N412-N411</f>
        <v>25</v>
      </c>
      <c r="T412" s="34">
        <f t="shared" ref="T412" si="2069">(N412-N360)/N360</f>
        <v>8.4000000000000005E-2</v>
      </c>
      <c r="U412" s="34">
        <f t="shared" ref="U412" si="2070">N412/P412</f>
        <v>0.22452361226180614</v>
      </c>
      <c r="V412" s="40">
        <f t="shared" ref="V412" si="2071">AVERAGE(B256,B308,B360)</f>
        <v>323.33333333333331</v>
      </c>
      <c r="W412" s="40">
        <f t="shared" ref="W412" si="2072">AVERAGE(F256,F308,F360)</f>
        <v>9.6666666666666661</v>
      </c>
      <c r="X412" s="40">
        <f t="shared" ref="X412" si="2073">AVERAGE(J256,J308,J360)</f>
        <v>205</v>
      </c>
      <c r="Y412" s="40">
        <f t="shared" ref="Y412" si="2074">AVERAGE(N256,N308,N360)</f>
        <v>538</v>
      </c>
      <c r="Z412" s="61">
        <f t="shared" ref="Z412" si="2075">(N412-Y412)/Y412</f>
        <v>7.4349442379182153E-3</v>
      </c>
      <c r="AA412" s="61"/>
    </row>
    <row r="413" spans="1:29" ht="16" thickBot="1" x14ac:dyDescent="0.4">
      <c r="A413" s="20">
        <f t="shared" si="722"/>
        <v>41433</v>
      </c>
      <c r="B413" s="22">
        <v>102</v>
      </c>
      <c r="C413" s="22">
        <v>226</v>
      </c>
      <c r="D413" s="22">
        <v>14</v>
      </c>
      <c r="E413" s="22">
        <v>148</v>
      </c>
      <c r="F413" s="22">
        <v>8</v>
      </c>
      <c r="G413" s="22">
        <v>65</v>
      </c>
      <c r="H413" s="22">
        <v>24</v>
      </c>
      <c r="I413" s="22">
        <v>47</v>
      </c>
      <c r="J413" s="22">
        <v>342</v>
      </c>
      <c r="K413" s="22">
        <v>798</v>
      </c>
      <c r="L413" s="22">
        <v>268</v>
      </c>
      <c r="M413" s="22">
        <v>768</v>
      </c>
      <c r="N413" s="43">
        <f t="shared" si="2003"/>
        <v>452</v>
      </c>
      <c r="O413" s="22">
        <f t="shared" ref="O413" si="2076">SUM(B413,D413,F413,H413,J413,L413)</f>
        <v>758</v>
      </c>
      <c r="P413" s="22">
        <f t="shared" ref="P413" si="2077">SUM(C413,E413,G413,I413,K413,M413)</f>
        <v>2052</v>
      </c>
      <c r="Q413" s="22">
        <f t="shared" ref="Q413" si="2078">SUM(D413,H413,L413)</f>
        <v>306</v>
      </c>
      <c r="R413" s="34">
        <f t="shared" ref="R413" si="2079">(N413-N412)/N412</f>
        <v>-0.16605166051660517</v>
      </c>
      <c r="S413" s="32">
        <f t="shared" ref="S413" si="2080">N413-N412</f>
        <v>-90</v>
      </c>
      <c r="T413" s="34">
        <f t="shared" ref="T413" si="2081">(N413-N361)/N361</f>
        <v>-0.30030959752321984</v>
      </c>
      <c r="U413" s="34">
        <f t="shared" ref="U413" si="2082">N413/P413</f>
        <v>0.22027290448343079</v>
      </c>
      <c r="V413" s="40">
        <f t="shared" ref="V413" si="2083">AVERAGE(B257,B309,B361)</f>
        <v>365</v>
      </c>
      <c r="W413" s="40">
        <f t="shared" ref="W413" si="2084">AVERAGE(F257,F309,F361)</f>
        <v>19</v>
      </c>
      <c r="X413" s="40">
        <f t="shared" ref="X413" si="2085">AVERAGE(J257,J309,J361)</f>
        <v>289</v>
      </c>
      <c r="Y413" s="40">
        <f t="shared" ref="Y413" si="2086">AVERAGE(N257,N309,N361)</f>
        <v>673</v>
      </c>
      <c r="Z413" s="61">
        <f t="shared" ref="Z413" si="2087">(N413-Y413)/Y413</f>
        <v>-0.32838038632986627</v>
      </c>
      <c r="AA413" s="61"/>
    </row>
    <row r="414" spans="1:29" ht="16" thickBot="1" x14ac:dyDescent="0.4">
      <c r="A414" s="20">
        <f t="shared" si="722"/>
        <v>41440</v>
      </c>
      <c r="B414" s="22">
        <v>204</v>
      </c>
      <c r="C414" s="22">
        <v>660</v>
      </c>
      <c r="D414" s="22">
        <v>71</v>
      </c>
      <c r="E414" s="22">
        <v>522</v>
      </c>
      <c r="F414" s="22">
        <v>19</v>
      </c>
      <c r="G414" s="22">
        <v>70</v>
      </c>
      <c r="H414" s="22">
        <v>14</v>
      </c>
      <c r="I414" s="22">
        <v>69</v>
      </c>
      <c r="J414" s="22">
        <v>251</v>
      </c>
      <c r="K414" s="22">
        <v>669</v>
      </c>
      <c r="L414" s="22">
        <v>321</v>
      </c>
      <c r="M414" s="22">
        <v>774</v>
      </c>
      <c r="N414" s="43">
        <f t="shared" si="2003"/>
        <v>474</v>
      </c>
      <c r="O414" s="22">
        <f t="shared" ref="O414" si="2088">SUM(B414,D414,F414,H414,J414,L414)</f>
        <v>880</v>
      </c>
      <c r="P414" s="22">
        <f t="shared" ref="P414" si="2089">SUM(C414,E414,G414,I414,K414,M414)</f>
        <v>2764</v>
      </c>
      <c r="Q414" s="22">
        <f t="shared" ref="Q414" si="2090">SUM(D414,H414,L414)</f>
        <v>406</v>
      </c>
      <c r="R414" s="34">
        <f t="shared" ref="R414" si="2091">(N414-N413)/N413</f>
        <v>4.8672566371681415E-2</v>
      </c>
      <c r="S414" s="32">
        <f t="shared" ref="S414" si="2092">N414-N413</f>
        <v>22</v>
      </c>
      <c r="T414" s="34">
        <f t="shared" ref="T414" si="2093">(N414-N362)/N362</f>
        <v>-0.25471698113207547</v>
      </c>
      <c r="U414" s="34">
        <f t="shared" ref="U414" si="2094">N414/P414</f>
        <v>0.1714905933429812</v>
      </c>
      <c r="V414" s="40">
        <f t="shared" ref="V414" si="2095">AVERAGE(B258,B310,B362)</f>
        <v>370.66666666666669</v>
      </c>
      <c r="W414" s="40">
        <f t="shared" ref="W414" si="2096">AVERAGE(F258,F310,F362)</f>
        <v>20.333333333333332</v>
      </c>
      <c r="X414" s="40">
        <f t="shared" ref="X414" si="2097">AVERAGE(J258,J310,J362)</f>
        <v>260.33333333333331</v>
      </c>
      <c r="Y414" s="40">
        <f t="shared" ref="Y414" si="2098">AVERAGE(N258,N310,N362)</f>
        <v>651.33333333333337</v>
      </c>
      <c r="Z414" s="61">
        <f t="shared" ref="Z414" si="2099">(N414-Y414)/Y414</f>
        <v>-0.27226202661207782</v>
      </c>
      <c r="AA414" s="61"/>
    </row>
    <row r="415" spans="1:29" ht="16" thickBot="1" x14ac:dyDescent="0.4">
      <c r="A415" s="20">
        <f t="shared" si="722"/>
        <v>41447</v>
      </c>
      <c r="B415" s="22">
        <v>202</v>
      </c>
      <c r="C415" s="22">
        <v>539</v>
      </c>
      <c r="D415" s="22">
        <v>59</v>
      </c>
      <c r="E415" s="22">
        <v>549</v>
      </c>
      <c r="F415" s="22">
        <v>5</v>
      </c>
      <c r="G415" s="22">
        <v>50</v>
      </c>
      <c r="H415" s="22">
        <v>16</v>
      </c>
      <c r="I415" s="22">
        <v>94</v>
      </c>
      <c r="J415" s="22">
        <v>234</v>
      </c>
      <c r="K415" s="22">
        <v>644</v>
      </c>
      <c r="L415" s="22">
        <v>256</v>
      </c>
      <c r="M415" s="22">
        <v>650</v>
      </c>
      <c r="N415" s="43">
        <f t="shared" si="2003"/>
        <v>441</v>
      </c>
      <c r="O415" s="22">
        <f t="shared" ref="O415" si="2100">SUM(B415,D415,F415,H415,J415,L415)</f>
        <v>772</v>
      </c>
      <c r="P415" s="22">
        <f t="shared" ref="P415" si="2101">SUM(C415,E415,G415,I415,K415,M415)</f>
        <v>2526</v>
      </c>
      <c r="Q415" s="22">
        <f t="shared" ref="Q415" si="2102">SUM(D415,H415,L415)</f>
        <v>331</v>
      </c>
      <c r="R415" s="34">
        <f t="shared" ref="R415" si="2103">(N415-N414)/N414</f>
        <v>-6.9620253164556958E-2</v>
      </c>
      <c r="S415" s="32">
        <f t="shared" ref="S415" si="2104">N415-N414</f>
        <v>-33</v>
      </c>
      <c r="T415" s="34">
        <f t="shared" ref="T415" si="2105">(N415-N363)/N363</f>
        <v>-0.26622296173044924</v>
      </c>
      <c r="U415" s="34">
        <f t="shared" ref="U415" si="2106">N415/P415</f>
        <v>0.17458432304038005</v>
      </c>
      <c r="V415" s="40">
        <f t="shared" ref="V415" si="2107">AVERAGE(B259,B311,B363)</f>
        <v>363</v>
      </c>
      <c r="W415" s="40">
        <f t="shared" ref="W415" si="2108">AVERAGE(F259,F311,F363)</f>
        <v>15</v>
      </c>
      <c r="X415" s="40">
        <f t="shared" ref="X415" si="2109">AVERAGE(J259,J311,J363)</f>
        <v>236.66666666666666</v>
      </c>
      <c r="Y415" s="40">
        <f t="shared" ref="Y415" si="2110">AVERAGE(N259,N311,N363)</f>
        <v>614.66666666666663</v>
      </c>
      <c r="Z415" s="61">
        <f t="shared" ref="Z415" si="2111">(N415-Y415)/Y415</f>
        <v>-0.28253796095444683</v>
      </c>
      <c r="AA415" s="61"/>
      <c r="AB415" s="63"/>
      <c r="AC415" s="64"/>
    </row>
    <row r="416" spans="1:29" ht="16" thickBot="1" x14ac:dyDescent="0.4">
      <c r="A416" s="20">
        <f t="shared" si="722"/>
        <v>41454</v>
      </c>
      <c r="B416" s="22">
        <v>171</v>
      </c>
      <c r="C416" s="22">
        <v>473</v>
      </c>
      <c r="D416" s="22">
        <v>78</v>
      </c>
      <c r="E416" s="22">
        <v>449</v>
      </c>
      <c r="F416" s="22">
        <v>26</v>
      </c>
      <c r="G416" s="22">
        <v>88</v>
      </c>
      <c r="H416" s="22">
        <v>21</v>
      </c>
      <c r="I416" s="22">
        <v>102</v>
      </c>
      <c r="J416" s="22">
        <v>229</v>
      </c>
      <c r="K416" s="22">
        <v>708</v>
      </c>
      <c r="L416" s="22">
        <v>257</v>
      </c>
      <c r="M416" s="22">
        <v>717</v>
      </c>
      <c r="N416" s="43">
        <f t="shared" si="2003"/>
        <v>426</v>
      </c>
      <c r="O416" s="22">
        <f t="shared" ref="O416" si="2112">SUM(B416,D416,F416,H416,J416,L416)</f>
        <v>782</v>
      </c>
      <c r="P416" s="22">
        <f t="shared" ref="P416" si="2113">SUM(C416,E416,G416,I416,K416,M416)</f>
        <v>2537</v>
      </c>
      <c r="Q416" s="22">
        <f t="shared" ref="Q416" si="2114">SUM(D416,H416,L416)</f>
        <v>356</v>
      </c>
      <c r="R416" s="34">
        <f t="shared" ref="R416" si="2115">(N416-N415)/N415</f>
        <v>-3.4013605442176874E-2</v>
      </c>
      <c r="S416" s="32">
        <f t="shared" ref="S416" si="2116">N416-N415</f>
        <v>-15</v>
      </c>
      <c r="T416" s="34">
        <f t="shared" ref="T416" si="2117">(N416-N364)/N364</f>
        <v>-0.29470198675496689</v>
      </c>
      <c r="U416" s="34">
        <f t="shared" ref="U416" si="2118">N416/P416</f>
        <v>0.16791486007094994</v>
      </c>
      <c r="V416" s="40">
        <f t="shared" ref="V416" si="2119">AVERAGE(B260,B312,B364)</f>
        <v>337.33333333333331</v>
      </c>
      <c r="W416" s="40">
        <f t="shared" ref="W416" si="2120">AVERAGE(F260,F312,F364)</f>
        <v>26</v>
      </c>
      <c r="X416" s="40">
        <f t="shared" ref="X416" si="2121">AVERAGE(J260,J312,J364)</f>
        <v>259.66666666666669</v>
      </c>
      <c r="Y416" s="40">
        <f t="shared" ref="Y416" si="2122">AVERAGE(N260,N312,N364)</f>
        <v>623</v>
      </c>
      <c r="Z416" s="61">
        <f t="shared" ref="Z416" si="2123">(N416-Y416)/Y416</f>
        <v>-0.3162118780096308</v>
      </c>
      <c r="AA416" s="61"/>
    </row>
    <row r="417" spans="1:27" ht="16" thickBot="1" x14ac:dyDescent="0.4">
      <c r="A417" s="20">
        <f t="shared" si="722"/>
        <v>41461</v>
      </c>
      <c r="B417" s="22">
        <v>171</v>
      </c>
      <c r="C417" s="22">
        <v>600</v>
      </c>
      <c r="D417" s="22">
        <v>49</v>
      </c>
      <c r="E417" s="22">
        <v>341</v>
      </c>
      <c r="F417" s="22">
        <v>32</v>
      </c>
      <c r="G417" s="22">
        <v>86</v>
      </c>
      <c r="H417" s="22">
        <v>13</v>
      </c>
      <c r="I417" s="22">
        <v>100</v>
      </c>
      <c r="J417" s="22">
        <v>303</v>
      </c>
      <c r="K417" s="22">
        <v>783</v>
      </c>
      <c r="L417" s="22">
        <v>341</v>
      </c>
      <c r="M417" s="22">
        <v>808</v>
      </c>
      <c r="N417" s="43">
        <f t="shared" si="2003"/>
        <v>506</v>
      </c>
      <c r="O417" s="22">
        <f t="shared" ref="O417" si="2124">SUM(B417,D417,F417,H417,J417,L417)</f>
        <v>909</v>
      </c>
      <c r="P417" s="22">
        <f t="shared" ref="P417" si="2125">SUM(C417,E417,G417,I417,K417,M417)</f>
        <v>2718</v>
      </c>
      <c r="Q417" s="22">
        <f t="shared" ref="Q417" si="2126">SUM(D417,H417,L417)</f>
        <v>403</v>
      </c>
      <c r="R417" s="34">
        <f t="shared" ref="R417" si="2127">(N417-N416)/N416</f>
        <v>0.18779342723004694</v>
      </c>
      <c r="S417" s="32">
        <f t="shared" ref="S417" si="2128">N417-N416</f>
        <v>80</v>
      </c>
      <c r="T417" s="34">
        <f t="shared" ref="T417" si="2129">(N417-N365)/N365</f>
        <v>-4.8872180451127817E-2</v>
      </c>
      <c r="U417" s="34">
        <f t="shared" ref="U417" si="2130">N417/P417</f>
        <v>0.18616629874908019</v>
      </c>
      <c r="V417" s="40">
        <f t="shared" ref="V417" si="2131">AVERAGE(B261,B313,B365)</f>
        <v>337.33333333333331</v>
      </c>
      <c r="W417" s="40">
        <f t="shared" ref="W417" si="2132">AVERAGE(F261,F313,F365)</f>
        <v>20.666666666666668</v>
      </c>
      <c r="X417" s="40">
        <f t="shared" ref="X417" si="2133">AVERAGE(J261,J313,J365)</f>
        <v>212.33333333333334</v>
      </c>
      <c r="Y417" s="40">
        <f t="shared" ref="Y417" si="2134">AVERAGE(N261,N313,N365)</f>
        <v>570.33333333333337</v>
      </c>
      <c r="Z417" s="61">
        <f t="shared" ref="Z417" si="2135">(N417-Y417)/Y417</f>
        <v>-0.11279953243717131</v>
      </c>
      <c r="AA417" s="61"/>
    </row>
    <row r="418" spans="1:27" ht="16" thickBot="1" x14ac:dyDescent="0.4">
      <c r="A418" s="20">
        <f t="shared" si="722"/>
        <v>41468</v>
      </c>
      <c r="B418" s="22">
        <v>199</v>
      </c>
      <c r="C418" s="22">
        <v>607</v>
      </c>
      <c r="D418" s="22">
        <v>53</v>
      </c>
      <c r="E418" s="22">
        <v>533</v>
      </c>
      <c r="F418" s="22">
        <v>15</v>
      </c>
      <c r="G418" s="22">
        <v>76</v>
      </c>
      <c r="H418" s="22">
        <v>7</v>
      </c>
      <c r="I418" s="22">
        <v>108</v>
      </c>
      <c r="J418" s="22">
        <v>144</v>
      </c>
      <c r="K418" s="22">
        <v>524</v>
      </c>
      <c r="L418" s="22">
        <v>283</v>
      </c>
      <c r="M418" s="22">
        <v>682</v>
      </c>
      <c r="N418" s="43">
        <f t="shared" si="2003"/>
        <v>358</v>
      </c>
      <c r="O418" s="22">
        <f t="shared" ref="O418" si="2136">SUM(B418,D418,F418,H418,J418,L418)</f>
        <v>701</v>
      </c>
      <c r="P418" s="22">
        <f t="shared" ref="P418" si="2137">SUM(C418,E418,G418,I418,K418,M418)</f>
        <v>2530</v>
      </c>
      <c r="Q418" s="22">
        <f t="shared" ref="Q418" si="2138">SUM(D418,H418,L418)</f>
        <v>343</v>
      </c>
      <c r="R418" s="34">
        <f t="shared" ref="R418" si="2139">(N418-N417)/N417</f>
        <v>-0.29249011857707508</v>
      </c>
      <c r="S418" s="32">
        <f t="shared" ref="S418" si="2140">N418-N417</f>
        <v>-148</v>
      </c>
      <c r="T418" s="34">
        <f t="shared" ref="T418" si="2141">(N418-N366)/N366</f>
        <v>-0.53925353925353925</v>
      </c>
      <c r="U418" s="34">
        <f t="shared" ref="U418" si="2142">N418/P418</f>
        <v>0.14150197628458497</v>
      </c>
      <c r="V418" s="40">
        <f t="shared" ref="V418" si="2143">AVERAGE(B262,B314,B366)</f>
        <v>430.66666666666669</v>
      </c>
      <c r="W418" s="40">
        <f t="shared" ref="W418" si="2144">AVERAGE(F262,F314,F366)</f>
        <v>25.666666666666668</v>
      </c>
      <c r="X418" s="40">
        <f t="shared" ref="X418" si="2145">AVERAGE(J262,J314,J366)</f>
        <v>274.66666666666669</v>
      </c>
      <c r="Y418" s="40">
        <f t="shared" ref="Y418" si="2146">AVERAGE(N262,N314,N366)</f>
        <v>731</v>
      </c>
      <c r="Z418" s="61">
        <f t="shared" ref="Z418" si="2147">(N418-Y418)/Y418</f>
        <v>-0.51025991792065661</v>
      </c>
      <c r="AA418" s="61"/>
    </row>
    <row r="419" spans="1:27" ht="16" thickBot="1" x14ac:dyDescent="0.4">
      <c r="A419" s="20">
        <f t="shared" si="722"/>
        <v>41475</v>
      </c>
      <c r="B419" s="22">
        <v>203</v>
      </c>
      <c r="C419" s="22">
        <v>549</v>
      </c>
      <c r="D419" s="22">
        <v>41</v>
      </c>
      <c r="E419" s="22">
        <v>373</v>
      </c>
      <c r="F419" s="22">
        <v>13</v>
      </c>
      <c r="G419" s="22">
        <v>47</v>
      </c>
      <c r="H419" s="22">
        <v>15</v>
      </c>
      <c r="I419" s="22">
        <v>58</v>
      </c>
      <c r="J419" s="22">
        <v>311</v>
      </c>
      <c r="K419" s="22">
        <v>781</v>
      </c>
      <c r="L419" s="22">
        <v>289</v>
      </c>
      <c r="M419" s="22">
        <v>774</v>
      </c>
      <c r="N419" s="43">
        <f t="shared" si="2003"/>
        <v>527</v>
      </c>
      <c r="O419" s="22">
        <f t="shared" ref="O419" si="2148">SUM(B419,D419,F419,H419,J419,L419)</f>
        <v>872</v>
      </c>
      <c r="P419" s="22">
        <f t="shared" ref="P419" si="2149">SUM(C419,E419,G419,I419,K419,M419)</f>
        <v>2582</v>
      </c>
      <c r="Q419" s="22">
        <f t="shared" ref="Q419" si="2150">SUM(D419,H419,L419)</f>
        <v>345</v>
      </c>
      <c r="R419" s="34">
        <f t="shared" ref="R419" si="2151">(N419-N418)/N418</f>
        <v>0.47206703910614523</v>
      </c>
      <c r="S419" s="32">
        <f t="shared" ref="S419" si="2152">N419-N418</f>
        <v>169</v>
      </c>
      <c r="T419" s="34">
        <f t="shared" ref="T419" si="2153">(N419-N367)/N367</f>
        <v>-0.28299319727891159</v>
      </c>
      <c r="U419" s="34">
        <f t="shared" ref="U419" si="2154">N419/P419</f>
        <v>0.20410534469403563</v>
      </c>
      <c r="V419" s="40">
        <f t="shared" ref="V419" si="2155">AVERAGE(B263,B315,B367)</f>
        <v>404.33333333333331</v>
      </c>
      <c r="W419" s="40">
        <f t="shared" ref="W419" si="2156">AVERAGE(F263,F315,F367)</f>
        <v>24</v>
      </c>
      <c r="X419" s="40">
        <f t="shared" ref="X419" si="2157">AVERAGE(J263,J315,J367)</f>
        <v>276.66666666666669</v>
      </c>
      <c r="Y419" s="40">
        <f t="shared" ref="Y419" si="2158">AVERAGE(N263,N315,N367)</f>
        <v>705</v>
      </c>
      <c r="Z419" s="61">
        <f t="shared" ref="Z419" si="2159">(N419-Y419)/Y419</f>
        <v>-0.25248226950354608</v>
      </c>
      <c r="AA419" s="61"/>
    </row>
    <row r="420" spans="1:27" ht="16" thickBot="1" x14ac:dyDescent="0.4">
      <c r="A420" s="20">
        <f t="shared" si="722"/>
        <v>41482</v>
      </c>
      <c r="B420" s="22">
        <v>124</v>
      </c>
      <c r="C420" s="22">
        <v>451</v>
      </c>
      <c r="D420" s="22">
        <v>57</v>
      </c>
      <c r="E420" s="22">
        <v>422</v>
      </c>
      <c r="F420" s="22">
        <v>13</v>
      </c>
      <c r="G420" s="22">
        <v>49</v>
      </c>
      <c r="H420" s="22">
        <v>17</v>
      </c>
      <c r="I420" s="22">
        <v>89</v>
      </c>
      <c r="J420" s="22">
        <v>233</v>
      </c>
      <c r="K420" s="22">
        <v>711</v>
      </c>
      <c r="L420" s="22">
        <v>282</v>
      </c>
      <c r="M420" s="22">
        <v>796</v>
      </c>
      <c r="N420" s="43">
        <f t="shared" si="2003"/>
        <v>370</v>
      </c>
      <c r="O420" s="22">
        <f t="shared" ref="O420" si="2160">SUM(B420,D420,F420,H420,J420,L420)</f>
        <v>726</v>
      </c>
      <c r="P420" s="22">
        <f t="shared" ref="P420" si="2161">SUM(C420,E420,G420,I420,K420,M420)</f>
        <v>2518</v>
      </c>
      <c r="Q420" s="22">
        <f t="shared" ref="Q420" si="2162">SUM(D420,H420,L420)</f>
        <v>356</v>
      </c>
      <c r="R420" s="34">
        <f t="shared" ref="R420" si="2163">(N420-N419)/N419</f>
        <v>-0.29791271347248577</v>
      </c>
      <c r="S420" s="32">
        <f t="shared" ref="S420" si="2164">N420-N419</f>
        <v>-157</v>
      </c>
      <c r="T420" s="34">
        <f t="shared" ref="T420" si="2165">(N420-N368)/N368</f>
        <v>-0.4351145038167939</v>
      </c>
      <c r="U420" s="34">
        <f t="shared" ref="U420" si="2166">N420/P420</f>
        <v>0.14694201747418587</v>
      </c>
      <c r="V420" s="40">
        <f t="shared" ref="V420" si="2167">AVERAGE(B264,B316,B368)</f>
        <v>305</v>
      </c>
      <c r="W420" s="40">
        <f t="shared" ref="W420" si="2168">AVERAGE(F264,F316,F368)</f>
        <v>24</v>
      </c>
      <c r="X420" s="40">
        <f t="shared" ref="X420" si="2169">AVERAGE(J264,J316,J368)</f>
        <v>277.33333333333331</v>
      </c>
      <c r="Y420" s="40">
        <f t="shared" ref="Y420" si="2170">AVERAGE(N264,N316,N368)</f>
        <v>606.33333333333337</v>
      </c>
      <c r="Z420" s="61">
        <f t="shared" ref="Z420" si="2171">(N420-Y420)/Y420</f>
        <v>-0.38977460142935683</v>
      </c>
      <c r="AA420" s="61"/>
    </row>
    <row r="421" spans="1:27" ht="16" thickBot="1" x14ac:dyDescent="0.4">
      <c r="A421" s="20">
        <f t="shared" si="722"/>
        <v>41489</v>
      </c>
      <c r="B421" s="22">
        <v>114</v>
      </c>
      <c r="C421" s="22">
        <v>488</v>
      </c>
      <c r="D421" s="22">
        <v>86</v>
      </c>
      <c r="E421" s="22">
        <v>385</v>
      </c>
      <c r="F421" s="22">
        <v>14</v>
      </c>
      <c r="G421" s="22">
        <v>65</v>
      </c>
      <c r="H421" s="22">
        <v>9</v>
      </c>
      <c r="I421" s="22">
        <v>72</v>
      </c>
      <c r="J421" s="22">
        <v>161</v>
      </c>
      <c r="K421" s="22">
        <v>462</v>
      </c>
      <c r="L421" s="22">
        <v>204</v>
      </c>
      <c r="M421" s="22">
        <v>526</v>
      </c>
      <c r="N421" s="43">
        <f t="shared" si="2003"/>
        <v>289</v>
      </c>
      <c r="O421" s="22">
        <f t="shared" ref="O421" si="2172">SUM(B421,D421,F421,H421,J421,L421)</f>
        <v>588</v>
      </c>
      <c r="P421" s="22">
        <f t="shared" ref="P421" si="2173">SUM(C421,E421,G421,I421,K421,M421)</f>
        <v>1998</v>
      </c>
      <c r="Q421" s="22">
        <f t="shared" ref="Q421" si="2174">SUM(D421,H421,L421)</f>
        <v>299</v>
      </c>
      <c r="R421" s="34">
        <f t="shared" ref="R421" si="2175">(N421-N420)/N420</f>
        <v>-0.21891891891891893</v>
      </c>
      <c r="S421" s="32">
        <f t="shared" ref="S421" si="2176">N421-N420</f>
        <v>-81</v>
      </c>
      <c r="T421" s="34">
        <f t="shared" ref="T421" si="2177">(N421-N369)/N369</f>
        <v>-0.45880149812734083</v>
      </c>
      <c r="U421" s="34">
        <f t="shared" ref="U421" si="2178">N421/P421</f>
        <v>0.14464464464464463</v>
      </c>
      <c r="V421" s="40">
        <f t="shared" ref="V421" si="2179">AVERAGE(B265,B317,B369)</f>
        <v>285</v>
      </c>
      <c r="W421" s="40">
        <f t="shared" ref="W421" si="2180">AVERAGE(F265,F317,F369)</f>
        <v>27.333333333333332</v>
      </c>
      <c r="X421" s="40">
        <f t="shared" ref="X421" si="2181">AVERAGE(J265,J317,J369)</f>
        <v>234.66666666666666</v>
      </c>
      <c r="Y421" s="40">
        <f t="shared" ref="Y421" si="2182">AVERAGE(N265,N317,N369)</f>
        <v>547</v>
      </c>
      <c r="Z421" s="61">
        <f t="shared" ref="Z421" si="2183">(N421-Y421)/Y421</f>
        <v>-0.47166361974405852</v>
      </c>
      <c r="AA421" s="61"/>
    </row>
    <row r="422" spans="1:27" ht="16" thickBot="1" x14ac:dyDescent="0.4">
      <c r="A422" s="20">
        <f t="shared" si="722"/>
        <v>41496</v>
      </c>
      <c r="B422" s="22">
        <v>83</v>
      </c>
      <c r="C422" s="22">
        <v>452</v>
      </c>
      <c r="D422" s="22">
        <v>69</v>
      </c>
      <c r="E422" s="22">
        <v>406</v>
      </c>
      <c r="F422" s="22">
        <v>13</v>
      </c>
      <c r="G422" s="22">
        <v>67</v>
      </c>
      <c r="H422" s="22">
        <v>9</v>
      </c>
      <c r="I422" s="22">
        <v>74</v>
      </c>
      <c r="J422" s="22">
        <v>172</v>
      </c>
      <c r="K422" s="22">
        <v>566</v>
      </c>
      <c r="L422" s="22">
        <v>245</v>
      </c>
      <c r="M422" s="22">
        <v>727</v>
      </c>
      <c r="N422" s="43">
        <f t="shared" si="2003"/>
        <v>268</v>
      </c>
      <c r="O422" s="22">
        <f t="shared" ref="O422" si="2184">SUM(B422,D422,F422,H422,J422,L422)</f>
        <v>591</v>
      </c>
      <c r="P422" s="22">
        <f t="shared" ref="P422" si="2185">SUM(C422,E422,G422,I422,K422,M422)</f>
        <v>2292</v>
      </c>
      <c r="Q422" s="22">
        <f t="shared" ref="Q422" si="2186">SUM(D422,H422,L422)</f>
        <v>323</v>
      </c>
      <c r="R422" s="34">
        <f t="shared" ref="R422" si="2187">(N422-N421)/N421</f>
        <v>-7.2664359861591699E-2</v>
      </c>
      <c r="S422" s="32">
        <f t="shared" ref="S422" si="2188">N422-N421</f>
        <v>-21</v>
      </c>
      <c r="T422" s="34">
        <f t="shared" ref="T422" si="2189">(N422-N370)/N370</f>
        <v>-0.5</v>
      </c>
      <c r="U422" s="34">
        <f t="shared" ref="U422" si="2190">N422/P422</f>
        <v>0.1169284467713787</v>
      </c>
      <c r="V422" s="40">
        <f t="shared" ref="V422" si="2191">AVERAGE(B266,B318,B370)</f>
        <v>203</v>
      </c>
      <c r="W422" s="40">
        <f t="shared" ref="W422" si="2192">AVERAGE(F266,F318,F370)</f>
        <v>32</v>
      </c>
      <c r="X422" s="40">
        <f t="shared" ref="X422" si="2193">AVERAGE(J266,J318,J370)</f>
        <v>234.66666666666666</v>
      </c>
      <c r="Y422" s="40">
        <f t="shared" ref="Y422" si="2194">AVERAGE(N266,N318,N370)</f>
        <v>469.66666666666669</v>
      </c>
      <c r="Z422" s="61">
        <f t="shared" ref="Z422" si="2195">(N422-Y422)/Y422</f>
        <v>-0.4293825408090845</v>
      </c>
      <c r="AA422" s="61"/>
    </row>
    <row r="423" spans="1:27" ht="16" thickBot="1" x14ac:dyDescent="0.4">
      <c r="A423" s="20">
        <f t="shared" si="722"/>
        <v>41503</v>
      </c>
      <c r="B423" s="22">
        <v>112</v>
      </c>
      <c r="C423" s="22">
        <v>388</v>
      </c>
      <c r="D423" s="22">
        <v>92</v>
      </c>
      <c r="E423" s="22">
        <v>383</v>
      </c>
      <c r="F423" s="22">
        <v>30</v>
      </c>
      <c r="G423" s="22">
        <v>81</v>
      </c>
      <c r="H423" s="22">
        <v>14</v>
      </c>
      <c r="I423" s="22">
        <v>35</v>
      </c>
      <c r="J423" s="22">
        <v>274</v>
      </c>
      <c r="K423" s="22">
        <v>770</v>
      </c>
      <c r="L423" s="22">
        <v>279</v>
      </c>
      <c r="M423" s="22">
        <v>800</v>
      </c>
      <c r="N423" s="43">
        <f t="shared" si="2003"/>
        <v>416</v>
      </c>
      <c r="O423" s="22">
        <f t="shared" ref="O423" si="2196">SUM(B423,D423,F423,H423,J423,L423)</f>
        <v>801</v>
      </c>
      <c r="P423" s="22">
        <f t="shared" ref="P423" si="2197">SUM(C423,E423,G423,I423,K423,M423)</f>
        <v>2457</v>
      </c>
      <c r="Q423" s="22">
        <f t="shared" ref="Q423" si="2198">SUM(D423,H423,L423)</f>
        <v>385</v>
      </c>
      <c r="R423" s="34">
        <f t="shared" ref="R423" si="2199">(N423-N422)/N422</f>
        <v>0.55223880597014929</v>
      </c>
      <c r="S423" s="32">
        <f t="shared" ref="S423" si="2200">N423-N422</f>
        <v>148</v>
      </c>
      <c r="T423" s="34">
        <f t="shared" ref="T423" si="2201">(N423-N371)/N371</f>
        <v>-5.6689342403628121E-2</v>
      </c>
      <c r="U423" s="34">
        <f t="shared" ref="U423" si="2202">N423/P423</f>
        <v>0.1693121693121693</v>
      </c>
      <c r="V423" s="40">
        <f t="shared" ref="V423" si="2203">AVERAGE(B267,B319,B371)</f>
        <v>152.33333333333334</v>
      </c>
      <c r="W423" s="40">
        <f t="shared" ref="W423" si="2204">AVERAGE(F267,F319,F371)</f>
        <v>33</v>
      </c>
      <c r="X423" s="40">
        <f t="shared" ref="X423" si="2205">AVERAGE(J267,J319,J371)</f>
        <v>225.33333333333334</v>
      </c>
      <c r="Y423" s="40">
        <f t="shared" ref="Y423" si="2206">AVERAGE(N267,N319,N371)</f>
        <v>410.66666666666669</v>
      </c>
      <c r="Z423" s="61">
        <f t="shared" ref="Z423" si="2207">(N423-Y423)/Y423</f>
        <v>1.2987012987012941E-2</v>
      </c>
      <c r="AA423" s="61"/>
    </row>
    <row r="424" spans="1:27" ht="16" thickBot="1" x14ac:dyDescent="0.4">
      <c r="A424" s="20">
        <f t="shared" si="722"/>
        <v>41510</v>
      </c>
      <c r="B424" s="22">
        <v>96</v>
      </c>
      <c r="C424" s="22">
        <v>343</v>
      </c>
      <c r="D424" s="22">
        <v>144</v>
      </c>
      <c r="E424" s="22">
        <v>400</v>
      </c>
      <c r="F424" s="22">
        <v>42</v>
      </c>
      <c r="G424" s="22">
        <v>77</v>
      </c>
      <c r="H424" s="22">
        <v>17</v>
      </c>
      <c r="I424" s="22">
        <v>86</v>
      </c>
      <c r="J424" s="22">
        <v>151</v>
      </c>
      <c r="K424" s="22">
        <v>463</v>
      </c>
      <c r="L424" s="22">
        <v>205</v>
      </c>
      <c r="M424" s="22">
        <v>600</v>
      </c>
      <c r="N424" s="43">
        <f t="shared" si="2003"/>
        <v>289</v>
      </c>
      <c r="O424" s="22">
        <f t="shared" ref="O424" si="2208">SUM(B424,D424,F424,H424,J424,L424)</f>
        <v>655</v>
      </c>
      <c r="P424" s="22">
        <f t="shared" ref="P424" si="2209">SUM(C424,E424,G424,I424,K424,M424)</f>
        <v>1969</v>
      </c>
      <c r="Q424" s="22">
        <f t="shared" ref="Q424" si="2210">SUM(D424,H424,L424)</f>
        <v>366</v>
      </c>
      <c r="R424" s="34">
        <f t="shared" ref="R424" si="2211">(N424-N423)/N423</f>
        <v>-0.30528846153846156</v>
      </c>
      <c r="S424" s="32">
        <f t="shared" ref="S424" si="2212">N424-N423</f>
        <v>-127</v>
      </c>
      <c r="T424" s="34">
        <f t="shared" ref="T424" si="2213">(N424-N372)/N372</f>
        <v>-0.19498607242339833</v>
      </c>
      <c r="U424" s="34">
        <f t="shared" ref="U424" si="2214">N424/P424</f>
        <v>0.14677501269680041</v>
      </c>
      <c r="V424" s="40">
        <f t="shared" ref="V424" si="2215">AVERAGE(B268,B320,B372)</f>
        <v>153.66666666666666</v>
      </c>
      <c r="W424" s="40">
        <f t="shared" ref="W424" si="2216">AVERAGE(F268,F320,F372)</f>
        <v>21</v>
      </c>
      <c r="X424" s="40">
        <f t="shared" ref="X424" si="2217">AVERAGE(J268,J320,J372)</f>
        <v>236.33333333333334</v>
      </c>
      <c r="Y424" s="40">
        <f t="shared" ref="Y424" si="2218">AVERAGE(N268,N320,N372)</f>
        <v>411</v>
      </c>
      <c r="Z424" s="61">
        <f t="shared" ref="Z424" si="2219">(N424-Y424)/Y424</f>
        <v>-0.29683698296836986</v>
      </c>
      <c r="AA424" s="61"/>
    </row>
    <row r="425" spans="1:27" ht="16" thickBot="1" x14ac:dyDescent="0.4">
      <c r="A425" s="20">
        <f t="shared" si="722"/>
        <v>41517</v>
      </c>
      <c r="B425" s="22">
        <v>103</v>
      </c>
      <c r="C425" s="22">
        <v>371</v>
      </c>
      <c r="D425" s="22">
        <v>136</v>
      </c>
      <c r="E425" s="22">
        <v>324</v>
      </c>
      <c r="F425" s="22">
        <v>14</v>
      </c>
      <c r="G425" s="22">
        <v>64</v>
      </c>
      <c r="H425" s="22">
        <v>17</v>
      </c>
      <c r="I425" s="22">
        <v>59</v>
      </c>
      <c r="J425" s="22">
        <v>164</v>
      </c>
      <c r="K425" s="22">
        <v>615</v>
      </c>
      <c r="L425" s="22">
        <v>218</v>
      </c>
      <c r="M425" s="22">
        <v>593</v>
      </c>
      <c r="N425" s="43">
        <f t="shared" si="2003"/>
        <v>281</v>
      </c>
      <c r="O425" s="22">
        <f t="shared" ref="O425" si="2220">SUM(B425,D425,F425,H425,J425,L425)</f>
        <v>652</v>
      </c>
      <c r="P425" s="22">
        <f t="shared" ref="P425" si="2221">SUM(C425,E425,G425,I425,K425,M425)</f>
        <v>2026</v>
      </c>
      <c r="Q425" s="22">
        <f t="shared" ref="Q425" si="2222">SUM(D425,H425,L425)</f>
        <v>371</v>
      </c>
      <c r="R425" s="34">
        <f t="shared" ref="R425" si="2223">(N425-N424)/N424</f>
        <v>-2.768166089965398E-2</v>
      </c>
      <c r="S425" s="32">
        <f t="shared" ref="S425" si="2224">N425-N424</f>
        <v>-8</v>
      </c>
      <c r="T425" s="34">
        <f t="shared" ref="T425" si="2225">(N425-N373)/N373</f>
        <v>-0.23433242506811988</v>
      </c>
      <c r="U425" s="34">
        <f t="shared" ref="U425" si="2226">N425/P425</f>
        <v>0.1386969397828233</v>
      </c>
      <c r="V425" s="40">
        <f t="shared" ref="V425" si="2227">AVERAGE(B269,B321,B373)</f>
        <v>119.66666666666667</v>
      </c>
      <c r="W425" s="40">
        <f t="shared" ref="W425" si="2228">AVERAGE(F269,F321,F373)</f>
        <v>19.333333333333332</v>
      </c>
      <c r="X425" s="40">
        <f t="shared" ref="X425" si="2229">AVERAGE(J269,J321,J373)</f>
        <v>245.66666666666666</v>
      </c>
      <c r="Y425" s="40">
        <f t="shared" ref="Y425" si="2230">AVERAGE(N269,N321,N373)</f>
        <v>384.66666666666669</v>
      </c>
      <c r="Z425" s="61">
        <f t="shared" ref="Z425" si="2231">(N425-Y425)/Y425</f>
        <v>-0.26949740034662051</v>
      </c>
      <c r="AA425" s="61"/>
    </row>
    <row r="426" spans="1:27" ht="16" thickBot="1" x14ac:dyDescent="0.4">
      <c r="A426" s="20">
        <f t="shared" si="722"/>
        <v>41524</v>
      </c>
      <c r="B426" s="22">
        <v>92</v>
      </c>
      <c r="C426" s="22">
        <v>463</v>
      </c>
      <c r="D426" s="22">
        <v>104</v>
      </c>
      <c r="E426" s="22">
        <v>423</v>
      </c>
      <c r="F426" s="22">
        <v>56</v>
      </c>
      <c r="G426" s="22">
        <v>99</v>
      </c>
      <c r="H426" s="22">
        <v>21</v>
      </c>
      <c r="I426" s="22">
        <v>126</v>
      </c>
      <c r="J426" s="22">
        <v>227</v>
      </c>
      <c r="K426" s="22">
        <v>652</v>
      </c>
      <c r="L426" s="22">
        <v>229</v>
      </c>
      <c r="M426" s="22">
        <v>599</v>
      </c>
      <c r="N426" s="43">
        <f t="shared" si="2003"/>
        <v>375</v>
      </c>
      <c r="O426" s="22">
        <f t="shared" ref="O426" si="2232">SUM(B426,D426,F426,H426,J426,L426)</f>
        <v>729</v>
      </c>
      <c r="P426" s="22">
        <f t="shared" ref="P426" si="2233">SUM(C426,E426,G426,I426,K426,M426)</f>
        <v>2362</v>
      </c>
      <c r="Q426" s="22">
        <f t="shared" ref="Q426" si="2234">SUM(D426,H426,L426)</f>
        <v>354</v>
      </c>
      <c r="R426" s="34">
        <f t="shared" ref="R426" si="2235">(N426-N425)/N425</f>
        <v>0.33451957295373663</v>
      </c>
      <c r="S426" s="32">
        <f t="shared" ref="S426" si="2236">N426-N425</f>
        <v>94</v>
      </c>
      <c r="T426" s="34">
        <f t="shared" ref="T426" si="2237">(N426-N374)/N374</f>
        <v>5.6338028169014086E-2</v>
      </c>
      <c r="U426" s="34">
        <f t="shared" ref="U426" si="2238">N426/P426</f>
        <v>0.15876375952582558</v>
      </c>
      <c r="V426" s="40">
        <f t="shared" ref="V426" si="2239">AVERAGE(B270,B322,B374)</f>
        <v>119</v>
      </c>
      <c r="W426" s="40">
        <f t="shared" ref="W426" si="2240">AVERAGE(F270,F322,F374)</f>
        <v>21.666666666666668</v>
      </c>
      <c r="X426" s="40">
        <f t="shared" ref="X426" si="2241">AVERAGE(J270,J322,J374)</f>
        <v>276.33333333333331</v>
      </c>
      <c r="Y426" s="40">
        <f t="shared" ref="Y426" si="2242">AVERAGE(N270,N322,N374)</f>
        <v>417</v>
      </c>
      <c r="Z426" s="61">
        <f t="shared" ref="Z426" si="2243">(N426-Y426)/Y426</f>
        <v>-0.10071942446043165</v>
      </c>
      <c r="AA426" s="61"/>
    </row>
    <row r="427" spans="1:27" ht="16" thickBot="1" x14ac:dyDescent="0.4">
      <c r="A427" s="20">
        <f t="shared" si="722"/>
        <v>41531</v>
      </c>
      <c r="B427" s="22">
        <v>72</v>
      </c>
      <c r="C427" s="22">
        <v>380</v>
      </c>
      <c r="D427" s="22">
        <v>129</v>
      </c>
      <c r="E427" s="22">
        <v>328</v>
      </c>
      <c r="F427" s="22">
        <v>33</v>
      </c>
      <c r="G427" s="22">
        <v>63</v>
      </c>
      <c r="H427" s="22">
        <v>2</v>
      </c>
      <c r="I427" s="22">
        <v>89</v>
      </c>
      <c r="J427" s="22">
        <v>172</v>
      </c>
      <c r="K427" s="22">
        <v>499</v>
      </c>
      <c r="L427" s="22">
        <v>197</v>
      </c>
      <c r="M427" s="22">
        <v>540</v>
      </c>
      <c r="N427" s="43">
        <f t="shared" si="2003"/>
        <v>277</v>
      </c>
      <c r="O427" s="22">
        <f t="shared" ref="O427" si="2244">SUM(B427,D427,F427,H427,J427,L427)</f>
        <v>605</v>
      </c>
      <c r="P427" s="22">
        <f t="shared" ref="P427" si="2245">SUM(C427,E427,G427,I427,K427,M427)</f>
        <v>1899</v>
      </c>
      <c r="Q427" s="22">
        <f t="shared" ref="Q427" si="2246">SUM(D427,H427,L427)</f>
        <v>328</v>
      </c>
      <c r="R427" s="34">
        <f t="shared" ref="R427" si="2247">(N427-N426)/N426</f>
        <v>-0.26133333333333331</v>
      </c>
      <c r="S427" s="32">
        <f t="shared" ref="S427" si="2248">N427-N426</f>
        <v>-98</v>
      </c>
      <c r="T427" s="34">
        <f t="shared" ref="T427" si="2249">(N427-N375)/N375</f>
        <v>-0.12341772151898735</v>
      </c>
      <c r="U427" s="34">
        <f t="shared" ref="U427" si="2250">N427/P427</f>
        <v>0.14586624539231174</v>
      </c>
      <c r="V427" s="40">
        <f t="shared" ref="V427" si="2251">AVERAGE(B271,B323,B375)</f>
        <v>122.33333333333333</v>
      </c>
      <c r="W427" s="40">
        <f t="shared" ref="W427" si="2252">AVERAGE(F271,F323,F375)</f>
        <v>27.333333333333332</v>
      </c>
      <c r="X427" s="40">
        <f t="shared" ref="X427" si="2253">AVERAGE(J271,J323,J375)</f>
        <v>219.66666666666666</v>
      </c>
      <c r="Y427" s="40">
        <f t="shared" ref="Y427" si="2254">AVERAGE(N271,N323,N375)</f>
        <v>369.33333333333331</v>
      </c>
      <c r="Z427" s="61">
        <f t="shared" ref="Z427" si="2255">(N427-Y427)/Y427</f>
        <v>-0.24999999999999997</v>
      </c>
      <c r="AA427" s="61"/>
    </row>
    <row r="428" spans="1:27" ht="16" thickBot="1" x14ac:dyDescent="0.4">
      <c r="A428" s="20">
        <f t="shared" si="722"/>
        <v>41538</v>
      </c>
      <c r="B428" s="22">
        <v>83</v>
      </c>
      <c r="C428" s="22">
        <v>561</v>
      </c>
      <c r="D428" s="22">
        <v>168</v>
      </c>
      <c r="E428" s="22">
        <v>391</v>
      </c>
      <c r="F428" s="22">
        <v>42</v>
      </c>
      <c r="G428" s="22">
        <v>70</v>
      </c>
      <c r="H428" s="22">
        <v>8</v>
      </c>
      <c r="I428" s="22">
        <v>121</v>
      </c>
      <c r="J428" s="22">
        <v>344</v>
      </c>
      <c r="K428" s="22">
        <v>815</v>
      </c>
      <c r="L428" s="22">
        <v>336</v>
      </c>
      <c r="M428" s="22">
        <v>844</v>
      </c>
      <c r="N428" s="43">
        <f t="shared" si="2003"/>
        <v>469</v>
      </c>
      <c r="O428" s="22">
        <f t="shared" ref="O428" si="2256">SUM(B428,D428,F428,H428,J428,L428)</f>
        <v>981</v>
      </c>
      <c r="P428" s="22">
        <f t="shared" ref="P428" si="2257">SUM(C428,E428,G428,I428,K428,M428)</f>
        <v>2802</v>
      </c>
      <c r="Q428" s="22">
        <f t="shared" ref="Q428" si="2258">SUM(D428,H428,L428)</f>
        <v>512</v>
      </c>
      <c r="R428" s="34">
        <f t="shared" ref="R428" si="2259">(N428-N427)/N427</f>
        <v>0.69314079422382668</v>
      </c>
      <c r="S428" s="32">
        <f t="shared" ref="S428" si="2260">N428-N427</f>
        <v>192</v>
      </c>
      <c r="T428" s="34">
        <f t="shared" ref="T428" si="2261">(N428-N376)/N376</f>
        <v>0.21502590673575128</v>
      </c>
      <c r="U428" s="34">
        <f t="shared" ref="U428" si="2262">N428/P428</f>
        <v>0.16738044254104212</v>
      </c>
      <c r="V428" s="40">
        <f t="shared" ref="V428" si="2263">AVERAGE(B272,B324,B376)</f>
        <v>128.66666666666666</v>
      </c>
      <c r="W428" s="40">
        <f t="shared" ref="W428" si="2264">AVERAGE(F272,F324,F376)</f>
        <v>30</v>
      </c>
      <c r="X428" s="40">
        <f t="shared" ref="X428" si="2265">AVERAGE(J272,J324,J376)</f>
        <v>269</v>
      </c>
      <c r="Y428" s="40">
        <f t="shared" ref="Y428" si="2266">AVERAGE(N272,N324,N376)</f>
        <v>427.66666666666669</v>
      </c>
      <c r="Z428" s="61">
        <f t="shared" ref="Z428" si="2267">(N428-Y428)/Y428</f>
        <v>9.664848012470767E-2</v>
      </c>
      <c r="AA428" s="61"/>
    </row>
    <row r="429" spans="1:27" ht="16" thickBot="1" x14ac:dyDescent="0.4">
      <c r="A429" s="20">
        <f t="shared" si="722"/>
        <v>41545</v>
      </c>
      <c r="B429" s="22">
        <v>107</v>
      </c>
      <c r="C429" s="22">
        <v>259</v>
      </c>
      <c r="D429" s="22">
        <v>111</v>
      </c>
      <c r="E429" s="22">
        <v>296</v>
      </c>
      <c r="F429" s="22">
        <v>29</v>
      </c>
      <c r="G429" s="22">
        <v>79</v>
      </c>
      <c r="H429" s="22">
        <v>1</v>
      </c>
      <c r="I429" s="22">
        <v>67</v>
      </c>
      <c r="J429" s="22">
        <v>145</v>
      </c>
      <c r="K429" s="22">
        <v>546</v>
      </c>
      <c r="L429" s="22">
        <v>224</v>
      </c>
      <c r="M429" s="22">
        <v>590</v>
      </c>
      <c r="N429" s="43">
        <f t="shared" si="2003"/>
        <v>281</v>
      </c>
      <c r="O429" s="22">
        <f t="shared" ref="O429" si="2268">SUM(B429,D429,F429,H429,J429,L429)</f>
        <v>617</v>
      </c>
      <c r="P429" s="22">
        <f t="shared" ref="P429" si="2269">SUM(C429,E429,G429,I429,K429,M429)</f>
        <v>1837</v>
      </c>
      <c r="Q429" s="22">
        <f t="shared" ref="Q429" si="2270">SUM(D429,H429,L429)</f>
        <v>336</v>
      </c>
      <c r="R429" s="34">
        <f t="shared" ref="R429" si="2271">(N429-N428)/N428</f>
        <v>-0.40085287846481876</v>
      </c>
      <c r="S429" s="32">
        <f t="shared" ref="S429" si="2272">N429-N428</f>
        <v>-188</v>
      </c>
      <c r="T429" s="34">
        <f t="shared" ref="T429" si="2273">(N429-N377)/N377</f>
        <v>-0.30958230958230959</v>
      </c>
      <c r="U429" s="34">
        <f t="shared" ref="U429" si="2274">N429/P429</f>
        <v>0.15296679368535657</v>
      </c>
      <c r="V429" s="40">
        <f t="shared" ref="V429" si="2275">AVERAGE(B273,B325,B377)</f>
        <v>164</v>
      </c>
      <c r="W429" s="40">
        <f t="shared" ref="W429" si="2276">AVERAGE(F273,F325,F377)</f>
        <v>19</v>
      </c>
      <c r="X429" s="40">
        <f t="shared" ref="X429" si="2277">AVERAGE(J273,J325,J377)</f>
        <v>282.66666666666669</v>
      </c>
      <c r="Y429" s="40">
        <f t="shared" ref="Y429" si="2278">AVERAGE(N273,N325,N377)</f>
        <v>465.66666666666669</v>
      </c>
      <c r="Z429" s="61">
        <f t="shared" ref="Z429" si="2279">(N429-Y429)/Y429</f>
        <v>-0.39656406585540444</v>
      </c>
      <c r="AA429" s="61"/>
    </row>
    <row r="430" spans="1:27" ht="16" thickBot="1" x14ac:dyDescent="0.4">
      <c r="A430" s="20">
        <f t="shared" si="722"/>
        <v>41552</v>
      </c>
      <c r="B430" s="22">
        <v>146</v>
      </c>
      <c r="C430" s="22">
        <v>487</v>
      </c>
      <c r="D430" s="22">
        <v>80</v>
      </c>
      <c r="E430" s="22">
        <v>305</v>
      </c>
      <c r="F430" s="22">
        <v>34</v>
      </c>
      <c r="G430" s="22">
        <v>96</v>
      </c>
      <c r="H430" s="22">
        <v>4</v>
      </c>
      <c r="I430" s="22">
        <v>80</v>
      </c>
      <c r="J430" s="22">
        <v>188</v>
      </c>
      <c r="K430" s="22">
        <v>550</v>
      </c>
      <c r="L430" s="22">
        <v>284</v>
      </c>
      <c r="M430" s="22">
        <v>789</v>
      </c>
      <c r="N430" s="43">
        <f t="shared" si="2003"/>
        <v>368</v>
      </c>
      <c r="O430" s="22">
        <f t="shared" ref="O430" si="2280">SUM(B430,D430,F430,H430,J430,L430)</f>
        <v>736</v>
      </c>
      <c r="P430" s="22">
        <f t="shared" ref="P430" si="2281">SUM(C430,E430,G430,I430,K430,M430)</f>
        <v>2307</v>
      </c>
      <c r="Q430" s="22">
        <f t="shared" ref="Q430" si="2282">SUM(D430,H430,L430)</f>
        <v>368</v>
      </c>
      <c r="R430" s="34">
        <f t="shared" ref="R430" si="2283">(N430-N429)/N429</f>
        <v>0.30960854092526691</v>
      </c>
      <c r="S430" s="32">
        <f t="shared" ref="S430" si="2284">N430-N429</f>
        <v>87</v>
      </c>
      <c r="T430" s="34">
        <f t="shared" ref="T430" si="2285">(N430-N378)/N378</f>
        <v>-0.38461538461538464</v>
      </c>
      <c r="U430" s="34">
        <f t="shared" ref="U430" si="2286">N430/P430</f>
        <v>0.15951452102297356</v>
      </c>
      <c r="V430" s="40">
        <f t="shared" ref="V430" si="2287">AVERAGE(B274,B326,B378)</f>
        <v>202</v>
      </c>
      <c r="W430" s="40">
        <f t="shared" ref="W430" si="2288">AVERAGE(F274,F326,F378)</f>
        <v>25.333333333333332</v>
      </c>
      <c r="X430" s="40">
        <f t="shared" ref="X430" si="2289">AVERAGE(J274,J326,J378)</f>
        <v>274.66666666666669</v>
      </c>
      <c r="Y430" s="40">
        <f t="shared" ref="Y430" si="2290">AVERAGE(N274,N326,N378)</f>
        <v>502</v>
      </c>
      <c r="Z430" s="61">
        <f t="shared" ref="Z430" si="2291">(N430-Y430)/Y430</f>
        <v>-0.26693227091633465</v>
      </c>
      <c r="AA430" s="61"/>
    </row>
    <row r="431" spans="1:27" ht="16" thickBot="1" x14ac:dyDescent="0.4">
      <c r="A431" s="20">
        <f t="shared" ref="A431:A492" si="2292">7+A430</f>
        <v>41559</v>
      </c>
      <c r="B431" s="22">
        <v>146</v>
      </c>
      <c r="C431" s="22">
        <v>538</v>
      </c>
      <c r="D431" s="22">
        <v>34</v>
      </c>
      <c r="E431" s="22">
        <v>416</v>
      </c>
      <c r="F431" s="22">
        <v>27</v>
      </c>
      <c r="G431" s="22">
        <v>83</v>
      </c>
      <c r="H431" s="22">
        <v>17</v>
      </c>
      <c r="I431" s="22">
        <v>72</v>
      </c>
      <c r="J431" s="22">
        <v>343</v>
      </c>
      <c r="K431" s="22">
        <v>826</v>
      </c>
      <c r="L431" s="22">
        <v>171</v>
      </c>
      <c r="M431" s="22">
        <v>713</v>
      </c>
      <c r="N431" s="43">
        <f t="shared" si="2003"/>
        <v>516</v>
      </c>
      <c r="O431" s="22">
        <f t="shared" ref="O431" si="2293">SUM(B431,D431,F431,H431,J431,L431)</f>
        <v>738</v>
      </c>
      <c r="P431" s="22">
        <f t="shared" ref="P431" si="2294">SUM(C431,E431,G431,I431,K431,M431)</f>
        <v>2648</v>
      </c>
      <c r="Q431" s="22">
        <f t="shared" ref="Q431" si="2295">SUM(D431,H431,L431)</f>
        <v>222</v>
      </c>
      <c r="R431" s="34">
        <f t="shared" ref="R431" si="2296">(N431-N430)/N430</f>
        <v>0.40217391304347827</v>
      </c>
      <c r="S431" s="32">
        <f t="shared" ref="S431" si="2297">N431-N430</f>
        <v>148</v>
      </c>
      <c r="T431" s="34">
        <f t="shared" ref="T431" si="2298">(N431-N379)/N379</f>
        <v>1.9417475728155339E-3</v>
      </c>
      <c r="U431" s="34">
        <f t="shared" ref="U431" si="2299">N431/P431</f>
        <v>0.19486404833836857</v>
      </c>
      <c r="V431" s="40">
        <f t="shared" ref="V431" si="2300">AVERAGE(B275,B327,B379)</f>
        <v>217</v>
      </c>
      <c r="W431" s="40">
        <f t="shared" ref="W431" si="2301">AVERAGE(F275,F327,F379)</f>
        <v>30.333333333333332</v>
      </c>
      <c r="X431" s="40">
        <f t="shared" ref="X431" si="2302">AVERAGE(J275,J327,J379)</f>
        <v>288.66666666666669</v>
      </c>
      <c r="Y431" s="40">
        <f t="shared" ref="Y431" si="2303">AVERAGE(N275,N327,N379)</f>
        <v>536</v>
      </c>
      <c r="Z431" s="61">
        <f t="shared" ref="Z431" si="2304">(N431-Y431)/Y431</f>
        <v>-3.7313432835820892E-2</v>
      </c>
      <c r="AA431" s="61"/>
    </row>
    <row r="432" spans="1:27" ht="16" thickBot="1" x14ac:dyDescent="0.4">
      <c r="A432" s="20">
        <f t="shared" si="2292"/>
        <v>41566</v>
      </c>
      <c r="B432" s="22">
        <v>254</v>
      </c>
      <c r="C432" s="22">
        <v>517</v>
      </c>
      <c r="D432" s="22">
        <v>59</v>
      </c>
      <c r="E432" s="22">
        <v>514</v>
      </c>
      <c r="F432" s="22">
        <v>24</v>
      </c>
      <c r="G432" s="22">
        <v>99</v>
      </c>
      <c r="H432" s="22">
        <v>14</v>
      </c>
      <c r="I432" s="22">
        <v>108</v>
      </c>
      <c r="J432" s="22">
        <v>178</v>
      </c>
      <c r="K432" s="22">
        <v>514</v>
      </c>
      <c r="L432" s="22">
        <v>258</v>
      </c>
      <c r="M432" s="22">
        <v>833</v>
      </c>
      <c r="N432" s="43">
        <f t="shared" si="2003"/>
        <v>456</v>
      </c>
      <c r="O432" s="22">
        <f t="shared" ref="O432" si="2305">SUM(B432,D432,F432,H432,J432,L432)</f>
        <v>787</v>
      </c>
      <c r="P432" s="22">
        <f t="shared" ref="P432" si="2306">SUM(C432,E432,G432,I432,K432,M432)</f>
        <v>2585</v>
      </c>
      <c r="Q432" s="22">
        <f t="shared" ref="Q432" si="2307">SUM(D432,H432,L432)</f>
        <v>331</v>
      </c>
      <c r="R432" s="34">
        <f t="shared" ref="R432" si="2308">(N432-N431)/N431</f>
        <v>-0.11627906976744186</v>
      </c>
      <c r="S432" s="32">
        <f t="shared" ref="S432" si="2309">N432-N431</f>
        <v>-60</v>
      </c>
      <c r="T432" s="34">
        <f t="shared" ref="T432" si="2310">(N432-N380)/N380</f>
        <v>-9.5238095238095233E-2</v>
      </c>
      <c r="U432" s="34">
        <f t="shared" ref="U432" si="2311">N432/P432</f>
        <v>0.17640232108317214</v>
      </c>
      <c r="V432" s="40">
        <f t="shared" ref="V432" si="2312">AVERAGE(B276,B328,B380)</f>
        <v>141.66666666666666</v>
      </c>
      <c r="W432" s="40">
        <f t="shared" ref="W432" si="2313">AVERAGE(F276,F328,F380)</f>
        <v>30.333333333333332</v>
      </c>
      <c r="X432" s="40">
        <f t="shared" ref="X432" si="2314">AVERAGE(J276,J328,J380)</f>
        <v>244.33333333333334</v>
      </c>
      <c r="Y432" s="40">
        <f t="shared" ref="Y432" si="2315">AVERAGE(N276,N328,N380)</f>
        <v>416.33333333333331</v>
      </c>
      <c r="Z432" s="61">
        <f t="shared" ref="Z432" si="2316">(N432-Y432)/Y432</f>
        <v>9.527622097678147E-2</v>
      </c>
      <c r="AA432" s="61"/>
    </row>
    <row r="433" spans="1:27" ht="16" thickBot="1" x14ac:dyDescent="0.4">
      <c r="A433" s="20">
        <f t="shared" si="2292"/>
        <v>41573</v>
      </c>
      <c r="B433" s="22">
        <v>195</v>
      </c>
      <c r="C433" s="22">
        <v>612</v>
      </c>
      <c r="D433" s="22">
        <v>46</v>
      </c>
      <c r="E433" s="22">
        <v>564</v>
      </c>
      <c r="F433" s="22">
        <v>45</v>
      </c>
      <c r="G433" s="22">
        <v>95</v>
      </c>
      <c r="H433" s="22">
        <v>2</v>
      </c>
      <c r="I433" s="22">
        <v>69</v>
      </c>
      <c r="J433" s="22">
        <v>226</v>
      </c>
      <c r="K433" s="22">
        <v>497</v>
      </c>
      <c r="L433" s="22">
        <v>152</v>
      </c>
      <c r="M433" s="22">
        <v>524</v>
      </c>
      <c r="N433" s="43">
        <f t="shared" si="2003"/>
        <v>466</v>
      </c>
      <c r="O433" s="22">
        <f t="shared" ref="O433" si="2317">SUM(B433,D433,F433,H433,J433,L433)</f>
        <v>666</v>
      </c>
      <c r="P433" s="22">
        <f t="shared" ref="P433" si="2318">SUM(C433,E433,G433,I433,K433,M433)</f>
        <v>2361</v>
      </c>
      <c r="Q433" s="22">
        <f t="shared" ref="Q433" si="2319">SUM(D433,H433,L433)</f>
        <v>200</v>
      </c>
      <c r="R433" s="34">
        <f t="shared" ref="R433" si="2320">(N433-N432)/N432</f>
        <v>2.1929824561403508E-2</v>
      </c>
      <c r="S433" s="32">
        <f t="shared" ref="S433" si="2321">N433-N432</f>
        <v>10</v>
      </c>
      <c r="T433" s="34">
        <f t="shared" ref="T433" si="2322">(N433-N381)/N381</f>
        <v>-2.7139874739039668E-2</v>
      </c>
      <c r="U433" s="34">
        <f t="shared" ref="U433" si="2323">N433/P433</f>
        <v>0.1973739940703092</v>
      </c>
      <c r="V433" s="40">
        <f t="shared" ref="V433" si="2324">AVERAGE(B277,B329,B381)</f>
        <v>169.66666666666666</v>
      </c>
      <c r="W433" s="40">
        <f t="shared" ref="W433" si="2325">AVERAGE(F277,F329,F381)</f>
        <v>18</v>
      </c>
      <c r="X433" s="40">
        <f t="shared" ref="X433" si="2326">AVERAGE(J277,J329,J381)</f>
        <v>294</v>
      </c>
      <c r="Y433" s="40">
        <f t="shared" ref="Y433" si="2327">AVERAGE(N277,N329,N381)</f>
        <v>481.66666666666669</v>
      </c>
      <c r="Z433" s="61">
        <f t="shared" ref="Z433" si="2328">(N433-Y433)/Y433</f>
        <v>-3.2525951557093466E-2</v>
      </c>
      <c r="AA433" s="61"/>
    </row>
    <row r="434" spans="1:27" ht="16" thickBot="1" x14ac:dyDescent="0.4">
      <c r="A434" s="20">
        <f t="shared" si="2292"/>
        <v>41580</v>
      </c>
      <c r="B434" s="22">
        <v>134</v>
      </c>
      <c r="C434" s="22">
        <v>470</v>
      </c>
      <c r="D434" s="22">
        <v>49</v>
      </c>
      <c r="E434" s="22">
        <v>605</v>
      </c>
      <c r="F434" s="22">
        <v>30</v>
      </c>
      <c r="G434" s="22">
        <v>115</v>
      </c>
      <c r="H434" s="22">
        <v>8</v>
      </c>
      <c r="I434" s="22">
        <v>100</v>
      </c>
      <c r="J434" s="22">
        <v>285</v>
      </c>
      <c r="K434" s="22">
        <v>553</v>
      </c>
      <c r="L434" s="22">
        <v>158</v>
      </c>
      <c r="M434" s="22">
        <v>547</v>
      </c>
      <c r="N434" s="43">
        <f t="shared" si="2003"/>
        <v>449</v>
      </c>
      <c r="O434" s="22">
        <f t="shared" ref="O434" si="2329">SUM(B434,D434,F434,H434,J434,L434)</f>
        <v>664</v>
      </c>
      <c r="P434" s="22">
        <f t="shared" ref="P434" si="2330">SUM(C434,E434,G434,I434,K434,M434)</f>
        <v>2390</v>
      </c>
      <c r="Q434" s="22">
        <f t="shared" ref="Q434" si="2331">SUM(D434,H434,L434)</f>
        <v>215</v>
      </c>
      <c r="R434" s="34">
        <f t="shared" ref="R434" si="2332">(N434-N433)/N433</f>
        <v>-3.6480686695278972E-2</v>
      </c>
      <c r="S434" s="32">
        <f t="shared" ref="S434" si="2333">N434-N433</f>
        <v>-17</v>
      </c>
      <c r="T434" s="34">
        <f t="shared" ref="T434" si="2334">(N434-N382)/N382</f>
        <v>-0.15283018867924528</v>
      </c>
      <c r="U434" s="34">
        <f t="shared" ref="U434" si="2335">N434/P434</f>
        <v>0.18786610878661089</v>
      </c>
      <c r="V434" s="40">
        <f t="shared" ref="V434" si="2336">AVERAGE(B278,B330,B382)</f>
        <v>262.33333333333331</v>
      </c>
      <c r="W434" s="40">
        <f t="shared" ref="W434" si="2337">AVERAGE(F278,F330,F382)</f>
        <v>21.333333333333332</v>
      </c>
      <c r="X434" s="40">
        <f t="shared" ref="X434" si="2338">AVERAGE(J278,J330,J382)</f>
        <v>368.33333333333331</v>
      </c>
      <c r="Y434" s="40">
        <f t="shared" ref="Y434" si="2339">AVERAGE(N278,N330,N382)</f>
        <v>652</v>
      </c>
      <c r="Z434" s="61">
        <f t="shared" ref="Z434" si="2340">(N434-Y434)/Y434</f>
        <v>-0.31134969325153372</v>
      </c>
      <c r="AA434" s="61"/>
    </row>
    <row r="435" spans="1:27" ht="16" thickBot="1" x14ac:dyDescent="0.4">
      <c r="A435" s="20">
        <f t="shared" si="2292"/>
        <v>41587</v>
      </c>
      <c r="B435" s="22">
        <v>178</v>
      </c>
      <c r="C435" s="22">
        <v>422</v>
      </c>
      <c r="D435" s="22">
        <v>68</v>
      </c>
      <c r="E435" s="22">
        <v>614</v>
      </c>
      <c r="F435" s="22">
        <v>30</v>
      </c>
      <c r="G435" s="22">
        <v>84</v>
      </c>
      <c r="H435" s="22">
        <v>9</v>
      </c>
      <c r="I435" s="22">
        <v>53</v>
      </c>
      <c r="J435" s="22">
        <v>325</v>
      </c>
      <c r="K435" s="22">
        <v>659</v>
      </c>
      <c r="L435" s="22">
        <v>163</v>
      </c>
      <c r="M435" s="22">
        <v>703</v>
      </c>
      <c r="N435" s="43">
        <f t="shared" si="2003"/>
        <v>533</v>
      </c>
      <c r="O435" s="22">
        <f t="shared" ref="O435" si="2341">SUM(B435,D435,F435,H435,J435,L435)</f>
        <v>773</v>
      </c>
      <c r="P435" s="22">
        <f t="shared" ref="P435" si="2342">SUM(C435,E435,G435,I435,K435,M435)</f>
        <v>2535</v>
      </c>
      <c r="Q435" s="22">
        <f t="shared" ref="Q435" si="2343">SUM(D435,H435,L435)</f>
        <v>240</v>
      </c>
      <c r="R435" s="34">
        <f t="shared" ref="R435" si="2344">(N435-N434)/N434</f>
        <v>0.18708240534521159</v>
      </c>
      <c r="S435" s="32">
        <f t="shared" ref="S435" si="2345">N435-N434</f>
        <v>84</v>
      </c>
      <c r="T435" s="34">
        <f t="shared" ref="T435" si="2346">(N435-N383)/N383</f>
        <v>9.2213114754098366E-2</v>
      </c>
      <c r="U435" s="34">
        <f t="shared" ref="U435" si="2347">N435/P435</f>
        <v>0.21025641025641026</v>
      </c>
      <c r="V435" s="40">
        <f t="shared" ref="V435" si="2348">AVERAGE(B279,B331,B383)</f>
        <v>311.66666666666669</v>
      </c>
      <c r="W435" s="40">
        <f t="shared" ref="W435" si="2349">AVERAGE(F279,F331,F383)</f>
        <v>31.666666666666668</v>
      </c>
      <c r="X435" s="40">
        <f t="shared" ref="X435" si="2350">AVERAGE(J279,J331,J383)</f>
        <v>275</v>
      </c>
      <c r="Y435" s="40">
        <f t="shared" ref="Y435" si="2351">AVERAGE(N279,N331,N383)</f>
        <v>618.33333333333337</v>
      </c>
      <c r="Z435" s="61">
        <f t="shared" ref="Z435" si="2352">(N435-Y435)/Y435</f>
        <v>-0.13800539083557956</v>
      </c>
      <c r="AA435" s="61"/>
    </row>
    <row r="436" spans="1:27" ht="16" thickBot="1" x14ac:dyDescent="0.4">
      <c r="A436" s="20">
        <f t="shared" si="2292"/>
        <v>41594</v>
      </c>
      <c r="B436" s="22">
        <v>207</v>
      </c>
      <c r="C436" s="22">
        <v>449</v>
      </c>
      <c r="D436" s="22">
        <v>45</v>
      </c>
      <c r="E436" s="22">
        <v>515</v>
      </c>
      <c r="F436" s="22">
        <v>32</v>
      </c>
      <c r="G436" s="22">
        <v>93</v>
      </c>
      <c r="H436" s="22">
        <v>10</v>
      </c>
      <c r="I436" s="22">
        <v>109</v>
      </c>
      <c r="J436" s="22">
        <v>317</v>
      </c>
      <c r="K436" s="22">
        <v>701</v>
      </c>
      <c r="L436" s="22">
        <v>123</v>
      </c>
      <c r="M436" s="22">
        <v>691</v>
      </c>
      <c r="N436" s="43">
        <f t="shared" si="2003"/>
        <v>556</v>
      </c>
      <c r="O436" s="22">
        <f t="shared" ref="O436" si="2353">SUM(B436,D436,F436,H436,J436,L436)</f>
        <v>734</v>
      </c>
      <c r="P436" s="22">
        <f t="shared" ref="P436" si="2354">SUM(C436,E436,G436,I436,K436,M436)</f>
        <v>2558</v>
      </c>
      <c r="Q436" s="22">
        <f t="shared" ref="Q436" si="2355">SUM(D436,H436,L436)</f>
        <v>178</v>
      </c>
      <c r="R436" s="34">
        <f t="shared" ref="R436" si="2356">(N436-N435)/N435</f>
        <v>4.3151969981238276E-2</v>
      </c>
      <c r="S436" s="32">
        <f t="shared" ref="S436" si="2357">N436-N435</f>
        <v>23</v>
      </c>
      <c r="T436" s="34">
        <f t="shared" ref="T436" si="2358">(N436-N384)/N384</f>
        <v>-0.11182108626198083</v>
      </c>
      <c r="U436" s="34">
        <f t="shared" ref="U436" si="2359">N436/P436</f>
        <v>0.21735731039874903</v>
      </c>
      <c r="V436" s="40">
        <f t="shared" ref="V436" si="2360">AVERAGE(B280,B332,B384)</f>
        <v>274.66666666666669</v>
      </c>
      <c r="W436" s="40">
        <f t="shared" ref="W436" si="2361">AVERAGE(F280,F332,F384)</f>
        <v>34</v>
      </c>
      <c r="X436" s="40">
        <f t="shared" ref="X436" si="2362">AVERAGE(J280,J332,J384)</f>
        <v>344.33333333333331</v>
      </c>
      <c r="Y436" s="40">
        <f t="shared" ref="Y436" si="2363">AVERAGE(N280,N332,N384)</f>
        <v>653</v>
      </c>
      <c r="Z436" s="61">
        <f t="shared" ref="Z436" si="2364">(N436-Y436)/Y436</f>
        <v>-0.14854517611026033</v>
      </c>
      <c r="AA436" s="61"/>
    </row>
    <row r="437" spans="1:27" ht="16" thickBot="1" x14ac:dyDescent="0.4">
      <c r="A437" s="20">
        <f t="shared" si="2292"/>
        <v>41601</v>
      </c>
      <c r="B437" s="22">
        <v>269</v>
      </c>
      <c r="C437" s="22">
        <v>415</v>
      </c>
      <c r="D437" s="22">
        <v>58</v>
      </c>
      <c r="E437" s="22">
        <v>536</v>
      </c>
      <c r="F437" s="22">
        <v>28</v>
      </c>
      <c r="G437" s="22">
        <v>75</v>
      </c>
      <c r="H437" s="22">
        <v>6</v>
      </c>
      <c r="I437" s="22">
        <v>89</v>
      </c>
      <c r="J437" s="22">
        <v>423</v>
      </c>
      <c r="K437" s="22">
        <v>1031</v>
      </c>
      <c r="L437" s="22">
        <v>289</v>
      </c>
      <c r="M437" s="22">
        <v>1140</v>
      </c>
      <c r="N437" s="43">
        <f t="shared" si="2003"/>
        <v>720</v>
      </c>
      <c r="O437" s="22">
        <f t="shared" ref="O437" si="2365">SUM(B437,D437,F437,H437,J437,L437)</f>
        <v>1073</v>
      </c>
      <c r="P437" s="22">
        <f t="shared" ref="P437" si="2366">SUM(C437,E437,G437,I437,K437,M437)</f>
        <v>3286</v>
      </c>
      <c r="Q437" s="22">
        <f t="shared" ref="Q437" si="2367">SUM(D437,H437,L437)</f>
        <v>353</v>
      </c>
      <c r="R437" s="34">
        <f t="shared" ref="R437" si="2368">(N437-N436)/N436</f>
        <v>0.29496402877697842</v>
      </c>
      <c r="S437" s="32">
        <f t="shared" ref="S437" si="2369">N437-N436</f>
        <v>164</v>
      </c>
      <c r="T437" s="34">
        <f t="shared" ref="T437" si="2370">(N437-N385)/N385</f>
        <v>-1.2345679012345678E-2</v>
      </c>
      <c r="U437" s="34">
        <f t="shared" ref="U437" si="2371">N437/P437</f>
        <v>0.21911138161898966</v>
      </c>
      <c r="V437" s="40">
        <f t="shared" ref="V437" si="2372">AVERAGE(B281,B333,B385)</f>
        <v>359</v>
      </c>
      <c r="W437" s="40">
        <f t="shared" ref="W437" si="2373">AVERAGE(F281,F333,F385)</f>
        <v>23</v>
      </c>
      <c r="X437" s="40">
        <f t="shared" ref="X437" si="2374">AVERAGE(J281,J333,J385)</f>
        <v>344.66666666666669</v>
      </c>
      <c r="Y437" s="40">
        <f t="shared" ref="Y437" si="2375">AVERAGE(N281,N333,N385)</f>
        <v>726.66666666666663</v>
      </c>
      <c r="Z437" s="61">
        <f t="shared" ref="Z437" si="2376">(N437-Y437)/Y437</f>
        <v>-9.1743119266054531E-3</v>
      </c>
      <c r="AA437" s="61"/>
    </row>
    <row r="438" spans="1:27" ht="16" thickBot="1" x14ac:dyDescent="0.4">
      <c r="A438" s="20">
        <f t="shared" si="2292"/>
        <v>41608</v>
      </c>
      <c r="B438" s="22">
        <v>303</v>
      </c>
      <c r="C438" s="22">
        <v>420</v>
      </c>
      <c r="D438" s="22">
        <v>66</v>
      </c>
      <c r="E438" s="22">
        <v>606</v>
      </c>
      <c r="F438" s="22">
        <v>47</v>
      </c>
      <c r="G438" s="22">
        <v>103</v>
      </c>
      <c r="H438" s="22">
        <v>5</v>
      </c>
      <c r="I438" s="22">
        <v>92</v>
      </c>
      <c r="J438" s="22">
        <v>293</v>
      </c>
      <c r="K438" s="22">
        <v>623</v>
      </c>
      <c r="L438" s="22">
        <v>170</v>
      </c>
      <c r="M438" s="22">
        <v>670</v>
      </c>
      <c r="N438" s="43">
        <f t="shared" si="2003"/>
        <v>643</v>
      </c>
      <c r="O438" s="22">
        <f t="shared" ref="O438" si="2377">SUM(B438,D438,F438,H438,J438,L438)</f>
        <v>884</v>
      </c>
      <c r="P438" s="22">
        <f t="shared" ref="P438" si="2378">SUM(C438,E438,G438,I438,K438,M438)</f>
        <v>2514</v>
      </c>
      <c r="Q438" s="22">
        <f t="shared" ref="Q438" si="2379">SUM(D438,H438,L438)</f>
        <v>241</v>
      </c>
      <c r="R438" s="34">
        <f t="shared" ref="R438" si="2380">(N438-N437)/N437</f>
        <v>-0.10694444444444444</v>
      </c>
      <c r="S438" s="32">
        <f t="shared" ref="S438" si="2381">N438-N437</f>
        <v>-77</v>
      </c>
      <c r="T438" s="34">
        <f t="shared" ref="T438" si="2382">(N438-N386)/N386</f>
        <v>0.10481099656357389</v>
      </c>
      <c r="U438" s="34">
        <f t="shared" ref="U438" si="2383">N438/P438</f>
        <v>0.25576770087509942</v>
      </c>
      <c r="V438" s="40">
        <f t="shared" ref="V438" si="2384">AVERAGE(B282,B334,B386)</f>
        <v>353.33333333333331</v>
      </c>
      <c r="W438" s="40">
        <f t="shared" ref="W438" si="2385">AVERAGE(F282,F334,F386)</f>
        <v>21.666666666666668</v>
      </c>
      <c r="X438" s="40">
        <f t="shared" ref="X438" si="2386">AVERAGE(J282,J334,J386)</f>
        <v>324.66666666666669</v>
      </c>
      <c r="Y438" s="40">
        <f t="shared" ref="Y438" si="2387">AVERAGE(N282,N334,N386)</f>
        <v>699.66666666666663</v>
      </c>
      <c r="Z438" s="61">
        <f t="shared" ref="Z438" si="2388">(N438-Y438)/Y438</f>
        <v>-8.0990948070509716E-2</v>
      </c>
      <c r="AA438" s="61"/>
    </row>
    <row r="439" spans="1:27" ht="16" thickBot="1" x14ac:dyDescent="0.4">
      <c r="A439" s="20">
        <f t="shared" si="2292"/>
        <v>41615</v>
      </c>
      <c r="B439" s="22">
        <v>263</v>
      </c>
      <c r="C439" s="22">
        <v>387</v>
      </c>
      <c r="D439" s="22">
        <v>62</v>
      </c>
      <c r="E439" s="22">
        <v>679</v>
      </c>
      <c r="F439" s="22">
        <v>10</v>
      </c>
      <c r="G439" s="22">
        <v>37</v>
      </c>
      <c r="H439" s="22">
        <v>14</v>
      </c>
      <c r="I439" s="22">
        <v>66</v>
      </c>
      <c r="J439" s="22">
        <v>350</v>
      </c>
      <c r="K439" s="22">
        <v>689</v>
      </c>
      <c r="L439" s="22">
        <v>216</v>
      </c>
      <c r="M439" s="22">
        <v>609</v>
      </c>
      <c r="N439" s="43">
        <f t="shared" ref="N439" si="2389">SUM(B439,F439,J439)</f>
        <v>623</v>
      </c>
      <c r="O439" s="22">
        <f t="shared" ref="O439" si="2390">SUM(B439,D439,F439,H439,J439,L439)</f>
        <v>915</v>
      </c>
      <c r="P439" s="22">
        <f t="shared" ref="P439" si="2391">SUM(C439,E439,G439,I439,K439,M439)</f>
        <v>2467</v>
      </c>
      <c r="Q439" s="22">
        <f t="shared" ref="Q439" si="2392">SUM(D439,H439,L439)</f>
        <v>292</v>
      </c>
      <c r="R439" s="34">
        <f t="shared" ref="R439" si="2393">(N439-N438)/N438</f>
        <v>-3.110419906687403E-2</v>
      </c>
      <c r="S439" s="32">
        <f t="shared" ref="S439" si="2394">N439-N438</f>
        <v>-20</v>
      </c>
      <c r="T439" s="34">
        <f t="shared" ref="T439" si="2395">(N439-N387)/N387</f>
        <v>-1.6025641025641025E-3</v>
      </c>
      <c r="U439" s="34">
        <f t="shared" ref="U439" si="2396">N439/P439</f>
        <v>0.2525334414268342</v>
      </c>
      <c r="V439" s="40">
        <f t="shared" ref="V439" si="2397">AVERAGE(B283,B335,B387)</f>
        <v>328.66666666666669</v>
      </c>
      <c r="W439" s="40">
        <f t="shared" ref="W439" si="2398">AVERAGE(F283,F335,F387)</f>
        <v>17.666666666666668</v>
      </c>
      <c r="X439" s="40">
        <f t="shared" ref="X439" si="2399">AVERAGE(J283,J335,J387)</f>
        <v>353.66666666666669</v>
      </c>
      <c r="Y439" s="40">
        <f t="shared" ref="Y439" si="2400">AVERAGE(N283,N335,N387)</f>
        <v>700</v>
      </c>
      <c r="Z439" s="61">
        <f t="shared" ref="Z439" si="2401">(N439-Y439)/Y439</f>
        <v>-0.11</v>
      </c>
      <c r="AA439" s="61"/>
    </row>
    <row r="440" spans="1:27" ht="16" thickBot="1" x14ac:dyDescent="0.4">
      <c r="A440" s="20">
        <f t="shared" si="2292"/>
        <v>41622</v>
      </c>
      <c r="B440" s="22">
        <v>318</v>
      </c>
      <c r="C440" s="22">
        <v>442</v>
      </c>
      <c r="D440" s="22">
        <v>32</v>
      </c>
      <c r="E440" s="22">
        <v>559</v>
      </c>
      <c r="F440" s="22">
        <v>17</v>
      </c>
      <c r="G440" s="22">
        <v>82</v>
      </c>
      <c r="H440" s="22">
        <v>13</v>
      </c>
      <c r="I440" s="22">
        <v>86</v>
      </c>
      <c r="J440" s="22">
        <v>311</v>
      </c>
      <c r="K440" s="22">
        <v>751</v>
      </c>
      <c r="L440" s="22">
        <v>181</v>
      </c>
      <c r="M440" s="22">
        <v>662</v>
      </c>
      <c r="N440" s="43">
        <f t="shared" ref="N440:N452" si="2402">SUM(B440,F440,J440)</f>
        <v>646</v>
      </c>
      <c r="O440" s="22">
        <f t="shared" ref="O440" si="2403">SUM(B440,D440,F440,H440,J440,L440)</f>
        <v>872</v>
      </c>
      <c r="P440" s="22">
        <f t="shared" ref="P440" si="2404">SUM(C440,E440,G440,I440,K440,M440)</f>
        <v>2582</v>
      </c>
      <c r="Q440" s="22">
        <f t="shared" ref="Q440" si="2405">SUM(D440,H440,L440)</f>
        <v>226</v>
      </c>
      <c r="R440" s="34">
        <f t="shared" ref="R440" si="2406">(N440-N439)/N439</f>
        <v>3.691813804173355E-2</v>
      </c>
      <c r="S440" s="32">
        <f t="shared" ref="S440" si="2407">N440-N439</f>
        <v>23</v>
      </c>
      <c r="T440" s="34">
        <f t="shared" ref="T440" si="2408">(N440-N388)/N388</f>
        <v>-4.0118870728083213E-2</v>
      </c>
      <c r="U440" s="34">
        <f t="shared" ref="U440" si="2409">N440/P440</f>
        <v>0.25019364833462432</v>
      </c>
      <c r="V440" s="40">
        <f t="shared" ref="V440" si="2410">AVERAGE(B284,B336,B388)</f>
        <v>227.33333333333334</v>
      </c>
      <c r="W440" s="40">
        <f t="shared" ref="W440" si="2411">AVERAGE(F284,F336,F388)</f>
        <v>19.666666666666668</v>
      </c>
      <c r="X440" s="40">
        <f t="shared" ref="X440" si="2412">AVERAGE(J284,J336,J388)</f>
        <v>398</v>
      </c>
      <c r="Y440" s="40">
        <f t="shared" ref="Y440" si="2413">AVERAGE(N284,N336,N388)</f>
        <v>645</v>
      </c>
      <c r="Z440" s="61">
        <f t="shared" ref="Z440" si="2414">(N440-Y440)/Y440</f>
        <v>1.5503875968992248E-3</v>
      </c>
      <c r="AA440" s="61"/>
    </row>
    <row r="441" spans="1:27" ht="16" thickBot="1" x14ac:dyDescent="0.4">
      <c r="A441" s="20">
        <f t="shared" si="2292"/>
        <v>41629</v>
      </c>
      <c r="B441" s="22">
        <v>334</v>
      </c>
      <c r="C441" s="22">
        <v>431</v>
      </c>
      <c r="D441" s="22">
        <v>45</v>
      </c>
      <c r="E441" s="22">
        <v>514</v>
      </c>
      <c r="F441" s="22">
        <v>34</v>
      </c>
      <c r="G441" s="22">
        <v>89</v>
      </c>
      <c r="H441" s="22">
        <v>2</v>
      </c>
      <c r="I441" s="22">
        <v>61</v>
      </c>
      <c r="J441" s="22">
        <v>272</v>
      </c>
      <c r="K441" s="22">
        <v>636</v>
      </c>
      <c r="L441" s="22">
        <v>197</v>
      </c>
      <c r="M441" s="22">
        <v>681</v>
      </c>
      <c r="N441" s="43">
        <f t="shared" si="2402"/>
        <v>640</v>
      </c>
      <c r="O441" s="22">
        <f t="shared" ref="O441" si="2415">SUM(B441,D441,F441,H441,J441,L441)</f>
        <v>884</v>
      </c>
      <c r="P441" s="22">
        <f t="shared" ref="P441" si="2416">SUM(C441,E441,G441,I441,K441,M441)</f>
        <v>2412</v>
      </c>
      <c r="Q441" s="22">
        <f t="shared" ref="Q441" si="2417">SUM(D441,H441,L441)</f>
        <v>244</v>
      </c>
      <c r="R441" s="34">
        <f t="shared" ref="R441" si="2418">(N441-N440)/N440</f>
        <v>-9.2879256965944269E-3</v>
      </c>
      <c r="S441" s="32">
        <f t="shared" ref="S441" si="2419">N441-N440</f>
        <v>-6</v>
      </c>
      <c r="T441" s="34">
        <f t="shared" ref="T441" si="2420">(N441-N389)/N389</f>
        <v>-3.1152647975077881E-3</v>
      </c>
      <c r="U441" s="34">
        <f t="shared" ref="U441" si="2421">N441/P441</f>
        <v>0.26533996683250416</v>
      </c>
      <c r="V441" s="40">
        <f t="shared" ref="V441" si="2422">AVERAGE(B285,B337,B389)</f>
        <v>216</v>
      </c>
      <c r="W441" s="40">
        <f t="shared" ref="W441" si="2423">AVERAGE(F285,F337,F389)</f>
        <v>25.333333333333332</v>
      </c>
      <c r="X441" s="40">
        <f t="shared" ref="X441" si="2424">AVERAGE(J285,J337,J389)</f>
        <v>425.66666666666669</v>
      </c>
      <c r="Y441" s="40">
        <f t="shared" ref="Y441" si="2425">AVERAGE(N285,N337,N389)</f>
        <v>667</v>
      </c>
      <c r="Z441" s="61">
        <f t="shared" ref="Z441" si="2426">(N441-Y441)/Y441</f>
        <v>-4.0479760119940027E-2</v>
      </c>
      <c r="AA441" s="61"/>
    </row>
    <row r="442" spans="1:27" ht="16" thickBot="1" x14ac:dyDescent="0.4">
      <c r="A442" s="20">
        <f t="shared" si="2292"/>
        <v>41636</v>
      </c>
      <c r="B442" s="22">
        <v>382</v>
      </c>
      <c r="C442" s="22">
        <v>506</v>
      </c>
      <c r="D442" s="22">
        <v>27</v>
      </c>
      <c r="E442" s="22">
        <v>412</v>
      </c>
      <c r="F442" s="22">
        <v>21</v>
      </c>
      <c r="G442" s="22">
        <v>72</v>
      </c>
      <c r="H442" s="22">
        <v>4</v>
      </c>
      <c r="I442" s="22">
        <v>81</v>
      </c>
      <c r="J442" s="22">
        <v>358</v>
      </c>
      <c r="K442" s="22">
        <v>691</v>
      </c>
      <c r="L442" s="22">
        <v>215</v>
      </c>
      <c r="M442" s="22">
        <v>746</v>
      </c>
      <c r="N442" s="43">
        <f t="shared" si="2402"/>
        <v>761</v>
      </c>
      <c r="O442" s="22">
        <f t="shared" ref="O442" si="2427">SUM(B442,D442,F442,H442,J442,L442)</f>
        <v>1007</v>
      </c>
      <c r="P442" s="22">
        <f t="shared" ref="P442" si="2428">SUM(C442,E442,G442,I442,K442,M442)</f>
        <v>2508</v>
      </c>
      <c r="Q442" s="22">
        <f t="shared" ref="Q442" si="2429">SUM(D442,H442,L442)</f>
        <v>246</v>
      </c>
      <c r="R442" s="34">
        <f t="shared" ref="R442" si="2430">(N442-N441)/N441</f>
        <v>0.18906249999999999</v>
      </c>
      <c r="S442" s="32">
        <f t="shared" ref="S442" si="2431">N442-N441</f>
        <v>121</v>
      </c>
      <c r="T442" s="34">
        <f t="shared" ref="T442" si="2432">(N442-N390)/N390</f>
        <v>0.18167701863354038</v>
      </c>
      <c r="U442" s="34">
        <f t="shared" ref="U442" si="2433">N442/P442</f>
        <v>0.30342902711323766</v>
      </c>
      <c r="V442" s="40">
        <f t="shared" ref="V442" si="2434">AVERAGE(B286,B338,B390)</f>
        <v>225.33333333333334</v>
      </c>
      <c r="W442" s="40">
        <f t="shared" ref="W442" si="2435">AVERAGE(F286,F338,F390)</f>
        <v>21</v>
      </c>
      <c r="X442" s="40">
        <f t="shared" ref="X442" si="2436">AVERAGE(J286,J338,J390)</f>
        <v>307.66666666666669</v>
      </c>
      <c r="Y442" s="40">
        <f t="shared" ref="Y442" si="2437">AVERAGE(N286,N338,N390)</f>
        <v>554</v>
      </c>
      <c r="Z442" s="61">
        <f t="shared" ref="Z442" si="2438">(N442-Y442)/Y442</f>
        <v>0.37364620938628157</v>
      </c>
      <c r="AA442" s="61"/>
    </row>
    <row r="443" spans="1:27" ht="16" thickBot="1" x14ac:dyDescent="0.4">
      <c r="A443" s="20">
        <f t="shared" si="2292"/>
        <v>41643</v>
      </c>
      <c r="B443" s="22">
        <v>267</v>
      </c>
      <c r="C443" s="22">
        <v>382</v>
      </c>
      <c r="D443" s="22">
        <v>30</v>
      </c>
      <c r="E443" s="22">
        <v>385</v>
      </c>
      <c r="F443" s="22">
        <v>30</v>
      </c>
      <c r="G443" s="22">
        <v>80</v>
      </c>
      <c r="H443" s="22">
        <v>9</v>
      </c>
      <c r="I443" s="22">
        <v>65</v>
      </c>
      <c r="J443" s="22">
        <v>279</v>
      </c>
      <c r="K443" s="22">
        <v>702</v>
      </c>
      <c r="L443" s="22">
        <v>259</v>
      </c>
      <c r="M443" s="22">
        <v>604</v>
      </c>
      <c r="N443" s="43">
        <f t="shared" si="2402"/>
        <v>576</v>
      </c>
      <c r="O443" s="22">
        <f t="shared" ref="O443" si="2439">SUM(B443,D443,F443,H443,J443,L443)</f>
        <v>874</v>
      </c>
      <c r="P443" s="22">
        <f t="shared" ref="P443" si="2440">SUM(C443,E443,G443,I443,K443,M443)</f>
        <v>2218</v>
      </c>
      <c r="Q443" s="22">
        <f t="shared" ref="Q443" si="2441">SUM(D443,H443,L443)</f>
        <v>298</v>
      </c>
      <c r="R443" s="34">
        <f t="shared" ref="R443" si="2442">(N443-N442)/N442</f>
        <v>-0.24310118265440211</v>
      </c>
      <c r="S443" s="32">
        <f t="shared" ref="S443" si="2443">N443-N442</f>
        <v>-185</v>
      </c>
      <c r="T443" s="34">
        <f t="shared" ref="T443" si="2444">(N443-N391)/N391</f>
        <v>-0.25485122897800777</v>
      </c>
      <c r="U443" s="34">
        <f t="shared" ref="U443" si="2445">N443/P443</f>
        <v>0.25969341749323716</v>
      </c>
      <c r="V443" s="40">
        <f t="shared" ref="V443" si="2446">AVERAGE(B287,B339,B391)</f>
        <v>200</v>
      </c>
      <c r="W443" s="40">
        <f t="shared" ref="W443" si="2447">AVERAGE(F287,F339,F391)</f>
        <v>35.333333333333336</v>
      </c>
      <c r="X443" s="40">
        <f t="shared" ref="X443" si="2448">AVERAGE(J287,J339,J391)</f>
        <v>437</v>
      </c>
      <c r="Y443" s="40">
        <f t="shared" ref="Y443" si="2449">AVERAGE(N287,N339,N391)</f>
        <v>672.33333333333337</v>
      </c>
      <c r="Z443" s="61">
        <f t="shared" ref="Z443" si="2450">(N443-Y443)/Y443</f>
        <v>-0.14328210213187909</v>
      </c>
      <c r="AA443" s="61"/>
    </row>
    <row r="444" spans="1:27" ht="16" thickBot="1" x14ac:dyDescent="0.4">
      <c r="A444" s="20">
        <f t="shared" si="2292"/>
        <v>41650</v>
      </c>
      <c r="B444" s="22">
        <v>120</v>
      </c>
      <c r="C444" s="22">
        <v>188</v>
      </c>
      <c r="D444" s="22">
        <v>9</v>
      </c>
      <c r="E444" s="22">
        <v>214</v>
      </c>
      <c r="F444" s="22">
        <v>31</v>
      </c>
      <c r="G444" s="22">
        <v>81</v>
      </c>
      <c r="H444" s="22">
        <v>5</v>
      </c>
      <c r="I444" s="22">
        <v>38</v>
      </c>
      <c r="J444" s="22">
        <v>466</v>
      </c>
      <c r="K444" s="22">
        <v>878</v>
      </c>
      <c r="L444" s="22">
        <v>240</v>
      </c>
      <c r="M444" s="22">
        <v>646</v>
      </c>
      <c r="N444" s="43">
        <f t="shared" si="2402"/>
        <v>617</v>
      </c>
      <c r="O444" s="22">
        <f t="shared" ref="O444" si="2451">SUM(B444,D444,F444,H444,J444,L444)</f>
        <v>871</v>
      </c>
      <c r="P444" s="22">
        <f t="shared" ref="P444" si="2452">SUM(C444,E444,G444,I444,K444,M444)</f>
        <v>2045</v>
      </c>
      <c r="Q444" s="22">
        <f t="shared" ref="Q444" si="2453">SUM(D444,H444,L444)</f>
        <v>254</v>
      </c>
      <c r="R444" s="34">
        <f t="shared" ref="R444" si="2454">(N444-N443)/N443</f>
        <v>7.1180555555555552E-2</v>
      </c>
      <c r="S444" s="32">
        <f t="shared" ref="S444" si="2455">N444-N443</f>
        <v>41</v>
      </c>
      <c r="T444" s="34">
        <f t="shared" ref="T444" si="2456">(N444-N392)/N392</f>
        <v>0</v>
      </c>
      <c r="U444" s="34">
        <f t="shared" ref="U444" si="2457">N444/P444</f>
        <v>0.30171149144254278</v>
      </c>
      <c r="V444" s="40">
        <f t="shared" ref="V444" si="2458">AVERAGE(B288,B340,B392)</f>
        <v>208.33333333333334</v>
      </c>
      <c r="W444" s="40">
        <f t="shared" ref="W444" si="2459">AVERAGE(F288,F340,F392)</f>
        <v>19.666666666666668</v>
      </c>
      <c r="X444" s="40">
        <f t="shared" ref="X444" si="2460">AVERAGE(J288,J340,J392)</f>
        <v>342.66666666666669</v>
      </c>
      <c r="Y444" s="40">
        <f t="shared" ref="Y444" si="2461">AVERAGE(N288,N340,N392)</f>
        <v>570.66666666666663</v>
      </c>
      <c r="Z444" s="61">
        <f t="shared" ref="Z444" si="2462">(N444-Y444)/Y444</f>
        <v>8.11915887850468E-2</v>
      </c>
      <c r="AA444" s="61"/>
    </row>
    <row r="445" spans="1:27" ht="16" thickBot="1" x14ac:dyDescent="0.4">
      <c r="A445" s="20">
        <f t="shared" si="2292"/>
        <v>41657</v>
      </c>
      <c r="B445" s="22">
        <v>276</v>
      </c>
      <c r="C445" s="22">
        <v>373</v>
      </c>
      <c r="D445" s="22">
        <v>14</v>
      </c>
      <c r="E445" s="22">
        <v>229</v>
      </c>
      <c r="F445" s="22">
        <v>41</v>
      </c>
      <c r="G445" s="22">
        <v>92</v>
      </c>
      <c r="H445" s="22">
        <v>10</v>
      </c>
      <c r="I445" s="22">
        <v>74</v>
      </c>
      <c r="J445" s="22">
        <v>291</v>
      </c>
      <c r="K445" s="22">
        <v>692</v>
      </c>
      <c r="L445" s="22">
        <v>240</v>
      </c>
      <c r="M445" s="22">
        <v>786</v>
      </c>
      <c r="N445" s="43">
        <f t="shared" si="2402"/>
        <v>608</v>
      </c>
      <c r="O445" s="22">
        <f t="shared" ref="O445" si="2463">SUM(B445,D445,F445,H445,J445,L445)</f>
        <v>872</v>
      </c>
      <c r="P445" s="22">
        <f t="shared" ref="P445" si="2464">SUM(C445,E445,G445,I445,K445,M445)</f>
        <v>2246</v>
      </c>
      <c r="Q445" s="22">
        <f t="shared" ref="Q445" si="2465">SUM(D445,H445,L445)</f>
        <v>264</v>
      </c>
      <c r="R445" s="34">
        <f t="shared" ref="R445" si="2466">(N445-N444)/N444</f>
        <v>-1.4586709886547812E-2</v>
      </c>
      <c r="S445" s="32">
        <f t="shared" ref="S445" si="2467">N445-N444</f>
        <v>-9</v>
      </c>
      <c r="T445" s="34">
        <f t="shared" ref="T445" si="2468">(N445-N393)/N393</f>
        <v>0.22828282828282828</v>
      </c>
      <c r="U445" s="34">
        <f t="shared" ref="U445" si="2469">N445/P445</f>
        <v>0.27070347284060553</v>
      </c>
      <c r="V445" s="40">
        <f t="shared" ref="V445" si="2470">AVERAGE(B289,B341,B393)</f>
        <v>192.33333333333334</v>
      </c>
      <c r="W445" s="40">
        <f t="shared" ref="W445" si="2471">AVERAGE(F289,F341,F393)</f>
        <v>25.333333333333332</v>
      </c>
      <c r="X445" s="40">
        <f t="shared" ref="X445" si="2472">AVERAGE(J289,J341,J393)</f>
        <v>337.33333333333331</v>
      </c>
      <c r="Y445" s="40">
        <f t="shared" ref="Y445" si="2473">AVERAGE(N289,N341,N393)</f>
        <v>555</v>
      </c>
      <c r="Z445" s="61">
        <f t="shared" ref="Z445" si="2474">(N445-Y445)/Y445</f>
        <v>9.5495495495495492E-2</v>
      </c>
      <c r="AA445" s="61"/>
    </row>
    <row r="446" spans="1:27" ht="16" thickBot="1" x14ac:dyDescent="0.4">
      <c r="A446" s="20">
        <f t="shared" si="2292"/>
        <v>41664</v>
      </c>
      <c r="B446" s="22">
        <v>167</v>
      </c>
      <c r="C446" s="22">
        <v>218</v>
      </c>
      <c r="D446" s="22">
        <v>21</v>
      </c>
      <c r="E446" s="22">
        <v>345</v>
      </c>
      <c r="F446" s="22">
        <v>11</v>
      </c>
      <c r="G446" s="22">
        <v>42</v>
      </c>
      <c r="H446" s="22">
        <v>6</v>
      </c>
      <c r="I446" s="22">
        <v>67</v>
      </c>
      <c r="J446" s="22">
        <v>333</v>
      </c>
      <c r="K446" s="22">
        <v>730</v>
      </c>
      <c r="L446" s="22">
        <v>247</v>
      </c>
      <c r="M446" s="22">
        <v>808</v>
      </c>
      <c r="N446" s="43">
        <f t="shared" si="2402"/>
        <v>511</v>
      </c>
      <c r="O446" s="22">
        <f t="shared" ref="O446" si="2475">SUM(B446,D446,F446,H446,J446,L446)</f>
        <v>785</v>
      </c>
      <c r="P446" s="22">
        <f t="shared" ref="P446" si="2476">SUM(C446,E446,G446,I446,K446,M446)</f>
        <v>2210</v>
      </c>
      <c r="Q446" s="22">
        <f t="shared" ref="Q446" si="2477">SUM(D446,H446,L446)</f>
        <v>274</v>
      </c>
      <c r="R446" s="34">
        <f t="shared" ref="R446" si="2478">(N446-N445)/N445</f>
        <v>-0.15953947368421054</v>
      </c>
      <c r="S446" s="32">
        <f t="shared" ref="S446" si="2479">N446-N445</f>
        <v>-97</v>
      </c>
      <c r="T446" s="34">
        <f t="shared" ref="T446" si="2480">(N446-N394)/N394</f>
        <v>7.3529411764705885E-2</v>
      </c>
      <c r="U446" s="34">
        <f t="shared" ref="U446" si="2481">N446/P446</f>
        <v>0.23122171945701359</v>
      </c>
      <c r="V446" s="40">
        <f t="shared" ref="V446" si="2482">AVERAGE(B290,B342,B394)</f>
        <v>215.33333333333334</v>
      </c>
      <c r="W446" s="40">
        <f t="shared" ref="W446" si="2483">AVERAGE(F290,F342,F394)</f>
        <v>26.333333333333332</v>
      </c>
      <c r="X446" s="40">
        <f t="shared" ref="X446" si="2484">AVERAGE(J290,J342,J394)</f>
        <v>239</v>
      </c>
      <c r="Y446" s="40">
        <f t="shared" ref="Y446" si="2485">AVERAGE(N290,N342,N394)</f>
        <v>480.66666666666669</v>
      </c>
      <c r="Z446" s="61">
        <f t="shared" ref="Z446" si="2486">(N446-Y446)/Y446</f>
        <v>6.3106796116504812E-2</v>
      </c>
      <c r="AA446" s="61"/>
    </row>
    <row r="447" spans="1:27" ht="16" thickBot="1" x14ac:dyDescent="0.4">
      <c r="A447" s="20">
        <f t="shared" si="2292"/>
        <v>41671</v>
      </c>
      <c r="B447" s="22">
        <v>117</v>
      </c>
      <c r="C447" s="22">
        <v>199</v>
      </c>
      <c r="D447" s="22">
        <v>37</v>
      </c>
      <c r="E447" s="22">
        <v>353</v>
      </c>
      <c r="F447" s="22">
        <v>22</v>
      </c>
      <c r="G447" s="22">
        <v>57</v>
      </c>
      <c r="H447" s="22">
        <v>7</v>
      </c>
      <c r="I447" s="22">
        <v>60</v>
      </c>
      <c r="J447" s="22">
        <v>403</v>
      </c>
      <c r="K447" s="22">
        <v>805</v>
      </c>
      <c r="L447" s="22">
        <v>198</v>
      </c>
      <c r="M447" s="22">
        <v>640</v>
      </c>
      <c r="N447" s="43">
        <f t="shared" si="2402"/>
        <v>542</v>
      </c>
      <c r="O447" s="22">
        <f t="shared" ref="O447" si="2487">SUM(B447,D447,F447,H447,J447,L447)</f>
        <v>784</v>
      </c>
      <c r="P447" s="22">
        <f t="shared" ref="P447" si="2488">SUM(C447,E447,G447,I447,K447,M447)</f>
        <v>2114</v>
      </c>
      <c r="Q447" s="22">
        <f t="shared" ref="Q447" si="2489">SUM(D447,H447,L447)</f>
        <v>242</v>
      </c>
      <c r="R447" s="34">
        <f t="shared" ref="R447" si="2490">(N447-N446)/N446</f>
        <v>6.0665362035225046E-2</v>
      </c>
      <c r="S447" s="32">
        <f t="shared" ref="S447" si="2491">N447-N446</f>
        <v>31</v>
      </c>
      <c r="T447" s="34">
        <f t="shared" ref="T447" si="2492">(N447-N395)/N395</f>
        <v>0.11065573770491803</v>
      </c>
      <c r="U447" s="34">
        <f t="shared" ref="U447" si="2493">N447/P447</f>
        <v>0.2563859981078524</v>
      </c>
      <c r="V447" s="40">
        <f t="shared" ref="V447" si="2494">AVERAGE(B291,B343,B395)</f>
        <v>208.66666666666666</v>
      </c>
      <c r="W447" s="40">
        <f t="shared" ref="W447" si="2495">AVERAGE(F291,F343,F395)</f>
        <v>29</v>
      </c>
      <c r="X447" s="40">
        <f t="shared" ref="X447" si="2496">AVERAGE(J291,J343,J395)</f>
        <v>300.66666666666669</v>
      </c>
      <c r="Y447" s="40">
        <f t="shared" ref="Y447" si="2497">AVERAGE(N291,N343,N395)</f>
        <v>538.33333333333337</v>
      </c>
      <c r="Z447" s="61">
        <f t="shared" ref="Z447" si="2498">(N447-Y447)/Y447</f>
        <v>6.8111455108358426E-3</v>
      </c>
      <c r="AA447" s="61"/>
    </row>
    <row r="448" spans="1:27" ht="16" thickBot="1" x14ac:dyDescent="0.4">
      <c r="A448" s="20">
        <f t="shared" si="2292"/>
        <v>41678</v>
      </c>
      <c r="B448" s="22">
        <v>120</v>
      </c>
      <c r="C448" s="22">
        <v>195</v>
      </c>
      <c r="D448" s="22">
        <v>24</v>
      </c>
      <c r="E448" s="22">
        <v>156</v>
      </c>
      <c r="F448" s="22">
        <v>11</v>
      </c>
      <c r="G448" s="22">
        <v>49</v>
      </c>
      <c r="H448" s="22">
        <v>14</v>
      </c>
      <c r="I448" s="22">
        <v>109</v>
      </c>
      <c r="J448" s="22">
        <v>389</v>
      </c>
      <c r="K448" s="22">
        <v>758</v>
      </c>
      <c r="L448" s="22">
        <v>212</v>
      </c>
      <c r="M448" s="22">
        <v>806</v>
      </c>
      <c r="N448" s="43">
        <f t="shared" si="2402"/>
        <v>520</v>
      </c>
      <c r="O448" s="22">
        <f t="shared" ref="O448" si="2499">SUM(B448,D448,F448,H448,J448,L448)</f>
        <v>770</v>
      </c>
      <c r="P448" s="22">
        <f t="shared" ref="P448" si="2500">SUM(C448,E448,G448,I448,K448,M448)</f>
        <v>2073</v>
      </c>
      <c r="Q448" s="22">
        <f t="shared" ref="Q448" si="2501">SUM(D448,H448,L448)</f>
        <v>250</v>
      </c>
      <c r="R448" s="34">
        <f t="shared" ref="R448" si="2502">(N448-N447)/N447</f>
        <v>-4.0590405904059039E-2</v>
      </c>
      <c r="S448" s="32">
        <f t="shared" ref="S448" si="2503">N448-N447</f>
        <v>-22</v>
      </c>
      <c r="T448" s="34">
        <f t="shared" ref="T448" si="2504">(N448-N396)/N396</f>
        <v>-7.4733096085409248E-2</v>
      </c>
      <c r="U448" s="34">
        <f t="shared" ref="U448" si="2505">N448/P448</f>
        <v>0.25084418716835505</v>
      </c>
      <c r="V448" s="40">
        <f t="shared" ref="V448" si="2506">AVERAGE(B292,B344,B396)</f>
        <v>209</v>
      </c>
      <c r="W448" s="40">
        <f t="shared" ref="W448" si="2507">AVERAGE(F292,F344,F396)</f>
        <v>25.666666666666668</v>
      </c>
      <c r="X448" s="40">
        <f t="shared" ref="X448" si="2508">AVERAGE(J292,J344,J396)</f>
        <v>278</v>
      </c>
      <c r="Y448" s="40">
        <f t="shared" ref="Y448" si="2509">AVERAGE(N292,N344,N396)</f>
        <v>512.66666666666663</v>
      </c>
      <c r="Z448" s="61">
        <f t="shared" ref="Z448" si="2510">(N448-Y448)/Y448</f>
        <v>1.430429128738629E-2</v>
      </c>
      <c r="AA448" s="61"/>
    </row>
    <row r="449" spans="1:27" ht="16" thickBot="1" x14ac:dyDescent="0.4">
      <c r="A449" s="20">
        <f t="shared" si="2292"/>
        <v>41685</v>
      </c>
      <c r="B449" s="22">
        <v>134</v>
      </c>
      <c r="C449" s="22">
        <v>203</v>
      </c>
      <c r="D449" s="22">
        <v>25</v>
      </c>
      <c r="E449" s="22">
        <v>218</v>
      </c>
      <c r="F449" s="22">
        <v>40</v>
      </c>
      <c r="G449" s="22">
        <v>102</v>
      </c>
      <c r="H449" s="22">
        <v>7</v>
      </c>
      <c r="I449" s="22">
        <v>66</v>
      </c>
      <c r="J449" s="22">
        <v>205</v>
      </c>
      <c r="K449" s="22">
        <v>591</v>
      </c>
      <c r="L449" s="22">
        <v>266</v>
      </c>
      <c r="M449" s="22">
        <v>802</v>
      </c>
      <c r="N449" s="43">
        <f t="shared" si="2402"/>
        <v>379</v>
      </c>
      <c r="O449" s="22">
        <f t="shared" ref="O449" si="2511">SUM(B449,D449,F449,H449,J449,L449)</f>
        <v>677</v>
      </c>
      <c r="P449" s="22">
        <f t="shared" ref="P449" si="2512">SUM(C449,E449,G449,I449,K449,M449)</f>
        <v>1982</v>
      </c>
      <c r="Q449" s="22">
        <f t="shared" ref="Q449" si="2513">SUM(D449,H449,L449)</f>
        <v>298</v>
      </c>
      <c r="R449" s="34">
        <f t="shared" ref="R449" si="2514">(N449-N448)/N448</f>
        <v>-0.27115384615384613</v>
      </c>
      <c r="S449" s="32">
        <f t="shared" ref="S449" si="2515">N449-N448</f>
        <v>-141</v>
      </c>
      <c r="T449" s="34">
        <f t="shared" ref="T449" si="2516">(N449-N397)/N397</f>
        <v>-0.33856893542757416</v>
      </c>
      <c r="U449" s="34">
        <f t="shared" ref="U449" si="2517">N449/P449</f>
        <v>0.19122098890010092</v>
      </c>
      <c r="V449" s="40">
        <f t="shared" ref="V449" si="2518">AVERAGE(B293,B345,B397)</f>
        <v>247</v>
      </c>
      <c r="W449" s="40">
        <f t="shared" ref="W449" si="2519">AVERAGE(F293,F345,F397)</f>
        <v>19.666666666666668</v>
      </c>
      <c r="X449" s="40">
        <f t="shared" ref="X449" si="2520">AVERAGE(J293,J345,J397)</f>
        <v>287.33333333333331</v>
      </c>
      <c r="Y449" s="40">
        <f t="shared" ref="Y449" si="2521">AVERAGE(N293,N345,N397)</f>
        <v>554</v>
      </c>
      <c r="Z449" s="61">
        <f t="shared" ref="Z449" si="2522">(N449-Y449)/Y449</f>
        <v>-0.31588447653429602</v>
      </c>
      <c r="AA449" s="61"/>
    </row>
    <row r="450" spans="1:27" ht="16" thickBot="1" x14ac:dyDescent="0.4">
      <c r="A450" s="20">
        <f t="shared" si="2292"/>
        <v>41692</v>
      </c>
      <c r="B450" s="22">
        <v>139</v>
      </c>
      <c r="C450" s="22">
        <v>261</v>
      </c>
      <c r="D450" s="22">
        <v>16</v>
      </c>
      <c r="E450" s="22">
        <v>170</v>
      </c>
      <c r="F450" s="22">
        <v>19</v>
      </c>
      <c r="G450" s="22">
        <v>109</v>
      </c>
      <c r="H450" s="22">
        <v>4</v>
      </c>
      <c r="I450" s="22">
        <v>83</v>
      </c>
      <c r="J450" s="22">
        <v>405</v>
      </c>
      <c r="K450" s="22">
        <v>870</v>
      </c>
      <c r="L450" s="22">
        <v>213</v>
      </c>
      <c r="M450" s="22">
        <v>699</v>
      </c>
      <c r="N450" s="43">
        <f t="shared" si="2402"/>
        <v>563</v>
      </c>
      <c r="O450" s="22">
        <f t="shared" ref="O450" si="2523">SUM(B450,D450,F450,H450,J450,L450)</f>
        <v>796</v>
      </c>
      <c r="P450" s="22">
        <f t="shared" ref="P450" si="2524">SUM(C450,E450,G450,I450,K450,M450)</f>
        <v>2192</v>
      </c>
      <c r="Q450" s="22">
        <f t="shared" ref="Q450" si="2525">SUM(D450,H450,L450)</f>
        <v>233</v>
      </c>
      <c r="R450" s="34">
        <f t="shared" ref="R450" si="2526">(N450-N449)/N449</f>
        <v>0.48548812664907653</v>
      </c>
      <c r="S450" s="32">
        <f t="shared" ref="S450" si="2527">N450-N449</f>
        <v>184</v>
      </c>
      <c r="T450" s="34">
        <f t="shared" ref="T450" si="2528">(N450-N398)/N398</f>
        <v>0.12825651302605209</v>
      </c>
      <c r="U450" s="34">
        <f t="shared" ref="U450" si="2529">N450/P450</f>
        <v>0.25684306569343068</v>
      </c>
      <c r="V450" s="40">
        <f t="shared" ref="V450" si="2530">AVERAGE(B294,B346,B398)</f>
        <v>254</v>
      </c>
      <c r="W450" s="40">
        <f t="shared" ref="W450" si="2531">AVERAGE(F294,F346,F398)</f>
        <v>19</v>
      </c>
      <c r="X450" s="40">
        <f t="shared" ref="X450" si="2532">AVERAGE(J294,J346,J398)</f>
        <v>329.33333333333331</v>
      </c>
      <c r="Y450" s="40">
        <f t="shared" ref="Y450" si="2533">AVERAGE(N294,N346,N398)</f>
        <v>602.33333333333337</v>
      </c>
      <c r="Z450" s="61">
        <f t="shared" ref="Z450" si="2534">(N450-Y450)/Y450</f>
        <v>-6.530160486995025E-2</v>
      </c>
      <c r="AA450" s="61"/>
    </row>
    <row r="451" spans="1:27" ht="16" thickBot="1" x14ac:dyDescent="0.4">
      <c r="A451" s="20">
        <f t="shared" si="2292"/>
        <v>41699</v>
      </c>
      <c r="B451" s="22">
        <v>167</v>
      </c>
      <c r="C451" s="22">
        <v>336</v>
      </c>
      <c r="D451" s="22">
        <v>37</v>
      </c>
      <c r="E451" s="22">
        <v>305</v>
      </c>
      <c r="F451" s="22">
        <v>21</v>
      </c>
      <c r="G451" s="22">
        <v>79</v>
      </c>
      <c r="H451" s="22">
        <v>17</v>
      </c>
      <c r="I451" s="22">
        <v>99</v>
      </c>
      <c r="J451" s="22">
        <v>223</v>
      </c>
      <c r="K451" s="22">
        <v>726</v>
      </c>
      <c r="L451" s="22">
        <v>295</v>
      </c>
      <c r="M451" s="22">
        <v>832</v>
      </c>
      <c r="N451" s="43">
        <f t="shared" si="2402"/>
        <v>411</v>
      </c>
      <c r="O451" s="22">
        <f t="shared" ref="O451" si="2535">SUM(B451,D451,F451,H451,J451,L451)</f>
        <v>760</v>
      </c>
      <c r="P451" s="22">
        <f t="shared" ref="P451" si="2536">SUM(C451,E451,G451,I451,K451,M451)</f>
        <v>2377</v>
      </c>
      <c r="Q451" s="22">
        <f t="shared" ref="Q451" si="2537">SUM(D451,H451,L451)</f>
        <v>349</v>
      </c>
      <c r="R451" s="34">
        <f t="shared" ref="R451" si="2538">(N451-N450)/N450</f>
        <v>-0.26998223801065718</v>
      </c>
      <c r="S451" s="32">
        <f t="shared" ref="S451" si="2539">N451-N450</f>
        <v>-152</v>
      </c>
      <c r="T451" s="34">
        <f t="shared" ref="T451" si="2540">(N451-N399)/N399</f>
        <v>-0.29015544041450775</v>
      </c>
      <c r="U451" s="34">
        <f t="shared" ref="U451" si="2541">N451/P451</f>
        <v>0.17290702566259991</v>
      </c>
      <c r="V451" s="40">
        <f t="shared" ref="V451" si="2542">AVERAGE(B295,B347,B399)</f>
        <v>258.33333333333331</v>
      </c>
      <c r="W451" s="40">
        <f t="shared" ref="W451" si="2543">AVERAGE(F295,F347,F399)</f>
        <v>25</v>
      </c>
      <c r="X451" s="40">
        <f t="shared" ref="X451" si="2544">AVERAGE(J295,J347,J399)</f>
        <v>253.66666666666666</v>
      </c>
      <c r="Y451" s="40">
        <f t="shared" ref="Y451" si="2545">AVERAGE(N295,N347,N399)</f>
        <v>537</v>
      </c>
      <c r="Z451" s="61">
        <f t="shared" ref="Z451" si="2546">(N451-Y451)/Y451</f>
        <v>-0.23463687150837989</v>
      </c>
      <c r="AA451" s="61"/>
    </row>
    <row r="452" spans="1:27" ht="16" thickBot="1" x14ac:dyDescent="0.4">
      <c r="A452" s="20">
        <f t="shared" si="2292"/>
        <v>41706</v>
      </c>
      <c r="B452" s="22">
        <v>118</v>
      </c>
      <c r="C452" s="22">
        <v>239</v>
      </c>
      <c r="D452" s="22">
        <v>16</v>
      </c>
      <c r="E452" s="22">
        <v>294</v>
      </c>
      <c r="F452" s="22">
        <v>6</v>
      </c>
      <c r="G452" s="22">
        <v>71</v>
      </c>
      <c r="H452" s="22">
        <v>35</v>
      </c>
      <c r="I452" s="22">
        <v>121</v>
      </c>
      <c r="J452" s="22">
        <v>170</v>
      </c>
      <c r="K452" s="22">
        <v>679</v>
      </c>
      <c r="L452" s="22">
        <v>162</v>
      </c>
      <c r="M452" s="22">
        <v>629</v>
      </c>
      <c r="N452" s="43">
        <f t="shared" si="2402"/>
        <v>294</v>
      </c>
      <c r="O452" s="22">
        <f t="shared" ref="O452" si="2547">SUM(B452,D452,F452,H452,J452,L452)</f>
        <v>507</v>
      </c>
      <c r="P452" s="22">
        <f t="shared" ref="P452" si="2548">SUM(C452,E452,G452,I452,K452,M452)</f>
        <v>2033</v>
      </c>
      <c r="Q452" s="22">
        <f t="shared" ref="Q452" si="2549">SUM(D452,H452,L452)</f>
        <v>213</v>
      </c>
      <c r="R452" s="34">
        <f t="shared" ref="R452" si="2550">(N452-N451)/N451</f>
        <v>-0.28467153284671531</v>
      </c>
      <c r="S452" s="32">
        <f t="shared" ref="S452" si="2551">N452-N451</f>
        <v>-117</v>
      </c>
      <c r="T452" s="34">
        <f t="shared" ref="T452" si="2552">(N452-N400)/N400</f>
        <v>-0.52884615384615385</v>
      </c>
      <c r="U452" s="34">
        <f t="shared" ref="U452" si="2553">N452/P452</f>
        <v>0.14461387112641416</v>
      </c>
      <c r="V452" s="40">
        <f t="shared" ref="V452" si="2554">AVERAGE(B296,B348,B400)</f>
        <v>346.33333333333331</v>
      </c>
      <c r="W452" s="40">
        <f t="shared" ref="W452" si="2555">AVERAGE(F296,F348,F400)</f>
        <v>18</v>
      </c>
      <c r="X452" s="40">
        <f t="shared" ref="X452" si="2556">AVERAGE(J296,J348,J400)</f>
        <v>284.33333333333331</v>
      </c>
      <c r="Y452" s="40">
        <f t="shared" ref="Y452" si="2557">AVERAGE(N296,N348,N400)</f>
        <v>648.66666666666663</v>
      </c>
      <c r="Z452" s="61">
        <f t="shared" ref="Z452" si="2558">(N452-Y452)/Y452</f>
        <v>-0.54676258992805749</v>
      </c>
      <c r="AA452" s="61"/>
    </row>
    <row r="453" spans="1:27" ht="16" thickBot="1" x14ac:dyDescent="0.4">
      <c r="A453" s="20">
        <f t="shared" si="2292"/>
        <v>41713</v>
      </c>
      <c r="B453" s="22">
        <v>251</v>
      </c>
      <c r="C453" s="22">
        <v>452</v>
      </c>
      <c r="D453" s="22">
        <v>35</v>
      </c>
      <c r="E453" s="22">
        <v>396</v>
      </c>
      <c r="F453" s="22">
        <v>38</v>
      </c>
      <c r="G453" s="22">
        <v>118</v>
      </c>
      <c r="H453" s="22">
        <v>15</v>
      </c>
      <c r="I453" s="22">
        <v>75</v>
      </c>
      <c r="J453" s="22">
        <v>376</v>
      </c>
      <c r="K453" s="22">
        <v>917</v>
      </c>
      <c r="L453" s="22">
        <v>269</v>
      </c>
      <c r="M453" s="22">
        <v>825</v>
      </c>
      <c r="N453" s="43">
        <f t="shared" ref="N453:N461" si="2559">SUM(B453,F453,J453)</f>
        <v>665</v>
      </c>
      <c r="O453" s="22">
        <f t="shared" ref="O453" si="2560">SUM(B453,D453,F453,H453,J453,L453)</f>
        <v>984</v>
      </c>
      <c r="P453" s="22">
        <f t="shared" ref="P453" si="2561">SUM(C453,E453,G453,I453,K453,M453)</f>
        <v>2783</v>
      </c>
      <c r="Q453" s="22">
        <f t="shared" ref="Q453" si="2562">SUM(D453,H453,L453)</f>
        <v>319</v>
      </c>
      <c r="R453" s="34">
        <f t="shared" ref="R453" si="2563">(N453-N452)/N452</f>
        <v>1.2619047619047619</v>
      </c>
      <c r="S453" s="32">
        <f t="shared" ref="S453" si="2564">N453-N452</f>
        <v>371</v>
      </c>
      <c r="T453" s="34">
        <f t="shared" ref="T453" si="2565">(N453-N401)/N401</f>
        <v>0.16666666666666666</v>
      </c>
      <c r="U453" s="34">
        <f t="shared" ref="U453" si="2566">N453/P453</f>
        <v>0.23895077254761049</v>
      </c>
      <c r="V453" s="40">
        <f t="shared" ref="V453" si="2567">AVERAGE(B297,B349,B401)</f>
        <v>421.33333333333331</v>
      </c>
      <c r="W453" s="40">
        <f t="shared" ref="W453" si="2568">AVERAGE(F297,F349,F401)</f>
        <v>16.333333333333332</v>
      </c>
      <c r="X453" s="40">
        <f t="shared" ref="X453" si="2569">AVERAGE(J297,J349,J401)</f>
        <v>259.66666666666669</v>
      </c>
      <c r="Y453" s="40">
        <f t="shared" ref="Y453" si="2570">AVERAGE(N297,N349,N401)</f>
        <v>697.33333333333337</v>
      </c>
      <c r="Z453" s="61">
        <f t="shared" ref="Z453" si="2571">(N453-Y453)/Y453</f>
        <v>-4.636711281070751E-2</v>
      </c>
      <c r="AA453" s="61"/>
    </row>
    <row r="454" spans="1:27" ht="16" thickBot="1" x14ac:dyDescent="0.4">
      <c r="A454" s="20">
        <f t="shared" si="2292"/>
        <v>41720</v>
      </c>
      <c r="B454" s="22">
        <v>422</v>
      </c>
      <c r="C454" s="22">
        <v>637</v>
      </c>
      <c r="D454" s="22">
        <v>23</v>
      </c>
      <c r="E454" s="22">
        <v>329</v>
      </c>
      <c r="F454" s="22">
        <v>13</v>
      </c>
      <c r="G454" s="22">
        <v>122</v>
      </c>
      <c r="H454" s="22">
        <v>24</v>
      </c>
      <c r="I454" s="22">
        <v>110</v>
      </c>
      <c r="J454" s="22">
        <v>220</v>
      </c>
      <c r="K454" s="22">
        <v>719</v>
      </c>
      <c r="L454" s="22">
        <v>294</v>
      </c>
      <c r="M454" s="22">
        <v>888</v>
      </c>
      <c r="N454" s="43">
        <f t="shared" si="2559"/>
        <v>655</v>
      </c>
      <c r="O454" s="22">
        <f t="shared" ref="O454" si="2572">SUM(B454,D454,F454,H454,J454,L454)</f>
        <v>996</v>
      </c>
      <c r="P454" s="22">
        <f t="shared" ref="P454" si="2573">SUM(C454,E454,G454,I454,K454,M454)</f>
        <v>2805</v>
      </c>
      <c r="Q454" s="22">
        <f t="shared" ref="Q454" si="2574">SUM(D454,H454,L454)</f>
        <v>341</v>
      </c>
      <c r="R454" s="34">
        <f t="shared" ref="R454" si="2575">(N454-N453)/N453</f>
        <v>-1.5037593984962405E-2</v>
      </c>
      <c r="S454" s="32">
        <f t="shared" ref="S454" si="2576">N454-N453</f>
        <v>-10</v>
      </c>
      <c r="T454" s="34">
        <f t="shared" ref="T454" si="2577">(N454-N402)/N402</f>
        <v>0.17383512544802868</v>
      </c>
      <c r="U454" s="34">
        <f t="shared" ref="U454" si="2578">N454/P454</f>
        <v>0.23351158645276293</v>
      </c>
      <c r="V454" s="40">
        <f t="shared" ref="V454" si="2579">AVERAGE(B298,B350,B402)</f>
        <v>303.33333333333331</v>
      </c>
      <c r="W454" s="40">
        <f t="shared" ref="W454" si="2580">AVERAGE(F298,F350,F402)</f>
        <v>13.666666666666666</v>
      </c>
      <c r="X454" s="40">
        <f t="shared" ref="X454" si="2581">AVERAGE(J298,J350,J402)</f>
        <v>268.33333333333331</v>
      </c>
      <c r="Y454" s="40">
        <f t="shared" ref="Y454" si="2582">AVERAGE(N298,N350,N402)</f>
        <v>585.33333333333337</v>
      </c>
      <c r="Z454" s="61">
        <f t="shared" ref="Z454" si="2583">(N454-Y454)/Y454</f>
        <v>0.11902050113895209</v>
      </c>
      <c r="AA454" s="61"/>
    </row>
    <row r="455" spans="1:27" ht="16" thickBot="1" x14ac:dyDescent="0.4">
      <c r="A455" s="20">
        <f t="shared" si="2292"/>
        <v>41727</v>
      </c>
      <c r="B455" s="22">
        <v>417</v>
      </c>
      <c r="C455" s="22">
        <v>635</v>
      </c>
      <c r="D455" s="22">
        <v>41</v>
      </c>
      <c r="E455" s="22">
        <v>545</v>
      </c>
      <c r="F455" s="22">
        <v>15</v>
      </c>
      <c r="G455" s="22">
        <v>83</v>
      </c>
      <c r="H455" s="22">
        <v>21</v>
      </c>
      <c r="I455" s="22">
        <v>71</v>
      </c>
      <c r="J455" s="22">
        <v>293</v>
      </c>
      <c r="K455" s="22">
        <v>817</v>
      </c>
      <c r="L455" s="22">
        <v>284</v>
      </c>
      <c r="M455" s="22">
        <v>811</v>
      </c>
      <c r="N455" s="43">
        <f t="shared" si="2559"/>
        <v>725</v>
      </c>
      <c r="O455" s="22">
        <f t="shared" ref="O455" si="2584">SUM(B455,D455,F455,H455,J455,L455)</f>
        <v>1071</v>
      </c>
      <c r="P455" s="22">
        <f t="shared" ref="P455" si="2585">SUM(C455,E455,G455,I455,K455,M455)</f>
        <v>2962</v>
      </c>
      <c r="Q455" s="22">
        <f t="shared" ref="Q455" si="2586">SUM(D455,H455,L455)</f>
        <v>346</v>
      </c>
      <c r="R455" s="34">
        <f t="shared" ref="R455" si="2587">(N455-N454)/N454</f>
        <v>0.10687022900763359</v>
      </c>
      <c r="S455" s="32">
        <f t="shared" ref="S455" si="2588">N455-N454</f>
        <v>70</v>
      </c>
      <c r="T455" s="34">
        <f t="shared" ref="T455" si="2589">(N455-N403)/N403</f>
        <v>0.54584221748400852</v>
      </c>
      <c r="U455" s="34">
        <f t="shared" ref="U455" si="2590">N455/P455</f>
        <v>0.24476704929101958</v>
      </c>
      <c r="V455" s="40">
        <f t="shared" ref="V455" si="2591">AVERAGE(B299,B351,B403)</f>
        <v>293.66666666666669</v>
      </c>
      <c r="W455" s="40">
        <f t="shared" ref="W455" si="2592">AVERAGE(F299,F351,F403)</f>
        <v>19.666666666666668</v>
      </c>
      <c r="X455" s="40">
        <f t="shared" ref="X455" si="2593">AVERAGE(J299,J351,J403)</f>
        <v>281</v>
      </c>
      <c r="Y455" s="40">
        <f t="shared" ref="Y455" si="2594">AVERAGE(N299,N351,N403)</f>
        <v>594.33333333333337</v>
      </c>
      <c r="Z455" s="61">
        <f t="shared" ref="Z455" si="2595">(N455-Y455)/Y455</f>
        <v>0.21985417835109358</v>
      </c>
      <c r="AA455" s="61"/>
    </row>
    <row r="456" spans="1:27" ht="16" thickBot="1" x14ac:dyDescent="0.4">
      <c r="A456" s="20">
        <f t="shared" si="2292"/>
        <v>41734</v>
      </c>
      <c r="B456" s="22">
        <v>404</v>
      </c>
      <c r="C456" s="22">
        <v>641</v>
      </c>
      <c r="D456" s="22">
        <v>48</v>
      </c>
      <c r="E456" s="22">
        <v>500</v>
      </c>
      <c r="F456" s="22">
        <v>10</v>
      </c>
      <c r="G456" s="22">
        <v>106</v>
      </c>
      <c r="H456" s="22">
        <v>23</v>
      </c>
      <c r="I456" s="22">
        <v>74</v>
      </c>
      <c r="J456" s="22">
        <v>324</v>
      </c>
      <c r="K456" s="22">
        <v>867</v>
      </c>
      <c r="L456" s="22">
        <v>267</v>
      </c>
      <c r="M456" s="22">
        <v>820</v>
      </c>
      <c r="N456" s="43">
        <f t="shared" si="2559"/>
        <v>738</v>
      </c>
      <c r="O456" s="22">
        <f t="shared" ref="O456" si="2596">SUM(B456,D456,F456,H456,J456,L456)</f>
        <v>1076</v>
      </c>
      <c r="P456" s="22">
        <f t="shared" ref="P456" si="2597">SUM(C456,E456,G456,I456,K456,M456)</f>
        <v>3008</v>
      </c>
      <c r="Q456" s="22">
        <f t="shared" ref="Q456" si="2598">SUM(D456,H456,L456)</f>
        <v>338</v>
      </c>
      <c r="R456" s="34">
        <f t="shared" ref="R456" si="2599">(N456-N455)/N455</f>
        <v>1.793103448275862E-2</v>
      </c>
      <c r="S456" s="32">
        <f t="shared" ref="S456" si="2600">N456-N455</f>
        <v>13</v>
      </c>
      <c r="T456" s="34">
        <f t="shared" ref="T456" si="2601">(N456-N404)/N404</f>
        <v>0.63274336283185839</v>
      </c>
      <c r="U456" s="34">
        <f t="shared" ref="U456" si="2602">N456/P456</f>
        <v>0.24534574468085107</v>
      </c>
      <c r="V456" s="40">
        <f t="shared" ref="V456" si="2603">AVERAGE(B300,B352,B404)</f>
        <v>278.66666666666669</v>
      </c>
      <c r="W456" s="40">
        <f t="shared" ref="W456" si="2604">AVERAGE(F300,F352,F404)</f>
        <v>7.333333333333333</v>
      </c>
      <c r="X456" s="40">
        <f t="shared" ref="X456" si="2605">AVERAGE(J300,J352,J404)</f>
        <v>244.33333333333334</v>
      </c>
      <c r="Y456" s="40">
        <f t="shared" ref="Y456" si="2606">AVERAGE(N300,N352,N404)</f>
        <v>530.33333333333337</v>
      </c>
      <c r="Z456" s="61">
        <f t="shared" ref="Z456" si="2607">(N456-Y456)/Y456</f>
        <v>0.39157762413576358</v>
      </c>
      <c r="AA456" s="61"/>
    </row>
    <row r="457" spans="1:27" ht="16" thickBot="1" x14ac:dyDescent="0.4">
      <c r="A457" s="20">
        <f t="shared" si="2292"/>
        <v>41741</v>
      </c>
      <c r="B457" s="22">
        <v>378</v>
      </c>
      <c r="C457" s="22">
        <v>662</v>
      </c>
      <c r="D457" s="22">
        <v>34</v>
      </c>
      <c r="E457" s="22">
        <v>482</v>
      </c>
      <c r="F457" s="22">
        <v>10</v>
      </c>
      <c r="G457" s="22">
        <v>75</v>
      </c>
      <c r="H457" s="22">
        <v>37</v>
      </c>
      <c r="I457" s="22">
        <v>84</v>
      </c>
      <c r="J457" s="22">
        <v>178</v>
      </c>
      <c r="K457" s="22">
        <v>551</v>
      </c>
      <c r="L457" s="22">
        <v>250</v>
      </c>
      <c r="M457" s="22">
        <v>699</v>
      </c>
      <c r="N457" s="43">
        <f t="shared" si="2559"/>
        <v>566</v>
      </c>
      <c r="O457" s="22">
        <f t="shared" ref="O457" si="2608">SUM(B457,D457,F457,H457,J457,L457)</f>
        <v>887</v>
      </c>
      <c r="P457" s="22">
        <f t="shared" ref="P457" si="2609">SUM(C457,E457,G457,I457,K457,M457)</f>
        <v>2553</v>
      </c>
      <c r="Q457" s="22">
        <f t="shared" ref="Q457" si="2610">SUM(D457,H457,L457)</f>
        <v>321</v>
      </c>
      <c r="R457" s="34">
        <f t="shared" ref="R457" si="2611">(N457-N456)/N456</f>
        <v>-0.23306233062330622</v>
      </c>
      <c r="S457" s="32">
        <f t="shared" ref="S457" si="2612">N457-N456</f>
        <v>-172</v>
      </c>
      <c r="T457" s="34">
        <f t="shared" ref="T457" si="2613">(N457-N405)/N405</f>
        <v>0.25777777777777777</v>
      </c>
      <c r="U457" s="34">
        <f t="shared" ref="U457" si="2614">N457/P457</f>
        <v>0.22169996083039561</v>
      </c>
      <c r="V457" s="40">
        <f t="shared" ref="V457" si="2615">AVERAGE(B301,B353,B405)</f>
        <v>314</v>
      </c>
      <c r="W457" s="40">
        <f t="shared" ref="W457" si="2616">AVERAGE(F301,F353,F405)</f>
        <v>12.666666666666666</v>
      </c>
      <c r="X457" s="40">
        <f t="shared" ref="X457" si="2617">AVERAGE(J301,J353,J405)</f>
        <v>251</v>
      </c>
      <c r="Y457" s="40">
        <f t="shared" ref="Y457" si="2618">AVERAGE(N301,N353,N405)</f>
        <v>577.66666666666663</v>
      </c>
      <c r="Z457" s="61">
        <f t="shared" ref="Z457" si="2619">(N457-Y457)/Y457</f>
        <v>-2.0196191575302877E-2</v>
      </c>
      <c r="AA457" s="61"/>
    </row>
    <row r="458" spans="1:27" ht="16" thickBot="1" x14ac:dyDescent="0.4">
      <c r="A458" s="20">
        <f t="shared" si="2292"/>
        <v>41748</v>
      </c>
      <c r="B458" s="22">
        <v>449</v>
      </c>
      <c r="C458" s="22">
        <v>838</v>
      </c>
      <c r="D458" s="22">
        <v>50</v>
      </c>
      <c r="E458" s="22">
        <v>566</v>
      </c>
      <c r="F458" s="22">
        <v>1</v>
      </c>
      <c r="G458" s="22">
        <v>104</v>
      </c>
      <c r="H458" s="22">
        <v>47</v>
      </c>
      <c r="I458" s="22">
        <v>94</v>
      </c>
      <c r="J458" s="22">
        <v>281</v>
      </c>
      <c r="K458" s="22">
        <v>786</v>
      </c>
      <c r="L458" s="22">
        <v>305</v>
      </c>
      <c r="M458" s="22">
        <v>792</v>
      </c>
      <c r="N458" s="43">
        <f t="shared" si="2559"/>
        <v>731</v>
      </c>
      <c r="O458" s="22">
        <f t="shared" ref="O458" si="2620">SUM(B458,D458,F458,H458,J458,L458)</f>
        <v>1133</v>
      </c>
      <c r="P458" s="22">
        <f t="shared" ref="P458" si="2621">SUM(C458,E458,G458,I458,K458,M458)</f>
        <v>3180</v>
      </c>
      <c r="Q458" s="22">
        <f t="shared" ref="Q458" si="2622">SUM(D458,H458,L458)</f>
        <v>402</v>
      </c>
      <c r="R458" s="34">
        <f t="shared" ref="R458" si="2623">(N458-N457)/N457</f>
        <v>0.29151943462897528</v>
      </c>
      <c r="S458" s="32">
        <f t="shared" ref="S458" si="2624">N458-N457</f>
        <v>165</v>
      </c>
      <c r="T458" s="34">
        <f t="shared" ref="T458" si="2625">(N458-N406)/N406</f>
        <v>0.3512014787430684</v>
      </c>
      <c r="U458" s="34">
        <f t="shared" ref="U458" si="2626">N458/P458</f>
        <v>0.22987421383647799</v>
      </c>
      <c r="V458" s="40">
        <f t="shared" ref="V458" si="2627">AVERAGE(B302,B354,B406)</f>
        <v>267.33333333333331</v>
      </c>
      <c r="W458" s="40">
        <f t="shared" ref="W458" si="2628">AVERAGE(F302,F354,F406)</f>
        <v>11</v>
      </c>
      <c r="X458" s="40">
        <f t="shared" ref="X458" si="2629">AVERAGE(J302,J354,J406)</f>
        <v>256.33333333333331</v>
      </c>
      <c r="Y458" s="40">
        <f t="shared" ref="Y458" si="2630">AVERAGE(N302,N354,N406)</f>
        <v>534.66666666666663</v>
      </c>
      <c r="Z458" s="61">
        <f t="shared" ref="Z458" si="2631">(N458-Y458)/Y458</f>
        <v>0.36720698254364098</v>
      </c>
      <c r="AA458" s="61"/>
    </row>
    <row r="459" spans="1:27" ht="16" thickBot="1" x14ac:dyDescent="0.4">
      <c r="A459" s="20">
        <f t="shared" si="2292"/>
        <v>41755</v>
      </c>
      <c r="B459" s="22">
        <v>298</v>
      </c>
      <c r="C459" s="22">
        <v>619</v>
      </c>
      <c r="D459" s="22">
        <v>61</v>
      </c>
      <c r="E459" s="22">
        <v>521</v>
      </c>
      <c r="F459" s="22">
        <v>4</v>
      </c>
      <c r="G459" s="22">
        <v>85</v>
      </c>
      <c r="H459" s="22">
        <v>43</v>
      </c>
      <c r="I459" s="22">
        <v>73</v>
      </c>
      <c r="J459" s="22">
        <v>150</v>
      </c>
      <c r="K459" s="22">
        <v>591</v>
      </c>
      <c r="L459" s="22">
        <v>307</v>
      </c>
      <c r="M459" s="22">
        <v>756</v>
      </c>
      <c r="N459" s="43">
        <f t="shared" si="2559"/>
        <v>452</v>
      </c>
      <c r="O459" s="22">
        <f t="shared" ref="O459" si="2632">SUM(B459,D459,F459,H459,J459,L459)</f>
        <v>863</v>
      </c>
      <c r="P459" s="22">
        <f t="shared" ref="P459" si="2633">SUM(C459,E459,G459,I459,K459,M459)</f>
        <v>2645</v>
      </c>
      <c r="Q459" s="22">
        <f t="shared" ref="Q459" si="2634">SUM(D459,H459,L459)</f>
        <v>411</v>
      </c>
      <c r="R459" s="34">
        <f t="shared" ref="R459" si="2635">(N459-N458)/N458</f>
        <v>-0.38166894664842682</v>
      </c>
      <c r="S459" s="32">
        <f t="shared" ref="S459" si="2636">N459-N458</f>
        <v>-279</v>
      </c>
      <c r="T459" s="34">
        <f t="shared" ref="T459" si="2637">(N459-N407)/N407</f>
        <v>0.28045325779036828</v>
      </c>
      <c r="U459" s="34">
        <f t="shared" ref="U459" si="2638">N459/P459</f>
        <v>0.17088846880907371</v>
      </c>
      <c r="V459" s="40">
        <f t="shared" ref="V459" si="2639">AVERAGE(B303,B355,B407)</f>
        <v>232.33333333333334</v>
      </c>
      <c r="W459" s="40">
        <f t="shared" ref="W459" si="2640">AVERAGE(F303,F355,F407)</f>
        <v>16</v>
      </c>
      <c r="X459" s="40">
        <f t="shared" ref="X459" si="2641">AVERAGE(J303,J355,J407)</f>
        <v>279.66666666666669</v>
      </c>
      <c r="Y459" s="40">
        <f t="shared" ref="Y459" si="2642">AVERAGE(N303,N355,N407)</f>
        <v>528</v>
      </c>
      <c r="Z459" s="61">
        <f t="shared" ref="Z459" si="2643">(N459-Y459)/Y459</f>
        <v>-0.14393939393939395</v>
      </c>
      <c r="AA459" s="61"/>
    </row>
    <row r="460" spans="1:27" ht="16" thickBot="1" x14ac:dyDescent="0.4">
      <c r="A460" s="20">
        <f t="shared" si="2292"/>
        <v>41762</v>
      </c>
      <c r="B460" s="22">
        <v>400</v>
      </c>
      <c r="C460" s="22">
        <v>721</v>
      </c>
      <c r="D460" s="22">
        <v>36</v>
      </c>
      <c r="E460" s="22">
        <v>648</v>
      </c>
      <c r="F460" s="22">
        <v>12</v>
      </c>
      <c r="G460" s="22">
        <v>75</v>
      </c>
      <c r="H460" s="22">
        <v>32</v>
      </c>
      <c r="I460" s="22">
        <v>76</v>
      </c>
      <c r="J460" s="22">
        <v>232</v>
      </c>
      <c r="K460" s="22">
        <v>764</v>
      </c>
      <c r="L460" s="22">
        <v>319</v>
      </c>
      <c r="M460" s="22">
        <v>677</v>
      </c>
      <c r="N460" s="43">
        <f t="shared" si="2559"/>
        <v>644</v>
      </c>
      <c r="O460" s="22">
        <f t="shared" ref="O460" si="2644">SUM(B460,D460,F460,H460,J460,L460)</f>
        <v>1031</v>
      </c>
      <c r="P460" s="22">
        <f t="shared" ref="P460" si="2645">SUM(C460,E460,G460,I460,K460,M460)</f>
        <v>2961</v>
      </c>
      <c r="Q460" s="22">
        <f t="shared" ref="Q460" si="2646">SUM(D460,H460,L460)</f>
        <v>387</v>
      </c>
      <c r="R460" s="34">
        <f t="shared" ref="R460" si="2647">(N460-N459)/N459</f>
        <v>0.4247787610619469</v>
      </c>
      <c r="S460" s="32">
        <f t="shared" ref="S460" si="2648">N460-N459</f>
        <v>192</v>
      </c>
      <c r="T460" s="34">
        <f t="shared" ref="T460" si="2649">(N460-N408)/N408</f>
        <v>3.7037037037037035E-2</v>
      </c>
      <c r="U460" s="34">
        <f t="shared" ref="U460" si="2650">N460/P460</f>
        <v>0.21749408983451538</v>
      </c>
      <c r="V460" s="40">
        <f t="shared" ref="V460" si="2651">AVERAGE(B304,B356,B408)</f>
        <v>271</v>
      </c>
      <c r="W460" s="40">
        <f t="shared" ref="W460" si="2652">AVERAGE(F304,F356,F408)</f>
        <v>8.3333333333333339</v>
      </c>
      <c r="X460" s="40">
        <f t="shared" ref="X460" si="2653">AVERAGE(J304,J356,J408)</f>
        <v>204.66666666666666</v>
      </c>
      <c r="Y460" s="40">
        <f t="shared" ref="Y460" si="2654">AVERAGE(N304,N356,N408)</f>
        <v>484</v>
      </c>
      <c r="Z460" s="61">
        <f t="shared" ref="Z460" si="2655">(N460-Y460)/Y460</f>
        <v>0.33057851239669422</v>
      </c>
      <c r="AA460" s="61"/>
    </row>
    <row r="461" spans="1:27" ht="16" thickBot="1" x14ac:dyDescent="0.4">
      <c r="A461" s="20">
        <f t="shared" si="2292"/>
        <v>41769</v>
      </c>
      <c r="B461" s="22">
        <v>396</v>
      </c>
      <c r="C461" s="22">
        <v>716</v>
      </c>
      <c r="D461" s="22">
        <v>58</v>
      </c>
      <c r="E461" s="22">
        <v>615</v>
      </c>
      <c r="F461" s="22">
        <v>6</v>
      </c>
      <c r="G461" s="22">
        <v>52</v>
      </c>
      <c r="H461" s="22">
        <v>39</v>
      </c>
      <c r="I461" s="22">
        <v>82</v>
      </c>
      <c r="J461" s="22">
        <v>206</v>
      </c>
      <c r="K461" s="22">
        <v>832</v>
      </c>
      <c r="L461" s="22">
        <v>315</v>
      </c>
      <c r="M461" s="22">
        <v>751</v>
      </c>
      <c r="N461" s="43">
        <f t="shared" si="2559"/>
        <v>608</v>
      </c>
      <c r="O461" s="22">
        <f t="shared" ref="O461" si="2656">SUM(B461,D461,F461,H461,J461,L461)</f>
        <v>1020</v>
      </c>
      <c r="P461" s="22">
        <f t="shared" ref="P461" si="2657">SUM(C461,E461,G461,I461,K461,M461)</f>
        <v>3048</v>
      </c>
      <c r="Q461" s="22">
        <f t="shared" ref="Q461" si="2658">SUM(D461,H461,L461)</f>
        <v>412</v>
      </c>
      <c r="R461" s="34">
        <f t="shared" ref="R461" si="2659">(N461-N460)/N460</f>
        <v>-5.5900621118012424E-2</v>
      </c>
      <c r="S461" s="32">
        <f t="shared" ref="S461" si="2660">N461-N460</f>
        <v>-36</v>
      </c>
      <c r="T461" s="34">
        <f t="shared" ref="T461" si="2661">(N461-N409)/N409</f>
        <v>0.20396039603960395</v>
      </c>
      <c r="U461" s="34">
        <f t="shared" ref="U461" si="2662">N461/P461</f>
        <v>0.1994750656167979</v>
      </c>
      <c r="V461" s="40">
        <f t="shared" ref="V461" si="2663">AVERAGE(B305,B357,B409)</f>
        <v>334.33333333333331</v>
      </c>
      <c r="W461" s="40">
        <f t="shared" ref="W461" si="2664">AVERAGE(F305,F357,F409)</f>
        <v>8.3333333333333339</v>
      </c>
      <c r="X461" s="40">
        <f t="shared" ref="X461" si="2665">AVERAGE(J305,J357,J409)</f>
        <v>186.66666666666666</v>
      </c>
      <c r="Y461" s="40">
        <f t="shared" ref="Y461" si="2666">AVERAGE(N305,N357,N409)</f>
        <v>529.33333333333337</v>
      </c>
      <c r="Z461" s="61">
        <f t="shared" ref="Z461" si="2667">(N461-Y461)/Y461</f>
        <v>0.14861460957178832</v>
      </c>
      <c r="AA461" s="61"/>
    </row>
    <row r="462" spans="1:27" ht="16" thickBot="1" x14ac:dyDescent="0.4">
      <c r="A462" s="20">
        <f t="shared" si="2292"/>
        <v>41776</v>
      </c>
      <c r="B462" s="22">
        <v>396</v>
      </c>
      <c r="C462" s="22">
        <v>758</v>
      </c>
      <c r="D462" s="22">
        <v>30</v>
      </c>
      <c r="E462" s="22">
        <v>567</v>
      </c>
      <c r="F462" s="22">
        <v>1</v>
      </c>
      <c r="G462" s="22">
        <v>101</v>
      </c>
      <c r="H462" s="22">
        <v>28</v>
      </c>
      <c r="I462" s="22">
        <v>93</v>
      </c>
      <c r="J462" s="22">
        <v>252</v>
      </c>
      <c r="K462" s="22">
        <v>842</v>
      </c>
      <c r="L462" s="22">
        <v>353</v>
      </c>
      <c r="M462" s="22">
        <v>719</v>
      </c>
      <c r="N462" s="43">
        <f t="shared" ref="N462:N481" si="2668">SUM(B462,F462,J462)</f>
        <v>649</v>
      </c>
      <c r="O462" s="22">
        <f t="shared" ref="O462" si="2669">SUM(B462,D462,F462,H462,J462,L462)</f>
        <v>1060</v>
      </c>
      <c r="P462" s="22">
        <f t="shared" ref="P462" si="2670">SUM(C462,E462,G462,I462,K462,M462)</f>
        <v>3080</v>
      </c>
      <c r="Q462" s="22">
        <f t="shared" ref="Q462" si="2671">SUM(D462,H462,L462)</f>
        <v>411</v>
      </c>
      <c r="R462" s="34">
        <f t="shared" ref="R462" si="2672">(N462-N461)/N461</f>
        <v>6.7434210526315791E-2</v>
      </c>
      <c r="S462" s="32">
        <f t="shared" ref="S462" si="2673">N462-N461</f>
        <v>41</v>
      </c>
      <c r="T462" s="34">
        <f t="shared" ref="T462" si="2674">(N462-N410)/N410</f>
        <v>0.53791469194312791</v>
      </c>
      <c r="U462" s="34">
        <f t="shared" ref="U462" si="2675">N462/P462</f>
        <v>0.21071428571428572</v>
      </c>
      <c r="V462" s="40">
        <f t="shared" ref="V462" si="2676">AVERAGE(B306,B358,B410)</f>
        <v>307.33333333333331</v>
      </c>
      <c r="W462" s="40">
        <f t="shared" ref="W462" si="2677">AVERAGE(F306,F358,F410)</f>
        <v>10</v>
      </c>
      <c r="X462" s="40">
        <f t="shared" ref="X462" si="2678">AVERAGE(J306,J358,J410)</f>
        <v>240.33333333333334</v>
      </c>
      <c r="Y462" s="40">
        <f t="shared" ref="Y462" si="2679">AVERAGE(N306,N358,N410)</f>
        <v>557.66666666666663</v>
      </c>
      <c r="Z462" s="61">
        <f t="shared" ref="Z462" si="2680">(N462-Y462)/Y462</f>
        <v>0.16377764494919314</v>
      </c>
      <c r="AA462" s="61"/>
    </row>
    <row r="463" spans="1:27" ht="16" thickBot="1" x14ac:dyDescent="0.4">
      <c r="A463" s="20">
        <f t="shared" si="2292"/>
        <v>41783</v>
      </c>
      <c r="B463" s="22">
        <v>380</v>
      </c>
      <c r="C463" s="22">
        <v>662</v>
      </c>
      <c r="D463" s="22">
        <v>32</v>
      </c>
      <c r="E463" s="22">
        <v>558</v>
      </c>
      <c r="F463" s="22">
        <v>7</v>
      </c>
      <c r="G463" s="22">
        <v>60</v>
      </c>
      <c r="H463" s="22">
        <v>31</v>
      </c>
      <c r="I463" s="22">
        <v>70</v>
      </c>
      <c r="J463" s="22">
        <v>262</v>
      </c>
      <c r="K463" s="22">
        <v>703</v>
      </c>
      <c r="L463" s="22">
        <v>405</v>
      </c>
      <c r="M463" s="22">
        <v>752</v>
      </c>
      <c r="N463" s="43">
        <f t="shared" si="2668"/>
        <v>649</v>
      </c>
      <c r="O463" s="22">
        <f t="shared" ref="O463" si="2681">SUM(B463,D463,F463,H463,J463,L463)</f>
        <v>1117</v>
      </c>
      <c r="P463" s="22">
        <f t="shared" ref="P463" si="2682">SUM(C463,E463,G463,I463,K463,M463)</f>
        <v>2805</v>
      </c>
      <c r="Q463" s="22">
        <f t="shared" ref="Q463" si="2683">SUM(D463,H463,L463)</f>
        <v>468</v>
      </c>
      <c r="R463" s="34">
        <f t="shared" ref="R463" si="2684">(N463-N462)/N462</f>
        <v>0</v>
      </c>
      <c r="S463" s="32">
        <f t="shared" ref="S463" si="2685">N463-N462</f>
        <v>0</v>
      </c>
      <c r="T463" s="34">
        <f t="shared" ref="T463" si="2686">(N463-N411)/N411</f>
        <v>0.25531914893617019</v>
      </c>
      <c r="U463" s="34">
        <f t="shared" ref="U463" si="2687">N463/P463</f>
        <v>0.23137254901960785</v>
      </c>
      <c r="V463" s="40">
        <f t="shared" ref="V463" si="2688">AVERAGE(B307,B359,B411)</f>
        <v>281.66666666666669</v>
      </c>
      <c r="W463" s="40">
        <f t="shared" ref="W463" si="2689">AVERAGE(F307,F359,F411)</f>
        <v>21.333333333333332</v>
      </c>
      <c r="X463" s="40">
        <f t="shared" ref="X463" si="2690">AVERAGE(J307,J359,J411)</f>
        <v>198</v>
      </c>
      <c r="Y463" s="40">
        <f t="shared" ref="Y463" si="2691">AVERAGE(N307,N359,N411)</f>
        <v>501</v>
      </c>
      <c r="Z463" s="61">
        <f t="shared" ref="Z463" si="2692">(N463-Y463)/Y463</f>
        <v>0.29540918163672653</v>
      </c>
      <c r="AA463" s="61"/>
    </row>
    <row r="464" spans="1:27" ht="16" thickBot="1" x14ac:dyDescent="0.4">
      <c r="A464" s="20">
        <f t="shared" si="2292"/>
        <v>41790</v>
      </c>
      <c r="B464" s="22">
        <v>386</v>
      </c>
      <c r="C464" s="22">
        <v>650</v>
      </c>
      <c r="D464" s="22">
        <v>59</v>
      </c>
      <c r="E464" s="22">
        <v>719</v>
      </c>
      <c r="F464" s="22">
        <v>4</v>
      </c>
      <c r="G464" s="22">
        <v>45</v>
      </c>
      <c r="H464" s="22">
        <v>25</v>
      </c>
      <c r="I464" s="22">
        <v>83</v>
      </c>
      <c r="J464" s="22">
        <v>208</v>
      </c>
      <c r="K464" s="22">
        <v>882</v>
      </c>
      <c r="L464" s="22">
        <v>366</v>
      </c>
      <c r="M464" s="22">
        <v>822</v>
      </c>
      <c r="N464" s="43">
        <f t="shared" si="2668"/>
        <v>598</v>
      </c>
      <c r="O464" s="22">
        <f t="shared" ref="O464" si="2693">SUM(B464,D464,F464,H464,J464,L464)</f>
        <v>1048</v>
      </c>
      <c r="P464" s="22">
        <f t="shared" ref="P464" si="2694">SUM(C464,E464,G464,I464,K464,M464)</f>
        <v>3201</v>
      </c>
      <c r="Q464" s="22">
        <f t="shared" ref="Q464" si="2695">SUM(D464,H464,L464)</f>
        <v>450</v>
      </c>
      <c r="R464" s="34">
        <f t="shared" ref="R464" si="2696">(N464-N463)/N463</f>
        <v>-7.8582434514637908E-2</v>
      </c>
      <c r="S464" s="32">
        <f t="shared" ref="S464" si="2697">N464-N463</f>
        <v>-51</v>
      </c>
      <c r="T464" s="34">
        <f t="shared" ref="T464" si="2698">(N464-N412)/N412</f>
        <v>0.10332103321033211</v>
      </c>
      <c r="U464" s="34">
        <f t="shared" ref="U464" si="2699">N464/P464</f>
        <v>0.18681661980631054</v>
      </c>
      <c r="V464" s="40">
        <f t="shared" ref="V464" si="2700">AVERAGE(B308,B360,B412)</f>
        <v>248.33333333333334</v>
      </c>
      <c r="W464" s="40">
        <f t="shared" ref="W464" si="2701">AVERAGE(F308,F360,F412)</f>
        <v>11.666666666666666</v>
      </c>
      <c r="X464" s="40">
        <f t="shared" ref="X464" si="2702">AVERAGE(J308,J360,J412)</f>
        <v>229.66666666666666</v>
      </c>
      <c r="Y464" s="40">
        <f t="shared" ref="Y464" si="2703">AVERAGE(N308,N360,N412)</f>
        <v>489.66666666666669</v>
      </c>
      <c r="Z464" s="61">
        <f t="shared" ref="Z464" si="2704">(N464-Y464)/Y464</f>
        <v>0.2212389380530973</v>
      </c>
      <c r="AA464" s="61"/>
    </row>
    <row r="465" spans="1:27" ht="16" thickBot="1" x14ac:dyDescent="0.4">
      <c r="A465" s="20">
        <f t="shared" si="2292"/>
        <v>41797</v>
      </c>
      <c r="B465" s="22">
        <v>380</v>
      </c>
      <c r="C465" s="22">
        <v>622</v>
      </c>
      <c r="D465" s="22">
        <v>55</v>
      </c>
      <c r="E465" s="22">
        <v>642</v>
      </c>
      <c r="F465" s="22">
        <v>4</v>
      </c>
      <c r="G465" s="22">
        <v>63</v>
      </c>
      <c r="H465" s="22">
        <v>20</v>
      </c>
      <c r="I465" s="22">
        <v>55</v>
      </c>
      <c r="J465" s="22">
        <v>203</v>
      </c>
      <c r="K465" s="22">
        <v>617</v>
      </c>
      <c r="L465" s="22">
        <v>347</v>
      </c>
      <c r="M465" s="22">
        <v>779</v>
      </c>
      <c r="N465" s="43">
        <f t="shared" si="2668"/>
        <v>587</v>
      </c>
      <c r="O465" s="22">
        <f t="shared" ref="O465" si="2705">SUM(B465,D465,F465,H465,J465,L465)</f>
        <v>1009</v>
      </c>
      <c r="P465" s="22">
        <f t="shared" ref="P465" si="2706">SUM(C465,E465,G465,I465,K465,M465)</f>
        <v>2778</v>
      </c>
      <c r="Q465" s="22">
        <f t="shared" ref="Q465" si="2707">SUM(D465,H465,L465)</f>
        <v>422</v>
      </c>
      <c r="R465" s="34">
        <f t="shared" ref="R465" si="2708">(N465-N464)/N464</f>
        <v>-1.839464882943144E-2</v>
      </c>
      <c r="S465" s="32">
        <f t="shared" ref="S465" si="2709">N465-N464</f>
        <v>-11</v>
      </c>
      <c r="T465" s="34">
        <f t="shared" ref="T465" si="2710">(N465-N413)/N413</f>
        <v>0.29867256637168144</v>
      </c>
      <c r="U465" s="34">
        <f t="shared" ref="U465" si="2711">N465/P465</f>
        <v>0.21130309575233983</v>
      </c>
      <c r="V465" s="40">
        <f t="shared" ref="V465" si="2712">AVERAGE(B309,B361,B413)</f>
        <v>233.33333333333334</v>
      </c>
      <c r="W465" s="40">
        <f t="shared" ref="W465" si="2713">AVERAGE(F309,F361,F413)</f>
        <v>15</v>
      </c>
      <c r="X465" s="40">
        <f t="shared" ref="X465" si="2714">AVERAGE(J309,J361,J413)</f>
        <v>294.66666666666669</v>
      </c>
      <c r="Y465" s="40">
        <f t="shared" ref="Y465" si="2715">AVERAGE(N309,N361,N413)</f>
        <v>543</v>
      </c>
      <c r="Z465" s="61">
        <f t="shared" ref="Z465" si="2716">(N465-Y465)/Y465</f>
        <v>8.1031307550644568E-2</v>
      </c>
      <c r="AA465" s="61"/>
    </row>
    <row r="466" spans="1:27" ht="16" thickBot="1" x14ac:dyDescent="0.4">
      <c r="A466" s="20">
        <f t="shared" si="2292"/>
        <v>41804</v>
      </c>
      <c r="B466" s="22">
        <v>404</v>
      </c>
      <c r="C466" s="22">
        <v>667</v>
      </c>
      <c r="D466" s="22">
        <v>41</v>
      </c>
      <c r="E466" s="22">
        <v>626</v>
      </c>
      <c r="F466" s="22">
        <v>6</v>
      </c>
      <c r="G466" s="22">
        <v>47</v>
      </c>
      <c r="H466" s="22">
        <v>20</v>
      </c>
      <c r="I466" s="22">
        <v>54</v>
      </c>
      <c r="J466" s="22">
        <v>232</v>
      </c>
      <c r="K466" s="22">
        <v>765</v>
      </c>
      <c r="L466" s="22">
        <v>376</v>
      </c>
      <c r="M466" s="22">
        <v>763</v>
      </c>
      <c r="N466" s="43">
        <f t="shared" si="2668"/>
        <v>642</v>
      </c>
      <c r="O466" s="22">
        <f t="shared" ref="O466" si="2717">SUM(B466,D466,F466,H466,J466,L466)</f>
        <v>1079</v>
      </c>
      <c r="P466" s="22">
        <f t="shared" ref="P466" si="2718">SUM(C466,E466,G466,I466,K466,M466)</f>
        <v>2922</v>
      </c>
      <c r="Q466" s="22">
        <f t="shared" ref="Q466" si="2719">SUM(D466,H466,L466)</f>
        <v>437</v>
      </c>
      <c r="R466" s="34">
        <f t="shared" ref="R466" si="2720">(N466-N465)/N465</f>
        <v>9.3696763202725727E-2</v>
      </c>
      <c r="S466" s="32">
        <f t="shared" ref="S466" si="2721">N466-N465</f>
        <v>55</v>
      </c>
      <c r="T466" s="34">
        <f t="shared" ref="T466" si="2722">(N466-N414)/N414</f>
        <v>0.35443037974683544</v>
      </c>
      <c r="U466" s="34">
        <f t="shared" ref="U466" si="2723">N466/P466</f>
        <v>0.21971252566735114</v>
      </c>
      <c r="V466" s="40">
        <f t="shared" ref="V466" si="2724">AVERAGE(B310,B362,B414)</f>
        <v>283.33333333333331</v>
      </c>
      <c r="W466" s="40">
        <f t="shared" ref="W466" si="2725">AVERAGE(F310,F362,F414)</f>
        <v>20</v>
      </c>
      <c r="X466" s="40">
        <f t="shared" ref="X466" si="2726">AVERAGE(J310,J362,J414)</f>
        <v>264.33333333333331</v>
      </c>
      <c r="Y466" s="40">
        <f t="shared" ref="Y466" si="2727">AVERAGE(N310,N362,N414)</f>
        <v>567.66666666666663</v>
      </c>
      <c r="Z466" s="61">
        <f t="shared" ref="Z466" si="2728">(N466-Y466)/Y466</f>
        <v>0.1309453904873753</v>
      </c>
      <c r="AA466" s="61"/>
    </row>
    <row r="467" spans="1:27" ht="16" thickBot="1" x14ac:dyDescent="0.4">
      <c r="A467" s="20">
        <f t="shared" si="2292"/>
        <v>41811</v>
      </c>
      <c r="B467" s="22">
        <v>393</v>
      </c>
      <c r="C467" s="22">
        <v>652</v>
      </c>
      <c r="D467" s="22">
        <v>37</v>
      </c>
      <c r="E467" s="22">
        <v>704</v>
      </c>
      <c r="F467" s="22">
        <v>2</v>
      </c>
      <c r="G467" s="22">
        <v>47</v>
      </c>
      <c r="H467" s="22">
        <v>28</v>
      </c>
      <c r="I467" s="22">
        <v>69</v>
      </c>
      <c r="J467" s="22">
        <v>190</v>
      </c>
      <c r="K467" s="22">
        <v>665</v>
      </c>
      <c r="L467" s="22">
        <v>319</v>
      </c>
      <c r="M467" s="22">
        <v>658</v>
      </c>
      <c r="N467" s="43">
        <f t="shared" si="2668"/>
        <v>585</v>
      </c>
      <c r="O467" s="22">
        <f t="shared" ref="O467" si="2729">SUM(B467,D467,F467,H467,J467,L467)</f>
        <v>969</v>
      </c>
      <c r="P467" s="22">
        <f t="shared" ref="P467" si="2730">SUM(C467,E467,G467,I467,K467,M467)</f>
        <v>2795</v>
      </c>
      <c r="Q467" s="22">
        <f t="shared" ref="Q467" si="2731">SUM(D467,H467,L467)</f>
        <v>384</v>
      </c>
      <c r="R467" s="34">
        <f t="shared" ref="R467" si="2732">(N467-N466)/N466</f>
        <v>-8.8785046728971959E-2</v>
      </c>
      <c r="S467" s="32">
        <f t="shared" ref="S467" si="2733">N467-N466</f>
        <v>-57</v>
      </c>
      <c r="T467" s="34">
        <f t="shared" ref="T467" si="2734">(N467-N415)/N415</f>
        <v>0.32653061224489793</v>
      </c>
      <c r="U467" s="34">
        <f t="shared" ref="U467" si="2735">N467/P467</f>
        <v>0.20930232558139536</v>
      </c>
      <c r="V467" s="40">
        <f t="shared" ref="V467" si="2736">AVERAGE(B311,B363,B415)</f>
        <v>290.66666666666669</v>
      </c>
      <c r="W467" s="40">
        <f t="shared" ref="W467" si="2737">AVERAGE(F311,F363,F415)</f>
        <v>15.333333333333334</v>
      </c>
      <c r="X467" s="40">
        <f t="shared" ref="X467" si="2738">AVERAGE(J311,J363,J415)</f>
        <v>242.33333333333334</v>
      </c>
      <c r="Y467" s="40">
        <f t="shared" ref="Y467" si="2739">AVERAGE(N311,N363,N415)</f>
        <v>548.33333333333337</v>
      </c>
      <c r="Z467" s="61">
        <f t="shared" ref="Z467" si="2740">(N467-Y467)/Y467</f>
        <v>6.6869300911854029E-2</v>
      </c>
      <c r="AA467" s="61"/>
    </row>
    <row r="468" spans="1:27" ht="16" thickBot="1" x14ac:dyDescent="0.4">
      <c r="A468" s="20">
        <f t="shared" si="2292"/>
        <v>41818</v>
      </c>
      <c r="B468" s="22">
        <v>469</v>
      </c>
      <c r="C468" s="22">
        <v>782</v>
      </c>
      <c r="D468" s="22">
        <v>49</v>
      </c>
      <c r="E468" s="22">
        <v>593</v>
      </c>
      <c r="F468" s="22">
        <v>3</v>
      </c>
      <c r="G468" s="22">
        <v>64</v>
      </c>
      <c r="H468" s="22">
        <v>18</v>
      </c>
      <c r="I468" s="22">
        <v>87</v>
      </c>
      <c r="J468" s="22">
        <v>233</v>
      </c>
      <c r="K468" s="22">
        <v>752</v>
      </c>
      <c r="L468" s="22">
        <v>303</v>
      </c>
      <c r="M468" s="22">
        <v>740</v>
      </c>
      <c r="N468" s="43">
        <f t="shared" si="2668"/>
        <v>705</v>
      </c>
      <c r="O468" s="22">
        <f t="shared" ref="O468" si="2741">SUM(B468,D468,F468,H468,J468,L468)</f>
        <v>1075</v>
      </c>
      <c r="P468" s="22">
        <f t="shared" ref="P468" si="2742">SUM(C468,E468,G468,I468,K468,M468)</f>
        <v>3018</v>
      </c>
      <c r="Q468" s="22">
        <f t="shared" ref="Q468" si="2743">SUM(D468,H468,L468)</f>
        <v>370</v>
      </c>
      <c r="R468" s="34">
        <f t="shared" ref="R468" si="2744">(N468-N467)/N467</f>
        <v>0.20512820512820512</v>
      </c>
      <c r="S468" s="32">
        <f t="shared" ref="S468" si="2745">N468-N467</f>
        <v>120</v>
      </c>
      <c r="T468" s="34">
        <f t="shared" ref="T468" si="2746">(N468-N416)/N416</f>
        <v>0.65492957746478875</v>
      </c>
      <c r="U468" s="34">
        <f t="shared" ref="U468" si="2747">N468/P468</f>
        <v>0.23359840954274355</v>
      </c>
      <c r="V468" s="40">
        <f t="shared" ref="V468" si="2748">AVERAGE(B312,B364,B416)</f>
        <v>245.33333333333334</v>
      </c>
      <c r="W468" s="40">
        <f t="shared" ref="W468" si="2749">AVERAGE(F312,F364,F416)</f>
        <v>28.666666666666668</v>
      </c>
      <c r="X468" s="40">
        <f t="shared" ref="X468" si="2750">AVERAGE(J312,J364,J416)</f>
        <v>244.33333333333334</v>
      </c>
      <c r="Y468" s="40">
        <f t="shared" ref="Y468" si="2751">AVERAGE(N312,N364,N416)</f>
        <v>518.33333333333337</v>
      </c>
      <c r="Z468" s="61">
        <f t="shared" ref="Z468" si="2752">(N468-Y468)/Y468</f>
        <v>0.36012861736334395</v>
      </c>
      <c r="AA468" s="61"/>
    </row>
    <row r="469" spans="1:27" ht="16" thickBot="1" x14ac:dyDescent="0.4">
      <c r="A469" s="20">
        <f t="shared" si="2292"/>
        <v>41825</v>
      </c>
      <c r="B469" s="22">
        <v>284</v>
      </c>
      <c r="C469" s="22">
        <v>466</v>
      </c>
      <c r="D469" s="22">
        <v>49</v>
      </c>
      <c r="E469" s="22">
        <v>472</v>
      </c>
      <c r="F469" s="22">
        <v>1</v>
      </c>
      <c r="G469" s="22">
        <v>52</v>
      </c>
      <c r="H469" s="22">
        <v>20</v>
      </c>
      <c r="I469" s="22">
        <v>53</v>
      </c>
      <c r="J469" s="22">
        <v>197</v>
      </c>
      <c r="K469" s="22">
        <v>718</v>
      </c>
      <c r="L469" s="22">
        <v>338</v>
      </c>
      <c r="M469" s="22">
        <v>724</v>
      </c>
      <c r="N469" s="43">
        <f t="shared" si="2668"/>
        <v>482</v>
      </c>
      <c r="O469" s="22">
        <f t="shared" ref="O469" si="2753">SUM(B469,D469,F469,H469,J469,L469)</f>
        <v>889</v>
      </c>
      <c r="P469" s="22">
        <f t="shared" ref="P469" si="2754">SUM(C469,E469,G469,I469,K469,M469)</f>
        <v>2485</v>
      </c>
      <c r="Q469" s="22">
        <f t="shared" ref="Q469" si="2755">SUM(D469,H469,L469)</f>
        <v>407</v>
      </c>
      <c r="R469" s="34">
        <f t="shared" ref="R469" si="2756">(N469-N468)/N468</f>
        <v>-0.31631205673758866</v>
      </c>
      <c r="S469" s="32">
        <f t="shared" ref="S469" si="2757">N469-N468</f>
        <v>-223</v>
      </c>
      <c r="T469" s="34">
        <f t="shared" ref="T469" si="2758">(N469-N417)/N417</f>
        <v>-4.7430830039525688E-2</v>
      </c>
      <c r="U469" s="34">
        <f t="shared" ref="U469" si="2759">N469/P469</f>
        <v>0.19396378269617706</v>
      </c>
      <c r="V469" s="40">
        <f t="shared" ref="V469" si="2760">AVERAGE(B313,B365,B417)</f>
        <v>268</v>
      </c>
      <c r="W469" s="40">
        <f t="shared" ref="W469" si="2761">AVERAGE(F313,F365,F417)</f>
        <v>27</v>
      </c>
      <c r="X469" s="40">
        <f t="shared" ref="X469" si="2762">AVERAGE(J313,J365,J417)</f>
        <v>250</v>
      </c>
      <c r="Y469" s="40">
        <f t="shared" ref="Y469" si="2763">AVERAGE(N313,N365,N417)</f>
        <v>545</v>
      </c>
      <c r="Z469" s="61">
        <f t="shared" ref="Z469" si="2764">(N469-Y469)/Y469</f>
        <v>-0.11559633027522936</v>
      </c>
      <c r="AA469" s="61"/>
    </row>
    <row r="470" spans="1:27" ht="16" thickBot="1" x14ac:dyDescent="0.4">
      <c r="A470" s="20">
        <f t="shared" si="2292"/>
        <v>41832</v>
      </c>
      <c r="B470" s="22">
        <v>297</v>
      </c>
      <c r="C470" s="22">
        <v>488</v>
      </c>
      <c r="D470" s="22">
        <v>67</v>
      </c>
      <c r="E470" s="22">
        <v>432</v>
      </c>
      <c r="F470" s="22">
        <v>4</v>
      </c>
      <c r="G470" s="22">
        <v>68</v>
      </c>
      <c r="H470" s="22">
        <v>20</v>
      </c>
      <c r="I470" s="22">
        <v>81</v>
      </c>
      <c r="J470" s="22">
        <v>181</v>
      </c>
      <c r="K470" s="22">
        <v>662</v>
      </c>
      <c r="L470" s="22">
        <v>329</v>
      </c>
      <c r="M470" s="22">
        <v>801</v>
      </c>
      <c r="N470" s="43">
        <f t="shared" si="2668"/>
        <v>482</v>
      </c>
      <c r="O470" s="22">
        <f t="shared" ref="O470" si="2765">SUM(B470,D470,F470,H470,J470,L470)</f>
        <v>898</v>
      </c>
      <c r="P470" s="22">
        <f t="shared" ref="P470" si="2766">SUM(C470,E470,G470,I470,K470,M470)</f>
        <v>2532</v>
      </c>
      <c r="Q470" s="22">
        <f t="shared" ref="Q470" si="2767">SUM(D470,H470,L470)</f>
        <v>416</v>
      </c>
      <c r="R470" s="34">
        <f t="shared" ref="R470" si="2768">(N470-N469)/N469</f>
        <v>0</v>
      </c>
      <c r="S470" s="32">
        <f t="shared" ref="S470" si="2769">N470-N469</f>
        <v>0</v>
      </c>
      <c r="T470" s="34">
        <f t="shared" ref="T470" si="2770">(N470-N418)/N418</f>
        <v>0.34636871508379891</v>
      </c>
      <c r="U470" s="34">
        <f t="shared" ref="U470" si="2771">N470/P470</f>
        <v>0.19036334913112166</v>
      </c>
      <c r="V470" s="40">
        <f t="shared" ref="V470" si="2772">AVERAGE(B314,B366,B418)</f>
        <v>329</v>
      </c>
      <c r="W470" s="40">
        <f t="shared" ref="W470" si="2773">AVERAGE(F314,F366,F418)</f>
        <v>20.666666666666668</v>
      </c>
      <c r="X470" s="40">
        <f t="shared" ref="X470" si="2774">AVERAGE(J314,J366,J418)</f>
        <v>260.33333333333331</v>
      </c>
      <c r="Y470" s="40">
        <f t="shared" ref="Y470" si="2775">AVERAGE(N314,N366,N418)</f>
        <v>610</v>
      </c>
      <c r="Z470" s="61">
        <f t="shared" ref="Z470" si="2776">(N470-Y470)/Y470</f>
        <v>-0.20983606557377049</v>
      </c>
      <c r="AA470" s="61"/>
    </row>
    <row r="471" spans="1:27" ht="16" thickBot="1" x14ac:dyDescent="0.4">
      <c r="A471" s="20">
        <f t="shared" si="2292"/>
        <v>41839</v>
      </c>
      <c r="B471" s="22">
        <v>391</v>
      </c>
      <c r="C471" s="22">
        <v>633</v>
      </c>
      <c r="D471" s="22">
        <v>78</v>
      </c>
      <c r="E471" s="22">
        <v>416</v>
      </c>
      <c r="F471" s="22">
        <v>14</v>
      </c>
      <c r="G471" s="22">
        <v>61</v>
      </c>
      <c r="H471" s="22">
        <v>16</v>
      </c>
      <c r="I471" s="22">
        <v>59</v>
      </c>
      <c r="J471" s="22">
        <v>84</v>
      </c>
      <c r="K471" s="22">
        <v>574</v>
      </c>
      <c r="L471" s="22">
        <v>321</v>
      </c>
      <c r="M471" s="22">
        <v>581</v>
      </c>
      <c r="N471" s="43">
        <f t="shared" si="2668"/>
        <v>489</v>
      </c>
      <c r="O471" s="22">
        <f t="shared" ref="O471" si="2777">SUM(B471,D471,F471,H471,J471,L471)</f>
        <v>904</v>
      </c>
      <c r="P471" s="22">
        <f t="shared" ref="P471" si="2778">SUM(C471,E471,G471,I471,K471,M471)</f>
        <v>2324</v>
      </c>
      <c r="Q471" s="22">
        <f t="shared" ref="Q471" si="2779">SUM(D471,H471,L471)</f>
        <v>415</v>
      </c>
      <c r="R471" s="34">
        <f t="shared" ref="R471" si="2780">(N471-N470)/N470</f>
        <v>1.4522821576763486E-2</v>
      </c>
      <c r="S471" s="32">
        <f t="shared" ref="S471" si="2781">N471-N470</f>
        <v>7</v>
      </c>
      <c r="T471" s="34">
        <f t="shared" ref="T471" si="2782">(N471-N419)/N419</f>
        <v>-7.2106261859582549E-2</v>
      </c>
      <c r="U471" s="34">
        <f t="shared" ref="U471" si="2783">N471/P471</f>
        <v>0.2104130808950086</v>
      </c>
      <c r="V471" s="40">
        <f t="shared" ref="V471" si="2784">AVERAGE(B315,B367,B419)</f>
        <v>347.33333333333331</v>
      </c>
      <c r="W471" s="40">
        <f t="shared" ref="W471" si="2785">AVERAGE(F315,F367,F419)</f>
        <v>27</v>
      </c>
      <c r="X471" s="40">
        <f t="shared" ref="X471" si="2786">AVERAGE(J315,J367,J419)</f>
        <v>296</v>
      </c>
      <c r="Y471" s="40">
        <f t="shared" ref="Y471" si="2787">AVERAGE(N315,N367,N419)</f>
        <v>670.33333333333337</v>
      </c>
      <c r="Z471" s="61">
        <f t="shared" ref="Z471" si="2788">(N471-Y471)/Y471</f>
        <v>-0.27051218299353558</v>
      </c>
      <c r="AA471" s="61"/>
    </row>
    <row r="472" spans="1:27" ht="16" thickBot="1" x14ac:dyDescent="0.4">
      <c r="A472" s="20">
        <f t="shared" si="2292"/>
        <v>41846</v>
      </c>
      <c r="B472" s="22">
        <v>392</v>
      </c>
      <c r="C472" s="22">
        <v>733</v>
      </c>
      <c r="D472" s="22">
        <v>75</v>
      </c>
      <c r="E472" s="22">
        <v>707</v>
      </c>
      <c r="F472" s="22">
        <v>4</v>
      </c>
      <c r="G472" s="22">
        <v>46</v>
      </c>
      <c r="H472" s="22">
        <v>23</v>
      </c>
      <c r="I472" s="22">
        <v>91</v>
      </c>
      <c r="J472" s="22">
        <v>182</v>
      </c>
      <c r="K472" s="22">
        <v>592</v>
      </c>
      <c r="L472" s="22">
        <v>266</v>
      </c>
      <c r="M472" s="22">
        <v>690</v>
      </c>
      <c r="N472" s="43">
        <f t="shared" si="2668"/>
        <v>578</v>
      </c>
      <c r="O472" s="22">
        <f t="shared" ref="O472" si="2789">SUM(B472,D472,F472,H472,J472,L472)</f>
        <v>942</v>
      </c>
      <c r="P472" s="22">
        <f t="shared" ref="P472" si="2790">SUM(C472,E472,G472,I472,K472,M472)</f>
        <v>2859</v>
      </c>
      <c r="Q472" s="22">
        <f t="shared" ref="Q472" si="2791">SUM(D472,H472,L472)</f>
        <v>364</v>
      </c>
      <c r="R472" s="34">
        <f t="shared" ref="R472" si="2792">(N472-N471)/N471</f>
        <v>0.18200408997955012</v>
      </c>
      <c r="S472" s="32">
        <f t="shared" ref="S472" si="2793">N472-N471</f>
        <v>89</v>
      </c>
      <c r="T472" s="34">
        <f t="shared" ref="T472" si="2794">(N472-N420)/N420</f>
        <v>0.56216216216216219</v>
      </c>
      <c r="U472" s="34">
        <f t="shared" ref="U472" si="2795">N472/P472</f>
        <v>0.20216859041622945</v>
      </c>
      <c r="V472" s="40">
        <f t="shared" ref="V472" si="2796">AVERAGE(B316,B368,B420)</f>
        <v>238.66666666666666</v>
      </c>
      <c r="W472" s="40">
        <f t="shared" ref="W472" si="2797">AVERAGE(F316,F368,F420)</f>
        <v>23</v>
      </c>
      <c r="X472" s="40">
        <f t="shared" ref="X472" si="2798">AVERAGE(J316,J368,J420)</f>
        <v>272.33333333333331</v>
      </c>
      <c r="Y472" s="40">
        <f t="shared" ref="Y472" si="2799">AVERAGE(N316,N368,N420)</f>
        <v>534</v>
      </c>
      <c r="Z472" s="61">
        <f t="shared" ref="Z472" si="2800">(N472-Y472)/Y472</f>
        <v>8.2397003745318345E-2</v>
      </c>
      <c r="AA472" s="61"/>
    </row>
    <row r="473" spans="1:27" ht="16" thickBot="1" x14ac:dyDescent="0.4">
      <c r="A473" s="20">
        <f t="shared" si="2292"/>
        <v>41853</v>
      </c>
      <c r="B473" s="22">
        <v>327</v>
      </c>
      <c r="C473" s="22">
        <v>666</v>
      </c>
      <c r="D473" s="22">
        <v>82</v>
      </c>
      <c r="E473" s="22">
        <v>648</v>
      </c>
      <c r="F473" s="22">
        <v>20</v>
      </c>
      <c r="G473" s="22">
        <v>92</v>
      </c>
      <c r="H473" s="22">
        <v>28</v>
      </c>
      <c r="I473" s="22">
        <v>81</v>
      </c>
      <c r="J473" s="22">
        <v>146</v>
      </c>
      <c r="K473" s="22">
        <v>758</v>
      </c>
      <c r="L473" s="22">
        <v>290</v>
      </c>
      <c r="M473" s="22">
        <v>614</v>
      </c>
      <c r="N473" s="43">
        <f t="shared" si="2668"/>
        <v>493</v>
      </c>
      <c r="O473" s="22">
        <f t="shared" ref="O473" si="2801">SUM(B473,D473,F473,H473,J473,L473)</f>
        <v>893</v>
      </c>
      <c r="P473" s="22">
        <f t="shared" ref="P473" si="2802">SUM(C473,E473,G473,I473,K473,M473)</f>
        <v>2859</v>
      </c>
      <c r="Q473" s="22">
        <f t="shared" ref="Q473" si="2803">SUM(D473,H473,L473)</f>
        <v>400</v>
      </c>
      <c r="R473" s="34">
        <f t="shared" ref="R473" si="2804">(N473-N472)/N472</f>
        <v>-0.14705882352941177</v>
      </c>
      <c r="S473" s="32">
        <f t="shared" ref="S473" si="2805">N473-N472</f>
        <v>-85</v>
      </c>
      <c r="T473" s="34">
        <f t="shared" ref="T473" si="2806">(N473-N421)/N421</f>
        <v>0.70588235294117652</v>
      </c>
      <c r="U473" s="34">
        <f t="shared" ref="U473" si="2807">N473/P473</f>
        <v>0.17243791535501923</v>
      </c>
      <c r="V473" s="40">
        <f t="shared" ref="V473" si="2808">AVERAGE(B317,B369,B421)</f>
        <v>226.33333333333334</v>
      </c>
      <c r="W473" s="40">
        <f t="shared" ref="W473" si="2809">AVERAGE(F317,F369,F421)</f>
        <v>20.333333333333332</v>
      </c>
      <c r="X473" s="40">
        <f t="shared" ref="X473" si="2810">AVERAGE(J317,J369,J421)</f>
        <v>230.33333333333334</v>
      </c>
      <c r="Y473" s="40">
        <f t="shared" ref="Y473" si="2811">AVERAGE(N317,N369,N421)</f>
        <v>477</v>
      </c>
      <c r="Z473" s="61">
        <f t="shared" ref="Z473" si="2812">(N473-Y473)/Y473</f>
        <v>3.3542976939203356E-2</v>
      </c>
      <c r="AA473" s="61"/>
    </row>
    <row r="474" spans="1:27" ht="16" thickBot="1" x14ac:dyDescent="0.4">
      <c r="A474" s="20">
        <f t="shared" si="2292"/>
        <v>41860</v>
      </c>
      <c r="B474" s="22">
        <v>248</v>
      </c>
      <c r="C474" s="22">
        <v>579</v>
      </c>
      <c r="D474" s="22">
        <v>68</v>
      </c>
      <c r="E474" s="22">
        <v>720</v>
      </c>
      <c r="F474" s="22">
        <v>2</v>
      </c>
      <c r="G474" s="22">
        <v>77</v>
      </c>
      <c r="H474" s="22">
        <v>14</v>
      </c>
      <c r="I474" s="22">
        <v>44</v>
      </c>
      <c r="J474" s="22">
        <v>166</v>
      </c>
      <c r="K474" s="22">
        <v>593</v>
      </c>
      <c r="L474" s="22">
        <v>307</v>
      </c>
      <c r="M474" s="22">
        <v>736</v>
      </c>
      <c r="N474" s="43">
        <f t="shared" si="2668"/>
        <v>416</v>
      </c>
      <c r="O474" s="22">
        <f t="shared" ref="O474" si="2813">SUM(B474,D474,F474,H474,J474,L474)</f>
        <v>805</v>
      </c>
      <c r="P474" s="22">
        <f t="shared" ref="P474" si="2814">SUM(C474,E474,G474,I474,K474,M474)</f>
        <v>2749</v>
      </c>
      <c r="Q474" s="22">
        <f t="shared" ref="Q474" si="2815">SUM(D474,H474,L474)</f>
        <v>389</v>
      </c>
      <c r="R474" s="34">
        <f t="shared" ref="R474" si="2816">(N474-N473)/N473</f>
        <v>-0.15618661257606492</v>
      </c>
      <c r="S474" s="32">
        <f t="shared" ref="S474" si="2817">N474-N473</f>
        <v>-77</v>
      </c>
      <c r="T474" s="34">
        <f t="shared" ref="T474" si="2818">(N474-N422)/N422</f>
        <v>0.55223880597014929</v>
      </c>
      <c r="U474" s="34">
        <f t="shared" ref="U474" si="2819">N474/P474</f>
        <v>0.1513277555474718</v>
      </c>
      <c r="V474" s="40">
        <f t="shared" ref="V474" si="2820">AVERAGE(B318,B370,B422)</f>
        <v>148.66666666666666</v>
      </c>
      <c r="W474" s="40">
        <f t="shared" ref="W474" si="2821">AVERAGE(F318,F370,F422)</f>
        <v>27.666666666666668</v>
      </c>
      <c r="X474" s="40">
        <f t="shared" ref="X474" si="2822">AVERAGE(J318,J370,J422)</f>
        <v>211.66666666666666</v>
      </c>
      <c r="Y474" s="40">
        <f t="shared" ref="Y474" si="2823">AVERAGE(N318,N370,N422)</f>
        <v>388</v>
      </c>
      <c r="Z474" s="61">
        <f t="shared" ref="Z474" si="2824">(N474-Y474)/Y474</f>
        <v>7.2164948453608241E-2</v>
      </c>
      <c r="AA474" s="61"/>
    </row>
    <row r="475" spans="1:27" ht="16" thickBot="1" x14ac:dyDescent="0.4">
      <c r="A475" s="20">
        <f t="shared" si="2292"/>
        <v>41867</v>
      </c>
      <c r="B475" s="22">
        <v>189</v>
      </c>
      <c r="C475" s="22">
        <v>438</v>
      </c>
      <c r="D475" s="22">
        <v>63</v>
      </c>
      <c r="E475" s="22">
        <v>492</v>
      </c>
      <c r="F475" s="22">
        <v>10</v>
      </c>
      <c r="G475" s="22">
        <v>91</v>
      </c>
      <c r="H475" s="22">
        <v>15</v>
      </c>
      <c r="I475" s="22">
        <v>70</v>
      </c>
      <c r="J475" s="22">
        <v>185</v>
      </c>
      <c r="K475" s="22">
        <v>731</v>
      </c>
      <c r="L475" s="22">
        <v>267</v>
      </c>
      <c r="M475" s="22">
        <v>721</v>
      </c>
      <c r="N475" s="43">
        <f t="shared" si="2668"/>
        <v>384</v>
      </c>
      <c r="O475" s="22">
        <f t="shared" ref="O475" si="2825">SUM(B475,D475,F475,H475,J475,L475)</f>
        <v>729</v>
      </c>
      <c r="P475" s="22">
        <f t="shared" ref="P475" si="2826">SUM(C475,E475,G475,I475,K475,M475)</f>
        <v>2543</v>
      </c>
      <c r="Q475" s="22">
        <f t="shared" ref="Q475" si="2827">SUM(D475,H475,L475)</f>
        <v>345</v>
      </c>
      <c r="R475" s="34">
        <f t="shared" ref="R475" si="2828">(N475-N474)/N474</f>
        <v>-7.6923076923076927E-2</v>
      </c>
      <c r="S475" s="32">
        <f t="shared" ref="S475" si="2829">N475-N474</f>
        <v>-32</v>
      </c>
      <c r="T475" s="34">
        <f t="shared" ref="T475" si="2830">(N475-N423)/N423</f>
        <v>-7.6923076923076927E-2</v>
      </c>
      <c r="U475" s="34">
        <f t="shared" ref="U475" si="2831">N475/P475</f>
        <v>0.15100275265434526</v>
      </c>
      <c r="V475" s="40">
        <f t="shared" ref="V475" si="2832">AVERAGE(B319,B371,B423)</f>
        <v>127</v>
      </c>
      <c r="W475" s="40">
        <f t="shared" ref="W475" si="2833">AVERAGE(F319,F371,F423)</f>
        <v>40.333333333333336</v>
      </c>
      <c r="X475" s="40">
        <f t="shared" ref="X475" si="2834">AVERAGE(J319,J371,J423)</f>
        <v>260</v>
      </c>
      <c r="Y475" s="40">
        <f t="shared" ref="Y475" si="2835">AVERAGE(N319,N371,N423)</f>
        <v>427.33333333333331</v>
      </c>
      <c r="Z475" s="61">
        <f t="shared" ref="Z475" si="2836">(N475-Y475)/Y475</f>
        <v>-0.10140405616224644</v>
      </c>
      <c r="AA475" s="61"/>
    </row>
    <row r="476" spans="1:27" ht="16" thickBot="1" x14ac:dyDescent="0.4">
      <c r="A476" s="20">
        <f t="shared" si="2292"/>
        <v>41874</v>
      </c>
      <c r="B476" s="22">
        <v>143</v>
      </c>
      <c r="C476" s="22">
        <v>443</v>
      </c>
      <c r="D476" s="22">
        <v>65</v>
      </c>
      <c r="E476" s="22">
        <v>648</v>
      </c>
      <c r="F476" s="22">
        <v>11</v>
      </c>
      <c r="G476" s="22">
        <v>35</v>
      </c>
      <c r="H476" s="22">
        <v>7</v>
      </c>
      <c r="I476" s="22">
        <v>31</v>
      </c>
      <c r="J476" s="22">
        <v>43</v>
      </c>
      <c r="K476" s="22">
        <v>355</v>
      </c>
      <c r="L476" s="22">
        <v>234</v>
      </c>
      <c r="M476" s="22">
        <v>542</v>
      </c>
      <c r="N476" s="43">
        <f t="shared" si="2668"/>
        <v>197</v>
      </c>
      <c r="O476" s="22">
        <f t="shared" ref="O476" si="2837">SUM(B476,D476,F476,H476,J476,L476)</f>
        <v>503</v>
      </c>
      <c r="P476" s="22">
        <f t="shared" ref="P476" si="2838">SUM(C476,E476,G476,I476,K476,M476)</f>
        <v>2054</v>
      </c>
      <c r="Q476" s="22">
        <f t="shared" ref="Q476" si="2839">SUM(D476,H476,L476)</f>
        <v>306</v>
      </c>
      <c r="R476" s="34">
        <f t="shared" ref="R476" si="2840">(N476-N475)/N475</f>
        <v>-0.48697916666666669</v>
      </c>
      <c r="S476" s="32">
        <f t="shared" ref="S476" si="2841">N476-N475</f>
        <v>-187</v>
      </c>
      <c r="T476" s="34">
        <f t="shared" ref="T476" si="2842">(N476-N424)/N424</f>
        <v>-0.31833910034602075</v>
      </c>
      <c r="U476" s="34">
        <f t="shared" ref="U476" si="2843">N476/P476</f>
        <v>9.5910418695228816E-2</v>
      </c>
      <c r="V476" s="40">
        <f t="shared" ref="V476" si="2844">AVERAGE(B320,B372,B424)</f>
        <v>115</v>
      </c>
      <c r="W476" s="40">
        <f t="shared" ref="W476" si="2845">AVERAGE(F320,F372,F424)</f>
        <v>32</v>
      </c>
      <c r="X476" s="40">
        <f t="shared" ref="X476" si="2846">AVERAGE(J320,J372,J424)</f>
        <v>208.33333333333334</v>
      </c>
      <c r="Y476" s="40">
        <f t="shared" ref="Y476" si="2847">AVERAGE(N320,N372,N424)</f>
        <v>355.33333333333331</v>
      </c>
      <c r="Z476" s="61">
        <f t="shared" ref="Z476" si="2848">(N476-Y476)/Y476</f>
        <v>-0.44559099437148214</v>
      </c>
      <c r="AA476" s="61"/>
    </row>
    <row r="477" spans="1:27" ht="16" thickBot="1" x14ac:dyDescent="0.4">
      <c r="A477" s="20">
        <f t="shared" si="2292"/>
        <v>41881</v>
      </c>
      <c r="B477" s="22">
        <v>143</v>
      </c>
      <c r="C477" s="22">
        <v>671</v>
      </c>
      <c r="D477" s="22">
        <v>102</v>
      </c>
      <c r="E477" s="22">
        <v>684</v>
      </c>
      <c r="F477" s="22">
        <v>0</v>
      </c>
      <c r="G477" s="22">
        <v>36</v>
      </c>
      <c r="H477" s="22">
        <v>54</v>
      </c>
      <c r="I477" s="22">
        <v>128</v>
      </c>
      <c r="J477" s="22">
        <v>234</v>
      </c>
      <c r="K477" s="22">
        <v>971</v>
      </c>
      <c r="L477" s="22">
        <v>382</v>
      </c>
      <c r="M477" s="22">
        <v>787</v>
      </c>
      <c r="N477" s="43">
        <f t="shared" si="2668"/>
        <v>377</v>
      </c>
      <c r="O477" s="22">
        <f t="shared" ref="O477" si="2849">SUM(B477,D477,F477,H477,J477,L477)</f>
        <v>915</v>
      </c>
      <c r="P477" s="22">
        <f t="shared" ref="P477" si="2850">SUM(C477,E477,G477,I477,K477,M477)</f>
        <v>3277</v>
      </c>
      <c r="Q477" s="22">
        <f t="shared" ref="Q477" si="2851">SUM(D477,H477,L477)</f>
        <v>538</v>
      </c>
      <c r="R477" s="34">
        <f t="shared" ref="R477" si="2852">(N477-N476)/N476</f>
        <v>0.91370558375634514</v>
      </c>
      <c r="S477" s="32">
        <f t="shared" ref="S477" si="2853">N477-N476</f>
        <v>180</v>
      </c>
      <c r="T477" s="34">
        <f t="shared" ref="T477" si="2854">(N477-N425)/N425</f>
        <v>0.34163701067615659</v>
      </c>
      <c r="U477" s="34">
        <f t="shared" ref="U477" si="2855">N477/P477</f>
        <v>0.11504424778761062</v>
      </c>
      <c r="V477" s="40">
        <f t="shared" ref="V477" si="2856">AVERAGE(B321,B373,B425)</f>
        <v>102.33333333333333</v>
      </c>
      <c r="W477" s="40">
        <f t="shared" ref="W477" si="2857">AVERAGE(F321,F373,F425)</f>
        <v>19.333333333333332</v>
      </c>
      <c r="X477" s="40">
        <f t="shared" ref="X477" si="2858">AVERAGE(J321,J373,J425)</f>
        <v>221.33333333333334</v>
      </c>
      <c r="Y477" s="40">
        <f t="shared" ref="Y477" si="2859">AVERAGE(N321,N373,N425)</f>
        <v>343</v>
      </c>
      <c r="Z477" s="61">
        <f t="shared" ref="Z477" si="2860">(N477-Y477)/Y477</f>
        <v>9.9125364431486881E-2</v>
      </c>
      <c r="AA477" s="61"/>
    </row>
    <row r="478" spans="1:27" ht="16" thickBot="1" x14ac:dyDescent="0.4">
      <c r="A478" s="20">
        <f t="shared" si="2292"/>
        <v>41888</v>
      </c>
      <c r="B478" s="22">
        <v>128</v>
      </c>
      <c r="C478" s="22">
        <v>421</v>
      </c>
      <c r="D478" s="22">
        <v>105</v>
      </c>
      <c r="E478" s="22">
        <v>469</v>
      </c>
      <c r="F478" s="22">
        <v>19</v>
      </c>
      <c r="G478" s="22">
        <v>64</v>
      </c>
      <c r="H478" s="22">
        <v>6</v>
      </c>
      <c r="I478" s="22">
        <v>33</v>
      </c>
      <c r="J478" s="22">
        <v>96</v>
      </c>
      <c r="K478" s="22">
        <v>399</v>
      </c>
      <c r="L478" s="22">
        <v>295</v>
      </c>
      <c r="M478" s="22">
        <v>532</v>
      </c>
      <c r="N478" s="43">
        <f t="shared" si="2668"/>
        <v>243</v>
      </c>
      <c r="O478" s="22">
        <f t="shared" ref="O478" si="2861">SUM(B478,D478,F478,H478,J478,L478)</f>
        <v>649</v>
      </c>
      <c r="P478" s="22">
        <f t="shared" ref="P478" si="2862">SUM(C478,E478,G478,I478,K478,M478)</f>
        <v>1918</v>
      </c>
      <c r="Q478" s="22">
        <f t="shared" ref="Q478" si="2863">SUM(D478,H478,L478)</f>
        <v>406</v>
      </c>
      <c r="R478" s="34">
        <f t="shared" ref="R478" si="2864">(N478-N477)/N477</f>
        <v>-0.35543766578249336</v>
      </c>
      <c r="S478" s="32">
        <f t="shared" ref="S478" si="2865">N478-N477</f>
        <v>-134</v>
      </c>
      <c r="T478" s="34">
        <f t="shared" ref="T478" si="2866">(N478-N426)/N426</f>
        <v>-0.35199999999999998</v>
      </c>
      <c r="U478" s="34">
        <f t="shared" ref="U478" si="2867">N478/P478</f>
        <v>0.12669447340980189</v>
      </c>
      <c r="V478" s="40">
        <f t="shared" ref="V478" si="2868">AVERAGE(B322,B374,B426)</f>
        <v>98.666666666666671</v>
      </c>
      <c r="W478" s="40">
        <f t="shared" ref="W478" si="2869">AVERAGE(F322,F374,F426)</f>
        <v>34.333333333333336</v>
      </c>
      <c r="X478" s="40">
        <f t="shared" ref="X478" si="2870">AVERAGE(J322,J374,J426)</f>
        <v>239.66666666666666</v>
      </c>
      <c r="Y478" s="40">
        <f t="shared" ref="Y478" si="2871">AVERAGE(N322,N374,N426)</f>
        <v>372.66666666666669</v>
      </c>
      <c r="Z478" s="61">
        <f t="shared" ref="Z478" si="2872">(N478-Y478)/Y478</f>
        <v>-0.34794275491949916</v>
      </c>
      <c r="AA478" s="61"/>
    </row>
    <row r="479" spans="1:27" ht="16" thickBot="1" x14ac:dyDescent="0.4">
      <c r="A479" s="20">
        <f t="shared" si="2292"/>
        <v>41895</v>
      </c>
      <c r="B479" s="22">
        <v>113</v>
      </c>
      <c r="C479" s="22">
        <v>542</v>
      </c>
      <c r="D479" s="22">
        <v>116</v>
      </c>
      <c r="E479" s="22">
        <v>497</v>
      </c>
      <c r="F479" s="22">
        <v>17</v>
      </c>
      <c r="G479" s="22">
        <v>90</v>
      </c>
      <c r="H479" s="22">
        <v>11</v>
      </c>
      <c r="I479" s="22">
        <v>38</v>
      </c>
      <c r="J479" s="22">
        <v>77</v>
      </c>
      <c r="K479" s="22">
        <v>512</v>
      </c>
      <c r="L479" s="22">
        <v>310</v>
      </c>
      <c r="M479" s="22">
        <v>580</v>
      </c>
      <c r="N479" s="43">
        <f t="shared" si="2668"/>
        <v>207</v>
      </c>
      <c r="O479" s="22">
        <f t="shared" ref="O479" si="2873">SUM(B479,D479,F479,H479,J479,L479)</f>
        <v>644</v>
      </c>
      <c r="P479" s="22">
        <f t="shared" ref="P479" si="2874">SUM(C479,E479,G479,I479,K479,M479)</f>
        <v>2259</v>
      </c>
      <c r="Q479" s="22">
        <f t="shared" ref="Q479" si="2875">SUM(D479,H479,L479)</f>
        <v>437</v>
      </c>
      <c r="R479" s="34">
        <f t="shared" ref="R479" si="2876">(N479-N478)/N478</f>
        <v>-0.14814814814814814</v>
      </c>
      <c r="S479" s="32">
        <f t="shared" ref="S479" si="2877">N479-N478</f>
        <v>-36</v>
      </c>
      <c r="T479" s="34">
        <f t="shared" ref="T479" si="2878">(N479-N427)/N427</f>
        <v>-0.25270758122743681</v>
      </c>
      <c r="U479" s="34">
        <f t="shared" ref="U479" si="2879">N479/P479</f>
        <v>9.1633466135458169E-2</v>
      </c>
      <c r="V479" s="40">
        <f t="shared" ref="V479" si="2880">AVERAGE(B323,B375,B427)</f>
        <v>103</v>
      </c>
      <c r="W479" s="40">
        <f t="shared" ref="W479" si="2881">AVERAGE(F323,F375,F427)</f>
        <v>32.333333333333336</v>
      </c>
      <c r="X479" s="40">
        <f t="shared" ref="X479" si="2882">AVERAGE(J323,J375,J427)</f>
        <v>193.33333333333334</v>
      </c>
      <c r="Y479" s="40">
        <f t="shared" ref="Y479" si="2883">AVERAGE(N323,N375,N427)</f>
        <v>328.66666666666669</v>
      </c>
      <c r="Z479" s="61">
        <f t="shared" ref="Z479" si="2884">(N479-Y479)/Y479</f>
        <v>-0.37018255578093312</v>
      </c>
      <c r="AA479" s="61"/>
    </row>
    <row r="480" spans="1:27" ht="16" thickBot="1" x14ac:dyDescent="0.4">
      <c r="A480" s="20">
        <f t="shared" si="2292"/>
        <v>41902</v>
      </c>
      <c r="B480" s="22">
        <v>126</v>
      </c>
      <c r="C480" s="22">
        <v>386</v>
      </c>
      <c r="D480" s="22">
        <v>120</v>
      </c>
      <c r="E480" s="22">
        <v>437</v>
      </c>
      <c r="F480" s="22">
        <v>15</v>
      </c>
      <c r="G480" s="22">
        <v>102</v>
      </c>
      <c r="H480" s="22">
        <v>9</v>
      </c>
      <c r="I480" s="22">
        <v>90</v>
      </c>
      <c r="J480" s="22">
        <v>243</v>
      </c>
      <c r="K480" s="22">
        <v>864</v>
      </c>
      <c r="L480" s="22">
        <v>310</v>
      </c>
      <c r="M480" s="22">
        <v>793</v>
      </c>
      <c r="N480" s="43">
        <f t="shared" si="2668"/>
        <v>384</v>
      </c>
      <c r="O480" s="22">
        <f t="shared" ref="O480" si="2885">SUM(B480,D480,F480,H480,J480,L480)</f>
        <v>823</v>
      </c>
      <c r="P480" s="22">
        <f t="shared" ref="P480" si="2886">SUM(C480,E480,G480,I480,K480,M480)</f>
        <v>2672</v>
      </c>
      <c r="Q480" s="22">
        <f t="shared" ref="Q480" si="2887">SUM(D480,H480,L480)</f>
        <v>439</v>
      </c>
      <c r="R480" s="34">
        <f t="shared" ref="R480" si="2888">(N480-N479)/N479</f>
        <v>0.85507246376811596</v>
      </c>
      <c r="S480" s="32">
        <f t="shared" ref="S480" si="2889">N480-N479</f>
        <v>177</v>
      </c>
      <c r="T480" s="34">
        <f t="shared" ref="T480" si="2890">(N480-N428)/N428</f>
        <v>-0.18123667377398719</v>
      </c>
      <c r="U480" s="34">
        <f t="shared" ref="U480" si="2891">N480/P480</f>
        <v>0.1437125748502994</v>
      </c>
      <c r="V480" s="40">
        <f t="shared" ref="V480" si="2892">AVERAGE(B324,B376,B428)</f>
        <v>89.666666666666671</v>
      </c>
      <c r="W480" s="40">
        <f t="shared" ref="W480" si="2893">AVERAGE(F324,F376,F428)</f>
        <v>31.666666666666668</v>
      </c>
      <c r="X480" s="40">
        <f t="shared" ref="X480" si="2894">AVERAGE(J324,J376,J428)</f>
        <v>299</v>
      </c>
      <c r="Y480" s="40">
        <f t="shared" ref="Y480" si="2895">AVERAGE(N324,N376,N428)</f>
        <v>420.33333333333331</v>
      </c>
      <c r="Z480" s="61">
        <f t="shared" ref="Z480" si="2896">(N480-Y480)/Y480</f>
        <v>-8.6439333862014231E-2</v>
      </c>
      <c r="AA480" s="61"/>
    </row>
    <row r="481" spans="1:27" ht="16" thickBot="1" x14ac:dyDescent="0.4">
      <c r="A481" s="20">
        <f t="shared" si="2292"/>
        <v>41909</v>
      </c>
      <c r="B481" s="22">
        <v>134</v>
      </c>
      <c r="C481" s="22">
        <v>450</v>
      </c>
      <c r="D481" s="22">
        <v>167</v>
      </c>
      <c r="E481" s="22">
        <v>486</v>
      </c>
      <c r="F481" s="22">
        <v>16</v>
      </c>
      <c r="G481" s="22">
        <v>55</v>
      </c>
      <c r="H481" s="22">
        <v>13</v>
      </c>
      <c r="I481" s="22">
        <v>75</v>
      </c>
      <c r="J481" s="22">
        <v>123</v>
      </c>
      <c r="K481" s="22">
        <v>578</v>
      </c>
      <c r="L481" s="22">
        <v>280</v>
      </c>
      <c r="M481" s="22">
        <v>655</v>
      </c>
      <c r="N481" s="43">
        <f t="shared" si="2668"/>
        <v>273</v>
      </c>
      <c r="O481" s="22">
        <f t="shared" ref="O481" si="2897">SUM(B481,D481,F481,H481,J481,L481)</f>
        <v>733</v>
      </c>
      <c r="P481" s="22">
        <f t="shared" ref="P481" si="2898">SUM(C481,E481,G481,I481,K481,M481)</f>
        <v>2299</v>
      </c>
      <c r="Q481" s="22">
        <f t="shared" ref="Q481" si="2899">SUM(D481,H481,L481)</f>
        <v>460</v>
      </c>
      <c r="R481" s="34">
        <f t="shared" ref="R481" si="2900">(N481-N480)/N480</f>
        <v>-0.2890625</v>
      </c>
      <c r="S481" s="32">
        <f t="shared" ref="S481" si="2901">N481-N480</f>
        <v>-111</v>
      </c>
      <c r="T481" s="34">
        <f t="shared" ref="T481" si="2902">(N481-N429)/N429</f>
        <v>-2.8469750889679714E-2</v>
      </c>
      <c r="U481" s="34">
        <f t="shared" ref="U481" si="2903">N481/P481</f>
        <v>0.11874728142670726</v>
      </c>
      <c r="V481" s="40">
        <f t="shared" ref="V481" si="2904">AVERAGE(B325,B377,B429)</f>
        <v>153.33333333333334</v>
      </c>
      <c r="W481" s="40">
        <f t="shared" ref="W481" si="2905">AVERAGE(F325,F377,F429)</f>
        <v>23.666666666666668</v>
      </c>
      <c r="X481" s="40">
        <f t="shared" ref="X481" si="2906">AVERAGE(J325,J377,J429)</f>
        <v>275.66666666666669</v>
      </c>
      <c r="Y481" s="40">
        <f t="shared" ref="Y481" si="2907">AVERAGE(N325,N377,N429)</f>
        <v>452.66666666666669</v>
      </c>
      <c r="Z481" s="61">
        <f t="shared" ref="Z481" si="2908">(N481-Y481)/Y481</f>
        <v>-0.39690721649484539</v>
      </c>
      <c r="AA481" s="61"/>
    </row>
    <row r="482" spans="1:27" ht="16" thickBot="1" x14ac:dyDescent="0.4">
      <c r="A482" s="20">
        <f t="shared" si="2292"/>
        <v>41916</v>
      </c>
      <c r="B482" s="22">
        <v>131</v>
      </c>
      <c r="C482" s="22">
        <v>539</v>
      </c>
      <c r="D482" s="22">
        <v>89</v>
      </c>
      <c r="E482" s="22">
        <v>504</v>
      </c>
      <c r="F482" s="22">
        <v>29</v>
      </c>
      <c r="G482" s="22">
        <v>88</v>
      </c>
      <c r="H482" s="22">
        <v>13</v>
      </c>
      <c r="I482" s="22">
        <v>104</v>
      </c>
      <c r="J482" s="22">
        <v>196</v>
      </c>
      <c r="K482" s="22">
        <v>658</v>
      </c>
      <c r="L482" s="22">
        <v>296</v>
      </c>
      <c r="M482" s="22">
        <v>710</v>
      </c>
      <c r="N482" s="43">
        <f t="shared" ref="N482:N492" si="2909">SUM(B482,F482,J482)</f>
        <v>356</v>
      </c>
      <c r="O482" s="22">
        <f t="shared" ref="O482" si="2910">SUM(B482,D482,F482,H482,J482,L482)</f>
        <v>754</v>
      </c>
      <c r="P482" s="22">
        <f t="shared" ref="P482" si="2911">SUM(C482,E482,G482,I482,K482,M482)</f>
        <v>2603</v>
      </c>
      <c r="Q482" s="22">
        <f t="shared" ref="Q482" si="2912">SUM(D482,H482,L482)</f>
        <v>398</v>
      </c>
      <c r="R482" s="34">
        <f t="shared" ref="R482" si="2913">(N482-N481)/N481</f>
        <v>0.304029304029304</v>
      </c>
      <c r="S482" s="32">
        <f t="shared" ref="S482" si="2914">N482-N481</f>
        <v>83</v>
      </c>
      <c r="T482" s="34">
        <f t="shared" ref="T482" si="2915">(N482-N430)/N430</f>
        <v>-3.2608695652173912E-2</v>
      </c>
      <c r="U482" s="34">
        <f t="shared" ref="U482" si="2916">N482/P482</f>
        <v>0.13676527084133691</v>
      </c>
      <c r="V482" s="40">
        <f t="shared" ref="V482" si="2917">AVERAGE(B326,B378,B430)</f>
        <v>166.33333333333334</v>
      </c>
      <c r="W482" s="40">
        <f t="shared" ref="W482" si="2918">AVERAGE(F326,F378,F430)</f>
        <v>32</v>
      </c>
      <c r="X482" s="40">
        <f t="shared" ref="X482" si="2919">AVERAGE(J326,J378,J430)</f>
        <v>257.66666666666669</v>
      </c>
      <c r="Y482" s="40">
        <f t="shared" ref="Y482" si="2920">AVERAGE(N326,N378,N430)</f>
        <v>456</v>
      </c>
      <c r="Z482" s="61">
        <f t="shared" ref="Z482" si="2921">(N482-Y482)/Y482</f>
        <v>-0.21929824561403508</v>
      </c>
      <c r="AA482" s="61"/>
    </row>
    <row r="483" spans="1:27" ht="16" thickBot="1" x14ac:dyDescent="0.4">
      <c r="A483" s="20">
        <f t="shared" si="2292"/>
        <v>41923</v>
      </c>
      <c r="B483" s="22">
        <v>111</v>
      </c>
      <c r="C483" s="22">
        <v>498</v>
      </c>
      <c r="D483" s="22">
        <v>57</v>
      </c>
      <c r="E483" s="22">
        <v>473</v>
      </c>
      <c r="F483" s="22">
        <v>24</v>
      </c>
      <c r="G483" s="22">
        <v>88</v>
      </c>
      <c r="H483" s="22">
        <v>17</v>
      </c>
      <c r="I483" s="22">
        <v>77</v>
      </c>
      <c r="J483" s="22">
        <v>194</v>
      </c>
      <c r="K483" s="22">
        <v>562</v>
      </c>
      <c r="L483" s="22">
        <v>281</v>
      </c>
      <c r="M483" s="22">
        <v>740</v>
      </c>
      <c r="N483" s="43">
        <f t="shared" si="2909"/>
        <v>329</v>
      </c>
      <c r="O483" s="22">
        <f t="shared" ref="O483" si="2922">SUM(B483,D483,F483,H483,J483,L483)</f>
        <v>684</v>
      </c>
      <c r="P483" s="22">
        <f t="shared" ref="P483" si="2923">SUM(C483,E483,G483,I483,K483,M483)</f>
        <v>2438</v>
      </c>
      <c r="Q483" s="22">
        <f t="shared" ref="Q483" si="2924">SUM(D483,H483,L483)</f>
        <v>355</v>
      </c>
      <c r="R483" s="34">
        <f t="shared" ref="R483" si="2925">(N483-N482)/N482</f>
        <v>-7.5842696629213488E-2</v>
      </c>
      <c r="S483" s="32">
        <f t="shared" ref="S483" si="2926">N483-N482</f>
        <v>-27</v>
      </c>
      <c r="T483" s="34">
        <f t="shared" ref="T483" si="2927">(N483-N431)/N431</f>
        <v>-0.36240310077519378</v>
      </c>
      <c r="U483" s="34">
        <f t="shared" ref="U483" si="2928">N483/P483</f>
        <v>0.13494667760459392</v>
      </c>
      <c r="V483" s="40">
        <f t="shared" ref="V483" si="2929">AVERAGE(B327,B379,B431)</f>
        <v>157.66666666666666</v>
      </c>
      <c r="W483" s="40">
        <f t="shared" ref="W483" si="2930">AVERAGE(F327,F379,F431)</f>
        <v>26.666666666666668</v>
      </c>
      <c r="X483" s="40">
        <f t="shared" ref="X483" si="2931">AVERAGE(J327,J379,J431)</f>
        <v>297.33333333333331</v>
      </c>
      <c r="Y483" s="40">
        <f t="shared" ref="Y483" si="2932">AVERAGE(N327,N379,N431)</f>
        <v>481.66666666666669</v>
      </c>
      <c r="Z483" s="61">
        <f t="shared" ref="Z483" si="2933">(N483-Y483)/Y483</f>
        <v>-0.31695501730103809</v>
      </c>
      <c r="AA483" s="61"/>
    </row>
    <row r="484" spans="1:27" ht="16" thickBot="1" x14ac:dyDescent="0.4">
      <c r="A484" s="20">
        <f t="shared" si="2292"/>
        <v>41930</v>
      </c>
      <c r="B484" s="22">
        <v>235</v>
      </c>
      <c r="C484" s="22">
        <v>643</v>
      </c>
      <c r="D484" s="22">
        <v>63</v>
      </c>
      <c r="E484" s="22">
        <v>495</v>
      </c>
      <c r="F484" s="22">
        <v>25</v>
      </c>
      <c r="G484" s="22">
        <v>93</v>
      </c>
      <c r="H484" s="22">
        <v>16</v>
      </c>
      <c r="I484" s="22">
        <v>68</v>
      </c>
      <c r="J484" s="22">
        <v>297</v>
      </c>
      <c r="K484" s="22">
        <v>943</v>
      </c>
      <c r="L484" s="22">
        <v>318</v>
      </c>
      <c r="M484" s="22">
        <v>816</v>
      </c>
      <c r="N484" s="43">
        <f t="shared" si="2909"/>
        <v>557</v>
      </c>
      <c r="O484" s="22">
        <f t="shared" ref="O484" si="2934">SUM(B484,D484,F484,H484,J484,L484)</f>
        <v>954</v>
      </c>
      <c r="P484" s="22">
        <f t="shared" ref="P484" si="2935">SUM(C484,E484,G484,I484,K484,M484)</f>
        <v>3058</v>
      </c>
      <c r="Q484" s="22">
        <f t="shared" ref="Q484" si="2936">SUM(D484,H484,L484)</f>
        <v>397</v>
      </c>
      <c r="R484" s="34">
        <f t="shared" ref="R484" si="2937">(N484-N483)/N483</f>
        <v>0.69300911854103342</v>
      </c>
      <c r="S484" s="32">
        <f t="shared" ref="S484" si="2938">N484-N483</f>
        <v>228</v>
      </c>
      <c r="T484" s="34">
        <f t="shared" ref="T484" si="2939">(N484-N432)/N432</f>
        <v>0.22149122807017543</v>
      </c>
      <c r="U484" s="34">
        <f t="shared" ref="U484" si="2940">N484/P484</f>
        <v>0.18214519293655984</v>
      </c>
      <c r="V484" s="40">
        <f t="shared" ref="V484" si="2941">AVERAGE(B328,B380,B432)</f>
        <v>175.66666666666666</v>
      </c>
      <c r="W484" s="40">
        <f t="shared" ref="W484" si="2942">AVERAGE(F328,F380,F432)</f>
        <v>31.333333333333332</v>
      </c>
      <c r="X484" s="40">
        <f t="shared" ref="X484" si="2943">AVERAGE(J328,J380,J432)</f>
        <v>268.33333333333331</v>
      </c>
      <c r="Y484" s="40">
        <f t="shared" ref="Y484" si="2944">AVERAGE(N328,N380,N432)</f>
        <v>475.33333333333331</v>
      </c>
      <c r="Z484" s="61">
        <f t="shared" ref="Z484" si="2945">(N484-Y484)/Y484</f>
        <v>0.17180925666199162</v>
      </c>
      <c r="AA484" s="61"/>
    </row>
    <row r="485" spans="1:27" ht="16" thickBot="1" x14ac:dyDescent="0.4">
      <c r="A485" s="20">
        <f t="shared" si="2292"/>
        <v>41937</v>
      </c>
      <c r="B485" s="22">
        <v>246</v>
      </c>
      <c r="C485" s="22">
        <v>652</v>
      </c>
      <c r="D485" s="22">
        <v>83</v>
      </c>
      <c r="E485" s="22">
        <v>647</v>
      </c>
      <c r="F485" s="22">
        <v>18</v>
      </c>
      <c r="G485" s="22">
        <v>73</v>
      </c>
      <c r="H485" s="22">
        <v>17</v>
      </c>
      <c r="I485" s="22">
        <v>63</v>
      </c>
      <c r="J485" s="22">
        <v>192</v>
      </c>
      <c r="K485" s="22">
        <v>571</v>
      </c>
      <c r="L485" s="22">
        <v>316</v>
      </c>
      <c r="M485" s="22">
        <v>764</v>
      </c>
      <c r="N485" s="43">
        <f t="shared" si="2909"/>
        <v>456</v>
      </c>
      <c r="O485" s="22">
        <f t="shared" ref="O485" si="2946">SUM(B485,D485,F485,H485,J485,L485)</f>
        <v>872</v>
      </c>
      <c r="P485" s="22">
        <f t="shared" ref="P485" si="2947">SUM(C485,E485,G485,I485,K485,M485)</f>
        <v>2770</v>
      </c>
      <c r="Q485" s="22">
        <f t="shared" ref="Q485" si="2948">SUM(D485,H485,L485)</f>
        <v>416</v>
      </c>
      <c r="R485" s="34">
        <f t="shared" ref="R485" si="2949">(N485-N484)/N484</f>
        <v>-0.18132854578096949</v>
      </c>
      <c r="S485" s="32">
        <f t="shared" ref="S485" si="2950">N485-N484</f>
        <v>-101</v>
      </c>
      <c r="T485" s="34">
        <f t="shared" ref="T485" si="2951">(N485-N433)/N433</f>
        <v>-2.1459227467811159E-2</v>
      </c>
      <c r="U485" s="34">
        <f t="shared" ref="U485" si="2952">N485/P485</f>
        <v>0.16462093862815885</v>
      </c>
      <c r="V485" s="40">
        <f t="shared" ref="V485" si="2953">AVERAGE(B329,B381,B433)</f>
        <v>179</v>
      </c>
      <c r="W485" s="40">
        <f t="shared" ref="W485" si="2954">AVERAGE(F329,F381,F433)</f>
        <v>30</v>
      </c>
      <c r="X485" s="40">
        <f t="shared" ref="X485" si="2955">AVERAGE(J329,J381,J433)</f>
        <v>312.66666666666669</v>
      </c>
      <c r="Y485" s="40">
        <f t="shared" ref="Y485" si="2956">AVERAGE(N329,N381,N433)</f>
        <v>521.66666666666663</v>
      </c>
      <c r="Z485" s="61">
        <f t="shared" ref="Z485" si="2957">(N485-Y485)/Y485</f>
        <v>-0.12587859424920123</v>
      </c>
      <c r="AA485" s="61"/>
    </row>
    <row r="486" spans="1:27" ht="16" thickBot="1" x14ac:dyDescent="0.4">
      <c r="A486" s="20">
        <f t="shared" si="2292"/>
        <v>41944</v>
      </c>
      <c r="B486" s="22">
        <v>202</v>
      </c>
      <c r="C486" s="22">
        <v>546</v>
      </c>
      <c r="D486" s="22">
        <v>54</v>
      </c>
      <c r="E486" s="22">
        <v>610</v>
      </c>
      <c r="F486" s="22">
        <v>40</v>
      </c>
      <c r="G486" s="22">
        <v>101</v>
      </c>
      <c r="H486" s="22">
        <v>26</v>
      </c>
      <c r="I486" s="22">
        <v>84</v>
      </c>
      <c r="J486" s="22">
        <v>229</v>
      </c>
      <c r="K486" s="22">
        <v>688</v>
      </c>
      <c r="L486" s="22">
        <v>268</v>
      </c>
      <c r="M486" s="22">
        <v>726</v>
      </c>
      <c r="N486" s="43">
        <f t="shared" si="2909"/>
        <v>471</v>
      </c>
      <c r="O486" s="22">
        <f t="shared" ref="O486" si="2958">SUM(B486,D486,F486,H486,J486,L486)</f>
        <v>819</v>
      </c>
      <c r="P486" s="22">
        <f t="shared" ref="P486" si="2959">SUM(C486,E486,G486,I486,K486,M486)</f>
        <v>2755</v>
      </c>
      <c r="Q486" s="22">
        <f t="shared" ref="Q486" si="2960">SUM(D486,H486,L486)</f>
        <v>348</v>
      </c>
      <c r="R486" s="34">
        <f t="shared" ref="R486" si="2961">(N486-N485)/N485</f>
        <v>3.2894736842105261E-2</v>
      </c>
      <c r="S486" s="32">
        <f t="shared" ref="S486" si="2962">N486-N485</f>
        <v>15</v>
      </c>
      <c r="T486" s="34">
        <f t="shared" ref="T486" si="2963">(N486-N434)/N434</f>
        <v>4.8997772828507792E-2</v>
      </c>
      <c r="U486" s="34">
        <f t="shared" ref="U486" si="2964">N486/P486</f>
        <v>0.17096188747731397</v>
      </c>
      <c r="V486" s="40">
        <f t="shared" ref="V486" si="2965">AVERAGE(B330,B382,B434)</f>
        <v>165</v>
      </c>
      <c r="W486" s="40">
        <f t="shared" ref="W486" si="2966">AVERAGE(F330,F382,F434)</f>
        <v>18</v>
      </c>
      <c r="X486" s="40">
        <f t="shared" ref="X486" si="2967">AVERAGE(J330,J382,J434)</f>
        <v>356</v>
      </c>
      <c r="Y486" s="40">
        <f t="shared" ref="Y486" si="2968">AVERAGE(N330,N382,N434)</f>
        <v>539</v>
      </c>
      <c r="Z486" s="61">
        <f t="shared" ref="Z486" si="2969">(N486-Y486)/Y486</f>
        <v>-0.12615955473098331</v>
      </c>
      <c r="AA486" s="61"/>
    </row>
    <row r="487" spans="1:27" ht="16" thickBot="1" x14ac:dyDescent="0.4">
      <c r="A487" s="20">
        <f t="shared" si="2292"/>
        <v>41951</v>
      </c>
      <c r="B487" s="22">
        <v>334</v>
      </c>
      <c r="C487" s="22">
        <v>592</v>
      </c>
      <c r="D487" s="22">
        <v>74</v>
      </c>
      <c r="E487" s="22">
        <v>712</v>
      </c>
      <c r="F487" s="22">
        <v>6</v>
      </c>
      <c r="G487" s="22">
        <v>82</v>
      </c>
      <c r="H487" s="22">
        <v>31</v>
      </c>
      <c r="I487" s="22">
        <v>109</v>
      </c>
      <c r="J487" s="22">
        <v>321</v>
      </c>
      <c r="K487" s="22">
        <v>743</v>
      </c>
      <c r="L487" s="22">
        <v>232</v>
      </c>
      <c r="M487" s="22">
        <v>763</v>
      </c>
      <c r="N487" s="43">
        <f t="shared" si="2909"/>
        <v>661</v>
      </c>
      <c r="O487" s="22">
        <f t="shared" ref="O487" si="2970">SUM(B487,D487,F487,H487,J487,L487)</f>
        <v>998</v>
      </c>
      <c r="P487" s="22">
        <f t="shared" ref="P487" si="2971">SUM(C487,E487,G487,I487,K487,M487)</f>
        <v>3001</v>
      </c>
      <c r="Q487" s="22">
        <f t="shared" ref="Q487" si="2972">SUM(D487,H487,L487)</f>
        <v>337</v>
      </c>
      <c r="R487" s="34">
        <f t="shared" ref="R487" si="2973">(N487-N486)/N486</f>
        <v>0.40339702760084928</v>
      </c>
      <c r="S487" s="32">
        <f t="shared" ref="S487" si="2974">N487-N486</f>
        <v>190</v>
      </c>
      <c r="T487" s="34">
        <f t="shared" ref="T487" si="2975">(N487-N435)/N435</f>
        <v>0.24015009380863039</v>
      </c>
      <c r="U487" s="34">
        <f t="shared" ref="U487" si="2976">N487/P487</f>
        <v>0.22025991336221259</v>
      </c>
      <c r="V487" s="40">
        <f t="shared" ref="V487" si="2977">AVERAGE(B331,B383,B435)</f>
        <v>216.33333333333334</v>
      </c>
      <c r="W487" s="40">
        <f t="shared" ref="W487" si="2978">AVERAGE(F331,F383,F435)</f>
        <v>21.333333333333332</v>
      </c>
      <c r="X487" s="40">
        <f t="shared" ref="X487" si="2979">AVERAGE(J331,J383,J435)</f>
        <v>316.33333333333331</v>
      </c>
      <c r="Y487" s="40">
        <f t="shared" ref="Y487" si="2980">AVERAGE(N331,N383,N435)</f>
        <v>554</v>
      </c>
      <c r="Z487" s="61">
        <f t="shared" ref="Z487" si="2981">(N487-Y487)/Y487</f>
        <v>0.19314079422382671</v>
      </c>
      <c r="AA487" s="61"/>
    </row>
    <row r="488" spans="1:27" ht="16" thickBot="1" x14ac:dyDescent="0.4">
      <c r="A488" s="20">
        <f t="shared" si="2292"/>
        <v>41958</v>
      </c>
      <c r="B488" s="22">
        <v>289</v>
      </c>
      <c r="C488" s="22">
        <v>547</v>
      </c>
      <c r="D488" s="22">
        <v>52</v>
      </c>
      <c r="E488" s="22">
        <v>665</v>
      </c>
      <c r="F488" s="22">
        <v>33</v>
      </c>
      <c r="G488" s="22">
        <v>95</v>
      </c>
      <c r="H488" s="22">
        <v>14</v>
      </c>
      <c r="I488" s="22">
        <v>101</v>
      </c>
      <c r="J488" s="22">
        <v>203</v>
      </c>
      <c r="K488" s="22">
        <v>723</v>
      </c>
      <c r="L488" s="22">
        <v>207</v>
      </c>
      <c r="M488" s="22">
        <v>798</v>
      </c>
      <c r="N488" s="43">
        <f t="shared" si="2909"/>
        <v>525</v>
      </c>
      <c r="O488" s="22">
        <f t="shared" ref="O488" si="2982">SUM(B488,D488,F488,H488,J488,L488)</f>
        <v>798</v>
      </c>
      <c r="P488" s="22">
        <f t="shared" ref="P488" si="2983">SUM(C488,E488,G488,I488,K488,M488)</f>
        <v>2929</v>
      </c>
      <c r="Q488" s="22">
        <f t="shared" ref="Q488" si="2984">SUM(D488,H488,L488)</f>
        <v>273</v>
      </c>
      <c r="R488" s="34">
        <f t="shared" ref="R488" si="2985">(N488-N487)/N487</f>
        <v>-0.20574886535552195</v>
      </c>
      <c r="S488" s="32">
        <f t="shared" ref="S488" si="2986">N488-N487</f>
        <v>-136</v>
      </c>
      <c r="T488" s="34">
        <f t="shared" ref="T488" si="2987">(N488-N436)/N436</f>
        <v>-5.5755395683453238E-2</v>
      </c>
      <c r="U488" s="34">
        <f t="shared" ref="U488" si="2988">N488/P488</f>
        <v>0.17924206213724822</v>
      </c>
      <c r="V488" s="40">
        <f t="shared" ref="V488" si="2989">AVERAGE(B332,B384,B436)</f>
        <v>245.33333333333334</v>
      </c>
      <c r="W488" s="40">
        <f t="shared" ref="W488" si="2990">AVERAGE(F332,F384,F436)</f>
        <v>34.333333333333336</v>
      </c>
      <c r="X488" s="40">
        <f t="shared" ref="X488" si="2991">AVERAGE(J332,J384,J436)</f>
        <v>343.33333333333331</v>
      </c>
      <c r="Y488" s="40">
        <f t="shared" ref="Y488" si="2992">AVERAGE(N332,N384,N436)</f>
        <v>623</v>
      </c>
      <c r="Z488" s="61">
        <f t="shared" ref="Z488" si="2993">(N488-Y488)/Y488</f>
        <v>-0.15730337078651685</v>
      </c>
      <c r="AA488" s="61"/>
    </row>
    <row r="489" spans="1:27" ht="16" thickBot="1" x14ac:dyDescent="0.4">
      <c r="A489" s="20">
        <f t="shared" si="2292"/>
        <v>41965</v>
      </c>
      <c r="B489" s="22">
        <v>216</v>
      </c>
      <c r="C489" s="22">
        <v>418</v>
      </c>
      <c r="D489" s="22">
        <v>33</v>
      </c>
      <c r="E489" s="22">
        <v>585</v>
      </c>
      <c r="F489" s="22">
        <v>32</v>
      </c>
      <c r="G489" s="22">
        <v>72</v>
      </c>
      <c r="H489" s="22">
        <v>6</v>
      </c>
      <c r="I489" s="22">
        <v>50</v>
      </c>
      <c r="J489" s="22">
        <v>354</v>
      </c>
      <c r="K489" s="22">
        <v>890</v>
      </c>
      <c r="L489" s="22">
        <v>272</v>
      </c>
      <c r="M489" s="22">
        <v>826</v>
      </c>
      <c r="N489" s="43">
        <f t="shared" si="2909"/>
        <v>602</v>
      </c>
      <c r="O489" s="22">
        <f t="shared" ref="O489" si="2994">SUM(B489,D489,F489,H489,J489,L489)</f>
        <v>913</v>
      </c>
      <c r="P489" s="22">
        <f t="shared" ref="P489" si="2995">SUM(C489,E489,G489,I489,K489,M489)</f>
        <v>2841</v>
      </c>
      <c r="Q489" s="22">
        <f t="shared" ref="Q489" si="2996">SUM(D489,H489,L489)</f>
        <v>311</v>
      </c>
      <c r="R489" s="34">
        <f t="shared" ref="R489" si="2997">(N489-N488)/N488</f>
        <v>0.14666666666666667</v>
      </c>
      <c r="S489" s="32">
        <f t="shared" ref="S489" si="2998">N489-N488</f>
        <v>77</v>
      </c>
      <c r="T489" s="34">
        <f t="shared" ref="T489" si="2999">(N489-N437)/N437</f>
        <v>-0.16388888888888889</v>
      </c>
      <c r="U489" s="34">
        <f t="shared" ref="U489" si="3000">N489/P489</f>
        <v>0.21189721928898275</v>
      </c>
      <c r="V489" s="40">
        <f t="shared" ref="V489" si="3001">AVERAGE(B333,B385,B437)</f>
        <v>338.66666666666669</v>
      </c>
      <c r="W489" s="40">
        <f t="shared" ref="W489" si="3002">AVERAGE(F333,F385,F437)</f>
        <v>25</v>
      </c>
      <c r="X489" s="40">
        <f t="shared" ref="X489" si="3003">AVERAGE(J333,J385,J437)</f>
        <v>391</v>
      </c>
      <c r="Y489" s="40">
        <f t="shared" ref="Y489" si="3004">AVERAGE(N333,N385,N437)</f>
        <v>754.66666666666663</v>
      </c>
      <c r="Z489" s="61">
        <f t="shared" ref="Z489" si="3005">(N489-Y489)/Y489</f>
        <v>-0.20229681978798583</v>
      </c>
      <c r="AA489" s="61"/>
    </row>
    <row r="490" spans="1:27" ht="16" thickBot="1" x14ac:dyDescent="0.4">
      <c r="A490" s="20">
        <f t="shared" si="2292"/>
        <v>41972</v>
      </c>
      <c r="B490" s="22">
        <v>307</v>
      </c>
      <c r="C490" s="22">
        <v>484</v>
      </c>
      <c r="D490" s="22">
        <v>68</v>
      </c>
      <c r="E490" s="22">
        <v>645</v>
      </c>
      <c r="F490" s="22">
        <v>12</v>
      </c>
      <c r="G490" s="22">
        <v>63</v>
      </c>
      <c r="H490" s="22">
        <v>16</v>
      </c>
      <c r="I490" s="22">
        <v>117</v>
      </c>
      <c r="J490" s="22">
        <v>304</v>
      </c>
      <c r="K490" s="22">
        <v>837</v>
      </c>
      <c r="L490" s="22">
        <v>255</v>
      </c>
      <c r="M490" s="22">
        <v>784</v>
      </c>
      <c r="N490" s="43">
        <f t="shared" si="2909"/>
        <v>623</v>
      </c>
      <c r="O490" s="22">
        <f t="shared" ref="O490" si="3006">SUM(B490,D490,F490,H490,J490,L490)</f>
        <v>962</v>
      </c>
      <c r="P490" s="22">
        <f t="shared" ref="P490" si="3007">SUM(C490,E490,G490,I490,K490,M490)</f>
        <v>2930</v>
      </c>
      <c r="Q490" s="22">
        <f t="shared" ref="Q490" si="3008">SUM(D490,H490,L490)</f>
        <v>339</v>
      </c>
      <c r="R490" s="34">
        <f t="shared" ref="R490" si="3009">(N490-N489)/N489</f>
        <v>3.4883720930232558E-2</v>
      </c>
      <c r="S490" s="32">
        <f t="shared" ref="S490" si="3010">N490-N489</f>
        <v>21</v>
      </c>
      <c r="T490" s="34">
        <f t="shared" ref="T490" si="3011">(N490-N438)/N438</f>
        <v>-3.110419906687403E-2</v>
      </c>
      <c r="U490" s="34">
        <f t="shared" ref="U490" si="3012">N490/P490</f>
        <v>0.21262798634812285</v>
      </c>
      <c r="V490" s="40">
        <f t="shared" ref="V490" si="3013">AVERAGE(B334,B386,B438)</f>
        <v>329</v>
      </c>
      <c r="W490" s="40">
        <f t="shared" ref="W490" si="3014">AVERAGE(F334,F386,F438)</f>
        <v>22.333333333333332</v>
      </c>
      <c r="X490" s="40">
        <f t="shared" ref="X490" si="3015">AVERAGE(J334,J386,J438)</f>
        <v>309</v>
      </c>
      <c r="Y490" s="40">
        <f t="shared" ref="Y490" si="3016">AVERAGE(N334,N386,N438)</f>
        <v>660.33333333333337</v>
      </c>
      <c r="Z490" s="61">
        <f t="shared" ref="Z490" si="3017">(N490-Y490)/Y490</f>
        <v>-5.6537102473498288E-2</v>
      </c>
      <c r="AA490" s="61"/>
    </row>
    <row r="491" spans="1:27" ht="16" thickBot="1" x14ac:dyDescent="0.4">
      <c r="A491" s="20">
        <f t="shared" si="2292"/>
        <v>41979</v>
      </c>
      <c r="B491" s="22">
        <v>270</v>
      </c>
      <c r="C491" s="22">
        <v>470</v>
      </c>
      <c r="D491" s="22">
        <v>109</v>
      </c>
      <c r="E491" s="22">
        <v>684</v>
      </c>
      <c r="F491" s="22">
        <v>18</v>
      </c>
      <c r="G491" s="22">
        <v>78</v>
      </c>
      <c r="H491" s="22">
        <v>3</v>
      </c>
      <c r="I491" s="22">
        <v>50</v>
      </c>
      <c r="J491" s="22">
        <v>233</v>
      </c>
      <c r="K491" s="22">
        <v>669</v>
      </c>
      <c r="L491" s="22">
        <v>245</v>
      </c>
      <c r="M491" s="22">
        <v>741</v>
      </c>
      <c r="N491" s="43">
        <f t="shared" si="2909"/>
        <v>521</v>
      </c>
      <c r="O491" s="22">
        <f t="shared" ref="O491:O492" si="3018">SUM(B491,D491,F491,H491,J491,L491)</f>
        <v>878</v>
      </c>
      <c r="P491" s="22">
        <f t="shared" ref="P491:P492" si="3019">SUM(C491,E491,G491,I491,K491,M491)</f>
        <v>2692</v>
      </c>
      <c r="Q491" s="22">
        <f t="shared" ref="Q491:Q492" si="3020">SUM(D491,H491,L491)</f>
        <v>357</v>
      </c>
      <c r="R491" s="34">
        <f t="shared" ref="R491" si="3021">(N491-N490)/N490</f>
        <v>-0.1637239165329053</v>
      </c>
      <c r="S491" s="32">
        <f t="shared" ref="S491" si="3022">N491-N490</f>
        <v>-102</v>
      </c>
      <c r="T491" s="34">
        <f t="shared" ref="T491" si="3023">(N491-N439)/N439</f>
        <v>-0.1637239165329053</v>
      </c>
      <c r="U491" s="34">
        <f t="shared" ref="U491:U492" si="3024">N491/P491</f>
        <v>0.19353640416047549</v>
      </c>
      <c r="V491" s="40">
        <f t="shared" ref="V491" si="3025">AVERAGE(B335,B387,B439)</f>
        <v>299</v>
      </c>
      <c r="W491" s="40">
        <f t="shared" ref="W491" si="3026">AVERAGE(F335,F387,F439)</f>
        <v>12.666666666666666</v>
      </c>
      <c r="X491" s="40">
        <f t="shared" ref="X491" si="3027">AVERAGE(J335,J387,J439)</f>
        <v>373.33333333333331</v>
      </c>
      <c r="Y491" s="40">
        <f t="shared" ref="Y491" si="3028">AVERAGE(N335,N387,N439)</f>
        <v>685</v>
      </c>
      <c r="Z491" s="61">
        <f t="shared" ref="Z491" si="3029">(N491-Y491)/Y491</f>
        <v>-0.23941605839416058</v>
      </c>
      <c r="AA491" s="61"/>
    </row>
    <row r="492" spans="1:27" ht="16" thickBot="1" x14ac:dyDescent="0.4">
      <c r="A492" s="20">
        <f t="shared" si="2292"/>
        <v>41986</v>
      </c>
      <c r="B492" s="22">
        <v>273</v>
      </c>
      <c r="C492" s="22">
        <v>411</v>
      </c>
      <c r="D492" s="22">
        <v>64</v>
      </c>
      <c r="E492" s="22">
        <v>732</v>
      </c>
      <c r="F492" s="22">
        <v>31</v>
      </c>
      <c r="G492" s="22">
        <v>70</v>
      </c>
      <c r="H492" s="22">
        <v>9</v>
      </c>
      <c r="I492" s="22">
        <v>103</v>
      </c>
      <c r="J492" s="22">
        <v>334</v>
      </c>
      <c r="K492" s="22">
        <v>822</v>
      </c>
      <c r="L492" s="22">
        <v>236</v>
      </c>
      <c r="M492" s="22">
        <v>732</v>
      </c>
      <c r="N492" s="43">
        <f t="shared" si="2909"/>
        <v>638</v>
      </c>
      <c r="O492" s="22">
        <f t="shared" ref="O492" si="3030">SUM(B492,D492,F492,H492,J492,L492)</f>
        <v>947</v>
      </c>
      <c r="P492" s="22">
        <f t="shared" ref="P492" si="3031">SUM(C492,E492,G492,I492,K492,M492)</f>
        <v>2870</v>
      </c>
      <c r="Q492" s="22">
        <f t="shared" ref="Q492" si="3032">SUM(D492,H492,L492)</f>
        <v>309</v>
      </c>
      <c r="R492" s="34">
        <f t="shared" ref="R492" si="3033">(N492-N491)/N491</f>
        <v>0.22456813819577734</v>
      </c>
      <c r="S492" s="32">
        <f t="shared" ref="S492" si="3034">N492-N491</f>
        <v>117</v>
      </c>
      <c r="T492" s="34">
        <f t="shared" ref="T492" si="3035">(N492-N440)/N440</f>
        <v>-1.238390092879257E-2</v>
      </c>
      <c r="U492" s="34">
        <f t="shared" ref="U492" si="3036">N492/P492</f>
        <v>0.22229965156794426</v>
      </c>
      <c r="V492" s="40">
        <f t="shared" ref="V492" si="3037">AVERAGE(B336,B388,B440)</f>
        <v>246.33333333333334</v>
      </c>
      <c r="W492" s="40">
        <f t="shared" ref="W492" si="3038">AVERAGE(F336,F388,F440)</f>
        <v>15</v>
      </c>
      <c r="X492" s="40">
        <f t="shared" ref="X492" si="3039">AVERAGE(J336,J388,J440)</f>
        <v>402</v>
      </c>
      <c r="Y492" s="40">
        <f t="shared" ref="Y492" si="3040">AVERAGE(N336,N388,N440)</f>
        <v>663.33333333333337</v>
      </c>
      <c r="Z492" s="61">
        <f t="shared" ref="Z492" si="3041">(N492-Y492)/Y492</f>
        <v>-3.8190954773869398E-2</v>
      </c>
      <c r="AA492" s="61"/>
    </row>
  </sheetData>
  <mergeCells count="7">
    <mergeCell ref="B5:C5"/>
    <mergeCell ref="D5:E5"/>
    <mergeCell ref="A3:S3"/>
    <mergeCell ref="F5:G5"/>
    <mergeCell ref="H5:I5"/>
    <mergeCell ref="J5:K5"/>
    <mergeCell ref="L5:M5"/>
  </mergeCells>
  <phoneticPr fontId="0" type="noConversion"/>
  <pageMargins left="0.75" right="0.75" top="1" bottom="1" header="0.5" footer="0.5"/>
  <pageSetup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tabSelected="1" workbookViewId="0">
      <selection sqref="A1:I23"/>
    </sheetView>
  </sheetViews>
  <sheetFormatPr defaultColWidth="8.81640625" defaultRowHeight="12.5" x14ac:dyDescent="0.25"/>
  <cols>
    <col min="1" max="7" width="8.81640625" style="1"/>
    <col min="8" max="8" width="8" style="1" customWidth="1"/>
    <col min="9" max="9" width="8.54296875" style="1" customWidth="1"/>
    <col min="10" max="10" width="8.81640625" style="19"/>
    <col min="11" max="11" width="6.81640625" style="19" customWidth="1"/>
    <col min="12" max="16384" width="8.81640625" style="1"/>
  </cols>
  <sheetData>
    <row r="1" spans="1:10" ht="13" x14ac:dyDescent="0.3">
      <c r="A1" s="11" t="s">
        <v>7</v>
      </c>
      <c r="B1" s="17"/>
      <c r="C1" s="17"/>
      <c r="D1" s="17"/>
      <c r="E1" s="17"/>
      <c r="F1" s="17"/>
      <c r="G1" s="17"/>
      <c r="H1" s="17"/>
      <c r="I1" s="17"/>
      <c r="J1" s="27"/>
    </row>
    <row r="2" spans="1:10" x14ac:dyDescent="0.25">
      <c r="A2" s="74" t="s">
        <v>21</v>
      </c>
      <c r="B2" s="74"/>
      <c r="C2" s="74"/>
      <c r="D2" s="74"/>
      <c r="E2" s="74"/>
      <c r="F2" s="74"/>
      <c r="G2" s="74"/>
      <c r="H2" s="74"/>
      <c r="I2" s="74"/>
      <c r="J2" s="27"/>
    </row>
    <row r="3" spans="1:10" x14ac:dyDescent="0.25">
      <c r="A3" s="74"/>
      <c r="B3" s="74"/>
      <c r="C3" s="74"/>
      <c r="D3" s="74"/>
      <c r="E3" s="74"/>
      <c r="F3" s="74"/>
      <c r="G3" s="74"/>
      <c r="H3" s="74"/>
      <c r="I3" s="74"/>
      <c r="J3" s="27"/>
    </row>
    <row r="4" spans="1:10" ht="13" x14ac:dyDescent="0.3">
      <c r="A4" s="18"/>
      <c r="B4" s="18"/>
      <c r="C4" s="18"/>
      <c r="D4" s="18"/>
      <c r="E4" s="18"/>
      <c r="F4" s="18"/>
      <c r="G4" s="18"/>
      <c r="H4" s="18"/>
      <c r="I4" s="18"/>
      <c r="J4" s="27"/>
    </row>
    <row r="5" spans="1:10" ht="13" x14ac:dyDescent="0.3">
      <c r="A5" s="18"/>
      <c r="B5" s="18"/>
      <c r="C5" s="18"/>
      <c r="D5" s="18"/>
      <c r="E5" s="18"/>
      <c r="F5" s="18"/>
      <c r="G5" s="18"/>
      <c r="H5" s="18"/>
      <c r="I5" s="18"/>
      <c r="J5" s="27"/>
    </row>
    <row r="6" spans="1:10" ht="13" x14ac:dyDescent="0.3">
      <c r="A6" s="18"/>
      <c r="B6" s="18"/>
      <c r="C6" s="18"/>
      <c r="D6" s="18"/>
      <c r="E6" s="18"/>
      <c r="F6" s="18"/>
      <c r="G6" s="18"/>
      <c r="H6" s="18"/>
      <c r="I6" s="18"/>
      <c r="J6" s="27"/>
    </row>
    <row r="7" spans="1:10" ht="13" x14ac:dyDescent="0.3">
      <c r="A7" s="18"/>
      <c r="B7" s="18"/>
      <c r="C7" s="18"/>
      <c r="D7" s="18"/>
      <c r="E7" s="18"/>
      <c r="F7" s="18"/>
      <c r="G7" s="18"/>
      <c r="H7" s="18"/>
      <c r="I7" s="18"/>
      <c r="J7" s="27"/>
    </row>
    <row r="8" spans="1:10" ht="13" x14ac:dyDescent="0.3">
      <c r="A8" s="18"/>
      <c r="B8" s="18"/>
      <c r="C8" s="18"/>
      <c r="D8" s="18"/>
      <c r="E8" s="18"/>
      <c r="F8" s="18"/>
      <c r="G8" s="18"/>
      <c r="H8" s="18"/>
      <c r="I8" s="18"/>
      <c r="J8" s="27"/>
    </row>
    <row r="9" spans="1:10" ht="13" x14ac:dyDescent="0.3">
      <c r="A9" s="18"/>
      <c r="B9" s="18"/>
      <c r="C9" s="18"/>
      <c r="D9" s="18"/>
      <c r="E9" s="18"/>
      <c r="F9" s="18"/>
      <c r="G9" s="18"/>
      <c r="H9" s="18"/>
      <c r="I9" s="18"/>
      <c r="J9" s="27"/>
    </row>
    <row r="10" spans="1:10" ht="13" x14ac:dyDescent="0.3">
      <c r="A10" s="18"/>
      <c r="B10" s="18"/>
      <c r="C10" s="18"/>
      <c r="D10" s="18"/>
      <c r="E10" s="18"/>
      <c r="F10" s="18"/>
      <c r="G10" s="18"/>
      <c r="H10" s="18"/>
      <c r="I10" s="18"/>
      <c r="J10" s="27"/>
    </row>
    <row r="11" spans="1:10" ht="13" x14ac:dyDescent="0.3">
      <c r="A11" s="18"/>
      <c r="B11" s="18"/>
      <c r="C11" s="18"/>
      <c r="D11" s="18"/>
      <c r="E11" s="18"/>
      <c r="F11" s="18"/>
      <c r="G11" s="18"/>
      <c r="H11" s="18"/>
      <c r="I11" s="18"/>
      <c r="J11" s="27"/>
    </row>
    <row r="12" spans="1:10" ht="13" x14ac:dyDescent="0.3">
      <c r="A12" s="18"/>
      <c r="B12" s="18"/>
      <c r="C12" s="18"/>
      <c r="D12" s="18"/>
      <c r="E12" s="18"/>
      <c r="F12" s="18"/>
      <c r="G12" s="18"/>
      <c r="H12" s="18"/>
      <c r="I12" s="18"/>
      <c r="J12" s="27"/>
    </row>
    <row r="13" spans="1:10" ht="13" x14ac:dyDescent="0.3">
      <c r="A13" s="18"/>
      <c r="B13" s="18"/>
      <c r="C13" s="18"/>
      <c r="D13" s="18"/>
      <c r="E13" s="18"/>
      <c r="F13" s="18"/>
      <c r="G13" s="18"/>
      <c r="H13" s="18"/>
      <c r="I13" s="18"/>
      <c r="J13" s="27"/>
    </row>
    <row r="14" spans="1:10" ht="13" x14ac:dyDescent="0.3">
      <c r="A14" s="18"/>
      <c r="B14" s="18"/>
      <c r="C14" s="18"/>
      <c r="D14" s="18"/>
      <c r="E14" s="18"/>
      <c r="F14" s="18"/>
      <c r="G14" s="18"/>
      <c r="H14" s="18"/>
      <c r="I14" s="18"/>
      <c r="J14" s="27"/>
    </row>
    <row r="15" spans="1:10" ht="13" x14ac:dyDescent="0.3">
      <c r="A15" s="18"/>
      <c r="B15" s="18"/>
      <c r="C15" s="18"/>
      <c r="D15" s="18"/>
      <c r="E15" s="18"/>
      <c r="F15" s="18"/>
      <c r="G15" s="18"/>
      <c r="H15" s="18"/>
      <c r="I15" s="18"/>
      <c r="J15" s="27"/>
    </row>
    <row r="16" spans="1:10" ht="13" x14ac:dyDescent="0.3">
      <c r="A16" s="18"/>
      <c r="B16" s="18"/>
      <c r="C16" s="18"/>
      <c r="D16" s="18"/>
      <c r="E16" s="18"/>
      <c r="F16" s="18"/>
      <c r="G16" s="18"/>
      <c r="H16" s="18"/>
      <c r="I16" s="18"/>
      <c r="J16" s="27"/>
    </row>
    <row r="17" spans="1:11" ht="13" x14ac:dyDescent="0.3">
      <c r="A17" s="18"/>
      <c r="B17" s="18"/>
      <c r="C17" s="18"/>
      <c r="D17" s="18"/>
      <c r="E17" s="18"/>
      <c r="F17" s="18"/>
      <c r="G17" s="18"/>
      <c r="H17" s="18"/>
      <c r="I17" s="18"/>
      <c r="J17" s="27"/>
    </row>
    <row r="18" spans="1:11" ht="13" x14ac:dyDescent="0.3">
      <c r="A18" s="18"/>
      <c r="B18" s="18"/>
      <c r="C18" s="18"/>
      <c r="D18" s="18"/>
      <c r="E18" s="18"/>
      <c r="F18" s="18"/>
      <c r="G18" s="18"/>
      <c r="H18" s="18"/>
      <c r="I18" s="18"/>
      <c r="J18" s="27"/>
    </row>
    <row r="19" spans="1:11" ht="13" x14ac:dyDescent="0.3">
      <c r="A19" s="18"/>
      <c r="B19" s="18"/>
      <c r="C19" s="18"/>
      <c r="D19" s="18"/>
      <c r="E19" s="18"/>
      <c r="F19" s="18"/>
      <c r="G19" s="18"/>
      <c r="H19" s="18"/>
      <c r="I19" s="18"/>
      <c r="J19" s="27"/>
    </row>
    <row r="20" spans="1:11" ht="13" x14ac:dyDescent="0.3">
      <c r="A20" s="18"/>
      <c r="B20" s="18"/>
      <c r="C20" s="18"/>
      <c r="D20" s="18"/>
      <c r="E20" s="18"/>
      <c r="F20" s="18"/>
      <c r="G20" s="18"/>
      <c r="H20" s="18"/>
      <c r="I20" s="18"/>
      <c r="J20" s="27"/>
    </row>
    <row r="21" spans="1:11" ht="13" x14ac:dyDescent="0.3">
      <c r="A21" s="18"/>
      <c r="B21" s="18"/>
      <c r="C21" s="18"/>
      <c r="D21" s="18"/>
      <c r="E21" s="18"/>
      <c r="F21" s="18"/>
      <c r="G21" s="18"/>
      <c r="H21" s="18"/>
      <c r="I21" s="18"/>
      <c r="J21" s="27"/>
    </row>
    <row r="22" spans="1:11" ht="13" x14ac:dyDescent="0.3">
      <c r="A22" s="18"/>
      <c r="B22" s="18"/>
      <c r="C22" s="18"/>
      <c r="D22" s="18"/>
      <c r="E22" s="18"/>
      <c r="F22" s="18"/>
      <c r="G22" s="18"/>
      <c r="H22" s="18"/>
      <c r="I22" s="18"/>
      <c r="J22" s="27"/>
    </row>
    <row r="23" spans="1:11" s="25" customFormat="1" ht="10.25" customHeight="1" x14ac:dyDescent="0.3">
      <c r="A23" s="23" t="s">
        <v>22</v>
      </c>
      <c r="B23" s="24"/>
      <c r="C23" s="24"/>
      <c r="D23" s="24"/>
      <c r="E23" s="24"/>
      <c r="F23" s="24"/>
      <c r="G23" s="24"/>
      <c r="H23" s="24"/>
      <c r="I23" s="24"/>
      <c r="J23" s="28"/>
      <c r="K23" s="26"/>
    </row>
    <row r="24" spans="1:11" s="26" customFormat="1" x14ac:dyDescent="0.25">
      <c r="A24" s="60"/>
      <c r="B24" s="28"/>
      <c r="C24" s="28"/>
      <c r="D24" s="28"/>
      <c r="E24" s="28"/>
      <c r="F24" s="28"/>
      <c r="G24" s="28"/>
      <c r="H24" s="28"/>
      <c r="I24" s="28"/>
      <c r="J24" s="28"/>
    </row>
    <row r="25" spans="1:11" s="26" customForma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</row>
    <row r="26" spans="1:11" s="26" customFormat="1" x14ac:dyDescent="0.25"/>
    <row r="27" spans="1:11" s="26" customFormat="1" x14ac:dyDescent="0.25"/>
    <row r="28" spans="1:11" s="26" customFormat="1" ht="13.75" customHeight="1" x14ac:dyDescent="0.25"/>
    <row r="29" spans="1:11" s="25" customFormat="1" x14ac:dyDescent="0.25">
      <c r="J29" s="26"/>
      <c r="K29" s="26"/>
    </row>
    <row r="59" spans="1:9" x14ac:dyDescent="0.25">
      <c r="A59" s="11" t="s">
        <v>7</v>
      </c>
      <c r="B59" s="12"/>
      <c r="C59" s="12"/>
      <c r="D59" s="12"/>
      <c r="E59" s="12"/>
      <c r="F59" s="12"/>
      <c r="G59" s="12"/>
      <c r="H59" s="12"/>
      <c r="I59" s="12"/>
    </row>
    <row r="60" spans="1:9" ht="14" x14ac:dyDescent="0.3">
      <c r="A60" s="13" t="s">
        <v>19</v>
      </c>
      <c r="B60" s="12"/>
      <c r="C60" s="12"/>
      <c r="D60" s="12"/>
      <c r="E60" s="12"/>
      <c r="F60" s="12"/>
      <c r="G60" s="12"/>
      <c r="H60" s="12"/>
      <c r="I60" s="12"/>
    </row>
    <row r="61" spans="1:9" x14ac:dyDescent="0.25">
      <c r="A61" s="14"/>
      <c r="B61" s="14"/>
      <c r="C61" s="14"/>
      <c r="D61" s="14"/>
      <c r="E61" s="14"/>
      <c r="F61" s="14"/>
      <c r="G61" s="14"/>
      <c r="H61" s="14"/>
      <c r="I61" s="14"/>
    </row>
    <row r="62" spans="1:9" x14ac:dyDescent="0.25">
      <c r="A62" s="14"/>
      <c r="B62" s="14"/>
      <c r="C62" s="14"/>
      <c r="D62" s="14"/>
      <c r="E62" s="14"/>
      <c r="F62" s="14"/>
      <c r="G62" s="14"/>
      <c r="H62" s="14"/>
      <c r="I62" s="14"/>
    </row>
    <row r="63" spans="1:9" x14ac:dyDescent="0.25">
      <c r="A63" s="14"/>
      <c r="B63" s="14"/>
      <c r="C63" s="14"/>
      <c r="D63" s="14"/>
      <c r="E63" s="14"/>
      <c r="F63" s="14"/>
      <c r="G63" s="14"/>
      <c r="H63" s="14"/>
      <c r="I63" s="14"/>
    </row>
    <row r="64" spans="1:9" x14ac:dyDescent="0.25">
      <c r="A64" s="14"/>
      <c r="B64" s="14"/>
      <c r="C64" s="14"/>
      <c r="D64" s="14"/>
      <c r="E64" s="14"/>
      <c r="F64" s="14"/>
      <c r="G64" s="14"/>
      <c r="H64" s="14"/>
      <c r="I64" s="14"/>
    </row>
    <row r="65" spans="1:9" x14ac:dyDescent="0.25">
      <c r="A65" s="14"/>
      <c r="B65" s="14"/>
      <c r="C65" s="14"/>
      <c r="D65" s="14"/>
      <c r="E65" s="14"/>
      <c r="F65" s="14"/>
      <c r="G65" s="14"/>
      <c r="H65" s="14"/>
      <c r="I65" s="14"/>
    </row>
    <row r="66" spans="1:9" x14ac:dyDescent="0.25">
      <c r="A66" s="14"/>
      <c r="B66" s="14"/>
      <c r="C66" s="14"/>
      <c r="D66" s="14"/>
      <c r="E66" s="14"/>
      <c r="F66" s="14"/>
      <c r="G66" s="14"/>
      <c r="H66" s="14"/>
      <c r="I66" s="14"/>
    </row>
    <row r="67" spans="1:9" x14ac:dyDescent="0.25">
      <c r="A67" s="14"/>
      <c r="B67" s="14"/>
      <c r="C67" s="14"/>
      <c r="D67" s="14"/>
      <c r="E67" s="14"/>
      <c r="F67" s="14"/>
      <c r="G67" s="14"/>
      <c r="H67" s="14"/>
      <c r="I67" s="14"/>
    </row>
    <row r="68" spans="1:9" x14ac:dyDescent="0.25">
      <c r="A68" s="14"/>
      <c r="B68" s="14"/>
      <c r="C68" s="14"/>
      <c r="D68" s="14"/>
      <c r="E68" s="14"/>
      <c r="F68" s="14"/>
      <c r="G68" s="14"/>
      <c r="H68" s="14"/>
      <c r="I68" s="14"/>
    </row>
    <row r="69" spans="1:9" x14ac:dyDescent="0.25">
      <c r="A69" s="14"/>
      <c r="B69" s="14"/>
      <c r="C69" s="14"/>
      <c r="D69" s="14"/>
      <c r="E69" s="14"/>
      <c r="F69" s="14"/>
      <c r="G69" s="14"/>
      <c r="H69" s="14"/>
      <c r="I69" s="14"/>
    </row>
    <row r="70" spans="1:9" x14ac:dyDescent="0.25">
      <c r="A70" s="14"/>
      <c r="B70" s="14"/>
      <c r="C70" s="14"/>
      <c r="D70" s="14"/>
      <c r="E70" s="14"/>
      <c r="F70" s="14"/>
      <c r="G70" s="14"/>
      <c r="H70" s="14"/>
      <c r="I70" s="14"/>
    </row>
    <row r="71" spans="1:9" x14ac:dyDescent="0.25">
      <c r="A71" s="14"/>
      <c r="B71" s="14"/>
      <c r="C71" s="14"/>
      <c r="D71" s="14"/>
      <c r="E71" s="14"/>
      <c r="F71" s="14"/>
      <c r="G71" s="14"/>
      <c r="H71" s="14"/>
      <c r="I71" s="14"/>
    </row>
    <row r="72" spans="1:9" x14ac:dyDescent="0.25">
      <c r="A72" s="14"/>
      <c r="B72" s="14"/>
      <c r="C72" s="14"/>
      <c r="D72" s="14"/>
      <c r="E72" s="14"/>
      <c r="F72" s="14"/>
      <c r="G72" s="14"/>
      <c r="H72" s="14"/>
      <c r="I72" s="14"/>
    </row>
    <row r="73" spans="1:9" x14ac:dyDescent="0.25">
      <c r="A73" s="14"/>
      <c r="B73" s="14"/>
      <c r="C73" s="14"/>
      <c r="D73" s="14"/>
      <c r="E73" s="14"/>
      <c r="F73" s="14"/>
      <c r="G73" s="14"/>
      <c r="H73" s="14"/>
      <c r="I73" s="14"/>
    </row>
    <row r="74" spans="1:9" x14ac:dyDescent="0.25">
      <c r="A74" s="14"/>
      <c r="B74" s="14"/>
      <c r="C74" s="14"/>
      <c r="D74" s="14"/>
      <c r="E74" s="14"/>
      <c r="F74" s="14"/>
      <c r="G74" s="14"/>
      <c r="H74" s="14"/>
      <c r="I74" s="14"/>
    </row>
    <row r="75" spans="1:9" x14ac:dyDescent="0.25">
      <c r="A75" s="14"/>
      <c r="B75" s="14"/>
      <c r="C75" s="14"/>
      <c r="D75" s="14"/>
      <c r="E75" s="14"/>
      <c r="F75" s="14"/>
      <c r="G75" s="14"/>
      <c r="H75" s="14"/>
      <c r="I75" s="14"/>
    </row>
    <row r="76" spans="1:9" x14ac:dyDescent="0.25">
      <c r="A76" s="14"/>
      <c r="B76" s="14"/>
      <c r="C76" s="14"/>
      <c r="D76" s="14"/>
      <c r="E76" s="14"/>
      <c r="F76" s="14"/>
      <c r="G76" s="14"/>
      <c r="H76" s="14"/>
      <c r="I76" s="14"/>
    </row>
    <row r="77" spans="1:9" x14ac:dyDescent="0.25">
      <c r="A77" s="14"/>
      <c r="B77" s="14"/>
      <c r="C77" s="14"/>
      <c r="D77" s="14"/>
      <c r="E77" s="14"/>
      <c r="F77" s="14"/>
      <c r="G77" s="14"/>
      <c r="H77" s="14"/>
      <c r="I77" s="14"/>
    </row>
    <row r="78" spans="1:9" x14ac:dyDescent="0.25">
      <c r="A78" s="15" t="s">
        <v>8</v>
      </c>
      <c r="B78" s="14"/>
      <c r="C78" s="14"/>
      <c r="D78" s="14"/>
      <c r="E78" s="14"/>
      <c r="F78" s="14"/>
      <c r="G78" s="14"/>
      <c r="H78" s="14"/>
      <c r="I78" s="14"/>
    </row>
    <row r="79" spans="1:9" x14ac:dyDescent="0.25">
      <c r="A79" s="14"/>
      <c r="B79" s="14"/>
      <c r="C79" s="14"/>
      <c r="D79" s="14"/>
      <c r="E79" s="14"/>
      <c r="F79" s="14"/>
      <c r="G79" s="14"/>
      <c r="H79" s="14"/>
      <c r="I79" s="14"/>
    </row>
    <row r="80" spans="1:9" x14ac:dyDescent="0.25">
      <c r="A80" s="14"/>
      <c r="B80" s="14"/>
      <c r="C80" s="14"/>
      <c r="D80" s="14"/>
      <c r="E80" s="14"/>
      <c r="F80" s="14"/>
      <c r="G80" s="14"/>
      <c r="H80" s="14"/>
      <c r="I80" s="14"/>
    </row>
    <row r="81" spans="1:9" x14ac:dyDescent="0.25">
      <c r="A81" s="14"/>
      <c r="B81" s="14"/>
      <c r="C81" s="14"/>
      <c r="D81" s="14"/>
      <c r="E81" s="14"/>
      <c r="F81" s="14"/>
      <c r="G81" s="14"/>
      <c r="H81" s="14"/>
      <c r="I81" s="14"/>
    </row>
    <row r="82" spans="1:9" x14ac:dyDescent="0.25">
      <c r="A82" s="14"/>
      <c r="B82" s="14"/>
      <c r="C82" s="14"/>
      <c r="D82" s="14"/>
      <c r="E82" s="14"/>
      <c r="F82" s="14"/>
      <c r="G82" s="14"/>
      <c r="H82" s="14"/>
      <c r="I82" s="14"/>
    </row>
  </sheetData>
  <mergeCells count="1">
    <mergeCell ref="A2:I3"/>
  </mergeCells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5" sqref="C25"/>
    </sheetView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upbound data</vt:lpstr>
      <vt:lpstr>Graph</vt:lpstr>
      <vt:lpstr>Sheet1</vt:lpstr>
      <vt:lpstr>Graph!Print_Area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Government User</dc:creator>
  <cp:lastModifiedBy>April</cp:lastModifiedBy>
  <cp:lastPrinted>2013-05-01T12:08:40Z</cp:lastPrinted>
  <dcterms:created xsi:type="dcterms:W3CDTF">2006-06-12T19:01:43Z</dcterms:created>
  <dcterms:modified xsi:type="dcterms:W3CDTF">2014-12-16T17:21:19Z</dcterms:modified>
</cp:coreProperties>
</file>