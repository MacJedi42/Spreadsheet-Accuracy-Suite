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105"/>
  <workbookPr showInkAnnotation="0" autoCompressPictures="0"/>
  <bookViews>
    <workbookView xWindow="480" yWindow="20" windowWidth="30960" windowHeight="18260" tabRatio="806"/>
  </bookViews>
  <sheets>
    <sheet name="Summary" sheetId="47" r:id="rId1"/>
    <sheet name="ABC-CLIO" sheetId="1" r:id="rId2"/>
    <sheet name="CIAO" sheetId="8" r:id="rId3"/>
    <sheet name="CollegeSource" sheetId="4" r:id="rId4"/>
    <sheet name="Compendex(EI)" sheetId="6" r:id="rId5"/>
    <sheet name="CSA" sheetId="37" r:id="rId6"/>
    <sheet name="EBSCOhost" sheetId="24" r:id="rId7"/>
    <sheet name="FamilyIndex" sheetId="39" r:id="rId8"/>
    <sheet name="FirstSearch" sheetId="14" r:id="rId9"/>
    <sheet name="InfoTrac" sheetId="40" r:id="rId10"/>
    <sheet name="GroveMusic" sheetId="3" r:id="rId11"/>
    <sheet name="LexisNexis" sheetId="13" r:id="rId12"/>
    <sheet name="MathSciNet" sheetId="2" r:id="rId13"/>
    <sheet name="Mergent" sheetId="43" r:id="rId14"/>
    <sheet name="MINABS" sheetId="45" r:id="rId15"/>
    <sheet name="MusicIndex" sheetId="7" r:id="rId16"/>
    <sheet name="netLibrary" sheetId="44" r:id="rId17"/>
    <sheet name="OVID" sheetId="41" r:id="rId18"/>
    <sheet name="ProQuest" sheetId="31" r:id="rId19"/>
    <sheet name="ReferenceUSA" sheetId="9" r:id="rId20"/>
    <sheet name="RefWorks" sheetId="46" r:id="rId21"/>
    <sheet name="SciFinderScholar" sheetId="12" r:id="rId22"/>
    <sheet name="WebofScience" sheetId="11" r:id="rId23"/>
    <sheet name="WebSpirs" sheetId="10" r:id="rId24"/>
    <sheet name="WilsonWeb" sheetId="5" r:id="rId25"/>
  </sheets>
  <externalReferences>
    <externalReference r:id="rId26"/>
  </externalReferences>
  <definedNames>
    <definedName name="_xlnm.Print_Area" localSheetId="1">'ABC-CLIO'!$A$1:$P$16</definedName>
    <definedName name="_xlnm.Print_Area" localSheetId="2">CIAO!$A$1:$P$8</definedName>
    <definedName name="_xlnm.Print_Area" localSheetId="3">CollegeSource!$A$1:$P$10</definedName>
    <definedName name="_xlnm.Print_Area" localSheetId="4">'Compendex(EI)'!$A$1:$P$9</definedName>
    <definedName name="_xlnm.Print_Area" localSheetId="5">CSA!$A$1:$P$56</definedName>
    <definedName name="_xlnm.Print_Area" localSheetId="6">EBSCOhost!$A$1:$P$63</definedName>
    <definedName name="_xlnm.Print_Area" localSheetId="7">FamilyIndex!$A$1:$P$8</definedName>
    <definedName name="_xlnm.Print_Area" localSheetId="8">FirstSearch!$A$1:$P$92</definedName>
    <definedName name="_xlnm.Print_Area" localSheetId="10">GroveMusic!$A$2:$P$7</definedName>
    <definedName name="_xlnm.Print_Area" localSheetId="9">InfoTrac!$A$1:$P$9</definedName>
    <definedName name="_xlnm.Print_Area" localSheetId="11">LexisNexis!$A$1:$P$17</definedName>
    <definedName name="_xlnm.Print_Area" localSheetId="12">MathSciNet!$A$1:$P$7</definedName>
    <definedName name="_xlnm.Print_Area" localSheetId="13">Mergent!$A$1:$P$7</definedName>
    <definedName name="_xlnm.Print_Area" localSheetId="14">MINABS!$A$1:$P$6</definedName>
    <definedName name="_xlnm.Print_Area" localSheetId="15">MusicIndex!$A$1:$P$6</definedName>
    <definedName name="_xlnm.Print_Area" localSheetId="16">netLibrary!$A$1:$P$10</definedName>
    <definedName name="_xlnm.Print_Area" localSheetId="17">OVID!$A$1:$P$27</definedName>
    <definedName name="_xlnm.Print_Area" localSheetId="18">ProQuest!$A$1:$P$43</definedName>
    <definedName name="_xlnm.Print_Area" localSheetId="19">ReferenceUSA!$A$1:$P$11</definedName>
    <definedName name="_xlnm.Print_Area" localSheetId="20">RefWorks!$A$1:$P$12</definedName>
    <definedName name="_xlnm.Print_Area" localSheetId="21">SciFinderScholar!$A$1:$P$9</definedName>
    <definedName name="_xlnm.Print_Area" localSheetId="22">WebofScience!$A$1:$P$9</definedName>
    <definedName name="_xlnm.Print_Area" localSheetId="23">WebSpirs!$A$1:$P$19</definedName>
    <definedName name="_xlnm.Print_Area" localSheetId="24">WilsonWeb!$A$1:$P$33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0" i="5" l="1"/>
  <c r="P20" i="5"/>
  <c r="H18" i="47"/>
  <c r="G18" i="47"/>
  <c r="N21" i="5"/>
  <c r="E18" i="47"/>
  <c r="D18" i="47"/>
  <c r="N19" i="5"/>
  <c r="C18" i="47"/>
  <c r="N8" i="5"/>
  <c r="P8" i="5"/>
  <c r="H13" i="47"/>
  <c r="G13" i="47"/>
  <c r="D13" i="47"/>
  <c r="N7" i="5"/>
  <c r="C13" i="47"/>
  <c r="N14" i="5"/>
  <c r="P14" i="5"/>
  <c r="H12" i="47"/>
  <c r="G12" i="47"/>
  <c r="D12" i="47"/>
  <c r="N13" i="5"/>
  <c r="C12" i="47"/>
  <c r="N26" i="5"/>
  <c r="P26" i="5"/>
  <c r="H76" i="47"/>
  <c r="G76" i="47"/>
  <c r="D76" i="47"/>
  <c r="N25" i="5"/>
  <c r="C76" i="47"/>
  <c r="N8" i="10"/>
  <c r="P8" i="10"/>
  <c r="H17" i="47"/>
  <c r="G17" i="47"/>
  <c r="N9" i="10"/>
  <c r="E17" i="47"/>
  <c r="D17" i="47"/>
  <c r="N17" i="10"/>
  <c r="P17" i="10"/>
  <c r="H65" i="47"/>
  <c r="G65" i="47"/>
  <c r="D65" i="47"/>
  <c r="N16" i="10"/>
  <c r="C65" i="47"/>
  <c r="N7" i="10"/>
  <c r="C17" i="47"/>
  <c r="N7" i="11"/>
  <c r="P7" i="11"/>
  <c r="H85" i="47"/>
  <c r="G85" i="47"/>
  <c r="N9" i="11"/>
  <c r="E85" i="47"/>
  <c r="D85" i="47"/>
  <c r="N6" i="11"/>
  <c r="C85" i="47"/>
  <c r="N7" i="12"/>
  <c r="P7" i="12"/>
  <c r="H79" i="47"/>
  <c r="G79" i="47"/>
  <c r="N8" i="12"/>
  <c r="E79" i="47"/>
  <c r="D79" i="47"/>
  <c r="N6" i="12"/>
  <c r="C79" i="47"/>
  <c r="G78" i="47"/>
  <c r="N7" i="9"/>
  <c r="P7" i="9"/>
  <c r="H77" i="47"/>
  <c r="G77" i="47"/>
  <c r="N11" i="9"/>
  <c r="F77" i="47"/>
  <c r="D77" i="47"/>
  <c r="N6" i="9"/>
  <c r="C77" i="47"/>
  <c r="N37" i="31"/>
  <c r="D84" i="47"/>
  <c r="N27" i="31"/>
  <c r="P27" i="31"/>
  <c r="H73" i="47"/>
  <c r="G73" i="47"/>
  <c r="D73" i="47"/>
  <c r="N22" i="31"/>
  <c r="D72" i="47"/>
  <c r="N32" i="31"/>
  <c r="P32" i="31"/>
  <c r="H71" i="47"/>
  <c r="G71" i="47"/>
  <c r="D71" i="47"/>
  <c r="N43" i="31"/>
  <c r="P43" i="31"/>
  <c r="H70" i="47"/>
  <c r="G70" i="47"/>
  <c r="D70" i="47"/>
  <c r="N42" i="31"/>
  <c r="C70" i="47"/>
  <c r="N17" i="31"/>
  <c r="P17" i="31"/>
  <c r="H58" i="47"/>
  <c r="G58" i="47"/>
  <c r="D58" i="47"/>
  <c r="N12" i="31"/>
  <c r="D6" i="47"/>
  <c r="N7" i="31"/>
  <c r="P7" i="31"/>
  <c r="H5" i="47"/>
  <c r="G5" i="47"/>
  <c r="D5" i="47"/>
  <c r="G18" i="41"/>
  <c r="N18" i="41"/>
  <c r="D51" i="47"/>
  <c r="G17" i="41"/>
  <c r="N17" i="41"/>
  <c r="C51" i="47"/>
  <c r="G9" i="41"/>
  <c r="N9" i="41"/>
  <c r="P9" i="41"/>
  <c r="H22" i="47"/>
  <c r="G22" i="47"/>
  <c r="D22" i="47"/>
  <c r="G8" i="41"/>
  <c r="N8" i="41"/>
  <c r="C22" i="47"/>
  <c r="G13" i="41"/>
  <c r="N13" i="41"/>
  <c r="D19" i="47"/>
  <c r="G12" i="41"/>
  <c r="N12" i="41"/>
  <c r="C19" i="47"/>
  <c r="N7" i="44"/>
  <c r="E59" i="47"/>
  <c r="N6" i="44"/>
  <c r="C59" i="47"/>
  <c r="N6" i="7"/>
  <c r="P6" i="7"/>
  <c r="H57" i="47"/>
  <c r="G57" i="47"/>
  <c r="D57" i="47"/>
  <c r="N6" i="45"/>
  <c r="P6" i="45"/>
  <c r="H55" i="47"/>
  <c r="G55" i="47"/>
  <c r="C55" i="47"/>
  <c r="N6" i="43"/>
  <c r="P6" i="43"/>
  <c r="H52" i="47"/>
  <c r="G52" i="47"/>
  <c r="N7" i="43"/>
  <c r="F52" i="47"/>
  <c r="D52" i="47"/>
  <c r="N7" i="2"/>
  <c r="P7" i="2"/>
  <c r="H49" i="47"/>
  <c r="G49" i="47"/>
  <c r="D49" i="47"/>
  <c r="N6" i="2"/>
  <c r="C49" i="47"/>
  <c r="N16" i="13"/>
  <c r="P16" i="13"/>
  <c r="H46" i="47"/>
  <c r="G46" i="47"/>
  <c r="N17" i="13"/>
  <c r="F46" i="47"/>
  <c r="D46" i="47"/>
  <c r="N8" i="13"/>
  <c r="P8" i="13"/>
  <c r="H45" i="47"/>
  <c r="G45" i="47"/>
  <c r="N9" i="13"/>
  <c r="F45" i="47"/>
  <c r="D45" i="47"/>
  <c r="N7" i="3"/>
  <c r="P7" i="3"/>
  <c r="H41" i="47"/>
  <c r="G41" i="47"/>
  <c r="D41" i="47"/>
  <c r="N6" i="3"/>
  <c r="C41" i="47"/>
  <c r="N7" i="40"/>
  <c r="P7" i="40"/>
  <c r="H47" i="47"/>
  <c r="G47" i="47"/>
  <c r="N9" i="40"/>
  <c r="F47" i="47"/>
  <c r="D47" i="47"/>
  <c r="N6" i="40"/>
  <c r="C47" i="47"/>
  <c r="G8" i="47"/>
  <c r="G9" i="47"/>
  <c r="G38" i="47"/>
  <c r="G36" i="47"/>
  <c r="N5" i="14"/>
  <c r="D8" i="47"/>
  <c r="N8" i="14"/>
  <c r="D9" i="47"/>
  <c r="N29" i="14"/>
  <c r="D38" i="47"/>
  <c r="D36" i="47"/>
  <c r="H9" i="47"/>
  <c r="H8" i="47"/>
  <c r="N14" i="14"/>
  <c r="E14" i="47"/>
  <c r="N12" i="14"/>
  <c r="D14" i="47"/>
  <c r="N11" i="14"/>
  <c r="C14" i="47"/>
  <c r="N20" i="14"/>
  <c r="E33" i="47"/>
  <c r="N18" i="14"/>
  <c r="D33" i="47"/>
  <c r="N17" i="14"/>
  <c r="C33" i="47"/>
  <c r="N26" i="14"/>
  <c r="E31" i="47"/>
  <c r="N24" i="14"/>
  <c r="D31" i="47"/>
  <c r="N23" i="14"/>
  <c r="C31" i="47"/>
  <c r="H38" i="47"/>
  <c r="N36" i="14"/>
  <c r="E40" i="47"/>
  <c r="N34" i="14"/>
  <c r="D40" i="47"/>
  <c r="N33" i="14"/>
  <c r="C40" i="47"/>
  <c r="N41" i="14"/>
  <c r="P41" i="14"/>
  <c r="H56" i="47"/>
  <c r="G56" i="47"/>
  <c r="N43" i="14"/>
  <c r="E56" i="47"/>
  <c r="D56" i="47"/>
  <c r="N40" i="14"/>
  <c r="C56" i="47"/>
  <c r="N50" i="14"/>
  <c r="E50" i="47"/>
  <c r="N48" i="14"/>
  <c r="D50" i="47"/>
  <c r="N47" i="14"/>
  <c r="C50" i="47"/>
  <c r="N57" i="14"/>
  <c r="E63" i="47"/>
  <c r="N55" i="14"/>
  <c r="D63" i="47"/>
  <c r="N54" i="14"/>
  <c r="C63" i="47"/>
  <c r="N64" i="14"/>
  <c r="E69" i="47"/>
  <c r="N62" i="14"/>
  <c r="D69" i="47"/>
  <c r="N61" i="14"/>
  <c r="C69" i="47"/>
  <c r="N71" i="14"/>
  <c r="E83" i="47"/>
  <c r="N69" i="14"/>
  <c r="D83" i="47"/>
  <c r="N68" i="14"/>
  <c r="C83" i="47"/>
  <c r="N78" i="14"/>
  <c r="E86" i="47"/>
  <c r="N76" i="14"/>
  <c r="D86" i="47"/>
  <c r="N75" i="14"/>
  <c r="C86" i="47"/>
  <c r="N83" i="14"/>
  <c r="P83" i="14"/>
  <c r="H87" i="47"/>
  <c r="G87" i="47"/>
  <c r="N85" i="14"/>
  <c r="E87" i="47"/>
  <c r="D87" i="47"/>
  <c r="N82" i="14"/>
  <c r="C87" i="47"/>
  <c r="O90" i="14"/>
  <c r="N90" i="14"/>
  <c r="P90" i="14"/>
  <c r="H35" i="47"/>
  <c r="G35" i="47"/>
  <c r="N92" i="14"/>
  <c r="E35" i="47"/>
  <c r="D35" i="47"/>
  <c r="N89" i="14"/>
  <c r="C35" i="47"/>
  <c r="N8" i="39"/>
  <c r="P8" i="39"/>
  <c r="H34" i="47"/>
  <c r="G34" i="47"/>
  <c r="D34" i="47"/>
  <c r="N7" i="39"/>
  <c r="C34" i="47"/>
  <c r="N7" i="24"/>
  <c r="P7" i="24"/>
  <c r="H7" i="47"/>
  <c r="G7" i="47"/>
  <c r="N8" i="24"/>
  <c r="F7" i="47"/>
  <c r="D7" i="47"/>
  <c r="N6" i="24"/>
  <c r="C7" i="47"/>
  <c r="N15" i="24"/>
  <c r="F11" i="47"/>
  <c r="N14" i="24"/>
  <c r="D11" i="47"/>
  <c r="N13" i="24"/>
  <c r="C11" i="47"/>
  <c r="N22" i="24"/>
  <c r="F28" i="47"/>
  <c r="N21" i="24"/>
  <c r="D28" i="47"/>
  <c r="N20" i="24"/>
  <c r="C28" i="47"/>
  <c r="N28" i="24"/>
  <c r="D37" i="47"/>
  <c r="N27" i="24"/>
  <c r="C37" i="47"/>
  <c r="N36" i="24"/>
  <c r="F48" i="47"/>
  <c r="N35" i="24"/>
  <c r="D48" i="47"/>
  <c r="N34" i="24"/>
  <c r="C48" i="47"/>
  <c r="N43" i="24"/>
  <c r="F54" i="47"/>
  <c r="N42" i="24"/>
  <c r="D54" i="47"/>
  <c r="N41" i="24"/>
  <c r="C54" i="47"/>
  <c r="N50" i="24"/>
  <c r="F68" i="47"/>
  <c r="N49" i="24"/>
  <c r="D68" i="47"/>
  <c r="N48" i="24"/>
  <c r="C68" i="47"/>
  <c r="N56" i="24"/>
  <c r="P56" i="24"/>
  <c r="H82" i="47"/>
  <c r="G82" i="47"/>
  <c r="D82" i="47"/>
  <c r="N55" i="24"/>
  <c r="C82" i="47"/>
  <c r="O62" i="24"/>
  <c r="N62" i="24"/>
  <c r="P62" i="24"/>
  <c r="H29" i="47"/>
  <c r="G29" i="47"/>
  <c r="N63" i="24"/>
  <c r="F29" i="47"/>
  <c r="D29" i="47"/>
  <c r="N61" i="24"/>
  <c r="C29" i="47"/>
  <c r="B8" i="37"/>
  <c r="C8" i="37"/>
  <c r="D8" i="37"/>
  <c r="E8" i="37"/>
  <c r="F8" i="37"/>
  <c r="G8" i="37"/>
  <c r="H8" i="37"/>
  <c r="I8" i="37"/>
  <c r="J8" i="37"/>
  <c r="K8" i="37"/>
  <c r="L8" i="37"/>
  <c r="M8" i="37"/>
  <c r="N8" i="37"/>
  <c r="P8" i="37"/>
  <c r="H15" i="47"/>
  <c r="G15" i="47"/>
  <c r="D15" i="47"/>
  <c r="B11" i="37"/>
  <c r="C11" i="37"/>
  <c r="D11" i="37"/>
  <c r="E11" i="37"/>
  <c r="F11" i="37"/>
  <c r="G11" i="37"/>
  <c r="H11" i="37"/>
  <c r="I11" i="37"/>
  <c r="J11" i="37"/>
  <c r="K11" i="37"/>
  <c r="L11" i="37"/>
  <c r="M11" i="37"/>
  <c r="N11" i="37"/>
  <c r="P11" i="37"/>
  <c r="H25" i="47"/>
  <c r="G25" i="47"/>
  <c r="D25" i="47"/>
  <c r="B14" i="37"/>
  <c r="C14" i="37"/>
  <c r="D14" i="37"/>
  <c r="E14" i="37"/>
  <c r="F14" i="37"/>
  <c r="G14" i="37"/>
  <c r="H14" i="37"/>
  <c r="I14" i="37"/>
  <c r="J14" i="37"/>
  <c r="K14" i="37"/>
  <c r="L14" i="37"/>
  <c r="M14" i="37"/>
  <c r="N14" i="37"/>
  <c r="P14" i="37"/>
  <c r="H30" i="47"/>
  <c r="G30" i="47"/>
  <c r="D30" i="47"/>
  <c r="B17" i="37"/>
  <c r="C17" i="37"/>
  <c r="D17" i="37"/>
  <c r="E17" i="37"/>
  <c r="F17" i="37"/>
  <c r="G17" i="37"/>
  <c r="H17" i="37"/>
  <c r="I17" i="37"/>
  <c r="J17" i="37"/>
  <c r="K17" i="37"/>
  <c r="L17" i="37"/>
  <c r="M17" i="37"/>
  <c r="N17" i="37"/>
  <c r="D32" i="47"/>
  <c r="B20" i="37"/>
  <c r="C20" i="37"/>
  <c r="D20" i="37"/>
  <c r="E20" i="37"/>
  <c r="F20" i="37"/>
  <c r="G20" i="37"/>
  <c r="H20" i="37"/>
  <c r="I20" i="37"/>
  <c r="J20" i="37"/>
  <c r="K20" i="37"/>
  <c r="L20" i="37"/>
  <c r="M20" i="37"/>
  <c r="N20" i="37"/>
  <c r="P20" i="37"/>
  <c r="H43" i="47"/>
  <c r="G43" i="47"/>
  <c r="D43" i="47"/>
  <c r="B23" i="37"/>
  <c r="C23" i="37"/>
  <c r="D23" i="37"/>
  <c r="E23" i="37"/>
  <c r="F23" i="37"/>
  <c r="G23" i="37"/>
  <c r="H23" i="37"/>
  <c r="I23" i="37"/>
  <c r="J23" i="37"/>
  <c r="K23" i="37"/>
  <c r="L23" i="37"/>
  <c r="M23" i="37"/>
  <c r="N23" i="37"/>
  <c r="P23" i="37"/>
  <c r="H53" i="47"/>
  <c r="G53" i="47"/>
  <c r="D53" i="47"/>
  <c r="N26" i="37"/>
  <c r="D60" i="47"/>
  <c r="B29" i="37"/>
  <c r="C29" i="37"/>
  <c r="D29" i="37"/>
  <c r="E29" i="37"/>
  <c r="F29" i="37"/>
  <c r="G29" i="37"/>
  <c r="H29" i="37"/>
  <c r="I29" i="37"/>
  <c r="J29" i="37"/>
  <c r="K29" i="37"/>
  <c r="L29" i="37"/>
  <c r="M29" i="37"/>
  <c r="N29" i="37"/>
  <c r="D61" i="47"/>
  <c r="B32" i="37"/>
  <c r="C32" i="37"/>
  <c r="D32" i="37"/>
  <c r="E32" i="37"/>
  <c r="F32" i="37"/>
  <c r="G32" i="37"/>
  <c r="H32" i="37"/>
  <c r="I32" i="37"/>
  <c r="J32" i="37"/>
  <c r="K32" i="37"/>
  <c r="L32" i="37"/>
  <c r="M32" i="37"/>
  <c r="N32" i="37"/>
  <c r="P32" i="37"/>
  <c r="H62" i="47"/>
  <c r="G62" i="47"/>
  <c r="D62" i="47"/>
  <c r="B35" i="37"/>
  <c r="C35" i="37"/>
  <c r="D35" i="37"/>
  <c r="E35" i="37"/>
  <c r="F35" i="37"/>
  <c r="G35" i="37"/>
  <c r="H35" i="37"/>
  <c r="I35" i="37"/>
  <c r="J35" i="37"/>
  <c r="K35" i="37"/>
  <c r="L35" i="37"/>
  <c r="M35" i="37"/>
  <c r="N35" i="37"/>
  <c r="P35" i="37"/>
  <c r="H64" i="47"/>
  <c r="G64" i="47"/>
  <c r="D64" i="47"/>
  <c r="B38" i="37"/>
  <c r="C38" i="37"/>
  <c r="D38" i="37"/>
  <c r="E38" i="37"/>
  <c r="F38" i="37"/>
  <c r="G38" i="37"/>
  <c r="H38" i="37"/>
  <c r="I38" i="37"/>
  <c r="J38" i="37"/>
  <c r="K38" i="37"/>
  <c r="L38" i="37"/>
  <c r="M38" i="37"/>
  <c r="N38" i="37"/>
  <c r="P38" i="37"/>
  <c r="H66" i="47"/>
  <c r="G66" i="47"/>
  <c r="D66" i="47"/>
  <c r="C41" i="37"/>
  <c r="D41" i="37"/>
  <c r="I41" i="37"/>
  <c r="J41" i="37"/>
  <c r="K41" i="37"/>
  <c r="L41" i="37"/>
  <c r="M41" i="37"/>
  <c r="N41" i="37"/>
  <c r="P41" i="37"/>
  <c r="H67" i="47"/>
  <c r="G67" i="47"/>
  <c r="D67" i="47"/>
  <c r="B44" i="37"/>
  <c r="C44" i="37"/>
  <c r="D44" i="37"/>
  <c r="E44" i="37"/>
  <c r="F44" i="37"/>
  <c r="G44" i="37"/>
  <c r="H44" i="37"/>
  <c r="I44" i="37"/>
  <c r="J44" i="37"/>
  <c r="K44" i="37"/>
  <c r="L44" i="37"/>
  <c r="M44" i="37"/>
  <c r="N44" i="37"/>
  <c r="P44" i="37"/>
  <c r="H74" i="47"/>
  <c r="G74" i="47"/>
  <c r="D74" i="47"/>
  <c r="B47" i="37"/>
  <c r="C47" i="37"/>
  <c r="D47" i="37"/>
  <c r="E47" i="37"/>
  <c r="F47" i="37"/>
  <c r="G47" i="37"/>
  <c r="H47" i="37"/>
  <c r="I47" i="37"/>
  <c r="J47" i="37"/>
  <c r="K47" i="37"/>
  <c r="L47" i="37"/>
  <c r="M47" i="37"/>
  <c r="N47" i="37"/>
  <c r="D80" i="47"/>
  <c r="B50" i="37"/>
  <c r="C50" i="37"/>
  <c r="D50" i="37"/>
  <c r="E50" i="37"/>
  <c r="F50" i="37"/>
  <c r="G50" i="37"/>
  <c r="H50" i="37"/>
  <c r="I50" i="37"/>
  <c r="J50" i="37"/>
  <c r="K50" i="37"/>
  <c r="L50" i="37"/>
  <c r="M50" i="37"/>
  <c r="N50" i="37"/>
  <c r="P50" i="37"/>
  <c r="H81" i="47"/>
  <c r="G81" i="47"/>
  <c r="D81" i="47"/>
  <c r="O54" i="37"/>
  <c r="B54" i="37"/>
  <c r="C54" i="37"/>
  <c r="D54" i="37"/>
  <c r="E54" i="37"/>
  <c r="F54" i="37"/>
  <c r="G54" i="37"/>
  <c r="H54" i="37"/>
  <c r="I54" i="37"/>
  <c r="J54" i="37"/>
  <c r="K54" i="37"/>
  <c r="L54" i="37"/>
  <c r="M54" i="37"/>
  <c r="N54" i="37"/>
  <c r="P54" i="37"/>
  <c r="H27" i="47"/>
  <c r="G27" i="47"/>
  <c r="D27" i="47"/>
  <c r="B53" i="37"/>
  <c r="C53" i="37"/>
  <c r="D53" i="37"/>
  <c r="E53" i="37"/>
  <c r="F53" i="37"/>
  <c r="G53" i="37"/>
  <c r="H53" i="37"/>
  <c r="I53" i="37"/>
  <c r="J53" i="37"/>
  <c r="K53" i="37"/>
  <c r="L53" i="37"/>
  <c r="M53" i="37"/>
  <c r="N53" i="37"/>
  <c r="C27" i="47"/>
  <c r="N8" i="6"/>
  <c r="P8" i="6"/>
  <c r="H26" i="47"/>
  <c r="G26" i="47"/>
  <c r="D26" i="47"/>
  <c r="N7" i="6"/>
  <c r="C26" i="47"/>
  <c r="N7" i="4"/>
  <c r="P7" i="4"/>
  <c r="H24" i="47"/>
  <c r="G24" i="47"/>
  <c r="D24" i="47"/>
  <c r="N7" i="8"/>
  <c r="P7" i="8"/>
  <c r="H21" i="47"/>
  <c r="G21" i="47"/>
  <c r="N8" i="8"/>
  <c r="F21" i="47"/>
  <c r="D21" i="47"/>
  <c r="N6" i="8"/>
  <c r="C21" i="47"/>
  <c r="P8" i="8"/>
  <c r="O9" i="1"/>
  <c r="O16" i="1"/>
  <c r="N16" i="1"/>
  <c r="P16" i="1"/>
  <c r="H42" i="47"/>
  <c r="G42" i="47"/>
  <c r="D42" i="47"/>
  <c r="N15" i="1"/>
  <c r="C42" i="47"/>
  <c r="N9" i="1"/>
  <c r="P9" i="1"/>
  <c r="H10" i="47"/>
  <c r="G10" i="47"/>
  <c r="D10" i="47"/>
  <c r="N8" i="1"/>
  <c r="C10" i="47"/>
  <c r="P7" i="43"/>
  <c r="N26" i="41"/>
  <c r="P26" i="41"/>
  <c r="P8" i="9"/>
  <c r="P9" i="9"/>
  <c r="N10" i="9"/>
  <c r="P10" i="9"/>
  <c r="P11" i="9"/>
  <c r="P6" i="9"/>
  <c r="N12" i="46"/>
  <c r="N11" i="46"/>
  <c r="N10" i="46"/>
  <c r="N9" i="46"/>
  <c r="N8" i="46"/>
  <c r="N7" i="46"/>
  <c r="N6" i="46"/>
  <c r="C33" i="5"/>
  <c r="D33" i="5"/>
  <c r="E33" i="5"/>
  <c r="F33" i="5"/>
  <c r="G33" i="5"/>
  <c r="H33" i="5"/>
  <c r="I33" i="5"/>
  <c r="J33" i="5"/>
  <c r="K33" i="5"/>
  <c r="L33" i="5"/>
  <c r="M33" i="5"/>
  <c r="B33" i="5"/>
  <c r="C32" i="5"/>
  <c r="D32" i="5"/>
  <c r="E32" i="5"/>
  <c r="F32" i="5"/>
  <c r="G32" i="5"/>
  <c r="H32" i="5"/>
  <c r="I32" i="5"/>
  <c r="J32" i="5"/>
  <c r="K32" i="5"/>
  <c r="L32" i="5"/>
  <c r="M32" i="5"/>
  <c r="B32" i="5"/>
  <c r="C31" i="5"/>
  <c r="D31" i="5"/>
  <c r="E31" i="5"/>
  <c r="F31" i="5"/>
  <c r="G31" i="5"/>
  <c r="H31" i="5"/>
  <c r="I31" i="5"/>
  <c r="J31" i="5"/>
  <c r="K31" i="5"/>
  <c r="L31" i="5"/>
  <c r="M31" i="5"/>
  <c r="B31" i="5"/>
  <c r="P17" i="13"/>
  <c r="P9" i="13"/>
  <c r="P9" i="40"/>
  <c r="O63" i="24"/>
  <c r="P63" i="24"/>
  <c r="P8" i="24"/>
  <c r="E12" i="47"/>
  <c r="E13" i="47"/>
  <c r="E47" i="47"/>
  <c r="G72" i="47"/>
  <c r="E76" i="47"/>
  <c r="N19" i="10"/>
  <c r="N18" i="10"/>
  <c r="N10" i="10"/>
  <c r="O32" i="5"/>
  <c r="N32" i="5"/>
  <c r="P32" i="5"/>
  <c r="N9" i="5"/>
  <c r="N15" i="5"/>
  <c r="N27" i="5"/>
  <c r="N33" i="5"/>
  <c r="N31" i="5"/>
  <c r="N27" i="41"/>
  <c r="N25" i="41"/>
  <c r="N8" i="40"/>
  <c r="G10" i="41"/>
  <c r="G14" i="41"/>
  <c r="G19" i="41"/>
  <c r="M56" i="37"/>
  <c r="L56" i="37"/>
  <c r="K56" i="37"/>
  <c r="J56" i="37"/>
  <c r="I56" i="37"/>
  <c r="H56" i="37"/>
  <c r="G56" i="37"/>
  <c r="F56" i="37"/>
  <c r="E56" i="37"/>
  <c r="D56" i="37"/>
  <c r="C56" i="37"/>
  <c r="B56" i="37"/>
  <c r="N91" i="14"/>
  <c r="B55" i="37"/>
  <c r="C55" i="37"/>
  <c r="D55" i="37"/>
  <c r="E55" i="37"/>
  <c r="F55" i="37"/>
  <c r="G55" i="37"/>
  <c r="H55" i="37"/>
  <c r="I55" i="37"/>
  <c r="J55" i="37"/>
  <c r="K55" i="37"/>
  <c r="L55" i="37"/>
  <c r="M55" i="37"/>
  <c r="N56" i="37"/>
  <c r="N10" i="4"/>
  <c r="N9" i="4"/>
</calcChain>
</file>

<file path=xl/sharedStrings.xml><?xml version="1.0" encoding="utf-8"?>
<sst xmlns="http://schemas.openxmlformats.org/spreadsheetml/2006/main" count="948" uniqueCount="216">
  <si>
    <t>Total Records printed or viewed</t>
  </si>
  <si>
    <t>Total records downloaded</t>
  </si>
  <si>
    <t>InfoTRAC</t>
  </si>
  <si>
    <t>CINAHL</t>
  </si>
  <si>
    <t>Full text retrieved</t>
  </si>
  <si>
    <t>Jul/04-Dec/04</t>
  </si>
  <si>
    <t>Jan/05-Jun/05</t>
  </si>
  <si>
    <t>Articles Viewed</t>
  </si>
  <si>
    <t>PubMed</t>
  </si>
  <si>
    <t>Dec</t>
  </si>
  <si>
    <t>Total</t>
  </si>
  <si>
    <t>TOTAL</t>
  </si>
  <si>
    <t>Sessions</t>
  </si>
  <si>
    <t>Searches</t>
  </si>
  <si>
    <t>Searches per Session</t>
  </si>
  <si>
    <t>AHL Database</t>
  </si>
  <si>
    <t>HA Database</t>
  </si>
  <si>
    <t>MathSciNet</t>
  </si>
  <si>
    <t>Queries</t>
  </si>
  <si>
    <t>Grove Music</t>
  </si>
  <si>
    <t>CollegeSource</t>
  </si>
  <si>
    <t>Service Errors</t>
  </si>
  <si>
    <t>Turnaways</t>
  </si>
  <si>
    <t>Art Abstracts</t>
  </si>
  <si>
    <t>Applied Science &amp; Technology Abstracts</t>
  </si>
  <si>
    <t>Biological &amp; Agricultural Index Plus</t>
  </si>
  <si>
    <t>Readers Guide Retrospective</t>
  </si>
  <si>
    <t>Compendex (Engineering Index)</t>
  </si>
  <si>
    <t>Max Concurrent Users</t>
  </si>
  <si>
    <t>Music Index</t>
  </si>
  <si>
    <t>CIAO</t>
  </si>
  <si>
    <t>ReferenceUSA</t>
  </si>
  <si>
    <t>Residential Searches</t>
  </si>
  <si>
    <t>Business Searches</t>
  </si>
  <si>
    <t>Philosopher's Index</t>
  </si>
  <si>
    <t>Web of Science</t>
  </si>
  <si>
    <t>Maximum Contractual Users</t>
  </si>
  <si>
    <t>SciFinder Scholar</t>
  </si>
  <si>
    <t>Documents Retrieved</t>
  </si>
  <si>
    <t>Academic</t>
  </si>
  <si>
    <t>Congressional</t>
  </si>
  <si>
    <t>N/A</t>
  </si>
  <si>
    <t>FirstSearch</t>
  </si>
  <si>
    <t>Alternative Press Index</t>
  </si>
  <si>
    <t>WorldCat</t>
  </si>
  <si>
    <t>WorldAlmanac</t>
  </si>
  <si>
    <t>UnionLists</t>
  </si>
  <si>
    <t>ProceedingsFirst</t>
  </si>
  <si>
    <t>PapersFirst</t>
  </si>
  <si>
    <t>MEDLINE</t>
  </si>
  <si>
    <t>MLA Bibliography</t>
  </si>
  <si>
    <t>GPO Monthly Catalog</t>
  </si>
  <si>
    <t>GEOBASE</t>
  </si>
  <si>
    <t>ERIC</t>
  </si>
  <si>
    <t>ArticleFirst</t>
  </si>
  <si>
    <t>Alternative Press Index Archive</t>
  </si>
  <si>
    <t>TOTAL FirstSearch</t>
  </si>
  <si>
    <t>LexisNexis Academic</t>
  </si>
  <si>
    <t>LexisNexis Congressional</t>
  </si>
  <si>
    <t>Bibliography &amp; Index of Micropaleontology</t>
  </si>
  <si>
    <t>ChoiceReviews.online</t>
  </si>
  <si>
    <t>Family Index</t>
  </si>
  <si>
    <t>Mergent Online</t>
  </si>
  <si>
    <t>netLibrary</t>
  </si>
  <si>
    <t>EBSCO Animals</t>
  </si>
  <si>
    <t>ProQuest Dissertations &amp; Theses</t>
  </si>
  <si>
    <t>ProQuest Databases</t>
  </si>
  <si>
    <t>Providence Journal-Bulletin</t>
  </si>
  <si>
    <t>National Newspapers (5)</t>
  </si>
  <si>
    <t>ABI/INFORM Trade &amp; Industry</t>
  </si>
  <si>
    <t>ABI/INFORM Global</t>
  </si>
  <si>
    <t>ProQuest ALL</t>
  </si>
  <si>
    <t>LexisNexis</t>
  </si>
  <si>
    <t>EBSCO Databases</t>
  </si>
  <si>
    <t>Academic Search Premier</t>
  </si>
  <si>
    <t>Textile Technology Index</t>
  </si>
  <si>
    <t>America History &amp; Life</t>
  </si>
  <si>
    <t>ABC-CLIO Databases</t>
  </si>
  <si>
    <t>Historical Abstracts</t>
  </si>
  <si>
    <t>CSA Databases</t>
  </si>
  <si>
    <t>2005-2006</t>
  </si>
  <si>
    <t>ASFA</t>
  </si>
  <si>
    <t>Communication Abstracts</t>
  </si>
  <si>
    <t>EconLit</t>
  </si>
  <si>
    <t>International Pharmaceutical Abstracts</t>
  </si>
  <si>
    <t>Meteorological &amp; Geoastrophysical Abstracts</t>
  </si>
  <si>
    <t>NTIS</t>
  </si>
  <si>
    <t>Oceanic Abstracts</t>
  </si>
  <si>
    <t>included with ASFA</t>
  </si>
  <si>
    <t>PAIS International</t>
  </si>
  <si>
    <t>Physical Education Index</t>
  </si>
  <si>
    <t>Pollution Abstracts</t>
  </si>
  <si>
    <t>PsycINFO</t>
  </si>
  <si>
    <t>Social Services Abstracts</t>
  </si>
  <si>
    <t>Sociological Abstracts</t>
  </si>
  <si>
    <t>CSA Databases total</t>
  </si>
  <si>
    <t>Session</t>
  </si>
  <si>
    <t>RefWorks</t>
  </si>
  <si>
    <t>ProQuest Historical Newspapers - New York Times 1851-2002</t>
  </si>
  <si>
    <t>2004-2005</t>
  </si>
  <si>
    <t>Metric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</si>
  <si>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</si>
  <si>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</si>
  <si>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</si>
  <si>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</si>
  <si>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</si>
  <si>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</si>
  <si>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</si>
  <si>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</si>
  <si>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</si>
  <si>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</si>
  <si>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</si>
  <si>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Wall Street Journal</t>
  </si>
  <si>
    <t>Price for 2004-2005</t>
  </si>
  <si>
    <t>Price per search</t>
  </si>
  <si>
    <t>2004-2005 Price</t>
  </si>
  <si>
    <t>Primary Search</t>
  </si>
  <si>
    <t>Funk &amp; Wagnall's New World Encyclopedia</t>
  </si>
  <si>
    <t>MAS Ultra - School edition</t>
  </si>
  <si>
    <t>Military &amp; Govt Collection</t>
  </si>
  <si>
    <t>Successful Full Text Article Requests</t>
  </si>
  <si>
    <t>User Limit</t>
  </si>
  <si>
    <t>Electronic Collections Online</t>
  </si>
  <si>
    <t>Max Ports in Use</t>
  </si>
  <si>
    <t>EBSCO All Databases</t>
  </si>
  <si>
    <t>American Humanities Index</t>
  </si>
  <si>
    <t>Successful Full-Text Article Requests</t>
  </si>
  <si>
    <t>Mergent</t>
  </si>
  <si>
    <t>Companies Viewed</t>
  </si>
  <si>
    <t>NetLibrary</t>
  </si>
  <si>
    <t>OVID</t>
  </si>
  <si>
    <t>All OVID Databases</t>
  </si>
  <si>
    <t>ALL WILSON DATABASES</t>
  </si>
  <si>
    <t>Not available</t>
  </si>
  <si>
    <t>ProQuest (all databases)</t>
  </si>
  <si>
    <t>Peak usage</t>
  </si>
  <si>
    <t>Biological Abstracts</t>
  </si>
  <si>
    <t>Simultaneous Users</t>
  </si>
  <si>
    <t>MINABS</t>
  </si>
  <si>
    <t>RefWorks (CSA)</t>
  </si>
  <si>
    <t>Cost per unit</t>
  </si>
  <si>
    <t>New Users</t>
  </si>
  <si>
    <t>Repeat Users</t>
  </si>
  <si>
    <t>Total Monthly Users</t>
  </si>
  <si>
    <t>Total Sessions per month</t>
  </si>
  <si>
    <t>Average Sessions Per User</t>
  </si>
  <si>
    <t>Total Subscriber References added</t>
  </si>
  <si>
    <t>Average References added per user</t>
  </si>
  <si>
    <t>Database Statistics Summary</t>
  </si>
  <si>
    <t>Database Name</t>
  </si>
  <si>
    <t>Vendor</t>
  </si>
  <si>
    <t>Successful full-text article requests</t>
  </si>
  <si>
    <t>Price</t>
  </si>
  <si>
    <t>Cost per Search</t>
  </si>
  <si>
    <t>ProQuest</t>
  </si>
  <si>
    <t>EBSCOhost</t>
  </si>
  <si>
    <t>ABC-CLIO</t>
  </si>
  <si>
    <t>WilsonWeb</t>
  </si>
  <si>
    <t>ArticleFirst*</t>
  </si>
  <si>
    <t>ASFA: Aquatic Science &amp; Fisheries Abstracts</t>
  </si>
  <si>
    <t>CSA</t>
  </si>
  <si>
    <t>—</t>
  </si>
  <si>
    <t>Not avail.</t>
  </si>
  <si>
    <t>Biological Abstracts / BIOSIS</t>
  </si>
  <si>
    <t>Ovid WEBSPIRS</t>
  </si>
  <si>
    <t>Biological &amp; Agricultural Index Plus*</t>
  </si>
  <si>
    <t>BIOSIS Previews</t>
  </si>
  <si>
    <t>Choice</t>
  </si>
  <si>
    <t>Cochrane Library</t>
  </si>
  <si>
    <t>Wiley InterScience</t>
  </si>
  <si>
    <t>Compendex</t>
  </si>
  <si>
    <t>EI</t>
  </si>
  <si>
    <t>CSA (all databases)</t>
  </si>
  <si>
    <t>EBSCOhost (all databases)</t>
  </si>
  <si>
    <t>Electronic Collections Online*</t>
  </si>
  <si>
    <t>URI does not subscribe to full text</t>
  </si>
  <si>
    <t>ERIC*</t>
  </si>
  <si>
    <t>FirstSearch (all databases)</t>
  </si>
  <si>
    <t>FirstSearch (“per-search” block searches)</t>
  </si>
  <si>
    <t>GeoRef</t>
  </si>
  <si>
    <t>Community of Science</t>
  </si>
  <si>
    <t>GPO Monthly Catalog*</t>
  </si>
  <si>
    <t>Oxford</t>
  </si>
  <si>
    <t>Labor and Employment Law Library</t>
  </si>
  <si>
    <t>BNA</t>
  </si>
  <si>
    <t>Literature Resource Center</t>
  </si>
  <si>
    <t>InfoTrac</t>
  </si>
  <si>
    <t>MAS Ultra – School edition</t>
  </si>
  <si>
    <t>American Mathematical Society</t>
  </si>
  <si>
    <t>MEDLINE*</t>
  </si>
  <si>
    <t>Military &amp; Government Collection</t>
  </si>
  <si>
    <t>MINABS Online</t>
  </si>
  <si>
    <t>Harmonie Park Press</t>
  </si>
  <si>
    <t>PapersFirst*</t>
  </si>
  <si>
    <t>ProceedingsFirst*</t>
  </si>
  <si>
    <t>ProQuest Historical Newspapers — The New York Times (1851-2002)</t>
  </si>
  <si>
    <t>NLM</t>
  </si>
  <si>
    <t>InfoUSA</t>
  </si>
  <si>
    <t>SciFinder Scholar*</t>
  </si>
  <si>
    <t>CAS</t>
  </si>
  <si>
    <t>Web of Science*</t>
  </si>
  <si>
    <t>Thomson ISI</t>
  </si>
  <si>
    <t>World Almanac*</t>
  </si>
  <si>
    <t>WorldCat*</t>
  </si>
  <si>
    <t>* usage constrained by limitations on concurrent users</t>
  </si>
  <si>
    <t>Free trial</t>
  </si>
  <si>
    <t>Price per unit</t>
  </si>
  <si>
    <t>Cost per search</t>
  </si>
  <si>
    <t>Note: We have 4,478 shared titles</t>
  </si>
  <si>
    <t>Accesses</t>
  </si>
  <si>
    <t>Price per access</t>
  </si>
  <si>
    <t>UnionLists*</t>
  </si>
  <si>
    <t>Price per session</t>
  </si>
  <si>
    <t>per session</t>
  </si>
  <si>
    <t>WebSPIRS</t>
  </si>
  <si>
    <t>WilsonWeb Databases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</si>
</sst>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169" formatCode="[$-409]mmm\-yy;@"/>
    <numFmt numFmtId="173" formatCode="&quot;$&quot;#,##0.00"/>
  </numFmts>
  <fonts count="10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MS Sans Serif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3" xfId="0" applyBorder="1" applyAlignment="1">
      <alignment horizontal="right" vertical="top" wrapText="1"/>
    </xf>
    <xf numFmtId="0" fontId="0" fillId="2" borderId="2" xfId="0" applyFill="1" applyBorder="1"/>
    <xf numFmtId="1" fontId="0" fillId="2" borderId="2" xfId="0" applyNumberFormat="1" applyFill="1" applyBorder="1"/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3" fillId="0" borderId="0" xfId="0" applyFont="1" applyFill="1"/>
    <xf numFmtId="1" fontId="0" fillId="0" borderId="0" xfId="0" applyNumberFormat="1" applyFill="1" applyBorder="1"/>
    <xf numFmtId="0" fontId="0" fillId="0" borderId="2" xfId="0" applyBorder="1"/>
    <xf numFmtId="0" fontId="3" fillId="0" borderId="0" xfId="0" applyFont="1" applyAlignment="1">
      <alignment horizontal="right" vertical="top"/>
    </xf>
    <xf numFmtId="0" fontId="0" fillId="0" borderId="0" xfId="0" applyAlignment="1">
      <alignment wrapText="1"/>
    </xf>
    <xf numFmtId="0" fontId="7" fillId="3" borderId="2" xfId="0" applyFont="1" applyFill="1" applyBorder="1" applyAlignment="1">
      <alignment horizontal="right" wrapText="1"/>
    </xf>
    <xf numFmtId="0" fontId="0" fillId="0" borderId="0" xfId="0" applyFill="1"/>
    <xf numFmtId="0" fontId="0" fillId="0" borderId="0" xfId="0" applyFill="1" applyBorder="1"/>
    <xf numFmtId="0" fontId="0" fillId="0" borderId="3" xfId="0" applyBorder="1"/>
    <xf numFmtId="0" fontId="0" fillId="0" borderId="0" xfId="0" applyBorder="1" applyAlignment="1">
      <alignment horizontal="right" vertical="top" wrapText="1"/>
    </xf>
    <xf numFmtId="3" fontId="0" fillId="0" borderId="3" xfId="0" applyNumberFormat="1" applyBorder="1"/>
    <xf numFmtId="0" fontId="0" fillId="2" borderId="6" xfId="0" applyFill="1" applyBorder="1"/>
    <xf numFmtId="0" fontId="0" fillId="0" borderId="6" xfId="0" applyFill="1" applyBorder="1"/>
    <xf numFmtId="3" fontId="0" fillId="2" borderId="2" xfId="0" applyNumberFormat="1" applyFill="1" applyBorder="1"/>
    <xf numFmtId="3" fontId="0" fillId="2" borderId="7" xfId="0" applyNumberFormat="1" applyFill="1" applyBorder="1"/>
    <xf numFmtId="3" fontId="0" fillId="0" borderId="0" xfId="0" applyNumberFormat="1"/>
    <xf numFmtId="3" fontId="0" fillId="0" borderId="4" xfId="0" applyNumberFormat="1" applyBorder="1" applyAlignment="1">
      <alignment horizontal="right" vertical="top" wrapText="1"/>
    </xf>
    <xf numFmtId="3" fontId="0" fillId="0" borderId="5" xfId="0" applyNumberFormat="1" applyBorder="1" applyAlignment="1">
      <alignment horizontal="right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 indent="3"/>
    </xf>
    <xf numFmtId="0" fontId="8" fillId="0" borderId="0" xfId="0" applyFont="1" applyAlignment="1">
      <alignment horizontal="left" indent="3"/>
    </xf>
    <xf numFmtId="0" fontId="0" fillId="0" borderId="0" xfId="0" applyFill="1" applyBorder="1" applyAlignment="1">
      <alignment horizontal="right" vertical="top" wrapText="1"/>
    </xf>
    <xf numFmtId="0" fontId="0" fillId="0" borderId="8" xfId="0" applyBorder="1"/>
    <xf numFmtId="0" fontId="0" fillId="0" borderId="0" xfId="0" applyBorder="1"/>
    <xf numFmtId="0" fontId="0" fillId="0" borderId="2" xfId="0" applyBorder="1" applyAlignment="1">
      <alignment horizontal="right" vertical="top" wrapText="1"/>
    </xf>
    <xf numFmtId="0" fontId="3" fillId="0" borderId="0" xfId="0" applyFont="1" applyFill="1" applyBorder="1" applyAlignment="1">
      <alignment horizontal="center" wrapText="1"/>
    </xf>
    <xf numFmtId="173" fontId="0" fillId="0" borderId="0" xfId="0" applyNumberFormat="1"/>
    <xf numFmtId="173" fontId="8" fillId="0" borderId="0" xfId="0" applyNumberFormat="1" applyFont="1" applyFill="1" applyBorder="1" applyAlignment="1">
      <alignment horizontal="right" wrapText="1"/>
    </xf>
    <xf numFmtId="169" fontId="3" fillId="0" borderId="0" xfId="0" applyNumberFormat="1" applyFont="1" applyAlignment="1">
      <alignment horizontal="center" wrapText="1"/>
    </xf>
    <xf numFmtId="17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wrapText="1"/>
    </xf>
    <xf numFmtId="173" fontId="0" fillId="0" borderId="0" xfId="0" applyNumberFormat="1" applyAlignment="1">
      <alignment horizontal="right"/>
    </xf>
    <xf numFmtId="173" fontId="0" fillId="0" borderId="0" xfId="0" applyNumberFormat="1" applyFill="1" applyBorder="1" applyAlignment="1">
      <alignment horizontal="right" vertical="top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3" fontId="0" fillId="0" borderId="2" xfId="0" applyNumberFormat="1" applyBorder="1" applyAlignment="1">
      <alignment horizontal="right" vertical="top" wrapText="1"/>
    </xf>
    <xf numFmtId="0" fontId="3" fillId="0" borderId="9" xfId="0" applyFont="1" applyBorder="1" applyAlignment="1">
      <alignment horizontal="center" wrapText="1"/>
    </xf>
    <xf numFmtId="3" fontId="0" fillId="0" borderId="2" xfId="0" applyNumberFormat="1" applyBorder="1" applyAlignment="1">
      <alignment vertical="top"/>
    </xf>
    <xf numFmtId="173" fontId="0" fillId="0" borderId="2" xfId="0" applyNumberFormat="1" applyBorder="1"/>
    <xf numFmtId="3" fontId="3" fillId="2" borderId="2" xfId="0" applyNumberFormat="1" applyFont="1" applyFill="1" applyBorder="1"/>
    <xf numFmtId="4" fontId="0" fillId="0" borderId="2" xfId="0" applyNumberFormat="1" applyBorder="1"/>
    <xf numFmtId="4" fontId="0" fillId="2" borderId="2" xfId="0" applyNumberFormat="1" applyFill="1" applyBorder="1"/>
    <xf numFmtId="3" fontId="0" fillId="0" borderId="2" xfId="0" applyNumberFormat="1" applyBorder="1"/>
    <xf numFmtId="0" fontId="9" fillId="0" borderId="0" xfId="0" applyFont="1"/>
    <xf numFmtId="0" fontId="3" fillId="0" borderId="10" xfId="0" applyFont="1" applyBorder="1" applyAlignment="1">
      <alignment horizontal="center" wrapText="1"/>
    </xf>
    <xf numFmtId="0" fontId="0" fillId="0" borderId="11" xfId="0" applyFill="1" applyBorder="1" applyAlignment="1">
      <alignment vertical="top" wrapText="1"/>
    </xf>
    <xf numFmtId="0" fontId="0" fillId="0" borderId="11" xfId="0" applyFill="1" applyBorder="1" applyAlignment="1">
      <alignment horizontal="center"/>
    </xf>
    <xf numFmtId="3" fontId="0" fillId="0" borderId="11" xfId="0" applyNumberFormat="1" applyFill="1" applyBorder="1"/>
    <xf numFmtId="0" fontId="0" fillId="0" borderId="11" xfId="0" applyFill="1" applyBorder="1"/>
    <xf numFmtId="0" fontId="0" fillId="0" borderId="3" xfId="0" applyFill="1" applyBorder="1" applyAlignment="1">
      <alignment horizontal="center" vertical="top" wrapText="1"/>
    </xf>
    <xf numFmtId="173" fontId="0" fillId="0" borderId="11" xfId="0" applyNumberFormat="1" applyFill="1" applyBorder="1"/>
    <xf numFmtId="0" fontId="0" fillId="0" borderId="3" xfId="0" applyFill="1" applyBorder="1" applyAlignment="1">
      <alignment vertical="top" wrapText="1"/>
    </xf>
    <xf numFmtId="3" fontId="0" fillId="0" borderId="3" xfId="0" applyNumberFormat="1" applyFill="1" applyBorder="1" applyAlignment="1">
      <alignment vertical="top" wrapText="1"/>
    </xf>
    <xf numFmtId="173" fontId="0" fillId="0" borderId="3" xfId="0" applyNumberFormat="1" applyFill="1" applyBorder="1" applyAlignment="1">
      <alignment vertical="top" wrapText="1"/>
    </xf>
    <xf numFmtId="173" fontId="0" fillId="0" borderId="3" xfId="0" applyNumberFormat="1" applyFill="1" applyBorder="1" applyAlignment="1">
      <alignment horizontal="center" vertical="top" wrapText="1"/>
    </xf>
    <xf numFmtId="3" fontId="0" fillId="0" borderId="3" xfId="0" applyNumberFormat="1" applyFill="1" applyBorder="1" applyAlignment="1">
      <alignment horizontal="right" vertical="top" wrapText="1"/>
    </xf>
    <xf numFmtId="1" fontId="0" fillId="0" borderId="3" xfId="0" applyNumberFormat="1" applyFill="1" applyBorder="1" applyAlignment="1">
      <alignment vertical="top" wrapText="1"/>
    </xf>
    <xf numFmtId="0" fontId="0" fillId="0" borderId="3" xfId="0" applyFill="1" applyBorder="1" applyAlignment="1">
      <alignment horizontal="center"/>
    </xf>
    <xf numFmtId="3" fontId="0" fillId="0" borderId="3" xfId="0" applyNumberFormat="1" applyFill="1" applyBorder="1" applyAlignment="1">
      <alignment horizontal="center"/>
    </xf>
    <xf numFmtId="173" fontId="0" fillId="0" borderId="3" xfId="0" applyNumberFormat="1" applyFill="1" applyBorder="1" applyAlignment="1">
      <alignment horizontal="right" vertical="top" wrapText="1"/>
    </xf>
    <xf numFmtId="3" fontId="0" fillId="0" borderId="3" xfId="0" applyNumberFormat="1" applyFill="1" applyBorder="1" applyAlignment="1">
      <alignment horizontal="center" vertical="top" wrapText="1"/>
    </xf>
    <xf numFmtId="1" fontId="0" fillId="0" borderId="3" xfId="0" applyNumberFormat="1" applyFill="1" applyBorder="1" applyAlignment="1">
      <alignment horizontal="center" vertical="top" wrapText="1"/>
    </xf>
    <xf numFmtId="0" fontId="0" fillId="0" borderId="3" xfId="0" applyFill="1" applyBorder="1" applyAlignment="1">
      <alignment horizontal="right"/>
    </xf>
    <xf numFmtId="0" fontId="8" fillId="0" borderId="0" xfId="0" applyFont="1"/>
    <xf numFmtId="3" fontId="0" fillId="0" borderId="12" xfId="0" applyNumberFormat="1" applyBorder="1" applyAlignment="1">
      <alignment horizontal="right" vertical="top" wrapText="1"/>
    </xf>
    <xf numFmtId="3" fontId="0" fillId="0" borderId="13" xfId="0" applyNumberFormat="1" applyBorder="1" applyAlignment="1">
      <alignment horizontal="right" vertical="top" wrapText="1"/>
    </xf>
    <xf numFmtId="3" fontId="0" fillId="0" borderId="14" xfId="0" applyNumberFormat="1" applyBorder="1" applyAlignment="1">
      <alignment horizontal="right" vertical="top" wrapText="1"/>
    </xf>
    <xf numFmtId="3" fontId="0" fillId="0" borderId="3" xfId="0" applyNumberFormat="1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 wrapText="1"/>
    </xf>
    <xf numFmtId="3" fontId="0" fillId="2" borderId="2" xfId="0" applyNumberFormat="1" applyFill="1" applyBorder="1" applyAlignment="1">
      <alignment vertical="top"/>
    </xf>
    <xf numFmtId="0" fontId="0" fillId="2" borderId="2" xfId="0" applyFill="1" applyBorder="1" applyAlignment="1">
      <alignment horizontal="right" vertical="center"/>
    </xf>
    <xf numFmtId="173" fontId="0" fillId="0" borderId="0" xfId="0" applyNumberFormat="1" applyAlignment="1">
      <alignment vertical="top"/>
    </xf>
    <xf numFmtId="173" fontId="0" fillId="0" borderId="0" xfId="0" applyNumberFormat="1" applyAlignment="1">
      <alignment horizontal="center" vertical="top"/>
    </xf>
    <xf numFmtId="173" fontId="0" fillId="0" borderId="0" xfId="0" applyNumberFormat="1" applyFill="1"/>
    <xf numFmtId="173" fontId="0" fillId="0" borderId="0" xfId="0" applyNumberFormat="1" applyFill="1" applyAlignment="1">
      <alignment horizontal="center"/>
    </xf>
    <xf numFmtId="173" fontId="0" fillId="0" borderId="15" xfId="0" applyNumberFormat="1" applyFill="1" applyBorder="1"/>
    <xf numFmtId="3" fontId="0" fillId="0" borderId="16" xfId="0" applyNumberFormat="1" applyBorder="1" applyAlignment="1">
      <alignment horizontal="right" vertical="top" wrapText="1"/>
    </xf>
    <xf numFmtId="3" fontId="8" fillId="0" borderId="3" xfId="0" applyNumberFormat="1" applyFont="1" applyBorder="1" applyAlignment="1">
      <alignment horizontal="right" wrapText="1"/>
    </xf>
    <xf numFmtId="173" fontId="8" fillId="0" borderId="15" xfId="0" applyNumberFormat="1" applyFont="1" applyFill="1" applyBorder="1" applyAlignment="1">
      <alignment horizontal="right" wrapText="1"/>
    </xf>
    <xf numFmtId="8" fontId="0" fillId="0" borderId="2" xfId="0" applyNumberFormat="1" applyBorder="1" applyAlignment="1"/>
    <xf numFmtId="173" fontId="0" fillId="0" borderId="17" xfId="0" applyNumberFormat="1" applyFill="1" applyBorder="1" applyAlignment="1">
      <alignment horizontal="right" vertical="top" wrapText="1"/>
    </xf>
    <xf numFmtId="173" fontId="0" fillId="0" borderId="0" xfId="0" applyNumberFormat="1" applyBorder="1"/>
    <xf numFmtId="173" fontId="0" fillId="0" borderId="0" xfId="0" applyNumberFormat="1" applyAlignment="1">
      <alignment horizontal="center"/>
    </xf>
    <xf numFmtId="173" fontId="0" fillId="0" borderId="17" xfId="0" applyNumberFormat="1" applyFill="1" applyBorder="1"/>
    <xf numFmtId="173" fontId="0" fillId="0" borderId="17" xfId="0" applyNumberFormat="1" applyBorder="1"/>
    <xf numFmtId="3" fontId="0" fillId="0" borderId="9" xfId="0" applyNumberFormat="1" applyBorder="1"/>
    <xf numFmtId="3" fontId="0" fillId="0" borderId="18" xfId="0" applyNumberFormat="1" applyBorder="1" applyAlignment="1">
      <alignment horizontal="right" vertical="top" wrapText="1"/>
    </xf>
    <xf numFmtId="3" fontId="0" fillId="0" borderId="19" xfId="0" applyNumberFormat="1" applyBorder="1" applyAlignment="1">
      <alignment horizontal="right" vertical="top" wrapText="1"/>
    </xf>
    <xf numFmtId="3" fontId="0" fillId="0" borderId="15" xfId="0" applyNumberFormat="1" applyBorder="1" applyAlignment="1">
      <alignment horizontal="right" vertical="top" wrapText="1"/>
    </xf>
    <xf numFmtId="3" fontId="0" fillId="2" borderId="9" xfId="0" applyNumberFormat="1" applyFill="1" applyBorder="1"/>
    <xf numFmtId="3" fontId="0" fillId="0" borderId="2" xfId="0" applyNumberFormat="1" applyFill="1" applyBorder="1"/>
    <xf numFmtId="3" fontId="0" fillId="0" borderId="20" xfId="0" applyNumberFormat="1" applyBorder="1" applyAlignment="1">
      <alignment horizontal="right" vertical="top" wrapText="1"/>
    </xf>
    <xf numFmtId="3" fontId="0" fillId="0" borderId="21" xfId="0" applyNumberFormat="1" applyBorder="1" applyAlignment="1">
      <alignment horizontal="right" vertical="top" wrapText="1"/>
    </xf>
    <xf numFmtId="3" fontId="0" fillId="2" borderId="22" xfId="0" applyNumberFormat="1" applyFill="1" applyBorder="1"/>
    <xf numFmtId="3" fontId="0" fillId="0" borderId="3" xfId="0" applyNumberFormat="1" applyBorder="1" applyAlignment="1">
      <alignment wrapText="1"/>
    </xf>
    <xf numFmtId="0" fontId="6" fillId="0" borderId="2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externalLink" Target="externalLinks/externalLink1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Relationship Id="rId30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342900</xdr:colOff>
      <xdr:row>14</xdr:row>
      <xdr:rowOff>0</xdr:rowOff>
    </xdr:from>
    <xdr:ext cx="101600" cy="203200"/>
    <xdr:sp macro="" textlink="">
      <xdr:nvSpPr>
        <xdr:cNvPr id="44035" name="Text Box 3"/>
        <xdr:cNvSpPr txBox="1">
          <a:spLocks noChangeArrowheads="1"/>
        </xdr:cNvSpPr>
      </xdr:nvSpPr>
      <xdr:spPr bwMode="auto">
        <a:xfrm>
          <a:off x="3657600" y="2438400"/>
          <a:ext cx="1016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dree%20Rathemacher/My%20Documents/Serials%20Librarian/STATISTICS%20MANUAL/usage%20stats%20final/reference%20databases/2005-2006/reference%20databases%20usage%20statistics%202005-200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ABC-CLIO"/>
      <sheetName val="CIAO"/>
      <sheetName val="CollegeSource"/>
      <sheetName val="Compendex(EI)"/>
      <sheetName val="CSA"/>
      <sheetName val="EBSCOhost"/>
      <sheetName val="FirstSearch"/>
      <sheetName val="GroveMusic"/>
      <sheetName val="InfoTrac"/>
      <sheetName val="LexisNexis"/>
      <sheetName val="MathSciNet"/>
      <sheetName val="Mergent"/>
      <sheetName val="MINABS"/>
      <sheetName val="MusicIndex"/>
      <sheetName val="netLibrary"/>
      <sheetName val="OVID"/>
      <sheetName val="ProQuest"/>
      <sheetName val="ReferenceUSA"/>
      <sheetName val="RefWorks"/>
      <sheetName val="SciFinderScholar"/>
      <sheetName val="WebofScience"/>
      <sheetName val="WebSpirs"/>
      <sheetName val="WilsonW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>
        <row r="17">
          <cell r="N17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>
        <row r="46">
          <cell r="O46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>
        <row r="15">
          <cell r="N15">
            <v>0</v>
          </cell>
        </row>
        <row r="20">
          <cell r="N20">
            <v>0</v>
          </cell>
        </row>
        <row r="30">
          <cell r="N3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89"/>
  <sheetViews>
    <sheetView tabSelected="1" workbookViewId="0"/>
  </sheetViews>
  <sheetFormatPr baseColWidth="10" defaultColWidth="8.83203125" defaultRowHeight="12" x14ac:dyDescent="0"/>
  <cols>
    <col min="1" max="1" width="41" customWidth="1"/>
    <col min="2" max="2" width="21.5" customWidth="1"/>
    <col min="4" max="4" width="9.6640625" customWidth="1"/>
    <col min="5" max="5" width="10.83203125" bestFit="1" customWidth="1"/>
    <col min="6" max="6" width="15.83203125" customWidth="1"/>
    <col min="7" max="8" width="15.5" bestFit="1" customWidth="1"/>
  </cols>
  <sheetData>
    <row r="1" spans="1:8" ht="18">
      <c r="A1" s="2" t="s">
        <v>148</v>
      </c>
    </row>
    <row r="2" spans="1:8" ht="18">
      <c r="A2" s="2" t="s">
        <v>99</v>
      </c>
    </row>
    <row r="4" spans="1:8" ht="37" thickBot="1">
      <c r="A4" s="57" t="s">
        <v>149</v>
      </c>
      <c r="B4" s="57" t="s">
        <v>150</v>
      </c>
      <c r="C4" s="57" t="s">
        <v>12</v>
      </c>
      <c r="D4" s="57" t="s">
        <v>13</v>
      </c>
      <c r="E4" s="57" t="s">
        <v>22</v>
      </c>
      <c r="F4" s="57" t="s">
        <v>151</v>
      </c>
      <c r="G4" s="57" t="s">
        <v>152</v>
      </c>
      <c r="H4" s="57" t="s">
        <v>153</v>
      </c>
    </row>
    <row r="5" spans="1:8">
      <c r="A5" s="58" t="s">
        <v>70</v>
      </c>
      <c r="B5" s="58" t="s">
        <v>154</v>
      </c>
      <c r="C5" s="59" t="s">
        <v>41</v>
      </c>
      <c r="D5" s="60">
        <f>ProQuest!N7</f>
        <v>31305</v>
      </c>
      <c r="E5" s="61">
        <v>0</v>
      </c>
      <c r="F5" s="62" t="s">
        <v>133</v>
      </c>
      <c r="G5" s="63">
        <f>ProQuest!O7</f>
        <v>17500</v>
      </c>
      <c r="H5" s="63">
        <f>ProQuest!P7</f>
        <v>0.55901613160836927</v>
      </c>
    </row>
    <row r="6" spans="1:8">
      <c r="A6" s="64" t="s">
        <v>69</v>
      </c>
      <c r="B6" s="64" t="s">
        <v>154</v>
      </c>
      <c r="C6" s="62" t="s">
        <v>41</v>
      </c>
      <c r="D6" s="65">
        <f>ProQuest!N12</f>
        <v>11839</v>
      </c>
      <c r="E6" s="64">
        <v>0</v>
      </c>
      <c r="F6" s="62" t="s">
        <v>133</v>
      </c>
      <c r="G6" s="66">
        <v>0</v>
      </c>
      <c r="H6" s="67" t="s">
        <v>41</v>
      </c>
    </row>
    <row r="7" spans="1:8">
      <c r="A7" s="64" t="s">
        <v>74</v>
      </c>
      <c r="B7" s="64" t="s">
        <v>155</v>
      </c>
      <c r="C7" s="65">
        <f>EBSCOhost!N6</f>
        <v>101876</v>
      </c>
      <c r="D7" s="65">
        <f>EBSCOhost!N7</f>
        <v>324728</v>
      </c>
      <c r="E7" s="64">
        <v>0</v>
      </c>
      <c r="F7" s="68">
        <f>EBSCOhost!N8</f>
        <v>224912</v>
      </c>
      <c r="G7" s="66">
        <f>EBSCOhost!O7</f>
        <v>18075</v>
      </c>
      <c r="H7" s="66">
        <f>EBSCOhost!P7</f>
        <v>5.5661969402084205E-2</v>
      </c>
    </row>
    <row r="8" spans="1:8" ht="12.75" customHeight="1">
      <c r="A8" s="64" t="s">
        <v>43</v>
      </c>
      <c r="B8" s="64" t="s">
        <v>42</v>
      </c>
      <c r="C8" s="62" t="s">
        <v>41</v>
      </c>
      <c r="D8" s="65">
        <f>FirstSearch!N5</f>
        <v>79</v>
      </c>
      <c r="E8" s="64">
        <v>0</v>
      </c>
      <c r="F8" s="62" t="s">
        <v>41</v>
      </c>
      <c r="G8" s="66">
        <f>FirstSearch!O5</f>
        <v>79</v>
      </c>
      <c r="H8" s="66">
        <f>FirstSearch!P5</f>
        <v>1</v>
      </c>
    </row>
    <row r="9" spans="1:8" ht="12.75" customHeight="1">
      <c r="A9" s="64" t="s">
        <v>55</v>
      </c>
      <c r="B9" s="64" t="s">
        <v>42</v>
      </c>
      <c r="C9" s="62" t="s">
        <v>41</v>
      </c>
      <c r="D9" s="65">
        <f>FirstSearch!N8</f>
        <v>28</v>
      </c>
      <c r="E9" s="64">
        <v>0</v>
      </c>
      <c r="F9" s="62" t="s">
        <v>41</v>
      </c>
      <c r="G9" s="66">
        <f>FirstSearch!O8</f>
        <v>28</v>
      </c>
      <c r="H9" s="66">
        <f>FirstSearch!P8</f>
        <v>1</v>
      </c>
    </row>
    <row r="10" spans="1:8">
      <c r="A10" s="64" t="s">
        <v>76</v>
      </c>
      <c r="B10" s="64" t="s">
        <v>156</v>
      </c>
      <c r="C10" s="65">
        <f>'ABC-CLIO'!N8</f>
        <v>1984</v>
      </c>
      <c r="D10" s="65">
        <f>'ABC-CLIO'!N9</f>
        <v>2495</v>
      </c>
      <c r="E10" s="64">
        <v>0</v>
      </c>
      <c r="F10" s="62" t="s">
        <v>41</v>
      </c>
      <c r="G10" s="66">
        <f>'ABC-CLIO'!O9</f>
        <v>6124</v>
      </c>
      <c r="H10" s="66">
        <f>'ABC-CLIO'!P9</f>
        <v>2.454509018036072</v>
      </c>
    </row>
    <row r="11" spans="1:8">
      <c r="A11" s="64" t="s">
        <v>125</v>
      </c>
      <c r="B11" s="64" t="s">
        <v>155</v>
      </c>
      <c r="C11" s="65">
        <f>EBSCOhost!N13</f>
        <v>1392</v>
      </c>
      <c r="D11" s="65">
        <f>EBSCOhost!N14</f>
        <v>2458</v>
      </c>
      <c r="E11" s="64">
        <v>0</v>
      </c>
      <c r="F11" s="68">
        <f>EBSCOhost!N15</f>
        <v>6</v>
      </c>
      <c r="G11" s="66">
        <v>0</v>
      </c>
      <c r="H11" s="67" t="s">
        <v>41</v>
      </c>
    </row>
    <row r="12" spans="1:8">
      <c r="A12" s="64" t="s">
        <v>24</v>
      </c>
      <c r="B12" s="64" t="s">
        <v>157</v>
      </c>
      <c r="C12" s="65">
        <f>WilsonWeb!N13</f>
        <v>588</v>
      </c>
      <c r="D12" s="65">
        <f>WilsonWeb!N14</f>
        <v>1993</v>
      </c>
      <c r="E12" s="65">
        <f>[1]WilsonWeb!N20</f>
        <v>0</v>
      </c>
      <c r="F12" s="62" t="s">
        <v>41</v>
      </c>
      <c r="G12" s="66">
        <f>WilsonWeb!O14</f>
        <v>5018</v>
      </c>
      <c r="H12" s="66">
        <f>WilsonWeb!P14</f>
        <v>2.5178123432012041</v>
      </c>
    </row>
    <row r="13" spans="1:8">
      <c r="A13" s="64" t="s">
        <v>23</v>
      </c>
      <c r="B13" s="64" t="s">
        <v>157</v>
      </c>
      <c r="C13" s="65">
        <f>WilsonWeb!N7</f>
        <v>791</v>
      </c>
      <c r="D13" s="65">
        <f>WilsonWeb!N8</f>
        <v>3443</v>
      </c>
      <c r="E13" s="65">
        <f>[1]WilsonWeb!N15</f>
        <v>0</v>
      </c>
      <c r="F13" s="62" t="s">
        <v>41</v>
      </c>
      <c r="G13" s="66">
        <f>WilsonWeb!O8</f>
        <v>4460</v>
      </c>
      <c r="H13" s="66">
        <f>WilsonWeb!P8</f>
        <v>1.2953819343595701</v>
      </c>
    </row>
    <row r="14" spans="1:8">
      <c r="A14" s="64" t="s">
        <v>158</v>
      </c>
      <c r="B14" s="64" t="s">
        <v>42</v>
      </c>
      <c r="C14" s="65">
        <f>FirstSearch!N11</f>
        <v>5450</v>
      </c>
      <c r="D14" s="65">
        <f>FirstSearch!N12</f>
        <v>13934</v>
      </c>
      <c r="E14" s="69">
        <f>FirstSearch!N14</f>
        <v>782</v>
      </c>
      <c r="F14" s="62" t="s">
        <v>41</v>
      </c>
      <c r="G14" s="66">
        <v>0</v>
      </c>
      <c r="H14" s="67" t="s">
        <v>41</v>
      </c>
    </row>
    <row r="15" spans="1:8">
      <c r="A15" s="64" t="s">
        <v>159</v>
      </c>
      <c r="B15" s="64" t="s">
        <v>160</v>
      </c>
      <c r="C15" s="70" t="s">
        <v>41</v>
      </c>
      <c r="D15" s="65">
        <f>CSA!N8</f>
        <v>46672</v>
      </c>
      <c r="E15" s="65">
        <v>0</v>
      </c>
      <c r="F15" s="62" t="s">
        <v>41</v>
      </c>
      <c r="G15" s="66">
        <f>CSA!O8</f>
        <v>6570</v>
      </c>
      <c r="H15" s="66">
        <f>CSA!P8</f>
        <v>0.14076962632841961</v>
      </c>
    </row>
    <row r="16" spans="1:8" ht="12.75" customHeight="1">
      <c r="A16" s="64" t="s">
        <v>59</v>
      </c>
      <c r="B16" s="64" t="s">
        <v>161</v>
      </c>
      <c r="C16" s="62" t="s">
        <v>162</v>
      </c>
      <c r="D16" s="62" t="s">
        <v>162</v>
      </c>
      <c r="E16" s="62" t="s">
        <v>162</v>
      </c>
      <c r="F16" s="62" t="s">
        <v>41</v>
      </c>
      <c r="G16" s="66">
        <v>141</v>
      </c>
      <c r="H16" s="67" t="s">
        <v>41</v>
      </c>
    </row>
    <row r="17" spans="1:8">
      <c r="A17" s="64" t="s">
        <v>163</v>
      </c>
      <c r="B17" s="64" t="s">
        <v>164</v>
      </c>
      <c r="C17" s="65">
        <f>WebSpirs!N7</f>
        <v>2083</v>
      </c>
      <c r="D17" s="65">
        <f>WebSpirs!N8</f>
        <v>7640</v>
      </c>
      <c r="E17" s="65">
        <f>WebSpirs!N9</f>
        <v>14</v>
      </c>
      <c r="F17" s="62" t="s">
        <v>41</v>
      </c>
      <c r="G17" s="66">
        <f>WebSpirs!O8</f>
        <v>21255</v>
      </c>
      <c r="H17" s="66">
        <f>WebSpirs!P8</f>
        <v>2.782068062827225</v>
      </c>
    </row>
    <row r="18" spans="1:8">
      <c r="A18" s="64" t="s">
        <v>165</v>
      </c>
      <c r="B18" s="64" t="s">
        <v>157</v>
      </c>
      <c r="C18" s="65">
        <f>WilsonWeb!N19</f>
        <v>633</v>
      </c>
      <c r="D18" s="65">
        <f>WilsonWeb!N20</f>
        <v>2306</v>
      </c>
      <c r="E18" s="65">
        <f>WilsonWeb!N21</f>
        <v>15</v>
      </c>
      <c r="F18" s="62" t="s">
        <v>41</v>
      </c>
      <c r="G18" s="66">
        <f>WilsonWeb!O20</f>
        <v>2970</v>
      </c>
      <c r="H18" s="66">
        <f>WilsonWeb!P20</f>
        <v>1.2879444926279271</v>
      </c>
    </row>
    <row r="19" spans="1:8">
      <c r="A19" s="64" t="s">
        <v>166</v>
      </c>
      <c r="B19" s="64" t="s">
        <v>130</v>
      </c>
      <c r="C19" s="65">
        <f>OVID!N12</f>
        <v>55</v>
      </c>
      <c r="D19" s="65">
        <f>OVID!N13</f>
        <v>57</v>
      </c>
      <c r="E19" s="65">
        <v>0</v>
      </c>
      <c r="F19" s="62" t="s">
        <v>41</v>
      </c>
      <c r="G19" s="66">
        <v>0</v>
      </c>
      <c r="H19" s="67" t="s">
        <v>41</v>
      </c>
    </row>
    <row r="20" spans="1:8">
      <c r="A20" s="64" t="s">
        <v>60</v>
      </c>
      <c r="B20" s="64" t="s">
        <v>167</v>
      </c>
      <c r="C20" s="62" t="s">
        <v>162</v>
      </c>
      <c r="D20" s="62" t="s">
        <v>162</v>
      </c>
      <c r="E20" s="62" t="s">
        <v>162</v>
      </c>
      <c r="F20" s="62" t="s">
        <v>41</v>
      </c>
      <c r="G20" s="66">
        <v>278.37</v>
      </c>
      <c r="H20" s="67" t="s">
        <v>41</v>
      </c>
    </row>
    <row r="21" spans="1:8">
      <c r="A21" s="64" t="s">
        <v>30</v>
      </c>
      <c r="B21" s="64" t="s">
        <v>30</v>
      </c>
      <c r="C21" s="65">
        <f>CIAO!N6</f>
        <v>1411</v>
      </c>
      <c r="D21" s="65">
        <f>CIAO!N7</f>
        <v>3546</v>
      </c>
      <c r="E21" s="64">
        <v>0</v>
      </c>
      <c r="F21" s="68">
        <f>CIAO!N8</f>
        <v>3994</v>
      </c>
      <c r="G21" s="66">
        <f>CIAO!O7</f>
        <v>901</v>
      </c>
      <c r="H21" s="66">
        <f>CIAO!P7</f>
        <v>0.25408911449520588</v>
      </c>
    </row>
    <row r="22" spans="1:8">
      <c r="A22" s="64" t="s">
        <v>3</v>
      </c>
      <c r="B22" s="64" t="s">
        <v>130</v>
      </c>
      <c r="C22" s="65">
        <f>OVID!N8</f>
        <v>7190</v>
      </c>
      <c r="D22" s="65">
        <f>OVID!N9</f>
        <v>24890</v>
      </c>
      <c r="E22" s="64">
        <v>0</v>
      </c>
      <c r="F22" s="62" t="s">
        <v>133</v>
      </c>
      <c r="G22" s="66">
        <f>OVID!O9</f>
        <v>5273</v>
      </c>
      <c r="H22" s="66">
        <f>OVID!P9</f>
        <v>0.21185214945761349</v>
      </c>
    </row>
    <row r="23" spans="1:8">
      <c r="A23" s="64" t="s">
        <v>168</v>
      </c>
      <c r="B23" s="64" t="s">
        <v>169</v>
      </c>
      <c r="C23" s="62" t="s">
        <v>162</v>
      </c>
      <c r="D23" s="62" t="s">
        <v>162</v>
      </c>
      <c r="E23" s="64">
        <v>0</v>
      </c>
      <c r="F23" s="62" t="s">
        <v>162</v>
      </c>
      <c r="G23" s="66">
        <v>645</v>
      </c>
      <c r="H23" s="67" t="s">
        <v>41</v>
      </c>
    </row>
    <row r="24" spans="1:8">
      <c r="A24" s="64" t="s">
        <v>20</v>
      </c>
      <c r="B24" s="64" t="s">
        <v>20</v>
      </c>
      <c r="C24" s="62" t="s">
        <v>41</v>
      </c>
      <c r="D24" s="65">
        <f>CollegeSource!N7</f>
        <v>642</v>
      </c>
      <c r="E24" s="64">
        <v>0</v>
      </c>
      <c r="F24" s="62" t="s">
        <v>41</v>
      </c>
      <c r="G24" s="66">
        <f>CollegeSource!O7</f>
        <v>1263.57</v>
      </c>
      <c r="H24" s="66">
        <f>CollegeSource!P7</f>
        <v>1.9681775700934578</v>
      </c>
    </row>
    <row r="25" spans="1:8">
      <c r="A25" s="64" t="s">
        <v>82</v>
      </c>
      <c r="B25" s="64" t="s">
        <v>160</v>
      </c>
      <c r="C25" s="70" t="s">
        <v>41</v>
      </c>
      <c r="D25" s="65">
        <f>CSA!N11</f>
        <v>9188</v>
      </c>
      <c r="E25" s="64">
        <v>0</v>
      </c>
      <c r="F25" s="62" t="s">
        <v>41</v>
      </c>
      <c r="G25" s="66">
        <f>CSA!O11</f>
        <v>2210</v>
      </c>
      <c r="H25" s="66">
        <f>CSA!P11</f>
        <v>0.24053112755768394</v>
      </c>
    </row>
    <row r="26" spans="1:8">
      <c r="A26" s="64" t="s">
        <v>170</v>
      </c>
      <c r="B26" s="64" t="s">
        <v>171</v>
      </c>
      <c r="C26" s="65">
        <f>'Compendex(EI)'!N7</f>
        <v>1712</v>
      </c>
      <c r="D26" s="65">
        <f>'Compendex(EI)'!N8</f>
        <v>4905</v>
      </c>
      <c r="E26" s="64">
        <v>0</v>
      </c>
      <c r="F26" s="62" t="s">
        <v>41</v>
      </c>
      <c r="G26" s="66">
        <f>'Compendex(EI)'!O8</f>
        <v>12800</v>
      </c>
      <c r="H26" s="66">
        <f>'Compendex(EI)'!P8</f>
        <v>2.6095820591233436</v>
      </c>
    </row>
    <row r="27" spans="1:8">
      <c r="A27" s="64" t="s">
        <v>172</v>
      </c>
      <c r="B27" s="64" t="s">
        <v>160</v>
      </c>
      <c r="C27" s="65">
        <f>CSA!N53</f>
        <v>30084</v>
      </c>
      <c r="D27" s="65">
        <f>CSA!N54</f>
        <v>84219</v>
      </c>
      <c r="E27" s="64">
        <v>0</v>
      </c>
      <c r="F27" s="62" t="s">
        <v>41</v>
      </c>
      <c r="G27" s="66">
        <f>CSA!O54</f>
        <v>46645</v>
      </c>
      <c r="H27" s="66">
        <f>CSA!P54</f>
        <v>0.55385364347712507</v>
      </c>
    </row>
    <row r="28" spans="1:8">
      <c r="A28" s="64" t="s">
        <v>64</v>
      </c>
      <c r="B28" s="64" t="s">
        <v>155</v>
      </c>
      <c r="C28" s="65">
        <f>EBSCOhost!N20</f>
        <v>961</v>
      </c>
      <c r="D28" s="65">
        <f>EBSCOhost!N21</f>
        <v>3026</v>
      </c>
      <c r="E28" s="64">
        <v>0</v>
      </c>
      <c r="F28" s="68">
        <f>EBSCOhost!N22</f>
        <v>355</v>
      </c>
      <c r="G28" s="66">
        <v>0</v>
      </c>
      <c r="H28" s="67" t="s">
        <v>41</v>
      </c>
    </row>
    <row r="29" spans="1:8">
      <c r="A29" s="64" t="s">
        <v>173</v>
      </c>
      <c r="B29" s="64" t="s">
        <v>155</v>
      </c>
      <c r="C29" s="65">
        <f>EBSCOhost!N61</f>
        <v>137564</v>
      </c>
      <c r="D29" s="65">
        <f>EBSCOhost!N62</f>
        <v>342352</v>
      </c>
      <c r="E29" s="64">
        <v>0</v>
      </c>
      <c r="F29" s="68">
        <f>EBSCOhost!N63</f>
        <v>229929</v>
      </c>
      <c r="G29" s="66">
        <f>EBSCOhost!O62</f>
        <v>20775</v>
      </c>
      <c r="H29" s="66">
        <f>EBSCOhost!P62</f>
        <v>6.0683156517268778E-2</v>
      </c>
    </row>
    <row r="30" spans="1:8">
      <c r="A30" s="64" t="s">
        <v>83</v>
      </c>
      <c r="B30" s="64" t="s">
        <v>160</v>
      </c>
      <c r="C30" s="70" t="s">
        <v>41</v>
      </c>
      <c r="D30" s="65">
        <f>CSA!N14</f>
        <v>5447</v>
      </c>
      <c r="E30" s="64">
        <v>0</v>
      </c>
      <c r="F30" s="62" t="s">
        <v>41</v>
      </c>
      <c r="G30" s="66">
        <f>CSA!O14</f>
        <v>3990</v>
      </c>
      <c r="H30" s="66">
        <f>CSA!P14</f>
        <v>0.73251331007894249</v>
      </c>
    </row>
    <row r="31" spans="1:8" ht="36">
      <c r="A31" s="64" t="s">
        <v>174</v>
      </c>
      <c r="B31" s="64" t="s">
        <v>42</v>
      </c>
      <c r="C31" s="65">
        <f>FirstSearch!N23</f>
        <v>1179</v>
      </c>
      <c r="D31" s="65">
        <f>FirstSearch!N24</f>
        <v>1654</v>
      </c>
      <c r="E31" s="69">
        <f>FirstSearch!N26</f>
        <v>25</v>
      </c>
      <c r="F31" s="62" t="s">
        <v>175</v>
      </c>
      <c r="G31" s="66">
        <v>0</v>
      </c>
      <c r="H31" s="67" t="s">
        <v>41</v>
      </c>
    </row>
    <row r="32" spans="1:8">
      <c r="A32" s="64" t="s">
        <v>53</v>
      </c>
      <c r="B32" s="64" t="s">
        <v>160</v>
      </c>
      <c r="C32" s="70" t="s">
        <v>41</v>
      </c>
      <c r="D32" s="65">
        <f>CSA!N17</f>
        <v>3337</v>
      </c>
      <c r="E32" s="64">
        <v>0</v>
      </c>
      <c r="F32" s="62" t="s">
        <v>41</v>
      </c>
      <c r="G32" s="66">
        <v>0</v>
      </c>
      <c r="H32" s="67" t="s">
        <v>41</v>
      </c>
    </row>
    <row r="33" spans="1:8">
      <c r="A33" s="64" t="s">
        <v>176</v>
      </c>
      <c r="B33" s="64" t="s">
        <v>42</v>
      </c>
      <c r="C33" s="65">
        <f>FirstSearch!N17</f>
        <v>3343</v>
      </c>
      <c r="D33" s="65">
        <f>FirstSearch!N18</f>
        <v>8594</v>
      </c>
      <c r="E33" s="69">
        <f>FirstSearch!N20</f>
        <v>880</v>
      </c>
      <c r="F33" s="62" t="s">
        <v>41</v>
      </c>
      <c r="G33" s="66">
        <v>0</v>
      </c>
      <c r="H33" s="67" t="s">
        <v>41</v>
      </c>
    </row>
    <row r="34" spans="1:8">
      <c r="A34" s="64" t="s">
        <v>61</v>
      </c>
      <c r="B34" s="64" t="s">
        <v>61</v>
      </c>
      <c r="C34" s="65">
        <f>FamilyIndex!N7</f>
        <v>1688</v>
      </c>
      <c r="D34" s="65">
        <f>FamilyIndex!N8</f>
        <v>1782</v>
      </c>
      <c r="E34" s="69">
        <v>0</v>
      </c>
      <c r="F34" s="62" t="s">
        <v>41</v>
      </c>
      <c r="G34" s="66">
        <f>FamilyIndex!O8</f>
        <v>313</v>
      </c>
      <c r="H34" s="67">
        <f>FamilyIndex!P8</f>
        <v>0.17564534231200898</v>
      </c>
    </row>
    <row r="35" spans="1:8">
      <c r="A35" s="64" t="s">
        <v>177</v>
      </c>
      <c r="B35" s="64" t="s">
        <v>42</v>
      </c>
      <c r="C35" s="65">
        <f>FirstSearch!N89</f>
        <v>24603</v>
      </c>
      <c r="D35" s="65">
        <f>FirstSearch!N90</f>
        <v>61914</v>
      </c>
      <c r="E35" s="65">
        <f>FirstSearch!N92</f>
        <v>2908</v>
      </c>
      <c r="F35" s="62" t="s">
        <v>41</v>
      </c>
      <c r="G35" s="66">
        <f>FirstSearch!O90</f>
        <v>17051</v>
      </c>
      <c r="H35" s="66">
        <f>FirstSearch!P90</f>
        <v>0.27539813289401427</v>
      </c>
    </row>
    <row r="36" spans="1:8">
      <c r="A36" s="64" t="s">
        <v>178</v>
      </c>
      <c r="B36" s="64" t="s">
        <v>42</v>
      </c>
      <c r="C36" s="62" t="s">
        <v>41</v>
      </c>
      <c r="D36" s="65">
        <f>D8+D9+D38</f>
        <v>179</v>
      </c>
      <c r="E36" s="64">
        <v>0</v>
      </c>
      <c r="F36" s="62" t="s">
        <v>41</v>
      </c>
      <c r="G36" s="66">
        <f>G8+G9+G38</f>
        <v>179</v>
      </c>
      <c r="H36" s="66">
        <v>1</v>
      </c>
    </row>
    <row r="37" spans="1:8">
      <c r="A37" s="64" t="s">
        <v>117</v>
      </c>
      <c r="B37" s="64" t="s">
        <v>155</v>
      </c>
      <c r="C37" s="65">
        <f>EBSCOhost!N27</f>
        <v>282</v>
      </c>
      <c r="D37" s="65">
        <f>EBSCOhost!N28</f>
        <v>756</v>
      </c>
      <c r="E37" s="64">
        <v>0</v>
      </c>
      <c r="F37" s="62" t="s">
        <v>41</v>
      </c>
      <c r="G37" s="66">
        <v>0</v>
      </c>
      <c r="H37" s="67" t="s">
        <v>41</v>
      </c>
    </row>
    <row r="38" spans="1:8" ht="12.75" customHeight="1">
      <c r="A38" s="64" t="s">
        <v>52</v>
      </c>
      <c r="B38" s="64" t="s">
        <v>42</v>
      </c>
      <c r="C38" s="62" t="s">
        <v>41</v>
      </c>
      <c r="D38" s="65">
        <f>FirstSearch!N29</f>
        <v>72</v>
      </c>
      <c r="E38" s="64">
        <v>0</v>
      </c>
      <c r="F38" s="62" t="s">
        <v>41</v>
      </c>
      <c r="G38" s="72">
        <f>FirstSearch!O29</f>
        <v>72</v>
      </c>
      <c r="H38" s="72">
        <f>FirstSearch!P29</f>
        <v>1</v>
      </c>
    </row>
    <row r="39" spans="1:8" ht="12.75" customHeight="1">
      <c r="A39" s="64" t="s">
        <v>179</v>
      </c>
      <c r="B39" s="64" t="s">
        <v>180</v>
      </c>
      <c r="C39" s="62" t="s">
        <v>162</v>
      </c>
      <c r="D39" s="62" t="s">
        <v>162</v>
      </c>
      <c r="E39" s="62" t="s">
        <v>162</v>
      </c>
      <c r="F39" s="62" t="s">
        <v>41</v>
      </c>
      <c r="G39" s="66">
        <v>5900</v>
      </c>
      <c r="H39" s="67" t="s">
        <v>41</v>
      </c>
    </row>
    <row r="40" spans="1:8">
      <c r="A40" s="64" t="s">
        <v>181</v>
      </c>
      <c r="B40" s="64" t="s">
        <v>42</v>
      </c>
      <c r="C40" s="65">
        <f>FirstSearch!N33</f>
        <v>310</v>
      </c>
      <c r="D40" s="65">
        <f>FirstSearch!N34</f>
        <v>449</v>
      </c>
      <c r="E40" s="69">
        <f>FirstSearch!N36</f>
        <v>6</v>
      </c>
      <c r="F40" s="62" t="s">
        <v>41</v>
      </c>
      <c r="G40" s="66">
        <v>0</v>
      </c>
      <c r="H40" s="67" t="s">
        <v>41</v>
      </c>
    </row>
    <row r="41" spans="1:8">
      <c r="A41" s="64" t="s">
        <v>19</v>
      </c>
      <c r="B41" s="64" t="s">
        <v>182</v>
      </c>
      <c r="C41" s="65">
        <f>GroveMusic!N6</f>
        <v>335</v>
      </c>
      <c r="D41" s="65">
        <f>GroveMusic!N7</f>
        <v>628</v>
      </c>
      <c r="E41" s="64">
        <v>0</v>
      </c>
      <c r="F41" s="62" t="s">
        <v>41</v>
      </c>
      <c r="G41" s="66">
        <f>GroveMusic!O7</f>
        <v>1386</v>
      </c>
      <c r="H41" s="66">
        <f>GroveMusic!P7</f>
        <v>2.2070063694267517</v>
      </c>
    </row>
    <row r="42" spans="1:8">
      <c r="A42" s="64" t="s">
        <v>78</v>
      </c>
      <c r="B42" s="64" t="s">
        <v>156</v>
      </c>
      <c r="C42" s="65">
        <f>'ABC-CLIO'!N15</f>
        <v>1105</v>
      </c>
      <c r="D42" s="65">
        <f>'ABC-CLIO'!N16</f>
        <v>1275</v>
      </c>
      <c r="E42" s="64">
        <v>0</v>
      </c>
      <c r="F42" s="62" t="s">
        <v>41</v>
      </c>
      <c r="G42" s="66">
        <f>'ABC-CLIO'!O16</f>
        <v>6124</v>
      </c>
      <c r="H42" s="66">
        <f>'ABC-CLIO'!P16</f>
        <v>4.8031372549019604</v>
      </c>
    </row>
    <row r="43" spans="1:8">
      <c r="A43" s="64" t="s">
        <v>84</v>
      </c>
      <c r="B43" s="64" t="s">
        <v>160</v>
      </c>
      <c r="C43" s="73" t="s">
        <v>41</v>
      </c>
      <c r="D43" s="65">
        <f>CSA!N20</f>
        <v>2994</v>
      </c>
      <c r="E43" s="64">
        <v>0</v>
      </c>
      <c r="F43" s="62" t="s">
        <v>41</v>
      </c>
      <c r="G43" s="66">
        <f>CSA!O20</f>
        <v>3280</v>
      </c>
      <c r="H43" s="66">
        <f>CSA!P20</f>
        <v>1.0955243820975284</v>
      </c>
    </row>
    <row r="44" spans="1:8">
      <c r="A44" s="64" t="s">
        <v>183</v>
      </c>
      <c r="B44" s="64" t="s">
        <v>184</v>
      </c>
      <c r="C44" s="62" t="s">
        <v>162</v>
      </c>
      <c r="D44" s="62" t="s">
        <v>162</v>
      </c>
      <c r="E44" s="62" t="s">
        <v>162</v>
      </c>
      <c r="F44" s="62" t="s">
        <v>162</v>
      </c>
      <c r="G44" s="66">
        <v>7415</v>
      </c>
      <c r="H44" s="67" t="s">
        <v>41</v>
      </c>
    </row>
    <row r="45" spans="1:8">
      <c r="A45" s="64" t="s">
        <v>57</v>
      </c>
      <c r="B45" s="64" t="s">
        <v>72</v>
      </c>
      <c r="C45" s="73" t="s">
        <v>41</v>
      </c>
      <c r="D45" s="65">
        <f>LexisNexis!N8</f>
        <v>96838</v>
      </c>
      <c r="E45" s="64">
        <v>0</v>
      </c>
      <c r="F45" s="65">
        <f>LexisNexis!N9</f>
        <v>120873</v>
      </c>
      <c r="G45" s="66">
        <f>LexisNexis!O8</f>
        <v>21786</v>
      </c>
      <c r="H45" s="66">
        <f>LexisNexis!P8</f>
        <v>0.22497366736198599</v>
      </c>
    </row>
    <row r="46" spans="1:8">
      <c r="A46" s="64" t="s">
        <v>58</v>
      </c>
      <c r="B46" s="64" t="s">
        <v>72</v>
      </c>
      <c r="C46" s="73" t="s">
        <v>41</v>
      </c>
      <c r="D46" s="65">
        <f>LexisNexis!N16</f>
        <v>1769</v>
      </c>
      <c r="E46" s="64">
        <v>0</v>
      </c>
      <c r="F46" s="65">
        <f>LexisNexis!N17</f>
        <v>2460</v>
      </c>
      <c r="G46" s="66">
        <f>LexisNexis!O16</f>
        <v>4947</v>
      </c>
      <c r="H46" s="66">
        <f>LexisNexis!P16</f>
        <v>2.7964951950254382</v>
      </c>
    </row>
    <row r="47" spans="1:8">
      <c r="A47" s="64" t="s">
        <v>185</v>
      </c>
      <c r="B47" s="64" t="s">
        <v>186</v>
      </c>
      <c r="C47" s="69">
        <f>InfoTrac!N6</f>
        <v>3409</v>
      </c>
      <c r="D47" s="69">
        <f>InfoTrac!N7</f>
        <v>21761</v>
      </c>
      <c r="E47" s="69">
        <f>[1]InfoTrac!N17</f>
        <v>0</v>
      </c>
      <c r="F47" s="65">
        <f>InfoTrac!N9</f>
        <v>943</v>
      </c>
      <c r="G47" s="66">
        <f>InfoTrac!O7</f>
        <v>4678</v>
      </c>
      <c r="H47" s="66">
        <f>InfoTrac!P7</f>
        <v>0.21497173843113829</v>
      </c>
    </row>
    <row r="48" spans="1:8">
      <c r="A48" s="64" t="s">
        <v>187</v>
      </c>
      <c r="B48" s="64" t="s">
        <v>155</v>
      </c>
      <c r="C48" s="65">
        <f>EBSCOhost!N34</f>
        <v>557</v>
      </c>
      <c r="D48" s="65">
        <f>EBSCOhost!N35</f>
        <v>1570</v>
      </c>
      <c r="E48" s="64">
        <v>0</v>
      </c>
      <c r="F48" s="68">
        <f>EBSCOhost!N36</f>
        <v>1070</v>
      </c>
      <c r="G48" s="66">
        <v>0</v>
      </c>
      <c r="H48" s="67" t="s">
        <v>41</v>
      </c>
    </row>
    <row r="49" spans="1:9" ht="24">
      <c r="A49" s="64" t="s">
        <v>17</v>
      </c>
      <c r="B49" s="64" t="s">
        <v>188</v>
      </c>
      <c r="C49" s="65">
        <f>MathSciNet!N6</f>
        <v>3071</v>
      </c>
      <c r="D49" s="65">
        <f>MathSciNet!N7</f>
        <v>6229</v>
      </c>
      <c r="E49" s="64">
        <v>0</v>
      </c>
      <c r="F49" s="62" t="s">
        <v>41</v>
      </c>
      <c r="G49" s="66">
        <f>MathSciNet!O7</f>
        <v>6686</v>
      </c>
      <c r="H49" s="66">
        <f>MathSciNet!P7</f>
        <v>1.073366511478568</v>
      </c>
    </row>
    <row r="50" spans="1:9">
      <c r="A50" s="64" t="s">
        <v>189</v>
      </c>
      <c r="B50" s="64" t="s">
        <v>42</v>
      </c>
      <c r="C50" s="65">
        <f>FirstSearch!N47</f>
        <v>4965</v>
      </c>
      <c r="D50" s="65">
        <f>FirstSearch!N48</f>
        <v>11263</v>
      </c>
      <c r="E50" s="69">
        <f>FirstSearch!N50</f>
        <v>1205</v>
      </c>
      <c r="F50" s="62" t="s">
        <v>41</v>
      </c>
      <c r="G50" s="66">
        <v>0</v>
      </c>
      <c r="H50" s="67" t="s">
        <v>41</v>
      </c>
    </row>
    <row r="51" spans="1:9">
      <c r="A51" s="64" t="s">
        <v>49</v>
      </c>
      <c r="B51" s="64" t="s">
        <v>130</v>
      </c>
      <c r="C51" s="65">
        <f>OVID!N17</f>
        <v>2</v>
      </c>
      <c r="D51" s="65">
        <f>OVID!N18</f>
        <v>7</v>
      </c>
      <c r="E51" s="69">
        <v>0</v>
      </c>
      <c r="F51" s="62" t="s">
        <v>41</v>
      </c>
      <c r="G51" s="66">
        <v>0</v>
      </c>
      <c r="H51" s="67" t="s">
        <v>41</v>
      </c>
    </row>
    <row r="52" spans="1:9">
      <c r="A52" s="64" t="s">
        <v>62</v>
      </c>
      <c r="B52" s="64" t="s">
        <v>127</v>
      </c>
      <c r="C52" s="70" t="s">
        <v>41</v>
      </c>
      <c r="D52" s="65">
        <f>Mergent!N6</f>
        <v>1481</v>
      </c>
      <c r="E52" s="64">
        <v>0</v>
      </c>
      <c r="F52" s="65">
        <f>Mergent!N7</f>
        <v>703</v>
      </c>
      <c r="G52" s="66">
        <f>Mergent!O6</f>
        <v>9900</v>
      </c>
      <c r="H52" s="66">
        <f>Mergent!P6</f>
        <v>6.6846725185685347</v>
      </c>
    </row>
    <row r="53" spans="1:9">
      <c r="A53" s="64" t="s">
        <v>85</v>
      </c>
      <c r="B53" s="64" t="s">
        <v>160</v>
      </c>
      <c r="C53" s="70" t="s">
        <v>41</v>
      </c>
      <c r="D53" s="65">
        <f>CSA!N23</f>
        <v>9650</v>
      </c>
      <c r="E53" s="64">
        <v>0</v>
      </c>
      <c r="F53" s="62" t="s">
        <v>41</v>
      </c>
      <c r="G53" s="66">
        <f>CSA!O23</f>
        <v>3650</v>
      </c>
      <c r="H53" s="66">
        <f>CSA!P23</f>
        <v>0.37823834196891193</v>
      </c>
    </row>
    <row r="54" spans="1:9">
      <c r="A54" s="64" t="s">
        <v>190</v>
      </c>
      <c r="B54" s="64" t="s">
        <v>155</v>
      </c>
      <c r="C54" s="65">
        <f>EBSCOhost!N41</f>
        <v>562</v>
      </c>
      <c r="D54" s="65">
        <f>EBSCOhost!N42</f>
        <v>1275</v>
      </c>
      <c r="E54" s="64">
        <v>0</v>
      </c>
      <c r="F54" s="68">
        <f>EBSCOhost!N43</f>
        <v>752</v>
      </c>
      <c r="G54" s="66">
        <v>0</v>
      </c>
      <c r="H54" s="67" t="s">
        <v>41</v>
      </c>
    </row>
    <row r="55" spans="1:9" ht="12.75" customHeight="1">
      <c r="A55" s="64" t="s">
        <v>191</v>
      </c>
      <c r="B55" s="64" t="s">
        <v>161</v>
      </c>
      <c r="C55" s="75">
        <f>MINABS!N6</f>
        <v>7</v>
      </c>
      <c r="D55" s="62" t="s">
        <v>41</v>
      </c>
      <c r="E55" s="64">
        <v>0</v>
      </c>
      <c r="F55" s="62" t="s">
        <v>41</v>
      </c>
      <c r="G55" s="66">
        <f>MINABS!O6</f>
        <v>401</v>
      </c>
      <c r="H55" s="66">
        <f>MINABS!P6</f>
        <v>57.285714285714285</v>
      </c>
      <c r="I55" t="s">
        <v>213</v>
      </c>
    </row>
    <row r="56" spans="1:9">
      <c r="A56" s="64" t="s">
        <v>50</v>
      </c>
      <c r="B56" s="64" t="s">
        <v>42</v>
      </c>
      <c r="C56" s="65">
        <f>FirstSearch!N40</f>
        <v>4073</v>
      </c>
      <c r="D56" s="65">
        <f>FirstSearch!N41</f>
        <v>9848</v>
      </c>
      <c r="E56" s="65">
        <f>FirstSearch!N43</f>
        <v>1</v>
      </c>
      <c r="F56" s="62" t="s">
        <v>41</v>
      </c>
      <c r="G56" s="66">
        <f>FirstSearch!O41</f>
        <v>8596</v>
      </c>
      <c r="H56" s="66">
        <f>FirstSearch!P41</f>
        <v>0.87286758732737613</v>
      </c>
    </row>
    <row r="57" spans="1:9">
      <c r="A57" s="64" t="s">
        <v>29</v>
      </c>
      <c r="B57" s="64" t="s">
        <v>192</v>
      </c>
      <c r="C57" s="70" t="s">
        <v>41</v>
      </c>
      <c r="D57" s="65">
        <f>MusicIndex!N6</f>
        <v>1618</v>
      </c>
      <c r="E57" s="64">
        <v>0</v>
      </c>
      <c r="F57" s="62" t="s">
        <v>41</v>
      </c>
      <c r="G57" s="66">
        <f>MusicIndex!O6</f>
        <v>2255</v>
      </c>
      <c r="H57" s="66">
        <f>MusicIndex!P6</f>
        <v>1.3936959208899877</v>
      </c>
    </row>
    <row r="58" spans="1:9">
      <c r="A58" s="64" t="s">
        <v>68</v>
      </c>
      <c r="B58" s="64" t="s">
        <v>154</v>
      </c>
      <c r="C58" s="62" t="s">
        <v>41</v>
      </c>
      <c r="D58" s="65">
        <f>ProQuest!N17</f>
        <v>11713</v>
      </c>
      <c r="E58" s="64">
        <v>0</v>
      </c>
      <c r="F58" s="62" t="s">
        <v>133</v>
      </c>
      <c r="G58" s="66">
        <f>ProQuest!O17</f>
        <v>2925</v>
      </c>
      <c r="H58" s="66">
        <f>ProQuest!P17</f>
        <v>0.24972253052164262</v>
      </c>
    </row>
    <row r="59" spans="1:9">
      <c r="A59" s="64" t="s">
        <v>63</v>
      </c>
      <c r="B59" s="64" t="s">
        <v>63</v>
      </c>
      <c r="C59" s="74">
        <f>netLibrary!N6</f>
        <v>1071</v>
      </c>
      <c r="D59" s="73" t="s">
        <v>41</v>
      </c>
      <c r="E59" s="69">
        <f>netLibrary!N7</f>
        <v>166</v>
      </c>
      <c r="F59" s="62" t="s">
        <v>41</v>
      </c>
      <c r="G59" s="66">
        <v>0</v>
      </c>
      <c r="H59" s="67" t="s">
        <v>41</v>
      </c>
    </row>
    <row r="60" spans="1:9">
      <c r="A60" s="64" t="s">
        <v>86</v>
      </c>
      <c r="B60" s="64" t="s">
        <v>160</v>
      </c>
      <c r="C60" s="74" t="s">
        <v>41</v>
      </c>
      <c r="D60" s="73">
        <f>CSA!N26</f>
        <v>3</v>
      </c>
      <c r="E60" s="69">
        <v>0</v>
      </c>
      <c r="F60" s="62" t="s">
        <v>41</v>
      </c>
      <c r="G60" s="66">
        <v>0</v>
      </c>
      <c r="H60" s="67" t="s">
        <v>41</v>
      </c>
    </row>
    <row r="61" spans="1:9">
      <c r="A61" s="64" t="s">
        <v>87</v>
      </c>
      <c r="B61" s="64" t="s">
        <v>160</v>
      </c>
      <c r="C61" s="70" t="s">
        <v>41</v>
      </c>
      <c r="D61" s="65">
        <f>CSA!N29</f>
        <v>12050</v>
      </c>
      <c r="E61" s="64">
        <v>0</v>
      </c>
      <c r="F61" s="62" t="s">
        <v>41</v>
      </c>
      <c r="G61" s="66">
        <v>0</v>
      </c>
      <c r="H61" s="67" t="s">
        <v>41</v>
      </c>
    </row>
    <row r="62" spans="1:9">
      <c r="A62" s="64" t="s">
        <v>89</v>
      </c>
      <c r="B62" s="64" t="s">
        <v>160</v>
      </c>
      <c r="C62" s="70" t="s">
        <v>41</v>
      </c>
      <c r="D62" s="65">
        <f>CSA!N32</f>
        <v>7090</v>
      </c>
      <c r="E62" s="64">
        <v>0</v>
      </c>
      <c r="F62" s="62" t="s">
        <v>41</v>
      </c>
      <c r="G62" s="66">
        <f>CSA!O32</f>
        <v>4536</v>
      </c>
      <c r="H62" s="66">
        <f>CSA!P32</f>
        <v>0.6397743300423131</v>
      </c>
    </row>
    <row r="63" spans="1:9">
      <c r="A63" s="64" t="s">
        <v>193</v>
      </c>
      <c r="B63" s="64" t="s">
        <v>42</v>
      </c>
      <c r="C63" s="65">
        <f>FirstSearch!N54</f>
        <v>243</v>
      </c>
      <c r="D63" s="65">
        <f>FirstSearch!N55</f>
        <v>297</v>
      </c>
      <c r="E63" s="69">
        <f>FirstSearch!N57</f>
        <v>5</v>
      </c>
      <c r="F63" s="62" t="s">
        <v>41</v>
      </c>
      <c r="G63" s="66">
        <v>0</v>
      </c>
      <c r="H63" s="67" t="s">
        <v>41</v>
      </c>
    </row>
    <row r="64" spans="1:9">
      <c r="A64" s="64" t="s">
        <v>34</v>
      </c>
      <c r="B64" s="64" t="s">
        <v>160</v>
      </c>
      <c r="C64" s="70" t="s">
        <v>41</v>
      </c>
      <c r="D64" s="65">
        <f>CSA!N35</f>
        <v>1058</v>
      </c>
      <c r="E64" s="64">
        <v>0</v>
      </c>
      <c r="F64" s="62" t="s">
        <v>41</v>
      </c>
      <c r="G64" s="66">
        <f>CSA!O35</f>
        <v>1900</v>
      </c>
      <c r="H64" s="66">
        <f>CSA!P35</f>
        <v>1.7958412098298677</v>
      </c>
    </row>
    <row r="65" spans="1:8">
      <c r="A65" s="64" t="s">
        <v>34</v>
      </c>
      <c r="B65" s="64" t="s">
        <v>164</v>
      </c>
      <c r="C65" s="71">
        <f>WebSpirs!N16</f>
        <v>88</v>
      </c>
      <c r="D65" s="65">
        <f>WebSpirs!N17</f>
        <v>130</v>
      </c>
      <c r="E65" s="64">
        <v>0</v>
      </c>
      <c r="F65" s="62" t="s">
        <v>41</v>
      </c>
      <c r="G65" s="66">
        <f>WebSpirs!O17</f>
        <v>1900</v>
      </c>
      <c r="H65" s="66">
        <f>WebSpirs!P17</f>
        <v>14.615384615384615</v>
      </c>
    </row>
    <row r="66" spans="1:8">
      <c r="A66" s="64" t="s">
        <v>90</v>
      </c>
      <c r="B66" s="64" t="s">
        <v>160</v>
      </c>
      <c r="C66" s="70" t="s">
        <v>41</v>
      </c>
      <c r="D66" s="65">
        <f>CSA!N38</f>
        <v>4282</v>
      </c>
      <c r="E66" s="64">
        <v>0</v>
      </c>
      <c r="F66" s="62" t="s">
        <v>41</v>
      </c>
      <c r="G66" s="66">
        <f>CSA!O38</f>
        <v>968</v>
      </c>
      <c r="H66" s="66">
        <f>CSA!P38</f>
        <v>0.22606258757589912</v>
      </c>
    </row>
    <row r="67" spans="1:8">
      <c r="A67" s="64" t="s">
        <v>91</v>
      </c>
      <c r="B67" s="64" t="s">
        <v>160</v>
      </c>
      <c r="C67" s="70" t="s">
        <v>41</v>
      </c>
      <c r="D67" s="65">
        <f>CSA!N41</f>
        <v>871</v>
      </c>
      <c r="E67" s="64">
        <v>0</v>
      </c>
      <c r="F67" s="62" t="s">
        <v>41</v>
      </c>
      <c r="G67" s="66">
        <f>CSA!O41</f>
        <v>1585</v>
      </c>
      <c r="H67" s="66">
        <f>CSA!P41</f>
        <v>1.8197474167623422</v>
      </c>
    </row>
    <row r="68" spans="1:8">
      <c r="A68" s="64" t="s">
        <v>116</v>
      </c>
      <c r="B68" s="64" t="s">
        <v>155</v>
      </c>
      <c r="C68" s="65">
        <f>EBSCOhost!N48</f>
        <v>562</v>
      </c>
      <c r="D68" s="65">
        <f>EBSCOhost!N49</f>
        <v>2179</v>
      </c>
      <c r="E68" s="64">
        <v>0</v>
      </c>
      <c r="F68" s="68">
        <f>EBSCOhost!N50</f>
        <v>318</v>
      </c>
      <c r="G68" s="66">
        <v>0</v>
      </c>
      <c r="H68" s="67" t="s">
        <v>41</v>
      </c>
    </row>
    <row r="69" spans="1:8">
      <c r="A69" s="64" t="s">
        <v>194</v>
      </c>
      <c r="B69" s="64" t="s">
        <v>42</v>
      </c>
      <c r="C69" s="65">
        <f>FirstSearch!N61</f>
        <v>82</v>
      </c>
      <c r="D69" s="65">
        <f>FirstSearch!N62</f>
        <v>78</v>
      </c>
      <c r="E69" s="69">
        <f>FirstSearch!N64</f>
        <v>0</v>
      </c>
      <c r="F69" s="62" t="s">
        <v>41</v>
      </c>
      <c r="G69" s="66">
        <v>0</v>
      </c>
      <c r="H69" s="67" t="s">
        <v>41</v>
      </c>
    </row>
    <row r="70" spans="1:8">
      <c r="A70" s="64" t="s">
        <v>134</v>
      </c>
      <c r="B70" s="64" t="s">
        <v>154</v>
      </c>
      <c r="C70" s="65">
        <f>ProQuest!N42</f>
        <v>16383</v>
      </c>
      <c r="D70" s="65">
        <f>ProQuest!N43</f>
        <v>40732</v>
      </c>
      <c r="E70" s="64">
        <v>0</v>
      </c>
      <c r="F70" s="62" t="s">
        <v>41</v>
      </c>
      <c r="G70" s="66">
        <f>ProQuest!O43</f>
        <v>27373</v>
      </c>
      <c r="H70" s="66">
        <f>ProQuest!P43</f>
        <v>0.67202690759108319</v>
      </c>
    </row>
    <row r="71" spans="1:8">
      <c r="A71" s="64" t="s">
        <v>65</v>
      </c>
      <c r="B71" s="64" t="s">
        <v>154</v>
      </c>
      <c r="C71" s="62" t="s">
        <v>41</v>
      </c>
      <c r="D71" s="65">
        <f>ProQuest!N32</f>
        <v>4962</v>
      </c>
      <c r="E71" s="64">
        <v>0</v>
      </c>
      <c r="F71" s="62" t="s">
        <v>41</v>
      </c>
      <c r="G71" s="66">
        <f>ProQuest!O32</f>
        <v>5215</v>
      </c>
      <c r="H71" s="66">
        <f>ProQuest!P32</f>
        <v>1.0509875050382911</v>
      </c>
    </row>
    <row r="72" spans="1:8" ht="24">
      <c r="A72" s="64" t="s">
        <v>195</v>
      </c>
      <c r="B72" s="64" t="s">
        <v>154</v>
      </c>
      <c r="C72" s="62" t="s">
        <v>41</v>
      </c>
      <c r="D72" s="65">
        <f>ProQuest!N22</f>
        <v>1583</v>
      </c>
      <c r="E72" s="64">
        <v>0</v>
      </c>
      <c r="F72" s="62" t="s">
        <v>133</v>
      </c>
      <c r="G72" s="66">
        <f>[1]ProQuest!O46</f>
        <v>0</v>
      </c>
      <c r="H72" s="67" t="s">
        <v>41</v>
      </c>
    </row>
    <row r="73" spans="1:8">
      <c r="A73" s="64" t="s">
        <v>67</v>
      </c>
      <c r="B73" s="64" t="s">
        <v>154</v>
      </c>
      <c r="C73" s="62" t="s">
        <v>41</v>
      </c>
      <c r="D73" s="65">
        <f>ProQuest!N27</f>
        <v>10996</v>
      </c>
      <c r="E73" s="64">
        <v>0</v>
      </c>
      <c r="F73" s="62" t="s">
        <v>133</v>
      </c>
      <c r="G73" s="66">
        <f>ProQuest!O27</f>
        <v>1733</v>
      </c>
      <c r="H73" s="66">
        <f>ProQuest!P27</f>
        <v>0.15760276464168788</v>
      </c>
    </row>
    <row r="74" spans="1:8">
      <c r="A74" s="64" t="s">
        <v>92</v>
      </c>
      <c r="B74" s="64" t="s">
        <v>160</v>
      </c>
      <c r="C74" s="70" t="s">
        <v>41</v>
      </c>
      <c r="D74" s="65">
        <f>CSA!N44</f>
        <v>36300</v>
      </c>
      <c r="E74" s="64">
        <v>0</v>
      </c>
      <c r="F74" s="62" t="s">
        <v>41</v>
      </c>
      <c r="G74" s="66">
        <f>CSA!O44</f>
        <v>14263</v>
      </c>
      <c r="H74" s="66">
        <f>CSA!P44</f>
        <v>0.39292011019283746</v>
      </c>
    </row>
    <row r="75" spans="1:8">
      <c r="A75" s="64" t="s">
        <v>8</v>
      </c>
      <c r="B75" s="64" t="s">
        <v>196</v>
      </c>
      <c r="C75" s="62" t="s">
        <v>162</v>
      </c>
      <c r="D75" s="73" t="s">
        <v>162</v>
      </c>
      <c r="E75" s="62" t="s">
        <v>41</v>
      </c>
      <c r="F75" s="62" t="s">
        <v>41</v>
      </c>
      <c r="G75" s="66">
        <v>0</v>
      </c>
      <c r="H75" s="67" t="s">
        <v>41</v>
      </c>
    </row>
    <row r="76" spans="1:8" ht="25.5" customHeight="1">
      <c r="A76" s="64" t="s">
        <v>26</v>
      </c>
      <c r="B76" s="64" t="s">
        <v>157</v>
      </c>
      <c r="C76" s="65">
        <f>WilsonWeb!N25</f>
        <v>315</v>
      </c>
      <c r="D76" s="65">
        <f>WilsonWeb!N26</f>
        <v>1481</v>
      </c>
      <c r="E76" s="69">
        <f>[1]WilsonWeb!N30</f>
        <v>0</v>
      </c>
      <c r="F76" s="62" t="s">
        <v>41</v>
      </c>
      <c r="G76" s="66">
        <f>WilsonWeb!O26</f>
        <v>326</v>
      </c>
      <c r="H76" s="66">
        <f>WilsonWeb!P26</f>
        <v>2.160702228224173E-2</v>
      </c>
    </row>
    <row r="77" spans="1:8">
      <c r="A77" s="64" t="s">
        <v>31</v>
      </c>
      <c r="B77" s="64" t="s">
        <v>197</v>
      </c>
      <c r="C77" s="65">
        <f>ReferenceUSA!N6</f>
        <v>941</v>
      </c>
      <c r="D77" s="65">
        <f>ReferenceUSA!N7</f>
        <v>2028</v>
      </c>
      <c r="E77" s="64">
        <v>0</v>
      </c>
      <c r="F77" s="68">
        <f>ReferenceUSA!N11</f>
        <v>10091</v>
      </c>
      <c r="G77" s="66">
        <f>ReferenceUSA!O7</f>
        <v>5483</v>
      </c>
      <c r="H77" s="66">
        <f>ReferenceUSA!P7</f>
        <v>2.7036489151873768</v>
      </c>
    </row>
    <row r="78" spans="1:8">
      <c r="A78" s="64" t="s">
        <v>97</v>
      </c>
      <c r="B78" s="64" t="s">
        <v>160</v>
      </c>
      <c r="C78" s="70" t="s">
        <v>41</v>
      </c>
      <c r="D78" s="62" t="s">
        <v>41</v>
      </c>
      <c r="E78" s="64">
        <v>0</v>
      </c>
      <c r="F78" s="62" t="s">
        <v>41</v>
      </c>
      <c r="G78" s="66">
        <f>RefWorks!O6</f>
        <v>8058</v>
      </c>
      <c r="H78" s="67" t="s">
        <v>41</v>
      </c>
    </row>
    <row r="79" spans="1:8">
      <c r="A79" s="64" t="s">
        <v>198</v>
      </c>
      <c r="B79" s="64" t="s">
        <v>199</v>
      </c>
      <c r="C79" s="65">
        <f>SciFinderScholar!N6</f>
        <v>2593</v>
      </c>
      <c r="D79" s="65">
        <f>SciFinderScholar!N7</f>
        <v>11331</v>
      </c>
      <c r="E79" s="65">
        <f>SciFinderScholar!N8</f>
        <v>1725</v>
      </c>
      <c r="F79" s="62" t="s">
        <v>41</v>
      </c>
      <c r="G79" s="66">
        <f>SciFinderScholar!O7</f>
        <v>28365</v>
      </c>
      <c r="H79" s="66">
        <f>SciFinderScholar!P7</f>
        <v>2.5033095048980671</v>
      </c>
    </row>
    <row r="80" spans="1:8">
      <c r="A80" s="64" t="s">
        <v>93</v>
      </c>
      <c r="B80" s="64" t="s">
        <v>160</v>
      </c>
      <c r="C80" s="70" t="s">
        <v>41</v>
      </c>
      <c r="D80" s="65">
        <f>CSA!N47</f>
        <v>3880</v>
      </c>
      <c r="E80" s="64">
        <v>0</v>
      </c>
      <c r="F80" s="62" t="s">
        <v>41</v>
      </c>
      <c r="G80" s="66">
        <v>0</v>
      </c>
      <c r="H80" s="67" t="s">
        <v>41</v>
      </c>
    </row>
    <row r="81" spans="1:8">
      <c r="A81" s="64" t="s">
        <v>94</v>
      </c>
      <c r="B81" s="64" t="s">
        <v>160</v>
      </c>
      <c r="C81" s="70" t="s">
        <v>41</v>
      </c>
      <c r="D81" s="65">
        <f>CSA!N50</f>
        <v>5509</v>
      </c>
      <c r="E81" s="64">
        <v>0</v>
      </c>
      <c r="F81" s="62" t="s">
        <v>41</v>
      </c>
      <c r="G81" s="66">
        <f>CSA!O50</f>
        <v>3693</v>
      </c>
      <c r="H81" s="66">
        <f>CSA!P50</f>
        <v>0.67035759666001093</v>
      </c>
    </row>
    <row r="82" spans="1:8">
      <c r="A82" s="64" t="s">
        <v>75</v>
      </c>
      <c r="B82" s="64" t="s">
        <v>155</v>
      </c>
      <c r="C82" s="65">
        <f>EBSCOhost!N55</f>
        <v>324</v>
      </c>
      <c r="D82" s="65">
        <f>EBSCOhost!N56</f>
        <v>1130</v>
      </c>
      <c r="E82" s="64">
        <v>0</v>
      </c>
      <c r="F82" s="62" t="s">
        <v>41</v>
      </c>
      <c r="G82" s="66">
        <f>EBSCOhost!O56</f>
        <v>2700</v>
      </c>
      <c r="H82" s="66">
        <f>EBSCOhost!P56</f>
        <v>2.3893805309734515</v>
      </c>
    </row>
    <row r="83" spans="1:8">
      <c r="A83" s="64" t="s">
        <v>211</v>
      </c>
      <c r="B83" s="64" t="s">
        <v>42</v>
      </c>
      <c r="C83" s="65">
        <f>FirstSearch!N68</f>
        <v>180</v>
      </c>
      <c r="D83" s="65">
        <f>FirstSearch!N69</f>
        <v>230</v>
      </c>
      <c r="E83" s="65">
        <f>FirstSearch!N71</f>
        <v>0</v>
      </c>
      <c r="F83" s="62" t="s">
        <v>41</v>
      </c>
      <c r="G83" s="66">
        <v>0</v>
      </c>
      <c r="H83" s="67" t="s">
        <v>41</v>
      </c>
    </row>
    <row r="84" spans="1:8">
      <c r="A84" s="64" t="s">
        <v>112</v>
      </c>
      <c r="B84" s="64" t="s">
        <v>154</v>
      </c>
      <c r="C84" s="62" t="s">
        <v>41</v>
      </c>
      <c r="D84" s="65">
        <f>ProQuest!N37</f>
        <v>9223</v>
      </c>
      <c r="E84" s="64">
        <v>0</v>
      </c>
      <c r="F84" s="62" t="s">
        <v>133</v>
      </c>
      <c r="G84" s="66">
        <v>0</v>
      </c>
      <c r="H84" s="67" t="s">
        <v>41</v>
      </c>
    </row>
    <row r="85" spans="1:8">
      <c r="A85" s="64" t="s">
        <v>200</v>
      </c>
      <c r="B85" s="64" t="s">
        <v>201</v>
      </c>
      <c r="C85" s="65">
        <f>WebofScience!N6</f>
        <v>5243</v>
      </c>
      <c r="D85" s="65">
        <f>WebofScience!N7</f>
        <v>18579</v>
      </c>
      <c r="E85" s="65">
        <f>WebofScience!N9</f>
        <v>74</v>
      </c>
      <c r="F85" s="62" t="s">
        <v>41</v>
      </c>
      <c r="G85" s="66">
        <f>WebofScience!O7</f>
        <v>85082</v>
      </c>
      <c r="H85" s="66">
        <f>WebofScience!P7</f>
        <v>4.5794714462565258</v>
      </c>
    </row>
    <row r="86" spans="1:8">
      <c r="A86" s="64" t="s">
        <v>202</v>
      </c>
      <c r="B86" s="64" t="s">
        <v>42</v>
      </c>
      <c r="C86" s="65">
        <f>FirstSearch!N75</f>
        <v>107</v>
      </c>
      <c r="D86" s="65">
        <f>FirstSearch!N76</f>
        <v>99</v>
      </c>
      <c r="E86" s="69">
        <f>FirstSearch!N78</f>
        <v>1</v>
      </c>
      <c r="F86" s="62" t="s">
        <v>41</v>
      </c>
      <c r="G86" s="66">
        <v>0</v>
      </c>
      <c r="H86" s="67" t="s">
        <v>41</v>
      </c>
    </row>
    <row r="87" spans="1:8">
      <c r="A87" s="64" t="s">
        <v>203</v>
      </c>
      <c r="B87" s="64" t="s">
        <v>42</v>
      </c>
      <c r="C87" s="65">
        <f>FirstSearch!N82</f>
        <v>4671</v>
      </c>
      <c r="D87" s="65">
        <f>FirstSearch!N83</f>
        <v>15468</v>
      </c>
      <c r="E87" s="69">
        <f>FirstSearch!N85</f>
        <v>3</v>
      </c>
      <c r="F87" s="62" t="s">
        <v>41</v>
      </c>
      <c r="G87" s="66">
        <f>FirstSearch!O83</f>
        <v>8455</v>
      </c>
      <c r="H87" s="67">
        <f>FirstSearch!P83</f>
        <v>0.54661236100336175</v>
      </c>
    </row>
    <row r="89" spans="1:8">
      <c r="A89" s="76" t="s">
        <v>204</v>
      </c>
    </row>
  </sheetData>
  <sheetProtection password="83AF" sheet="1" objects="1" scenarios="1" sort="0" autoFilter="0" pivotTables="0"/>
  <phoneticPr fontId="2" type="noConversion"/>
  <pageMargins left="0.75" right="0.75" top="1" bottom="1" header="0.5" footer="0.5"/>
  <pageSetup scale="77" fitToHeight="2" orientation="landscape" horizontalDpi="1200" verticalDpi="1200"/>
  <headerFooter>
    <oddFooter>&amp;L&amp;K000000Reference Database Usage&amp;R&amp;K0000002004-05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6"/>
  <sheetViews>
    <sheetView workbookViewId="0">
      <selection activeCell="A12" sqref="A12"/>
    </sheetView>
  </sheetViews>
  <sheetFormatPr baseColWidth="10" defaultColWidth="8.83203125" defaultRowHeight="12" x14ac:dyDescent="0"/>
  <cols>
    <col min="1" max="1" width="24.33203125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5.5" bestFit="1" customWidth="1"/>
    <col min="15" max="15" width="9.1640625" bestFit="1" customWidth="1"/>
    <col min="16" max="16" width="8.33203125" bestFit="1" customWidth="1"/>
  </cols>
  <sheetData>
    <row r="1" spans="1:16" ht="18">
      <c r="A1" s="2" t="s">
        <v>77</v>
      </c>
    </row>
    <row r="2" spans="1:16" ht="17">
      <c r="A2" s="3" t="s">
        <v>99</v>
      </c>
    </row>
    <row r="5" spans="1:16" ht="27" customHeight="1">
      <c r="A5" s="108" t="s">
        <v>76</v>
      </c>
      <c r="B5" s="41">
        <v>38169</v>
      </c>
      <c r="C5" s="41">
        <v>38200</v>
      </c>
      <c r="D5" s="41">
        <v>38231</v>
      </c>
      <c r="E5" s="41">
        <v>38261</v>
      </c>
      <c r="F5" s="41">
        <v>38292</v>
      </c>
      <c r="G5" s="41">
        <v>38322</v>
      </c>
      <c r="H5" s="41">
        <v>38353</v>
      </c>
      <c r="I5" s="41">
        <v>38384</v>
      </c>
      <c r="J5" s="41">
        <v>38412</v>
      </c>
      <c r="K5" s="41">
        <v>38443</v>
      </c>
      <c r="L5" s="41">
        <v>38473</v>
      </c>
      <c r="M5" s="41">
        <v>38504</v>
      </c>
      <c r="N5" s="5" t="s">
        <v>10</v>
      </c>
      <c r="O5" s="5" t="s">
        <v>115</v>
      </c>
      <c r="P5" s="5" t="s">
        <v>114</v>
      </c>
    </row>
    <row r="6" spans="1:16">
      <c r="A6" s="1" t="s">
        <v>11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6">
      <c r="A7" s="13" t="s">
        <v>15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6">
      <c r="A8" t="s">
        <v>12</v>
      </c>
      <c r="B8" s="48">
        <v>60</v>
      </c>
      <c r="C8" s="48">
        <v>38</v>
      </c>
      <c r="D8" s="48">
        <v>111</v>
      </c>
      <c r="E8" s="48">
        <v>242</v>
      </c>
      <c r="F8" s="48">
        <v>355</v>
      </c>
      <c r="G8" s="48">
        <v>212</v>
      </c>
      <c r="H8" s="48">
        <v>52</v>
      </c>
      <c r="I8" s="48">
        <v>202</v>
      </c>
      <c r="J8" s="48">
        <v>269</v>
      </c>
      <c r="K8" s="48">
        <v>270</v>
      </c>
      <c r="L8" s="48">
        <v>119</v>
      </c>
      <c r="M8" s="48">
        <v>54</v>
      </c>
      <c r="N8" s="26">
        <f>SUM(B8:M8)</f>
        <v>1984</v>
      </c>
      <c r="O8" s="39"/>
      <c r="P8" s="39"/>
    </row>
    <row r="9" spans="1:16">
      <c r="A9" t="s">
        <v>13</v>
      </c>
      <c r="B9" s="48">
        <v>84</v>
      </c>
      <c r="C9" s="48">
        <v>75</v>
      </c>
      <c r="D9" s="48">
        <v>316</v>
      </c>
      <c r="E9" s="48">
        <v>303</v>
      </c>
      <c r="F9" s="48">
        <v>395</v>
      </c>
      <c r="G9" s="48">
        <v>207</v>
      </c>
      <c r="H9" s="48">
        <v>63</v>
      </c>
      <c r="I9" s="48">
        <v>218</v>
      </c>
      <c r="J9" s="48">
        <v>314</v>
      </c>
      <c r="K9" s="48">
        <v>346</v>
      </c>
      <c r="L9" s="48">
        <v>101</v>
      </c>
      <c r="M9" s="48">
        <v>73</v>
      </c>
      <c r="N9" s="26">
        <f>SUM(B9:M9)</f>
        <v>2495</v>
      </c>
      <c r="O9" s="39">
        <f>12248/2</f>
        <v>6124</v>
      </c>
      <c r="P9" s="39">
        <f>O9/N9</f>
        <v>2.454509018036072</v>
      </c>
    </row>
    <row r="12" spans="1:16" ht="13">
      <c r="A12" s="108" t="s">
        <v>78</v>
      </c>
      <c r="B12" s="41">
        <v>38169</v>
      </c>
      <c r="C12" s="41">
        <v>38200</v>
      </c>
      <c r="D12" s="41">
        <v>38231</v>
      </c>
      <c r="E12" s="41">
        <v>38261</v>
      </c>
      <c r="F12" s="41">
        <v>38292</v>
      </c>
      <c r="G12" s="41">
        <v>38322</v>
      </c>
      <c r="H12" s="41">
        <v>38353</v>
      </c>
      <c r="I12" s="41">
        <v>38384</v>
      </c>
      <c r="J12" s="41">
        <v>38412</v>
      </c>
      <c r="K12" s="41">
        <v>38443</v>
      </c>
      <c r="L12" s="41">
        <v>38473</v>
      </c>
      <c r="M12" s="41">
        <v>38504</v>
      </c>
      <c r="N12" s="5" t="s">
        <v>10</v>
      </c>
    </row>
    <row r="13" spans="1:16">
      <c r="A13" s="1" t="s">
        <v>11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6">
      <c r="A14" s="1" t="s">
        <v>16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1:16">
      <c r="A15" t="s">
        <v>12</v>
      </c>
      <c r="B15" s="29">
        <v>25</v>
      </c>
      <c r="C15" s="29">
        <v>6</v>
      </c>
      <c r="D15" s="29">
        <v>106</v>
      </c>
      <c r="E15" s="29">
        <v>155</v>
      </c>
      <c r="F15" s="29">
        <v>269</v>
      </c>
      <c r="G15" s="30">
        <v>83</v>
      </c>
      <c r="H15" s="29">
        <v>24</v>
      </c>
      <c r="I15" s="29">
        <v>71</v>
      </c>
      <c r="J15" s="29">
        <v>142</v>
      </c>
      <c r="K15" s="29">
        <v>144</v>
      </c>
      <c r="L15" s="29">
        <v>68</v>
      </c>
      <c r="M15" s="30">
        <v>12</v>
      </c>
      <c r="N15" s="26">
        <f>SUM(B15:M15)</f>
        <v>1105</v>
      </c>
    </row>
    <row r="16" spans="1:16">
      <c r="A16" t="s">
        <v>13</v>
      </c>
      <c r="B16" s="48">
        <v>18</v>
      </c>
      <c r="C16" s="48">
        <v>4</v>
      </c>
      <c r="D16" s="48">
        <v>119</v>
      </c>
      <c r="E16" s="48">
        <v>161</v>
      </c>
      <c r="F16" s="48">
        <v>337</v>
      </c>
      <c r="G16" s="48">
        <v>106</v>
      </c>
      <c r="H16" s="48">
        <v>35</v>
      </c>
      <c r="I16" s="48">
        <v>67</v>
      </c>
      <c r="J16" s="48">
        <v>163</v>
      </c>
      <c r="K16" s="48">
        <v>191</v>
      </c>
      <c r="L16" s="48">
        <v>64</v>
      </c>
      <c r="M16" s="48">
        <v>10</v>
      </c>
      <c r="N16" s="26">
        <f>SUM(B16:M16)</f>
        <v>1275</v>
      </c>
      <c r="O16" s="39">
        <f>O9</f>
        <v>6124</v>
      </c>
      <c r="P16" s="39">
        <f>O16/N16</f>
        <v>4.8031372549019604</v>
      </c>
    </row>
  </sheetData>
  <phoneticPr fontId="2" type="noConversion"/>
  <pageMargins left="0.75" right="0.75" top="1" bottom="1" header="0.5" footer="0.5"/>
  <pageSetup scale="89" orientation="landscape"/>
  <headerFooter>
    <oddFooter>&amp;L&amp;K000000ABC-CLIO&amp;R&amp;K0000002004-05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"/>
  <sheetViews>
    <sheetView workbookViewId="0">
      <selection activeCell="A4" sqref="A4"/>
    </sheetView>
  </sheetViews>
  <sheetFormatPr baseColWidth="10" defaultColWidth="8.83203125" defaultRowHeight="12" x14ac:dyDescent="0"/>
  <cols>
    <col min="1" max="1" width="20.6640625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5.5" bestFit="1" customWidth="1"/>
    <col min="15" max="15" width="9.1640625" bestFit="1" customWidth="1"/>
    <col min="16" max="16" width="8.33203125" bestFit="1" customWidth="1"/>
  </cols>
  <sheetData>
    <row r="1" spans="1:16" ht="18">
      <c r="A1" s="2" t="s">
        <v>30</v>
      </c>
    </row>
    <row r="2" spans="1:16" ht="17">
      <c r="A2" s="3" t="s">
        <v>99</v>
      </c>
    </row>
    <row r="4" spans="1:16" ht="24">
      <c r="A4" s="108" t="s">
        <v>100</v>
      </c>
      <c r="B4" s="41">
        <v>38169</v>
      </c>
      <c r="C4" s="41">
        <v>38200</v>
      </c>
      <c r="D4" s="41">
        <v>38231</v>
      </c>
      <c r="E4" s="41">
        <v>38261</v>
      </c>
      <c r="F4" s="41">
        <v>38292</v>
      </c>
      <c r="G4" s="41">
        <v>38322</v>
      </c>
      <c r="H4" s="41">
        <v>38353</v>
      </c>
      <c r="I4" s="41">
        <v>38384</v>
      </c>
      <c r="J4" s="41">
        <v>38412</v>
      </c>
      <c r="K4" s="41">
        <v>38443</v>
      </c>
      <c r="L4" s="41">
        <v>38473</v>
      </c>
      <c r="M4" s="41">
        <v>38504</v>
      </c>
      <c r="N4" s="5" t="s">
        <v>10</v>
      </c>
      <c r="O4" s="5" t="s">
        <v>115</v>
      </c>
      <c r="P4" s="5" t="s">
        <v>114</v>
      </c>
    </row>
    <row r="5" spans="1:16">
      <c r="A5" s="1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>
      <c r="A6" t="s">
        <v>12</v>
      </c>
      <c r="B6" s="107">
        <v>4</v>
      </c>
      <c r="C6" s="107">
        <v>3</v>
      </c>
      <c r="D6" s="107">
        <v>30</v>
      </c>
      <c r="E6" s="107">
        <v>43</v>
      </c>
      <c r="F6" s="107">
        <v>144</v>
      </c>
      <c r="G6" s="107">
        <v>83</v>
      </c>
      <c r="H6" s="80">
        <v>31</v>
      </c>
      <c r="I6" s="80">
        <v>161</v>
      </c>
      <c r="J6" s="80">
        <v>337</v>
      </c>
      <c r="K6" s="80">
        <v>487</v>
      </c>
      <c r="L6" s="80">
        <v>74</v>
      </c>
      <c r="M6" s="81">
        <v>14</v>
      </c>
      <c r="N6" s="26">
        <f>SUM(B6:M6)</f>
        <v>1411</v>
      </c>
      <c r="O6" s="39"/>
      <c r="P6" s="39"/>
    </row>
    <row r="7" spans="1:16">
      <c r="A7" t="s">
        <v>13</v>
      </c>
      <c r="B7" s="107">
        <v>0</v>
      </c>
      <c r="C7" s="107">
        <v>0</v>
      </c>
      <c r="D7" s="107">
        <v>0</v>
      </c>
      <c r="E7" s="107">
        <v>0</v>
      </c>
      <c r="F7" s="107">
        <v>153</v>
      </c>
      <c r="G7" s="107">
        <v>159</v>
      </c>
      <c r="H7" s="29">
        <v>50</v>
      </c>
      <c r="I7" s="29">
        <v>643</v>
      </c>
      <c r="J7" s="29">
        <v>955</v>
      </c>
      <c r="K7" s="29">
        <v>1352</v>
      </c>
      <c r="L7" s="29">
        <v>204</v>
      </c>
      <c r="M7" s="30">
        <v>30</v>
      </c>
      <c r="N7" s="26">
        <f>SUM(B7:M7)</f>
        <v>3546</v>
      </c>
      <c r="O7" s="45">
        <v>901</v>
      </c>
      <c r="P7" s="39">
        <f>O7/N7</f>
        <v>0.25408911449520588</v>
      </c>
    </row>
    <row r="8" spans="1:16">
      <c r="A8" s="19" t="s">
        <v>7</v>
      </c>
      <c r="B8" s="103">
        <v>0</v>
      </c>
      <c r="C8" s="103">
        <v>1</v>
      </c>
      <c r="D8" s="103">
        <v>23</v>
      </c>
      <c r="E8" s="103">
        <v>10</v>
      </c>
      <c r="F8" s="103">
        <v>131</v>
      </c>
      <c r="G8" s="103">
        <v>153</v>
      </c>
      <c r="H8" s="103">
        <v>48</v>
      </c>
      <c r="I8" s="103">
        <v>544</v>
      </c>
      <c r="J8" s="103">
        <v>1154</v>
      </c>
      <c r="K8" s="103">
        <v>1712</v>
      </c>
      <c r="L8" s="103">
        <v>189</v>
      </c>
      <c r="M8" s="103">
        <v>29</v>
      </c>
      <c r="N8" s="26">
        <f>SUM(B8:M8)</f>
        <v>3994</v>
      </c>
      <c r="O8" s="45">
        <v>901</v>
      </c>
      <c r="P8" s="39">
        <f>O8/N8</f>
        <v>0.2255883825738608</v>
      </c>
    </row>
    <row r="9" spans="1:16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1:16">
      <c r="A10" s="16"/>
      <c r="B10" s="17"/>
    </row>
  </sheetData>
  <phoneticPr fontId="2" type="noConversion"/>
  <pageMargins left="0.75" right="0.75" top="1" bottom="1" header="0.5" footer="0.5"/>
  <pageSetup scale="92" orientation="landscape"/>
  <headerFooter>
    <oddFooter>&amp;L&amp;K000000CIAO&amp;R&amp;K0000002004-05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"/>
  <sheetViews>
    <sheetView workbookViewId="0">
      <selection activeCell="A5" sqref="A5"/>
    </sheetView>
  </sheetViews>
  <sheetFormatPr baseColWidth="10" defaultColWidth="8.83203125" defaultRowHeight="12" x14ac:dyDescent="0"/>
  <cols>
    <col min="1" max="1" width="26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5.1640625" bestFit="1" customWidth="1"/>
    <col min="15" max="15" width="9.33203125" bestFit="1" customWidth="1"/>
    <col min="16" max="16" width="8.33203125" bestFit="1" customWidth="1"/>
  </cols>
  <sheetData>
    <row r="1" spans="1:16" ht="18">
      <c r="A1" s="2" t="s">
        <v>20</v>
      </c>
    </row>
    <row r="2" spans="1:16" ht="17">
      <c r="A2" s="3" t="s">
        <v>99</v>
      </c>
    </row>
    <row r="5" spans="1:16" ht="27.75" customHeight="1">
      <c r="A5" s="108" t="s">
        <v>100</v>
      </c>
      <c r="B5" s="41">
        <v>38169</v>
      </c>
      <c r="C5" s="41">
        <v>38200</v>
      </c>
      <c r="D5" s="41">
        <v>38231</v>
      </c>
      <c r="E5" s="41">
        <v>38261</v>
      </c>
      <c r="F5" s="41">
        <v>38292</v>
      </c>
      <c r="G5" s="41">
        <v>38322</v>
      </c>
      <c r="H5" s="41">
        <v>38353</v>
      </c>
      <c r="I5" s="41">
        <v>38384</v>
      </c>
      <c r="J5" s="41">
        <v>38412</v>
      </c>
      <c r="K5" s="41">
        <v>38443</v>
      </c>
      <c r="L5" s="41">
        <v>38473</v>
      </c>
      <c r="M5" s="41">
        <v>38504</v>
      </c>
      <c r="N5" s="5" t="s">
        <v>10</v>
      </c>
      <c r="O5" s="5" t="s">
        <v>115</v>
      </c>
      <c r="P5" s="5" t="s">
        <v>114</v>
      </c>
    </row>
    <row r="6" spans="1:16">
      <c r="B6" s="7"/>
      <c r="C6" s="7"/>
      <c r="D6" s="7"/>
      <c r="E6" s="7"/>
      <c r="F6" s="7"/>
      <c r="G6" s="6"/>
      <c r="H6" s="7"/>
      <c r="I6" s="7"/>
      <c r="J6" s="7"/>
      <c r="K6" s="7"/>
      <c r="L6" s="7"/>
      <c r="M6" s="7"/>
      <c r="N6" s="7"/>
    </row>
    <row r="7" spans="1:16">
      <c r="A7" s="15" t="s">
        <v>13</v>
      </c>
      <c r="B7" s="18">
        <v>22</v>
      </c>
      <c r="C7" s="18">
        <v>16</v>
      </c>
      <c r="D7" s="18">
        <v>28</v>
      </c>
      <c r="E7" s="18">
        <v>75</v>
      </c>
      <c r="F7" s="18">
        <v>278</v>
      </c>
      <c r="G7" s="18">
        <v>23</v>
      </c>
      <c r="H7" s="18">
        <v>10</v>
      </c>
      <c r="I7" s="18">
        <v>33</v>
      </c>
      <c r="J7" s="18">
        <v>23</v>
      </c>
      <c r="K7" s="18">
        <v>66</v>
      </c>
      <c r="L7" s="18">
        <v>45</v>
      </c>
      <c r="M7" s="18">
        <v>23</v>
      </c>
      <c r="N7" s="9">
        <f>SUM(B7:M7)</f>
        <v>642</v>
      </c>
      <c r="O7" s="39">
        <v>1263.57</v>
      </c>
      <c r="P7" s="39">
        <f>O7/N7</f>
        <v>1.9681775700934578</v>
      </c>
    </row>
    <row r="8" spans="1:16">
      <c r="O8" s="39"/>
      <c r="P8" s="39"/>
    </row>
    <row r="9" spans="1:16">
      <c r="A9" s="15" t="s">
        <v>21</v>
      </c>
      <c r="B9" s="18">
        <v>3</v>
      </c>
      <c r="C9" s="18">
        <v>2</v>
      </c>
      <c r="D9" s="18">
        <v>1</v>
      </c>
      <c r="E9" s="18">
        <v>6</v>
      </c>
      <c r="F9" s="18">
        <v>8</v>
      </c>
      <c r="G9" s="18">
        <v>2</v>
      </c>
      <c r="H9" s="18">
        <v>5</v>
      </c>
      <c r="I9" s="18">
        <v>9</v>
      </c>
      <c r="J9" s="18">
        <v>4</v>
      </c>
      <c r="K9" s="18">
        <v>85</v>
      </c>
      <c r="L9" s="18">
        <v>29</v>
      </c>
      <c r="M9" s="18">
        <v>25</v>
      </c>
      <c r="N9" s="9">
        <f>SUM(B9:M9)</f>
        <v>179</v>
      </c>
      <c r="O9" s="39"/>
      <c r="P9" s="39"/>
    </row>
    <row r="10" spans="1:16">
      <c r="A10" s="15" t="s">
        <v>22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9">
        <f>SUM(B10:M10)</f>
        <v>0</v>
      </c>
      <c r="O10" s="39"/>
      <c r="P10" s="39"/>
    </row>
    <row r="11" spans="1:16">
      <c r="O11" s="39"/>
      <c r="P11" s="39"/>
    </row>
  </sheetData>
  <phoneticPr fontId="2" type="noConversion"/>
  <pageMargins left="0.5" right="0.5" top="0.5" bottom="0.5" header="0.5" footer="0.5"/>
  <pageSetup scale="92" orientation="landscape"/>
  <headerFooter>
    <oddFooter>&amp;L&amp;K000000CollegeSource&amp;R&amp;K0000002004-05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9"/>
  <sheetViews>
    <sheetView workbookViewId="0">
      <selection activeCell="A5" sqref="A5"/>
    </sheetView>
  </sheetViews>
  <sheetFormatPr baseColWidth="10" defaultColWidth="8.83203125" defaultRowHeight="12" x14ac:dyDescent="0"/>
  <cols>
    <col min="1" max="1" width="21.6640625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5.5" bestFit="1" customWidth="1"/>
    <col min="15" max="15" width="9.6640625" bestFit="1" customWidth="1"/>
    <col min="16" max="16" width="8.33203125" bestFit="1" customWidth="1"/>
  </cols>
  <sheetData>
    <row r="1" spans="1:16" ht="18">
      <c r="A1" s="2" t="s">
        <v>27</v>
      </c>
    </row>
    <row r="2" spans="1:16" ht="17">
      <c r="A2" s="3" t="s">
        <v>99</v>
      </c>
    </row>
    <row r="5" spans="1:16" ht="29.25" customHeight="1">
      <c r="A5" s="108" t="s">
        <v>100</v>
      </c>
      <c r="B5" s="41">
        <v>38169</v>
      </c>
      <c r="C5" s="41">
        <v>38200</v>
      </c>
      <c r="D5" s="41">
        <v>38231</v>
      </c>
      <c r="E5" s="41">
        <v>38261</v>
      </c>
      <c r="F5" s="41">
        <v>38292</v>
      </c>
      <c r="G5" s="41">
        <v>38322</v>
      </c>
      <c r="H5" s="41">
        <v>38353</v>
      </c>
      <c r="I5" s="41">
        <v>38384</v>
      </c>
      <c r="J5" s="41">
        <v>38412</v>
      </c>
      <c r="K5" s="41">
        <v>38443</v>
      </c>
      <c r="L5" s="41">
        <v>38473</v>
      </c>
      <c r="M5" s="41">
        <v>38504</v>
      </c>
      <c r="N5" s="5" t="s">
        <v>10</v>
      </c>
      <c r="O5" s="5" t="s">
        <v>115</v>
      </c>
      <c r="P5" s="5" t="s">
        <v>114</v>
      </c>
    </row>
    <row r="6" spans="1:16">
      <c r="A6" s="1" t="s">
        <v>11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6">
      <c r="A7" t="s">
        <v>12</v>
      </c>
      <c r="B7" s="80">
        <v>167</v>
      </c>
      <c r="C7" s="80">
        <v>104</v>
      </c>
      <c r="D7" s="80">
        <v>128</v>
      </c>
      <c r="E7" s="80">
        <v>347</v>
      </c>
      <c r="F7" s="80">
        <v>157</v>
      </c>
      <c r="G7" s="80">
        <v>102</v>
      </c>
      <c r="H7" s="80">
        <v>87</v>
      </c>
      <c r="I7" s="80">
        <v>138</v>
      </c>
      <c r="J7" s="80">
        <v>163</v>
      </c>
      <c r="K7" s="80">
        <v>138</v>
      </c>
      <c r="L7" s="80">
        <v>103</v>
      </c>
      <c r="M7" s="81">
        <v>78</v>
      </c>
      <c r="N7" s="26">
        <f>SUM(B7:M7)</f>
        <v>1712</v>
      </c>
      <c r="O7" s="39"/>
      <c r="P7" s="39"/>
    </row>
    <row r="8" spans="1:16">
      <c r="A8" t="s">
        <v>13</v>
      </c>
      <c r="B8" s="29">
        <v>543</v>
      </c>
      <c r="C8" s="29">
        <v>229</v>
      </c>
      <c r="D8" s="29">
        <v>309</v>
      </c>
      <c r="E8" s="29">
        <v>804</v>
      </c>
      <c r="F8" s="29">
        <v>492</v>
      </c>
      <c r="G8" s="29">
        <v>332</v>
      </c>
      <c r="H8" s="29">
        <v>247</v>
      </c>
      <c r="I8" s="29">
        <v>344</v>
      </c>
      <c r="J8" s="29">
        <v>415</v>
      </c>
      <c r="K8" s="29">
        <v>579</v>
      </c>
      <c r="L8" s="29">
        <v>338</v>
      </c>
      <c r="M8" s="30">
        <v>273</v>
      </c>
      <c r="N8" s="26">
        <f>SUM(B8:M8)</f>
        <v>4905</v>
      </c>
      <c r="O8" s="45">
        <v>12800</v>
      </c>
      <c r="P8" s="39">
        <f>O8/N8</f>
        <v>2.6095820591233436</v>
      </c>
    </row>
    <row r="9" spans="1:16">
      <c r="A9" t="s">
        <v>28</v>
      </c>
      <c r="B9" s="80">
        <v>5</v>
      </c>
      <c r="C9" s="80">
        <v>3</v>
      </c>
      <c r="D9" s="80">
        <v>30</v>
      </c>
      <c r="E9" s="80">
        <v>14</v>
      </c>
      <c r="F9" s="80">
        <v>4</v>
      </c>
      <c r="G9" s="80">
        <v>6</v>
      </c>
      <c r="H9" s="80" t="s">
        <v>41</v>
      </c>
      <c r="I9" s="80" t="s">
        <v>41</v>
      </c>
      <c r="J9" s="80" t="s">
        <v>41</v>
      </c>
      <c r="K9" s="80" t="s">
        <v>41</v>
      </c>
      <c r="L9" s="80" t="s">
        <v>41</v>
      </c>
      <c r="M9" s="81" t="s">
        <v>41</v>
      </c>
      <c r="N9" s="26"/>
      <c r="O9" s="39"/>
      <c r="P9" s="39"/>
    </row>
  </sheetData>
  <phoneticPr fontId="2" type="noConversion"/>
  <pageMargins left="0.75" right="0.75" top="1" bottom="1" header="0.5" footer="0.5"/>
  <pageSetup scale="91" orientation="landscape"/>
  <headerFooter>
    <oddFooter>&amp;L&amp;K000000Compendex(EI)&amp;R&amp;K0000002004-05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57"/>
  <sheetViews>
    <sheetView workbookViewId="0">
      <selection activeCell="A4" sqref="A4"/>
    </sheetView>
  </sheetViews>
  <sheetFormatPr baseColWidth="10" defaultColWidth="8.83203125" defaultRowHeight="12" x14ac:dyDescent="0"/>
  <cols>
    <col min="1" max="1" width="37.5" bestFit="1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6.33203125" bestFit="1" customWidth="1"/>
    <col min="15" max="15" width="9.1640625" customWidth="1"/>
    <col min="16" max="16" width="8.33203125" bestFit="1" customWidth="1"/>
  </cols>
  <sheetData>
    <row r="1" spans="1:16" ht="18">
      <c r="A1" s="2" t="s">
        <v>79</v>
      </c>
    </row>
    <row r="2" spans="1:16" ht="17">
      <c r="A2" s="3" t="s">
        <v>80</v>
      </c>
    </row>
    <row r="4" spans="1:16" ht="13">
      <c r="A4" s="108" t="s">
        <v>100</v>
      </c>
      <c r="B4" s="41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5" t="s">
        <v>10</v>
      </c>
    </row>
    <row r="5" spans="1:16">
      <c r="A5" s="1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 ht="24">
      <c r="A6" s="20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43" t="s">
        <v>115</v>
      </c>
      <c r="P6" s="43" t="s">
        <v>114</v>
      </c>
    </row>
    <row r="7" spans="1:16">
      <c r="A7" s="1" t="s">
        <v>81</v>
      </c>
      <c r="B7" s="41">
        <v>38169</v>
      </c>
      <c r="C7" s="42">
        <v>38200</v>
      </c>
      <c r="D7" s="42">
        <v>38231</v>
      </c>
      <c r="E7" s="42">
        <v>38261</v>
      </c>
      <c r="F7" s="42">
        <v>38292</v>
      </c>
      <c r="G7" s="42">
        <v>38322</v>
      </c>
      <c r="H7" s="42">
        <v>38353</v>
      </c>
      <c r="I7" s="42">
        <v>38384</v>
      </c>
      <c r="J7" s="42">
        <v>38412</v>
      </c>
      <c r="K7" s="42">
        <v>38443</v>
      </c>
      <c r="L7" s="42">
        <v>38473</v>
      </c>
      <c r="M7" s="42">
        <v>38504</v>
      </c>
      <c r="O7" s="39"/>
      <c r="P7" s="39"/>
    </row>
    <row r="8" spans="1:16">
      <c r="A8" t="s">
        <v>13</v>
      </c>
      <c r="B8" s="77">
        <f>1073+869+4</f>
        <v>1946</v>
      </c>
      <c r="C8" s="77">
        <f>1096+1236</f>
        <v>2332</v>
      </c>
      <c r="D8" s="77">
        <f>1059+2048+2</f>
        <v>3109</v>
      </c>
      <c r="E8" s="77">
        <f>1381+3282</f>
        <v>4663</v>
      </c>
      <c r="F8" s="77">
        <f>1486+3934</f>
        <v>5420</v>
      </c>
      <c r="G8" s="78">
        <f>1130+1430</f>
        <v>2560</v>
      </c>
      <c r="H8" s="77">
        <f>1073+1293</f>
        <v>2366</v>
      </c>
      <c r="I8" s="77">
        <f>1022+2522+4</f>
        <v>3548</v>
      </c>
      <c r="J8" s="77">
        <f>1629+4709+4</f>
        <v>6342</v>
      </c>
      <c r="K8" s="77">
        <f>1476+6027+9</f>
        <v>7512</v>
      </c>
      <c r="L8" s="77">
        <f>1104+3194+6</f>
        <v>4304</v>
      </c>
      <c r="M8" s="79">
        <f>755+1812+3</f>
        <v>2570</v>
      </c>
      <c r="N8" s="26">
        <f>SUM(B8:M8)</f>
        <v>46672</v>
      </c>
      <c r="O8" s="39">
        <v>6570</v>
      </c>
      <c r="P8" s="39">
        <f>O8/N8</f>
        <v>0.14076962632841961</v>
      </c>
    </row>
    <row r="9" spans="1:1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14"/>
      <c r="O9" s="39"/>
      <c r="P9" s="39"/>
    </row>
    <row r="10" spans="1:16">
      <c r="A10" s="1" t="s">
        <v>82</v>
      </c>
      <c r="B10" s="41">
        <v>38169</v>
      </c>
      <c r="C10" s="42">
        <v>38200</v>
      </c>
      <c r="D10" s="42">
        <v>38231</v>
      </c>
      <c r="E10" s="42">
        <v>38261</v>
      </c>
      <c r="F10" s="42">
        <v>38292</v>
      </c>
      <c r="G10" s="42">
        <v>38322</v>
      </c>
      <c r="H10" s="42">
        <v>38353</v>
      </c>
      <c r="I10" s="42">
        <v>38384</v>
      </c>
      <c r="J10" s="42">
        <v>38412</v>
      </c>
      <c r="K10" s="42">
        <v>38443</v>
      </c>
      <c r="L10" s="42">
        <v>38473</v>
      </c>
      <c r="M10" s="42">
        <v>38504</v>
      </c>
      <c r="O10" s="39"/>
      <c r="P10" s="39"/>
    </row>
    <row r="11" spans="1:16">
      <c r="A11" t="s">
        <v>13</v>
      </c>
      <c r="B11" s="77">
        <f>207+3+4</f>
        <v>214</v>
      </c>
      <c r="C11" s="77">
        <f>18+0</f>
        <v>18</v>
      </c>
      <c r="D11" s="77">
        <f>7+132</f>
        <v>139</v>
      </c>
      <c r="E11" s="77">
        <f>2+327</f>
        <v>329</v>
      </c>
      <c r="F11" s="77">
        <f>0+1209</f>
        <v>1209</v>
      </c>
      <c r="G11" s="78">
        <f>0+717</f>
        <v>717</v>
      </c>
      <c r="H11" s="77">
        <f>1+28</f>
        <v>29</v>
      </c>
      <c r="I11" s="77">
        <f>0+956</f>
        <v>956</v>
      </c>
      <c r="J11" s="77">
        <f>0+877+1</f>
        <v>878</v>
      </c>
      <c r="K11" s="77">
        <f>3+3215+19</f>
        <v>3237</v>
      </c>
      <c r="L11" s="77">
        <f>3+972+4</f>
        <v>979</v>
      </c>
      <c r="M11" s="79">
        <f>0+482+1</f>
        <v>483</v>
      </c>
      <c r="N11" s="26">
        <f>SUM(B11:M11)</f>
        <v>9188</v>
      </c>
      <c r="O11" s="39">
        <v>2210</v>
      </c>
      <c r="P11" s="39">
        <f>O11/N11</f>
        <v>0.24053112755768394</v>
      </c>
    </row>
    <row r="12" spans="1:16">
      <c r="A12" s="20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39"/>
      <c r="P12" s="39"/>
    </row>
    <row r="13" spans="1:16">
      <c r="A13" s="1" t="s">
        <v>83</v>
      </c>
      <c r="B13" s="41">
        <v>38169</v>
      </c>
      <c r="C13" s="42">
        <v>38200</v>
      </c>
      <c r="D13" s="42">
        <v>38231</v>
      </c>
      <c r="E13" s="42">
        <v>38261</v>
      </c>
      <c r="F13" s="42">
        <v>38292</v>
      </c>
      <c r="G13" s="42">
        <v>38322</v>
      </c>
      <c r="H13" s="42">
        <v>38353</v>
      </c>
      <c r="I13" s="42">
        <v>38384</v>
      </c>
      <c r="J13" s="42">
        <v>38412</v>
      </c>
      <c r="K13" s="42">
        <v>38443</v>
      </c>
      <c r="L13" s="42">
        <v>38473</v>
      </c>
      <c r="M13" s="42">
        <v>38504</v>
      </c>
      <c r="O13" s="39"/>
      <c r="P13" s="39"/>
    </row>
    <row r="14" spans="1:16">
      <c r="A14" t="s">
        <v>13</v>
      </c>
      <c r="B14" s="77">
        <f>0+4+152</f>
        <v>156</v>
      </c>
      <c r="C14" s="77">
        <f>0+2+154</f>
        <v>156</v>
      </c>
      <c r="D14" s="77">
        <f>4+182+92</f>
        <v>278</v>
      </c>
      <c r="E14" s="77">
        <f>0+225+5</f>
        <v>230</v>
      </c>
      <c r="F14" s="77">
        <f>1+341+11</f>
        <v>353</v>
      </c>
      <c r="G14" s="78">
        <f>0+303+4</f>
        <v>307</v>
      </c>
      <c r="H14" s="77">
        <f>1+103+3</f>
        <v>107</v>
      </c>
      <c r="I14" s="77">
        <f>1+870+1</f>
        <v>872</v>
      </c>
      <c r="J14" s="77">
        <f>0+755+2</f>
        <v>757</v>
      </c>
      <c r="K14" s="77">
        <f>3+1327+41</f>
        <v>1371</v>
      </c>
      <c r="L14" s="77">
        <f>3+511+5</f>
        <v>519</v>
      </c>
      <c r="M14" s="79">
        <f>0+331+10</f>
        <v>341</v>
      </c>
      <c r="N14" s="26">
        <f>SUM(B14:M14)</f>
        <v>5447</v>
      </c>
      <c r="O14" s="39">
        <v>3990</v>
      </c>
      <c r="P14" s="39">
        <f>O14/N14</f>
        <v>0.73251331007894249</v>
      </c>
    </row>
    <row r="15" spans="1:1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14"/>
      <c r="O15" s="39"/>
      <c r="P15" s="39"/>
    </row>
    <row r="16" spans="1:16">
      <c r="A16" s="1" t="s">
        <v>53</v>
      </c>
      <c r="B16" s="41">
        <v>38169</v>
      </c>
      <c r="C16" s="42">
        <v>38200</v>
      </c>
      <c r="D16" s="42">
        <v>38231</v>
      </c>
      <c r="E16" s="42">
        <v>38261</v>
      </c>
      <c r="F16" s="42">
        <v>38292</v>
      </c>
      <c r="G16" s="42">
        <v>38322</v>
      </c>
      <c r="H16" s="42">
        <v>38353</v>
      </c>
      <c r="I16" s="42">
        <v>38384</v>
      </c>
      <c r="J16" s="42">
        <v>38412</v>
      </c>
      <c r="K16" s="42">
        <v>38443</v>
      </c>
      <c r="L16" s="42">
        <v>38473</v>
      </c>
      <c r="M16" s="42">
        <v>38504</v>
      </c>
      <c r="O16" s="39"/>
      <c r="P16" s="39"/>
    </row>
    <row r="17" spans="1:16">
      <c r="A17" t="s">
        <v>13</v>
      </c>
      <c r="B17" s="77">
        <f>0+8+9</f>
        <v>17</v>
      </c>
      <c r="C17" s="77">
        <f>0+33</f>
        <v>33</v>
      </c>
      <c r="D17" s="77">
        <f>3+6</f>
        <v>9</v>
      </c>
      <c r="E17" s="77">
        <f>0+2</f>
        <v>2</v>
      </c>
      <c r="F17" s="77">
        <f>0+13+1</f>
        <v>14</v>
      </c>
      <c r="G17" s="78">
        <f>0+10+4</f>
        <v>14</v>
      </c>
      <c r="H17" s="77">
        <f>1+7</f>
        <v>8</v>
      </c>
      <c r="I17" s="77">
        <f>0+628</f>
        <v>628</v>
      </c>
      <c r="J17" s="77">
        <f>0+442+1</f>
        <v>443</v>
      </c>
      <c r="K17" s="77">
        <f>3+1359+18</f>
        <v>1380</v>
      </c>
      <c r="L17" s="77">
        <f>3+430+2</f>
        <v>435</v>
      </c>
      <c r="M17" s="79">
        <f>0+353+1</f>
        <v>354</v>
      </c>
      <c r="N17" s="26">
        <f>SUM(B17:M17)</f>
        <v>3337</v>
      </c>
      <c r="O17" s="39">
        <v>0</v>
      </c>
      <c r="P17" s="44" t="s">
        <v>41</v>
      </c>
    </row>
    <row r="18" spans="1:16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14"/>
      <c r="O18" s="39"/>
      <c r="P18" s="39"/>
    </row>
    <row r="19" spans="1:16">
      <c r="A19" s="1" t="s">
        <v>84</v>
      </c>
      <c r="B19" s="41">
        <v>38169</v>
      </c>
      <c r="C19" s="42">
        <v>38200</v>
      </c>
      <c r="D19" s="42">
        <v>38231</v>
      </c>
      <c r="E19" s="42">
        <v>38261</v>
      </c>
      <c r="F19" s="42">
        <v>38292</v>
      </c>
      <c r="G19" s="42">
        <v>38322</v>
      </c>
      <c r="H19" s="42">
        <v>38353</v>
      </c>
      <c r="I19" s="42">
        <v>38384</v>
      </c>
      <c r="J19" s="42">
        <v>38412</v>
      </c>
      <c r="K19" s="42">
        <v>38443</v>
      </c>
      <c r="L19" s="42">
        <v>38473</v>
      </c>
      <c r="M19" s="42">
        <v>38504</v>
      </c>
      <c r="O19" s="39"/>
      <c r="P19" s="39"/>
    </row>
    <row r="20" spans="1:16">
      <c r="A20" t="s">
        <v>13</v>
      </c>
      <c r="B20" s="77">
        <f>0+36+2</f>
        <v>38</v>
      </c>
      <c r="C20" s="77">
        <f>0+26+1</f>
        <v>27</v>
      </c>
      <c r="D20" s="77">
        <f>4+13+116</f>
        <v>133</v>
      </c>
      <c r="E20" s="77">
        <f>0+86+63</f>
        <v>149</v>
      </c>
      <c r="F20" s="77">
        <f>1+54+144</f>
        <v>199</v>
      </c>
      <c r="G20" s="78">
        <f>8+17+79</f>
        <v>104</v>
      </c>
      <c r="H20" s="77">
        <f>89+15+84</f>
        <v>188</v>
      </c>
      <c r="I20" s="77">
        <f>237+91+53</f>
        <v>381</v>
      </c>
      <c r="J20" s="77">
        <f>256+173+147</f>
        <v>576</v>
      </c>
      <c r="K20" s="77">
        <f>166+128+317</f>
        <v>611</v>
      </c>
      <c r="L20" s="77">
        <f>200+78+72</f>
        <v>350</v>
      </c>
      <c r="M20" s="79">
        <f>127+48+63</f>
        <v>238</v>
      </c>
      <c r="N20" s="26">
        <f>SUM(B20:M20)</f>
        <v>2994</v>
      </c>
      <c r="O20" s="39">
        <v>3280</v>
      </c>
      <c r="P20" s="39">
        <f>O20/N20</f>
        <v>1.0955243820975284</v>
      </c>
    </row>
    <row r="21" spans="1:16">
      <c r="A21" s="20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39"/>
      <c r="P21" s="39"/>
    </row>
    <row r="22" spans="1:16">
      <c r="A22" s="1" t="s">
        <v>85</v>
      </c>
      <c r="B22" s="41">
        <v>38169</v>
      </c>
      <c r="C22" s="42">
        <v>38200</v>
      </c>
      <c r="D22" s="42">
        <v>38231</v>
      </c>
      <c r="E22" s="42">
        <v>38261</v>
      </c>
      <c r="F22" s="42">
        <v>38292</v>
      </c>
      <c r="G22" s="42">
        <v>38322</v>
      </c>
      <c r="H22" s="42">
        <v>38353</v>
      </c>
      <c r="I22" s="42">
        <v>38384</v>
      </c>
      <c r="J22" s="42">
        <v>38412</v>
      </c>
      <c r="K22" s="42">
        <v>38443</v>
      </c>
      <c r="L22" s="42">
        <v>38473</v>
      </c>
      <c r="M22" s="42">
        <v>38504</v>
      </c>
      <c r="O22" s="39"/>
      <c r="P22" s="39"/>
    </row>
    <row r="23" spans="1:16">
      <c r="A23" t="s">
        <v>13</v>
      </c>
      <c r="B23" s="77">
        <f>314+8+2</f>
        <v>324</v>
      </c>
      <c r="C23" s="77">
        <f>559+5+1</f>
        <v>565</v>
      </c>
      <c r="D23" s="77">
        <f>220+6</f>
        <v>226</v>
      </c>
      <c r="E23" s="77">
        <f>428+31</f>
        <v>459</v>
      </c>
      <c r="F23" s="77">
        <f>509+28</f>
        <v>537</v>
      </c>
      <c r="G23" s="78">
        <f>609+23</f>
        <v>632</v>
      </c>
      <c r="H23" s="77">
        <f>913+8</f>
        <v>921</v>
      </c>
      <c r="I23" s="77">
        <f>1014+84+4</f>
        <v>1102</v>
      </c>
      <c r="J23" s="77">
        <f>1607+135+4</f>
        <v>1746</v>
      </c>
      <c r="K23" s="77">
        <f>1273+119+6</f>
        <v>1398</v>
      </c>
      <c r="L23" s="77">
        <f>1043+63+6</f>
        <v>1112</v>
      </c>
      <c r="M23" s="79">
        <f>584+41+3</f>
        <v>628</v>
      </c>
      <c r="N23" s="26">
        <f>SUM(B23:M23)</f>
        <v>9650</v>
      </c>
      <c r="O23" s="39">
        <v>3650</v>
      </c>
      <c r="P23" s="39">
        <f>O23/N23</f>
        <v>0.37823834196891193</v>
      </c>
    </row>
    <row r="24" spans="1:16">
      <c r="A24" s="20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39"/>
      <c r="P24" s="39"/>
    </row>
    <row r="25" spans="1:16">
      <c r="A25" s="1" t="s">
        <v>86</v>
      </c>
      <c r="B25" s="41">
        <v>38169</v>
      </c>
      <c r="C25" s="42">
        <v>38200</v>
      </c>
      <c r="D25" s="42">
        <v>38231</v>
      </c>
      <c r="E25" s="42">
        <v>38261</v>
      </c>
      <c r="F25" s="42">
        <v>38292</v>
      </c>
      <c r="G25" s="42">
        <v>38322</v>
      </c>
      <c r="H25" s="42">
        <v>38353</v>
      </c>
      <c r="I25" s="42">
        <v>38384</v>
      </c>
      <c r="J25" s="42">
        <v>38412</v>
      </c>
      <c r="K25" s="42">
        <v>38443</v>
      </c>
      <c r="L25" s="42">
        <v>38473</v>
      </c>
      <c r="M25" s="42">
        <v>38504</v>
      </c>
      <c r="O25" s="39"/>
      <c r="P25" s="39"/>
    </row>
    <row r="26" spans="1:16">
      <c r="A26" t="s">
        <v>13</v>
      </c>
      <c r="B26" s="77">
        <v>3</v>
      </c>
      <c r="C26" s="77">
        <v>0</v>
      </c>
      <c r="D26" s="77">
        <v>0</v>
      </c>
      <c r="E26" s="77">
        <v>0</v>
      </c>
      <c r="F26" s="77">
        <v>0</v>
      </c>
      <c r="G26" s="78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9">
        <v>0</v>
      </c>
      <c r="N26" s="26">
        <f>SUM(B26:M26)</f>
        <v>3</v>
      </c>
      <c r="O26" s="39">
        <v>0</v>
      </c>
      <c r="P26" s="44" t="s">
        <v>41</v>
      </c>
    </row>
    <row r="27" spans="1:16">
      <c r="A27" s="20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39"/>
      <c r="P27" s="39"/>
    </row>
    <row r="28" spans="1:16">
      <c r="A28" s="1" t="s">
        <v>87</v>
      </c>
      <c r="B28" s="41">
        <v>38169</v>
      </c>
      <c r="C28" s="42">
        <v>38200</v>
      </c>
      <c r="D28" s="42">
        <v>38231</v>
      </c>
      <c r="E28" s="42">
        <v>38261</v>
      </c>
      <c r="F28" s="42">
        <v>38292</v>
      </c>
      <c r="G28" s="42">
        <v>38322</v>
      </c>
      <c r="H28" s="42">
        <v>38353</v>
      </c>
      <c r="I28" s="42">
        <v>38384</v>
      </c>
      <c r="J28" s="42">
        <v>38412</v>
      </c>
      <c r="K28" s="42">
        <v>38443</v>
      </c>
      <c r="L28" s="42">
        <v>38473</v>
      </c>
      <c r="M28" s="42">
        <v>38504</v>
      </c>
      <c r="O28" s="39"/>
      <c r="P28" s="39"/>
    </row>
    <row r="29" spans="1:16">
      <c r="A29" t="s">
        <v>13</v>
      </c>
      <c r="B29" s="77">
        <f>487+51+2</f>
        <v>540</v>
      </c>
      <c r="C29" s="77">
        <f>636+34</f>
        <v>670</v>
      </c>
      <c r="D29" s="77">
        <f>359+41</f>
        <v>400</v>
      </c>
      <c r="E29" s="77">
        <f>576+161</f>
        <v>737</v>
      </c>
      <c r="F29" s="77">
        <f>737+127</f>
        <v>864</v>
      </c>
      <c r="G29" s="78">
        <f>751+129</f>
        <v>880</v>
      </c>
      <c r="H29" s="77">
        <f>1028+15</f>
        <v>1043</v>
      </c>
      <c r="I29" s="77">
        <f>1031+163+3</f>
        <v>1197</v>
      </c>
      <c r="J29" s="77">
        <f>1614+478+3</f>
        <v>2095</v>
      </c>
      <c r="K29" s="77">
        <f>1295+399+7</f>
        <v>1701</v>
      </c>
      <c r="L29" s="77">
        <f>1050+152+5</f>
        <v>1207</v>
      </c>
      <c r="M29" s="79">
        <f>584+129+3</f>
        <v>716</v>
      </c>
      <c r="N29" s="26">
        <f>SUM(B29:M29)</f>
        <v>12050</v>
      </c>
      <c r="O29" s="39">
        <v>0</v>
      </c>
      <c r="P29" s="44" t="s">
        <v>41</v>
      </c>
    </row>
    <row r="30" spans="1:16">
      <c r="A30" s="20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t="s">
        <v>88</v>
      </c>
      <c r="P30" s="39"/>
    </row>
    <row r="31" spans="1:16">
      <c r="A31" s="1" t="s">
        <v>89</v>
      </c>
      <c r="B31" s="41">
        <v>38169</v>
      </c>
      <c r="C31" s="42">
        <v>38200</v>
      </c>
      <c r="D31" s="42">
        <v>38231</v>
      </c>
      <c r="E31" s="42">
        <v>38261</v>
      </c>
      <c r="F31" s="42">
        <v>38292</v>
      </c>
      <c r="G31" s="42">
        <v>38322</v>
      </c>
      <c r="H31" s="42">
        <v>38353</v>
      </c>
      <c r="I31" s="42">
        <v>38384</v>
      </c>
      <c r="J31" s="42">
        <v>38412</v>
      </c>
      <c r="K31" s="42">
        <v>38443</v>
      </c>
      <c r="L31" s="42">
        <v>38473</v>
      </c>
      <c r="M31" s="42">
        <v>38504</v>
      </c>
      <c r="O31" s="39"/>
      <c r="P31" s="39"/>
    </row>
    <row r="32" spans="1:16">
      <c r="A32" t="s">
        <v>13</v>
      </c>
      <c r="B32" s="77">
        <f>0+3+2</f>
        <v>5</v>
      </c>
      <c r="C32" s="77">
        <f>0+0+11</f>
        <v>11</v>
      </c>
      <c r="D32" s="77">
        <f>0+25+8</f>
        <v>33</v>
      </c>
      <c r="E32" s="77">
        <f>0+124+3</f>
        <v>127</v>
      </c>
      <c r="F32" s="77">
        <f>0+287+6</f>
        <v>293</v>
      </c>
      <c r="G32" s="78">
        <f>0+127+1</f>
        <v>128</v>
      </c>
      <c r="H32" s="77">
        <f>1+42+1</f>
        <v>44</v>
      </c>
      <c r="I32" s="77">
        <f>0+1984+25</f>
        <v>2009</v>
      </c>
      <c r="J32" s="77">
        <f>0+1466+10</f>
        <v>1476</v>
      </c>
      <c r="K32" s="77">
        <f>3+2337+21</f>
        <v>2361</v>
      </c>
      <c r="L32" s="77">
        <f>3+404+2</f>
        <v>409</v>
      </c>
      <c r="M32" s="79">
        <f>0+193+1</f>
        <v>194</v>
      </c>
      <c r="N32" s="26">
        <f>SUM(B32:M32)</f>
        <v>7090</v>
      </c>
      <c r="O32" s="39">
        <v>4536</v>
      </c>
      <c r="P32" s="39">
        <f>O32/N32</f>
        <v>0.6397743300423131</v>
      </c>
    </row>
    <row r="33" spans="1:16">
      <c r="A33" s="20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39"/>
      <c r="P33" s="39"/>
    </row>
    <row r="34" spans="1:16">
      <c r="A34" s="1" t="s">
        <v>34</v>
      </c>
      <c r="B34" s="41">
        <v>38169</v>
      </c>
      <c r="C34" s="42">
        <v>38200</v>
      </c>
      <c r="D34" s="42">
        <v>38231</v>
      </c>
      <c r="E34" s="42">
        <v>38261</v>
      </c>
      <c r="F34" s="42">
        <v>38292</v>
      </c>
      <c r="G34" s="42">
        <v>38322</v>
      </c>
      <c r="H34" s="42">
        <v>38353</v>
      </c>
      <c r="I34" s="42">
        <v>38384</v>
      </c>
      <c r="J34" s="42">
        <v>38412</v>
      </c>
      <c r="K34" s="42">
        <v>38443</v>
      </c>
      <c r="L34" s="42">
        <v>38473</v>
      </c>
      <c r="M34" s="42">
        <v>38504</v>
      </c>
      <c r="O34" s="39"/>
      <c r="P34" s="39"/>
    </row>
    <row r="35" spans="1:16">
      <c r="A35" t="s">
        <v>13</v>
      </c>
      <c r="B35" s="77">
        <f>0+0</f>
        <v>0</v>
      </c>
      <c r="C35" s="77">
        <f>0+0</f>
        <v>0</v>
      </c>
      <c r="D35" s="77">
        <f>0+0</f>
        <v>0</v>
      </c>
      <c r="E35" s="77">
        <f>0+68</f>
        <v>68</v>
      </c>
      <c r="F35" s="77">
        <f>1+240</f>
        <v>241</v>
      </c>
      <c r="G35" s="78">
        <f>0+78</f>
        <v>78</v>
      </c>
      <c r="H35" s="77">
        <f>0+19</f>
        <v>19</v>
      </c>
      <c r="I35" s="77">
        <f>3+89+3</f>
        <v>95</v>
      </c>
      <c r="J35" s="77">
        <f>0+127</f>
        <v>127</v>
      </c>
      <c r="K35" s="77">
        <f>0+180</f>
        <v>180</v>
      </c>
      <c r="L35" s="77">
        <f>0+201+1</f>
        <v>202</v>
      </c>
      <c r="M35" s="79">
        <f>0+48</f>
        <v>48</v>
      </c>
      <c r="N35" s="26">
        <f>SUM(B35:M35)</f>
        <v>1058</v>
      </c>
      <c r="O35" s="39">
        <v>1900</v>
      </c>
      <c r="P35" s="39">
        <f>O35/N35</f>
        <v>1.7958412098298677</v>
      </c>
    </row>
    <row r="36" spans="1:16">
      <c r="A36" s="20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39"/>
      <c r="P36" s="39"/>
    </row>
    <row r="37" spans="1:16">
      <c r="A37" s="1" t="s">
        <v>90</v>
      </c>
      <c r="B37" s="41">
        <v>38169</v>
      </c>
      <c r="C37" s="42">
        <v>38200</v>
      </c>
      <c r="D37" s="42">
        <v>38231</v>
      </c>
      <c r="E37" s="42">
        <v>38261</v>
      </c>
      <c r="F37" s="42">
        <v>38292</v>
      </c>
      <c r="G37" s="42">
        <v>38322</v>
      </c>
      <c r="H37" s="42">
        <v>38353</v>
      </c>
      <c r="I37" s="42">
        <v>38384</v>
      </c>
      <c r="J37" s="42">
        <v>38412</v>
      </c>
      <c r="K37" s="42">
        <v>38443</v>
      </c>
      <c r="L37" s="42">
        <v>38473</v>
      </c>
      <c r="M37" s="42">
        <v>38504</v>
      </c>
      <c r="O37" s="39"/>
      <c r="P37" s="39"/>
    </row>
    <row r="38" spans="1:16">
      <c r="A38" t="s">
        <v>13</v>
      </c>
      <c r="B38" s="77">
        <f>0+5+10</f>
        <v>15</v>
      </c>
      <c r="C38" s="77">
        <f>0+4</f>
        <v>4</v>
      </c>
      <c r="D38" s="77">
        <f>3+22</f>
        <v>25</v>
      </c>
      <c r="E38" s="77">
        <f>0+20</f>
        <v>20</v>
      </c>
      <c r="F38" s="77">
        <f>0+73</f>
        <v>73</v>
      </c>
      <c r="G38" s="78">
        <f>8+45</f>
        <v>53</v>
      </c>
      <c r="H38" s="77">
        <f>90+9</f>
        <v>99</v>
      </c>
      <c r="I38" s="77">
        <f>237+717+4</f>
        <v>958</v>
      </c>
      <c r="J38" s="77">
        <f>256+583+5</f>
        <v>844</v>
      </c>
      <c r="K38" s="77">
        <f>169+1150+24</f>
        <v>1343</v>
      </c>
      <c r="L38" s="77">
        <f>203+339+8</f>
        <v>550</v>
      </c>
      <c r="M38" s="79">
        <f>126+168+4</f>
        <v>298</v>
      </c>
      <c r="N38" s="26">
        <f>SUM(B38:M38)</f>
        <v>4282</v>
      </c>
      <c r="O38" s="39">
        <v>968</v>
      </c>
      <c r="P38" s="39">
        <f>O38/N38</f>
        <v>0.22606258757589912</v>
      </c>
    </row>
    <row r="39" spans="1:16">
      <c r="O39" s="39"/>
      <c r="P39" s="39"/>
    </row>
    <row r="40" spans="1:16">
      <c r="A40" s="1" t="s">
        <v>91</v>
      </c>
      <c r="B40" s="41">
        <v>38169</v>
      </c>
      <c r="C40" s="42">
        <v>38200</v>
      </c>
      <c r="D40" s="42">
        <v>38231</v>
      </c>
      <c r="E40" s="42">
        <v>38261</v>
      </c>
      <c r="F40" s="42">
        <v>38292</v>
      </c>
      <c r="G40" s="42">
        <v>38322</v>
      </c>
      <c r="H40" s="42">
        <v>38353</v>
      </c>
      <c r="I40" s="42">
        <v>38384</v>
      </c>
      <c r="J40" s="42">
        <v>38412</v>
      </c>
      <c r="K40" s="42">
        <v>38443</v>
      </c>
      <c r="L40" s="42">
        <v>38473</v>
      </c>
      <c r="M40" s="42">
        <v>38504</v>
      </c>
      <c r="O40" s="39"/>
      <c r="P40" s="39"/>
    </row>
    <row r="41" spans="1:16">
      <c r="A41" t="s">
        <v>13</v>
      </c>
      <c r="B41" s="77">
        <v>45</v>
      </c>
      <c r="C41" s="77">
        <f>6+1</f>
        <v>7</v>
      </c>
      <c r="D41" s="77">
        <f>12+1</f>
        <v>13</v>
      </c>
      <c r="E41" s="77">
        <v>226</v>
      </c>
      <c r="F41" s="77">
        <v>42</v>
      </c>
      <c r="G41" s="78">
        <v>63</v>
      </c>
      <c r="H41" s="77">
        <v>0</v>
      </c>
      <c r="I41" s="77">
        <f>77+3</f>
        <v>80</v>
      </c>
      <c r="J41" s="77">
        <f>127+4</f>
        <v>131</v>
      </c>
      <c r="K41" s="77">
        <f>138+2</f>
        <v>140</v>
      </c>
      <c r="L41" s="77">
        <f>82+5</f>
        <v>87</v>
      </c>
      <c r="M41" s="79">
        <f>34+3</f>
        <v>37</v>
      </c>
      <c r="N41" s="26">
        <f>SUM(B41:M41)</f>
        <v>871</v>
      </c>
      <c r="O41" s="39">
        <v>1585</v>
      </c>
      <c r="P41" s="39">
        <f>O41/N41</f>
        <v>1.8197474167623422</v>
      </c>
    </row>
    <row r="42" spans="1:16">
      <c r="O42" s="39"/>
      <c r="P42" s="39"/>
    </row>
    <row r="43" spans="1:16">
      <c r="A43" s="1" t="s">
        <v>92</v>
      </c>
      <c r="B43" s="41">
        <v>38169</v>
      </c>
      <c r="C43" s="42">
        <v>38200</v>
      </c>
      <c r="D43" s="42">
        <v>38231</v>
      </c>
      <c r="E43" s="42">
        <v>38261</v>
      </c>
      <c r="F43" s="42">
        <v>38292</v>
      </c>
      <c r="G43" s="42">
        <v>38322</v>
      </c>
      <c r="H43" s="42">
        <v>38353</v>
      </c>
      <c r="I43" s="42">
        <v>38384</v>
      </c>
      <c r="J43" s="42">
        <v>38412</v>
      </c>
      <c r="K43" s="42">
        <v>38443</v>
      </c>
      <c r="L43" s="42">
        <v>38473</v>
      </c>
      <c r="M43" s="42">
        <v>38504</v>
      </c>
      <c r="O43" s="39"/>
      <c r="P43" s="39"/>
    </row>
    <row r="44" spans="1:16">
      <c r="A44" t="s">
        <v>13</v>
      </c>
      <c r="B44" s="77">
        <f>0+1525+11</f>
        <v>1536</v>
      </c>
      <c r="C44" s="77">
        <f>1+1131+1</f>
        <v>1133</v>
      </c>
      <c r="D44" s="77">
        <f>0+2918</f>
        <v>2918</v>
      </c>
      <c r="E44" s="77">
        <f>0+4281</f>
        <v>4281</v>
      </c>
      <c r="F44" s="77">
        <f>0+5516+1</f>
        <v>5517</v>
      </c>
      <c r="G44" s="78">
        <f>0+2954</f>
        <v>2954</v>
      </c>
      <c r="H44" s="77">
        <f>1+1450</f>
        <v>1451</v>
      </c>
      <c r="I44" s="77">
        <f>0+3958+1</f>
        <v>3959</v>
      </c>
      <c r="J44" s="77">
        <f>0+4065+2</f>
        <v>4067</v>
      </c>
      <c r="K44" s="77">
        <f>3+4769+23</f>
        <v>4795</v>
      </c>
      <c r="L44" s="77">
        <f>3+2581+3</f>
        <v>2587</v>
      </c>
      <c r="M44" s="79">
        <f>0+1101+1</f>
        <v>1102</v>
      </c>
      <c r="N44" s="26">
        <f>SUM(B44:M44)</f>
        <v>36300</v>
      </c>
      <c r="O44" s="39">
        <v>14263</v>
      </c>
      <c r="P44" s="39">
        <f>O44/N44</f>
        <v>0.39292011019283746</v>
      </c>
    </row>
    <row r="45" spans="1:16">
      <c r="O45" s="39"/>
      <c r="P45" s="39"/>
    </row>
    <row r="46" spans="1:16">
      <c r="A46" s="1" t="s">
        <v>93</v>
      </c>
      <c r="B46" s="41">
        <v>38169</v>
      </c>
      <c r="C46" s="42">
        <v>38200</v>
      </c>
      <c r="D46" s="42">
        <v>38231</v>
      </c>
      <c r="E46" s="42">
        <v>38261</v>
      </c>
      <c r="F46" s="42">
        <v>38292</v>
      </c>
      <c r="G46" s="42">
        <v>38322</v>
      </c>
      <c r="H46" s="42">
        <v>38353</v>
      </c>
      <c r="I46" s="42">
        <v>38384</v>
      </c>
      <c r="J46" s="42">
        <v>38412</v>
      </c>
      <c r="K46" s="42">
        <v>38443</v>
      </c>
      <c r="L46" s="42">
        <v>38473</v>
      </c>
      <c r="M46" s="42">
        <v>38504</v>
      </c>
      <c r="O46" s="39"/>
      <c r="P46" s="39"/>
    </row>
    <row r="47" spans="1:16">
      <c r="A47" t="s">
        <v>13</v>
      </c>
      <c r="B47" s="77">
        <f>0+2+134</f>
        <v>136</v>
      </c>
      <c r="C47" s="77">
        <f>0+3+19</f>
        <v>22</v>
      </c>
      <c r="D47" s="77">
        <f>1+53+7</f>
        <v>61</v>
      </c>
      <c r="E47" s="77">
        <f>0+142+4</f>
        <v>146</v>
      </c>
      <c r="F47" s="77">
        <f>0+196+4</f>
        <v>200</v>
      </c>
      <c r="G47" s="78">
        <f>0+174</f>
        <v>174</v>
      </c>
      <c r="H47" s="77">
        <f>1+57</f>
        <v>58</v>
      </c>
      <c r="I47" s="77">
        <f>1+742+1</f>
        <v>744</v>
      </c>
      <c r="J47" s="77">
        <f>0+611+2</f>
        <v>613</v>
      </c>
      <c r="K47" s="77">
        <f>3+1145+23</f>
        <v>1171</v>
      </c>
      <c r="L47" s="77">
        <f>3+355+2</f>
        <v>360</v>
      </c>
      <c r="M47" s="79">
        <f>0+194+1</f>
        <v>195</v>
      </c>
      <c r="N47" s="26">
        <f>SUM(B47:M47)</f>
        <v>3880</v>
      </c>
      <c r="O47" s="39">
        <v>0</v>
      </c>
      <c r="P47" s="44" t="s">
        <v>41</v>
      </c>
    </row>
    <row r="48" spans="1:16">
      <c r="O48" s="39"/>
      <c r="P48" s="39"/>
    </row>
    <row r="49" spans="1:16">
      <c r="A49" s="1" t="s">
        <v>94</v>
      </c>
      <c r="B49" s="41">
        <v>38169</v>
      </c>
      <c r="C49" s="42">
        <v>38200</v>
      </c>
      <c r="D49" s="42">
        <v>38231</v>
      </c>
      <c r="E49" s="42">
        <v>38261</v>
      </c>
      <c r="F49" s="42">
        <v>38292</v>
      </c>
      <c r="G49" s="42">
        <v>38322</v>
      </c>
      <c r="H49" s="42">
        <v>38353</v>
      </c>
      <c r="I49" s="42">
        <v>38384</v>
      </c>
      <c r="J49" s="42">
        <v>38412</v>
      </c>
      <c r="K49" s="42">
        <v>38443</v>
      </c>
      <c r="L49" s="42">
        <v>38473</v>
      </c>
      <c r="M49" s="42">
        <v>38504</v>
      </c>
      <c r="O49" s="39"/>
      <c r="P49" s="39"/>
    </row>
    <row r="50" spans="1:16">
      <c r="A50" t="s">
        <v>13</v>
      </c>
      <c r="B50" s="77">
        <f>2+7+215</f>
        <v>224</v>
      </c>
      <c r="C50" s="77">
        <f>0+9+66</f>
        <v>75</v>
      </c>
      <c r="D50" s="77">
        <f>1+105+16</f>
        <v>122</v>
      </c>
      <c r="E50" s="77">
        <f>0+373+8</f>
        <v>381</v>
      </c>
      <c r="F50" s="77">
        <f>0+454+1</f>
        <v>455</v>
      </c>
      <c r="G50" s="78">
        <f>0+365+5</f>
        <v>370</v>
      </c>
      <c r="H50" s="77">
        <f>1+94+0</f>
        <v>95</v>
      </c>
      <c r="I50" s="77">
        <f>1+890+12</f>
        <v>903</v>
      </c>
      <c r="J50" s="77">
        <f>0+667+2</f>
        <v>669</v>
      </c>
      <c r="K50" s="77">
        <f>3+1464+22</f>
        <v>1489</v>
      </c>
      <c r="L50" s="77">
        <f>3+490+8</f>
        <v>501</v>
      </c>
      <c r="M50" s="79">
        <f>0+224+1</f>
        <v>225</v>
      </c>
      <c r="N50" s="26">
        <f>SUM(B50:M50)</f>
        <v>5509</v>
      </c>
      <c r="O50" s="39">
        <v>3693</v>
      </c>
      <c r="P50" s="39">
        <f>O50/N50</f>
        <v>0.67035759666001093</v>
      </c>
    </row>
    <row r="51" spans="1:16">
      <c r="O51" s="39"/>
      <c r="P51" s="39"/>
    </row>
    <row r="52" spans="1:16">
      <c r="A52" s="1" t="s">
        <v>95</v>
      </c>
      <c r="B52" s="41">
        <v>38169</v>
      </c>
      <c r="C52" s="42">
        <v>38200</v>
      </c>
      <c r="D52" s="42">
        <v>38231</v>
      </c>
      <c r="E52" s="42">
        <v>38261</v>
      </c>
      <c r="F52" s="42">
        <v>38292</v>
      </c>
      <c r="G52" s="42">
        <v>38322</v>
      </c>
      <c r="H52" s="42">
        <v>38353</v>
      </c>
      <c r="I52" s="42">
        <v>38384</v>
      </c>
      <c r="J52" s="42">
        <v>38412</v>
      </c>
      <c r="K52" s="42">
        <v>38443</v>
      </c>
      <c r="L52" s="42">
        <v>38473</v>
      </c>
      <c r="M52" s="42">
        <v>38504</v>
      </c>
      <c r="O52" s="39"/>
      <c r="P52" s="39"/>
    </row>
    <row r="53" spans="1:16">
      <c r="A53" t="s">
        <v>96</v>
      </c>
      <c r="B53" s="77">
        <f>430+633+201</f>
        <v>1264</v>
      </c>
      <c r="C53" s="77">
        <f>342+395+94</f>
        <v>831</v>
      </c>
      <c r="D53" s="77">
        <f>444+1712+106</f>
        <v>2262</v>
      </c>
      <c r="E53" s="77">
        <f>514+2881+42</f>
        <v>3437</v>
      </c>
      <c r="F53" s="77">
        <f>499+3812+79</f>
        <v>4390</v>
      </c>
      <c r="G53" s="78">
        <f>361+1816+35</f>
        <v>2212</v>
      </c>
      <c r="H53" s="77">
        <f>382+820+33</f>
        <v>1235</v>
      </c>
      <c r="I53" s="77">
        <f>415+2964+51</f>
        <v>3430</v>
      </c>
      <c r="J53" s="77">
        <f>474+2670+103</f>
        <v>3247</v>
      </c>
      <c r="K53" s="77">
        <f>428+4066+154</f>
        <v>4648</v>
      </c>
      <c r="L53" s="77">
        <f>332+1609+45</f>
        <v>1986</v>
      </c>
      <c r="M53" s="79">
        <f>226+892+24</f>
        <v>1142</v>
      </c>
      <c r="N53" s="26">
        <f>SUM(B53:M53)</f>
        <v>30084</v>
      </c>
      <c r="P53" s="39"/>
    </row>
    <row r="54" spans="1:16">
      <c r="A54" t="s">
        <v>13</v>
      </c>
      <c r="B54" s="77">
        <f>1364+1961+516</f>
        <v>3841</v>
      </c>
      <c r="C54" s="77">
        <f>1261+1608+252</f>
        <v>3121</v>
      </c>
      <c r="D54" s="77">
        <f>1143+4339+240</f>
        <v>5722</v>
      </c>
      <c r="E54" s="77">
        <f>1464+7325+83</f>
        <v>8872</v>
      </c>
      <c r="F54" s="77">
        <f>1557+9915+164</f>
        <v>11636</v>
      </c>
      <c r="G54" s="78">
        <f>1184+5397+89</f>
        <v>6670</v>
      </c>
      <c r="H54" s="77">
        <f>1118+2232+88</f>
        <v>3438</v>
      </c>
      <c r="I54" s="77">
        <f>1047+7089+91</f>
        <v>8227</v>
      </c>
      <c r="J54" s="77">
        <f>1634+7835+158</f>
        <v>9627</v>
      </c>
      <c r="K54" s="77">
        <f>1341+11791+363</f>
        <v>13495</v>
      </c>
      <c r="L54" s="77">
        <f>1068+5132+84</f>
        <v>6284</v>
      </c>
      <c r="M54" s="79">
        <f>626+2587+73</f>
        <v>3286</v>
      </c>
      <c r="N54" s="26">
        <f>SUM(B54:M54)</f>
        <v>84219</v>
      </c>
      <c r="O54" s="39">
        <f>SUM(O8:O51)</f>
        <v>46645</v>
      </c>
      <c r="P54" s="39">
        <f>O54/N54</f>
        <v>0.55385364347712507</v>
      </c>
    </row>
    <row r="55" spans="1:16">
      <c r="A55" s="24" t="s">
        <v>14</v>
      </c>
      <c r="B55" s="10">
        <f t="shared" ref="B55:M55" si="0">B54/B53</f>
        <v>3.0387658227848102</v>
      </c>
      <c r="C55" s="10">
        <f t="shared" si="0"/>
        <v>3.7557160048134777</v>
      </c>
      <c r="D55" s="10">
        <f t="shared" si="0"/>
        <v>2.5296198054818744</v>
      </c>
      <c r="E55" s="10">
        <f t="shared" si="0"/>
        <v>2.5813209194064592</v>
      </c>
      <c r="F55" s="10">
        <f t="shared" si="0"/>
        <v>2.6505694760820044</v>
      </c>
      <c r="G55" s="10">
        <f t="shared" si="0"/>
        <v>3.015370705244123</v>
      </c>
      <c r="H55" s="10">
        <f t="shared" si="0"/>
        <v>2.7838056680161944</v>
      </c>
      <c r="I55" s="10">
        <f t="shared" si="0"/>
        <v>2.398542274052478</v>
      </c>
      <c r="J55" s="10">
        <f t="shared" si="0"/>
        <v>2.9648906683092084</v>
      </c>
      <c r="K55" s="10">
        <f t="shared" si="0"/>
        <v>2.9033993115318415</v>
      </c>
      <c r="L55" s="10">
        <f t="shared" si="0"/>
        <v>3.1641490433031216</v>
      </c>
      <c r="M55" s="10">
        <f t="shared" si="0"/>
        <v>2.8774080560420314</v>
      </c>
      <c r="N55" s="9"/>
      <c r="O55" s="39"/>
      <c r="P55" s="39"/>
    </row>
    <row r="56" spans="1:16">
      <c r="A56" t="s">
        <v>18</v>
      </c>
      <c r="B56" s="77">
        <f>2085+4119+1060</f>
        <v>7264</v>
      </c>
      <c r="C56" s="77">
        <f>2311+3642+505</f>
        <v>6458</v>
      </c>
      <c r="D56" s="77">
        <f>1670+8862+365</f>
        <v>10897</v>
      </c>
      <c r="E56" s="77">
        <f>2387+14551+103</f>
        <v>17041</v>
      </c>
      <c r="F56" s="77">
        <f>2736+20548+188</f>
        <v>23472</v>
      </c>
      <c r="G56" s="78">
        <f>2535+11047+103</f>
        <v>13685</v>
      </c>
      <c r="H56" s="77">
        <f>3838+4919+92</f>
        <v>8849</v>
      </c>
      <c r="I56" s="77">
        <f>5850+27454+200</f>
        <v>33504</v>
      </c>
      <c r="J56" s="77">
        <f>8856+31049+222</f>
        <v>40127</v>
      </c>
      <c r="K56" s="77">
        <f>7224+47699+668</f>
        <v>55591</v>
      </c>
      <c r="L56" s="77">
        <f>5954+19891+173</f>
        <v>26018</v>
      </c>
      <c r="M56" s="79">
        <f>3548+10384+125</f>
        <v>14057</v>
      </c>
      <c r="N56" s="26">
        <f>SUM(B56:M56)</f>
        <v>256963</v>
      </c>
      <c r="O56" s="39"/>
      <c r="P56" s="39"/>
    </row>
    <row r="57" spans="1:16">
      <c r="O57" s="39"/>
      <c r="P57" s="39"/>
    </row>
  </sheetData>
  <phoneticPr fontId="2" type="noConversion"/>
  <pageMargins left="0.75" right="0.75" top="1" bottom="1" header="0.5" footer="0.5"/>
  <pageSetup scale="80" fitToHeight="4" orientation="landscape"/>
  <headerFooter>
    <oddFooter>&amp;L&amp;K000000CSA&amp;R&amp;K0000002004-05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63"/>
  <sheetViews>
    <sheetView workbookViewId="0">
      <selection activeCell="A60" sqref="A60"/>
    </sheetView>
  </sheetViews>
  <sheetFormatPr baseColWidth="10" defaultColWidth="8.83203125" defaultRowHeight="12" x14ac:dyDescent="0"/>
  <cols>
    <col min="1" max="1" width="21.6640625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7.33203125" bestFit="1" customWidth="1"/>
    <col min="15" max="15" width="9.6640625" bestFit="1" customWidth="1"/>
    <col min="16" max="16" width="8.33203125" bestFit="1" customWidth="1"/>
  </cols>
  <sheetData>
    <row r="1" spans="1:16" ht="18">
      <c r="A1" s="2" t="s">
        <v>73</v>
      </c>
    </row>
    <row r="2" spans="1:16" ht="17">
      <c r="A2" s="3" t="s">
        <v>99</v>
      </c>
    </row>
    <row r="4" spans="1:16" ht="30" customHeight="1">
      <c r="A4" s="108" t="s">
        <v>74</v>
      </c>
      <c r="B4" s="41">
        <v>38169</v>
      </c>
      <c r="C4" s="42">
        <v>38200</v>
      </c>
      <c r="D4" s="42">
        <v>38231</v>
      </c>
      <c r="E4" s="42">
        <v>38261</v>
      </c>
      <c r="F4" s="42">
        <v>38292</v>
      </c>
      <c r="G4" s="42">
        <v>38322</v>
      </c>
      <c r="H4" s="42">
        <v>38353</v>
      </c>
      <c r="I4" s="42">
        <v>38384</v>
      </c>
      <c r="J4" s="42">
        <v>38412</v>
      </c>
      <c r="K4" s="42">
        <v>38443</v>
      </c>
      <c r="L4" s="42">
        <v>38473</v>
      </c>
      <c r="M4" s="42">
        <v>38504</v>
      </c>
      <c r="N4" s="5" t="s">
        <v>10</v>
      </c>
      <c r="O4" s="5" t="s">
        <v>115</v>
      </c>
      <c r="P4" s="5" t="s">
        <v>206</v>
      </c>
    </row>
    <row r="5" spans="1:16">
      <c r="A5" s="1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39"/>
      <c r="P5" s="39"/>
    </row>
    <row r="6" spans="1:16">
      <c r="A6" t="s">
        <v>12</v>
      </c>
      <c r="B6" s="80">
        <v>8</v>
      </c>
      <c r="C6" s="80">
        <v>1224</v>
      </c>
      <c r="D6" s="80">
        <v>5858</v>
      </c>
      <c r="E6" s="80">
        <v>14893</v>
      </c>
      <c r="F6" s="80">
        <v>17666</v>
      </c>
      <c r="G6" s="80">
        <v>9894</v>
      </c>
      <c r="H6" s="80">
        <v>2281</v>
      </c>
      <c r="I6" s="80">
        <v>10084</v>
      </c>
      <c r="J6" s="80">
        <v>12403</v>
      </c>
      <c r="K6" s="80">
        <v>17208</v>
      </c>
      <c r="L6" s="80">
        <v>6952</v>
      </c>
      <c r="M6" s="81">
        <v>3405</v>
      </c>
      <c r="N6" s="26">
        <f>SUM(B6:M6)</f>
        <v>101876</v>
      </c>
      <c r="O6" s="84"/>
      <c r="P6" s="84"/>
    </row>
    <row r="7" spans="1:16">
      <c r="A7" t="s">
        <v>13</v>
      </c>
      <c r="B7" s="80">
        <v>8</v>
      </c>
      <c r="C7" s="80">
        <v>3450</v>
      </c>
      <c r="D7" s="80">
        <v>15883</v>
      </c>
      <c r="E7" s="80">
        <v>45228</v>
      </c>
      <c r="F7" s="80">
        <v>50984</v>
      </c>
      <c r="G7" s="80">
        <v>26729</v>
      </c>
      <c r="H7" s="80">
        <v>6760</v>
      </c>
      <c r="I7" s="80">
        <v>37116</v>
      </c>
      <c r="J7" s="80">
        <v>44800</v>
      </c>
      <c r="K7" s="80">
        <v>59492</v>
      </c>
      <c r="L7" s="80">
        <v>21967</v>
      </c>
      <c r="M7" s="81">
        <v>12311</v>
      </c>
      <c r="N7" s="26">
        <f>SUM(B7:M7)</f>
        <v>324728</v>
      </c>
      <c r="O7" s="84">
        <v>18075</v>
      </c>
      <c r="P7" s="84">
        <f>O7/N7</f>
        <v>5.5661969402084205E-2</v>
      </c>
    </row>
    <row r="8" spans="1:16" ht="24">
      <c r="A8" s="46" t="s">
        <v>120</v>
      </c>
      <c r="B8" s="80">
        <v>1</v>
      </c>
      <c r="C8" s="80">
        <v>2295</v>
      </c>
      <c r="D8" s="80">
        <v>10252</v>
      </c>
      <c r="E8" s="80">
        <v>27601</v>
      </c>
      <c r="F8" s="80">
        <v>35493</v>
      </c>
      <c r="G8" s="80">
        <v>21335</v>
      </c>
      <c r="H8" s="80">
        <v>5095</v>
      </c>
      <c r="I8" s="80">
        <v>23754</v>
      </c>
      <c r="J8" s="80">
        <v>31369</v>
      </c>
      <c r="K8" s="80">
        <v>43814</v>
      </c>
      <c r="L8" s="80">
        <v>16281</v>
      </c>
      <c r="M8" s="81">
        <v>7622</v>
      </c>
      <c r="N8" s="82">
        <f>SUM(B8:M8)</f>
        <v>224912</v>
      </c>
      <c r="O8" s="84">
        <v>18075</v>
      </c>
      <c r="P8" s="84">
        <f>O8/N8</f>
        <v>8.0364764885822004E-2</v>
      </c>
    </row>
    <row r="9" spans="1:16">
      <c r="E9" s="34"/>
      <c r="O9" s="84"/>
      <c r="P9" s="84"/>
    </row>
    <row r="10" spans="1:16">
      <c r="O10" s="84"/>
      <c r="P10" s="84"/>
    </row>
    <row r="11" spans="1:16" ht="26">
      <c r="A11" s="108" t="s">
        <v>125</v>
      </c>
      <c r="B11" s="4" t="s">
        <v>107</v>
      </c>
      <c r="C11" s="4" t="s">
        <v>108</v>
      </c>
      <c r="D11" s="4" t="s">
        <v>109</v>
      </c>
      <c r="E11" s="4" t="s">
        <v>110</v>
      </c>
      <c r="F11" s="4" t="s">
        <v>111</v>
      </c>
      <c r="G11" s="4" t="s">
        <v>9</v>
      </c>
      <c r="H11" s="4" t="s">
        <v>101</v>
      </c>
      <c r="I11" s="4" t="s">
        <v>102</v>
      </c>
      <c r="J11" s="4" t="s">
        <v>103</v>
      </c>
      <c r="K11" s="4" t="s">
        <v>104</v>
      </c>
      <c r="L11" s="4" t="s">
        <v>105</v>
      </c>
      <c r="M11" s="4" t="s">
        <v>106</v>
      </c>
      <c r="N11" s="5" t="s">
        <v>10</v>
      </c>
      <c r="O11" s="84"/>
      <c r="P11" s="84"/>
    </row>
    <row r="12" spans="1:16">
      <c r="A12" s="1" t="s">
        <v>11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4"/>
      <c r="P12" s="84"/>
    </row>
    <row r="13" spans="1:16">
      <c r="A13" t="s">
        <v>12</v>
      </c>
      <c r="B13" s="80">
        <v>0</v>
      </c>
      <c r="C13" s="80">
        <v>30</v>
      </c>
      <c r="D13" s="80">
        <v>259</v>
      </c>
      <c r="E13" s="80">
        <v>299</v>
      </c>
      <c r="F13" s="80">
        <v>369</v>
      </c>
      <c r="G13" s="80">
        <v>431</v>
      </c>
      <c r="H13" s="80">
        <v>4</v>
      </c>
      <c r="I13" s="80">
        <v>0</v>
      </c>
      <c r="J13" s="80">
        <v>0</v>
      </c>
      <c r="K13" s="80">
        <v>0</v>
      </c>
      <c r="L13" s="80">
        <v>0</v>
      </c>
      <c r="M13" s="81">
        <v>0</v>
      </c>
      <c r="N13" s="26">
        <f>SUM(B13:M13)</f>
        <v>1392</v>
      </c>
      <c r="O13" s="84"/>
      <c r="P13" s="84"/>
    </row>
    <row r="14" spans="1:16">
      <c r="A14" t="s">
        <v>13</v>
      </c>
      <c r="B14" s="80">
        <v>0</v>
      </c>
      <c r="C14" s="80">
        <v>33</v>
      </c>
      <c r="D14" s="80">
        <v>390</v>
      </c>
      <c r="E14" s="80">
        <v>535</v>
      </c>
      <c r="F14" s="80">
        <v>669</v>
      </c>
      <c r="G14" s="80">
        <v>800</v>
      </c>
      <c r="H14" s="80">
        <v>31</v>
      </c>
      <c r="I14" s="80">
        <v>0</v>
      </c>
      <c r="J14" s="80">
        <v>0</v>
      </c>
      <c r="K14" s="80">
        <v>0</v>
      </c>
      <c r="L14" s="80">
        <v>0</v>
      </c>
      <c r="M14" s="81">
        <v>0</v>
      </c>
      <c r="N14" s="26">
        <f>SUM(B14:M14)</f>
        <v>2458</v>
      </c>
      <c r="O14" s="84">
        <v>0</v>
      </c>
      <c r="P14" s="85" t="s">
        <v>41</v>
      </c>
    </row>
    <row r="15" spans="1:16" ht="24">
      <c r="A15" s="17" t="s">
        <v>126</v>
      </c>
      <c r="B15" s="80">
        <v>0</v>
      </c>
      <c r="C15" s="80">
        <v>0</v>
      </c>
      <c r="D15" s="80">
        <v>0</v>
      </c>
      <c r="E15" s="80">
        <v>0</v>
      </c>
      <c r="F15" s="80">
        <v>0</v>
      </c>
      <c r="G15" s="80">
        <v>0</v>
      </c>
      <c r="H15" s="80">
        <v>6</v>
      </c>
      <c r="I15" s="80">
        <v>0</v>
      </c>
      <c r="J15" s="80">
        <v>0</v>
      </c>
      <c r="K15" s="80">
        <v>0</v>
      </c>
      <c r="L15" s="80">
        <v>0</v>
      </c>
      <c r="M15" s="81">
        <v>0</v>
      </c>
      <c r="N15" s="82">
        <f>SUM(B15:M15)</f>
        <v>6</v>
      </c>
      <c r="O15" s="84" t="s">
        <v>205</v>
      </c>
      <c r="P15" s="84"/>
    </row>
    <row r="16" spans="1:16">
      <c r="O16" s="84"/>
      <c r="P16" s="84"/>
    </row>
    <row r="17" spans="1:16">
      <c r="O17" s="84"/>
      <c r="P17" s="84"/>
    </row>
    <row r="18" spans="1:16">
      <c r="I18" s="33"/>
      <c r="O18" s="84"/>
      <c r="P18" s="84"/>
    </row>
    <row r="19" spans="1:16" ht="13">
      <c r="A19" s="108" t="s">
        <v>64</v>
      </c>
      <c r="B19" s="41">
        <v>38169</v>
      </c>
      <c r="C19" s="42">
        <v>38200</v>
      </c>
      <c r="D19" s="42">
        <v>38231</v>
      </c>
      <c r="E19" s="42">
        <v>38261</v>
      </c>
      <c r="F19" s="42">
        <v>38292</v>
      </c>
      <c r="G19" s="42">
        <v>38322</v>
      </c>
      <c r="H19" s="42">
        <v>38353</v>
      </c>
      <c r="I19" s="42">
        <v>38384</v>
      </c>
      <c r="J19" s="42">
        <v>38412</v>
      </c>
      <c r="K19" s="42">
        <v>38443</v>
      </c>
      <c r="L19" s="42">
        <v>38473</v>
      </c>
      <c r="M19" s="42">
        <v>38504</v>
      </c>
      <c r="O19" s="84"/>
      <c r="P19" s="84"/>
    </row>
    <row r="20" spans="1:16">
      <c r="A20" t="s">
        <v>12</v>
      </c>
      <c r="B20" s="80">
        <v>0</v>
      </c>
      <c r="C20" s="80">
        <v>12</v>
      </c>
      <c r="D20" s="80">
        <v>60</v>
      </c>
      <c r="E20" s="80">
        <v>118</v>
      </c>
      <c r="F20" s="80">
        <v>149</v>
      </c>
      <c r="G20" s="80">
        <v>58</v>
      </c>
      <c r="H20" s="80">
        <v>18</v>
      </c>
      <c r="I20" s="80">
        <v>115</v>
      </c>
      <c r="J20" s="80">
        <v>104</v>
      </c>
      <c r="K20" s="80">
        <v>240</v>
      </c>
      <c r="L20" s="80">
        <v>73</v>
      </c>
      <c r="M20" s="81">
        <v>14</v>
      </c>
      <c r="N20" s="26">
        <f>SUM(B20:M20)</f>
        <v>961</v>
      </c>
      <c r="O20" s="84"/>
      <c r="P20" s="84"/>
    </row>
    <row r="21" spans="1:16">
      <c r="A21" t="s">
        <v>13</v>
      </c>
      <c r="B21" s="80">
        <v>0</v>
      </c>
      <c r="C21" s="80">
        <v>38</v>
      </c>
      <c r="D21" s="80">
        <v>194</v>
      </c>
      <c r="E21" s="80">
        <v>390</v>
      </c>
      <c r="F21" s="80">
        <v>510</v>
      </c>
      <c r="G21" s="80">
        <v>136</v>
      </c>
      <c r="H21" s="80">
        <v>50</v>
      </c>
      <c r="I21" s="80">
        <v>393</v>
      </c>
      <c r="J21" s="80">
        <v>323</v>
      </c>
      <c r="K21" s="80">
        <v>728</v>
      </c>
      <c r="L21" s="80">
        <v>235</v>
      </c>
      <c r="M21" s="81">
        <v>29</v>
      </c>
      <c r="N21" s="26">
        <f>SUM(B21:M21)</f>
        <v>3026</v>
      </c>
      <c r="O21" s="84">
        <v>0</v>
      </c>
      <c r="P21" s="84" t="s">
        <v>41</v>
      </c>
    </row>
    <row r="22" spans="1:16" ht="24">
      <c r="A22" s="17" t="s">
        <v>126</v>
      </c>
      <c r="B22" s="80">
        <v>0</v>
      </c>
      <c r="C22" s="80">
        <v>2</v>
      </c>
      <c r="D22" s="80">
        <v>16</v>
      </c>
      <c r="E22" s="80">
        <v>33</v>
      </c>
      <c r="F22" s="80">
        <v>16</v>
      </c>
      <c r="G22" s="80">
        <v>5</v>
      </c>
      <c r="H22" s="80">
        <v>4</v>
      </c>
      <c r="I22" s="80">
        <v>51</v>
      </c>
      <c r="J22" s="80">
        <v>27</v>
      </c>
      <c r="K22" s="80">
        <v>144</v>
      </c>
      <c r="L22" s="80">
        <v>55</v>
      </c>
      <c r="M22" s="81">
        <v>2</v>
      </c>
      <c r="N22" s="82">
        <f>SUM(B22:M22)</f>
        <v>355</v>
      </c>
      <c r="O22" s="84">
        <v>0</v>
      </c>
      <c r="P22" s="84" t="s">
        <v>41</v>
      </c>
    </row>
    <row r="23" spans="1:16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36"/>
      <c r="O23" s="84"/>
      <c r="P23" s="84"/>
    </row>
    <row r="24" spans="1:16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36"/>
      <c r="O24" s="84"/>
      <c r="P24" s="84"/>
    </row>
    <row r="25" spans="1:16">
      <c r="O25" s="84"/>
      <c r="P25" s="84"/>
    </row>
    <row r="26" spans="1:16" ht="26">
      <c r="A26" s="108" t="s">
        <v>117</v>
      </c>
      <c r="B26" s="41">
        <v>38169</v>
      </c>
      <c r="C26" s="42">
        <v>38200</v>
      </c>
      <c r="D26" s="42">
        <v>38231</v>
      </c>
      <c r="E26" s="42">
        <v>38261</v>
      </c>
      <c r="F26" s="42">
        <v>38292</v>
      </c>
      <c r="G26" s="42">
        <v>38322</v>
      </c>
      <c r="H26" s="42">
        <v>38353</v>
      </c>
      <c r="I26" s="42">
        <v>38384</v>
      </c>
      <c r="J26" s="42">
        <v>38412</v>
      </c>
      <c r="K26" s="42">
        <v>38443</v>
      </c>
      <c r="L26" s="42">
        <v>38473</v>
      </c>
      <c r="M26" s="42">
        <v>38504</v>
      </c>
      <c r="O26" s="84"/>
      <c r="P26" s="84"/>
    </row>
    <row r="27" spans="1:16">
      <c r="A27" t="s">
        <v>12</v>
      </c>
      <c r="B27" s="80">
        <v>0</v>
      </c>
      <c r="C27" s="80">
        <v>3</v>
      </c>
      <c r="D27" s="80">
        <v>28</v>
      </c>
      <c r="E27" s="80">
        <v>26</v>
      </c>
      <c r="F27" s="80">
        <v>40</v>
      </c>
      <c r="G27" s="80">
        <v>26</v>
      </c>
      <c r="H27" s="80">
        <v>8</v>
      </c>
      <c r="I27" s="80">
        <v>16</v>
      </c>
      <c r="J27" s="80">
        <v>39</v>
      </c>
      <c r="K27" s="80">
        <v>44</v>
      </c>
      <c r="L27" s="80">
        <v>33</v>
      </c>
      <c r="M27" s="81">
        <v>19</v>
      </c>
      <c r="N27" s="82">
        <f>SUM(B27:M27)</f>
        <v>282</v>
      </c>
      <c r="O27" s="84"/>
      <c r="P27" s="84"/>
    </row>
    <row r="28" spans="1:16">
      <c r="A28" t="s">
        <v>13</v>
      </c>
      <c r="B28" s="80">
        <v>0</v>
      </c>
      <c r="C28" s="80">
        <v>3</v>
      </c>
      <c r="D28" s="80">
        <v>75</v>
      </c>
      <c r="E28" s="80">
        <v>57</v>
      </c>
      <c r="F28" s="80">
        <v>104</v>
      </c>
      <c r="G28" s="80">
        <v>42</v>
      </c>
      <c r="H28" s="80">
        <v>21</v>
      </c>
      <c r="I28" s="80">
        <v>31</v>
      </c>
      <c r="J28" s="80">
        <v>101</v>
      </c>
      <c r="K28" s="80">
        <v>137</v>
      </c>
      <c r="L28" s="80">
        <v>122</v>
      </c>
      <c r="M28" s="81">
        <v>63</v>
      </c>
      <c r="N28" s="82">
        <f>SUM(B28:M28)</f>
        <v>756</v>
      </c>
      <c r="O28" s="84">
        <v>0</v>
      </c>
      <c r="P28" s="84" t="s">
        <v>41</v>
      </c>
    </row>
    <row r="29" spans="1:16" ht="24">
      <c r="A29" s="17" t="s">
        <v>126</v>
      </c>
      <c r="B29" s="47" t="s">
        <v>41</v>
      </c>
      <c r="C29" s="47" t="s">
        <v>41</v>
      </c>
      <c r="D29" s="47" t="s">
        <v>41</v>
      </c>
      <c r="E29" s="47" t="s">
        <v>41</v>
      </c>
      <c r="F29" s="47" t="s">
        <v>41</v>
      </c>
      <c r="G29" s="47" t="s">
        <v>41</v>
      </c>
      <c r="H29" s="47" t="s">
        <v>41</v>
      </c>
      <c r="I29" s="47" t="s">
        <v>41</v>
      </c>
      <c r="J29" s="47" t="s">
        <v>41</v>
      </c>
      <c r="K29" s="47" t="s">
        <v>41</v>
      </c>
      <c r="L29" s="47" t="s">
        <v>41</v>
      </c>
      <c r="M29" s="47" t="s">
        <v>41</v>
      </c>
      <c r="N29" s="83" t="s">
        <v>41</v>
      </c>
      <c r="O29" s="84">
        <v>0</v>
      </c>
      <c r="P29" s="84" t="s">
        <v>41</v>
      </c>
    </row>
    <row r="30" spans="1:16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0"/>
      <c r="O30" s="84"/>
      <c r="P30" s="84"/>
    </row>
    <row r="31" spans="1:16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0"/>
      <c r="O31" s="84"/>
      <c r="P31" s="84"/>
    </row>
    <row r="32" spans="1:16">
      <c r="O32" s="84"/>
      <c r="P32" s="84"/>
    </row>
    <row r="33" spans="1:16" ht="26">
      <c r="A33" s="108" t="s">
        <v>118</v>
      </c>
      <c r="B33" s="41">
        <v>38169</v>
      </c>
      <c r="C33" s="42">
        <v>38200</v>
      </c>
      <c r="D33" s="42">
        <v>38231</v>
      </c>
      <c r="E33" s="42">
        <v>38261</v>
      </c>
      <c r="F33" s="42">
        <v>38292</v>
      </c>
      <c r="G33" s="42">
        <v>38322</v>
      </c>
      <c r="H33" s="42">
        <v>38353</v>
      </c>
      <c r="I33" s="42">
        <v>38384</v>
      </c>
      <c r="J33" s="42">
        <v>38412</v>
      </c>
      <c r="K33" s="42">
        <v>38443</v>
      </c>
      <c r="L33" s="42">
        <v>38473</v>
      </c>
      <c r="M33" s="42">
        <v>38504</v>
      </c>
      <c r="O33" s="84"/>
      <c r="P33" s="84"/>
    </row>
    <row r="34" spans="1:16">
      <c r="A34" t="s">
        <v>12</v>
      </c>
      <c r="B34" s="80">
        <v>0</v>
      </c>
      <c r="C34" s="80">
        <v>5</v>
      </c>
      <c r="D34" s="80">
        <v>37</v>
      </c>
      <c r="E34" s="80">
        <v>96</v>
      </c>
      <c r="F34" s="80">
        <v>91</v>
      </c>
      <c r="G34" s="80">
        <v>43</v>
      </c>
      <c r="H34" s="80">
        <v>26</v>
      </c>
      <c r="I34" s="80">
        <v>51</v>
      </c>
      <c r="J34" s="80">
        <v>51</v>
      </c>
      <c r="K34" s="80">
        <v>90</v>
      </c>
      <c r="L34" s="80">
        <v>45</v>
      </c>
      <c r="M34" s="81">
        <v>22</v>
      </c>
      <c r="N34" s="82">
        <f>SUM(B34:M34)</f>
        <v>557</v>
      </c>
      <c r="O34" s="84"/>
      <c r="P34" s="84"/>
    </row>
    <row r="35" spans="1:16">
      <c r="A35" t="s">
        <v>13</v>
      </c>
      <c r="B35" s="80">
        <v>0</v>
      </c>
      <c r="C35" s="80">
        <v>4</v>
      </c>
      <c r="D35" s="80">
        <v>134</v>
      </c>
      <c r="E35" s="80">
        <v>308</v>
      </c>
      <c r="F35" s="80">
        <v>252</v>
      </c>
      <c r="G35" s="80">
        <v>87</v>
      </c>
      <c r="H35" s="80">
        <v>53</v>
      </c>
      <c r="I35" s="80">
        <v>119</v>
      </c>
      <c r="J35" s="80">
        <v>115</v>
      </c>
      <c r="K35" s="80">
        <v>289</v>
      </c>
      <c r="L35" s="80">
        <v>160</v>
      </c>
      <c r="M35" s="81">
        <v>49</v>
      </c>
      <c r="N35" s="82">
        <f>SUM(B35:M35)</f>
        <v>1570</v>
      </c>
      <c r="O35" s="84">
        <v>0</v>
      </c>
      <c r="P35" s="84" t="s">
        <v>41</v>
      </c>
    </row>
    <row r="36" spans="1:16" ht="24">
      <c r="A36" s="17" t="s">
        <v>126</v>
      </c>
      <c r="B36" s="80">
        <v>0</v>
      </c>
      <c r="C36" s="80">
        <v>2</v>
      </c>
      <c r="D36" s="80">
        <v>77</v>
      </c>
      <c r="E36" s="80">
        <v>165</v>
      </c>
      <c r="F36" s="80">
        <v>137</v>
      </c>
      <c r="G36" s="80">
        <v>118</v>
      </c>
      <c r="H36" s="80">
        <v>39</v>
      </c>
      <c r="I36" s="80">
        <v>109</v>
      </c>
      <c r="J36" s="80">
        <v>84</v>
      </c>
      <c r="K36" s="80">
        <v>217</v>
      </c>
      <c r="L36" s="80">
        <v>77</v>
      </c>
      <c r="M36" s="81">
        <v>45</v>
      </c>
      <c r="N36" s="82">
        <f>SUM(B36:M36)</f>
        <v>1070</v>
      </c>
      <c r="O36" s="84">
        <v>0</v>
      </c>
      <c r="P36" s="84" t="s">
        <v>41</v>
      </c>
    </row>
    <row r="37" spans="1:16"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0"/>
      <c r="O37" s="84"/>
      <c r="P37" s="84"/>
    </row>
    <row r="38" spans="1:16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0"/>
      <c r="O38" s="84"/>
      <c r="P38" s="84"/>
    </row>
    <row r="39" spans="1:16">
      <c r="A39" s="43"/>
      <c r="O39" s="84"/>
      <c r="P39" s="84"/>
    </row>
    <row r="40" spans="1:16" ht="13">
      <c r="A40" s="108" t="s">
        <v>119</v>
      </c>
      <c r="B40" s="41">
        <v>38169</v>
      </c>
      <c r="C40" s="42">
        <v>38200</v>
      </c>
      <c r="D40" s="42">
        <v>38231</v>
      </c>
      <c r="E40" s="42">
        <v>38261</v>
      </c>
      <c r="F40" s="42">
        <v>38292</v>
      </c>
      <c r="G40" s="42">
        <v>38322</v>
      </c>
      <c r="H40" s="42">
        <v>38353</v>
      </c>
      <c r="I40" s="42">
        <v>38384</v>
      </c>
      <c r="J40" s="42">
        <v>38412</v>
      </c>
      <c r="K40" s="42">
        <v>38443</v>
      </c>
      <c r="L40" s="42">
        <v>38473</v>
      </c>
      <c r="M40" s="42">
        <v>38504</v>
      </c>
      <c r="O40" s="84"/>
      <c r="P40" s="84"/>
    </row>
    <row r="41" spans="1:16">
      <c r="A41" t="s">
        <v>12</v>
      </c>
      <c r="B41" s="80">
        <v>0</v>
      </c>
      <c r="C41" s="80">
        <v>1</v>
      </c>
      <c r="D41" s="80">
        <v>26</v>
      </c>
      <c r="E41" s="80">
        <v>52</v>
      </c>
      <c r="F41" s="80">
        <v>77</v>
      </c>
      <c r="G41" s="80">
        <v>51</v>
      </c>
      <c r="H41" s="80">
        <v>16</v>
      </c>
      <c r="I41" s="80">
        <v>35</v>
      </c>
      <c r="J41" s="80">
        <v>73</v>
      </c>
      <c r="K41" s="80">
        <v>167</v>
      </c>
      <c r="L41" s="80">
        <v>55</v>
      </c>
      <c r="M41" s="81">
        <v>9</v>
      </c>
      <c r="N41" s="82">
        <f>SUM(B41:M41)</f>
        <v>562</v>
      </c>
      <c r="O41" s="84"/>
      <c r="P41" s="84"/>
    </row>
    <row r="42" spans="1:16">
      <c r="A42" t="s">
        <v>13</v>
      </c>
      <c r="B42" s="80">
        <v>0</v>
      </c>
      <c r="C42" s="80">
        <v>6</v>
      </c>
      <c r="D42" s="80">
        <v>45</v>
      </c>
      <c r="E42" s="80">
        <v>135</v>
      </c>
      <c r="F42" s="80">
        <v>187</v>
      </c>
      <c r="G42" s="80">
        <v>73</v>
      </c>
      <c r="H42" s="80">
        <v>52</v>
      </c>
      <c r="I42" s="80">
        <v>98</v>
      </c>
      <c r="J42" s="80">
        <v>161</v>
      </c>
      <c r="K42" s="80">
        <v>351</v>
      </c>
      <c r="L42" s="80">
        <v>146</v>
      </c>
      <c r="M42" s="81">
        <v>21</v>
      </c>
      <c r="N42" s="82">
        <f>SUM(B42:M42)</f>
        <v>1275</v>
      </c>
      <c r="O42" s="84">
        <v>0</v>
      </c>
      <c r="P42" s="84" t="s">
        <v>41</v>
      </c>
    </row>
    <row r="43" spans="1:16" ht="24">
      <c r="A43" s="17" t="s">
        <v>126</v>
      </c>
      <c r="B43" s="80">
        <v>0</v>
      </c>
      <c r="C43" s="80">
        <v>0</v>
      </c>
      <c r="D43" s="80">
        <v>24</v>
      </c>
      <c r="E43" s="80">
        <v>67</v>
      </c>
      <c r="F43" s="80">
        <v>117</v>
      </c>
      <c r="G43" s="80">
        <v>51</v>
      </c>
      <c r="H43" s="80">
        <v>7</v>
      </c>
      <c r="I43" s="80">
        <v>33</v>
      </c>
      <c r="J43" s="80">
        <v>124</v>
      </c>
      <c r="K43" s="80">
        <v>221</v>
      </c>
      <c r="L43" s="80">
        <v>99</v>
      </c>
      <c r="M43" s="81">
        <v>9</v>
      </c>
      <c r="N43" s="82">
        <f>SUM(B43:M43)</f>
        <v>752</v>
      </c>
      <c r="O43" s="84">
        <v>0</v>
      </c>
      <c r="P43" s="84" t="s">
        <v>41</v>
      </c>
    </row>
    <row r="44" spans="1:16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0"/>
      <c r="O44" s="84"/>
      <c r="P44" s="84"/>
    </row>
    <row r="45" spans="1:16">
      <c r="O45" s="84"/>
      <c r="P45" s="84"/>
    </row>
    <row r="46" spans="1:16">
      <c r="O46" s="84"/>
      <c r="P46" s="84"/>
    </row>
    <row r="47" spans="1:16" ht="13">
      <c r="A47" s="108" t="s">
        <v>116</v>
      </c>
      <c r="B47" s="41">
        <v>38169</v>
      </c>
      <c r="C47" s="42">
        <v>38200</v>
      </c>
      <c r="D47" s="42">
        <v>38231</v>
      </c>
      <c r="E47" s="42">
        <v>38261</v>
      </c>
      <c r="F47" s="42">
        <v>38292</v>
      </c>
      <c r="G47" s="42">
        <v>38322</v>
      </c>
      <c r="H47" s="42">
        <v>38353</v>
      </c>
      <c r="I47" s="42">
        <v>38384</v>
      </c>
      <c r="J47" s="42">
        <v>38412</v>
      </c>
      <c r="K47" s="42">
        <v>38443</v>
      </c>
      <c r="L47" s="42">
        <v>38473</v>
      </c>
      <c r="M47" s="42">
        <v>38504</v>
      </c>
      <c r="O47" s="84"/>
      <c r="P47" s="84"/>
    </row>
    <row r="48" spans="1:16">
      <c r="A48" t="s">
        <v>12</v>
      </c>
      <c r="B48" s="80">
        <v>0</v>
      </c>
      <c r="C48" s="80">
        <v>7</v>
      </c>
      <c r="D48" s="80">
        <v>33</v>
      </c>
      <c r="E48" s="80">
        <v>93</v>
      </c>
      <c r="F48" s="80">
        <v>86</v>
      </c>
      <c r="G48" s="80">
        <v>52</v>
      </c>
      <c r="H48" s="80">
        <v>8</v>
      </c>
      <c r="I48" s="80">
        <v>55</v>
      </c>
      <c r="J48" s="80">
        <v>59</v>
      </c>
      <c r="K48" s="80">
        <v>90</v>
      </c>
      <c r="L48" s="80">
        <v>53</v>
      </c>
      <c r="M48" s="81">
        <v>26</v>
      </c>
      <c r="N48" s="82">
        <f>SUM(B48:M48)</f>
        <v>562</v>
      </c>
      <c r="O48" s="84"/>
      <c r="P48" s="84"/>
    </row>
    <row r="49" spans="1:16">
      <c r="A49" t="s">
        <v>13</v>
      </c>
      <c r="B49" s="80">
        <v>0</v>
      </c>
      <c r="C49" s="80">
        <v>15</v>
      </c>
      <c r="D49" s="80">
        <v>114</v>
      </c>
      <c r="E49" s="80">
        <v>321</v>
      </c>
      <c r="F49" s="80">
        <v>273</v>
      </c>
      <c r="G49" s="80">
        <v>155</v>
      </c>
      <c r="H49" s="80">
        <v>16</v>
      </c>
      <c r="I49" s="80">
        <v>243</v>
      </c>
      <c r="J49" s="80">
        <v>263</v>
      </c>
      <c r="K49" s="80">
        <v>417</v>
      </c>
      <c r="L49" s="80">
        <v>259</v>
      </c>
      <c r="M49" s="81">
        <v>103</v>
      </c>
      <c r="N49" s="82">
        <f>SUM(B49:M49)</f>
        <v>2179</v>
      </c>
      <c r="O49" s="84">
        <v>0</v>
      </c>
      <c r="P49" s="84" t="s">
        <v>41</v>
      </c>
    </row>
    <row r="50" spans="1:16" ht="24">
      <c r="A50" s="17" t="s">
        <v>126</v>
      </c>
      <c r="B50" s="80">
        <v>0</v>
      </c>
      <c r="C50" s="80">
        <v>0</v>
      </c>
      <c r="D50" s="80">
        <v>22</v>
      </c>
      <c r="E50" s="80">
        <v>47</v>
      </c>
      <c r="F50" s="80">
        <v>59</v>
      </c>
      <c r="G50" s="80">
        <v>26</v>
      </c>
      <c r="H50" s="80">
        <v>1</v>
      </c>
      <c r="I50" s="80">
        <v>35</v>
      </c>
      <c r="J50" s="80">
        <v>32</v>
      </c>
      <c r="K50" s="80">
        <v>42</v>
      </c>
      <c r="L50" s="80">
        <v>40</v>
      </c>
      <c r="M50" s="81">
        <v>14</v>
      </c>
      <c r="N50" s="82">
        <f>SUM(B50:M50)</f>
        <v>318</v>
      </c>
      <c r="O50" s="84">
        <v>0</v>
      </c>
      <c r="P50" s="84" t="s">
        <v>41</v>
      </c>
    </row>
    <row r="51" spans="1:16">
      <c r="O51" s="84"/>
      <c r="P51" s="84"/>
    </row>
    <row r="52" spans="1:16">
      <c r="O52" s="84"/>
      <c r="P52" s="84"/>
    </row>
    <row r="53" spans="1:16" ht="13">
      <c r="A53" s="108" t="s">
        <v>75</v>
      </c>
      <c r="B53" s="41">
        <v>38169</v>
      </c>
      <c r="C53" s="41">
        <v>38200</v>
      </c>
      <c r="D53" s="41">
        <v>38231</v>
      </c>
      <c r="E53" s="41">
        <v>38261</v>
      </c>
      <c r="F53" s="41">
        <v>38292</v>
      </c>
      <c r="G53" s="41">
        <v>38322</v>
      </c>
      <c r="H53" s="41">
        <v>38353</v>
      </c>
      <c r="I53" s="41">
        <v>38384</v>
      </c>
      <c r="J53" s="41">
        <v>38412</v>
      </c>
      <c r="K53" s="41">
        <v>38443</v>
      </c>
      <c r="L53" s="41">
        <v>38473</v>
      </c>
      <c r="M53" s="41">
        <v>38504</v>
      </c>
      <c r="N53" s="5" t="s">
        <v>10</v>
      </c>
      <c r="O53" s="84"/>
      <c r="P53" s="84"/>
    </row>
    <row r="54" spans="1:16">
      <c r="A54" s="1" t="s">
        <v>11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84"/>
      <c r="P54" s="84"/>
    </row>
    <row r="55" spans="1:16">
      <c r="A55" t="s">
        <v>12</v>
      </c>
      <c r="B55" s="80">
        <v>1</v>
      </c>
      <c r="C55" s="80">
        <v>1</v>
      </c>
      <c r="D55" s="80">
        <v>24</v>
      </c>
      <c r="E55" s="80">
        <v>74</v>
      </c>
      <c r="F55" s="80">
        <v>39</v>
      </c>
      <c r="G55" s="80">
        <v>16</v>
      </c>
      <c r="H55" s="80">
        <v>5</v>
      </c>
      <c r="I55" s="80">
        <v>67</v>
      </c>
      <c r="J55" s="80">
        <v>26</v>
      </c>
      <c r="K55" s="80">
        <v>57</v>
      </c>
      <c r="L55" s="80">
        <v>10</v>
      </c>
      <c r="M55" s="81">
        <v>4</v>
      </c>
      <c r="N55" s="82">
        <f>SUM(B55:M55)</f>
        <v>324</v>
      </c>
      <c r="O55" s="84"/>
      <c r="P55" s="84"/>
    </row>
    <row r="56" spans="1:16">
      <c r="A56" t="s">
        <v>13</v>
      </c>
      <c r="B56" s="80">
        <v>0</v>
      </c>
      <c r="C56" s="80">
        <v>1</v>
      </c>
      <c r="D56" s="80">
        <v>53</v>
      </c>
      <c r="E56" s="80">
        <v>200</v>
      </c>
      <c r="F56" s="80">
        <v>65</v>
      </c>
      <c r="G56" s="80">
        <v>40</v>
      </c>
      <c r="H56" s="80">
        <v>5</v>
      </c>
      <c r="I56" s="80">
        <v>305</v>
      </c>
      <c r="J56" s="80">
        <v>108</v>
      </c>
      <c r="K56" s="80">
        <v>297</v>
      </c>
      <c r="L56" s="80">
        <v>33</v>
      </c>
      <c r="M56" s="81">
        <v>23</v>
      </c>
      <c r="N56" s="82">
        <f>SUM(B56:M56)</f>
        <v>1130</v>
      </c>
      <c r="O56" s="84">
        <v>2700</v>
      </c>
      <c r="P56" s="84">
        <f>O56/N56</f>
        <v>2.3893805309734515</v>
      </c>
    </row>
    <row r="57" spans="1:16">
      <c r="O57" s="84"/>
      <c r="P57" s="84"/>
    </row>
    <row r="58" spans="1:16">
      <c r="O58" s="84"/>
      <c r="P58" s="84"/>
    </row>
    <row r="59" spans="1:16">
      <c r="O59" s="84"/>
      <c r="P59" s="84"/>
    </row>
    <row r="60" spans="1:16" ht="13">
      <c r="A60" s="108" t="s">
        <v>124</v>
      </c>
      <c r="B60" s="41">
        <v>38169</v>
      </c>
      <c r="C60" s="42">
        <v>38200</v>
      </c>
      <c r="D60" s="42">
        <v>38231</v>
      </c>
      <c r="E60" s="42">
        <v>38261</v>
      </c>
      <c r="F60" s="42">
        <v>38292</v>
      </c>
      <c r="G60" s="42">
        <v>38322</v>
      </c>
      <c r="H60" s="42">
        <v>38353</v>
      </c>
      <c r="I60" s="42">
        <v>38384</v>
      </c>
      <c r="J60" s="42">
        <v>38412</v>
      </c>
      <c r="K60" s="42">
        <v>38443</v>
      </c>
      <c r="L60" s="42">
        <v>38473</v>
      </c>
      <c r="M60" s="42">
        <v>38504</v>
      </c>
      <c r="O60" s="84"/>
      <c r="P60" s="84"/>
    </row>
    <row r="61" spans="1:16">
      <c r="A61" t="s">
        <v>12</v>
      </c>
      <c r="B61" s="80">
        <v>7</v>
      </c>
      <c r="C61" s="80">
        <v>2088</v>
      </c>
      <c r="D61" s="80">
        <v>9336</v>
      </c>
      <c r="E61" s="80">
        <v>21647</v>
      </c>
      <c r="F61" s="80">
        <v>25489</v>
      </c>
      <c r="G61" s="80">
        <v>14363</v>
      </c>
      <c r="H61" s="80">
        <v>3189</v>
      </c>
      <c r="I61" s="80">
        <v>12595</v>
      </c>
      <c r="J61" s="80">
        <v>15004</v>
      </c>
      <c r="K61" s="80">
        <v>21248</v>
      </c>
      <c r="L61" s="80">
        <v>8451</v>
      </c>
      <c r="M61" s="81">
        <v>4147</v>
      </c>
      <c r="N61" s="82">
        <f>SUM(B61:M61)</f>
        <v>137564</v>
      </c>
      <c r="O61" s="84"/>
      <c r="P61" s="84"/>
    </row>
    <row r="62" spans="1:16">
      <c r="A62" t="s">
        <v>13</v>
      </c>
      <c r="B62" s="80">
        <v>5</v>
      </c>
      <c r="C62" s="80">
        <v>3587</v>
      </c>
      <c r="D62" s="80">
        <v>17273</v>
      </c>
      <c r="E62" s="80">
        <v>48446</v>
      </c>
      <c r="F62" s="80">
        <v>54942</v>
      </c>
      <c r="G62" s="80">
        <v>29279</v>
      </c>
      <c r="H62" s="80">
        <v>7012</v>
      </c>
      <c r="I62" s="80">
        <v>38317</v>
      </c>
      <c r="J62" s="80">
        <v>45911</v>
      </c>
      <c r="K62" s="80">
        <v>61901</v>
      </c>
      <c r="L62" s="80">
        <v>23008</v>
      </c>
      <c r="M62" s="81">
        <v>12671</v>
      </c>
      <c r="N62" s="82">
        <f>SUM(B62:M62)</f>
        <v>342352</v>
      </c>
      <c r="O62" s="84">
        <f>O7+O56</f>
        <v>20775</v>
      </c>
      <c r="P62" s="84">
        <f>O62/N62</f>
        <v>6.0683156517268778E-2</v>
      </c>
    </row>
    <row r="63" spans="1:16" ht="24">
      <c r="A63" s="17" t="s">
        <v>126</v>
      </c>
      <c r="B63" s="80">
        <v>1</v>
      </c>
      <c r="C63" s="80">
        <v>2336</v>
      </c>
      <c r="D63" s="80">
        <v>10585</v>
      </c>
      <c r="E63" s="80">
        <v>28528</v>
      </c>
      <c r="F63" s="80">
        <v>36907</v>
      </c>
      <c r="G63" s="80">
        <v>22382</v>
      </c>
      <c r="H63" s="80">
        <v>5169</v>
      </c>
      <c r="I63" s="80">
        <v>23931</v>
      </c>
      <c r="J63" s="80">
        <v>31609</v>
      </c>
      <c r="K63" s="80">
        <v>44294</v>
      </c>
      <c r="L63" s="80">
        <v>16497</v>
      </c>
      <c r="M63" s="81">
        <v>7690</v>
      </c>
      <c r="N63" s="82">
        <f>SUM(B63:M63)</f>
        <v>229929</v>
      </c>
      <c r="O63" s="84">
        <f>O62</f>
        <v>20775</v>
      </c>
      <c r="P63" s="84">
        <f>O63/N63</f>
        <v>9.035397883694532E-2</v>
      </c>
    </row>
  </sheetData>
  <phoneticPr fontId="2" type="noConversion"/>
  <pageMargins left="0.75" right="0.75" top="1" bottom="1" header="0.5" footer="0.5"/>
  <pageSetup scale="89" fitToHeight="3" orientation="landscape"/>
  <headerFooter>
    <oddFooter>&amp;L&amp;K000000EBSCOhost&amp;R&amp;K0000002004-05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20"/>
  <sheetViews>
    <sheetView workbookViewId="0">
      <selection activeCell="A5" sqref="A5"/>
    </sheetView>
  </sheetViews>
  <sheetFormatPr baseColWidth="10" defaultColWidth="8.83203125" defaultRowHeight="12" x14ac:dyDescent="0"/>
  <cols>
    <col min="1" max="1" width="17.83203125" bestFit="1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5.5" bestFit="1" customWidth="1"/>
    <col min="15" max="15" width="8" bestFit="1" customWidth="1"/>
    <col min="16" max="16" width="8.33203125" bestFit="1" customWidth="1"/>
  </cols>
  <sheetData>
    <row r="1" spans="1:16" ht="18">
      <c r="A1" s="2" t="s">
        <v>61</v>
      </c>
    </row>
    <row r="2" spans="1:16" ht="17">
      <c r="A2" s="3" t="s">
        <v>99</v>
      </c>
    </row>
    <row r="5" spans="1:16" ht="36">
      <c r="A5" s="108" t="s">
        <v>100</v>
      </c>
      <c r="B5" s="41">
        <v>38169</v>
      </c>
      <c r="C5" s="41">
        <v>38200</v>
      </c>
      <c r="D5" s="41">
        <v>38231</v>
      </c>
      <c r="E5" s="41">
        <v>38261</v>
      </c>
      <c r="F5" s="41">
        <v>38292</v>
      </c>
      <c r="G5" s="41">
        <v>38322</v>
      </c>
      <c r="H5" s="41">
        <v>38353</v>
      </c>
      <c r="I5" s="41">
        <v>38384</v>
      </c>
      <c r="J5" s="41">
        <v>38412</v>
      </c>
      <c r="K5" s="41">
        <v>38443</v>
      </c>
      <c r="L5" s="41">
        <v>38473</v>
      </c>
      <c r="M5" s="41">
        <v>38504</v>
      </c>
      <c r="N5" s="5" t="s">
        <v>10</v>
      </c>
      <c r="O5" s="38" t="s">
        <v>113</v>
      </c>
      <c r="P5" s="38" t="s">
        <v>114</v>
      </c>
    </row>
    <row r="6" spans="1:16">
      <c r="A6" s="1" t="s">
        <v>11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6">
      <c r="A7" t="s">
        <v>12</v>
      </c>
      <c r="B7" s="48">
        <v>55</v>
      </c>
      <c r="C7" s="48">
        <v>19</v>
      </c>
      <c r="D7" s="48">
        <v>127</v>
      </c>
      <c r="E7" s="48">
        <v>376</v>
      </c>
      <c r="F7" s="48">
        <v>151</v>
      </c>
      <c r="G7" s="48">
        <v>61</v>
      </c>
      <c r="H7" s="48">
        <v>29</v>
      </c>
      <c r="I7" s="48">
        <v>95</v>
      </c>
      <c r="J7" s="48">
        <v>369</v>
      </c>
      <c r="K7" s="48">
        <v>274</v>
      </c>
      <c r="L7" s="48">
        <v>121</v>
      </c>
      <c r="M7" s="48">
        <v>11</v>
      </c>
      <c r="N7" s="26">
        <f>SUM(B7:M7)</f>
        <v>1688</v>
      </c>
      <c r="O7" s="39"/>
      <c r="P7" s="39"/>
    </row>
    <row r="8" spans="1:16">
      <c r="A8" t="s">
        <v>13</v>
      </c>
      <c r="B8" s="48">
        <v>29</v>
      </c>
      <c r="C8" s="48">
        <v>6</v>
      </c>
      <c r="D8" s="48">
        <v>76</v>
      </c>
      <c r="E8" s="48">
        <v>247</v>
      </c>
      <c r="F8" s="48">
        <v>388</v>
      </c>
      <c r="G8" s="48">
        <v>168</v>
      </c>
      <c r="H8" s="48">
        <v>115</v>
      </c>
      <c r="I8" s="48">
        <v>239</v>
      </c>
      <c r="J8" s="48">
        <v>267</v>
      </c>
      <c r="K8" s="48">
        <v>166</v>
      </c>
      <c r="L8" s="48">
        <v>72</v>
      </c>
      <c r="M8" s="48">
        <v>9</v>
      </c>
      <c r="N8" s="26">
        <f>SUM(B8:M8)</f>
        <v>1782</v>
      </c>
      <c r="O8" s="39">
        <v>313</v>
      </c>
      <c r="P8" s="39">
        <f>O8/N8</f>
        <v>0.17564534231200898</v>
      </c>
    </row>
    <row r="16" spans="1:16">
      <c r="I16" s="31"/>
    </row>
    <row r="17" spans="9:9">
      <c r="I17" s="32"/>
    </row>
    <row r="18" spans="9:9">
      <c r="I18" s="33"/>
    </row>
    <row r="19" spans="9:9">
      <c r="I19" s="33"/>
    </row>
    <row r="20" spans="9:9">
      <c r="I20" s="33"/>
    </row>
  </sheetData>
  <phoneticPr fontId="2" type="noConversion"/>
  <pageMargins left="0.75" right="0.75" top="1" bottom="1" header="0.5" footer="0.5"/>
  <pageSetup scale="95" fitToHeight="2" orientation="landscape"/>
  <headerFooter>
    <oddFooter>&amp;L&amp;K000000FamilyIndex&amp;R&amp;K0000002004-05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92"/>
  <sheetViews>
    <sheetView workbookViewId="0"/>
  </sheetViews>
  <sheetFormatPr baseColWidth="10" defaultColWidth="8.83203125" defaultRowHeight="12" x14ac:dyDescent="0"/>
  <cols>
    <col min="1" max="1" width="19.83203125" bestFit="1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6.33203125" bestFit="1" customWidth="1"/>
    <col min="15" max="15" width="10.5" customWidth="1"/>
    <col min="16" max="16" width="8.5" bestFit="1" customWidth="1"/>
  </cols>
  <sheetData>
    <row r="1" spans="1:16" ht="18">
      <c r="A1" s="2" t="s">
        <v>42</v>
      </c>
    </row>
    <row r="2" spans="1:16" ht="17">
      <c r="A2" s="3" t="s">
        <v>99</v>
      </c>
    </row>
    <row r="4" spans="1:16" ht="24">
      <c r="A4" s="13" t="s">
        <v>43</v>
      </c>
      <c r="B4" s="41">
        <v>38169</v>
      </c>
      <c r="C4" s="41">
        <v>38200</v>
      </c>
      <c r="D4" s="41">
        <v>38231</v>
      </c>
      <c r="E4" s="41">
        <v>38261</v>
      </c>
      <c r="F4" s="41">
        <v>38292</v>
      </c>
      <c r="G4" s="41">
        <v>38322</v>
      </c>
      <c r="H4" s="41">
        <v>38353</v>
      </c>
      <c r="I4" s="41">
        <v>38384</v>
      </c>
      <c r="J4" s="41">
        <v>38412</v>
      </c>
      <c r="K4" s="41">
        <v>38443</v>
      </c>
      <c r="L4" s="41">
        <v>38473</v>
      </c>
      <c r="M4" s="41">
        <v>38504</v>
      </c>
      <c r="N4" s="14"/>
      <c r="O4" s="38" t="s">
        <v>113</v>
      </c>
      <c r="P4" s="38" t="s">
        <v>114</v>
      </c>
    </row>
    <row r="5" spans="1:16">
      <c r="A5" t="s">
        <v>13</v>
      </c>
      <c r="B5" s="48">
        <v>3</v>
      </c>
      <c r="C5" s="48">
        <v>0</v>
      </c>
      <c r="D5" s="48">
        <v>13</v>
      </c>
      <c r="E5" s="48">
        <v>26</v>
      </c>
      <c r="F5" s="48">
        <v>3</v>
      </c>
      <c r="G5" s="48">
        <v>2</v>
      </c>
      <c r="H5" s="48">
        <v>0</v>
      </c>
      <c r="I5" s="48">
        <v>5</v>
      </c>
      <c r="J5" s="48">
        <v>27</v>
      </c>
      <c r="K5" s="48">
        <v>0</v>
      </c>
      <c r="L5" s="48">
        <v>0</v>
      </c>
      <c r="M5" s="48">
        <v>0</v>
      </c>
      <c r="N5" s="26">
        <f>SUM(B5:M5)</f>
        <v>79</v>
      </c>
      <c r="O5" s="39">
        <v>79</v>
      </c>
      <c r="P5" s="86">
        <v>1</v>
      </c>
    </row>
    <row r="6" spans="1:16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0"/>
    </row>
    <row r="7" spans="1:16" ht="24">
      <c r="A7" s="43" t="s">
        <v>55</v>
      </c>
      <c r="B7" s="41">
        <v>38169</v>
      </c>
      <c r="C7" s="41">
        <v>38200</v>
      </c>
      <c r="D7" s="41">
        <v>38231</v>
      </c>
      <c r="E7" s="41">
        <v>38261</v>
      </c>
      <c r="F7" s="41">
        <v>38292</v>
      </c>
      <c r="G7" s="41">
        <v>38322</v>
      </c>
      <c r="H7" s="41">
        <v>38353</v>
      </c>
      <c r="I7" s="41">
        <v>38384</v>
      </c>
      <c r="J7" s="41">
        <v>38412</v>
      </c>
      <c r="K7" s="41">
        <v>38443</v>
      </c>
      <c r="L7" s="41">
        <v>38473</v>
      </c>
      <c r="M7" s="41">
        <v>38504</v>
      </c>
      <c r="O7" s="38"/>
      <c r="P7" s="38"/>
    </row>
    <row r="8" spans="1:16">
      <c r="A8" t="s">
        <v>13</v>
      </c>
      <c r="B8" s="48">
        <v>1</v>
      </c>
      <c r="C8" s="48">
        <v>0</v>
      </c>
      <c r="D8" s="48">
        <v>5</v>
      </c>
      <c r="E8" s="48">
        <v>10</v>
      </c>
      <c r="F8" s="48">
        <v>0</v>
      </c>
      <c r="G8" s="48">
        <v>0</v>
      </c>
      <c r="H8" s="48">
        <v>0</v>
      </c>
      <c r="I8" s="48">
        <v>11</v>
      </c>
      <c r="J8" s="48">
        <v>1</v>
      </c>
      <c r="K8" s="48">
        <v>0</v>
      </c>
      <c r="L8" s="48">
        <v>0</v>
      </c>
      <c r="M8" s="48">
        <v>0</v>
      </c>
      <c r="N8" s="26">
        <f>SUM(B8:M8)</f>
        <v>28</v>
      </c>
      <c r="O8" s="39">
        <v>28</v>
      </c>
      <c r="P8" s="86">
        <v>1</v>
      </c>
    </row>
    <row r="9" spans="1:16"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0"/>
    </row>
    <row r="10" spans="1:16">
      <c r="A10" s="1" t="s">
        <v>54</v>
      </c>
      <c r="B10" s="41">
        <v>38169</v>
      </c>
      <c r="C10" s="41">
        <v>38200</v>
      </c>
      <c r="D10" s="41">
        <v>38231</v>
      </c>
      <c r="E10" s="41">
        <v>38261</v>
      </c>
      <c r="F10" s="41">
        <v>38292</v>
      </c>
      <c r="G10" s="41">
        <v>38322</v>
      </c>
      <c r="H10" s="41">
        <v>38353</v>
      </c>
      <c r="I10" s="41">
        <v>38384</v>
      </c>
      <c r="J10" s="41">
        <v>38412</v>
      </c>
      <c r="K10" s="41">
        <v>38443</v>
      </c>
      <c r="L10" s="41">
        <v>38473</v>
      </c>
      <c r="M10" s="41">
        <v>38504</v>
      </c>
      <c r="O10" s="38"/>
      <c r="P10" s="38"/>
    </row>
    <row r="11" spans="1:16">
      <c r="A11" t="s">
        <v>12</v>
      </c>
      <c r="B11" s="48">
        <v>215</v>
      </c>
      <c r="C11" s="48">
        <v>116</v>
      </c>
      <c r="D11" s="48">
        <v>458</v>
      </c>
      <c r="E11" s="48">
        <v>671</v>
      </c>
      <c r="F11" s="48">
        <v>730</v>
      </c>
      <c r="G11" s="48">
        <v>485</v>
      </c>
      <c r="H11" s="48">
        <v>171</v>
      </c>
      <c r="I11" s="48">
        <v>505</v>
      </c>
      <c r="J11" s="48">
        <v>629</v>
      </c>
      <c r="K11" s="48">
        <v>828</v>
      </c>
      <c r="L11" s="48">
        <v>410</v>
      </c>
      <c r="M11" s="48">
        <v>232</v>
      </c>
      <c r="N11" s="26">
        <f>SUM(B11:M11)</f>
        <v>5450</v>
      </c>
    </row>
    <row r="12" spans="1:16">
      <c r="A12" t="s">
        <v>13</v>
      </c>
      <c r="B12" s="48">
        <v>881</v>
      </c>
      <c r="C12" s="48">
        <v>576</v>
      </c>
      <c r="D12" s="48">
        <v>1212</v>
      </c>
      <c r="E12" s="48">
        <v>1595</v>
      </c>
      <c r="F12" s="48">
        <v>1764</v>
      </c>
      <c r="G12" s="48">
        <v>912</v>
      </c>
      <c r="H12" s="48">
        <v>287</v>
      </c>
      <c r="I12" s="48">
        <v>1292</v>
      </c>
      <c r="J12" s="48">
        <v>1714</v>
      </c>
      <c r="K12" s="48">
        <v>1784</v>
      </c>
      <c r="L12" s="48">
        <v>1000</v>
      </c>
      <c r="M12" s="48">
        <v>917</v>
      </c>
      <c r="N12" s="26">
        <f>SUM(B12:M12)</f>
        <v>13934</v>
      </c>
      <c r="O12" s="39">
        <v>0</v>
      </c>
      <c r="P12" s="87" t="s">
        <v>41</v>
      </c>
    </row>
    <row r="13" spans="1:16">
      <c r="A13" s="25" t="s">
        <v>121</v>
      </c>
      <c r="B13" s="48">
        <v>2</v>
      </c>
      <c r="C13" s="48">
        <v>2</v>
      </c>
      <c r="D13" s="48">
        <v>2</v>
      </c>
      <c r="E13" s="48">
        <v>2</v>
      </c>
      <c r="F13" s="48">
        <v>2</v>
      </c>
      <c r="G13" s="48">
        <v>2</v>
      </c>
      <c r="H13" s="48">
        <v>2</v>
      </c>
      <c r="I13" s="48">
        <v>2</v>
      </c>
      <c r="J13" s="48">
        <v>2</v>
      </c>
      <c r="K13" s="48">
        <v>2</v>
      </c>
      <c r="L13" s="48">
        <v>2</v>
      </c>
      <c r="M13" s="48">
        <v>2</v>
      </c>
      <c r="N13" s="26"/>
    </row>
    <row r="14" spans="1:16">
      <c r="A14" s="20" t="s">
        <v>22</v>
      </c>
      <c r="B14" s="48">
        <v>6</v>
      </c>
      <c r="C14" s="48">
        <v>7</v>
      </c>
      <c r="D14" s="48">
        <v>86</v>
      </c>
      <c r="E14" s="48">
        <v>90</v>
      </c>
      <c r="F14" s="48">
        <v>86</v>
      </c>
      <c r="G14" s="48">
        <v>29</v>
      </c>
      <c r="H14" s="48">
        <v>3</v>
      </c>
      <c r="I14" s="48">
        <v>64</v>
      </c>
      <c r="J14" s="48">
        <v>181</v>
      </c>
      <c r="K14" s="48">
        <v>170</v>
      </c>
      <c r="L14" s="48">
        <v>41</v>
      </c>
      <c r="M14" s="48">
        <v>19</v>
      </c>
      <c r="N14" s="26">
        <f>SUM(B14:M14)</f>
        <v>782</v>
      </c>
    </row>
    <row r="15" spans="1:1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14"/>
    </row>
    <row r="16" spans="1:16">
      <c r="A16" s="1" t="s">
        <v>53</v>
      </c>
      <c r="B16" s="41">
        <v>38169</v>
      </c>
      <c r="C16" s="41">
        <v>38200</v>
      </c>
      <c r="D16" s="41">
        <v>38231</v>
      </c>
      <c r="E16" s="41">
        <v>38261</v>
      </c>
      <c r="F16" s="41">
        <v>38292</v>
      </c>
      <c r="G16" s="41">
        <v>38322</v>
      </c>
      <c r="H16" s="41">
        <v>38353</v>
      </c>
      <c r="I16" s="41">
        <v>38384</v>
      </c>
      <c r="J16" s="41">
        <v>38412</v>
      </c>
      <c r="K16" s="41">
        <v>38443</v>
      </c>
      <c r="L16" s="41">
        <v>38473</v>
      </c>
      <c r="M16" s="41">
        <v>38504</v>
      </c>
      <c r="O16" s="38"/>
      <c r="P16" s="38"/>
    </row>
    <row r="17" spans="1:16">
      <c r="A17" t="s">
        <v>12</v>
      </c>
      <c r="B17" s="48">
        <v>152</v>
      </c>
      <c r="C17" s="48">
        <v>27</v>
      </c>
      <c r="D17" s="48">
        <v>281</v>
      </c>
      <c r="E17" s="48">
        <v>538</v>
      </c>
      <c r="F17" s="48">
        <v>465</v>
      </c>
      <c r="G17" s="48">
        <v>316</v>
      </c>
      <c r="H17" s="48">
        <v>86</v>
      </c>
      <c r="I17" s="48">
        <v>398</v>
      </c>
      <c r="J17" s="48">
        <v>396</v>
      </c>
      <c r="K17" s="48">
        <v>422</v>
      </c>
      <c r="L17" s="48">
        <v>144</v>
      </c>
      <c r="M17" s="48">
        <v>118</v>
      </c>
      <c r="N17" s="26">
        <f>SUM(B17:M17)</f>
        <v>3343</v>
      </c>
    </row>
    <row r="18" spans="1:16">
      <c r="A18" t="s">
        <v>13</v>
      </c>
      <c r="B18" s="48">
        <v>344</v>
      </c>
      <c r="C18" s="48">
        <v>57</v>
      </c>
      <c r="D18" s="48">
        <v>713</v>
      </c>
      <c r="E18" s="48">
        <v>1354</v>
      </c>
      <c r="F18" s="48">
        <v>1060</v>
      </c>
      <c r="G18" s="48">
        <v>910</v>
      </c>
      <c r="H18" s="48">
        <v>175</v>
      </c>
      <c r="I18" s="48">
        <v>1175</v>
      </c>
      <c r="J18" s="48">
        <v>1001</v>
      </c>
      <c r="K18" s="48">
        <v>1195</v>
      </c>
      <c r="L18" s="48">
        <v>335</v>
      </c>
      <c r="M18" s="48">
        <v>275</v>
      </c>
      <c r="N18" s="26">
        <f>SUM(B18:M18)</f>
        <v>8594</v>
      </c>
      <c r="O18" s="39">
        <v>0</v>
      </c>
      <c r="P18" s="87" t="s">
        <v>41</v>
      </c>
    </row>
    <row r="19" spans="1:16">
      <c r="A19" s="25" t="s">
        <v>121</v>
      </c>
      <c r="B19" s="103">
        <v>2</v>
      </c>
      <c r="C19" s="103">
        <v>2</v>
      </c>
      <c r="D19" s="103">
        <v>2</v>
      </c>
      <c r="E19" s="103">
        <v>2</v>
      </c>
      <c r="F19" s="103">
        <v>2</v>
      </c>
      <c r="G19" s="103">
        <v>2</v>
      </c>
      <c r="H19" s="103">
        <v>2</v>
      </c>
      <c r="I19" s="103">
        <v>2</v>
      </c>
      <c r="J19" s="103">
        <v>2</v>
      </c>
      <c r="K19" s="103">
        <v>2</v>
      </c>
      <c r="L19" s="103">
        <v>2</v>
      </c>
      <c r="M19" s="103">
        <v>2</v>
      </c>
      <c r="N19" s="26"/>
    </row>
    <row r="20" spans="1:16">
      <c r="A20" s="20" t="s">
        <v>22</v>
      </c>
      <c r="B20" s="103">
        <v>13</v>
      </c>
      <c r="C20" s="103">
        <v>1</v>
      </c>
      <c r="D20" s="103">
        <v>243</v>
      </c>
      <c r="E20" s="103">
        <v>120</v>
      </c>
      <c r="F20" s="103">
        <v>112</v>
      </c>
      <c r="G20" s="103">
        <v>56</v>
      </c>
      <c r="H20" s="103">
        <v>37</v>
      </c>
      <c r="I20" s="103">
        <v>103</v>
      </c>
      <c r="J20" s="103">
        <v>121</v>
      </c>
      <c r="K20" s="103">
        <v>54</v>
      </c>
      <c r="L20" s="103">
        <v>4</v>
      </c>
      <c r="M20" s="103">
        <v>16</v>
      </c>
      <c r="N20" s="26">
        <f>SUM(B20:M20)</f>
        <v>880</v>
      </c>
    </row>
    <row r="21" spans="1:16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14"/>
    </row>
    <row r="22" spans="1:16" ht="24">
      <c r="A22" s="43" t="s">
        <v>122</v>
      </c>
      <c r="B22" s="41">
        <v>38169</v>
      </c>
      <c r="C22" s="41">
        <v>38200</v>
      </c>
      <c r="D22" s="41">
        <v>38231</v>
      </c>
      <c r="E22" s="41">
        <v>38261</v>
      </c>
      <c r="F22" s="41">
        <v>38292</v>
      </c>
      <c r="G22" s="41">
        <v>38322</v>
      </c>
      <c r="H22" s="41">
        <v>38353</v>
      </c>
      <c r="I22" s="41">
        <v>38384</v>
      </c>
      <c r="J22" s="41">
        <v>38412</v>
      </c>
      <c r="K22" s="41">
        <v>38443</v>
      </c>
      <c r="L22" s="41">
        <v>38473</v>
      </c>
      <c r="M22" s="41">
        <v>38504</v>
      </c>
      <c r="O22" s="38"/>
      <c r="P22" s="38"/>
    </row>
    <row r="23" spans="1:16">
      <c r="A23" t="s">
        <v>12</v>
      </c>
      <c r="B23" s="103">
        <v>42</v>
      </c>
      <c r="C23" s="103">
        <v>18</v>
      </c>
      <c r="D23" s="103">
        <v>146</v>
      </c>
      <c r="E23" s="103">
        <v>169</v>
      </c>
      <c r="F23" s="103">
        <v>157</v>
      </c>
      <c r="G23" s="103">
        <v>74</v>
      </c>
      <c r="H23" s="103">
        <v>32</v>
      </c>
      <c r="I23" s="103">
        <v>116</v>
      </c>
      <c r="J23" s="103">
        <v>134</v>
      </c>
      <c r="K23" s="103">
        <v>174</v>
      </c>
      <c r="L23" s="103">
        <v>75</v>
      </c>
      <c r="M23" s="103">
        <v>42</v>
      </c>
      <c r="N23" s="26">
        <f>SUM(B23:M23)</f>
        <v>1179</v>
      </c>
    </row>
    <row r="24" spans="1:16">
      <c r="A24" t="s">
        <v>13</v>
      </c>
      <c r="B24" s="103">
        <v>56</v>
      </c>
      <c r="C24" s="103">
        <v>21</v>
      </c>
      <c r="D24" s="103">
        <v>197</v>
      </c>
      <c r="E24" s="103">
        <v>273</v>
      </c>
      <c r="F24" s="103">
        <v>218</v>
      </c>
      <c r="G24" s="103">
        <v>87</v>
      </c>
      <c r="H24" s="103">
        <v>39</v>
      </c>
      <c r="I24" s="103">
        <v>185</v>
      </c>
      <c r="J24" s="103">
        <v>162</v>
      </c>
      <c r="K24" s="103">
        <v>240</v>
      </c>
      <c r="L24" s="103">
        <v>126</v>
      </c>
      <c r="M24" s="103">
        <v>50</v>
      </c>
      <c r="N24" s="26">
        <f>SUM(B24:M24)</f>
        <v>1654</v>
      </c>
      <c r="O24" s="39">
        <v>0</v>
      </c>
      <c r="P24" s="87" t="s">
        <v>41</v>
      </c>
    </row>
    <row r="25" spans="1:16">
      <c r="A25" s="25" t="s">
        <v>121</v>
      </c>
      <c r="B25" s="103">
        <v>2</v>
      </c>
      <c r="C25" s="103">
        <v>2</v>
      </c>
      <c r="D25" s="103">
        <v>2</v>
      </c>
      <c r="E25" s="103">
        <v>2</v>
      </c>
      <c r="F25" s="103">
        <v>2</v>
      </c>
      <c r="G25" s="103">
        <v>2</v>
      </c>
      <c r="H25" s="103">
        <v>2</v>
      </c>
      <c r="I25" s="103">
        <v>2</v>
      </c>
      <c r="J25" s="103">
        <v>2</v>
      </c>
      <c r="K25" s="103">
        <v>2</v>
      </c>
      <c r="L25" s="103">
        <v>2</v>
      </c>
      <c r="M25" s="103">
        <v>2</v>
      </c>
      <c r="N25" s="26"/>
    </row>
    <row r="26" spans="1:16">
      <c r="A26" s="20" t="s">
        <v>22</v>
      </c>
      <c r="B26" s="103">
        <v>0</v>
      </c>
      <c r="C26" s="103">
        <v>0</v>
      </c>
      <c r="D26" s="103">
        <v>5</v>
      </c>
      <c r="E26" s="103">
        <v>3</v>
      </c>
      <c r="F26" s="103">
        <v>0</v>
      </c>
      <c r="G26" s="103">
        <v>1</v>
      </c>
      <c r="H26" s="103">
        <v>6</v>
      </c>
      <c r="I26" s="103">
        <v>1</v>
      </c>
      <c r="J26" s="103">
        <v>5</v>
      </c>
      <c r="K26" s="103">
        <v>2</v>
      </c>
      <c r="L26" s="103">
        <v>2</v>
      </c>
      <c r="M26" s="103">
        <v>0</v>
      </c>
      <c r="N26" s="26">
        <f>SUM(B26:M26)</f>
        <v>25</v>
      </c>
    </row>
    <row r="27" spans="1:1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14"/>
    </row>
    <row r="28" spans="1:16">
      <c r="A28" s="1" t="s">
        <v>52</v>
      </c>
      <c r="B28" s="41">
        <v>38169</v>
      </c>
      <c r="C28" s="41">
        <v>38200</v>
      </c>
      <c r="D28" s="41">
        <v>38231</v>
      </c>
      <c r="E28" s="41">
        <v>38261</v>
      </c>
      <c r="F28" s="41">
        <v>38292</v>
      </c>
      <c r="G28" s="41">
        <v>38322</v>
      </c>
      <c r="H28" s="41">
        <v>38353</v>
      </c>
      <c r="I28" s="41">
        <v>38384</v>
      </c>
      <c r="J28" s="41">
        <v>38412</v>
      </c>
      <c r="K28" s="41">
        <v>38443</v>
      </c>
      <c r="L28" s="41">
        <v>38473</v>
      </c>
      <c r="M28" s="41">
        <v>38504</v>
      </c>
      <c r="O28" s="38"/>
      <c r="P28" s="38"/>
    </row>
    <row r="29" spans="1:16">
      <c r="A29" t="s">
        <v>13</v>
      </c>
      <c r="B29" s="103">
        <v>9</v>
      </c>
      <c r="C29" s="103">
        <v>7</v>
      </c>
      <c r="D29" s="103">
        <v>11</v>
      </c>
      <c r="E29" s="103">
        <v>11</v>
      </c>
      <c r="F29" s="103">
        <v>15</v>
      </c>
      <c r="G29" s="103">
        <v>2</v>
      </c>
      <c r="H29" s="103">
        <v>0</v>
      </c>
      <c r="I29" s="103">
        <v>3</v>
      </c>
      <c r="J29" s="103">
        <v>2</v>
      </c>
      <c r="K29" s="103">
        <v>8</v>
      </c>
      <c r="L29" s="103">
        <v>2</v>
      </c>
      <c r="M29" s="103">
        <v>2</v>
      </c>
      <c r="N29" s="26">
        <f>SUM(B29:M29)</f>
        <v>72</v>
      </c>
      <c r="O29" s="39">
        <v>72</v>
      </c>
      <c r="P29" s="86">
        <v>1</v>
      </c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4"/>
    </row>
    <row r="31" spans="1:16">
      <c r="A31" s="20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6">
      <c r="A32" s="1" t="s">
        <v>51</v>
      </c>
      <c r="B32" s="41">
        <v>38169</v>
      </c>
      <c r="C32" s="41">
        <v>38200</v>
      </c>
      <c r="D32" s="41">
        <v>38231</v>
      </c>
      <c r="E32" s="41">
        <v>38261</v>
      </c>
      <c r="F32" s="41">
        <v>38292</v>
      </c>
      <c r="G32" s="41">
        <v>38322</v>
      </c>
      <c r="H32" s="41">
        <v>38353</v>
      </c>
      <c r="I32" s="41">
        <v>38384</v>
      </c>
      <c r="J32" s="41">
        <v>38412</v>
      </c>
      <c r="K32" s="41">
        <v>38443</v>
      </c>
      <c r="L32" s="41">
        <v>38473</v>
      </c>
      <c r="M32" s="41">
        <v>38504</v>
      </c>
      <c r="O32" s="38"/>
      <c r="P32" s="38"/>
    </row>
    <row r="33" spans="1:16">
      <c r="A33" t="s">
        <v>12</v>
      </c>
      <c r="B33" s="103">
        <v>14</v>
      </c>
      <c r="C33" s="103">
        <v>6</v>
      </c>
      <c r="D33" s="103">
        <v>22</v>
      </c>
      <c r="E33" s="103">
        <v>41</v>
      </c>
      <c r="F33" s="103">
        <v>42</v>
      </c>
      <c r="G33" s="103">
        <v>22</v>
      </c>
      <c r="H33" s="103">
        <v>18</v>
      </c>
      <c r="I33" s="103">
        <v>33</v>
      </c>
      <c r="J33" s="103">
        <v>45</v>
      </c>
      <c r="K33" s="103">
        <v>46</v>
      </c>
      <c r="L33" s="103">
        <v>11</v>
      </c>
      <c r="M33" s="103">
        <v>10</v>
      </c>
      <c r="N33" s="26">
        <f>SUM(B33:M33)</f>
        <v>310</v>
      </c>
    </row>
    <row r="34" spans="1:16">
      <c r="A34" t="s">
        <v>13</v>
      </c>
      <c r="B34" s="103">
        <v>22</v>
      </c>
      <c r="C34" s="103">
        <v>16</v>
      </c>
      <c r="D34" s="103">
        <v>36</v>
      </c>
      <c r="E34" s="103">
        <v>74</v>
      </c>
      <c r="F34" s="103">
        <v>59</v>
      </c>
      <c r="G34" s="103">
        <v>48</v>
      </c>
      <c r="H34" s="103">
        <v>28</v>
      </c>
      <c r="I34" s="103">
        <v>39</v>
      </c>
      <c r="J34" s="103">
        <v>46</v>
      </c>
      <c r="K34" s="103">
        <v>56</v>
      </c>
      <c r="L34" s="103">
        <v>17</v>
      </c>
      <c r="M34" s="103">
        <v>8</v>
      </c>
      <c r="N34" s="26">
        <f>SUM(B34:M34)</f>
        <v>449</v>
      </c>
      <c r="O34" s="39">
        <v>0</v>
      </c>
      <c r="P34" s="87" t="s">
        <v>41</v>
      </c>
    </row>
    <row r="35" spans="1:16">
      <c r="A35" s="20" t="s">
        <v>121</v>
      </c>
      <c r="B35" s="103">
        <v>2</v>
      </c>
      <c r="C35" s="103">
        <v>2</v>
      </c>
      <c r="D35" s="103">
        <v>2</v>
      </c>
      <c r="E35" s="103">
        <v>2</v>
      </c>
      <c r="F35" s="103">
        <v>2</v>
      </c>
      <c r="G35" s="103">
        <v>2</v>
      </c>
      <c r="H35" s="103">
        <v>2</v>
      </c>
      <c r="I35" s="103">
        <v>2</v>
      </c>
      <c r="J35" s="103">
        <v>2</v>
      </c>
      <c r="K35" s="103">
        <v>2</v>
      </c>
      <c r="L35" s="103">
        <v>2</v>
      </c>
      <c r="M35" s="103">
        <v>2</v>
      </c>
      <c r="N35" s="26"/>
    </row>
    <row r="36" spans="1:16">
      <c r="A36" s="20" t="s">
        <v>22</v>
      </c>
      <c r="B36" s="103">
        <v>2</v>
      </c>
      <c r="C36" s="103">
        <v>0</v>
      </c>
      <c r="D36" s="103">
        <v>0</v>
      </c>
      <c r="E36" s="103">
        <v>0</v>
      </c>
      <c r="F36" s="103">
        <v>4</v>
      </c>
      <c r="G36" s="103">
        <v>0</v>
      </c>
      <c r="H36" s="103">
        <v>0</v>
      </c>
      <c r="I36" s="103">
        <v>0</v>
      </c>
      <c r="J36" s="103">
        <v>0</v>
      </c>
      <c r="K36" s="103">
        <v>0</v>
      </c>
      <c r="L36" s="103">
        <v>0</v>
      </c>
      <c r="M36" s="103">
        <v>0</v>
      </c>
      <c r="N36" s="26">
        <f>SUM(B36:M36)</f>
        <v>6</v>
      </c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4"/>
    </row>
    <row r="38" spans="1:16">
      <c r="A38" s="20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6">
      <c r="A39" s="1" t="s">
        <v>50</v>
      </c>
      <c r="B39" s="41">
        <v>38169</v>
      </c>
      <c r="C39" s="41">
        <v>38200</v>
      </c>
      <c r="D39" s="41">
        <v>38231</v>
      </c>
      <c r="E39" s="41">
        <v>38261</v>
      </c>
      <c r="F39" s="41">
        <v>38292</v>
      </c>
      <c r="G39" s="41">
        <v>38322</v>
      </c>
      <c r="H39" s="41">
        <v>38353</v>
      </c>
      <c r="I39" s="41">
        <v>38384</v>
      </c>
      <c r="J39" s="41">
        <v>38412</v>
      </c>
      <c r="K39" s="41">
        <v>38443</v>
      </c>
      <c r="L39" s="41">
        <v>38473</v>
      </c>
      <c r="M39" s="41">
        <v>38504</v>
      </c>
      <c r="O39" s="38"/>
      <c r="P39" s="38"/>
    </row>
    <row r="40" spans="1:16">
      <c r="A40" t="s">
        <v>12</v>
      </c>
      <c r="B40" s="103">
        <v>73</v>
      </c>
      <c r="C40" s="103">
        <v>63</v>
      </c>
      <c r="D40" s="103">
        <v>265</v>
      </c>
      <c r="E40" s="103">
        <v>626</v>
      </c>
      <c r="F40" s="103">
        <v>569</v>
      </c>
      <c r="G40" s="103">
        <v>467</v>
      </c>
      <c r="H40" s="103">
        <v>124</v>
      </c>
      <c r="I40" s="103">
        <v>276</v>
      </c>
      <c r="J40" s="103">
        <v>492</v>
      </c>
      <c r="K40" s="103">
        <v>651</v>
      </c>
      <c r="L40" s="103">
        <v>395</v>
      </c>
      <c r="M40" s="103">
        <v>72</v>
      </c>
      <c r="N40" s="26">
        <f>SUM(B40:M40)</f>
        <v>4073</v>
      </c>
      <c r="O40" s="39"/>
      <c r="P40" s="39"/>
    </row>
    <row r="41" spans="1:16">
      <c r="A41" t="s">
        <v>13</v>
      </c>
      <c r="B41" s="103">
        <v>129</v>
      </c>
      <c r="C41" s="103">
        <v>187</v>
      </c>
      <c r="D41" s="103">
        <v>570</v>
      </c>
      <c r="E41" s="103">
        <v>1500</v>
      </c>
      <c r="F41" s="103">
        <v>1535</v>
      </c>
      <c r="G41" s="103">
        <v>1061</v>
      </c>
      <c r="H41" s="103">
        <v>368</v>
      </c>
      <c r="I41" s="103">
        <v>611</v>
      </c>
      <c r="J41" s="103">
        <v>1162</v>
      </c>
      <c r="K41" s="103">
        <v>1629</v>
      </c>
      <c r="L41" s="103">
        <v>936</v>
      </c>
      <c r="M41" s="103">
        <v>160</v>
      </c>
      <c r="N41" s="26">
        <f>SUM(B41:M41)</f>
        <v>9848</v>
      </c>
      <c r="O41" s="45">
        <v>8596</v>
      </c>
      <c r="P41" s="39">
        <f>O41/N41</f>
        <v>0.87286758732737613</v>
      </c>
    </row>
    <row r="42" spans="1:16">
      <c r="A42" s="20" t="s">
        <v>121</v>
      </c>
      <c r="B42" s="103">
        <v>999</v>
      </c>
      <c r="C42" s="103">
        <v>999</v>
      </c>
      <c r="D42" s="103">
        <v>999</v>
      </c>
      <c r="E42" s="103">
        <v>999</v>
      </c>
      <c r="F42" s="103">
        <v>999</v>
      </c>
      <c r="G42" s="103">
        <v>999</v>
      </c>
      <c r="H42" s="103">
        <v>999</v>
      </c>
      <c r="I42" s="103">
        <v>999</v>
      </c>
      <c r="J42" s="103">
        <v>999</v>
      </c>
      <c r="K42" s="103">
        <v>999</v>
      </c>
      <c r="L42" s="103">
        <v>999</v>
      </c>
      <c r="M42" s="103">
        <v>999</v>
      </c>
      <c r="N42" s="26"/>
      <c r="O42" s="39"/>
      <c r="P42" s="39"/>
    </row>
    <row r="43" spans="1:16">
      <c r="A43" s="20" t="s">
        <v>22</v>
      </c>
      <c r="B43" s="103">
        <v>0</v>
      </c>
      <c r="C43" s="103">
        <v>0</v>
      </c>
      <c r="D43" s="103">
        <v>0</v>
      </c>
      <c r="E43" s="103">
        <v>0</v>
      </c>
      <c r="F43" s="103">
        <v>0</v>
      </c>
      <c r="G43" s="103">
        <v>0</v>
      </c>
      <c r="H43" s="103">
        <v>0</v>
      </c>
      <c r="I43" s="103">
        <v>0</v>
      </c>
      <c r="J43" s="103">
        <v>0</v>
      </c>
      <c r="K43" s="103">
        <v>0</v>
      </c>
      <c r="L43" s="103">
        <v>0</v>
      </c>
      <c r="M43" s="103">
        <v>1</v>
      </c>
      <c r="N43" s="26">
        <f>SUM(B43:M43)</f>
        <v>1</v>
      </c>
      <c r="O43" s="39"/>
      <c r="P43" s="39"/>
    </row>
    <row r="44" spans="1:16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4"/>
    </row>
    <row r="45" spans="1:16">
      <c r="A45" s="20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" t="s">
        <v>49</v>
      </c>
      <c r="B46" s="41">
        <v>38169</v>
      </c>
      <c r="C46" s="41">
        <v>38200</v>
      </c>
      <c r="D46" s="41">
        <v>38231</v>
      </c>
      <c r="E46" s="41">
        <v>38261</v>
      </c>
      <c r="F46" s="41">
        <v>38292</v>
      </c>
      <c r="G46" s="41">
        <v>38322</v>
      </c>
      <c r="H46" s="41">
        <v>38353</v>
      </c>
      <c r="I46" s="41">
        <v>38384</v>
      </c>
      <c r="J46" s="41">
        <v>38412</v>
      </c>
      <c r="K46" s="41">
        <v>38443</v>
      </c>
      <c r="L46" s="41">
        <v>38473</v>
      </c>
      <c r="M46" s="41">
        <v>38504</v>
      </c>
      <c r="O46" s="38"/>
      <c r="P46" s="38"/>
    </row>
    <row r="47" spans="1:16">
      <c r="A47" t="s">
        <v>12</v>
      </c>
      <c r="B47" s="103">
        <v>176</v>
      </c>
      <c r="C47" s="103">
        <v>121</v>
      </c>
      <c r="D47" s="103">
        <v>503</v>
      </c>
      <c r="E47" s="103">
        <v>541</v>
      </c>
      <c r="F47" s="103">
        <v>643</v>
      </c>
      <c r="G47" s="103">
        <v>384</v>
      </c>
      <c r="H47" s="103">
        <v>227</v>
      </c>
      <c r="I47" s="103">
        <v>530</v>
      </c>
      <c r="J47" s="103">
        <v>658</v>
      </c>
      <c r="K47" s="103">
        <v>677</v>
      </c>
      <c r="L47" s="103">
        <v>294</v>
      </c>
      <c r="M47" s="103">
        <v>211</v>
      </c>
      <c r="N47" s="26">
        <f>SUM(B47:M47)</f>
        <v>4965</v>
      </c>
    </row>
    <row r="48" spans="1:16">
      <c r="A48" t="s">
        <v>13</v>
      </c>
      <c r="B48" s="103">
        <v>343</v>
      </c>
      <c r="C48" s="103">
        <v>260</v>
      </c>
      <c r="D48" s="103">
        <v>1437</v>
      </c>
      <c r="E48" s="103">
        <v>1213</v>
      </c>
      <c r="F48" s="103">
        <v>1341</v>
      </c>
      <c r="G48" s="103">
        <v>863</v>
      </c>
      <c r="H48" s="103">
        <v>532</v>
      </c>
      <c r="I48" s="103">
        <v>1189</v>
      </c>
      <c r="J48" s="103">
        <v>1602</v>
      </c>
      <c r="K48" s="103">
        <v>1355</v>
      </c>
      <c r="L48" s="103">
        <v>661</v>
      </c>
      <c r="M48" s="103">
        <v>467</v>
      </c>
      <c r="N48" s="26">
        <f>SUM(B48:M48)</f>
        <v>11263</v>
      </c>
      <c r="O48" s="39">
        <v>0</v>
      </c>
      <c r="P48" s="87" t="s">
        <v>41</v>
      </c>
    </row>
    <row r="49" spans="1:16">
      <c r="A49" s="20" t="s">
        <v>121</v>
      </c>
      <c r="B49" s="103">
        <v>2</v>
      </c>
      <c r="C49" s="103">
        <v>2</v>
      </c>
      <c r="D49" s="103">
        <v>2</v>
      </c>
      <c r="E49" s="103">
        <v>2</v>
      </c>
      <c r="F49" s="103">
        <v>2</v>
      </c>
      <c r="G49" s="103">
        <v>2</v>
      </c>
      <c r="H49" s="103">
        <v>2</v>
      </c>
      <c r="I49" s="103">
        <v>2</v>
      </c>
      <c r="J49" s="103">
        <v>2</v>
      </c>
      <c r="K49" s="103">
        <v>2</v>
      </c>
      <c r="L49" s="103">
        <v>2</v>
      </c>
      <c r="M49" s="103">
        <v>2</v>
      </c>
      <c r="N49" s="26"/>
    </row>
    <row r="50" spans="1:16">
      <c r="A50" s="20" t="s">
        <v>22</v>
      </c>
      <c r="B50" s="103">
        <v>6</v>
      </c>
      <c r="C50" s="103">
        <v>1</v>
      </c>
      <c r="D50" s="103">
        <v>201</v>
      </c>
      <c r="E50" s="103">
        <v>83</v>
      </c>
      <c r="F50" s="103">
        <v>194</v>
      </c>
      <c r="G50" s="103">
        <v>77</v>
      </c>
      <c r="H50" s="103">
        <v>18</v>
      </c>
      <c r="I50" s="103">
        <v>168</v>
      </c>
      <c r="J50" s="103">
        <v>232</v>
      </c>
      <c r="K50" s="103">
        <v>134</v>
      </c>
      <c r="L50" s="103">
        <v>51</v>
      </c>
      <c r="M50" s="103">
        <v>40</v>
      </c>
      <c r="N50" s="26">
        <f>SUM(B50:M50)</f>
        <v>1205</v>
      </c>
    </row>
    <row r="51" spans="1:16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14"/>
    </row>
    <row r="52" spans="1:16">
      <c r="A52" s="20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" t="s">
        <v>48</v>
      </c>
      <c r="B53" s="41">
        <v>38169</v>
      </c>
      <c r="C53" s="41">
        <v>38200</v>
      </c>
      <c r="D53" s="41">
        <v>38231</v>
      </c>
      <c r="E53" s="41">
        <v>38261</v>
      </c>
      <c r="F53" s="41">
        <v>38292</v>
      </c>
      <c r="G53" s="41">
        <v>38322</v>
      </c>
      <c r="H53" s="41">
        <v>38353</v>
      </c>
      <c r="I53" s="41">
        <v>38384</v>
      </c>
      <c r="J53" s="41">
        <v>38412</v>
      </c>
      <c r="K53" s="41">
        <v>38443</v>
      </c>
      <c r="L53" s="41">
        <v>38473</v>
      </c>
      <c r="M53" s="41">
        <v>38504</v>
      </c>
      <c r="O53" s="38"/>
      <c r="P53" s="38"/>
    </row>
    <row r="54" spans="1:16">
      <c r="A54" t="s">
        <v>12</v>
      </c>
      <c r="B54" s="103">
        <v>21</v>
      </c>
      <c r="C54" s="103">
        <v>4</v>
      </c>
      <c r="D54" s="103">
        <v>19</v>
      </c>
      <c r="E54" s="103">
        <v>20</v>
      </c>
      <c r="F54" s="103">
        <v>27</v>
      </c>
      <c r="G54" s="103">
        <v>30</v>
      </c>
      <c r="H54" s="103">
        <v>10</v>
      </c>
      <c r="I54" s="103">
        <v>23</v>
      </c>
      <c r="J54" s="103">
        <v>23</v>
      </c>
      <c r="K54" s="103">
        <v>40</v>
      </c>
      <c r="L54" s="103">
        <v>12</v>
      </c>
      <c r="M54" s="103">
        <v>14</v>
      </c>
      <c r="N54" s="26">
        <f>SUM(B54:M54)</f>
        <v>243</v>
      </c>
    </row>
    <row r="55" spans="1:16">
      <c r="A55" t="s">
        <v>13</v>
      </c>
      <c r="B55" s="103">
        <v>27</v>
      </c>
      <c r="C55" s="103">
        <v>5</v>
      </c>
      <c r="D55" s="103">
        <v>25</v>
      </c>
      <c r="E55" s="103">
        <v>24</v>
      </c>
      <c r="F55" s="103">
        <v>55</v>
      </c>
      <c r="G55" s="103">
        <v>36</v>
      </c>
      <c r="H55" s="103">
        <v>11</v>
      </c>
      <c r="I55" s="103">
        <v>22</v>
      </c>
      <c r="J55" s="103">
        <v>23</v>
      </c>
      <c r="K55" s="103">
        <v>39</v>
      </c>
      <c r="L55" s="103">
        <v>19</v>
      </c>
      <c r="M55" s="103">
        <v>11</v>
      </c>
      <c r="N55" s="26">
        <f>SUM(B55:M55)</f>
        <v>297</v>
      </c>
      <c r="O55" s="39">
        <v>0</v>
      </c>
      <c r="P55" s="87" t="s">
        <v>41</v>
      </c>
    </row>
    <row r="56" spans="1:16">
      <c r="A56" s="20" t="s">
        <v>121</v>
      </c>
      <c r="B56" s="103">
        <v>2</v>
      </c>
      <c r="C56" s="103">
        <v>2</v>
      </c>
      <c r="D56" s="103">
        <v>2</v>
      </c>
      <c r="E56" s="103">
        <v>2</v>
      </c>
      <c r="F56" s="103">
        <v>2</v>
      </c>
      <c r="G56" s="103">
        <v>2</v>
      </c>
      <c r="H56" s="103">
        <v>2</v>
      </c>
      <c r="I56" s="103">
        <v>2</v>
      </c>
      <c r="J56" s="103">
        <v>2</v>
      </c>
      <c r="K56" s="103">
        <v>2</v>
      </c>
      <c r="L56" s="103">
        <v>2</v>
      </c>
      <c r="M56" s="103">
        <v>2</v>
      </c>
      <c r="N56" s="26"/>
    </row>
    <row r="57" spans="1:16">
      <c r="A57" s="20" t="s">
        <v>22</v>
      </c>
      <c r="B57" s="103">
        <v>1</v>
      </c>
      <c r="C57" s="103">
        <v>0</v>
      </c>
      <c r="D57" s="103">
        <v>1</v>
      </c>
      <c r="E57" s="103">
        <v>0</v>
      </c>
      <c r="F57" s="103">
        <v>3</v>
      </c>
      <c r="G57" s="103">
        <v>0</v>
      </c>
      <c r="H57" s="103">
        <v>0</v>
      </c>
      <c r="I57" s="103">
        <v>0</v>
      </c>
      <c r="J57" s="103">
        <v>0</v>
      </c>
      <c r="K57" s="103">
        <v>0</v>
      </c>
      <c r="L57" s="103">
        <v>0</v>
      </c>
      <c r="M57" s="103">
        <v>0</v>
      </c>
      <c r="N57" s="26">
        <f>SUM(B57:M57)</f>
        <v>5</v>
      </c>
    </row>
    <row r="58" spans="1:16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14"/>
    </row>
    <row r="59" spans="1:16">
      <c r="A59" s="20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6">
      <c r="A60" s="1" t="s">
        <v>47</v>
      </c>
      <c r="B60" s="41">
        <v>38169</v>
      </c>
      <c r="C60" s="41">
        <v>38200</v>
      </c>
      <c r="D60" s="41">
        <v>38231</v>
      </c>
      <c r="E60" s="41">
        <v>38261</v>
      </c>
      <c r="F60" s="41">
        <v>38292</v>
      </c>
      <c r="G60" s="41">
        <v>38322</v>
      </c>
      <c r="H60" s="41">
        <v>38353</v>
      </c>
      <c r="I60" s="41">
        <v>38384</v>
      </c>
      <c r="J60" s="41">
        <v>38412</v>
      </c>
      <c r="K60" s="41">
        <v>38443</v>
      </c>
      <c r="L60" s="41">
        <v>38473</v>
      </c>
      <c r="M60" s="41">
        <v>38504</v>
      </c>
      <c r="O60" s="38"/>
      <c r="P60" s="38"/>
    </row>
    <row r="61" spans="1:16">
      <c r="A61" t="s">
        <v>12</v>
      </c>
      <c r="B61" s="103">
        <v>11</v>
      </c>
      <c r="C61" s="103">
        <v>0</v>
      </c>
      <c r="D61" s="103">
        <v>7</v>
      </c>
      <c r="E61" s="103">
        <v>3</v>
      </c>
      <c r="F61" s="103">
        <v>6</v>
      </c>
      <c r="G61" s="103">
        <v>10</v>
      </c>
      <c r="H61" s="103">
        <v>9</v>
      </c>
      <c r="I61" s="103">
        <v>13</v>
      </c>
      <c r="J61" s="103">
        <v>6</v>
      </c>
      <c r="K61" s="103">
        <v>7</v>
      </c>
      <c r="L61" s="103">
        <v>4</v>
      </c>
      <c r="M61" s="103">
        <v>6</v>
      </c>
      <c r="N61" s="26">
        <f>SUM(B61:M61)</f>
        <v>82</v>
      </c>
    </row>
    <row r="62" spans="1:16">
      <c r="A62" t="s">
        <v>13</v>
      </c>
      <c r="B62" s="103">
        <v>18</v>
      </c>
      <c r="C62" s="103">
        <v>0</v>
      </c>
      <c r="D62" s="103">
        <v>6</v>
      </c>
      <c r="E62" s="103">
        <v>5</v>
      </c>
      <c r="F62" s="103">
        <v>2</v>
      </c>
      <c r="G62" s="103">
        <v>5</v>
      </c>
      <c r="H62" s="103">
        <v>11</v>
      </c>
      <c r="I62" s="103">
        <v>9</v>
      </c>
      <c r="J62" s="103">
        <v>5</v>
      </c>
      <c r="K62" s="103">
        <v>11</v>
      </c>
      <c r="L62" s="103">
        <v>1</v>
      </c>
      <c r="M62" s="103">
        <v>5</v>
      </c>
      <c r="N62" s="26">
        <f>SUM(B62:M62)</f>
        <v>78</v>
      </c>
      <c r="O62" s="39">
        <v>0</v>
      </c>
      <c r="P62" s="87" t="s">
        <v>41</v>
      </c>
    </row>
    <row r="63" spans="1:16">
      <c r="A63" s="20" t="s">
        <v>121</v>
      </c>
      <c r="B63" s="103">
        <v>2</v>
      </c>
      <c r="C63" s="103">
        <v>2</v>
      </c>
      <c r="D63" s="103">
        <v>2</v>
      </c>
      <c r="E63" s="103">
        <v>2</v>
      </c>
      <c r="F63" s="103">
        <v>2</v>
      </c>
      <c r="G63" s="103">
        <v>2</v>
      </c>
      <c r="H63" s="103">
        <v>2</v>
      </c>
      <c r="I63" s="103">
        <v>2</v>
      </c>
      <c r="J63" s="103">
        <v>2</v>
      </c>
      <c r="K63" s="103">
        <v>2</v>
      </c>
      <c r="L63" s="103">
        <v>2</v>
      </c>
      <c r="M63" s="103">
        <v>2</v>
      </c>
      <c r="N63" s="26"/>
    </row>
    <row r="64" spans="1:16">
      <c r="A64" s="20" t="s">
        <v>22</v>
      </c>
      <c r="B64" s="103">
        <v>0</v>
      </c>
      <c r="C64" s="103">
        <v>0</v>
      </c>
      <c r="D64" s="103">
        <v>0</v>
      </c>
      <c r="E64" s="103">
        <v>0</v>
      </c>
      <c r="F64" s="103">
        <v>0</v>
      </c>
      <c r="G64" s="103">
        <v>0</v>
      </c>
      <c r="H64" s="103">
        <v>0</v>
      </c>
      <c r="I64" s="103">
        <v>0</v>
      </c>
      <c r="J64" s="103">
        <v>0</v>
      </c>
      <c r="K64" s="103">
        <v>0</v>
      </c>
      <c r="L64" s="103">
        <v>0</v>
      </c>
      <c r="M64" s="103">
        <v>0</v>
      </c>
      <c r="N64" s="26">
        <f>SUM(B64:M64)</f>
        <v>0</v>
      </c>
    </row>
    <row r="65" spans="1:16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14"/>
    </row>
    <row r="66" spans="1:16">
      <c r="A66" s="20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6">
      <c r="A67" s="1" t="s">
        <v>46</v>
      </c>
      <c r="B67" s="41">
        <v>38169</v>
      </c>
      <c r="C67" s="41">
        <v>38200</v>
      </c>
      <c r="D67" s="41">
        <v>38231</v>
      </c>
      <c r="E67" s="41">
        <v>38261</v>
      </c>
      <c r="F67" s="41">
        <v>38292</v>
      </c>
      <c r="G67" s="41">
        <v>38322</v>
      </c>
      <c r="H67" s="41">
        <v>38353</v>
      </c>
      <c r="I67" s="41">
        <v>38384</v>
      </c>
      <c r="J67" s="41">
        <v>38412</v>
      </c>
      <c r="K67" s="41">
        <v>38443</v>
      </c>
      <c r="L67" s="41">
        <v>38473</v>
      </c>
      <c r="M67" s="41">
        <v>38504</v>
      </c>
      <c r="O67" s="38"/>
      <c r="P67" s="38"/>
    </row>
    <row r="68" spans="1:16">
      <c r="A68" t="s">
        <v>12</v>
      </c>
      <c r="B68" s="103">
        <v>18</v>
      </c>
      <c r="C68" s="103">
        <v>5</v>
      </c>
      <c r="D68" s="103">
        <v>12</v>
      </c>
      <c r="E68" s="103">
        <v>47</v>
      </c>
      <c r="F68" s="103">
        <v>18</v>
      </c>
      <c r="G68" s="103">
        <v>13</v>
      </c>
      <c r="H68" s="103">
        <v>4</v>
      </c>
      <c r="I68" s="103">
        <v>12</v>
      </c>
      <c r="J68" s="103">
        <v>16</v>
      </c>
      <c r="K68" s="103">
        <v>16</v>
      </c>
      <c r="L68" s="103">
        <v>8</v>
      </c>
      <c r="M68" s="103">
        <v>11</v>
      </c>
      <c r="N68" s="26">
        <f>SUM(B68:M68)</f>
        <v>180</v>
      </c>
    </row>
    <row r="69" spans="1:16">
      <c r="A69" t="s">
        <v>13</v>
      </c>
      <c r="B69" s="103">
        <v>1</v>
      </c>
      <c r="C69" s="103">
        <v>4</v>
      </c>
      <c r="D69" s="103">
        <v>14</v>
      </c>
      <c r="E69" s="103">
        <v>60</v>
      </c>
      <c r="F69" s="103">
        <v>43</v>
      </c>
      <c r="G69" s="103">
        <v>20</v>
      </c>
      <c r="H69" s="103">
        <v>6</v>
      </c>
      <c r="I69" s="103">
        <v>21</v>
      </c>
      <c r="J69" s="103">
        <v>19</v>
      </c>
      <c r="K69" s="103">
        <v>14</v>
      </c>
      <c r="L69" s="103">
        <v>18</v>
      </c>
      <c r="M69" s="103">
        <v>10</v>
      </c>
      <c r="N69" s="26">
        <f>SUM(B69:M69)</f>
        <v>230</v>
      </c>
      <c r="O69" s="39">
        <v>0</v>
      </c>
      <c r="P69" s="87" t="s">
        <v>41</v>
      </c>
    </row>
    <row r="70" spans="1:16">
      <c r="A70" s="20" t="s">
        <v>121</v>
      </c>
      <c r="B70" s="103">
        <v>2</v>
      </c>
      <c r="C70" s="103">
        <v>2</v>
      </c>
      <c r="D70" s="103">
        <v>2</v>
      </c>
      <c r="E70" s="103">
        <v>2</v>
      </c>
      <c r="F70" s="103">
        <v>2</v>
      </c>
      <c r="G70" s="103">
        <v>2</v>
      </c>
      <c r="H70" s="103">
        <v>2</v>
      </c>
      <c r="I70" s="103">
        <v>2</v>
      </c>
      <c r="J70" s="103">
        <v>2</v>
      </c>
      <c r="K70" s="103">
        <v>2</v>
      </c>
      <c r="L70" s="103">
        <v>2</v>
      </c>
      <c r="M70" s="103">
        <v>2</v>
      </c>
      <c r="N70" s="26"/>
    </row>
    <row r="71" spans="1:16">
      <c r="A71" s="20" t="s">
        <v>22</v>
      </c>
      <c r="B71" s="103">
        <v>0</v>
      </c>
      <c r="C71" s="103">
        <v>0</v>
      </c>
      <c r="D71" s="103">
        <v>0</v>
      </c>
      <c r="E71" s="103">
        <v>0</v>
      </c>
      <c r="F71" s="103">
        <v>0</v>
      </c>
      <c r="G71" s="103">
        <v>0</v>
      </c>
      <c r="H71" s="103">
        <v>0</v>
      </c>
      <c r="I71" s="103">
        <v>0</v>
      </c>
      <c r="J71" s="103">
        <v>0</v>
      </c>
      <c r="K71" s="103">
        <v>0</v>
      </c>
      <c r="L71" s="103">
        <v>0</v>
      </c>
      <c r="M71" s="103">
        <v>0</v>
      </c>
      <c r="N71" s="26">
        <f>SUM(B71:M71)</f>
        <v>0</v>
      </c>
    </row>
    <row r="72" spans="1:16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14"/>
    </row>
    <row r="73" spans="1:16">
      <c r="A73" s="20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6">
      <c r="A74" s="1" t="s">
        <v>45</v>
      </c>
      <c r="B74" s="41">
        <v>38169</v>
      </c>
      <c r="C74" s="41">
        <v>38200</v>
      </c>
      <c r="D74" s="41">
        <v>38231</v>
      </c>
      <c r="E74" s="41">
        <v>38261</v>
      </c>
      <c r="F74" s="41">
        <v>38292</v>
      </c>
      <c r="G74" s="41">
        <v>38322</v>
      </c>
      <c r="H74" s="41">
        <v>38353</v>
      </c>
      <c r="I74" s="41">
        <v>38384</v>
      </c>
      <c r="J74" s="41">
        <v>38412</v>
      </c>
      <c r="K74" s="41">
        <v>38443</v>
      </c>
      <c r="L74" s="41">
        <v>38473</v>
      </c>
      <c r="M74" s="41">
        <v>38504</v>
      </c>
      <c r="O74" s="38"/>
      <c r="P74" s="38"/>
    </row>
    <row r="75" spans="1:16">
      <c r="A75" t="s">
        <v>12</v>
      </c>
      <c r="B75" s="103">
        <v>5</v>
      </c>
      <c r="C75" s="103">
        <v>0</v>
      </c>
      <c r="D75" s="103">
        <v>13</v>
      </c>
      <c r="E75" s="103">
        <v>8</v>
      </c>
      <c r="F75" s="103">
        <v>15</v>
      </c>
      <c r="G75" s="103">
        <v>12</v>
      </c>
      <c r="H75" s="103">
        <v>8</v>
      </c>
      <c r="I75" s="103">
        <v>10</v>
      </c>
      <c r="J75" s="103">
        <v>16</v>
      </c>
      <c r="K75" s="103">
        <v>14</v>
      </c>
      <c r="L75" s="103">
        <v>6</v>
      </c>
      <c r="M75" s="103">
        <v>0</v>
      </c>
      <c r="N75" s="26">
        <f>SUM(B75:M75)</f>
        <v>107</v>
      </c>
    </row>
    <row r="76" spans="1:16">
      <c r="A76" t="s">
        <v>13</v>
      </c>
      <c r="B76" s="103">
        <v>4</v>
      </c>
      <c r="C76" s="103">
        <v>0</v>
      </c>
      <c r="D76" s="103">
        <v>11</v>
      </c>
      <c r="E76" s="103">
        <v>9</v>
      </c>
      <c r="F76" s="103">
        <v>13</v>
      </c>
      <c r="G76" s="103">
        <v>15</v>
      </c>
      <c r="H76" s="103">
        <v>2</v>
      </c>
      <c r="I76" s="103">
        <v>7</v>
      </c>
      <c r="J76" s="103">
        <v>7</v>
      </c>
      <c r="K76" s="103">
        <v>24</v>
      </c>
      <c r="L76" s="103">
        <v>7</v>
      </c>
      <c r="M76" s="103">
        <v>0</v>
      </c>
      <c r="N76" s="26">
        <f>SUM(B76:M76)</f>
        <v>99</v>
      </c>
      <c r="O76" s="39">
        <v>0</v>
      </c>
      <c r="P76" s="87" t="s">
        <v>41</v>
      </c>
    </row>
    <row r="77" spans="1:16">
      <c r="A77" s="20" t="s">
        <v>121</v>
      </c>
      <c r="B77" s="103">
        <v>2</v>
      </c>
      <c r="C77" s="103">
        <v>2</v>
      </c>
      <c r="D77" s="103">
        <v>2</v>
      </c>
      <c r="E77" s="103">
        <v>2</v>
      </c>
      <c r="F77" s="103">
        <v>2</v>
      </c>
      <c r="G77" s="103">
        <v>2</v>
      </c>
      <c r="H77" s="103">
        <v>2</v>
      </c>
      <c r="I77" s="103">
        <v>2</v>
      </c>
      <c r="J77" s="103">
        <v>2</v>
      </c>
      <c r="K77" s="103">
        <v>2</v>
      </c>
      <c r="L77" s="103">
        <v>2</v>
      </c>
      <c r="M77" s="103">
        <v>2</v>
      </c>
      <c r="N77" s="26"/>
    </row>
    <row r="78" spans="1:16">
      <c r="A78" s="20" t="s">
        <v>22</v>
      </c>
      <c r="B78" s="103">
        <v>0</v>
      </c>
      <c r="C78" s="103">
        <v>0</v>
      </c>
      <c r="D78" s="103">
        <v>0</v>
      </c>
      <c r="E78" s="103">
        <v>0</v>
      </c>
      <c r="F78" s="103">
        <v>0</v>
      </c>
      <c r="G78" s="103">
        <v>0</v>
      </c>
      <c r="H78" s="103">
        <v>1</v>
      </c>
      <c r="I78" s="103">
        <v>0</v>
      </c>
      <c r="J78" s="103">
        <v>0</v>
      </c>
      <c r="K78" s="103">
        <v>0</v>
      </c>
      <c r="L78" s="103">
        <v>0</v>
      </c>
      <c r="M78" s="103">
        <v>0</v>
      </c>
      <c r="N78" s="26">
        <f>SUM(B78:M78)</f>
        <v>1</v>
      </c>
    </row>
    <row r="79" spans="1:16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14"/>
    </row>
    <row r="80" spans="1:16">
      <c r="A80" s="20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6">
      <c r="A81" s="1" t="s">
        <v>44</v>
      </c>
      <c r="B81" s="41">
        <v>38169</v>
      </c>
      <c r="C81" s="41">
        <v>38200</v>
      </c>
      <c r="D81" s="41">
        <v>38231</v>
      </c>
      <c r="E81" s="41">
        <v>38261</v>
      </c>
      <c r="F81" s="41">
        <v>38292</v>
      </c>
      <c r="G81" s="41">
        <v>38322</v>
      </c>
      <c r="H81" s="41">
        <v>38353</v>
      </c>
      <c r="I81" s="41">
        <v>38384</v>
      </c>
      <c r="J81" s="41">
        <v>38412</v>
      </c>
      <c r="K81" s="41">
        <v>38443</v>
      </c>
      <c r="L81" s="41">
        <v>38473</v>
      </c>
      <c r="M81" s="41">
        <v>38504</v>
      </c>
      <c r="O81" s="38"/>
      <c r="P81" s="38"/>
    </row>
    <row r="82" spans="1:16">
      <c r="A82" t="s">
        <v>12</v>
      </c>
      <c r="B82" s="103">
        <v>404</v>
      </c>
      <c r="C82" s="103">
        <v>247</v>
      </c>
      <c r="D82" s="103">
        <v>489</v>
      </c>
      <c r="E82" s="103">
        <v>516</v>
      </c>
      <c r="F82" s="103">
        <v>460</v>
      </c>
      <c r="G82" s="103">
        <v>277</v>
      </c>
      <c r="H82" s="103">
        <v>273</v>
      </c>
      <c r="I82" s="103">
        <v>425</v>
      </c>
      <c r="J82" s="103">
        <v>436</v>
      </c>
      <c r="K82" s="103">
        <v>460</v>
      </c>
      <c r="L82" s="103">
        <v>333</v>
      </c>
      <c r="M82" s="103">
        <v>351</v>
      </c>
      <c r="N82" s="26">
        <f>SUM(B82:M82)</f>
        <v>4671</v>
      </c>
      <c r="O82" s="39"/>
      <c r="P82" s="39"/>
    </row>
    <row r="83" spans="1:16">
      <c r="A83" t="s">
        <v>13</v>
      </c>
      <c r="B83" s="103">
        <v>1051</v>
      </c>
      <c r="C83" s="103">
        <v>704</v>
      </c>
      <c r="D83" s="103">
        <v>1354</v>
      </c>
      <c r="E83" s="103">
        <v>1359</v>
      </c>
      <c r="F83" s="103">
        <v>1710</v>
      </c>
      <c r="G83" s="103">
        <v>1126</v>
      </c>
      <c r="H83" s="103">
        <v>1353</v>
      </c>
      <c r="I83" s="103">
        <v>1633</v>
      </c>
      <c r="J83" s="103">
        <v>1286</v>
      </c>
      <c r="K83" s="103">
        <v>1989</v>
      </c>
      <c r="L83" s="103">
        <v>981</v>
      </c>
      <c r="M83" s="103">
        <v>922</v>
      </c>
      <c r="N83" s="26">
        <f>SUM(B83:M83)</f>
        <v>15468</v>
      </c>
      <c r="O83" s="45">
        <v>8455</v>
      </c>
      <c r="P83" s="39">
        <f>O83/N83</f>
        <v>0.54661236100336175</v>
      </c>
    </row>
    <row r="84" spans="1:16">
      <c r="A84" s="20" t="s">
        <v>121</v>
      </c>
      <c r="B84" s="103">
        <v>999</v>
      </c>
      <c r="C84" s="103">
        <v>999</v>
      </c>
      <c r="D84" s="103">
        <v>999</v>
      </c>
      <c r="E84" s="103">
        <v>999</v>
      </c>
      <c r="F84" s="103">
        <v>999</v>
      </c>
      <c r="G84" s="103">
        <v>999</v>
      </c>
      <c r="H84" s="103">
        <v>999</v>
      </c>
      <c r="I84" s="103">
        <v>999</v>
      </c>
      <c r="J84" s="103">
        <v>999</v>
      </c>
      <c r="K84" s="103">
        <v>999</v>
      </c>
      <c r="L84" s="103">
        <v>999</v>
      </c>
      <c r="M84" s="103">
        <v>999</v>
      </c>
      <c r="N84" s="26"/>
      <c r="O84" s="39"/>
      <c r="P84" s="39"/>
    </row>
    <row r="85" spans="1:16">
      <c r="A85" s="20" t="s">
        <v>22</v>
      </c>
      <c r="B85" s="103">
        <v>0</v>
      </c>
      <c r="C85" s="103">
        <v>0</v>
      </c>
      <c r="D85" s="103">
        <v>0</v>
      </c>
      <c r="E85" s="103">
        <v>0</v>
      </c>
      <c r="F85" s="103">
        <v>0</v>
      </c>
      <c r="G85" s="103">
        <v>0</v>
      </c>
      <c r="H85" s="103">
        <v>0</v>
      </c>
      <c r="I85" s="103">
        <v>0</v>
      </c>
      <c r="J85" s="103">
        <v>0</v>
      </c>
      <c r="K85" s="103">
        <v>0</v>
      </c>
      <c r="L85" s="103">
        <v>0</v>
      </c>
      <c r="M85" s="103">
        <v>3</v>
      </c>
      <c r="N85" s="26">
        <f>SUM(B85:M85)</f>
        <v>3</v>
      </c>
      <c r="O85" s="39"/>
      <c r="P85" s="39"/>
    </row>
    <row r="86" spans="1:1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14"/>
      <c r="O86" s="39"/>
      <c r="P86" s="39"/>
    </row>
    <row r="87" spans="1:16">
      <c r="A87" s="20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" t="s">
        <v>56</v>
      </c>
      <c r="B88" s="41">
        <v>38169</v>
      </c>
      <c r="C88" s="41">
        <v>38200</v>
      </c>
      <c r="D88" s="41">
        <v>38231</v>
      </c>
      <c r="E88" s="41">
        <v>38261</v>
      </c>
      <c r="F88" s="41">
        <v>38292</v>
      </c>
      <c r="G88" s="41">
        <v>38322</v>
      </c>
      <c r="H88" s="41">
        <v>38353</v>
      </c>
      <c r="I88" s="41">
        <v>38384</v>
      </c>
      <c r="J88" s="41">
        <v>38412</v>
      </c>
      <c r="K88" s="41">
        <v>38443</v>
      </c>
      <c r="L88" s="41">
        <v>38473</v>
      </c>
      <c r="M88" s="41">
        <v>38504</v>
      </c>
      <c r="O88" s="38"/>
      <c r="P88" s="38"/>
    </row>
    <row r="89" spans="1:16">
      <c r="A89" s="19" t="s">
        <v>12</v>
      </c>
      <c r="B89" s="103">
        <v>1131</v>
      </c>
      <c r="C89" s="103">
        <v>607</v>
      </c>
      <c r="D89" s="103">
        <v>2215</v>
      </c>
      <c r="E89" s="103">
        <v>3180</v>
      </c>
      <c r="F89" s="103">
        <v>3132</v>
      </c>
      <c r="G89" s="103">
        <v>2090</v>
      </c>
      <c r="H89" s="103">
        <v>962</v>
      </c>
      <c r="I89" s="103">
        <v>2341</v>
      </c>
      <c r="J89" s="103">
        <v>2851</v>
      </c>
      <c r="K89" s="103">
        <v>3335</v>
      </c>
      <c r="L89" s="103">
        <v>1692</v>
      </c>
      <c r="M89" s="103">
        <v>1067</v>
      </c>
      <c r="N89" s="26">
        <f>SUM(B89:M89)</f>
        <v>24603</v>
      </c>
    </row>
    <row r="90" spans="1:16">
      <c r="A90" s="19" t="s">
        <v>13</v>
      </c>
      <c r="B90" s="103">
        <v>2876</v>
      </c>
      <c r="C90" s="103">
        <v>1830</v>
      </c>
      <c r="D90" s="103">
        <v>5575</v>
      </c>
      <c r="E90" s="103">
        <v>7466</v>
      </c>
      <c r="F90" s="103">
        <v>7800</v>
      </c>
      <c r="G90" s="103">
        <v>5083</v>
      </c>
      <c r="H90" s="103">
        <v>2812</v>
      </c>
      <c r="I90" s="103">
        <v>6183</v>
      </c>
      <c r="J90" s="103">
        <v>7027</v>
      </c>
      <c r="K90" s="103">
        <v>8336</v>
      </c>
      <c r="L90" s="103">
        <v>4101</v>
      </c>
      <c r="M90" s="103">
        <v>2825</v>
      </c>
      <c r="N90" s="26">
        <f>SUM(B90:M90)</f>
        <v>61914</v>
      </c>
      <c r="O90" s="39">
        <f>O83+O41</f>
        <v>17051</v>
      </c>
      <c r="P90" s="39">
        <f>O90/N90</f>
        <v>0.27539813289401427</v>
      </c>
    </row>
    <row r="91" spans="1:16">
      <c r="A91" s="20" t="s">
        <v>123</v>
      </c>
      <c r="B91" s="103">
        <v>8</v>
      </c>
      <c r="C91" s="103">
        <v>5</v>
      </c>
      <c r="D91" s="103">
        <v>10</v>
      </c>
      <c r="E91" s="103">
        <v>29</v>
      </c>
      <c r="F91" s="103">
        <v>19</v>
      </c>
      <c r="G91" s="103">
        <v>27</v>
      </c>
      <c r="H91" s="103">
        <v>5</v>
      </c>
      <c r="I91" s="103">
        <v>5</v>
      </c>
      <c r="J91" s="103">
        <v>19</v>
      </c>
      <c r="K91" s="103">
        <v>6</v>
      </c>
      <c r="L91" s="103">
        <v>6</v>
      </c>
      <c r="M91" s="103">
        <v>4</v>
      </c>
      <c r="N91" s="26">
        <f>SUM(B91:M91)</f>
        <v>143</v>
      </c>
    </row>
    <row r="92" spans="1:16">
      <c r="A92" s="20" t="s">
        <v>22</v>
      </c>
      <c r="B92" s="103">
        <v>28</v>
      </c>
      <c r="C92" s="103">
        <v>9</v>
      </c>
      <c r="D92" s="103">
        <v>536</v>
      </c>
      <c r="E92" s="103">
        <v>296</v>
      </c>
      <c r="F92" s="103">
        <v>399</v>
      </c>
      <c r="G92" s="103">
        <v>163</v>
      </c>
      <c r="H92" s="103">
        <v>65</v>
      </c>
      <c r="I92" s="103">
        <v>336</v>
      </c>
      <c r="J92" s="103">
        <v>539</v>
      </c>
      <c r="K92" s="103">
        <v>360</v>
      </c>
      <c r="L92" s="103">
        <v>98</v>
      </c>
      <c r="M92" s="103">
        <v>79</v>
      </c>
      <c r="N92" s="26">
        <f>SUM(B92:M92)</f>
        <v>2908</v>
      </c>
    </row>
  </sheetData>
  <phoneticPr fontId="2" type="noConversion"/>
  <pageMargins left="0.75" right="0.75" top="1" bottom="1" header="0.5" footer="0.5"/>
  <pageSetup scale="91" fitToHeight="5" orientation="landscape"/>
  <headerFooter>
    <oddFooter>&amp;L&amp;K000000FirstSearch&amp;R&amp;K0000002004-05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9"/>
  <sheetViews>
    <sheetView workbookViewId="0">
      <selection activeCell="A4" sqref="A4"/>
    </sheetView>
  </sheetViews>
  <sheetFormatPr baseColWidth="10" defaultColWidth="8.83203125" defaultRowHeight="12" x14ac:dyDescent="0"/>
  <cols>
    <col min="1" max="1" width="28.83203125" bestFit="1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6.6640625" customWidth="1"/>
    <col min="15" max="15" width="8.6640625" bestFit="1" customWidth="1"/>
    <col min="16" max="16" width="8.33203125" bestFit="1" customWidth="1"/>
  </cols>
  <sheetData>
    <row r="1" spans="1:16" ht="18">
      <c r="A1" s="2" t="s">
        <v>2</v>
      </c>
    </row>
    <row r="2" spans="1:16" ht="17">
      <c r="A2" s="3" t="s">
        <v>99</v>
      </c>
    </row>
    <row r="4" spans="1:16" ht="36">
      <c r="A4" s="108" t="s">
        <v>100</v>
      </c>
      <c r="B4" s="41">
        <v>38169</v>
      </c>
      <c r="C4" s="41">
        <v>38200</v>
      </c>
      <c r="D4" s="41">
        <v>38231</v>
      </c>
      <c r="E4" s="41">
        <v>38261</v>
      </c>
      <c r="F4" s="41">
        <v>38292</v>
      </c>
      <c r="G4" s="41">
        <v>38322</v>
      </c>
      <c r="H4" s="41">
        <v>38353</v>
      </c>
      <c r="I4" s="41">
        <v>38384</v>
      </c>
      <c r="J4" s="41">
        <v>38412</v>
      </c>
      <c r="K4" s="41">
        <v>38443</v>
      </c>
      <c r="L4" s="41">
        <v>38473</v>
      </c>
      <c r="M4" s="41">
        <v>38504</v>
      </c>
      <c r="N4" s="5" t="s">
        <v>10</v>
      </c>
      <c r="O4" s="38" t="s">
        <v>113</v>
      </c>
      <c r="P4" s="38" t="s">
        <v>114</v>
      </c>
    </row>
    <row r="5" spans="1:16">
      <c r="A5" s="1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>
      <c r="A6" t="s">
        <v>12</v>
      </c>
      <c r="B6" s="80">
        <v>0</v>
      </c>
      <c r="C6" s="80">
        <v>0</v>
      </c>
      <c r="D6" s="80">
        <v>228</v>
      </c>
      <c r="E6" s="80">
        <v>372</v>
      </c>
      <c r="F6" s="80">
        <v>380</v>
      </c>
      <c r="G6" s="81">
        <v>379</v>
      </c>
      <c r="H6" s="55">
        <v>92</v>
      </c>
      <c r="I6" s="55">
        <v>243</v>
      </c>
      <c r="J6" s="55">
        <v>452</v>
      </c>
      <c r="K6" s="55">
        <v>665</v>
      </c>
      <c r="L6" s="55">
        <v>511</v>
      </c>
      <c r="M6" s="55">
        <v>87</v>
      </c>
      <c r="N6" s="26">
        <f>SUM(B6:M6)</f>
        <v>3409</v>
      </c>
      <c r="O6" s="39"/>
      <c r="P6" s="39"/>
    </row>
    <row r="7" spans="1:16">
      <c r="A7" t="s">
        <v>13</v>
      </c>
      <c r="B7" s="29">
        <v>0</v>
      </c>
      <c r="C7" s="29">
        <v>0</v>
      </c>
      <c r="D7" s="29">
        <v>1784</v>
      </c>
      <c r="E7" s="29">
        <v>2487</v>
      </c>
      <c r="F7" s="29">
        <v>2428</v>
      </c>
      <c r="G7" s="30">
        <v>2397</v>
      </c>
      <c r="H7" s="55">
        <v>403</v>
      </c>
      <c r="I7" s="55">
        <v>1011</v>
      </c>
      <c r="J7" s="55">
        <v>2955</v>
      </c>
      <c r="K7" s="55">
        <v>4414</v>
      </c>
      <c r="L7" s="55">
        <v>3422</v>
      </c>
      <c r="M7" s="55">
        <v>460</v>
      </c>
      <c r="N7" s="26">
        <f>SUM(B7:M7)</f>
        <v>21761</v>
      </c>
      <c r="O7" s="39">
        <v>4678</v>
      </c>
      <c r="P7" s="39">
        <f>O7/N7</f>
        <v>0.21497173843113829</v>
      </c>
    </row>
    <row r="8" spans="1:16">
      <c r="A8" s="19" t="s">
        <v>22</v>
      </c>
      <c r="B8" s="103">
        <v>0</v>
      </c>
      <c r="C8" s="103">
        <v>0</v>
      </c>
      <c r="D8" s="103">
        <v>0</v>
      </c>
      <c r="E8" s="103">
        <v>0</v>
      </c>
      <c r="F8" s="103">
        <v>0</v>
      </c>
      <c r="G8" s="103">
        <v>0</v>
      </c>
      <c r="H8" s="103">
        <v>0</v>
      </c>
      <c r="I8" s="103">
        <v>0</v>
      </c>
      <c r="J8" s="103">
        <v>0</v>
      </c>
      <c r="K8" s="103">
        <v>0</v>
      </c>
      <c r="L8" s="103">
        <v>0</v>
      </c>
      <c r="M8" s="103">
        <v>0</v>
      </c>
      <c r="N8" s="26">
        <f>SUM(B8:M8)</f>
        <v>0</v>
      </c>
      <c r="O8" s="39"/>
      <c r="P8" s="39"/>
    </row>
    <row r="9" spans="1:16">
      <c r="A9" t="s">
        <v>126</v>
      </c>
      <c r="B9" s="55">
        <v>0</v>
      </c>
      <c r="C9" s="55">
        <v>0</v>
      </c>
      <c r="D9" s="55">
        <v>35</v>
      </c>
      <c r="E9" s="55">
        <v>91</v>
      </c>
      <c r="F9" s="55">
        <v>86</v>
      </c>
      <c r="G9" s="55">
        <v>62</v>
      </c>
      <c r="H9" s="55">
        <v>24</v>
      </c>
      <c r="I9" s="55">
        <v>76</v>
      </c>
      <c r="J9" s="55">
        <v>176</v>
      </c>
      <c r="K9" s="55">
        <v>207</v>
      </c>
      <c r="L9" s="55">
        <v>130</v>
      </c>
      <c r="M9" s="55">
        <v>56</v>
      </c>
      <c r="N9" s="26">
        <f>SUM(B9:M9)</f>
        <v>943</v>
      </c>
      <c r="O9" s="39">
        <v>4678</v>
      </c>
      <c r="P9" s="39">
        <f>O9/N9</f>
        <v>4.9607635206786851</v>
      </c>
    </row>
  </sheetData>
  <phoneticPr fontId="2" type="noConversion"/>
  <pageMargins left="0.75" right="0.75" top="1" bottom="1" header="0.5" footer="0.5"/>
  <pageSetup scale="86" fitToHeight="2" orientation="landscape"/>
  <headerFooter>
    <oddFooter>&amp;L&amp;K000000InfoTrac&amp;R&amp;K0000002004-05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3"/>
  <sheetViews>
    <sheetView workbookViewId="0">
      <selection activeCell="D19" sqref="D19"/>
    </sheetView>
  </sheetViews>
  <sheetFormatPr baseColWidth="10" defaultColWidth="8.83203125" defaultRowHeight="12" x14ac:dyDescent="0"/>
  <cols>
    <col min="1" max="1" width="17.6640625" bestFit="1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5.1640625" bestFit="1" customWidth="1"/>
    <col min="15" max="15" width="12.6640625" bestFit="1" customWidth="1"/>
    <col min="16" max="16" width="8.33203125" bestFit="1" customWidth="1"/>
  </cols>
  <sheetData>
    <row r="1" spans="1:16" ht="18">
      <c r="A1" s="2" t="s">
        <v>19</v>
      </c>
    </row>
    <row r="2" spans="1:16" ht="17">
      <c r="A2" s="3" t="s">
        <v>99</v>
      </c>
    </row>
    <row r="4" spans="1:16" ht="24">
      <c r="A4" s="108" t="s">
        <v>100</v>
      </c>
      <c r="B4" s="41">
        <v>38169</v>
      </c>
      <c r="C4" s="41">
        <v>38200</v>
      </c>
      <c r="D4" s="41">
        <v>38231</v>
      </c>
      <c r="E4" s="41">
        <v>38261</v>
      </c>
      <c r="F4" s="41">
        <v>38292</v>
      </c>
      <c r="G4" s="41">
        <v>38322</v>
      </c>
      <c r="H4" s="41">
        <v>38353</v>
      </c>
      <c r="I4" s="41">
        <v>38384</v>
      </c>
      <c r="J4" s="41">
        <v>38412</v>
      </c>
      <c r="K4" s="41">
        <v>38443</v>
      </c>
      <c r="L4" s="41">
        <v>38473</v>
      </c>
      <c r="M4" s="41">
        <v>38504</v>
      </c>
      <c r="N4" s="5" t="s">
        <v>10</v>
      </c>
      <c r="O4" s="38" t="s">
        <v>113</v>
      </c>
      <c r="P4" s="38" t="s">
        <v>114</v>
      </c>
    </row>
    <row r="5" spans="1:16">
      <c r="A5" s="1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>
      <c r="A6" t="s">
        <v>12</v>
      </c>
      <c r="B6" s="11">
        <v>24</v>
      </c>
      <c r="C6" s="11">
        <v>7</v>
      </c>
      <c r="D6" s="11">
        <v>32</v>
      </c>
      <c r="E6" s="11">
        <v>41</v>
      </c>
      <c r="F6" s="11">
        <v>57</v>
      </c>
      <c r="G6" s="11">
        <v>33</v>
      </c>
      <c r="H6" s="11">
        <v>7</v>
      </c>
      <c r="I6" s="11">
        <v>29</v>
      </c>
      <c r="J6" s="11">
        <v>29</v>
      </c>
      <c r="K6" s="11">
        <v>47</v>
      </c>
      <c r="L6" s="11">
        <v>18</v>
      </c>
      <c r="M6" s="12">
        <v>11</v>
      </c>
      <c r="N6" s="9">
        <f>SUM(B6:M6)</f>
        <v>335</v>
      </c>
      <c r="O6" s="39"/>
      <c r="P6" s="39"/>
    </row>
    <row r="7" spans="1:16">
      <c r="A7" t="s">
        <v>13</v>
      </c>
      <c r="B7" s="37">
        <v>56</v>
      </c>
      <c r="C7" s="37">
        <v>11</v>
      </c>
      <c r="D7" s="37">
        <v>34</v>
      </c>
      <c r="E7" s="37">
        <v>68</v>
      </c>
      <c r="F7" s="37">
        <v>94</v>
      </c>
      <c r="G7" s="37">
        <v>106</v>
      </c>
      <c r="H7" s="37">
        <v>5</v>
      </c>
      <c r="I7" s="37">
        <v>47</v>
      </c>
      <c r="J7" s="37">
        <v>72</v>
      </c>
      <c r="K7" s="37">
        <v>84</v>
      </c>
      <c r="L7" s="37">
        <v>26</v>
      </c>
      <c r="M7" s="37">
        <v>25</v>
      </c>
      <c r="N7" s="9">
        <f>SUM(B7:M7)</f>
        <v>628</v>
      </c>
      <c r="O7" s="39">
        <v>1386</v>
      </c>
      <c r="P7" s="39">
        <f>O7/N7</f>
        <v>2.2070063694267517</v>
      </c>
    </row>
    <row r="12" spans="1:16">
      <c r="C12" s="16"/>
      <c r="D12" s="17"/>
    </row>
    <row r="13" spans="1:16">
      <c r="C13" s="16"/>
      <c r="D13" s="17"/>
    </row>
  </sheetData>
  <phoneticPr fontId="2" type="noConversion"/>
  <pageMargins left="0.75" right="0.75" top="1" bottom="1" header="0.5" footer="0.5"/>
  <pageSetup scale="92" orientation="landscape"/>
  <headerFooter>
    <oddFooter>&amp;L&amp;K000000Grove Music&amp;R&amp;K0000002004-05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7"/>
  <sheetViews>
    <sheetView workbookViewId="0">
      <selection activeCell="D18" sqref="D18"/>
    </sheetView>
  </sheetViews>
  <sheetFormatPr baseColWidth="10" defaultColWidth="8.83203125" defaultRowHeight="12" x14ac:dyDescent="0"/>
  <cols>
    <col min="1" max="1" width="17.33203125" bestFit="1" customWidth="1"/>
    <col min="2" max="3" width="7.1640625" bestFit="1" customWidth="1"/>
    <col min="4" max="4" width="8.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9.33203125" customWidth="1"/>
    <col min="15" max="15" width="12.1640625" bestFit="1" customWidth="1"/>
    <col min="16" max="16" width="8.5" bestFit="1" customWidth="1"/>
  </cols>
  <sheetData>
    <row r="1" spans="1:16" ht="18">
      <c r="A1" s="2" t="s">
        <v>72</v>
      </c>
    </row>
    <row r="2" spans="1:16" ht="17">
      <c r="A2" s="3" t="s">
        <v>99</v>
      </c>
    </row>
    <row r="4" spans="1:16" ht="24">
      <c r="O4" s="38" t="s">
        <v>113</v>
      </c>
      <c r="P4" s="38" t="s">
        <v>206</v>
      </c>
    </row>
    <row r="5" spans="1:16" ht="13">
      <c r="A5" s="108" t="s">
        <v>39</v>
      </c>
      <c r="B5" s="41">
        <v>38169</v>
      </c>
      <c r="C5" s="41">
        <v>38200</v>
      </c>
      <c r="D5" s="41">
        <v>38231</v>
      </c>
      <c r="E5" s="41">
        <v>38261</v>
      </c>
      <c r="F5" s="41">
        <v>38292</v>
      </c>
      <c r="G5" s="41">
        <v>38322</v>
      </c>
      <c r="H5" s="41">
        <v>38353</v>
      </c>
      <c r="I5" s="41">
        <v>38384</v>
      </c>
      <c r="J5" s="41">
        <v>38412</v>
      </c>
      <c r="K5" s="41">
        <v>38443</v>
      </c>
      <c r="L5" s="41">
        <v>38473</v>
      </c>
      <c r="M5" s="41">
        <v>38504</v>
      </c>
      <c r="N5" s="5" t="s">
        <v>10</v>
      </c>
    </row>
    <row r="6" spans="1:16">
      <c r="A6" s="1" t="s">
        <v>11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6">
      <c r="A7" s="13" t="s">
        <v>39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6">
      <c r="A8" t="s">
        <v>13</v>
      </c>
      <c r="B8" s="23">
        <v>4217</v>
      </c>
      <c r="C8" s="23">
        <v>2324</v>
      </c>
      <c r="D8" s="23">
        <v>10075</v>
      </c>
      <c r="E8" s="23">
        <v>12757</v>
      </c>
      <c r="F8" s="23">
        <v>11646</v>
      </c>
      <c r="G8" s="23">
        <v>8125</v>
      </c>
      <c r="H8" s="23">
        <v>7314</v>
      </c>
      <c r="I8" s="23">
        <v>12467</v>
      </c>
      <c r="J8" s="23">
        <v>8923</v>
      </c>
      <c r="K8" s="23">
        <v>11700</v>
      </c>
      <c r="L8" s="23">
        <v>5101</v>
      </c>
      <c r="M8" s="23">
        <v>2189</v>
      </c>
      <c r="N8" s="26">
        <f>SUM(B8:M8)</f>
        <v>96838</v>
      </c>
      <c r="O8" s="88">
        <v>21786</v>
      </c>
      <c r="P8" s="39">
        <f>O8/N8</f>
        <v>0.22497366736198599</v>
      </c>
    </row>
    <row r="9" spans="1:16">
      <c r="A9" t="s">
        <v>38</v>
      </c>
      <c r="B9" s="23">
        <v>6435</v>
      </c>
      <c r="C9" s="23">
        <v>3155</v>
      </c>
      <c r="D9" s="23">
        <v>9933</v>
      </c>
      <c r="E9" s="23">
        <v>14644</v>
      </c>
      <c r="F9" s="23">
        <v>13503</v>
      </c>
      <c r="G9" s="23">
        <v>9958</v>
      </c>
      <c r="H9" s="23">
        <v>9371</v>
      </c>
      <c r="I9" s="23">
        <v>16643</v>
      </c>
      <c r="J9" s="23">
        <v>11553</v>
      </c>
      <c r="K9" s="23">
        <v>15024</v>
      </c>
      <c r="L9" s="23">
        <v>7128</v>
      </c>
      <c r="M9" s="23">
        <v>3526</v>
      </c>
      <c r="N9" s="27">
        <f>SUM(B9:M9)</f>
        <v>120873</v>
      </c>
      <c r="O9" s="88">
        <v>21786</v>
      </c>
      <c r="P9" s="39">
        <f>O9/N9</f>
        <v>0.18023876299918096</v>
      </c>
    </row>
    <row r="10" spans="1:16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8"/>
    </row>
    <row r="13" spans="1:16" ht="13">
      <c r="A13" s="108" t="s">
        <v>40</v>
      </c>
      <c r="B13" s="41">
        <v>38169</v>
      </c>
      <c r="C13" s="41">
        <v>38200</v>
      </c>
      <c r="D13" s="41">
        <v>38231</v>
      </c>
      <c r="E13" s="41">
        <v>38261</v>
      </c>
      <c r="F13" s="41">
        <v>38292</v>
      </c>
      <c r="G13" s="41">
        <v>38322</v>
      </c>
      <c r="H13" s="41">
        <v>38353</v>
      </c>
      <c r="I13" s="41">
        <v>38384</v>
      </c>
      <c r="J13" s="41">
        <v>38412</v>
      </c>
      <c r="K13" s="41">
        <v>38443</v>
      </c>
      <c r="L13" s="41">
        <v>38473</v>
      </c>
      <c r="M13" s="41">
        <v>38504</v>
      </c>
      <c r="N13" s="5" t="s">
        <v>10</v>
      </c>
    </row>
    <row r="14" spans="1:16">
      <c r="A14" s="1" t="s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6">
      <c r="A15" s="1" t="s">
        <v>40</v>
      </c>
      <c r="N15" s="28"/>
    </row>
    <row r="16" spans="1:16">
      <c r="A16" t="s">
        <v>13</v>
      </c>
      <c r="B16" s="8" t="s">
        <v>41</v>
      </c>
      <c r="C16" s="8" t="s">
        <v>41</v>
      </c>
      <c r="D16" s="8" t="s">
        <v>41</v>
      </c>
      <c r="E16" s="21">
        <v>16</v>
      </c>
      <c r="F16" s="21">
        <v>78</v>
      </c>
      <c r="G16" s="21">
        <v>56</v>
      </c>
      <c r="H16" s="21">
        <v>58</v>
      </c>
      <c r="I16" s="21">
        <v>264</v>
      </c>
      <c r="J16" s="21">
        <v>607</v>
      </c>
      <c r="K16" s="21">
        <v>477</v>
      </c>
      <c r="L16" s="21">
        <v>66</v>
      </c>
      <c r="M16" s="21">
        <v>147</v>
      </c>
      <c r="N16" s="26">
        <f>SUM(B16:M16)</f>
        <v>1769</v>
      </c>
      <c r="O16" s="88">
        <v>4947</v>
      </c>
      <c r="P16" s="39">
        <f>O16/N16</f>
        <v>2.7964951950254382</v>
      </c>
    </row>
    <row r="17" spans="1:16">
      <c r="A17" t="s">
        <v>38</v>
      </c>
      <c r="B17" s="8" t="s">
        <v>41</v>
      </c>
      <c r="C17" s="8" t="s">
        <v>41</v>
      </c>
      <c r="D17" s="8" t="s">
        <v>41</v>
      </c>
      <c r="E17" s="21">
        <v>29</v>
      </c>
      <c r="F17" s="21">
        <v>68</v>
      </c>
      <c r="G17" s="21">
        <v>18</v>
      </c>
      <c r="H17" s="21">
        <v>36</v>
      </c>
      <c r="I17" s="21">
        <v>835</v>
      </c>
      <c r="J17" s="21">
        <v>754</v>
      </c>
      <c r="K17" s="21">
        <v>526</v>
      </c>
      <c r="L17" s="21">
        <v>40</v>
      </c>
      <c r="M17" s="21">
        <v>154</v>
      </c>
      <c r="N17" s="27">
        <f>SUM(B17:M17)</f>
        <v>2460</v>
      </c>
      <c r="O17" s="88">
        <v>4947</v>
      </c>
      <c r="P17" s="39">
        <f>O17/N17</f>
        <v>2.0109756097560973</v>
      </c>
    </row>
  </sheetData>
  <phoneticPr fontId="2" type="noConversion"/>
  <pageMargins left="0.75" right="0.75" top="1" bottom="1" header="0.5" footer="0.5"/>
  <pageSetup scale="87" orientation="landscape"/>
  <headerFooter>
    <oddFooter>&amp;L&amp;K000000LexisNexis&amp;R&amp;K0000002004-05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7"/>
  <sheetViews>
    <sheetView workbookViewId="0">
      <selection activeCell="O12" sqref="O12"/>
    </sheetView>
  </sheetViews>
  <sheetFormatPr baseColWidth="10" defaultColWidth="8.83203125" defaultRowHeight="12" x14ac:dyDescent="0"/>
  <cols>
    <col min="1" max="1" width="16.1640625" bestFit="1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5.5" bestFit="1" customWidth="1"/>
    <col min="15" max="15" width="8.6640625" bestFit="1" customWidth="1"/>
    <col min="16" max="16" width="6.6640625" bestFit="1" customWidth="1"/>
  </cols>
  <sheetData>
    <row r="1" spans="1:16" ht="18">
      <c r="A1" s="2" t="s">
        <v>17</v>
      </c>
    </row>
    <row r="2" spans="1:16" ht="17">
      <c r="A2" s="3" t="s">
        <v>99</v>
      </c>
    </row>
    <row r="4" spans="1:16" ht="36">
      <c r="A4" s="108" t="s">
        <v>100</v>
      </c>
      <c r="B4" s="41">
        <v>38169</v>
      </c>
      <c r="C4" s="41">
        <v>38200</v>
      </c>
      <c r="D4" s="41">
        <v>38231</v>
      </c>
      <c r="E4" s="41">
        <v>38261</v>
      </c>
      <c r="F4" s="41">
        <v>38292</v>
      </c>
      <c r="G4" s="41">
        <v>38322</v>
      </c>
      <c r="H4" s="41">
        <v>38353</v>
      </c>
      <c r="I4" s="41">
        <v>38384</v>
      </c>
      <c r="J4" s="41">
        <v>38412</v>
      </c>
      <c r="K4" s="41">
        <v>38443</v>
      </c>
      <c r="L4" s="41">
        <v>38473</v>
      </c>
      <c r="M4" s="41">
        <v>38504</v>
      </c>
      <c r="N4" s="5" t="s">
        <v>10</v>
      </c>
      <c r="O4" s="38" t="s">
        <v>113</v>
      </c>
      <c r="P4" s="38" t="s">
        <v>114</v>
      </c>
    </row>
    <row r="5" spans="1:16">
      <c r="A5" s="1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>
      <c r="A6" t="s">
        <v>12</v>
      </c>
      <c r="B6" s="29">
        <v>178</v>
      </c>
      <c r="C6" s="29">
        <v>40</v>
      </c>
      <c r="D6" s="29">
        <v>167</v>
      </c>
      <c r="E6" s="29">
        <v>263</v>
      </c>
      <c r="F6" s="29">
        <v>341</v>
      </c>
      <c r="G6" s="29">
        <v>255</v>
      </c>
      <c r="H6" s="29">
        <v>126</v>
      </c>
      <c r="I6" s="29">
        <v>268</v>
      </c>
      <c r="J6" s="29">
        <v>428</v>
      </c>
      <c r="K6" s="29">
        <v>514</v>
      </c>
      <c r="L6" s="29">
        <v>207</v>
      </c>
      <c r="M6" s="30">
        <v>284</v>
      </c>
      <c r="N6" s="26">
        <f>SUM(B6:M6)</f>
        <v>3071</v>
      </c>
      <c r="O6" s="97"/>
      <c r="P6" s="94"/>
    </row>
    <row r="7" spans="1:16">
      <c r="A7" t="s">
        <v>13</v>
      </c>
      <c r="B7" s="48">
        <v>351</v>
      </c>
      <c r="C7" s="48">
        <v>174</v>
      </c>
      <c r="D7" s="48">
        <v>373</v>
      </c>
      <c r="E7" s="48">
        <v>519</v>
      </c>
      <c r="F7" s="48">
        <v>1191</v>
      </c>
      <c r="G7" s="48">
        <v>424</v>
      </c>
      <c r="H7" s="48">
        <v>237</v>
      </c>
      <c r="I7" s="48">
        <v>539</v>
      </c>
      <c r="J7" s="48">
        <v>759</v>
      </c>
      <c r="K7" s="48">
        <v>775</v>
      </c>
      <c r="L7" s="48">
        <v>406</v>
      </c>
      <c r="M7" s="48">
        <v>481</v>
      </c>
      <c r="N7" s="26">
        <f>SUM(B7:M7)</f>
        <v>6229</v>
      </c>
      <c r="O7" s="93">
        <v>6686</v>
      </c>
      <c r="P7" s="94">
        <f>O7/N7</f>
        <v>1.073366511478568</v>
      </c>
    </row>
  </sheetData>
  <phoneticPr fontId="2" type="noConversion"/>
  <pageMargins left="0.75" right="0.75" top="1" bottom="1" header="0.5" footer="0.5"/>
  <pageSetup scale="97" orientation="landscape"/>
  <headerFooter>
    <oddFooter>&amp;L&amp;K000000MathSciNet&amp;R&amp;K0000002004-05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7"/>
  <sheetViews>
    <sheetView workbookViewId="0">
      <selection activeCell="A4" sqref="A4"/>
    </sheetView>
  </sheetViews>
  <sheetFormatPr baseColWidth="10" defaultColWidth="8.83203125" defaultRowHeight="12" x14ac:dyDescent="0"/>
  <cols>
    <col min="1" max="1" width="15.6640625" bestFit="1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5.5" bestFit="1" customWidth="1"/>
    <col min="15" max="15" width="8.6640625" bestFit="1" customWidth="1"/>
    <col min="16" max="16" width="8.33203125" bestFit="1" customWidth="1"/>
  </cols>
  <sheetData>
    <row r="1" spans="1:16" ht="18">
      <c r="A1" s="2" t="s">
        <v>127</v>
      </c>
    </row>
    <row r="2" spans="1:16" ht="17">
      <c r="A2" s="3" t="s">
        <v>99</v>
      </c>
    </row>
    <row r="4" spans="1:16" ht="36">
      <c r="A4" s="108" t="s">
        <v>100</v>
      </c>
      <c r="B4" s="41">
        <v>38169</v>
      </c>
      <c r="C4" s="41">
        <v>38200</v>
      </c>
      <c r="D4" s="41">
        <v>38231</v>
      </c>
      <c r="E4" s="41">
        <v>38261</v>
      </c>
      <c r="F4" s="41">
        <v>38292</v>
      </c>
      <c r="G4" s="41">
        <v>38322</v>
      </c>
      <c r="H4" s="41">
        <v>38353</v>
      </c>
      <c r="I4" s="41">
        <v>38384</v>
      </c>
      <c r="J4" s="41">
        <v>38412</v>
      </c>
      <c r="K4" s="41">
        <v>38443</v>
      </c>
      <c r="L4" s="41">
        <v>38473</v>
      </c>
      <c r="M4" s="41">
        <v>38504</v>
      </c>
      <c r="N4" s="5" t="s">
        <v>10</v>
      </c>
      <c r="O4" s="38" t="s">
        <v>113</v>
      </c>
      <c r="P4" s="38" t="s">
        <v>206</v>
      </c>
    </row>
    <row r="5" spans="1:16">
      <c r="A5" s="1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>
      <c r="A6" t="s">
        <v>13</v>
      </c>
      <c r="B6" s="48">
        <v>59</v>
      </c>
      <c r="C6" s="48">
        <v>47</v>
      </c>
      <c r="D6" s="48">
        <v>176</v>
      </c>
      <c r="E6" s="48">
        <v>370</v>
      </c>
      <c r="F6" s="48">
        <v>150</v>
      </c>
      <c r="G6" s="48">
        <v>192</v>
      </c>
      <c r="H6" s="48">
        <v>166</v>
      </c>
      <c r="I6" s="48">
        <v>45</v>
      </c>
      <c r="J6" s="48">
        <v>126</v>
      </c>
      <c r="K6" s="48">
        <v>61</v>
      </c>
      <c r="L6" s="48">
        <v>81</v>
      </c>
      <c r="M6" s="48">
        <v>8</v>
      </c>
      <c r="N6" s="26">
        <f>SUM(B6:M6)</f>
        <v>1481</v>
      </c>
      <c r="O6" s="93">
        <v>9900</v>
      </c>
      <c r="P6" s="94">
        <f>O6/N6</f>
        <v>6.6846725185685347</v>
      </c>
    </row>
    <row r="7" spans="1:16">
      <c r="A7" t="s">
        <v>128</v>
      </c>
      <c r="B7" s="55">
        <v>35</v>
      </c>
      <c r="C7" s="55">
        <v>27</v>
      </c>
      <c r="D7" s="55">
        <v>86</v>
      </c>
      <c r="E7" s="55">
        <v>202</v>
      </c>
      <c r="F7" s="55">
        <v>67</v>
      </c>
      <c r="G7" s="55">
        <v>88</v>
      </c>
      <c r="H7" s="55">
        <v>71</v>
      </c>
      <c r="I7" s="55">
        <v>27</v>
      </c>
      <c r="J7" s="55">
        <v>35</v>
      </c>
      <c r="K7" s="55">
        <v>10</v>
      </c>
      <c r="L7" s="55">
        <v>55</v>
      </c>
      <c r="M7" s="55">
        <v>0</v>
      </c>
      <c r="N7" s="26">
        <f>SUM(B7:M7)</f>
        <v>703</v>
      </c>
      <c r="O7" s="96">
        <v>9900</v>
      </c>
      <c r="P7" s="94">
        <f>O7/N7</f>
        <v>14.082503556187767</v>
      </c>
    </row>
  </sheetData>
  <phoneticPr fontId="2" type="noConversion"/>
  <pageMargins left="0.75" right="0.75" top="1" bottom="1" header="0.5" footer="0.5"/>
  <pageSetup scale="96" orientation="landscape"/>
  <headerFooter>
    <oddFooter>&amp;L&amp;K000000Mergent&amp;R&amp;K0000002004-05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6"/>
  <sheetViews>
    <sheetView workbookViewId="0"/>
  </sheetViews>
  <sheetFormatPr baseColWidth="10" defaultColWidth="8.83203125" defaultRowHeight="12" x14ac:dyDescent="0"/>
  <cols>
    <col min="1" max="1" width="12.33203125" bestFit="1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5.1640625" bestFit="1" customWidth="1"/>
    <col min="15" max="15" width="8" bestFit="1" customWidth="1"/>
    <col min="16" max="16" width="7.5" bestFit="1" customWidth="1"/>
  </cols>
  <sheetData>
    <row r="1" spans="1:16" ht="18">
      <c r="A1" s="2" t="s">
        <v>138</v>
      </c>
    </row>
    <row r="2" spans="1:16" ht="17">
      <c r="A2" s="3" t="s">
        <v>99</v>
      </c>
    </row>
    <row r="4" spans="1:16" ht="41.25" customHeight="1">
      <c r="A4" s="108" t="s">
        <v>100</v>
      </c>
      <c r="B4" s="41">
        <v>38169</v>
      </c>
      <c r="C4" s="41">
        <v>38200</v>
      </c>
      <c r="D4" s="41">
        <v>38231</v>
      </c>
      <c r="E4" s="41">
        <v>38261</v>
      </c>
      <c r="F4" s="41">
        <v>38292</v>
      </c>
      <c r="G4" s="41">
        <v>38322</v>
      </c>
      <c r="H4" s="41">
        <v>38353</v>
      </c>
      <c r="I4" s="41">
        <v>38384</v>
      </c>
      <c r="J4" s="41">
        <v>38412</v>
      </c>
      <c r="K4" s="41">
        <v>38443</v>
      </c>
      <c r="L4" s="41">
        <v>38473</v>
      </c>
      <c r="M4" s="41">
        <v>38504</v>
      </c>
      <c r="N4" s="5" t="s">
        <v>10</v>
      </c>
      <c r="O4" s="38" t="s">
        <v>113</v>
      </c>
      <c r="P4" s="38" t="s">
        <v>212</v>
      </c>
    </row>
    <row r="5" spans="1:16">
      <c r="A5" s="1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>
      <c r="A6" t="s">
        <v>12</v>
      </c>
      <c r="B6" s="37">
        <v>2</v>
      </c>
      <c r="C6" s="37">
        <v>0</v>
      </c>
      <c r="D6" s="37">
        <v>0</v>
      </c>
      <c r="E6" s="37">
        <v>0</v>
      </c>
      <c r="F6" s="37">
        <v>0</v>
      </c>
      <c r="G6" s="37">
        <v>2</v>
      </c>
      <c r="H6" s="37">
        <v>0</v>
      </c>
      <c r="I6" s="37">
        <v>0</v>
      </c>
      <c r="J6" s="37">
        <v>0</v>
      </c>
      <c r="K6" s="37">
        <v>3</v>
      </c>
      <c r="L6" s="37">
        <v>0</v>
      </c>
      <c r="M6" s="37">
        <v>0</v>
      </c>
      <c r="N6" s="9">
        <f>SUM(B6:M6)</f>
        <v>7</v>
      </c>
      <c r="O6" s="93">
        <v>401</v>
      </c>
      <c r="P6" s="94">
        <f>O6/N6</f>
        <v>57.285714285714285</v>
      </c>
    </row>
  </sheetData>
  <phoneticPr fontId="2" type="noConversion"/>
  <pageMargins left="0.75" right="0.75" top="1" bottom="1" header="0.5" footer="0.5"/>
  <pageSetup orientation="landscape"/>
  <headerFooter>
    <oddFooter>&amp;L&amp;K000000MINABS&amp;R&amp;K0000002004-05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6"/>
  <sheetViews>
    <sheetView workbookViewId="0"/>
  </sheetViews>
  <sheetFormatPr baseColWidth="10" defaultColWidth="8.83203125" defaultRowHeight="12" x14ac:dyDescent="0"/>
  <cols>
    <col min="1" max="1" width="16.83203125" bestFit="1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5.5" bestFit="1" customWidth="1"/>
    <col min="15" max="15" width="8.6640625" bestFit="1" customWidth="1"/>
    <col min="16" max="16" width="8.33203125" bestFit="1" customWidth="1"/>
  </cols>
  <sheetData>
    <row r="1" spans="1:16" ht="18">
      <c r="A1" s="2" t="s">
        <v>29</v>
      </c>
    </row>
    <row r="2" spans="1:16" ht="17">
      <c r="A2" s="3" t="s">
        <v>99</v>
      </c>
    </row>
    <row r="4" spans="1:16" ht="36">
      <c r="A4" s="108" t="s">
        <v>100</v>
      </c>
      <c r="B4" s="41">
        <v>38169</v>
      </c>
      <c r="C4" s="41">
        <v>38200</v>
      </c>
      <c r="D4" s="41">
        <v>38231</v>
      </c>
      <c r="E4" s="41">
        <v>38261</v>
      </c>
      <c r="F4" s="41">
        <v>38292</v>
      </c>
      <c r="G4" s="41">
        <v>38322</v>
      </c>
      <c r="H4" s="41">
        <v>38353</v>
      </c>
      <c r="I4" s="41">
        <v>38384</v>
      </c>
      <c r="J4" s="41">
        <v>38412</v>
      </c>
      <c r="K4" s="41">
        <v>38443</v>
      </c>
      <c r="L4" s="41">
        <v>38473</v>
      </c>
      <c r="M4" s="41">
        <v>38504</v>
      </c>
      <c r="N4" s="5" t="s">
        <v>10</v>
      </c>
      <c r="O4" s="38" t="s">
        <v>113</v>
      </c>
      <c r="P4" s="38" t="s">
        <v>114</v>
      </c>
    </row>
    <row r="5" spans="1:16">
      <c r="A5" s="1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>
      <c r="A6" t="s">
        <v>13</v>
      </c>
      <c r="B6" s="48">
        <v>10</v>
      </c>
      <c r="C6" s="48">
        <v>14</v>
      </c>
      <c r="D6" s="48">
        <v>48</v>
      </c>
      <c r="E6" s="48">
        <v>136</v>
      </c>
      <c r="F6" s="48">
        <v>113</v>
      </c>
      <c r="G6" s="48">
        <v>261</v>
      </c>
      <c r="H6" s="48">
        <v>7</v>
      </c>
      <c r="I6" s="48">
        <v>312</v>
      </c>
      <c r="J6" s="48">
        <v>508</v>
      </c>
      <c r="K6" s="48">
        <v>166</v>
      </c>
      <c r="L6" s="48">
        <v>4</v>
      </c>
      <c r="M6" s="48">
        <v>39</v>
      </c>
      <c r="N6" s="26">
        <f>SUM(B6:M6)</f>
        <v>1618</v>
      </c>
      <c r="O6" s="93">
        <v>2255</v>
      </c>
      <c r="P6" s="94">
        <f>O6/N6</f>
        <v>1.3936959208899877</v>
      </c>
    </row>
  </sheetData>
  <phoneticPr fontId="2" type="noConversion"/>
  <pageMargins left="0.75" right="0.75" top="1" bottom="1" header="0.5" footer="0.5"/>
  <pageSetup scale="95" orientation="landscape" horizontalDpi="1200" verticalDpi="1200"/>
  <headerFooter>
    <oddFooter>&amp;L&amp;K000000Music Index&amp;R&amp;K0000002004-05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8"/>
  <sheetViews>
    <sheetView workbookViewId="0"/>
  </sheetViews>
  <sheetFormatPr baseColWidth="10" defaultColWidth="8.83203125" defaultRowHeight="12" x14ac:dyDescent="0"/>
  <cols>
    <col min="1" max="1" width="21.6640625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5.1640625" bestFit="1" customWidth="1"/>
    <col min="15" max="15" width="8" bestFit="1" customWidth="1"/>
    <col min="16" max="16" width="8.33203125" bestFit="1" customWidth="1"/>
  </cols>
  <sheetData>
    <row r="1" spans="1:16" ht="18">
      <c r="A1" s="2" t="s">
        <v>129</v>
      </c>
    </row>
    <row r="2" spans="1:16" ht="17">
      <c r="A2" s="3" t="s">
        <v>99</v>
      </c>
    </row>
    <row r="4" spans="1:16" ht="36">
      <c r="A4" s="108" t="s">
        <v>100</v>
      </c>
      <c r="B4" s="41">
        <v>38169</v>
      </c>
      <c r="C4" s="41">
        <v>38200</v>
      </c>
      <c r="D4" s="41">
        <v>38231</v>
      </c>
      <c r="E4" s="41">
        <v>38261</v>
      </c>
      <c r="F4" s="41">
        <v>38292</v>
      </c>
      <c r="G4" s="41">
        <v>38322</v>
      </c>
      <c r="H4" s="41">
        <v>38353</v>
      </c>
      <c r="I4" s="41">
        <v>38384</v>
      </c>
      <c r="J4" s="41">
        <v>38412</v>
      </c>
      <c r="K4" s="41">
        <v>38443</v>
      </c>
      <c r="L4" s="41">
        <v>38473</v>
      </c>
      <c r="M4" s="41">
        <v>38504</v>
      </c>
      <c r="N4" s="5" t="s">
        <v>10</v>
      </c>
      <c r="O4" s="38" t="s">
        <v>113</v>
      </c>
      <c r="P4" s="38" t="s">
        <v>210</v>
      </c>
    </row>
    <row r="5" spans="1:16">
      <c r="A5" s="1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>
      <c r="A6" t="s">
        <v>209</v>
      </c>
      <c r="B6" s="55">
        <v>76</v>
      </c>
      <c r="C6" s="55">
        <v>53</v>
      </c>
      <c r="D6" s="55">
        <v>86</v>
      </c>
      <c r="E6" s="55">
        <v>143</v>
      </c>
      <c r="F6" s="55">
        <v>151</v>
      </c>
      <c r="G6" s="55">
        <v>90</v>
      </c>
      <c r="H6" s="89">
        <v>59</v>
      </c>
      <c r="I6" s="80">
        <v>94</v>
      </c>
      <c r="J6" s="80">
        <v>96</v>
      </c>
      <c r="K6" s="80">
        <v>104</v>
      </c>
      <c r="L6" s="80">
        <v>69</v>
      </c>
      <c r="M6" s="81">
        <v>50</v>
      </c>
      <c r="N6" s="26">
        <f>SUM(B6:M6)</f>
        <v>1071</v>
      </c>
      <c r="O6" s="39">
        <v>0</v>
      </c>
      <c r="P6" s="95" t="s">
        <v>41</v>
      </c>
    </row>
    <row r="7" spans="1:16">
      <c r="A7" t="s">
        <v>22</v>
      </c>
      <c r="B7" s="48">
        <v>21</v>
      </c>
      <c r="C7" s="48">
        <v>15</v>
      </c>
      <c r="D7" s="48">
        <v>44</v>
      </c>
      <c r="E7" s="48">
        <v>4</v>
      </c>
      <c r="F7" s="48">
        <v>18</v>
      </c>
      <c r="G7" s="48">
        <v>8</v>
      </c>
      <c r="H7" s="48">
        <v>8</v>
      </c>
      <c r="I7" s="48">
        <v>14</v>
      </c>
      <c r="J7" s="48">
        <v>10</v>
      </c>
      <c r="K7" s="48">
        <v>8</v>
      </c>
      <c r="L7" s="48">
        <v>12</v>
      </c>
      <c r="M7" s="48">
        <v>4</v>
      </c>
      <c r="N7" s="26">
        <f>SUM(B7:M7)</f>
        <v>166</v>
      </c>
      <c r="O7" s="39"/>
      <c r="P7" s="39"/>
    </row>
    <row r="10" spans="1:16">
      <c r="A10" t="s">
        <v>208</v>
      </c>
    </row>
    <row r="14" spans="1:16">
      <c r="I14" s="31"/>
    </row>
    <row r="15" spans="1:16">
      <c r="I15" s="32"/>
    </row>
    <row r="16" spans="1:16">
      <c r="I16" s="33"/>
    </row>
    <row r="17" spans="9:9">
      <c r="I17" s="33"/>
    </row>
    <row r="18" spans="9:9">
      <c r="I18" s="33"/>
    </row>
  </sheetData>
  <phoneticPr fontId="2" type="noConversion"/>
  <pageMargins left="0.75" right="0.75" top="1" bottom="1" header="0.5" footer="0.5"/>
  <pageSetup scale="92" fitToHeight="2" orientation="landscape"/>
  <headerFooter>
    <oddFooter>&amp;L&amp;K000000NetLibrary&amp;R&amp;K0000002004-05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27"/>
  <sheetViews>
    <sheetView workbookViewId="0"/>
  </sheetViews>
  <sheetFormatPr baseColWidth="10" defaultColWidth="8.83203125" defaultRowHeight="12" x14ac:dyDescent="0"/>
  <cols>
    <col min="1" max="1" width="19.83203125" bestFit="1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3" width="7" bestFit="1" customWidth="1"/>
    <col min="14" max="14" width="6.33203125" bestFit="1" customWidth="1"/>
    <col min="15" max="15" width="9.1640625" bestFit="1" customWidth="1"/>
    <col min="16" max="16" width="8.5" bestFit="1" customWidth="1"/>
  </cols>
  <sheetData>
    <row r="1" spans="1:16" ht="18">
      <c r="A1" s="2" t="s">
        <v>130</v>
      </c>
    </row>
    <row r="2" spans="1:16" ht="17">
      <c r="A2" s="3" t="s">
        <v>99</v>
      </c>
    </row>
    <row r="4" spans="1:16" ht="13">
      <c r="A4" s="108" t="s">
        <v>100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6">
      <c r="A5" s="1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>
      <c r="A6" s="1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6" ht="24">
      <c r="A7" s="13" t="s">
        <v>3</v>
      </c>
      <c r="B7" s="41"/>
      <c r="C7" s="41"/>
      <c r="D7" s="41"/>
      <c r="E7" s="41"/>
      <c r="F7" s="41"/>
      <c r="G7" s="41" t="s">
        <v>5</v>
      </c>
      <c r="H7" s="41"/>
      <c r="I7" s="41"/>
      <c r="J7" s="41"/>
      <c r="K7" s="41"/>
      <c r="L7" s="41"/>
      <c r="M7" s="41" t="s">
        <v>6</v>
      </c>
      <c r="N7" s="5" t="s">
        <v>10</v>
      </c>
      <c r="O7" s="38" t="s">
        <v>113</v>
      </c>
      <c r="P7" s="38" t="s">
        <v>114</v>
      </c>
    </row>
    <row r="8" spans="1:16">
      <c r="A8" t="s">
        <v>12</v>
      </c>
      <c r="B8" s="37"/>
      <c r="C8" s="37"/>
      <c r="D8" s="37"/>
      <c r="E8" s="37"/>
      <c r="F8" s="37"/>
      <c r="G8" s="48">
        <f>999+2990+252+322</f>
        <v>4563</v>
      </c>
      <c r="H8" s="48"/>
      <c r="I8" s="48"/>
      <c r="J8" s="48"/>
      <c r="K8" s="48"/>
      <c r="L8" s="48"/>
      <c r="M8" s="48">
        <v>2627</v>
      </c>
      <c r="N8" s="26">
        <f>SUM(G8:M8)</f>
        <v>7190</v>
      </c>
      <c r="O8" s="39"/>
      <c r="P8" s="39"/>
    </row>
    <row r="9" spans="1:16">
      <c r="A9" t="s">
        <v>13</v>
      </c>
      <c r="B9" s="15"/>
      <c r="C9" s="15"/>
      <c r="D9" s="15"/>
      <c r="E9" s="15"/>
      <c r="F9" s="15"/>
      <c r="G9" s="55">
        <f>0+11606+0+0</f>
        <v>11606</v>
      </c>
      <c r="H9" s="55"/>
      <c r="I9" s="55"/>
      <c r="J9" s="55"/>
      <c r="K9" s="55"/>
      <c r="L9" s="55"/>
      <c r="M9" s="55">
        <v>13284</v>
      </c>
      <c r="N9" s="26">
        <f>SUM(G9:M9)</f>
        <v>24890</v>
      </c>
      <c r="O9" s="39">
        <v>5273</v>
      </c>
      <c r="P9" s="39">
        <f>O9/N9</f>
        <v>0.21185214945761349</v>
      </c>
    </row>
    <row r="10" spans="1:16">
      <c r="A10" t="s">
        <v>4</v>
      </c>
      <c r="B10" s="15"/>
      <c r="C10" s="15"/>
      <c r="D10" s="15"/>
      <c r="E10" s="15"/>
      <c r="F10" s="15"/>
      <c r="G10" s="55">
        <f>0+0+0+0</f>
        <v>0</v>
      </c>
      <c r="H10" s="55"/>
      <c r="I10" s="55"/>
      <c r="J10" s="55"/>
      <c r="K10" s="55"/>
      <c r="L10" s="55"/>
      <c r="M10" s="55">
        <v>0</v>
      </c>
      <c r="N10" s="26">
        <v>0</v>
      </c>
      <c r="O10" s="39"/>
      <c r="P10" s="39"/>
    </row>
    <row r="11" spans="1:16" ht="24">
      <c r="A11" s="43" t="s">
        <v>166</v>
      </c>
      <c r="B11" s="41"/>
      <c r="C11" s="41"/>
      <c r="D11" s="41"/>
      <c r="E11" s="41"/>
      <c r="F11" s="41"/>
      <c r="G11" s="41" t="s">
        <v>5</v>
      </c>
      <c r="H11" s="41"/>
      <c r="I11" s="41"/>
      <c r="J11" s="41"/>
      <c r="K11" s="41"/>
      <c r="L11" s="41"/>
      <c r="M11" s="41" t="s">
        <v>6</v>
      </c>
      <c r="O11" s="38"/>
      <c r="P11" s="38"/>
    </row>
    <row r="12" spans="1:16">
      <c r="A12" t="s">
        <v>12</v>
      </c>
      <c r="B12" s="37"/>
      <c r="C12" s="37"/>
      <c r="D12" s="37"/>
      <c r="E12" s="37"/>
      <c r="F12" s="37"/>
      <c r="G12" s="48">
        <f>2+3+1+1+1+12</f>
        <v>20</v>
      </c>
      <c r="H12" s="48"/>
      <c r="I12" s="48"/>
      <c r="J12" s="48"/>
      <c r="K12" s="48"/>
      <c r="L12" s="48"/>
      <c r="M12" s="48">
        <v>35</v>
      </c>
      <c r="N12" s="26">
        <f>SUM(G12:M12)</f>
        <v>55</v>
      </c>
      <c r="O12" s="39"/>
      <c r="P12" s="39"/>
    </row>
    <row r="13" spans="1:16">
      <c r="A13" t="s">
        <v>13</v>
      </c>
      <c r="B13" s="15"/>
      <c r="C13" s="15"/>
      <c r="D13" s="15"/>
      <c r="E13" s="15"/>
      <c r="F13" s="15"/>
      <c r="G13" s="55">
        <f>5+0+1+0+0+41</f>
        <v>47</v>
      </c>
      <c r="H13" s="55"/>
      <c r="I13" s="55"/>
      <c r="J13" s="55"/>
      <c r="K13" s="55"/>
      <c r="L13" s="55"/>
      <c r="M13" s="55">
        <v>10</v>
      </c>
      <c r="N13" s="26">
        <f>SUM(G13:M13)</f>
        <v>57</v>
      </c>
      <c r="O13" s="39">
        <v>0</v>
      </c>
      <c r="P13" s="95" t="s">
        <v>41</v>
      </c>
    </row>
    <row r="14" spans="1:16">
      <c r="A14" t="s">
        <v>4</v>
      </c>
      <c r="B14" s="15"/>
      <c r="C14" s="15"/>
      <c r="D14" s="15"/>
      <c r="E14" s="15"/>
      <c r="F14" s="15"/>
      <c r="G14" s="55">
        <f>0+0+0+0+0+0</f>
        <v>0</v>
      </c>
      <c r="H14" s="55"/>
      <c r="I14" s="55"/>
      <c r="J14" s="55"/>
      <c r="K14" s="55"/>
      <c r="L14" s="55"/>
      <c r="M14" s="55">
        <v>0</v>
      </c>
      <c r="N14" s="26">
        <v>0</v>
      </c>
      <c r="O14" s="39"/>
      <c r="P14" s="39"/>
    </row>
    <row r="15" spans="1:16">
      <c r="O15" s="39"/>
      <c r="P15" s="39"/>
    </row>
    <row r="16" spans="1:16" ht="24">
      <c r="A16" s="43" t="s">
        <v>49</v>
      </c>
      <c r="B16" s="41"/>
      <c r="C16" s="41"/>
      <c r="D16" s="41"/>
      <c r="E16" s="41"/>
      <c r="F16" s="41"/>
      <c r="G16" s="41" t="s">
        <v>5</v>
      </c>
      <c r="H16" s="41"/>
      <c r="I16" s="41"/>
      <c r="J16" s="41"/>
      <c r="K16" s="41"/>
      <c r="L16" s="41"/>
      <c r="M16" s="41" t="s">
        <v>6</v>
      </c>
      <c r="O16" s="39"/>
      <c r="P16" s="39"/>
    </row>
    <row r="17" spans="1:16">
      <c r="A17" t="s">
        <v>12</v>
      </c>
      <c r="B17" s="37"/>
      <c r="C17" s="37"/>
      <c r="D17" s="37"/>
      <c r="E17" s="37"/>
      <c r="F17" s="37"/>
      <c r="G17" s="48">
        <f>1</f>
        <v>1</v>
      </c>
      <c r="H17" s="48"/>
      <c r="I17" s="48"/>
      <c r="J17" s="48"/>
      <c r="K17" s="48"/>
      <c r="L17" s="48"/>
      <c r="M17" s="48">
        <v>1</v>
      </c>
      <c r="N17" s="26">
        <f>SUM(G17:M17)</f>
        <v>2</v>
      </c>
      <c r="O17" s="39"/>
      <c r="P17" s="39"/>
    </row>
    <row r="18" spans="1:16">
      <c r="A18" t="s">
        <v>13</v>
      </c>
      <c r="B18" s="15"/>
      <c r="C18" s="15"/>
      <c r="D18" s="15"/>
      <c r="E18" s="15"/>
      <c r="F18" s="15"/>
      <c r="G18" s="55">
        <f>7</f>
        <v>7</v>
      </c>
      <c r="H18" s="55"/>
      <c r="I18" s="55"/>
      <c r="J18" s="55"/>
      <c r="K18" s="55"/>
      <c r="L18" s="55"/>
      <c r="M18" s="55">
        <v>0</v>
      </c>
      <c r="N18" s="26">
        <f>SUM(G18:M18)</f>
        <v>7</v>
      </c>
      <c r="O18" s="39">
        <v>0</v>
      </c>
      <c r="P18" s="95" t="s">
        <v>41</v>
      </c>
    </row>
    <row r="19" spans="1:16">
      <c r="A19" t="s">
        <v>4</v>
      </c>
      <c r="B19" s="15"/>
      <c r="C19" s="15"/>
      <c r="D19" s="15"/>
      <c r="E19" s="15"/>
      <c r="F19" s="15"/>
      <c r="G19" s="55">
        <f>0</f>
        <v>0</v>
      </c>
      <c r="H19" s="55"/>
      <c r="I19" s="55"/>
      <c r="J19" s="55"/>
      <c r="K19" s="55"/>
      <c r="L19" s="55"/>
      <c r="M19" s="55">
        <v>0</v>
      </c>
      <c r="N19" s="26">
        <v>0</v>
      </c>
      <c r="O19" s="39"/>
      <c r="P19" s="39"/>
    </row>
    <row r="22" spans="1:16">
      <c r="A22" s="13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14"/>
    </row>
    <row r="23" spans="1:16" ht="13">
      <c r="A23" s="108" t="s">
        <v>100</v>
      </c>
      <c r="B23" s="41">
        <v>38169</v>
      </c>
      <c r="C23" s="41">
        <v>38200</v>
      </c>
      <c r="D23" s="41">
        <v>38231</v>
      </c>
      <c r="E23" s="41">
        <v>38261</v>
      </c>
      <c r="F23" s="41">
        <v>38292</v>
      </c>
      <c r="G23" s="41">
        <v>38322</v>
      </c>
      <c r="H23" s="41">
        <v>38353</v>
      </c>
      <c r="I23" s="41">
        <v>38384</v>
      </c>
      <c r="J23" s="41">
        <v>38412</v>
      </c>
      <c r="K23" s="41">
        <v>38443</v>
      </c>
      <c r="L23" s="41">
        <v>38473</v>
      </c>
      <c r="M23" s="41">
        <v>38504</v>
      </c>
      <c r="N23" s="5" t="s">
        <v>10</v>
      </c>
    </row>
    <row r="24" spans="1:16">
      <c r="A24" s="1" t="s">
        <v>131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6">
      <c r="A25" t="s">
        <v>12</v>
      </c>
      <c r="B25" s="37"/>
      <c r="C25" s="37"/>
      <c r="D25" s="37"/>
      <c r="E25" s="37"/>
      <c r="F25" s="37"/>
      <c r="G25" s="37"/>
      <c r="H25" s="48">
        <v>138</v>
      </c>
      <c r="I25" s="48">
        <v>1187</v>
      </c>
      <c r="J25" s="48">
        <v>555</v>
      </c>
      <c r="K25" s="48">
        <v>1130</v>
      </c>
      <c r="L25" s="48">
        <v>255</v>
      </c>
      <c r="M25" s="48">
        <v>209</v>
      </c>
      <c r="N25" s="26">
        <f>SUM(B25:M25)</f>
        <v>3474</v>
      </c>
    </row>
    <row r="26" spans="1:16">
      <c r="A26" t="s">
        <v>13</v>
      </c>
      <c r="B26" s="15"/>
      <c r="C26" s="15"/>
      <c r="D26" s="15"/>
      <c r="E26" s="15"/>
      <c r="F26" s="15"/>
      <c r="G26" s="15"/>
      <c r="H26" s="55">
        <v>320</v>
      </c>
      <c r="I26" s="55">
        <v>4584</v>
      </c>
      <c r="J26" s="55">
        <v>4226</v>
      </c>
      <c r="K26" s="55">
        <v>2965</v>
      </c>
      <c r="L26" s="55">
        <v>930</v>
      </c>
      <c r="M26" s="55">
        <v>1056</v>
      </c>
      <c r="N26" s="26">
        <f>SUM(B26:M26)</f>
        <v>14081</v>
      </c>
      <c r="O26" s="39">
        <v>5273</v>
      </c>
      <c r="P26" s="39">
        <f>O26/N26</f>
        <v>0.37447624458490164</v>
      </c>
    </row>
    <row r="27" spans="1:16">
      <c r="A27" t="s">
        <v>22</v>
      </c>
      <c r="B27" s="15"/>
      <c r="C27" s="15"/>
      <c r="D27" s="15"/>
      <c r="E27" s="15"/>
      <c r="F27" s="15"/>
      <c r="G27" s="15"/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>
        <v>0</v>
      </c>
      <c r="N27" s="26">
        <f>SUM(B27:M27)</f>
        <v>0</v>
      </c>
    </row>
  </sheetData>
  <phoneticPr fontId="2" type="noConversion"/>
  <pageMargins left="0.75" right="0.75" top="1" bottom="1" header="0.5" footer="0.5"/>
  <pageSetup scale="91" fitToHeight="5" orientation="landscape"/>
  <headerFooter>
    <oddFooter>&amp;L&amp;K000000OVID&amp;R&amp;K0000002004-05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43"/>
  <sheetViews>
    <sheetView workbookViewId="0"/>
  </sheetViews>
  <sheetFormatPr baseColWidth="10" defaultColWidth="8.83203125" defaultRowHeight="12" x14ac:dyDescent="0"/>
  <cols>
    <col min="1" max="1" width="32.1640625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6.33203125" bestFit="1" customWidth="1"/>
    <col min="15" max="15" width="9.6640625" bestFit="1" customWidth="1"/>
    <col min="16" max="16" width="8" bestFit="1" customWidth="1"/>
  </cols>
  <sheetData>
    <row r="1" spans="1:16" ht="18">
      <c r="A1" s="2" t="s">
        <v>66</v>
      </c>
    </row>
    <row r="2" spans="1:16" ht="17">
      <c r="A2" s="3" t="s">
        <v>99</v>
      </c>
    </row>
    <row r="5" spans="1:16" ht="24">
      <c r="A5" s="108" t="s">
        <v>70</v>
      </c>
      <c r="B5" s="41">
        <v>38169</v>
      </c>
      <c r="C5" s="41">
        <v>38200</v>
      </c>
      <c r="D5" s="41">
        <v>38231</v>
      </c>
      <c r="E5" s="41">
        <v>38261</v>
      </c>
      <c r="F5" s="41">
        <v>38292</v>
      </c>
      <c r="G5" s="41">
        <v>38322</v>
      </c>
      <c r="H5" s="41">
        <v>38353</v>
      </c>
      <c r="I5" s="41">
        <v>38384</v>
      </c>
      <c r="J5" s="41">
        <v>38412</v>
      </c>
      <c r="K5" s="41">
        <v>38443</v>
      </c>
      <c r="L5" s="41">
        <v>38473</v>
      </c>
      <c r="M5" s="41">
        <v>38504</v>
      </c>
      <c r="N5" s="5" t="s">
        <v>10</v>
      </c>
      <c r="O5" s="38" t="s">
        <v>115</v>
      </c>
      <c r="P5" s="38" t="s">
        <v>207</v>
      </c>
    </row>
    <row r="6" spans="1:16">
      <c r="A6" s="1" t="s">
        <v>11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6">
      <c r="A7" t="s">
        <v>13</v>
      </c>
      <c r="B7" s="80">
        <v>1099</v>
      </c>
      <c r="C7" s="80">
        <v>740</v>
      </c>
      <c r="D7" s="80">
        <v>1971</v>
      </c>
      <c r="E7" s="80">
        <v>3259</v>
      </c>
      <c r="F7" s="80">
        <v>3766</v>
      </c>
      <c r="G7" s="80">
        <v>3344</v>
      </c>
      <c r="H7" s="80">
        <v>1633</v>
      </c>
      <c r="I7" s="80">
        <v>3198</v>
      </c>
      <c r="J7" s="80">
        <v>3942</v>
      </c>
      <c r="K7" s="80">
        <v>4592</v>
      </c>
      <c r="L7" s="80">
        <v>2317</v>
      </c>
      <c r="M7" s="81">
        <v>1444</v>
      </c>
      <c r="N7" s="106">
        <f>SUM(B7:M7)</f>
        <v>31305</v>
      </c>
      <c r="O7" s="39">
        <v>17500</v>
      </c>
      <c r="P7" s="39">
        <f>O7/N7</f>
        <v>0.55901613160836927</v>
      </c>
    </row>
    <row r="8" spans="1:16">
      <c r="O8" s="39"/>
      <c r="P8" s="39"/>
    </row>
    <row r="9" spans="1:16">
      <c r="O9" s="39"/>
      <c r="P9" s="39"/>
    </row>
    <row r="10" spans="1:16" ht="13">
      <c r="A10" s="108" t="s">
        <v>69</v>
      </c>
      <c r="B10" s="41">
        <v>38169</v>
      </c>
      <c r="C10" s="41">
        <v>38200</v>
      </c>
      <c r="D10" s="41">
        <v>38231</v>
      </c>
      <c r="E10" s="41">
        <v>38261</v>
      </c>
      <c r="F10" s="41">
        <v>38292</v>
      </c>
      <c r="G10" s="41">
        <v>38322</v>
      </c>
      <c r="H10" s="41">
        <v>38353</v>
      </c>
      <c r="I10" s="41">
        <v>38384</v>
      </c>
      <c r="J10" s="41">
        <v>38412</v>
      </c>
      <c r="K10" s="41">
        <v>38443</v>
      </c>
      <c r="L10" s="41">
        <v>38473</v>
      </c>
      <c r="M10" s="41">
        <v>38504</v>
      </c>
      <c r="N10" s="5" t="s">
        <v>10</v>
      </c>
      <c r="O10" s="39"/>
      <c r="P10" s="39"/>
    </row>
    <row r="11" spans="1:16">
      <c r="A11" s="1" t="s">
        <v>11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39"/>
      <c r="P11" s="39"/>
    </row>
    <row r="12" spans="1:16">
      <c r="A12" s="35" t="s">
        <v>13</v>
      </c>
      <c r="B12" s="80">
        <v>263</v>
      </c>
      <c r="C12" s="80">
        <v>145</v>
      </c>
      <c r="D12" s="80">
        <v>750</v>
      </c>
      <c r="E12" s="80">
        <v>1298</v>
      </c>
      <c r="F12" s="80">
        <v>1568</v>
      </c>
      <c r="G12" s="80">
        <v>1287</v>
      </c>
      <c r="H12" s="80">
        <v>466</v>
      </c>
      <c r="I12" s="80">
        <v>1435</v>
      </c>
      <c r="J12" s="80">
        <v>1784</v>
      </c>
      <c r="K12" s="80">
        <v>1583</v>
      </c>
      <c r="L12" s="80">
        <v>822</v>
      </c>
      <c r="M12" s="81">
        <v>438</v>
      </c>
      <c r="N12" s="106">
        <f>SUM(B12:M12)</f>
        <v>11839</v>
      </c>
      <c r="O12" s="39">
        <v>0</v>
      </c>
      <c r="P12" s="95" t="s">
        <v>41</v>
      </c>
    </row>
    <row r="13" spans="1:16">
      <c r="O13" s="39"/>
      <c r="P13" s="39"/>
    </row>
    <row r="14" spans="1:16">
      <c r="O14" s="39"/>
      <c r="P14" s="39"/>
    </row>
    <row r="15" spans="1:16" ht="13">
      <c r="A15" s="108" t="s">
        <v>68</v>
      </c>
      <c r="B15" s="41">
        <v>38169</v>
      </c>
      <c r="C15" s="41">
        <v>38200</v>
      </c>
      <c r="D15" s="41">
        <v>38231</v>
      </c>
      <c r="E15" s="41">
        <v>38261</v>
      </c>
      <c r="F15" s="41">
        <v>38292</v>
      </c>
      <c r="G15" s="41">
        <v>38322</v>
      </c>
      <c r="H15" s="41">
        <v>38353</v>
      </c>
      <c r="I15" s="41">
        <v>38384</v>
      </c>
      <c r="J15" s="41">
        <v>38412</v>
      </c>
      <c r="K15" s="41">
        <v>38443</v>
      </c>
      <c r="L15" s="41">
        <v>38473</v>
      </c>
      <c r="M15" s="41">
        <v>38504</v>
      </c>
      <c r="N15" s="5" t="s">
        <v>10</v>
      </c>
      <c r="O15" s="39"/>
      <c r="P15" s="39"/>
    </row>
    <row r="16" spans="1:16">
      <c r="A16" s="1" t="s">
        <v>11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39"/>
      <c r="P16" s="39"/>
    </row>
    <row r="17" spans="1:16">
      <c r="A17" s="36" t="s">
        <v>13</v>
      </c>
      <c r="B17" s="80">
        <v>262</v>
      </c>
      <c r="C17" s="80">
        <v>158</v>
      </c>
      <c r="D17" s="80">
        <v>542</v>
      </c>
      <c r="E17" s="80">
        <v>1331</v>
      </c>
      <c r="F17" s="80">
        <v>1706</v>
      </c>
      <c r="G17" s="80">
        <v>1226</v>
      </c>
      <c r="H17" s="80">
        <v>462</v>
      </c>
      <c r="I17" s="80">
        <v>1405</v>
      </c>
      <c r="J17" s="80">
        <v>1550</v>
      </c>
      <c r="K17" s="80">
        <v>1623</v>
      </c>
      <c r="L17" s="80">
        <v>753</v>
      </c>
      <c r="M17" s="81">
        <v>695</v>
      </c>
      <c r="N17" s="106">
        <f>SUM(B17:M17)</f>
        <v>11713</v>
      </c>
      <c r="O17" s="39">
        <v>2925</v>
      </c>
      <c r="P17" s="39">
        <f>O17/N17</f>
        <v>0.24972253052164262</v>
      </c>
    </row>
    <row r="18" spans="1:16">
      <c r="O18" s="39"/>
      <c r="P18" s="39"/>
    </row>
    <row r="19" spans="1:16">
      <c r="O19" s="39"/>
      <c r="P19" s="39"/>
    </row>
    <row r="20" spans="1:16" ht="26">
      <c r="A20" s="108" t="s">
        <v>98</v>
      </c>
      <c r="B20" s="41">
        <v>38169</v>
      </c>
      <c r="C20" s="41">
        <v>38200</v>
      </c>
      <c r="D20" s="41">
        <v>38231</v>
      </c>
      <c r="E20" s="41">
        <v>38261</v>
      </c>
      <c r="F20" s="41">
        <v>38292</v>
      </c>
      <c r="G20" s="41">
        <v>38322</v>
      </c>
      <c r="H20" s="41">
        <v>38353</v>
      </c>
      <c r="I20" s="41">
        <v>38384</v>
      </c>
      <c r="J20" s="41">
        <v>38412</v>
      </c>
      <c r="K20" s="41">
        <v>38443</v>
      </c>
      <c r="L20" s="41">
        <v>38473</v>
      </c>
      <c r="M20" s="41">
        <v>38504</v>
      </c>
      <c r="N20" s="5" t="s">
        <v>10</v>
      </c>
      <c r="O20" s="39"/>
      <c r="P20" s="39"/>
    </row>
    <row r="21" spans="1:16">
      <c r="A21" s="1" t="s">
        <v>11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39"/>
      <c r="P21" s="39"/>
    </row>
    <row r="22" spans="1:16">
      <c r="A22" s="35" t="s">
        <v>13</v>
      </c>
      <c r="B22" s="80">
        <v>7</v>
      </c>
      <c r="C22" s="80">
        <v>1</v>
      </c>
      <c r="D22" s="80">
        <v>5</v>
      </c>
      <c r="E22" s="80">
        <v>124</v>
      </c>
      <c r="F22" s="80">
        <v>82</v>
      </c>
      <c r="G22" s="80">
        <v>70</v>
      </c>
      <c r="H22" s="80">
        <v>277</v>
      </c>
      <c r="I22" s="80">
        <v>200</v>
      </c>
      <c r="J22" s="80">
        <v>332</v>
      </c>
      <c r="K22" s="80">
        <v>219</v>
      </c>
      <c r="L22" s="80">
        <v>142</v>
      </c>
      <c r="M22" s="81">
        <v>124</v>
      </c>
      <c r="N22" s="106">
        <f>SUM(B22:M22)</f>
        <v>1583</v>
      </c>
      <c r="O22" s="39">
        <v>0</v>
      </c>
      <c r="P22" s="95" t="s">
        <v>41</v>
      </c>
    </row>
    <row r="23" spans="1:16">
      <c r="A23" s="36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39"/>
      <c r="P23" s="39"/>
    </row>
    <row r="24" spans="1:16">
      <c r="C24" s="16"/>
      <c r="D24" s="17"/>
      <c r="O24" s="39"/>
      <c r="P24" s="39"/>
    </row>
    <row r="25" spans="1:16" ht="13">
      <c r="A25" s="108" t="s">
        <v>67</v>
      </c>
      <c r="B25" s="41">
        <v>38169</v>
      </c>
      <c r="C25" s="41">
        <v>38200</v>
      </c>
      <c r="D25" s="41">
        <v>38231</v>
      </c>
      <c r="E25" s="41">
        <v>38261</v>
      </c>
      <c r="F25" s="41">
        <v>38292</v>
      </c>
      <c r="G25" s="41">
        <v>38322</v>
      </c>
      <c r="H25" s="41">
        <v>38353</v>
      </c>
      <c r="I25" s="41">
        <v>38384</v>
      </c>
      <c r="J25" s="41">
        <v>38412</v>
      </c>
      <c r="K25" s="41">
        <v>38443</v>
      </c>
      <c r="L25" s="41">
        <v>38473</v>
      </c>
      <c r="M25" s="41">
        <v>38504</v>
      </c>
      <c r="N25" s="5" t="s">
        <v>10</v>
      </c>
      <c r="O25" s="39"/>
      <c r="P25" s="39"/>
    </row>
    <row r="26" spans="1:16">
      <c r="A26" s="1" t="s">
        <v>11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39"/>
      <c r="P26" s="39"/>
    </row>
    <row r="27" spans="1:16">
      <c r="A27" s="36" t="s">
        <v>13</v>
      </c>
      <c r="B27" s="80">
        <v>218</v>
      </c>
      <c r="C27" s="80">
        <v>139</v>
      </c>
      <c r="D27" s="80">
        <v>530</v>
      </c>
      <c r="E27" s="80">
        <v>1224</v>
      </c>
      <c r="F27" s="80">
        <v>1569</v>
      </c>
      <c r="G27" s="80">
        <v>1045</v>
      </c>
      <c r="H27" s="80">
        <v>419</v>
      </c>
      <c r="I27" s="80">
        <v>1393</v>
      </c>
      <c r="J27" s="80">
        <v>1591</v>
      </c>
      <c r="K27" s="80">
        <v>1510</v>
      </c>
      <c r="L27" s="80">
        <v>771</v>
      </c>
      <c r="M27" s="81">
        <v>587</v>
      </c>
      <c r="N27" s="106">
        <f>SUM(B27:M27)</f>
        <v>10996</v>
      </c>
      <c r="O27" s="39">
        <v>1733</v>
      </c>
      <c r="P27" s="39">
        <f>O27/N27</f>
        <v>0.15760276464168788</v>
      </c>
    </row>
    <row r="28" spans="1:16">
      <c r="O28" s="39"/>
      <c r="P28" s="39"/>
    </row>
    <row r="29" spans="1:16">
      <c r="O29" s="39"/>
      <c r="P29" s="39"/>
    </row>
    <row r="30" spans="1:16" ht="13">
      <c r="A30" s="108" t="s">
        <v>65</v>
      </c>
      <c r="B30" s="41">
        <v>38169</v>
      </c>
      <c r="C30" s="41">
        <v>38200</v>
      </c>
      <c r="D30" s="41">
        <v>38231</v>
      </c>
      <c r="E30" s="41">
        <v>38261</v>
      </c>
      <c r="F30" s="41">
        <v>38292</v>
      </c>
      <c r="G30" s="41">
        <v>38322</v>
      </c>
      <c r="H30" s="41">
        <v>38353</v>
      </c>
      <c r="I30" s="41">
        <v>38384</v>
      </c>
      <c r="J30" s="41">
        <v>38412</v>
      </c>
      <c r="K30" s="41">
        <v>38443</v>
      </c>
      <c r="L30" s="41">
        <v>38473</v>
      </c>
      <c r="M30" s="41">
        <v>38504</v>
      </c>
      <c r="N30" s="5" t="s">
        <v>10</v>
      </c>
      <c r="O30" s="39"/>
      <c r="P30" s="39"/>
    </row>
    <row r="31" spans="1:16">
      <c r="A31" s="1" t="s">
        <v>11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39"/>
      <c r="P31" s="39"/>
    </row>
    <row r="32" spans="1:16">
      <c r="A32" s="35" t="s">
        <v>13</v>
      </c>
      <c r="B32" s="80">
        <v>0</v>
      </c>
      <c r="C32" s="80">
        <v>0</v>
      </c>
      <c r="D32" s="80">
        <v>0</v>
      </c>
      <c r="E32" s="80">
        <v>0</v>
      </c>
      <c r="F32" s="80">
        <v>0</v>
      </c>
      <c r="G32" s="80">
        <v>163</v>
      </c>
      <c r="H32" s="80">
        <v>351</v>
      </c>
      <c r="I32" s="80">
        <v>1193</v>
      </c>
      <c r="J32" s="80">
        <v>1220</v>
      </c>
      <c r="K32" s="80">
        <v>1170</v>
      </c>
      <c r="L32" s="80">
        <v>524</v>
      </c>
      <c r="M32" s="81">
        <v>341</v>
      </c>
      <c r="N32" s="106">
        <f>SUM(B32:M32)</f>
        <v>4962</v>
      </c>
      <c r="O32" s="39">
        <v>5215</v>
      </c>
      <c r="P32" s="39">
        <f>O32/N32</f>
        <v>1.0509875050382911</v>
      </c>
    </row>
    <row r="33" spans="1:16">
      <c r="A33" s="36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0"/>
      <c r="O33" s="39"/>
      <c r="P33" s="39"/>
    </row>
    <row r="34" spans="1:16">
      <c r="O34" s="39"/>
      <c r="P34" s="39"/>
    </row>
    <row r="35" spans="1:16" ht="13">
      <c r="A35" s="108" t="s">
        <v>112</v>
      </c>
      <c r="B35" s="41">
        <v>38169</v>
      </c>
      <c r="C35" s="41">
        <v>38200</v>
      </c>
      <c r="D35" s="41">
        <v>38231</v>
      </c>
      <c r="E35" s="41">
        <v>38261</v>
      </c>
      <c r="F35" s="41">
        <v>38292</v>
      </c>
      <c r="G35" s="41">
        <v>38322</v>
      </c>
      <c r="H35" s="41">
        <v>38353</v>
      </c>
      <c r="I35" s="41">
        <v>38384</v>
      </c>
      <c r="J35" s="41">
        <v>38412</v>
      </c>
      <c r="K35" s="41">
        <v>38443</v>
      </c>
      <c r="L35" s="41">
        <v>38473</v>
      </c>
      <c r="M35" s="41">
        <v>38504</v>
      </c>
      <c r="N35" s="5" t="s">
        <v>10</v>
      </c>
      <c r="O35" s="39"/>
      <c r="P35" s="39"/>
    </row>
    <row r="36" spans="1:16">
      <c r="A36" s="1" t="s">
        <v>11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39"/>
      <c r="P36" s="39"/>
    </row>
    <row r="37" spans="1:16">
      <c r="A37" s="35" t="s">
        <v>13</v>
      </c>
      <c r="B37" s="80">
        <v>215</v>
      </c>
      <c r="C37" s="80">
        <v>132</v>
      </c>
      <c r="D37" s="80">
        <v>517</v>
      </c>
      <c r="E37" s="80">
        <v>1046</v>
      </c>
      <c r="F37" s="80">
        <v>1222</v>
      </c>
      <c r="G37" s="80">
        <v>914</v>
      </c>
      <c r="H37" s="80">
        <v>382</v>
      </c>
      <c r="I37" s="80">
        <v>1229</v>
      </c>
      <c r="J37" s="80">
        <v>1276</v>
      </c>
      <c r="K37" s="80">
        <v>1276</v>
      </c>
      <c r="L37" s="80">
        <v>581</v>
      </c>
      <c r="M37" s="81">
        <v>433</v>
      </c>
      <c r="N37" s="106">
        <f>SUM(B37:M37)</f>
        <v>9223</v>
      </c>
      <c r="O37" s="39">
        <v>0</v>
      </c>
      <c r="P37" s="95" t="s">
        <v>41</v>
      </c>
    </row>
    <row r="38" spans="1:16">
      <c r="O38" s="39"/>
      <c r="P38" s="39"/>
    </row>
    <row r="39" spans="1:16">
      <c r="O39" s="39"/>
      <c r="P39" s="39"/>
    </row>
    <row r="40" spans="1:16" ht="13">
      <c r="A40" s="108" t="s">
        <v>71</v>
      </c>
      <c r="B40" s="4" t="s">
        <v>107</v>
      </c>
      <c r="C40" s="4" t="s">
        <v>108</v>
      </c>
      <c r="D40" s="4" t="s">
        <v>109</v>
      </c>
      <c r="E40" s="4" t="s">
        <v>110</v>
      </c>
      <c r="F40" s="4" t="s">
        <v>111</v>
      </c>
      <c r="G40" s="4" t="s">
        <v>9</v>
      </c>
      <c r="H40" s="4" t="s">
        <v>101</v>
      </c>
      <c r="I40" s="4" t="s">
        <v>102</v>
      </c>
      <c r="J40" s="4" t="s">
        <v>103</v>
      </c>
      <c r="K40" s="4" t="s">
        <v>104</v>
      </c>
      <c r="L40" s="4" t="s">
        <v>105</v>
      </c>
      <c r="M40" s="4" t="s">
        <v>106</v>
      </c>
      <c r="N40" s="5" t="s">
        <v>10</v>
      </c>
      <c r="O40" s="39"/>
      <c r="P40" s="39"/>
    </row>
    <row r="41" spans="1:16">
      <c r="A41" s="1" t="s">
        <v>11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39"/>
      <c r="P41" s="39"/>
    </row>
    <row r="42" spans="1:16">
      <c r="A42" t="s">
        <v>12</v>
      </c>
      <c r="B42" s="80">
        <v>444</v>
      </c>
      <c r="C42" s="80">
        <v>316</v>
      </c>
      <c r="D42" s="80">
        <v>860</v>
      </c>
      <c r="E42" s="80">
        <v>1901</v>
      </c>
      <c r="F42" s="80">
        <v>1998</v>
      </c>
      <c r="G42" s="80">
        <v>1590</v>
      </c>
      <c r="H42" s="80">
        <v>821</v>
      </c>
      <c r="I42" s="80">
        <v>1800</v>
      </c>
      <c r="J42" s="80">
        <v>2069</v>
      </c>
      <c r="K42" s="80">
        <v>2528</v>
      </c>
      <c r="L42" s="80">
        <v>1220</v>
      </c>
      <c r="M42" s="81">
        <v>836</v>
      </c>
      <c r="N42" s="106">
        <f>SUM(B42:M42)</f>
        <v>16383</v>
      </c>
      <c r="O42" s="39"/>
      <c r="P42" s="39"/>
    </row>
    <row r="43" spans="1:16">
      <c r="A43" t="s">
        <v>13</v>
      </c>
      <c r="B43" s="80">
        <v>1311</v>
      </c>
      <c r="C43" s="80">
        <v>834</v>
      </c>
      <c r="D43" s="80">
        <v>2503</v>
      </c>
      <c r="E43" s="80">
        <v>4040</v>
      </c>
      <c r="F43" s="80">
        <v>5073</v>
      </c>
      <c r="G43" s="80">
        <v>4318</v>
      </c>
      <c r="H43" s="80">
        <v>2113</v>
      </c>
      <c r="I43" s="80">
        <v>4047</v>
      </c>
      <c r="J43" s="80">
        <v>5496</v>
      </c>
      <c r="K43" s="80">
        <v>5910</v>
      </c>
      <c r="L43" s="80">
        <v>3077</v>
      </c>
      <c r="M43" s="81">
        <v>2010</v>
      </c>
      <c r="N43" s="106">
        <f>SUM(B43:M43)</f>
        <v>40732</v>
      </c>
      <c r="O43" s="93">
        <v>27373</v>
      </c>
      <c r="P43" s="94">
        <f>O43/N43</f>
        <v>0.67202690759108319</v>
      </c>
    </row>
  </sheetData>
  <phoneticPr fontId="2" type="noConversion"/>
  <pageMargins left="0.75" right="0.75" top="1" bottom="1" header="0.5" footer="0.5"/>
  <pageSetup scale="83" fitToHeight="4" orientation="landscape"/>
  <headerFooter>
    <oddFooter>&amp;L&amp;K000000ProQuest&amp;R&amp;K0000002004-05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"/>
  <sheetViews>
    <sheetView workbookViewId="0"/>
  </sheetViews>
  <sheetFormatPr baseColWidth="10" defaultColWidth="8.83203125" defaultRowHeight="12" x14ac:dyDescent="0"/>
  <cols>
    <col min="1" max="1" width="20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8.1640625" customWidth="1"/>
    <col min="15" max="15" width="9.1640625" bestFit="1" customWidth="1"/>
    <col min="16" max="16" width="8" bestFit="1" customWidth="1"/>
  </cols>
  <sheetData>
    <row r="1" spans="1:16" ht="18">
      <c r="A1" s="2" t="s">
        <v>31</v>
      </c>
    </row>
    <row r="2" spans="1:16" ht="17">
      <c r="A2" s="3" t="s">
        <v>99</v>
      </c>
    </row>
    <row r="4" spans="1:16" ht="24">
      <c r="A4" s="108" t="s">
        <v>100</v>
      </c>
      <c r="B4" s="41">
        <v>38169</v>
      </c>
      <c r="C4" s="41">
        <v>38200</v>
      </c>
      <c r="D4" s="41">
        <v>38231</v>
      </c>
      <c r="E4" s="41">
        <v>38261</v>
      </c>
      <c r="F4" s="41">
        <v>38292</v>
      </c>
      <c r="G4" s="41">
        <v>38322</v>
      </c>
      <c r="H4" s="41">
        <v>38353</v>
      </c>
      <c r="I4" s="41">
        <v>38384</v>
      </c>
      <c r="J4" s="41">
        <v>38412</v>
      </c>
      <c r="K4" s="41">
        <v>38443</v>
      </c>
      <c r="L4" s="41">
        <v>38473</v>
      </c>
      <c r="M4" s="41">
        <v>38504</v>
      </c>
      <c r="N4" s="5" t="s">
        <v>10</v>
      </c>
      <c r="O4" s="38" t="s">
        <v>115</v>
      </c>
      <c r="P4" s="38" t="s">
        <v>140</v>
      </c>
    </row>
    <row r="5" spans="1:16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>
      <c r="A6" t="s">
        <v>12</v>
      </c>
      <c r="B6" s="90">
        <v>32</v>
      </c>
      <c r="C6" s="90">
        <v>28</v>
      </c>
      <c r="D6" s="90">
        <v>54</v>
      </c>
      <c r="E6" s="90">
        <v>43</v>
      </c>
      <c r="F6" s="90">
        <v>81</v>
      </c>
      <c r="G6" s="90">
        <v>62</v>
      </c>
      <c r="H6" s="90">
        <v>40</v>
      </c>
      <c r="I6" s="90">
        <v>126</v>
      </c>
      <c r="J6" s="90">
        <v>163</v>
      </c>
      <c r="K6" s="90">
        <v>111</v>
      </c>
      <c r="L6" s="90">
        <v>124</v>
      </c>
      <c r="M6" s="90">
        <v>77</v>
      </c>
      <c r="N6" s="26">
        <f>SUM(B6:M6)</f>
        <v>941</v>
      </c>
      <c r="O6" s="91">
        <v>5483</v>
      </c>
      <c r="P6" s="39">
        <f t="shared" ref="P6:P11" si="0">O6/N6</f>
        <v>5.8267800212539855</v>
      </c>
    </row>
    <row r="7" spans="1:16">
      <c r="A7" t="s">
        <v>13</v>
      </c>
      <c r="B7" s="90">
        <v>71</v>
      </c>
      <c r="C7" s="90">
        <v>48</v>
      </c>
      <c r="D7" s="90">
        <v>99</v>
      </c>
      <c r="E7" s="90">
        <v>77</v>
      </c>
      <c r="F7" s="90">
        <v>113</v>
      </c>
      <c r="G7" s="90">
        <v>97</v>
      </c>
      <c r="H7" s="90">
        <v>90</v>
      </c>
      <c r="I7" s="90">
        <v>283</v>
      </c>
      <c r="J7" s="90">
        <v>446</v>
      </c>
      <c r="K7" s="90">
        <v>240</v>
      </c>
      <c r="L7" s="90">
        <v>349</v>
      </c>
      <c r="M7" s="90">
        <v>115</v>
      </c>
      <c r="N7" s="26">
        <f>SUM(B7:M7)</f>
        <v>2028</v>
      </c>
      <c r="O7" s="91">
        <v>5483</v>
      </c>
      <c r="P7" s="39">
        <f t="shared" si="0"/>
        <v>2.7036489151873768</v>
      </c>
    </row>
    <row r="8" spans="1:16">
      <c r="A8" t="s">
        <v>33</v>
      </c>
      <c r="B8" s="104"/>
      <c r="C8" s="104"/>
      <c r="D8" s="104"/>
      <c r="E8" s="104"/>
      <c r="F8" s="104"/>
      <c r="G8" s="105"/>
      <c r="H8" s="104"/>
      <c r="I8" s="104"/>
      <c r="J8" s="104"/>
      <c r="K8" s="104"/>
      <c r="L8" s="104"/>
      <c r="M8" s="105"/>
      <c r="N8" s="26">
        <v>1499</v>
      </c>
      <c r="O8" s="91">
        <v>5483</v>
      </c>
      <c r="P8" s="39">
        <f t="shared" si="0"/>
        <v>3.6577718478985992</v>
      </c>
    </row>
    <row r="9" spans="1:16">
      <c r="A9" t="s">
        <v>32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26">
        <v>518</v>
      </c>
      <c r="O9" s="91">
        <v>5483</v>
      </c>
      <c r="P9" s="39">
        <f t="shared" si="0"/>
        <v>10.584942084942085</v>
      </c>
    </row>
    <row r="10" spans="1:16" ht="24">
      <c r="A10" s="17" t="s">
        <v>0</v>
      </c>
      <c r="B10" s="55">
        <v>217</v>
      </c>
      <c r="C10" s="55">
        <v>30</v>
      </c>
      <c r="D10" s="55">
        <v>88</v>
      </c>
      <c r="E10" s="55">
        <v>36</v>
      </c>
      <c r="F10" s="55">
        <v>139</v>
      </c>
      <c r="G10" s="55">
        <v>66</v>
      </c>
      <c r="H10" s="55">
        <v>123</v>
      </c>
      <c r="I10" s="55">
        <v>468</v>
      </c>
      <c r="J10" s="55">
        <v>787</v>
      </c>
      <c r="K10" s="55">
        <v>736</v>
      </c>
      <c r="L10" s="55">
        <v>389</v>
      </c>
      <c r="M10" s="55">
        <v>504</v>
      </c>
      <c r="N10" s="26">
        <f>SUM(B10:M10)</f>
        <v>3583</v>
      </c>
      <c r="O10" s="91">
        <v>5483</v>
      </c>
      <c r="P10" s="39">
        <f t="shared" si="0"/>
        <v>1.5302818866871337</v>
      </c>
    </row>
    <row r="11" spans="1:16" ht="24">
      <c r="A11" s="17" t="s">
        <v>1</v>
      </c>
      <c r="B11" s="55">
        <v>407</v>
      </c>
      <c r="C11" s="55">
        <v>272</v>
      </c>
      <c r="D11" s="55">
        <v>23</v>
      </c>
      <c r="E11" s="55">
        <v>674</v>
      </c>
      <c r="F11" s="55">
        <v>674</v>
      </c>
      <c r="G11" s="55">
        <v>439</v>
      </c>
      <c r="H11" s="55">
        <v>0</v>
      </c>
      <c r="I11" s="55">
        <v>1630</v>
      </c>
      <c r="J11" s="55">
        <v>509</v>
      </c>
      <c r="K11" s="55">
        <v>1246</v>
      </c>
      <c r="L11" s="55">
        <v>2532</v>
      </c>
      <c r="M11" s="55">
        <v>1685</v>
      </c>
      <c r="N11" s="26">
        <f>SUM(B11:M11)</f>
        <v>10091</v>
      </c>
      <c r="O11" s="91">
        <v>5483</v>
      </c>
      <c r="P11" s="39">
        <f t="shared" si="0"/>
        <v>0.5433554652660787</v>
      </c>
    </row>
  </sheetData>
  <phoneticPr fontId="2" type="noConversion"/>
  <pageMargins left="0.75" right="0.75" top="1" bottom="1" header="0.5" footer="0.5"/>
  <pageSetup scale="90" orientation="landscape" horizontalDpi="1200" verticalDpi="1200"/>
  <headerFooter>
    <oddFooter>&amp;L&amp;K000000ReferenceUSA&amp;R&amp;K0000002004-05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4"/>
  <sheetViews>
    <sheetView workbookViewId="0"/>
  </sheetViews>
  <sheetFormatPr baseColWidth="10" defaultColWidth="8.83203125" defaultRowHeight="12" x14ac:dyDescent="0"/>
  <cols>
    <col min="1" max="1" width="29.33203125" bestFit="1" customWidth="1"/>
    <col min="2" max="12" width="8.1640625" bestFit="1" customWidth="1"/>
    <col min="13" max="13" width="6.6640625" bestFit="1" customWidth="1"/>
    <col min="14" max="14" width="5.1640625" bestFit="1" customWidth="1"/>
    <col min="15" max="15" width="9.33203125" bestFit="1" customWidth="1"/>
    <col min="16" max="16" width="8" bestFit="1" customWidth="1"/>
    <col min="17" max="17" width="17.5" bestFit="1" customWidth="1"/>
  </cols>
  <sheetData>
    <row r="1" spans="1:16" ht="18">
      <c r="A1" s="2" t="s">
        <v>139</v>
      </c>
    </row>
    <row r="2" spans="1:16" ht="17">
      <c r="A2" s="3" t="s">
        <v>99</v>
      </c>
    </row>
    <row r="3" spans="1:16" ht="12.75" customHeight="1">
      <c r="A3" s="3"/>
    </row>
    <row r="5" spans="1:16" ht="24">
      <c r="A5" s="108" t="s">
        <v>100</v>
      </c>
      <c r="B5" s="41">
        <v>38169</v>
      </c>
      <c r="C5" s="41">
        <v>38200</v>
      </c>
      <c r="D5" s="41">
        <v>38231</v>
      </c>
      <c r="E5" s="41">
        <v>38261</v>
      </c>
      <c r="F5" s="41">
        <v>38292</v>
      </c>
      <c r="G5" s="41">
        <v>38322</v>
      </c>
      <c r="H5" s="41">
        <v>38353</v>
      </c>
      <c r="I5" s="41">
        <v>38384</v>
      </c>
      <c r="J5" s="41">
        <v>38412</v>
      </c>
      <c r="K5" s="41">
        <v>38443</v>
      </c>
      <c r="L5" s="41">
        <v>38473</v>
      </c>
      <c r="M5" s="41">
        <v>38504</v>
      </c>
      <c r="N5" s="49" t="s">
        <v>10</v>
      </c>
      <c r="O5" s="38" t="s">
        <v>115</v>
      </c>
      <c r="P5" s="38" t="s">
        <v>140</v>
      </c>
    </row>
    <row r="6" spans="1:16">
      <c r="A6" t="s">
        <v>141</v>
      </c>
      <c r="B6" s="50" t="s">
        <v>162</v>
      </c>
      <c r="C6" s="50" t="s">
        <v>162</v>
      </c>
      <c r="D6" s="50" t="s">
        <v>162</v>
      </c>
      <c r="E6" s="50" t="s">
        <v>162</v>
      </c>
      <c r="F6" s="50" t="s">
        <v>162</v>
      </c>
      <c r="G6" s="50" t="s">
        <v>162</v>
      </c>
      <c r="H6" s="50" t="s">
        <v>162</v>
      </c>
      <c r="I6" s="50" t="s">
        <v>162</v>
      </c>
      <c r="J6" s="50" t="s">
        <v>162</v>
      </c>
      <c r="K6" s="50" t="s">
        <v>162</v>
      </c>
      <c r="L6" s="50" t="s">
        <v>162</v>
      </c>
      <c r="M6" s="50">
        <v>4</v>
      </c>
      <c r="N6" s="26">
        <f t="shared" ref="N6:N12" si="0">SUM(B6:M6)</f>
        <v>4</v>
      </c>
      <c r="O6" s="92">
        <v>8058</v>
      </c>
      <c r="P6" s="51" t="s">
        <v>41</v>
      </c>
    </row>
    <row r="7" spans="1:16">
      <c r="A7" t="s">
        <v>142</v>
      </c>
      <c r="B7" s="50" t="s">
        <v>162</v>
      </c>
      <c r="C7" s="50" t="s">
        <v>162</v>
      </c>
      <c r="D7" s="50" t="s">
        <v>162</v>
      </c>
      <c r="E7" s="50" t="s">
        <v>162</v>
      </c>
      <c r="F7" s="50" t="s">
        <v>162</v>
      </c>
      <c r="G7" s="50" t="s">
        <v>162</v>
      </c>
      <c r="H7" s="50" t="s">
        <v>162</v>
      </c>
      <c r="I7" s="50" t="s">
        <v>162</v>
      </c>
      <c r="J7" s="50" t="s">
        <v>162</v>
      </c>
      <c r="K7" s="50" t="s">
        <v>162</v>
      </c>
      <c r="L7" s="50" t="s">
        <v>162</v>
      </c>
      <c r="M7" s="48">
        <v>8</v>
      </c>
      <c r="N7" s="26">
        <f t="shared" si="0"/>
        <v>8</v>
      </c>
      <c r="O7" s="92">
        <v>8058</v>
      </c>
      <c r="P7" s="51" t="s">
        <v>41</v>
      </c>
    </row>
    <row r="8" spans="1:16">
      <c r="A8" s="1" t="s">
        <v>143</v>
      </c>
      <c r="B8" s="50" t="s">
        <v>162</v>
      </c>
      <c r="C8" s="50" t="s">
        <v>162</v>
      </c>
      <c r="D8" s="50" t="s">
        <v>162</v>
      </c>
      <c r="E8" s="50" t="s">
        <v>162</v>
      </c>
      <c r="F8" s="50" t="s">
        <v>162</v>
      </c>
      <c r="G8" s="50" t="s">
        <v>162</v>
      </c>
      <c r="H8" s="50" t="s">
        <v>162</v>
      </c>
      <c r="I8" s="50" t="s">
        <v>162</v>
      </c>
      <c r="J8" s="50" t="s">
        <v>162</v>
      </c>
      <c r="K8" s="50" t="s">
        <v>162</v>
      </c>
      <c r="L8" s="50" t="s">
        <v>162</v>
      </c>
      <c r="M8" s="48">
        <v>12</v>
      </c>
      <c r="N8" s="52">
        <f t="shared" si="0"/>
        <v>12</v>
      </c>
      <c r="O8" s="92">
        <v>8058</v>
      </c>
      <c r="P8" s="51" t="s">
        <v>41</v>
      </c>
    </row>
    <row r="9" spans="1:16">
      <c r="A9" s="1" t="s">
        <v>144</v>
      </c>
      <c r="B9" s="50" t="s">
        <v>162</v>
      </c>
      <c r="C9" s="50" t="s">
        <v>162</v>
      </c>
      <c r="D9" s="50" t="s">
        <v>162</v>
      </c>
      <c r="E9" s="50" t="s">
        <v>162</v>
      </c>
      <c r="F9" s="50" t="s">
        <v>162</v>
      </c>
      <c r="G9" s="50" t="s">
        <v>162</v>
      </c>
      <c r="H9" s="50" t="s">
        <v>162</v>
      </c>
      <c r="I9" s="50" t="s">
        <v>162</v>
      </c>
      <c r="J9" s="50" t="s">
        <v>162</v>
      </c>
      <c r="K9" s="50" t="s">
        <v>162</v>
      </c>
      <c r="L9" s="50" t="s">
        <v>162</v>
      </c>
      <c r="M9" s="48">
        <v>77</v>
      </c>
      <c r="N9" s="52">
        <f t="shared" si="0"/>
        <v>77</v>
      </c>
      <c r="O9" s="92">
        <v>8058</v>
      </c>
      <c r="P9" s="51" t="s">
        <v>41</v>
      </c>
    </row>
    <row r="10" spans="1:16">
      <c r="A10" t="s">
        <v>145</v>
      </c>
      <c r="B10" s="50" t="s">
        <v>162</v>
      </c>
      <c r="C10" s="50" t="s">
        <v>162</v>
      </c>
      <c r="D10" s="50" t="s">
        <v>162</v>
      </c>
      <c r="E10" s="50" t="s">
        <v>162</v>
      </c>
      <c r="F10" s="50" t="s">
        <v>162</v>
      </c>
      <c r="G10" s="50" t="s">
        <v>162</v>
      </c>
      <c r="H10" s="50" t="s">
        <v>162</v>
      </c>
      <c r="I10" s="50" t="s">
        <v>162</v>
      </c>
      <c r="J10" s="50" t="s">
        <v>162</v>
      </c>
      <c r="K10" s="50" t="s">
        <v>162</v>
      </c>
      <c r="L10" s="50" t="s">
        <v>162</v>
      </c>
      <c r="M10" s="53">
        <v>6.42</v>
      </c>
      <c r="N10" s="54">
        <f t="shared" si="0"/>
        <v>6.42</v>
      </c>
      <c r="O10" s="92">
        <v>8058</v>
      </c>
      <c r="P10" s="51" t="s">
        <v>41</v>
      </c>
    </row>
    <row r="11" spans="1:16">
      <c r="A11" s="1" t="s">
        <v>146</v>
      </c>
      <c r="B11" s="50" t="s">
        <v>162</v>
      </c>
      <c r="C11" s="50" t="s">
        <v>162</v>
      </c>
      <c r="D11" s="50" t="s">
        <v>162</v>
      </c>
      <c r="E11" s="50" t="s">
        <v>162</v>
      </c>
      <c r="F11" s="50" t="s">
        <v>162</v>
      </c>
      <c r="G11" s="50" t="s">
        <v>162</v>
      </c>
      <c r="H11" s="50" t="s">
        <v>162</v>
      </c>
      <c r="I11" s="50" t="s">
        <v>162</v>
      </c>
      <c r="J11" s="50" t="s">
        <v>162</v>
      </c>
      <c r="K11" s="50" t="s">
        <v>162</v>
      </c>
      <c r="L11" s="50" t="s">
        <v>162</v>
      </c>
      <c r="M11" s="55">
        <v>73</v>
      </c>
      <c r="N11" s="52">
        <f t="shared" si="0"/>
        <v>73</v>
      </c>
      <c r="O11" s="92">
        <v>8058</v>
      </c>
      <c r="P11" s="51" t="s">
        <v>41</v>
      </c>
    </row>
    <row r="12" spans="1:16">
      <c r="A12" t="s">
        <v>147</v>
      </c>
      <c r="B12" s="50" t="s">
        <v>162</v>
      </c>
      <c r="C12" s="50" t="s">
        <v>162</v>
      </c>
      <c r="D12" s="50" t="s">
        <v>162</v>
      </c>
      <c r="E12" s="50" t="s">
        <v>162</v>
      </c>
      <c r="F12" s="50" t="s">
        <v>162</v>
      </c>
      <c r="G12" s="50" t="s">
        <v>162</v>
      </c>
      <c r="H12" s="50" t="s">
        <v>162</v>
      </c>
      <c r="I12" s="50" t="s">
        <v>162</v>
      </c>
      <c r="J12" s="50" t="s">
        <v>162</v>
      </c>
      <c r="K12" s="50" t="s">
        <v>162</v>
      </c>
      <c r="L12" s="50" t="s">
        <v>162</v>
      </c>
      <c r="M12" s="53">
        <v>6.08</v>
      </c>
      <c r="N12" s="54">
        <f t="shared" si="0"/>
        <v>6.08</v>
      </c>
      <c r="O12" s="92">
        <v>8058</v>
      </c>
      <c r="P12" s="51" t="s">
        <v>41</v>
      </c>
    </row>
    <row r="14" spans="1:16" ht="13">
      <c r="A14" s="56"/>
    </row>
  </sheetData>
  <phoneticPr fontId="2" type="noConversion"/>
  <pageMargins left="0.75" right="0.75" top="1" bottom="1" header="0.5" footer="0.5"/>
  <pageSetup scale="76" fitToHeight="5" orientation="landscape"/>
  <headerFooter>
    <oddFooter>&amp;L&amp;K000000RefWorks&amp;R&amp;K0000002004-05 usage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9"/>
  <sheetViews>
    <sheetView workbookViewId="0"/>
  </sheetViews>
  <sheetFormatPr baseColWidth="10" defaultColWidth="8.83203125" defaultRowHeight="12" x14ac:dyDescent="0"/>
  <cols>
    <col min="1" max="1" width="24.33203125" bestFit="1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6.1640625" bestFit="1" customWidth="1"/>
    <col min="15" max="15" width="9.6640625" bestFit="1" customWidth="1"/>
    <col min="16" max="16" width="8.5" bestFit="1" customWidth="1"/>
  </cols>
  <sheetData>
    <row r="1" spans="1:16" ht="18">
      <c r="A1" s="2" t="s">
        <v>37</v>
      </c>
    </row>
    <row r="2" spans="1:16" ht="17">
      <c r="A2" s="3" t="s">
        <v>99</v>
      </c>
    </row>
    <row r="4" spans="1:16" ht="24">
      <c r="A4" s="108" t="s">
        <v>100</v>
      </c>
      <c r="B4" s="41">
        <v>38169</v>
      </c>
      <c r="C4" s="41">
        <v>38200</v>
      </c>
      <c r="D4" s="41">
        <v>38231</v>
      </c>
      <c r="E4" s="41">
        <v>38261</v>
      </c>
      <c r="F4" s="41">
        <v>38292</v>
      </c>
      <c r="G4" s="41">
        <v>38322</v>
      </c>
      <c r="H4" s="41">
        <v>38353</v>
      </c>
      <c r="I4" s="41">
        <v>38384</v>
      </c>
      <c r="J4" s="41">
        <v>38412</v>
      </c>
      <c r="K4" s="41">
        <v>38443</v>
      </c>
      <c r="L4" s="41">
        <v>38473</v>
      </c>
      <c r="M4" s="41">
        <v>38504</v>
      </c>
      <c r="N4" s="5" t="s">
        <v>10</v>
      </c>
      <c r="O4" s="38" t="s">
        <v>115</v>
      </c>
      <c r="P4" s="38" t="s">
        <v>114</v>
      </c>
    </row>
    <row r="5" spans="1:16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>
      <c r="A6" t="s">
        <v>12</v>
      </c>
      <c r="B6" s="23">
        <v>155</v>
      </c>
      <c r="C6" s="23">
        <v>150</v>
      </c>
      <c r="D6" s="23">
        <v>227</v>
      </c>
      <c r="E6" s="23">
        <v>227</v>
      </c>
      <c r="F6" s="23">
        <v>223</v>
      </c>
      <c r="G6" s="23">
        <v>201</v>
      </c>
      <c r="H6" s="90">
        <v>246</v>
      </c>
      <c r="I6" s="90">
        <v>200</v>
      </c>
      <c r="J6" s="90">
        <v>247</v>
      </c>
      <c r="K6" s="90">
        <v>250</v>
      </c>
      <c r="L6" s="90">
        <v>243</v>
      </c>
      <c r="M6" s="90">
        <v>224</v>
      </c>
      <c r="N6" s="26">
        <f>SUM(B6:M6)</f>
        <v>2593</v>
      </c>
    </row>
    <row r="7" spans="1:16">
      <c r="A7" t="s">
        <v>13</v>
      </c>
      <c r="B7" s="23">
        <v>650</v>
      </c>
      <c r="C7" s="23">
        <v>580</v>
      </c>
      <c r="D7" s="23">
        <v>879</v>
      </c>
      <c r="E7" s="23">
        <v>901</v>
      </c>
      <c r="F7" s="23">
        <v>929</v>
      </c>
      <c r="G7" s="23">
        <v>789</v>
      </c>
      <c r="H7" s="90">
        <v>856</v>
      </c>
      <c r="I7" s="90">
        <v>977</v>
      </c>
      <c r="J7" s="90">
        <v>1234</v>
      </c>
      <c r="K7" s="90">
        <v>1068</v>
      </c>
      <c r="L7" s="90">
        <v>1522</v>
      </c>
      <c r="M7" s="90">
        <v>946</v>
      </c>
      <c r="N7" s="26">
        <f>SUM(B7:M7)</f>
        <v>11331</v>
      </c>
      <c r="O7" s="91">
        <v>28365</v>
      </c>
      <c r="P7" s="39">
        <f>O7/N7</f>
        <v>2.5033095048980671</v>
      </c>
    </row>
    <row r="8" spans="1:16">
      <c r="A8" t="s">
        <v>22</v>
      </c>
      <c r="B8" s="98">
        <v>57</v>
      </c>
      <c r="C8" s="98">
        <v>47</v>
      </c>
      <c r="D8" s="98">
        <v>156</v>
      </c>
      <c r="E8" s="98">
        <v>132</v>
      </c>
      <c r="F8" s="98">
        <v>120</v>
      </c>
      <c r="G8" s="98">
        <v>77</v>
      </c>
      <c r="H8" s="99">
        <v>143</v>
      </c>
      <c r="I8" s="100">
        <v>214</v>
      </c>
      <c r="J8" s="100">
        <v>119</v>
      </c>
      <c r="K8" s="100">
        <v>182</v>
      </c>
      <c r="L8" s="100">
        <v>303</v>
      </c>
      <c r="M8" s="101">
        <v>175</v>
      </c>
      <c r="N8" s="102">
        <f>SUM(B8:M8)</f>
        <v>1725</v>
      </c>
    </row>
    <row r="9" spans="1:16">
      <c r="A9" t="s">
        <v>137</v>
      </c>
      <c r="B9" s="103">
        <v>1</v>
      </c>
      <c r="C9" s="103">
        <v>1</v>
      </c>
      <c r="D9" s="103">
        <v>1</v>
      </c>
      <c r="E9" s="103">
        <v>1</v>
      </c>
      <c r="F9" s="103">
        <v>1</v>
      </c>
      <c r="G9" s="103">
        <v>1</v>
      </c>
      <c r="H9" s="103">
        <v>1</v>
      </c>
      <c r="I9" s="103">
        <v>1</v>
      </c>
      <c r="J9" s="103">
        <v>1</v>
      </c>
      <c r="K9" s="103">
        <v>1</v>
      </c>
      <c r="L9" s="103">
        <v>1</v>
      </c>
      <c r="M9" s="103">
        <v>1</v>
      </c>
      <c r="N9" s="26"/>
    </row>
  </sheetData>
  <phoneticPr fontId="2" type="noConversion"/>
  <pageMargins left="0.75" right="0.75" top="1" bottom="1" header="0.5" footer="0.5"/>
  <pageSetup scale="88" orientation="landscape"/>
  <headerFooter>
    <oddFooter>&amp;L&amp;K000000SciFinder Scholar&amp;R&amp;K0000002004-05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9"/>
  <sheetViews>
    <sheetView workbookViewId="0"/>
  </sheetViews>
  <sheetFormatPr baseColWidth="10" defaultColWidth="8.83203125" defaultRowHeight="12" x14ac:dyDescent="0"/>
  <cols>
    <col min="1" max="1" width="22.33203125" bestFit="1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6.33203125" bestFit="1" customWidth="1"/>
    <col min="15" max="15" width="9.6640625" bestFit="1" customWidth="1"/>
    <col min="16" max="16" width="8.33203125" bestFit="1" customWidth="1"/>
  </cols>
  <sheetData>
    <row r="1" spans="1:16" ht="18">
      <c r="A1" s="2" t="s">
        <v>35</v>
      </c>
    </row>
    <row r="2" spans="1:16" ht="17">
      <c r="A2" s="3" t="s">
        <v>99</v>
      </c>
    </row>
    <row r="4" spans="1:16" ht="24">
      <c r="A4" s="108" t="s">
        <v>100</v>
      </c>
      <c r="B4" s="41">
        <v>38169</v>
      </c>
      <c r="C4" s="41">
        <v>38200</v>
      </c>
      <c r="D4" s="41">
        <v>38231</v>
      </c>
      <c r="E4" s="41">
        <v>38261</v>
      </c>
      <c r="F4" s="41">
        <v>38292</v>
      </c>
      <c r="G4" s="41">
        <v>38322</v>
      </c>
      <c r="H4" s="41">
        <v>38353</v>
      </c>
      <c r="I4" s="41">
        <v>38384</v>
      </c>
      <c r="J4" s="41">
        <v>38412</v>
      </c>
      <c r="K4" s="41">
        <v>38443</v>
      </c>
      <c r="L4" s="41">
        <v>38473</v>
      </c>
      <c r="M4" s="41">
        <v>38504</v>
      </c>
      <c r="N4" s="5" t="s">
        <v>10</v>
      </c>
      <c r="O4" s="38" t="s">
        <v>115</v>
      </c>
      <c r="P4" s="38" t="s">
        <v>114</v>
      </c>
    </row>
    <row r="5" spans="1:16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>
      <c r="A6" t="s">
        <v>12</v>
      </c>
      <c r="B6" s="90">
        <v>362</v>
      </c>
      <c r="C6" s="90">
        <v>197</v>
      </c>
      <c r="D6" s="90">
        <v>384</v>
      </c>
      <c r="E6" s="90">
        <v>491</v>
      </c>
      <c r="F6" s="90">
        <v>562</v>
      </c>
      <c r="G6" s="90">
        <v>407</v>
      </c>
      <c r="H6" s="90">
        <v>355</v>
      </c>
      <c r="I6" s="90">
        <v>390</v>
      </c>
      <c r="J6" s="90">
        <v>564</v>
      </c>
      <c r="K6" s="90">
        <v>694</v>
      </c>
      <c r="L6" s="90">
        <v>355</v>
      </c>
      <c r="M6" s="90">
        <v>482</v>
      </c>
      <c r="N6" s="26">
        <f>SUM(B6:M6)</f>
        <v>5243</v>
      </c>
      <c r="O6" s="39"/>
      <c r="P6" s="39"/>
    </row>
    <row r="7" spans="1:16">
      <c r="A7" t="s">
        <v>18</v>
      </c>
      <c r="B7" s="90">
        <v>1478</v>
      </c>
      <c r="C7" s="90">
        <v>701</v>
      </c>
      <c r="D7" s="90">
        <v>1295</v>
      </c>
      <c r="E7" s="90">
        <v>1609</v>
      </c>
      <c r="F7" s="90">
        <v>1891</v>
      </c>
      <c r="G7" s="90">
        <v>1552</v>
      </c>
      <c r="H7" s="90">
        <v>971</v>
      </c>
      <c r="I7" s="90">
        <v>1316</v>
      </c>
      <c r="J7" s="90">
        <v>2080</v>
      </c>
      <c r="K7" s="90">
        <v>2838</v>
      </c>
      <c r="L7" s="90">
        <v>1460</v>
      </c>
      <c r="M7" s="90">
        <v>1388</v>
      </c>
      <c r="N7" s="26">
        <f>SUM(B7:M7)</f>
        <v>18579</v>
      </c>
      <c r="O7" s="40">
        <v>85082</v>
      </c>
      <c r="P7" s="39">
        <f>O7/N7</f>
        <v>4.5794714462565258</v>
      </c>
    </row>
    <row r="8" spans="1:16">
      <c r="A8" t="s">
        <v>36</v>
      </c>
      <c r="B8" s="90">
        <v>5</v>
      </c>
      <c r="C8" s="90">
        <v>5</v>
      </c>
      <c r="D8" s="90">
        <v>5</v>
      </c>
      <c r="E8" s="90">
        <v>5</v>
      </c>
      <c r="F8" s="90">
        <v>5</v>
      </c>
      <c r="G8" s="90">
        <v>5</v>
      </c>
      <c r="H8" s="90">
        <v>5</v>
      </c>
      <c r="I8" s="90">
        <v>5</v>
      </c>
      <c r="J8" s="90">
        <v>5</v>
      </c>
      <c r="K8" s="90">
        <v>5</v>
      </c>
      <c r="L8" s="90">
        <v>5</v>
      </c>
      <c r="M8" s="90">
        <v>5</v>
      </c>
      <c r="N8" s="26"/>
      <c r="O8" s="39"/>
      <c r="P8" s="39"/>
    </row>
    <row r="9" spans="1:16">
      <c r="A9" t="s">
        <v>22</v>
      </c>
      <c r="B9" s="90">
        <v>4</v>
      </c>
      <c r="C9" s="90">
        <v>0</v>
      </c>
      <c r="D9" s="90">
        <v>32</v>
      </c>
      <c r="E9" s="90">
        <v>2</v>
      </c>
      <c r="F9" s="90">
        <v>2</v>
      </c>
      <c r="G9" s="90">
        <v>0</v>
      </c>
      <c r="H9" s="90">
        <v>0</v>
      </c>
      <c r="I9" s="90">
        <v>10</v>
      </c>
      <c r="J9" s="90">
        <v>15</v>
      </c>
      <c r="K9" s="90">
        <v>0</v>
      </c>
      <c r="L9" s="90">
        <v>0</v>
      </c>
      <c r="M9" s="90">
        <v>9</v>
      </c>
      <c r="N9" s="26">
        <f>SUM(B9:M9)</f>
        <v>74</v>
      </c>
      <c r="O9" s="39"/>
      <c r="P9" s="39"/>
    </row>
  </sheetData>
  <phoneticPr fontId="2" type="noConversion"/>
  <pageMargins left="0.75" right="0.75" top="1" bottom="1" header="0.5" footer="0.5"/>
  <pageSetup scale="89" orientation="landscape"/>
  <headerFooter>
    <oddFooter>&amp;L&amp;K000000Web of Science&amp;R&amp;K0000002004-05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9"/>
  <sheetViews>
    <sheetView workbookViewId="0"/>
  </sheetViews>
  <sheetFormatPr baseColWidth="10" defaultColWidth="8.83203125" defaultRowHeight="12" x14ac:dyDescent="0"/>
  <cols>
    <col min="1" max="1" width="20.33203125" bestFit="1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5.1640625" bestFit="1" customWidth="1"/>
    <col min="15" max="15" width="9.6640625" bestFit="1" customWidth="1"/>
    <col min="16" max="16" width="8.5" bestFit="1" customWidth="1"/>
  </cols>
  <sheetData>
    <row r="1" spans="1:16" ht="18">
      <c r="A1" s="2" t="s">
        <v>214</v>
      </c>
    </row>
    <row r="2" spans="1:16" ht="17">
      <c r="A2" s="3" t="s">
        <v>99</v>
      </c>
    </row>
    <row r="4" spans="1:16" ht="24">
      <c r="A4" s="108" t="s">
        <v>100</v>
      </c>
      <c r="B4" s="41">
        <v>38169</v>
      </c>
      <c r="C4" s="41">
        <v>38200</v>
      </c>
      <c r="D4" s="41">
        <v>38231</v>
      </c>
      <c r="E4" s="41">
        <v>38261</v>
      </c>
      <c r="F4" s="41">
        <v>38292</v>
      </c>
      <c r="G4" s="41">
        <v>38322</v>
      </c>
      <c r="H4" s="41">
        <v>38353</v>
      </c>
      <c r="I4" s="41">
        <v>38384</v>
      </c>
      <c r="J4" s="41">
        <v>38412</v>
      </c>
      <c r="K4" s="41">
        <v>38443</v>
      </c>
      <c r="L4" s="41">
        <v>38473</v>
      </c>
      <c r="M4" s="41">
        <v>38504</v>
      </c>
      <c r="N4" s="5" t="s">
        <v>10</v>
      </c>
      <c r="O4" s="38" t="s">
        <v>115</v>
      </c>
      <c r="P4" s="38" t="s">
        <v>114</v>
      </c>
    </row>
    <row r="5" spans="1:16">
      <c r="A5" s="1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>
      <c r="A6" s="13" t="s">
        <v>136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6">
      <c r="A7" t="s">
        <v>12</v>
      </c>
      <c r="B7" s="55">
        <v>76</v>
      </c>
      <c r="C7" s="55">
        <v>63</v>
      </c>
      <c r="D7" s="55">
        <v>102</v>
      </c>
      <c r="E7" s="55">
        <v>253</v>
      </c>
      <c r="F7" s="55">
        <v>293</v>
      </c>
      <c r="G7" s="55">
        <v>166</v>
      </c>
      <c r="H7" s="89">
        <v>61</v>
      </c>
      <c r="I7" s="80">
        <v>157</v>
      </c>
      <c r="J7" s="80">
        <v>277</v>
      </c>
      <c r="K7" s="80">
        <v>424</v>
      </c>
      <c r="L7" s="80">
        <v>167</v>
      </c>
      <c r="M7" s="81">
        <v>44</v>
      </c>
      <c r="N7" s="26">
        <f>SUM(B7:M7)</f>
        <v>2083</v>
      </c>
    </row>
    <row r="8" spans="1:16">
      <c r="A8" t="s">
        <v>13</v>
      </c>
      <c r="B8" s="55">
        <v>292</v>
      </c>
      <c r="C8" s="55">
        <v>307</v>
      </c>
      <c r="D8" s="55">
        <v>277</v>
      </c>
      <c r="E8" s="55">
        <v>816</v>
      </c>
      <c r="F8" s="55">
        <v>1265</v>
      </c>
      <c r="G8" s="55">
        <v>617</v>
      </c>
      <c r="H8" s="89">
        <v>198</v>
      </c>
      <c r="I8" s="80">
        <v>534</v>
      </c>
      <c r="J8" s="80">
        <v>956</v>
      </c>
      <c r="K8" s="80">
        <v>1504</v>
      </c>
      <c r="L8" s="80">
        <v>654</v>
      </c>
      <c r="M8" s="81">
        <v>220</v>
      </c>
      <c r="N8" s="26">
        <f>SUM(B8:M8)</f>
        <v>7640</v>
      </c>
      <c r="O8" s="45">
        <v>21255</v>
      </c>
      <c r="P8" s="39">
        <f>O8/N8</f>
        <v>2.782068062827225</v>
      </c>
    </row>
    <row r="9" spans="1:16">
      <c r="A9" s="19" t="s">
        <v>22</v>
      </c>
      <c r="B9" s="55">
        <v>0</v>
      </c>
      <c r="C9" s="55">
        <v>0</v>
      </c>
      <c r="D9" s="55">
        <v>0</v>
      </c>
      <c r="E9" s="55">
        <v>6</v>
      </c>
      <c r="F9" s="55">
        <v>6</v>
      </c>
      <c r="G9" s="55">
        <v>2</v>
      </c>
      <c r="H9" s="89">
        <v>0</v>
      </c>
      <c r="I9" s="80">
        <v>0</v>
      </c>
      <c r="J9" s="80">
        <v>0</v>
      </c>
      <c r="K9" s="80">
        <v>0</v>
      </c>
      <c r="L9" s="80">
        <v>0</v>
      </c>
      <c r="M9" s="81">
        <v>0</v>
      </c>
      <c r="N9" s="26">
        <f>SUM(B9:M9)</f>
        <v>14</v>
      </c>
    </row>
    <row r="10" spans="1:16">
      <c r="A10" s="20" t="s">
        <v>135</v>
      </c>
      <c r="B10" s="55"/>
      <c r="C10" s="55"/>
      <c r="D10" s="55"/>
      <c r="E10" s="55"/>
      <c r="F10" s="55"/>
      <c r="G10" s="55"/>
      <c r="H10" s="89"/>
      <c r="I10" s="80">
        <v>3</v>
      </c>
      <c r="J10" s="80"/>
      <c r="K10" s="80"/>
      <c r="L10" s="80">
        <v>3</v>
      </c>
      <c r="M10" s="81">
        <v>1</v>
      </c>
      <c r="N10" s="26">
        <f>SUM(B10:M10)</f>
        <v>7</v>
      </c>
    </row>
    <row r="13" spans="1:16" ht="13">
      <c r="A13" s="108" t="s">
        <v>100</v>
      </c>
      <c r="B13" s="41">
        <v>38169</v>
      </c>
      <c r="C13" s="41">
        <v>38200</v>
      </c>
      <c r="D13" s="41">
        <v>38231</v>
      </c>
      <c r="E13" s="41">
        <v>38261</v>
      </c>
      <c r="F13" s="41">
        <v>38292</v>
      </c>
      <c r="G13" s="41">
        <v>38322</v>
      </c>
      <c r="H13" s="41">
        <v>38353</v>
      </c>
      <c r="I13" s="41">
        <v>38384</v>
      </c>
      <c r="J13" s="41">
        <v>38412</v>
      </c>
      <c r="K13" s="41">
        <v>38443</v>
      </c>
      <c r="L13" s="41">
        <v>38473</v>
      </c>
      <c r="M13" s="41">
        <v>38504</v>
      </c>
      <c r="N13" s="5" t="s">
        <v>10</v>
      </c>
    </row>
    <row r="14" spans="1:16">
      <c r="A14" s="1" t="s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6">
      <c r="A15" s="1" t="s">
        <v>34</v>
      </c>
    </row>
    <row r="16" spans="1:16">
      <c r="A16" t="s">
        <v>12</v>
      </c>
      <c r="B16" s="55">
        <v>12</v>
      </c>
      <c r="C16" s="55">
        <v>13</v>
      </c>
      <c r="D16" s="55">
        <v>20</v>
      </c>
      <c r="E16" s="55">
        <v>31</v>
      </c>
      <c r="F16" s="55">
        <v>4</v>
      </c>
      <c r="G16" s="55">
        <v>2</v>
      </c>
      <c r="H16" s="89">
        <v>0</v>
      </c>
      <c r="I16" s="80">
        <v>1</v>
      </c>
      <c r="J16" s="80">
        <v>1</v>
      </c>
      <c r="K16" s="80">
        <v>1</v>
      </c>
      <c r="L16" s="80">
        <v>3</v>
      </c>
      <c r="M16" s="81">
        <v>0</v>
      </c>
      <c r="N16" s="26">
        <f>SUM(B16:M16)</f>
        <v>88</v>
      </c>
    </row>
    <row r="17" spans="1:16">
      <c r="A17" t="s">
        <v>13</v>
      </c>
      <c r="B17" s="55">
        <v>18</v>
      </c>
      <c r="C17" s="55">
        <v>16</v>
      </c>
      <c r="D17" s="55">
        <v>29</v>
      </c>
      <c r="E17" s="55">
        <v>34</v>
      </c>
      <c r="F17" s="55">
        <v>7</v>
      </c>
      <c r="G17" s="55">
        <v>2</v>
      </c>
      <c r="H17" s="89">
        <v>0</v>
      </c>
      <c r="I17" s="80">
        <v>1</v>
      </c>
      <c r="J17" s="80">
        <v>0</v>
      </c>
      <c r="K17" s="80">
        <v>1</v>
      </c>
      <c r="L17" s="80">
        <v>22</v>
      </c>
      <c r="M17" s="81">
        <v>0</v>
      </c>
      <c r="N17" s="26">
        <f>SUM(B17:M17)</f>
        <v>130</v>
      </c>
      <c r="O17" s="45">
        <v>1900</v>
      </c>
      <c r="P17" s="39">
        <f>O17/N17</f>
        <v>14.615384615384615</v>
      </c>
    </row>
    <row r="18" spans="1:16">
      <c r="A18" s="19" t="s">
        <v>22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89">
        <v>0</v>
      </c>
      <c r="I18" s="80">
        <v>0</v>
      </c>
      <c r="J18" s="80">
        <v>0</v>
      </c>
      <c r="K18" s="80">
        <v>0</v>
      </c>
      <c r="L18" s="80">
        <v>0</v>
      </c>
      <c r="M18" s="81">
        <v>0</v>
      </c>
      <c r="N18" s="26">
        <f>SUM(B18:M18)</f>
        <v>0</v>
      </c>
    </row>
    <row r="19" spans="1:16">
      <c r="A19" s="20" t="s">
        <v>135</v>
      </c>
      <c r="B19" s="55"/>
      <c r="C19" s="55"/>
      <c r="D19" s="55"/>
      <c r="E19" s="55"/>
      <c r="F19" s="55"/>
      <c r="G19" s="55"/>
      <c r="H19" s="89"/>
      <c r="I19" s="80">
        <v>1</v>
      </c>
      <c r="J19" s="80"/>
      <c r="K19" s="80"/>
      <c r="L19" s="80">
        <v>1</v>
      </c>
      <c r="M19" s="81">
        <v>0</v>
      </c>
      <c r="N19" s="26">
        <f>SUM(B19:M19)</f>
        <v>2</v>
      </c>
    </row>
  </sheetData>
  <phoneticPr fontId="2" type="noConversion"/>
  <pageMargins left="0.75" right="0.75" top="1" bottom="1" header="0.5" footer="0.5"/>
  <pageSetup scale="92" orientation="landscape" horizontalDpi="1200" verticalDpi="1200"/>
  <headerFooter>
    <oddFooter>&amp;L&amp;K000000WebSPIRS&amp;R&amp;K0000002004-05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33"/>
  <sheetViews>
    <sheetView workbookViewId="0"/>
  </sheetViews>
  <sheetFormatPr baseColWidth="10" defaultColWidth="8.83203125" defaultRowHeight="12" x14ac:dyDescent="0"/>
  <cols>
    <col min="1" max="1" width="34.6640625" bestFit="1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8" width="6.5" bestFit="1" customWidth="1"/>
    <col min="9" max="10" width="6.6640625" bestFit="1" customWidth="1"/>
    <col min="11" max="11" width="6.5" bestFit="1" customWidth="1"/>
    <col min="12" max="12" width="7" bestFit="1" customWidth="1"/>
    <col min="13" max="13" width="6.6640625" bestFit="1" customWidth="1"/>
    <col min="14" max="14" width="5.1640625" bestFit="1" customWidth="1"/>
    <col min="15" max="15" width="9.33203125" bestFit="1" customWidth="1"/>
    <col min="16" max="16" width="8.33203125" bestFit="1" customWidth="1"/>
  </cols>
  <sheetData>
    <row r="1" spans="1:16" ht="18">
      <c r="A1" s="2" t="s">
        <v>215</v>
      </c>
    </row>
    <row r="2" spans="1:16" ht="17">
      <c r="A2" s="3" t="s">
        <v>99</v>
      </c>
    </row>
    <row r="4" spans="1:16" ht="24">
      <c r="A4" s="108" t="s">
        <v>100</v>
      </c>
      <c r="B4" s="41">
        <v>38169</v>
      </c>
      <c r="C4" s="41">
        <v>38200</v>
      </c>
      <c r="D4" s="41">
        <v>38231</v>
      </c>
      <c r="E4" s="41">
        <v>38261</v>
      </c>
      <c r="F4" s="41">
        <v>38292</v>
      </c>
      <c r="G4" s="41">
        <v>38322</v>
      </c>
      <c r="H4" s="41">
        <v>38353</v>
      </c>
      <c r="I4" s="41">
        <v>38384</v>
      </c>
      <c r="J4" s="41">
        <v>38412</v>
      </c>
      <c r="K4" s="41">
        <v>38443</v>
      </c>
      <c r="L4" s="41">
        <v>38473</v>
      </c>
      <c r="M4" s="41">
        <v>38504</v>
      </c>
      <c r="N4" s="5" t="s">
        <v>10</v>
      </c>
      <c r="O4" s="38" t="s">
        <v>115</v>
      </c>
      <c r="P4" s="38" t="s">
        <v>114</v>
      </c>
    </row>
    <row r="5" spans="1:16">
      <c r="A5" s="1" t="s">
        <v>11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6">
      <c r="A6" s="13" t="s">
        <v>23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6">
      <c r="A7" t="s">
        <v>12</v>
      </c>
      <c r="B7" s="80">
        <v>7</v>
      </c>
      <c r="C7" s="80">
        <v>1</v>
      </c>
      <c r="D7" s="80">
        <v>38</v>
      </c>
      <c r="E7" s="80">
        <v>108</v>
      </c>
      <c r="F7" s="80">
        <v>143</v>
      </c>
      <c r="G7" s="81">
        <v>53</v>
      </c>
      <c r="H7" s="80">
        <v>34</v>
      </c>
      <c r="I7" s="80">
        <v>80</v>
      </c>
      <c r="J7" s="80">
        <v>112</v>
      </c>
      <c r="K7" s="80">
        <v>137</v>
      </c>
      <c r="L7" s="80">
        <v>60</v>
      </c>
      <c r="M7" s="81">
        <v>18</v>
      </c>
      <c r="N7" s="26">
        <f>SUM(B7:M7)</f>
        <v>791</v>
      </c>
      <c r="O7" s="39"/>
      <c r="P7" s="39"/>
    </row>
    <row r="8" spans="1:16">
      <c r="A8" t="s">
        <v>13</v>
      </c>
      <c r="B8" s="80">
        <v>22</v>
      </c>
      <c r="C8" s="80">
        <v>1</v>
      </c>
      <c r="D8" s="80">
        <v>154</v>
      </c>
      <c r="E8" s="80">
        <v>552</v>
      </c>
      <c r="F8" s="80">
        <v>518</v>
      </c>
      <c r="G8" s="81">
        <v>177</v>
      </c>
      <c r="H8" s="80">
        <v>166</v>
      </c>
      <c r="I8" s="80">
        <v>408</v>
      </c>
      <c r="J8" s="80">
        <v>517</v>
      </c>
      <c r="K8" s="80">
        <v>643</v>
      </c>
      <c r="L8" s="80">
        <v>222</v>
      </c>
      <c r="M8" s="81">
        <v>63</v>
      </c>
      <c r="N8" s="26">
        <f>SUM(B8:M8)</f>
        <v>3443</v>
      </c>
      <c r="O8" s="39">
        <v>4460</v>
      </c>
      <c r="P8" s="39">
        <f>O8/N8</f>
        <v>1.2953819343595701</v>
      </c>
    </row>
    <row r="9" spans="1:16">
      <c r="A9" s="19" t="s">
        <v>22</v>
      </c>
      <c r="B9" s="80">
        <v>0</v>
      </c>
      <c r="C9" s="80">
        <v>0</v>
      </c>
      <c r="D9" s="80">
        <v>0</v>
      </c>
      <c r="E9" s="80">
        <v>0</v>
      </c>
      <c r="F9" s="80">
        <v>0</v>
      </c>
      <c r="G9" s="81">
        <v>0</v>
      </c>
      <c r="H9" s="80">
        <v>0</v>
      </c>
      <c r="I9" s="80">
        <v>0</v>
      </c>
      <c r="J9" s="80">
        <v>0</v>
      </c>
      <c r="K9" s="80">
        <v>0</v>
      </c>
      <c r="L9" s="80">
        <v>0</v>
      </c>
      <c r="M9" s="81">
        <v>0</v>
      </c>
      <c r="N9" s="26">
        <f>SUM(B9:M9)</f>
        <v>0</v>
      </c>
      <c r="O9" s="39"/>
      <c r="P9" s="39"/>
    </row>
    <row r="10" spans="1:16">
      <c r="A10" s="19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39"/>
      <c r="P10" s="39"/>
    </row>
    <row r="11" spans="1:16">
      <c r="O11" s="39"/>
      <c r="P11" s="39"/>
    </row>
    <row r="12" spans="1:16">
      <c r="A12" s="1" t="s">
        <v>24</v>
      </c>
      <c r="O12" s="39"/>
      <c r="P12" s="39"/>
    </row>
    <row r="13" spans="1:16">
      <c r="A13" t="s">
        <v>12</v>
      </c>
      <c r="B13" s="80">
        <v>26</v>
      </c>
      <c r="C13" s="80">
        <v>15</v>
      </c>
      <c r="D13" s="80">
        <v>19</v>
      </c>
      <c r="E13" s="80">
        <v>87</v>
      </c>
      <c r="F13" s="80">
        <v>87</v>
      </c>
      <c r="G13" s="81">
        <v>54</v>
      </c>
      <c r="H13" s="80">
        <v>39</v>
      </c>
      <c r="I13" s="80">
        <v>55</v>
      </c>
      <c r="J13" s="80">
        <v>76</v>
      </c>
      <c r="K13" s="80">
        <v>82</v>
      </c>
      <c r="L13" s="80">
        <v>31</v>
      </c>
      <c r="M13" s="81">
        <v>17</v>
      </c>
      <c r="N13" s="26">
        <f>SUM(B13:M13)</f>
        <v>588</v>
      </c>
      <c r="O13" s="39"/>
      <c r="P13" s="39"/>
    </row>
    <row r="14" spans="1:16">
      <c r="A14" t="s">
        <v>13</v>
      </c>
      <c r="B14" s="80">
        <v>110</v>
      </c>
      <c r="C14" s="80">
        <v>34</v>
      </c>
      <c r="D14" s="80">
        <v>61</v>
      </c>
      <c r="E14" s="80">
        <v>295</v>
      </c>
      <c r="F14" s="80">
        <v>310</v>
      </c>
      <c r="G14" s="81">
        <v>180</v>
      </c>
      <c r="H14" s="80">
        <v>171</v>
      </c>
      <c r="I14" s="80">
        <v>204</v>
      </c>
      <c r="J14" s="80">
        <v>156</v>
      </c>
      <c r="K14" s="80">
        <v>275</v>
      </c>
      <c r="L14" s="80">
        <v>142</v>
      </c>
      <c r="M14" s="81">
        <v>55</v>
      </c>
      <c r="N14" s="26">
        <f>SUM(B14:M14)</f>
        <v>1993</v>
      </c>
      <c r="O14" s="39">
        <v>5018</v>
      </c>
      <c r="P14" s="39">
        <f>O14/N14</f>
        <v>2.5178123432012041</v>
      </c>
    </row>
    <row r="15" spans="1:16">
      <c r="A15" s="19" t="s">
        <v>22</v>
      </c>
      <c r="B15" s="80">
        <v>0</v>
      </c>
      <c r="C15" s="80">
        <v>0</v>
      </c>
      <c r="D15" s="80">
        <v>0</v>
      </c>
      <c r="E15" s="80">
        <v>0</v>
      </c>
      <c r="F15" s="80">
        <v>0</v>
      </c>
      <c r="G15" s="81">
        <v>0</v>
      </c>
      <c r="H15" s="80">
        <v>0</v>
      </c>
      <c r="I15" s="80">
        <v>0</v>
      </c>
      <c r="J15" s="80">
        <v>0</v>
      </c>
      <c r="K15" s="80">
        <v>0</v>
      </c>
      <c r="L15" s="80">
        <v>0</v>
      </c>
      <c r="M15" s="81">
        <v>0</v>
      </c>
      <c r="N15" s="26">
        <f>SUM(B15:M15)</f>
        <v>0</v>
      </c>
      <c r="O15" s="39"/>
      <c r="P15" s="39"/>
    </row>
    <row r="16" spans="1:16">
      <c r="O16" s="39"/>
      <c r="P16" s="39"/>
    </row>
    <row r="17" spans="1:16">
      <c r="O17" s="39"/>
      <c r="P17" s="39"/>
    </row>
    <row r="18" spans="1:16">
      <c r="A18" s="1" t="s">
        <v>25</v>
      </c>
      <c r="O18" s="39"/>
      <c r="P18" s="39"/>
    </row>
    <row r="19" spans="1:16">
      <c r="A19" t="s">
        <v>12</v>
      </c>
      <c r="B19" s="80">
        <v>32</v>
      </c>
      <c r="C19" s="80">
        <v>16</v>
      </c>
      <c r="D19" s="80">
        <v>28</v>
      </c>
      <c r="E19" s="80">
        <v>91</v>
      </c>
      <c r="F19" s="80">
        <v>96</v>
      </c>
      <c r="G19" s="81">
        <v>73</v>
      </c>
      <c r="H19" s="80">
        <v>36</v>
      </c>
      <c r="I19" s="80">
        <v>56</v>
      </c>
      <c r="J19" s="80">
        <v>55</v>
      </c>
      <c r="K19" s="80">
        <v>100</v>
      </c>
      <c r="L19" s="80">
        <v>37</v>
      </c>
      <c r="M19" s="81">
        <v>13</v>
      </c>
      <c r="N19" s="26">
        <f>SUM(B19:M19)</f>
        <v>633</v>
      </c>
      <c r="O19" s="39"/>
      <c r="P19" s="39"/>
    </row>
    <row r="20" spans="1:16">
      <c r="A20" t="s">
        <v>13</v>
      </c>
      <c r="B20" s="80">
        <v>92</v>
      </c>
      <c r="C20" s="80">
        <v>32</v>
      </c>
      <c r="D20" s="80">
        <v>107</v>
      </c>
      <c r="E20" s="80">
        <v>311</v>
      </c>
      <c r="F20" s="80">
        <v>351</v>
      </c>
      <c r="G20" s="81">
        <v>236</v>
      </c>
      <c r="H20" s="80">
        <v>165</v>
      </c>
      <c r="I20" s="80">
        <v>255</v>
      </c>
      <c r="J20" s="80">
        <v>168</v>
      </c>
      <c r="K20" s="80">
        <v>374</v>
      </c>
      <c r="L20" s="80">
        <v>180</v>
      </c>
      <c r="M20" s="81">
        <v>35</v>
      </c>
      <c r="N20" s="26">
        <f>SUM(B20:M20)</f>
        <v>2306</v>
      </c>
      <c r="O20" s="39">
        <v>2970</v>
      </c>
      <c r="P20" s="39">
        <f>O20/N20</f>
        <v>1.2879444926279271</v>
      </c>
    </row>
    <row r="21" spans="1:16">
      <c r="A21" s="19" t="s">
        <v>22</v>
      </c>
      <c r="B21" s="80">
        <v>0</v>
      </c>
      <c r="C21" s="80">
        <v>0</v>
      </c>
      <c r="D21" s="80">
        <v>0</v>
      </c>
      <c r="E21" s="80">
        <v>0</v>
      </c>
      <c r="F21" s="80">
        <v>0</v>
      </c>
      <c r="G21" s="81">
        <v>15</v>
      </c>
      <c r="H21" s="80">
        <v>0</v>
      </c>
      <c r="I21" s="80">
        <v>0</v>
      </c>
      <c r="J21" s="80">
        <v>0</v>
      </c>
      <c r="K21" s="80">
        <v>0</v>
      </c>
      <c r="L21" s="80">
        <v>0</v>
      </c>
      <c r="M21" s="81">
        <v>0</v>
      </c>
      <c r="N21" s="26">
        <f>SUM(B21:M21)</f>
        <v>15</v>
      </c>
      <c r="O21" s="39"/>
      <c r="P21" s="39"/>
    </row>
    <row r="22" spans="1:16">
      <c r="O22" s="39"/>
      <c r="P22" s="39"/>
    </row>
    <row r="23" spans="1:16">
      <c r="O23" s="39"/>
      <c r="P23" s="39"/>
    </row>
    <row r="24" spans="1:16">
      <c r="A24" s="1" t="s">
        <v>26</v>
      </c>
      <c r="O24" s="39"/>
      <c r="P24" s="39"/>
    </row>
    <row r="25" spans="1:16">
      <c r="A25" t="s">
        <v>12</v>
      </c>
      <c r="B25" s="80">
        <v>14</v>
      </c>
      <c r="C25" s="80">
        <v>2</v>
      </c>
      <c r="D25" s="80">
        <v>11</v>
      </c>
      <c r="E25" s="80">
        <v>37</v>
      </c>
      <c r="F25" s="80">
        <v>51</v>
      </c>
      <c r="G25" s="81">
        <v>35</v>
      </c>
      <c r="H25" s="80">
        <v>31</v>
      </c>
      <c r="I25" s="80">
        <v>47</v>
      </c>
      <c r="J25" s="80">
        <v>27</v>
      </c>
      <c r="K25" s="80">
        <v>34</v>
      </c>
      <c r="L25" s="80">
        <v>11</v>
      </c>
      <c r="M25" s="81">
        <v>15</v>
      </c>
      <c r="N25" s="26">
        <f>SUM(B25:M25)</f>
        <v>315</v>
      </c>
      <c r="O25" s="39"/>
      <c r="P25" s="39"/>
    </row>
    <row r="26" spans="1:16">
      <c r="A26" t="s">
        <v>13</v>
      </c>
      <c r="B26" s="80">
        <v>55</v>
      </c>
      <c r="C26" s="80">
        <v>15</v>
      </c>
      <c r="D26" s="80">
        <v>314</v>
      </c>
      <c r="E26" s="80">
        <v>142</v>
      </c>
      <c r="F26" s="80">
        <v>235</v>
      </c>
      <c r="G26" s="81">
        <v>164</v>
      </c>
      <c r="H26" s="80">
        <v>143</v>
      </c>
      <c r="I26" s="80">
        <v>176</v>
      </c>
      <c r="J26" s="80">
        <v>65</v>
      </c>
      <c r="K26" s="80">
        <v>120</v>
      </c>
      <c r="L26" s="80">
        <v>19</v>
      </c>
      <c r="M26" s="81">
        <v>33</v>
      </c>
      <c r="N26" s="26">
        <f>SUM(B26:M26)</f>
        <v>1481</v>
      </c>
      <c r="O26" s="39">
        <v>326</v>
      </c>
      <c r="P26" s="39">
        <f>32/N26</f>
        <v>2.160702228224173E-2</v>
      </c>
    </row>
    <row r="27" spans="1:16">
      <c r="A27" s="19" t="s">
        <v>22</v>
      </c>
      <c r="B27" s="80">
        <v>0</v>
      </c>
      <c r="C27" s="80">
        <v>0</v>
      </c>
      <c r="D27" s="80">
        <v>0</v>
      </c>
      <c r="E27" s="80">
        <v>0</v>
      </c>
      <c r="F27" s="80">
        <v>0</v>
      </c>
      <c r="G27" s="81">
        <v>0</v>
      </c>
      <c r="H27" s="80">
        <v>0</v>
      </c>
      <c r="I27" s="80">
        <v>0</v>
      </c>
      <c r="J27" s="80">
        <v>0</v>
      </c>
      <c r="K27" s="80">
        <v>0</v>
      </c>
      <c r="L27" s="80">
        <v>0</v>
      </c>
      <c r="M27" s="81">
        <v>0</v>
      </c>
      <c r="N27" s="26">
        <f>SUM(B27:M27)</f>
        <v>0</v>
      </c>
      <c r="O27" s="39"/>
      <c r="P27" s="39"/>
    </row>
    <row r="28" spans="1:16">
      <c r="O28" s="39"/>
      <c r="P28" s="39"/>
    </row>
    <row r="29" spans="1:16">
      <c r="O29" s="39"/>
      <c r="P29" s="39"/>
    </row>
    <row r="30" spans="1:16">
      <c r="A30" s="1" t="s">
        <v>132</v>
      </c>
      <c r="O30" s="39"/>
      <c r="P30" s="39"/>
    </row>
    <row r="31" spans="1:16">
      <c r="A31" t="s">
        <v>12</v>
      </c>
      <c r="B31" s="80">
        <f>B7+B13+B19+B25</f>
        <v>79</v>
      </c>
      <c r="C31" s="80">
        <f t="shared" ref="C31:M31" si="0">C7+C13+C19+C25</f>
        <v>34</v>
      </c>
      <c r="D31" s="80">
        <f t="shared" si="0"/>
        <v>96</v>
      </c>
      <c r="E31" s="80">
        <f t="shared" si="0"/>
        <v>323</v>
      </c>
      <c r="F31" s="80">
        <f t="shared" si="0"/>
        <v>377</v>
      </c>
      <c r="G31" s="81">
        <f t="shared" si="0"/>
        <v>215</v>
      </c>
      <c r="H31" s="80">
        <f t="shared" si="0"/>
        <v>140</v>
      </c>
      <c r="I31" s="80">
        <f t="shared" si="0"/>
        <v>238</v>
      </c>
      <c r="J31" s="80">
        <f t="shared" si="0"/>
        <v>270</v>
      </c>
      <c r="K31" s="80">
        <f t="shared" si="0"/>
        <v>353</v>
      </c>
      <c r="L31" s="80">
        <f t="shared" si="0"/>
        <v>139</v>
      </c>
      <c r="M31" s="81">
        <f t="shared" si="0"/>
        <v>63</v>
      </c>
      <c r="N31" s="26">
        <f>N7+N13+N19+N25</f>
        <v>2327</v>
      </c>
      <c r="O31" s="39"/>
      <c r="P31" s="39"/>
    </row>
    <row r="32" spans="1:16">
      <c r="A32" t="s">
        <v>13</v>
      </c>
      <c r="B32" s="80">
        <f>B8+B14+B20+B26</f>
        <v>279</v>
      </c>
      <c r="C32" s="80">
        <f t="shared" ref="C32:M32" si="1">C8+C14+C20+C26</f>
        <v>82</v>
      </c>
      <c r="D32" s="80">
        <f t="shared" si="1"/>
        <v>636</v>
      </c>
      <c r="E32" s="80">
        <f t="shared" si="1"/>
        <v>1300</v>
      </c>
      <c r="F32" s="80">
        <f t="shared" si="1"/>
        <v>1414</v>
      </c>
      <c r="G32" s="81">
        <f t="shared" si="1"/>
        <v>757</v>
      </c>
      <c r="H32" s="80">
        <f t="shared" si="1"/>
        <v>645</v>
      </c>
      <c r="I32" s="80">
        <f t="shared" si="1"/>
        <v>1043</v>
      </c>
      <c r="J32" s="80">
        <f t="shared" si="1"/>
        <v>906</v>
      </c>
      <c r="K32" s="80">
        <f t="shared" si="1"/>
        <v>1412</v>
      </c>
      <c r="L32" s="80">
        <f t="shared" si="1"/>
        <v>563</v>
      </c>
      <c r="M32" s="81">
        <f t="shared" si="1"/>
        <v>186</v>
      </c>
      <c r="N32" s="26">
        <f>N8+N14+N20+N26</f>
        <v>9223</v>
      </c>
      <c r="O32" s="39">
        <f>SUM(O7:O29)</f>
        <v>12774</v>
      </c>
      <c r="P32" s="39">
        <f>O32/N32</f>
        <v>1.3850157215656511</v>
      </c>
    </row>
    <row r="33" spans="1:16">
      <c r="A33" s="19" t="s">
        <v>22</v>
      </c>
      <c r="B33" s="80">
        <f>B9+B15+B21+B27</f>
        <v>0</v>
      </c>
      <c r="C33" s="80">
        <f t="shared" ref="C33:M33" si="2">C9+C15+C21+C27</f>
        <v>0</v>
      </c>
      <c r="D33" s="80">
        <f t="shared" si="2"/>
        <v>0</v>
      </c>
      <c r="E33" s="80">
        <f t="shared" si="2"/>
        <v>0</v>
      </c>
      <c r="F33" s="80">
        <f t="shared" si="2"/>
        <v>0</v>
      </c>
      <c r="G33" s="81">
        <f t="shared" si="2"/>
        <v>15</v>
      </c>
      <c r="H33" s="80">
        <f t="shared" si="2"/>
        <v>0</v>
      </c>
      <c r="I33" s="80">
        <f t="shared" si="2"/>
        <v>0</v>
      </c>
      <c r="J33" s="80">
        <f t="shared" si="2"/>
        <v>0</v>
      </c>
      <c r="K33" s="80">
        <f t="shared" si="2"/>
        <v>0</v>
      </c>
      <c r="L33" s="80">
        <f t="shared" si="2"/>
        <v>0</v>
      </c>
      <c r="M33" s="81">
        <f t="shared" si="2"/>
        <v>0</v>
      </c>
      <c r="N33" s="26">
        <f>N9+N15+N21+N27</f>
        <v>15</v>
      </c>
      <c r="O33" s="39"/>
      <c r="P33" s="39"/>
    </row>
  </sheetData>
  <phoneticPr fontId="2" type="noConversion"/>
  <pageMargins left="0.75" right="0.75" top="1" bottom="1" header="0.5" footer="0.5"/>
  <pageSetup scale="82" orientation="landscape" horizontalDpi="1200" verticalDpi="1200"/>
  <headerFooter>
    <oddFooter>&amp;L&amp;K000000WilsonWeb &amp;R&amp;K0000002004-05 usage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ABC-CLIO</vt:lpstr>
      <vt:lpstr>CIAO</vt:lpstr>
      <vt:lpstr>CollegeSource</vt:lpstr>
      <vt:lpstr>Compendex(EI)</vt:lpstr>
      <vt:lpstr>CSA</vt:lpstr>
      <vt:lpstr>EBSCOhost</vt:lpstr>
      <vt:lpstr>FamilyIndex</vt:lpstr>
      <vt:lpstr>FirstSearch</vt:lpstr>
      <vt:lpstr>InfoTrac</vt:lpstr>
      <vt:lpstr>GroveMusic</vt:lpstr>
      <vt:lpstr>LexisNexis</vt:lpstr>
      <vt:lpstr>MathSciNet</vt:lpstr>
      <vt:lpstr>Mergent</vt:lpstr>
      <vt:lpstr>MINABS</vt:lpstr>
      <vt:lpstr>MusicIndex</vt:lpstr>
      <vt:lpstr>netLibrary</vt:lpstr>
      <vt:lpstr>OVID</vt:lpstr>
      <vt:lpstr>ProQuest</vt:lpstr>
      <vt:lpstr>ReferenceUSA</vt:lpstr>
      <vt:lpstr>RefWorks</vt:lpstr>
      <vt:lpstr>SciFinderScholar</vt:lpstr>
      <vt:lpstr>WebofScience</vt:lpstr>
      <vt:lpstr>WebSpirs</vt:lpstr>
      <vt:lpstr>WilsonWeb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Andree Rathemacher</cp:lastModifiedBy>
  <cp:lastPrinted>2011-09-16T17:29:39Z</cp:lastPrinted>
  <dcterms:created xsi:type="dcterms:W3CDTF">2005-09-14T17:17:38Z</dcterms:created>
  <dcterms:modified xsi:type="dcterms:W3CDTF">2011-09-16T17:29:56Z</dcterms:modified>
</cp:coreProperties>
</file>