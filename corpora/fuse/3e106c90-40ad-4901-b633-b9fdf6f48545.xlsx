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5970" windowWidth="25260" windowHeight="6015"/>
  </bookViews>
  <sheets>
    <sheet name="BA accounts" sheetId="1" r:id="rId1"/>
    <sheet name="RPI data" sheetId="2" r:id="rId2"/>
    <sheet name="YBEZ" sheetId="3" r:id="rId3"/>
  </sheets>
  <definedNames>
    <definedName name="_xlnm.Print_Area" localSheetId="0">'BA accounts'!$A$2:$AB$21</definedName>
  </definedNames>
  <calcPr calcId="125725"/>
</workbook>
</file>

<file path=xl/calcChain.xml><?xml version="1.0" encoding="utf-8"?>
<calcChain xmlns="http://schemas.openxmlformats.org/spreadsheetml/2006/main">
  <c r="S7" i="1"/>
  <c r="S8"/>
  <c r="S9"/>
  <c r="S10"/>
  <c r="S11"/>
  <c r="S12"/>
  <c r="S13"/>
  <c r="S14"/>
  <c r="S15"/>
  <c r="S16"/>
  <c r="S17"/>
  <c r="S6"/>
  <c r="T17"/>
  <c r="T16"/>
  <c r="T15"/>
  <c r="T34" i="2"/>
  <c r="T7" i="1"/>
  <c r="T8"/>
  <c r="T9"/>
  <c r="T10"/>
  <c r="T11"/>
  <c r="T12"/>
  <c r="T13"/>
  <c r="T14"/>
  <c r="T6"/>
  <c r="S36" i="2"/>
  <c r="S37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T19" i="1" l="1"/>
  <c r="S19"/>
  <c r="O6"/>
  <c r="Y6" s="1"/>
  <c r="O7"/>
  <c r="Y7" s="1"/>
  <c r="O8"/>
  <c r="Y8" s="1"/>
  <c r="O9"/>
  <c r="Y9" s="1"/>
  <c r="O10"/>
  <c r="Y10" s="1"/>
  <c r="O11"/>
  <c r="Y11" s="1"/>
  <c r="O12"/>
  <c r="Y12" s="1"/>
  <c r="O13"/>
  <c r="Y13" s="1"/>
  <c r="O14"/>
  <c r="Y14" s="1"/>
  <c r="O15"/>
  <c r="Y15" s="1"/>
  <c r="O16"/>
  <c r="Y16" s="1"/>
  <c r="O17"/>
  <c r="Y17" s="1"/>
  <c r="L6"/>
  <c r="V6" s="1"/>
  <c r="L7"/>
  <c r="V7" s="1"/>
  <c r="L8"/>
  <c r="V8" s="1"/>
  <c r="L9"/>
  <c r="V9" s="1"/>
  <c r="L10"/>
  <c r="V10" s="1"/>
  <c r="L11"/>
  <c r="V11" s="1"/>
  <c r="L12"/>
  <c r="V12" s="1"/>
  <c r="L13"/>
  <c r="V13" s="1"/>
  <c r="L14"/>
  <c r="V14" s="1"/>
  <c r="L15"/>
  <c r="V15" s="1"/>
  <c r="L16"/>
  <c r="V16" s="1"/>
  <c r="L17"/>
  <c r="V17" s="1"/>
  <c r="P6"/>
  <c r="Z6" s="1"/>
  <c r="P7"/>
  <c r="Z7" s="1"/>
  <c r="P8"/>
  <c r="Z8" s="1"/>
  <c r="P9"/>
  <c r="Z9" s="1"/>
  <c r="P10"/>
  <c r="Z10" s="1"/>
  <c r="P11"/>
  <c r="Z11" s="1"/>
  <c r="P12"/>
  <c r="Z12" s="1"/>
  <c r="P13"/>
  <c r="Z13" s="1"/>
  <c r="P14"/>
  <c r="Z14" s="1"/>
  <c r="P15"/>
  <c r="Z15" s="1"/>
  <c r="P16"/>
  <c r="Z16" s="1"/>
  <c r="P17"/>
  <c r="Z17" s="1"/>
  <c r="M6"/>
  <c r="W6" s="1"/>
  <c r="M7"/>
  <c r="W7" s="1"/>
  <c r="M8"/>
  <c r="W8" s="1"/>
  <c r="M9"/>
  <c r="W9" s="1"/>
  <c r="M10"/>
  <c r="W10" s="1"/>
  <c r="M11"/>
  <c r="W11" s="1"/>
  <c r="M12"/>
  <c r="W12" s="1"/>
  <c r="M13"/>
  <c r="W13" s="1"/>
  <c r="M14"/>
  <c r="W14" s="1"/>
  <c r="M15"/>
  <c r="W15" s="1"/>
  <c r="M16"/>
  <c r="W16" s="1"/>
  <c r="M17"/>
  <c r="W17" s="1"/>
  <c r="E14"/>
  <c r="F14" s="1"/>
  <c r="E17"/>
  <c r="E16"/>
  <c r="E15"/>
  <c r="E13"/>
  <c r="E12"/>
  <c r="F12" s="1"/>
  <c r="E11"/>
  <c r="E10"/>
  <c r="F10" s="1"/>
  <c r="E9"/>
  <c r="E8"/>
  <c r="E7"/>
  <c r="E6"/>
  <c r="F6" s="1"/>
  <c r="F17" l="1"/>
  <c r="F9"/>
  <c r="Q9" s="1"/>
  <c r="AA9" s="1"/>
  <c r="W19"/>
  <c r="Z19"/>
  <c r="Y19"/>
  <c r="F16"/>
  <c r="N16" s="1"/>
  <c r="X16" s="1"/>
  <c r="F8"/>
  <c r="Q8" s="1"/>
  <c r="AA8" s="1"/>
  <c r="V19"/>
  <c r="F13"/>
  <c r="N13" s="1"/>
  <c r="X13" s="1"/>
  <c r="Q12"/>
  <c r="AA12" s="1"/>
  <c r="N12"/>
  <c r="X12" s="1"/>
  <c r="F11"/>
  <c r="F7"/>
  <c r="Q14"/>
  <c r="AA14" s="1"/>
  <c r="Q10"/>
  <c r="AA10" s="1"/>
  <c r="Q6"/>
  <c r="AA6" s="1"/>
  <c r="F15"/>
  <c r="N14"/>
  <c r="X14" s="1"/>
  <c r="N10"/>
  <c r="X10" s="1"/>
  <c r="N6"/>
  <c r="X6" s="1"/>
  <c r="N9" l="1"/>
  <c r="X9" s="1"/>
  <c r="Q17"/>
  <c r="AA17" s="1"/>
  <c r="AA19" s="1"/>
  <c r="N17"/>
  <c r="X17" s="1"/>
  <c r="X19" s="1"/>
  <c r="N8"/>
  <c r="X8" s="1"/>
  <c r="Q16"/>
  <c r="AA16" s="1"/>
  <c r="Q13"/>
  <c r="AA13" s="1"/>
  <c r="Q11"/>
  <c r="AA11" s="1"/>
  <c r="N11"/>
  <c r="X11" s="1"/>
  <c r="Q7"/>
  <c r="AA7" s="1"/>
  <c r="N7"/>
  <c r="X7" s="1"/>
  <c r="Q15"/>
  <c r="AA15" s="1"/>
  <c r="N15"/>
  <c r="X15" s="1"/>
</calcChain>
</file>

<file path=xl/comments1.xml><?xml version="1.0" encoding="utf-8"?>
<comments xmlns="http://schemas.openxmlformats.org/spreadsheetml/2006/main">
  <authors>
    <author>tim.griffith</author>
  </authors>
  <commentList>
    <comment ref="S5" authorId="0">
      <text>
        <r>
          <rPr>
            <sz val="9"/>
            <color indexed="81"/>
            <rFont val="Tahoma"/>
            <charset val="1"/>
          </rPr>
          <t>All data in calendar years</t>
        </r>
      </text>
    </comment>
    <comment ref="A15" authorId="0">
      <text>
        <r>
          <rPr>
            <sz val="9"/>
            <color indexed="81"/>
            <rFont val="Tahoma"/>
            <family val="2"/>
          </rPr>
          <t>9 months</t>
        </r>
      </text>
    </comment>
  </commentList>
</comments>
</file>

<file path=xl/comments2.xml><?xml version="1.0" encoding="utf-8"?>
<comments xmlns="http://schemas.openxmlformats.org/spreadsheetml/2006/main">
  <authors>
    <author>tim.griffith</author>
  </authors>
  <commentList>
    <comment ref="T34" authorId="0">
      <text>
        <r>
          <rPr>
            <sz val="9"/>
            <color indexed="81"/>
            <rFont val="Tahoma"/>
            <family val="2"/>
          </rPr>
          <t>9 months</t>
        </r>
      </text>
    </comment>
  </commentList>
</comments>
</file>

<file path=xl/sharedStrings.xml><?xml version="1.0" encoding="utf-8"?>
<sst xmlns="http://schemas.openxmlformats.org/spreadsheetml/2006/main" count="94" uniqueCount="77">
  <si>
    <t>Year ended</t>
  </si>
  <si>
    <t>Turnover</t>
  </si>
  <si>
    <t>Fuel costs</t>
  </si>
  <si>
    <t>Total costs</t>
  </si>
  <si>
    <t>£M</t>
  </si>
  <si>
    <t>Employee costs</t>
  </si>
  <si>
    <t>Other costs</t>
  </si>
  <si>
    <t>31 Mar 02</t>
  </si>
  <si>
    <t>31 Mar 03</t>
  </si>
  <si>
    <t>31 Mar 04</t>
  </si>
  <si>
    <t>31 Mar 05</t>
  </si>
  <si>
    <t>31 Mar 06</t>
  </si>
  <si>
    <t>31 Mar 07</t>
  </si>
  <si>
    <t>31 Mar 08</t>
  </si>
  <si>
    <t>31 Mar 09</t>
  </si>
  <si>
    <t>31 Mar 10</t>
  </si>
  <si>
    <t>31 Dec 10</t>
  </si>
  <si>
    <t>31 Dec 11</t>
  </si>
  <si>
    <t>31 Dec 12</t>
  </si>
  <si>
    <t>ASK</t>
  </si>
  <si>
    <t>RPK</t>
  </si>
  <si>
    <t>Passenger revenue</t>
  </si>
  <si>
    <t>Pax revenue per RPK</t>
  </si>
  <si>
    <t>Cost per RPK</t>
  </si>
  <si>
    <t>Cost per ASK</t>
  </si>
  <si>
    <t>Pax revenue per ASK</t>
  </si>
  <si>
    <t>Total revenue per RPK</t>
  </si>
  <si>
    <t>Total revenue per ASK</t>
  </si>
  <si>
    <t>http://www.iairgroup.com/phoenix.zhtml?c=240949&amp;p=irol-reportsannual</t>
  </si>
  <si>
    <t>2002-12</t>
  </si>
  <si>
    <t>In nominals</t>
  </si>
  <si>
    <t>In 2012 prices</t>
  </si>
  <si>
    <t>RPI (CHAW)</t>
  </si>
  <si>
    <t>GDP (YBEZ)</t>
  </si>
  <si>
    <t>From accounts</t>
  </si>
  <si>
    <t>Source:</t>
  </si>
  <si>
    <t>Back to Contents</t>
  </si>
  <si>
    <t>Table 20</t>
  </si>
  <si>
    <t xml:space="preserve"> RPI all items: 1947 to 2011</t>
  </si>
  <si>
    <t xml:space="preserve"> Annual</t>
  </si>
  <si>
    <t xml:space="preserve"> </t>
  </si>
  <si>
    <t xml:space="preserve"> average</t>
  </si>
  <si>
    <t xml:space="preserve"> Jan</t>
  </si>
  <si>
    <t xml:space="preserve"> Feb</t>
  </si>
  <si>
    <t xml:space="preserve"> Mar</t>
  </si>
  <si>
    <t xml:space="preserve"> Apr</t>
  </si>
  <si>
    <t xml:space="preserve"> May</t>
  </si>
  <si>
    <t xml:space="preserve"> Jun</t>
  </si>
  <si>
    <t xml:space="preserve"> Jul</t>
  </si>
  <si>
    <t xml:space="preserve"> Aug</t>
  </si>
  <si>
    <t xml:space="preserve"> Sep</t>
  </si>
  <si>
    <t xml:space="preserve"> Oct</t>
  </si>
  <si>
    <t xml:space="preserve"> Nov</t>
  </si>
  <si>
    <t xml:space="preserve"> Dec</t>
  </si>
  <si>
    <t>Annual average to March of year</t>
  </si>
  <si>
    <t>CHAW</t>
  </si>
  <si>
    <t xml:space="preserve"> January 1987=100</t>
  </si>
  <si>
    <r>
      <t xml:space="preserve"> </t>
    </r>
    <r>
      <rPr>
        <b/>
        <sz val="10"/>
        <rFont val="Arial"/>
        <family val="2"/>
      </rPr>
      <t>Key:</t>
    </r>
    <r>
      <rPr>
        <sz val="11"/>
        <color theme="1"/>
        <rFont val="Calibri"/>
        <family val="2"/>
        <scheme val="minor"/>
      </rPr>
      <t xml:space="preserve">     -  zero or negligible     ..  not available</t>
    </r>
  </si>
  <si>
    <t xml:space="preserve">Source: </t>
  </si>
  <si>
    <t>Office for National Statistics</t>
  </si>
  <si>
    <t>Prices Division</t>
  </si>
  <si>
    <t>1.227 Cardiff Road</t>
  </si>
  <si>
    <t>Newport</t>
  </si>
  <si>
    <t>South Wales</t>
  </si>
  <si>
    <t>NP10 8XG</t>
  </si>
  <si>
    <t>Tel: 01633 456900</t>
  </si>
  <si>
    <t>www.ons.gov.uk</t>
  </si>
  <si>
    <t>BA accounts</t>
  </si>
  <si>
    <t>..</t>
  </si>
  <si>
    <t>Gross domestic product index: CVM: Seasonally adjusted</t>
  </si>
  <si>
    <t>YBEZ</t>
  </si>
  <si>
    <t>seasonal_adjustment</t>
  </si>
  <si>
    <t>SA</t>
  </si>
  <si>
    <t>base_period</t>
  </si>
  <si>
    <t>price</t>
  </si>
  <si>
    <t>CONS</t>
  </si>
  <si>
    <t>index_period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</si>
</sst>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166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15" fontId="0" fillId="0" borderId="0" xfId="0" quotePrefix="1" applyNumberFormat="1"/>
    <xf numFmtId="164" fontId="0" fillId="0" borderId="0" xfId="0" applyNumberFormat="1"/>
    <xf numFmtId="9" fontId="0" fillId="0" borderId="0" xfId="1" applyFont="1"/>
    <xf numFmtId="0" fontId="2" fillId="0" borderId="0" xfId="2" applyAlignment="1" applyProtection="1"/>
    <xf numFmtId="0" fontId="0" fillId="0" borderId="3" xfId="0" applyBorder="1" applyAlignment="1">
      <alignment wrapText="1"/>
    </xf>
    <xf numFmtId="165" fontId="0" fillId="0" borderId="0" xfId="0" applyNumberFormat="1"/>
    <xf numFmtId="0" fontId="0" fillId="0" borderId="0" xfId="0" applyBorder="1" applyAlignment="1">
      <alignment horizontal="right"/>
    </xf>
    <xf numFmtId="0" fontId="0" fillId="0" borderId="0" xfId="0" applyBorder="1" applyAlignment="1">
      <alignment wrapText="1"/>
    </xf>
    <xf numFmtId="0" fontId="0" fillId="0" borderId="4" xfId="0" applyBorder="1" applyAlignment="1">
      <alignment wrapText="1"/>
    </xf>
    <xf numFmtId="165" fontId="0" fillId="0" borderId="0" xfId="0" applyNumberFormat="1" applyBorder="1"/>
    <xf numFmtId="15" fontId="0" fillId="0" borderId="1" xfId="0" quotePrefix="1" applyNumberFormat="1" applyBorder="1"/>
    <xf numFmtId="164" fontId="0" fillId="0" borderId="1" xfId="0" applyNumberFormat="1" applyBorder="1"/>
    <xf numFmtId="15" fontId="0" fillId="0" borderId="0" xfId="0" applyNumberFormat="1"/>
    <xf numFmtId="0" fontId="6" fillId="0" borderId="0" xfId="3" applyAlignment="1" applyProtection="1"/>
    <xf numFmtId="0" fontId="7" fillId="0" borderId="0" xfId="0" applyFont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/>
    </xf>
    <xf numFmtId="0" fontId="0" fillId="0" borderId="0" xfId="0" applyFill="1" applyBorder="1" applyAlignment="1">
      <alignment horizontal="right" wrapText="1"/>
    </xf>
    <xf numFmtId="0" fontId="7" fillId="0" borderId="0" xfId="0" applyFont="1" applyAlignment="1">
      <alignment horizontal="left"/>
    </xf>
    <xf numFmtId="0" fontId="8" fillId="0" borderId="0" xfId="0" applyFont="1"/>
    <xf numFmtId="0" fontId="4" fillId="0" borderId="0" xfId="0" applyFont="1"/>
    <xf numFmtId="0" fontId="0" fillId="0" borderId="0" xfId="0" applyFill="1" applyBorder="1"/>
    <xf numFmtId="165" fontId="0" fillId="0" borderId="5" xfId="0" applyNumberForma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wrapText="1"/>
    </xf>
  </cellXfs>
  <cellStyles count="7">
    <cellStyle name="Comma 2" xfId="4"/>
    <cellStyle name="Hyperlink" xfId="2" builtinId="8"/>
    <cellStyle name="Hyperlink 2" xfId="3"/>
    <cellStyle name="Normal" xfId="0" builtinId="0"/>
    <cellStyle name="Normal 2" xfId="5"/>
    <cellStyle name="Percent" xfId="1" builtinId="5"/>
    <cellStyle name="Percent 2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airgroup.com/phoenix.zhtml?c=240949&amp;p=irol-reportsannua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www.ons.gov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20"/>
  <sheetViews>
    <sheetView showGridLines="0" tabSelected="1" workbookViewId="0">
      <selection activeCell="E22" sqref="E22"/>
    </sheetView>
  </sheetViews>
  <sheetFormatPr defaultRowHeight="15"/>
  <cols>
    <col min="1" max="1" width="9.85546875" bestFit="1" customWidth="1"/>
    <col min="4" max="4" width="10" style="2" customWidth="1"/>
    <col min="5" max="5" width="9.140625" style="2"/>
    <col min="6" max="6" width="10.28515625" bestFit="1" customWidth="1"/>
    <col min="7" max="7" width="2.42578125" customWidth="1"/>
    <col min="10" max="10" width="9.85546875" bestFit="1" customWidth="1"/>
    <col min="11" max="11" width="2.42578125" customWidth="1"/>
    <col min="12" max="12" width="10.28515625" customWidth="1"/>
    <col min="18" max="18" width="2.42578125" customWidth="1"/>
    <col min="19" max="20" width="9.140625" customWidth="1"/>
    <col min="21" max="21" width="2.42578125" customWidth="1"/>
  </cols>
  <sheetData>
    <row r="1" spans="1:28">
      <c r="A1" s="27" t="s">
        <v>67</v>
      </c>
    </row>
    <row r="4" spans="1:28">
      <c r="A4" s="5" t="s">
        <v>0</v>
      </c>
      <c r="B4" s="5" t="s">
        <v>34</v>
      </c>
      <c r="C4" s="5"/>
      <c r="D4" s="4"/>
      <c r="E4" s="4"/>
      <c r="F4" s="5"/>
      <c r="G4" s="5"/>
      <c r="H4" s="5"/>
      <c r="I4" s="5"/>
      <c r="J4" s="5"/>
      <c r="L4" t="s">
        <v>30</v>
      </c>
      <c r="V4" t="s">
        <v>31</v>
      </c>
    </row>
    <row r="5" spans="1:28" ht="47.25" customHeight="1">
      <c r="A5" s="6" t="s">
        <v>4</v>
      </c>
      <c r="B5" s="6" t="s">
        <v>1</v>
      </c>
      <c r="C5" s="6" t="s">
        <v>2</v>
      </c>
      <c r="D5" s="31" t="s">
        <v>5</v>
      </c>
      <c r="E5" s="30" t="s">
        <v>6</v>
      </c>
      <c r="F5" s="6" t="s">
        <v>3</v>
      </c>
      <c r="G5" s="6"/>
      <c r="H5" s="30" t="s">
        <v>19</v>
      </c>
      <c r="I5" s="30" t="s">
        <v>20</v>
      </c>
      <c r="J5" s="30" t="s">
        <v>21</v>
      </c>
      <c r="K5" s="1"/>
      <c r="L5" s="30" t="s">
        <v>26</v>
      </c>
      <c r="M5" s="30" t="s">
        <v>22</v>
      </c>
      <c r="N5" s="30" t="s">
        <v>23</v>
      </c>
      <c r="O5" s="30" t="s">
        <v>27</v>
      </c>
      <c r="P5" s="30" t="s">
        <v>25</v>
      </c>
      <c r="Q5" s="30" t="s">
        <v>24</v>
      </c>
      <c r="R5" s="1"/>
      <c r="S5" s="1" t="s">
        <v>33</v>
      </c>
      <c r="T5" s="1" t="s">
        <v>32</v>
      </c>
      <c r="U5" s="1"/>
      <c r="V5" s="30" t="s">
        <v>26</v>
      </c>
      <c r="W5" s="30" t="s">
        <v>22</v>
      </c>
      <c r="X5" s="30" t="s">
        <v>23</v>
      </c>
      <c r="Y5" s="30" t="s">
        <v>27</v>
      </c>
      <c r="Z5" s="30" t="s">
        <v>25</v>
      </c>
      <c r="AA5" s="30" t="s">
        <v>24</v>
      </c>
    </row>
    <row r="6" spans="1:28">
      <c r="A6" s="7" t="s">
        <v>7</v>
      </c>
      <c r="B6">
        <v>8340</v>
      </c>
      <c r="C6">
        <v>1028</v>
      </c>
      <c r="D6" s="2">
        <v>2409</v>
      </c>
      <c r="E6" s="2">
        <f>8291+159-C6-D6</f>
        <v>5013</v>
      </c>
      <c r="F6">
        <f t="shared" ref="F6:F17" si="0">C6+D6+E6</f>
        <v>8450</v>
      </c>
      <c r="H6">
        <v>151046</v>
      </c>
      <c r="I6">
        <v>106270</v>
      </c>
      <c r="J6">
        <v>7036</v>
      </c>
      <c r="L6" s="8">
        <f t="shared" ref="L6:L17" si="1">B6/I6</f>
        <v>7.8479345064458458E-2</v>
      </c>
      <c r="M6" s="8">
        <f>J6/I6</f>
        <v>6.6208713653900436E-2</v>
      </c>
      <c r="N6" s="8">
        <f t="shared" ref="N6:N17" si="2">F6/I6</f>
        <v>7.9514444339888968E-2</v>
      </c>
      <c r="O6" s="8">
        <f t="shared" ref="O6:O17" si="3">B6/H6</f>
        <v>5.5214967625756395E-2</v>
      </c>
      <c r="P6" s="8">
        <f t="shared" ref="P6:P17" si="4">J6/H6</f>
        <v>4.6581835996981055E-2</v>
      </c>
      <c r="Q6" s="8">
        <f t="shared" ref="Q6:Q17" si="5">F6/H6</f>
        <v>5.5943222594441427E-2</v>
      </c>
      <c r="R6" s="8"/>
      <c r="S6" s="15">
        <f>YBEZ!B67</f>
        <v>86.8</v>
      </c>
      <c r="T6" s="29">
        <f>'RPI data'!S26</f>
        <v>173.875</v>
      </c>
      <c r="V6" s="8">
        <f t="shared" ref="V6:V17" si="6">L6*$T$17/$T6</f>
        <v>0.10954385073842741</v>
      </c>
      <c r="W6" s="8">
        <f t="shared" ref="W6:W17" si="7">M6*$T$17/$T6</f>
        <v>9.2416131150548586E-2</v>
      </c>
      <c r="X6" s="8">
        <f t="shared" ref="X6:X17" si="8">N6*$T$17/$T6</f>
        <v>0.11098867370979755</v>
      </c>
      <c r="Y6" s="8">
        <f t="shared" ref="Y6:Y17" si="9">O6*$T$17/$T6</f>
        <v>7.7070726917446875E-2</v>
      </c>
      <c r="Z6" s="8">
        <f t="shared" ref="Z6:Z17" si="10">P6*$T$17/$T6</f>
        <v>6.5020339879035521E-2</v>
      </c>
      <c r="AA6" s="8">
        <f t="shared" ref="AA6:AA17" si="11">Q6*$T$17/$T6</f>
        <v>7.8087247296453971E-2</v>
      </c>
      <c r="AB6" s="8"/>
    </row>
    <row r="7" spans="1:28">
      <c r="A7" s="7" t="s">
        <v>8</v>
      </c>
      <c r="B7">
        <v>7688</v>
      </c>
      <c r="C7">
        <v>842</v>
      </c>
      <c r="D7" s="2">
        <v>2107</v>
      </c>
      <c r="E7" s="2">
        <f>7263+130-C7-D7</f>
        <v>4444</v>
      </c>
      <c r="F7">
        <f t="shared" si="0"/>
        <v>7393</v>
      </c>
      <c r="H7">
        <v>139172</v>
      </c>
      <c r="I7">
        <v>100112</v>
      </c>
      <c r="J7">
        <v>6545</v>
      </c>
      <c r="L7" s="8">
        <f t="shared" si="1"/>
        <v>7.679399073038197E-2</v>
      </c>
      <c r="M7" s="8">
        <f>J7/I7</f>
        <v>6.5376778008630329E-2</v>
      </c>
      <c r="N7" s="8">
        <f t="shared" si="2"/>
        <v>7.3847291034041876E-2</v>
      </c>
      <c r="O7" s="8">
        <f t="shared" si="3"/>
        <v>5.5240996752220273E-2</v>
      </c>
      <c r="P7" s="8">
        <f t="shared" si="4"/>
        <v>4.7028137843819158E-2</v>
      </c>
      <c r="Q7" s="8">
        <f t="shared" si="5"/>
        <v>5.3121317506394962E-2</v>
      </c>
      <c r="R7" s="8"/>
      <c r="S7" s="14">
        <f>YBEZ!B68</f>
        <v>88.8</v>
      </c>
      <c r="T7" s="16">
        <f>'RPI data'!S27</f>
        <v>177.51666666666665</v>
      </c>
      <c r="V7" s="8">
        <f t="shared" si="6"/>
        <v>0.10499240381333418</v>
      </c>
      <c r="W7" s="8">
        <f t="shared" si="7"/>
        <v>8.9382841175633734E-2</v>
      </c>
      <c r="X7" s="8">
        <f t="shared" si="8"/>
        <v>0.10096368904682358</v>
      </c>
      <c r="Y7" s="8">
        <f t="shared" si="9"/>
        <v>7.552524595867352E-2</v>
      </c>
      <c r="Z7" s="8">
        <f t="shared" si="10"/>
        <v>6.4296661654463863E-2</v>
      </c>
      <c r="AA7" s="8">
        <f t="shared" si="11"/>
        <v>7.2627229887158348E-2</v>
      </c>
      <c r="AB7" s="8"/>
    </row>
    <row r="8" spans="1:28">
      <c r="A8" s="7" t="s">
        <v>9</v>
      </c>
      <c r="B8">
        <v>7560</v>
      </c>
      <c r="C8">
        <v>922</v>
      </c>
      <c r="D8" s="2">
        <v>2180</v>
      </c>
      <c r="E8" s="2">
        <f>7008+147-C8-D8</f>
        <v>4053</v>
      </c>
      <c r="F8">
        <f t="shared" si="0"/>
        <v>7155</v>
      </c>
      <c r="H8">
        <v>141273</v>
      </c>
      <c r="I8">
        <v>103092</v>
      </c>
      <c r="J8">
        <v>6460</v>
      </c>
      <c r="L8" s="8">
        <f t="shared" si="1"/>
        <v>7.3332557327435682E-2</v>
      </c>
      <c r="M8" s="8">
        <f>J8/I8</f>
        <v>6.2662476234819381E-2</v>
      </c>
      <c r="N8" s="8">
        <f t="shared" si="2"/>
        <v>6.9404027470608781E-2</v>
      </c>
      <c r="O8" s="8">
        <f t="shared" si="3"/>
        <v>5.3513410205771807E-2</v>
      </c>
      <c r="P8" s="8">
        <f t="shared" si="4"/>
        <v>4.5727067450963735E-2</v>
      </c>
      <c r="Q8" s="8">
        <f t="shared" si="5"/>
        <v>5.064662037331974E-2</v>
      </c>
      <c r="R8" s="8"/>
      <c r="S8" s="14">
        <f>YBEZ!B69</f>
        <v>92.3</v>
      </c>
      <c r="T8" s="16">
        <f>'RPI data'!S28</f>
        <v>182.47499999999999</v>
      </c>
      <c r="V8" s="8">
        <f t="shared" si="6"/>
        <v>9.7535616733079256E-2</v>
      </c>
      <c r="W8" s="8">
        <f t="shared" si="7"/>
        <v>8.334392646768414E-2</v>
      </c>
      <c r="X8" s="8">
        <f t="shared" si="8"/>
        <v>9.23104944080929E-2</v>
      </c>
      <c r="Y8" s="8">
        <f t="shared" si="9"/>
        <v>7.1175255004470847E-2</v>
      </c>
      <c r="Z8" s="8">
        <f t="shared" si="10"/>
        <v>6.0819067106994924E-2</v>
      </c>
      <c r="AA8" s="8">
        <f t="shared" si="11"/>
        <v>6.7362294914945622E-2</v>
      </c>
      <c r="AB8" s="8"/>
    </row>
    <row r="9" spans="1:28">
      <c r="A9" s="7" t="s">
        <v>10</v>
      </c>
      <c r="B9">
        <v>7772</v>
      </c>
      <c r="C9">
        <v>1128</v>
      </c>
      <c r="D9" s="2">
        <v>2235</v>
      </c>
      <c r="E9" s="2">
        <f>7216-D9-C9</f>
        <v>3853</v>
      </c>
      <c r="F9">
        <f t="shared" si="0"/>
        <v>7216</v>
      </c>
      <c r="H9">
        <v>144189</v>
      </c>
      <c r="I9">
        <v>107892</v>
      </c>
      <c r="J9">
        <v>6484</v>
      </c>
      <c r="L9" s="8">
        <f t="shared" si="1"/>
        <v>7.2034997960923886E-2</v>
      </c>
      <c r="M9" s="8">
        <f>J9/I9</f>
        <v>6.0097134171208245E-2</v>
      </c>
      <c r="N9" s="8">
        <f t="shared" si="2"/>
        <v>6.6881696511326139E-2</v>
      </c>
      <c r="O9" s="8">
        <f t="shared" si="3"/>
        <v>5.3901476534270992E-2</v>
      </c>
      <c r="P9" s="8">
        <f t="shared" si="4"/>
        <v>4.4968756285153511E-2</v>
      </c>
      <c r="Q9" s="8">
        <f t="shared" si="5"/>
        <v>5.0045426488844504E-2</v>
      </c>
      <c r="R9" s="8"/>
      <c r="S9" s="14">
        <f>YBEZ!B70</f>
        <v>95.3</v>
      </c>
      <c r="T9" s="16">
        <f>'RPI data'!S29</f>
        <v>188.15</v>
      </c>
      <c r="V9" s="8">
        <f t="shared" si="6"/>
        <v>9.2919978767559003E-2</v>
      </c>
      <c r="W9" s="8">
        <f t="shared" si="7"/>
        <v>7.7520991035621795E-2</v>
      </c>
      <c r="X9" s="8">
        <f t="shared" si="8"/>
        <v>8.6272589653461865E-2</v>
      </c>
      <c r="Y9" s="8">
        <f t="shared" si="9"/>
        <v>6.9529037230228907E-2</v>
      </c>
      <c r="Z9" s="8">
        <f t="shared" si="10"/>
        <v>5.8006469042820925E-2</v>
      </c>
      <c r="AA9" s="8">
        <f t="shared" si="11"/>
        <v>6.4555009348086945E-2</v>
      </c>
      <c r="AB9" s="8"/>
    </row>
    <row r="10" spans="1:28">
      <c r="A10" s="7" t="s">
        <v>11</v>
      </c>
      <c r="B10">
        <v>8213</v>
      </c>
      <c r="C10">
        <v>1581</v>
      </c>
      <c r="D10" s="2">
        <v>2260</v>
      </c>
      <c r="E10" s="2">
        <f>7519-D10-C10</f>
        <v>3678</v>
      </c>
      <c r="F10">
        <f t="shared" si="0"/>
        <v>7519</v>
      </c>
      <c r="H10">
        <v>144194</v>
      </c>
      <c r="I10">
        <v>109713</v>
      </c>
      <c r="J10">
        <v>6924</v>
      </c>
      <c r="L10" s="8">
        <f t="shared" si="1"/>
        <v>7.4858950169988975E-2</v>
      </c>
      <c r="M10" s="8">
        <f>J10/I10</f>
        <v>6.3110114571655135E-2</v>
      </c>
      <c r="N10" s="8">
        <f t="shared" si="2"/>
        <v>6.8533355208589677E-2</v>
      </c>
      <c r="O10" s="8">
        <f t="shared" si="3"/>
        <v>5.6957987156192352E-2</v>
      </c>
      <c r="P10" s="8">
        <f t="shared" si="4"/>
        <v>4.8018641552353081E-2</v>
      </c>
      <c r="Q10" s="8">
        <f t="shared" si="5"/>
        <v>5.2145026838842118E-2</v>
      </c>
      <c r="R10" s="8"/>
      <c r="S10" s="14">
        <f>YBEZ!B71</f>
        <v>98.4</v>
      </c>
      <c r="T10" s="16">
        <f>'RPI data'!S30</f>
        <v>193.10833333333332</v>
      </c>
      <c r="U10" s="12"/>
      <c r="V10" s="8">
        <f t="shared" si="6"/>
        <v>9.4083289377756826E-2</v>
      </c>
      <c r="W10" s="8">
        <f t="shared" si="7"/>
        <v>7.9317264781637434E-2</v>
      </c>
      <c r="X10" s="8">
        <f t="shared" si="8"/>
        <v>8.613323424222008E-2</v>
      </c>
      <c r="Y10" s="8">
        <f t="shared" si="9"/>
        <v>7.1585224957361845E-2</v>
      </c>
      <c r="Z10" s="8">
        <f t="shared" si="10"/>
        <v>6.0350188433553324E-2</v>
      </c>
      <c r="AA10" s="8">
        <f t="shared" si="11"/>
        <v>6.5536260374333827E-2</v>
      </c>
      <c r="AB10" s="8"/>
    </row>
    <row r="11" spans="1:28">
      <c r="A11" s="7" t="s">
        <v>12</v>
      </c>
      <c r="B11">
        <v>8492</v>
      </c>
      <c r="C11">
        <v>1931</v>
      </c>
      <c r="D11" s="2">
        <v>2277</v>
      </c>
      <c r="E11" s="2">
        <f>7936-D11-C11</f>
        <v>3728</v>
      </c>
      <c r="F11">
        <f t="shared" si="0"/>
        <v>7936</v>
      </c>
      <c r="H11">
        <v>148321</v>
      </c>
      <c r="I11">
        <v>112851</v>
      </c>
      <c r="J11">
        <v>7263</v>
      </c>
      <c r="L11" s="8">
        <f t="shared" si="1"/>
        <v>7.5249665488121509E-2</v>
      </c>
      <c r="M11" s="8">
        <f t="shared" ref="M11:M16" si="12">J11/I11</f>
        <v>6.4359199298189645E-2</v>
      </c>
      <c r="N11" s="8">
        <f t="shared" si="2"/>
        <v>7.0322815039299602E-2</v>
      </c>
      <c r="O11" s="8">
        <f t="shared" si="3"/>
        <v>5.7254198663709115E-2</v>
      </c>
      <c r="P11" s="8">
        <f t="shared" si="4"/>
        <v>4.8968116450131806E-2</v>
      </c>
      <c r="Q11" s="8">
        <f t="shared" si="5"/>
        <v>5.3505572373433299E-2</v>
      </c>
      <c r="R11" s="8"/>
      <c r="S11" s="14">
        <f>YBEZ!B72</f>
        <v>101.1</v>
      </c>
      <c r="T11" s="16">
        <f>'RPI data'!S31</f>
        <v>200.31666666666669</v>
      </c>
      <c r="V11" s="8">
        <f t="shared" si="6"/>
        <v>9.1171114804727948E-2</v>
      </c>
      <c r="W11" s="8">
        <f t="shared" si="7"/>
        <v>7.7976425674368702E-2</v>
      </c>
      <c r="X11" s="8">
        <f t="shared" si="8"/>
        <v>8.5201833147706185E-2</v>
      </c>
      <c r="Y11" s="8">
        <f t="shared" si="9"/>
        <v>6.9368137194519675E-2</v>
      </c>
      <c r="Z11" s="8">
        <f t="shared" si="10"/>
        <v>5.9328871931676443E-2</v>
      </c>
      <c r="AA11" s="8">
        <f t="shared" si="11"/>
        <v>6.4826370322151217E-2</v>
      </c>
      <c r="AB11" s="8"/>
    </row>
    <row r="12" spans="1:28">
      <c r="A12" s="7" t="s">
        <v>13</v>
      </c>
      <c r="B12">
        <v>8758</v>
      </c>
      <c r="C12">
        <v>2055</v>
      </c>
      <c r="D12" s="2">
        <v>2165</v>
      </c>
      <c r="E12" s="2">
        <f>7880-D12-C12</f>
        <v>3660</v>
      </c>
      <c r="F12">
        <f t="shared" si="0"/>
        <v>7880</v>
      </c>
      <c r="H12">
        <v>149576</v>
      </c>
      <c r="I12">
        <v>118395</v>
      </c>
      <c r="J12">
        <v>7600</v>
      </c>
      <c r="L12" s="8">
        <f t="shared" si="1"/>
        <v>7.3972718442501792E-2</v>
      </c>
      <c r="M12" s="8">
        <f t="shared" si="12"/>
        <v>6.4191899995776847E-2</v>
      </c>
      <c r="N12" s="8">
        <f t="shared" si="2"/>
        <v>6.6556864732463361E-2</v>
      </c>
      <c r="O12" s="8">
        <f t="shared" si="3"/>
        <v>5.8552174145584855E-2</v>
      </c>
      <c r="P12" s="8">
        <f t="shared" si="4"/>
        <v>5.0810290420923145E-2</v>
      </c>
      <c r="Q12" s="8">
        <f t="shared" si="5"/>
        <v>5.2682248489062417E-2</v>
      </c>
      <c r="R12" s="8"/>
      <c r="S12" s="14">
        <f>YBEZ!B73</f>
        <v>104.5</v>
      </c>
      <c r="T12" s="16">
        <f>'RPI data'!S32</f>
        <v>208.5916666666667</v>
      </c>
      <c r="V12" s="8">
        <f t="shared" si="6"/>
        <v>8.6068533095738156E-2</v>
      </c>
      <c r="W12" s="8">
        <f t="shared" si="7"/>
        <v>7.4688382225121031E-2</v>
      </c>
      <c r="X12" s="8">
        <f t="shared" si="8"/>
        <v>7.744005946499391E-2</v>
      </c>
      <c r="Y12" s="8">
        <f t="shared" si="9"/>
        <v>6.8126463977308663E-2</v>
      </c>
      <c r="Z12" s="8">
        <f t="shared" si="10"/>
        <v>5.9118648804241357E-2</v>
      </c>
      <c r="AA12" s="8">
        <f t="shared" si="11"/>
        <v>6.1296704286502877E-2</v>
      </c>
      <c r="AB12" s="8"/>
    </row>
    <row r="13" spans="1:28">
      <c r="A13" s="7" t="s">
        <v>14</v>
      </c>
      <c r="B13">
        <v>8992</v>
      </c>
      <c r="C13">
        <v>2969</v>
      </c>
      <c r="D13" s="2">
        <v>2193</v>
      </c>
      <c r="E13" s="2">
        <f>9212-D13-C13</f>
        <v>4050</v>
      </c>
      <c r="F13">
        <f t="shared" si="0"/>
        <v>9212</v>
      </c>
      <c r="H13">
        <v>148504</v>
      </c>
      <c r="I13">
        <v>114346</v>
      </c>
      <c r="J13">
        <v>7836</v>
      </c>
      <c r="L13" s="8">
        <f t="shared" si="1"/>
        <v>7.8638518181659178E-2</v>
      </c>
      <c r="M13" s="8">
        <f t="shared" si="12"/>
        <v>6.8528851031081112E-2</v>
      </c>
      <c r="N13" s="8">
        <f t="shared" si="2"/>
        <v>8.0562503279520054E-2</v>
      </c>
      <c r="O13" s="8">
        <f t="shared" si="3"/>
        <v>6.0550557560739106E-2</v>
      </c>
      <c r="P13" s="8">
        <f t="shared" si="4"/>
        <v>5.2766255454398538E-2</v>
      </c>
      <c r="Q13" s="8">
        <f t="shared" si="5"/>
        <v>6.2031999138070358E-2</v>
      </c>
      <c r="R13" s="8"/>
      <c r="S13" s="14">
        <f>YBEZ!B74</f>
        <v>103.7</v>
      </c>
      <c r="T13" s="16">
        <f>'RPI data'!S33</f>
        <v>214.78333333333339</v>
      </c>
      <c r="V13" s="8">
        <f t="shared" si="6"/>
        <v>8.8859633876101546E-2</v>
      </c>
      <c r="W13" s="8">
        <f t="shared" si="7"/>
        <v>7.7435953186513765E-2</v>
      </c>
      <c r="X13" s="8">
        <f t="shared" si="8"/>
        <v>9.1033690754742824E-2</v>
      </c>
      <c r="Y13" s="8">
        <f t="shared" si="9"/>
        <v>6.842067348486712E-2</v>
      </c>
      <c r="Z13" s="8">
        <f t="shared" si="10"/>
        <v>5.9624599358031445E-2</v>
      </c>
      <c r="AA13" s="8">
        <f t="shared" si="11"/>
        <v>7.0094666830804717E-2</v>
      </c>
      <c r="AB13" s="8"/>
    </row>
    <row r="14" spans="1:28">
      <c r="A14" s="7" t="s">
        <v>15</v>
      </c>
      <c r="B14">
        <v>7994</v>
      </c>
      <c r="C14">
        <v>2372</v>
      </c>
      <c r="D14" s="2">
        <v>1998</v>
      </c>
      <c r="E14" s="2">
        <f>8225-D14-C14</f>
        <v>3855</v>
      </c>
      <c r="F14">
        <f t="shared" si="0"/>
        <v>8225</v>
      </c>
      <c r="H14">
        <v>141178</v>
      </c>
      <c r="I14">
        <v>110851</v>
      </c>
      <c r="J14">
        <v>6980</v>
      </c>
      <c r="L14" s="8">
        <f t="shared" si="1"/>
        <v>7.2114820795482218E-2</v>
      </c>
      <c r="M14" s="8">
        <f t="shared" si="12"/>
        <v>6.2967406699082545E-2</v>
      </c>
      <c r="N14" s="8">
        <f t="shared" si="2"/>
        <v>7.4198699154721201E-2</v>
      </c>
      <c r="O14" s="8">
        <f t="shared" si="3"/>
        <v>5.662355324483985E-2</v>
      </c>
      <c r="P14" s="8">
        <f t="shared" si="4"/>
        <v>4.9441131054413577E-2</v>
      </c>
      <c r="Q14" s="8">
        <f t="shared" si="5"/>
        <v>5.8259785518990213E-2</v>
      </c>
      <c r="R14" s="8"/>
      <c r="S14" s="14">
        <f>YBEZ!B75</f>
        <v>98.4</v>
      </c>
      <c r="T14" s="16">
        <f>'RPI data'!S34</f>
        <v>215.76666666666665</v>
      </c>
      <c r="V14" s="8">
        <f t="shared" si="6"/>
        <v>8.111663992150564E-2</v>
      </c>
      <c r="W14" s="8">
        <f t="shared" si="7"/>
        <v>7.0827388873168556E-2</v>
      </c>
      <c r="X14" s="8">
        <f t="shared" si="8"/>
        <v>8.3460640899972974E-2</v>
      </c>
      <c r="Y14" s="8">
        <f t="shared" si="9"/>
        <v>6.3691656291623502E-2</v>
      </c>
      <c r="Z14" s="8">
        <f t="shared" si="10"/>
        <v>5.5612679624159632E-2</v>
      </c>
      <c r="AA14" s="8">
        <f t="shared" si="11"/>
        <v>6.553213322474398E-2</v>
      </c>
      <c r="AB14" s="8"/>
    </row>
    <row r="15" spans="1:28">
      <c r="A15" s="7" t="s">
        <v>16</v>
      </c>
      <c r="B15">
        <v>6683</v>
      </c>
      <c r="C15">
        <v>1869</v>
      </c>
      <c r="D15" s="2">
        <v>1547</v>
      </c>
      <c r="E15" s="2">
        <f>6341-D15-C15</f>
        <v>2925</v>
      </c>
      <c r="F15">
        <f t="shared" si="0"/>
        <v>6341</v>
      </c>
      <c r="H15">
        <v>104415</v>
      </c>
      <c r="I15">
        <v>81971</v>
      </c>
      <c r="J15">
        <v>5831</v>
      </c>
      <c r="L15" s="8">
        <f t="shared" si="1"/>
        <v>8.1528833367898401E-2</v>
      </c>
      <c r="M15" s="8">
        <f t="shared" si="12"/>
        <v>7.113491356699321E-2</v>
      </c>
      <c r="N15" s="8">
        <f t="shared" si="2"/>
        <v>7.7356626123873076E-2</v>
      </c>
      <c r="O15" s="8">
        <f t="shared" si="3"/>
        <v>6.4004213953933825E-2</v>
      </c>
      <c r="P15" s="8">
        <f t="shared" si="4"/>
        <v>5.5844466791169854E-2</v>
      </c>
      <c r="Q15" s="8">
        <f t="shared" si="5"/>
        <v>6.072882248719054E-2</v>
      </c>
      <c r="R15" s="8"/>
      <c r="S15" s="14">
        <f>YBEZ!B76</f>
        <v>100</v>
      </c>
      <c r="T15" s="16">
        <f>'RPI data'!T34</f>
        <v>224.98888888888888</v>
      </c>
      <c r="V15" s="8">
        <f t="shared" si="6"/>
        <v>8.7946777976937368E-2</v>
      </c>
      <c r="W15" s="8">
        <f t="shared" si="7"/>
        <v>7.673464946633575E-2</v>
      </c>
      <c r="X15" s="8">
        <f t="shared" si="8"/>
        <v>8.3446134842400099E-2</v>
      </c>
      <c r="Y15" s="8">
        <f t="shared" si="9"/>
        <v>6.9042621630489243E-2</v>
      </c>
      <c r="Z15" s="8">
        <f t="shared" si="10"/>
        <v>6.0240539686874574E-2</v>
      </c>
      <c r="AA15" s="8">
        <f t="shared" si="11"/>
        <v>6.5509391554531241E-2</v>
      </c>
      <c r="AB15" s="8"/>
    </row>
    <row r="16" spans="1:28">
      <c r="A16" s="7" t="s">
        <v>17</v>
      </c>
      <c r="B16">
        <v>9987</v>
      </c>
      <c r="C16">
        <v>3246</v>
      </c>
      <c r="D16" s="2">
        <v>2153</v>
      </c>
      <c r="E16" s="2">
        <f>9469-D16-C16</f>
        <v>4070</v>
      </c>
      <c r="F16">
        <f t="shared" si="0"/>
        <v>9469</v>
      </c>
      <c r="H16">
        <v>150152</v>
      </c>
      <c r="I16">
        <v>117348</v>
      </c>
      <c r="J16">
        <v>8721</v>
      </c>
      <c r="L16" s="8">
        <f t="shared" si="1"/>
        <v>8.5105839042846923E-2</v>
      </c>
      <c r="M16" s="8">
        <f t="shared" si="12"/>
        <v>7.4317414868595971E-2</v>
      </c>
      <c r="N16" s="8">
        <f t="shared" si="2"/>
        <v>8.0691618093192891E-2</v>
      </c>
      <c r="O16" s="8">
        <f t="shared" si="3"/>
        <v>6.6512600564761049E-2</v>
      </c>
      <c r="P16" s="8">
        <f t="shared" si="4"/>
        <v>5.8081144440300499E-2</v>
      </c>
      <c r="Q16" s="8">
        <f t="shared" si="5"/>
        <v>6.3062763066759023E-2</v>
      </c>
      <c r="R16" s="8"/>
      <c r="S16" s="14">
        <f>YBEZ!B77</f>
        <v>101.1</v>
      </c>
      <c r="T16" s="3">
        <f>'RPI data'!E35</f>
        <v>235.2</v>
      </c>
      <c r="V16" s="8">
        <f t="shared" si="6"/>
        <v>8.781967319599894E-2</v>
      </c>
      <c r="W16" s="8">
        <f t="shared" si="7"/>
        <v>7.6687230393742534E-2</v>
      </c>
      <c r="X16" s="8">
        <f t="shared" si="8"/>
        <v>8.326469264973603E-2</v>
      </c>
      <c r="Y16" s="8">
        <f t="shared" si="9"/>
        <v>6.8633538082770021E-2</v>
      </c>
      <c r="Z16" s="8">
        <f t="shared" si="10"/>
        <v>5.9933221750259058E-2</v>
      </c>
      <c r="AA16" s="8">
        <f t="shared" si="11"/>
        <v>6.5073693011489853E-2</v>
      </c>
      <c r="AB16" s="8"/>
    </row>
    <row r="17" spans="1:28">
      <c r="A17" s="17" t="s">
        <v>18</v>
      </c>
      <c r="B17" s="5">
        <v>10827</v>
      </c>
      <c r="C17" s="5">
        <v>3712</v>
      </c>
      <c r="D17" s="4">
        <v>2345</v>
      </c>
      <c r="E17" s="4">
        <f>10553-D17-C17</f>
        <v>4496</v>
      </c>
      <c r="F17" s="5">
        <f t="shared" si="0"/>
        <v>10553</v>
      </c>
      <c r="G17" s="5"/>
      <c r="H17" s="5">
        <v>158247</v>
      </c>
      <c r="I17" s="5">
        <v>126436</v>
      </c>
      <c r="J17" s="5">
        <v>9499</v>
      </c>
      <c r="L17" s="18">
        <f t="shared" si="1"/>
        <v>8.5632256635768289E-2</v>
      </c>
      <c r="M17" s="18">
        <f>J17/I17</f>
        <v>7.5128918978771872E-2</v>
      </c>
      <c r="N17" s="18">
        <f t="shared" si="2"/>
        <v>8.3465152330032585E-2</v>
      </c>
      <c r="O17" s="18">
        <f t="shared" si="3"/>
        <v>6.8418358641869986E-2</v>
      </c>
      <c r="P17" s="18">
        <f t="shared" si="4"/>
        <v>6.0026414402800682E-2</v>
      </c>
      <c r="Q17" s="18">
        <f t="shared" si="5"/>
        <v>6.6686888219049972E-2</v>
      </c>
      <c r="R17" s="8"/>
      <c r="S17" s="34">
        <f>YBEZ!B78</f>
        <v>101.2</v>
      </c>
      <c r="T17" s="5">
        <f>'RPI data'!E36</f>
        <v>242.7</v>
      </c>
      <c r="U17" s="3"/>
      <c r="V17" s="18">
        <f t="shared" si="6"/>
        <v>8.5632256635768289E-2</v>
      </c>
      <c r="W17" s="18">
        <f t="shared" si="7"/>
        <v>7.5128918978771872E-2</v>
      </c>
      <c r="X17" s="18">
        <f t="shared" si="8"/>
        <v>8.3465152330032585E-2</v>
      </c>
      <c r="Y17" s="18">
        <f t="shared" si="9"/>
        <v>6.8418358641869986E-2</v>
      </c>
      <c r="Z17" s="18">
        <f t="shared" si="10"/>
        <v>6.0026414402800682E-2</v>
      </c>
      <c r="AA17" s="18">
        <f t="shared" si="11"/>
        <v>6.6686888219049972E-2</v>
      </c>
      <c r="AB17" s="8"/>
    </row>
    <row r="18" spans="1:28">
      <c r="A18" s="7"/>
      <c r="D18" s="13"/>
      <c r="E18" s="13"/>
      <c r="F18" s="3"/>
      <c r="G18" s="3"/>
      <c r="L18" s="8"/>
      <c r="M18" s="8"/>
      <c r="N18" s="8"/>
      <c r="O18" s="8"/>
      <c r="P18" s="8"/>
      <c r="Q18" s="8"/>
      <c r="R18" s="8"/>
      <c r="S18" s="14"/>
      <c r="T18" s="3"/>
      <c r="U18" s="3"/>
      <c r="V18" s="8"/>
      <c r="W18" s="8"/>
      <c r="X18" s="8"/>
      <c r="Y18" s="8"/>
      <c r="Z18" s="8"/>
      <c r="AA18" s="8"/>
      <c r="AB18" s="8"/>
    </row>
    <row r="19" spans="1:28">
      <c r="A19" s="19" t="s">
        <v>35</v>
      </c>
      <c r="L19" s="9"/>
      <c r="M19" s="9"/>
      <c r="N19" s="9"/>
      <c r="O19" s="9"/>
      <c r="P19" s="9"/>
      <c r="Q19" t="s">
        <v>29</v>
      </c>
      <c r="S19" s="9">
        <f>(S17/S6)-1</f>
        <v>0.16589861751152091</v>
      </c>
      <c r="T19" s="9">
        <f t="shared" ref="T19:V19" si="13">(T17/T6)-1</f>
        <v>0.39583033788641253</v>
      </c>
      <c r="U19" s="9"/>
      <c r="V19" s="9">
        <f t="shared" si="13"/>
        <v>-0.2182833079307761</v>
      </c>
      <c r="W19" s="9">
        <f t="shared" ref="W19:AA19" si="14">(W17/W6)-1</f>
        <v>-0.18705838425128762</v>
      </c>
      <c r="X19" s="9">
        <f t="shared" si="14"/>
        <v>-0.24798495612021465</v>
      </c>
      <c r="Y19" s="9">
        <f t="shared" si="14"/>
        <v>-0.11226529996070678</v>
      </c>
      <c r="Z19" s="9">
        <f t="shared" si="14"/>
        <v>-7.6805588613126141E-2</v>
      </c>
      <c r="AA19" s="9">
        <f t="shared" si="14"/>
        <v>-0.14599514609758435</v>
      </c>
    </row>
    <row r="20" spans="1:28">
      <c r="A20" s="10" t="s">
        <v>28</v>
      </c>
      <c r="G20" s="10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</sheetData>
  <hyperlinks>
    <hyperlink ref="A20" r:id="rId1"/>
  </hyperlinks>
  <pageMargins left="0.70866141732283472" right="0.70866141732283472" top="0.74803149606299213" bottom="0.74803149606299213" header="0.31496062992125984" footer="0.31496062992125984"/>
  <pageSetup paperSize="9" scale="56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>
      <selection activeCell="T34" sqref="T34"/>
    </sheetView>
  </sheetViews>
  <sheetFormatPr defaultRowHeight="15"/>
  <sheetData>
    <row r="1" spans="1:19">
      <c r="A1" s="20" t="s">
        <v>36</v>
      </c>
    </row>
    <row r="3" spans="1:19">
      <c r="A3" s="21" t="s">
        <v>37</v>
      </c>
      <c r="B3" s="21" t="s">
        <v>38</v>
      </c>
    </row>
    <row r="5" spans="1:19">
      <c r="E5" s="1" t="s">
        <v>39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</row>
    <row r="6" spans="1:19" ht="60.75" thickBot="1">
      <c r="E6" s="22" t="s">
        <v>41</v>
      </c>
      <c r="F6" s="23" t="s">
        <v>42</v>
      </c>
      <c r="G6" s="23" t="s">
        <v>43</v>
      </c>
      <c r="H6" s="23" t="s">
        <v>44</v>
      </c>
      <c r="I6" s="23" t="s">
        <v>45</v>
      </c>
      <c r="J6" s="23" t="s">
        <v>46</v>
      </c>
      <c r="K6" s="23" t="s">
        <v>47</v>
      </c>
      <c r="L6" s="23" t="s">
        <v>48</v>
      </c>
      <c r="M6" s="23" t="s">
        <v>49</v>
      </c>
      <c r="N6" s="23" t="s">
        <v>50</v>
      </c>
      <c r="O6" s="23" t="s">
        <v>51</v>
      </c>
      <c r="P6" s="23" t="s">
        <v>52</v>
      </c>
      <c r="Q6" s="23" t="s">
        <v>53</v>
      </c>
      <c r="S6" s="24" t="s">
        <v>54</v>
      </c>
    </row>
    <row r="9" spans="1:19">
      <c r="B9" t="s">
        <v>55</v>
      </c>
      <c r="C9" s="21" t="s">
        <v>56</v>
      </c>
    </row>
    <row r="11" spans="1:19">
      <c r="D11">
        <v>1987</v>
      </c>
      <c r="E11">
        <v>101.9</v>
      </c>
      <c r="F11" s="12">
        <v>100</v>
      </c>
      <c r="G11">
        <v>100.4</v>
      </c>
      <c r="H11">
        <v>100.6</v>
      </c>
      <c r="I11">
        <v>101.8</v>
      </c>
      <c r="J11">
        <v>101.9</v>
      </c>
      <c r="K11">
        <v>101.9</v>
      </c>
      <c r="L11">
        <v>101.8</v>
      </c>
      <c r="M11">
        <v>102.1</v>
      </c>
      <c r="N11">
        <v>102.4</v>
      </c>
      <c r="O11">
        <v>102.9</v>
      </c>
      <c r="P11">
        <v>103.4</v>
      </c>
      <c r="Q11">
        <v>103.3</v>
      </c>
    </row>
    <row r="12" spans="1:19">
      <c r="D12">
        <v>1988</v>
      </c>
      <c r="E12">
        <v>106.9</v>
      </c>
      <c r="F12">
        <v>103.3</v>
      </c>
      <c r="G12">
        <v>103.7</v>
      </c>
      <c r="H12">
        <v>104.1</v>
      </c>
      <c r="I12">
        <v>105.8</v>
      </c>
      <c r="J12">
        <v>106.2</v>
      </c>
      <c r="K12">
        <v>106.6</v>
      </c>
      <c r="L12">
        <v>106.7</v>
      </c>
      <c r="M12">
        <v>107.9</v>
      </c>
      <c r="N12">
        <v>108.4</v>
      </c>
      <c r="O12">
        <v>109.5</v>
      </c>
      <c r="P12" s="12">
        <v>110</v>
      </c>
      <c r="Q12">
        <v>110.3</v>
      </c>
      <c r="S12" s="12">
        <f>(SUM(I11:Q11)+SUM(F12:H12))/12</f>
        <v>102.71666666666665</v>
      </c>
    </row>
    <row r="13" spans="1:19">
      <c r="D13">
        <v>1989</v>
      </c>
      <c r="E13">
        <v>115.2</v>
      </c>
      <c r="F13" s="12">
        <v>111</v>
      </c>
      <c r="G13">
        <v>111.8</v>
      </c>
      <c r="H13">
        <v>112.3</v>
      </c>
      <c r="I13">
        <v>114.3</v>
      </c>
      <c r="J13" s="12">
        <v>115</v>
      </c>
      <c r="K13">
        <v>115.4</v>
      </c>
      <c r="L13">
        <v>115.5</v>
      </c>
      <c r="M13">
        <v>115.8</v>
      </c>
      <c r="N13">
        <v>116.6</v>
      </c>
      <c r="O13">
        <v>117.5</v>
      </c>
      <c r="P13">
        <v>118.5</v>
      </c>
      <c r="Q13">
        <v>118.8</v>
      </c>
      <c r="S13" s="12">
        <f t="shared" ref="S13:S37" si="0">(SUM(I12:Q12)+SUM(F13:H13))/12</f>
        <v>108.875</v>
      </c>
    </row>
    <row r="14" spans="1:19">
      <c r="D14">
        <v>1990</v>
      </c>
      <c r="E14">
        <v>126.1</v>
      </c>
      <c r="F14">
        <v>119.5</v>
      </c>
      <c r="G14">
        <v>120.2</v>
      </c>
      <c r="H14">
        <v>121.4</v>
      </c>
      <c r="I14">
        <v>125.1</v>
      </c>
      <c r="J14">
        <v>126.2</v>
      </c>
      <c r="K14">
        <v>126.7</v>
      </c>
      <c r="L14">
        <v>126.8</v>
      </c>
      <c r="M14">
        <v>128.1</v>
      </c>
      <c r="N14">
        <v>129.30000000000001</v>
      </c>
      <c r="O14">
        <v>130.30000000000001</v>
      </c>
      <c r="P14" s="12">
        <v>130</v>
      </c>
      <c r="Q14">
        <v>129.9</v>
      </c>
      <c r="S14" s="12">
        <f t="shared" si="0"/>
        <v>117.375</v>
      </c>
    </row>
    <row r="15" spans="1:19">
      <c r="D15">
        <v>1991</v>
      </c>
      <c r="E15">
        <v>133.5</v>
      </c>
      <c r="F15">
        <v>130.19999999999999</v>
      </c>
      <c r="G15">
        <v>130.9</v>
      </c>
      <c r="H15">
        <v>131.4</v>
      </c>
      <c r="I15">
        <v>133.1</v>
      </c>
      <c r="J15">
        <v>133.5</v>
      </c>
      <c r="K15">
        <v>134.1</v>
      </c>
      <c r="L15">
        <v>133.80000000000001</v>
      </c>
      <c r="M15">
        <v>134.1</v>
      </c>
      <c r="N15">
        <v>134.6</v>
      </c>
      <c r="O15">
        <v>135.1</v>
      </c>
      <c r="P15">
        <v>135.6</v>
      </c>
      <c r="Q15">
        <v>135.69999999999999</v>
      </c>
      <c r="S15" s="12">
        <f t="shared" si="0"/>
        <v>128.74166666666667</v>
      </c>
    </row>
    <row r="16" spans="1:19">
      <c r="D16">
        <v>1992</v>
      </c>
      <c r="E16">
        <v>138.5</v>
      </c>
      <c r="F16">
        <v>135.6</v>
      </c>
      <c r="G16">
        <v>136.30000000000001</v>
      </c>
      <c r="H16">
        <v>136.69999999999999</v>
      </c>
      <c r="I16">
        <v>138.80000000000001</v>
      </c>
      <c r="J16">
        <v>139.30000000000001</v>
      </c>
      <c r="K16">
        <v>139.30000000000001</v>
      </c>
      <c r="L16">
        <v>138.80000000000001</v>
      </c>
      <c r="M16">
        <v>138.9</v>
      </c>
      <c r="N16">
        <v>139.4</v>
      </c>
      <c r="O16">
        <v>139.9</v>
      </c>
      <c r="P16">
        <v>139.69999999999999</v>
      </c>
      <c r="Q16">
        <v>139.19999999999999</v>
      </c>
      <c r="S16" s="12">
        <f t="shared" si="0"/>
        <v>134.85</v>
      </c>
    </row>
    <row r="17" spans="4:19">
      <c r="D17">
        <v>1993</v>
      </c>
      <c r="E17">
        <v>140.69999999999999</v>
      </c>
      <c r="F17">
        <v>137.9</v>
      </c>
      <c r="G17">
        <v>138.80000000000001</v>
      </c>
      <c r="H17">
        <v>139.30000000000001</v>
      </c>
      <c r="I17">
        <v>140.6</v>
      </c>
      <c r="J17">
        <v>141.1</v>
      </c>
      <c r="K17" s="12">
        <v>141</v>
      </c>
      <c r="L17">
        <v>140.69999999999999</v>
      </c>
      <c r="M17">
        <v>141.30000000000001</v>
      </c>
      <c r="N17">
        <v>141.9</v>
      </c>
      <c r="O17">
        <v>141.80000000000001</v>
      </c>
      <c r="P17">
        <v>141.6</v>
      </c>
      <c r="Q17">
        <v>141.9</v>
      </c>
      <c r="S17" s="12">
        <f t="shared" si="0"/>
        <v>139.10833333333332</v>
      </c>
    </row>
    <row r="18" spans="4:19">
      <c r="D18">
        <v>1994</v>
      </c>
      <c r="E18">
        <v>144.1</v>
      </c>
      <c r="F18">
        <v>141.30000000000001</v>
      </c>
      <c r="G18">
        <v>142.1</v>
      </c>
      <c r="H18">
        <v>142.5</v>
      </c>
      <c r="I18">
        <v>144.19999999999999</v>
      </c>
      <c r="J18">
        <v>144.69999999999999</v>
      </c>
      <c r="K18">
        <v>144.69999999999999</v>
      </c>
      <c r="L18" s="12">
        <v>144</v>
      </c>
      <c r="M18">
        <v>144.69999999999999</v>
      </c>
      <c r="N18" s="12">
        <v>145</v>
      </c>
      <c r="O18">
        <v>145.19999999999999</v>
      </c>
      <c r="P18">
        <v>145.30000000000001</v>
      </c>
      <c r="Q18" s="12">
        <v>146</v>
      </c>
      <c r="S18" s="12">
        <f t="shared" si="0"/>
        <v>141.48333333333335</v>
      </c>
    </row>
    <row r="19" spans="4:19">
      <c r="D19">
        <v>1995</v>
      </c>
      <c r="E19">
        <v>149.1</v>
      </c>
      <c r="F19" s="12">
        <v>146</v>
      </c>
      <c r="G19">
        <v>146.9</v>
      </c>
      <c r="H19">
        <v>147.5</v>
      </c>
      <c r="I19" s="12">
        <v>149</v>
      </c>
      <c r="J19">
        <v>149.6</v>
      </c>
      <c r="K19">
        <v>149.80000000000001</v>
      </c>
      <c r="L19">
        <v>149.1</v>
      </c>
      <c r="M19">
        <v>149.9</v>
      </c>
      <c r="N19">
        <v>150.6</v>
      </c>
      <c r="O19">
        <v>149.80000000000001</v>
      </c>
      <c r="P19">
        <v>149.80000000000001</v>
      </c>
      <c r="Q19">
        <v>150.69999999999999</v>
      </c>
      <c r="S19" s="12">
        <f t="shared" si="0"/>
        <v>145.35</v>
      </c>
    </row>
    <row r="20" spans="4:19">
      <c r="D20">
        <v>1996</v>
      </c>
      <c r="E20">
        <v>152.69999999999999</v>
      </c>
      <c r="F20">
        <v>150.19999999999999</v>
      </c>
      <c r="G20">
        <v>150.9</v>
      </c>
      <c r="H20">
        <v>151.5</v>
      </c>
      <c r="I20">
        <v>152.6</v>
      </c>
      <c r="J20">
        <v>152.9</v>
      </c>
      <c r="K20" s="12">
        <v>153</v>
      </c>
      <c r="L20">
        <v>152.4</v>
      </c>
      <c r="M20">
        <v>153.1</v>
      </c>
      <c r="N20">
        <v>153.80000000000001</v>
      </c>
      <c r="O20">
        <v>153.80000000000001</v>
      </c>
      <c r="P20">
        <v>153.9</v>
      </c>
      <c r="Q20">
        <v>154.4</v>
      </c>
      <c r="S20" s="12">
        <f t="shared" si="0"/>
        <v>150.07500000000002</v>
      </c>
    </row>
    <row r="21" spans="4:19">
      <c r="D21">
        <v>1997</v>
      </c>
      <c r="E21">
        <v>157.5</v>
      </c>
      <c r="F21">
        <v>154.4</v>
      </c>
      <c r="G21" s="12">
        <v>155</v>
      </c>
      <c r="H21">
        <v>155.4</v>
      </c>
      <c r="I21">
        <v>156.30000000000001</v>
      </c>
      <c r="J21">
        <v>156.9</v>
      </c>
      <c r="K21">
        <v>157.5</v>
      </c>
      <c r="L21">
        <v>157.5</v>
      </c>
      <c r="M21">
        <v>158.5</v>
      </c>
      <c r="N21">
        <v>159.30000000000001</v>
      </c>
      <c r="O21">
        <v>159.5</v>
      </c>
      <c r="P21">
        <v>159.6</v>
      </c>
      <c r="Q21" s="12">
        <v>160</v>
      </c>
      <c r="S21" s="12">
        <f t="shared" si="0"/>
        <v>153.72499999999999</v>
      </c>
    </row>
    <row r="22" spans="4:19">
      <c r="D22">
        <v>1998</v>
      </c>
      <c r="E22">
        <v>162.9</v>
      </c>
      <c r="F22">
        <v>159.5</v>
      </c>
      <c r="G22">
        <v>160.30000000000001</v>
      </c>
      <c r="H22">
        <v>160.80000000000001</v>
      </c>
      <c r="I22">
        <v>162.6</v>
      </c>
      <c r="J22">
        <v>163.5</v>
      </c>
      <c r="K22">
        <v>163.4</v>
      </c>
      <c r="L22" s="12">
        <v>163</v>
      </c>
      <c r="M22">
        <v>163.69999999999999</v>
      </c>
      <c r="N22">
        <v>164.4</v>
      </c>
      <c r="O22">
        <v>164.5</v>
      </c>
      <c r="P22">
        <v>164.4</v>
      </c>
      <c r="Q22">
        <v>164.4</v>
      </c>
      <c r="S22" s="12">
        <f t="shared" si="0"/>
        <v>158.80833333333331</v>
      </c>
    </row>
    <row r="23" spans="4:19">
      <c r="D23">
        <v>1999</v>
      </c>
      <c r="E23">
        <v>165.4</v>
      </c>
      <c r="F23">
        <v>163.4</v>
      </c>
      <c r="G23">
        <v>163.69999999999999</v>
      </c>
      <c r="H23">
        <v>164.1</v>
      </c>
      <c r="I23">
        <v>165.2</v>
      </c>
      <c r="J23">
        <v>165.6</v>
      </c>
      <c r="K23">
        <v>165.6</v>
      </c>
      <c r="L23">
        <v>165.1</v>
      </c>
      <c r="M23">
        <v>165.5</v>
      </c>
      <c r="N23">
        <v>166.2</v>
      </c>
      <c r="O23">
        <v>166.5</v>
      </c>
      <c r="P23">
        <v>166.7</v>
      </c>
      <c r="Q23">
        <v>167.3</v>
      </c>
      <c r="S23" s="12">
        <f t="shared" si="0"/>
        <v>163.75833333333335</v>
      </c>
    </row>
    <row r="24" spans="4:19">
      <c r="D24">
        <v>2000</v>
      </c>
      <c r="E24">
        <v>170.3</v>
      </c>
      <c r="F24">
        <v>166.6</v>
      </c>
      <c r="G24">
        <v>167.5</v>
      </c>
      <c r="H24">
        <v>168.4</v>
      </c>
      <c r="I24">
        <v>170.1</v>
      </c>
      <c r="J24">
        <v>170.7</v>
      </c>
      <c r="K24">
        <v>171.1</v>
      </c>
      <c r="L24">
        <v>170.5</v>
      </c>
      <c r="M24">
        <v>170.5</v>
      </c>
      <c r="N24">
        <v>171.7</v>
      </c>
      <c r="O24">
        <v>171.6</v>
      </c>
      <c r="P24">
        <v>172.1</v>
      </c>
      <c r="Q24">
        <v>172.2</v>
      </c>
      <c r="S24" s="12">
        <f t="shared" si="0"/>
        <v>166.35</v>
      </c>
    </row>
    <row r="25" spans="4:19">
      <c r="D25">
        <v>2001</v>
      </c>
      <c r="E25">
        <v>173.3</v>
      </c>
      <c r="F25">
        <v>171.1</v>
      </c>
      <c r="G25" s="12">
        <v>172</v>
      </c>
      <c r="H25">
        <v>172.2</v>
      </c>
      <c r="I25">
        <v>173.1</v>
      </c>
      <c r="J25">
        <v>174.2</v>
      </c>
      <c r="K25">
        <v>174.4</v>
      </c>
      <c r="L25">
        <v>173.3</v>
      </c>
      <c r="M25" s="12">
        <v>174</v>
      </c>
      <c r="N25">
        <v>174.6</v>
      </c>
      <c r="O25">
        <v>174.3</v>
      </c>
      <c r="P25">
        <v>173.6</v>
      </c>
      <c r="Q25">
        <v>173.4</v>
      </c>
      <c r="S25" s="12">
        <f t="shared" si="0"/>
        <v>171.31666666666663</v>
      </c>
    </row>
    <row r="26" spans="4:19">
      <c r="D26">
        <v>2002</v>
      </c>
      <c r="E26">
        <v>176.2</v>
      </c>
      <c r="F26">
        <v>173.3</v>
      </c>
      <c r="G26">
        <v>173.8</v>
      </c>
      <c r="H26">
        <v>174.5</v>
      </c>
      <c r="I26">
        <v>175.7</v>
      </c>
      <c r="J26">
        <v>176.2</v>
      </c>
      <c r="K26">
        <v>176.2</v>
      </c>
      <c r="L26">
        <v>175.9</v>
      </c>
      <c r="M26">
        <v>176.4</v>
      </c>
      <c r="N26">
        <v>177.6</v>
      </c>
      <c r="O26">
        <v>177.9</v>
      </c>
      <c r="P26">
        <v>178.2</v>
      </c>
      <c r="Q26">
        <v>178.5</v>
      </c>
      <c r="S26" s="12">
        <f t="shared" si="0"/>
        <v>173.875</v>
      </c>
    </row>
    <row r="27" spans="4:19">
      <c r="D27">
        <v>2003</v>
      </c>
      <c r="E27">
        <v>181.3</v>
      </c>
      <c r="F27">
        <v>178.4</v>
      </c>
      <c r="G27">
        <v>179.3</v>
      </c>
      <c r="H27">
        <v>179.9</v>
      </c>
      <c r="I27">
        <v>181.2</v>
      </c>
      <c r="J27">
        <v>181.5</v>
      </c>
      <c r="K27">
        <v>181.3</v>
      </c>
      <c r="L27">
        <v>181.3</v>
      </c>
      <c r="M27">
        <v>181.6</v>
      </c>
      <c r="N27">
        <v>182.5</v>
      </c>
      <c r="O27">
        <v>182.6</v>
      </c>
      <c r="P27">
        <v>182.7</v>
      </c>
      <c r="Q27">
        <v>183.5</v>
      </c>
      <c r="S27" s="12">
        <f t="shared" si="0"/>
        <v>177.51666666666665</v>
      </c>
    </row>
    <row r="28" spans="4:19">
      <c r="D28">
        <v>2004</v>
      </c>
      <c r="E28">
        <v>186.7</v>
      </c>
      <c r="F28">
        <v>183.1</v>
      </c>
      <c r="G28">
        <v>183.8</v>
      </c>
      <c r="H28">
        <v>184.6</v>
      </c>
      <c r="I28">
        <v>185.7</v>
      </c>
      <c r="J28">
        <v>186.5</v>
      </c>
      <c r="K28">
        <v>186.8</v>
      </c>
      <c r="L28">
        <v>186.8</v>
      </c>
      <c r="M28">
        <v>187.4</v>
      </c>
      <c r="N28">
        <v>188.1</v>
      </c>
      <c r="O28">
        <v>188.6</v>
      </c>
      <c r="P28" s="12">
        <v>189</v>
      </c>
      <c r="Q28">
        <v>189.9</v>
      </c>
      <c r="S28" s="12">
        <f t="shared" si="0"/>
        <v>182.47499999999999</v>
      </c>
    </row>
    <row r="29" spans="4:19">
      <c r="D29">
        <v>2005</v>
      </c>
      <c r="E29" s="12">
        <v>192</v>
      </c>
      <c r="F29">
        <v>188.9</v>
      </c>
      <c r="G29">
        <v>189.6</v>
      </c>
      <c r="H29">
        <v>190.5</v>
      </c>
      <c r="I29">
        <v>191.6</v>
      </c>
      <c r="J29" s="12">
        <v>192</v>
      </c>
      <c r="K29">
        <v>192.2</v>
      </c>
      <c r="L29">
        <v>192.2</v>
      </c>
      <c r="M29">
        <v>192.6</v>
      </c>
      <c r="N29">
        <v>193.1</v>
      </c>
      <c r="O29">
        <v>193.3</v>
      </c>
      <c r="P29">
        <v>193.6</v>
      </c>
      <c r="Q29">
        <v>194.1</v>
      </c>
      <c r="S29" s="12">
        <f t="shared" si="0"/>
        <v>188.15</v>
      </c>
    </row>
    <row r="30" spans="4:19">
      <c r="D30">
        <v>2006</v>
      </c>
      <c r="E30">
        <v>198.1</v>
      </c>
      <c r="F30">
        <v>193.4</v>
      </c>
      <c r="G30">
        <v>194.2</v>
      </c>
      <c r="H30" s="12">
        <v>195</v>
      </c>
      <c r="I30">
        <v>196.5</v>
      </c>
      <c r="J30">
        <v>197.7</v>
      </c>
      <c r="K30">
        <v>198.5</v>
      </c>
      <c r="L30">
        <v>198.5</v>
      </c>
      <c r="M30">
        <v>199.2</v>
      </c>
      <c r="N30">
        <v>200.1</v>
      </c>
      <c r="O30">
        <v>200.4</v>
      </c>
      <c r="P30">
        <v>201.1</v>
      </c>
      <c r="Q30">
        <v>202.7</v>
      </c>
      <c r="S30" s="12">
        <f t="shared" si="0"/>
        <v>193.10833333333332</v>
      </c>
    </row>
    <row r="31" spans="4:19">
      <c r="D31">
        <v>2007</v>
      </c>
      <c r="E31">
        <v>206.6</v>
      </c>
      <c r="F31">
        <v>201.6</v>
      </c>
      <c r="G31">
        <v>203.1</v>
      </c>
      <c r="H31">
        <v>204.4</v>
      </c>
      <c r="I31">
        <v>205.4</v>
      </c>
      <c r="J31">
        <v>206.2</v>
      </c>
      <c r="K31">
        <v>207.3</v>
      </c>
      <c r="L31">
        <v>206.1</v>
      </c>
      <c r="M31">
        <v>207.3</v>
      </c>
      <c r="N31" s="12">
        <v>208</v>
      </c>
      <c r="O31">
        <v>208.9</v>
      </c>
      <c r="P31">
        <v>209.7</v>
      </c>
      <c r="Q31">
        <v>210.9</v>
      </c>
      <c r="S31" s="12">
        <f t="shared" si="0"/>
        <v>200.31666666666669</v>
      </c>
    </row>
    <row r="32" spans="4:19">
      <c r="D32">
        <v>2008</v>
      </c>
      <c r="E32">
        <v>214.8</v>
      </c>
      <c r="F32">
        <v>209.8</v>
      </c>
      <c r="G32">
        <v>211.4</v>
      </c>
      <c r="H32">
        <v>212.1</v>
      </c>
      <c r="I32" s="12">
        <v>214</v>
      </c>
      <c r="J32">
        <v>215.1</v>
      </c>
      <c r="K32">
        <v>216.8</v>
      </c>
      <c r="L32">
        <v>216.5</v>
      </c>
      <c r="M32">
        <v>217.2</v>
      </c>
      <c r="N32">
        <v>218.4</v>
      </c>
      <c r="O32">
        <v>217.7</v>
      </c>
      <c r="P32" s="12">
        <v>216</v>
      </c>
      <c r="Q32">
        <v>212.9</v>
      </c>
      <c r="S32" s="12">
        <f t="shared" si="0"/>
        <v>208.5916666666667</v>
      </c>
    </row>
    <row r="33" spans="4:20">
      <c r="D33">
        <v>2009</v>
      </c>
      <c r="E33">
        <v>213.7</v>
      </c>
      <c r="F33">
        <v>210.1</v>
      </c>
      <c r="G33">
        <v>211.4</v>
      </c>
      <c r="H33">
        <v>211.3</v>
      </c>
      <c r="I33">
        <v>211.5</v>
      </c>
      <c r="J33">
        <v>212.8</v>
      </c>
      <c r="K33">
        <v>213.4</v>
      </c>
      <c r="L33">
        <v>213.4</v>
      </c>
      <c r="M33">
        <v>214.4</v>
      </c>
      <c r="N33">
        <v>215.3</v>
      </c>
      <c r="O33" s="12">
        <v>216</v>
      </c>
      <c r="P33">
        <v>216.6</v>
      </c>
      <c r="Q33" s="12">
        <v>218</v>
      </c>
      <c r="S33" s="12">
        <f t="shared" si="0"/>
        <v>214.78333333333339</v>
      </c>
    </row>
    <row r="34" spans="4:20">
      <c r="D34">
        <v>2010</v>
      </c>
      <c r="E34">
        <v>223.6</v>
      </c>
      <c r="F34">
        <v>217.9</v>
      </c>
      <c r="G34">
        <v>219.2</v>
      </c>
      <c r="H34">
        <v>220.7</v>
      </c>
      <c r="I34">
        <v>222.8</v>
      </c>
      <c r="J34">
        <v>223.6</v>
      </c>
      <c r="K34">
        <v>224.1</v>
      </c>
      <c r="L34">
        <v>223.6</v>
      </c>
      <c r="M34">
        <v>224.5</v>
      </c>
      <c r="N34">
        <v>225.3</v>
      </c>
      <c r="O34">
        <v>225.8</v>
      </c>
      <c r="P34">
        <v>226.8</v>
      </c>
      <c r="Q34">
        <v>228.4</v>
      </c>
      <c r="S34" s="12">
        <f t="shared" si="0"/>
        <v>215.76666666666665</v>
      </c>
      <c r="T34" s="12">
        <f>AVERAGE(I34:Q34)</f>
        <v>224.98888888888888</v>
      </c>
    </row>
    <row r="35" spans="4:20">
      <c r="D35" s="3">
        <v>2011</v>
      </c>
      <c r="E35" s="13">
        <v>235.2</v>
      </c>
      <c r="F35" s="16">
        <v>229</v>
      </c>
      <c r="G35" s="3">
        <v>231.3</v>
      </c>
      <c r="H35" s="3">
        <v>232.5</v>
      </c>
      <c r="I35" s="3">
        <v>234.4</v>
      </c>
      <c r="J35" s="3">
        <v>235.2</v>
      </c>
      <c r="K35" s="13">
        <v>235.2</v>
      </c>
      <c r="L35" s="3">
        <v>234.7</v>
      </c>
      <c r="M35" s="3">
        <v>236.1</v>
      </c>
      <c r="N35" s="13">
        <v>237.9</v>
      </c>
      <c r="O35">
        <v>238</v>
      </c>
      <c r="P35">
        <v>238.5</v>
      </c>
      <c r="Q35">
        <v>239.4</v>
      </c>
      <c r="S35" s="12">
        <f t="shared" si="0"/>
        <v>226.47499999999999</v>
      </c>
    </row>
    <row r="36" spans="4:20">
      <c r="D36" s="28">
        <v>2012</v>
      </c>
      <c r="E36" s="13">
        <v>242.7</v>
      </c>
      <c r="F36">
        <v>238</v>
      </c>
      <c r="G36">
        <v>239.9</v>
      </c>
      <c r="H36">
        <v>240.8</v>
      </c>
      <c r="I36">
        <v>242.5</v>
      </c>
      <c r="J36">
        <v>242.4</v>
      </c>
      <c r="K36">
        <v>241.8</v>
      </c>
      <c r="L36">
        <v>242.1</v>
      </c>
      <c r="M36">
        <v>243</v>
      </c>
      <c r="N36">
        <v>244.2</v>
      </c>
      <c r="O36">
        <v>245.6</v>
      </c>
      <c r="P36">
        <v>245.6</v>
      </c>
      <c r="Q36">
        <v>246.8</v>
      </c>
      <c r="S36" s="12">
        <f t="shared" si="0"/>
        <v>237.3416666666667</v>
      </c>
    </row>
    <row r="37" spans="4:20">
      <c r="D37" s="28">
        <v>2013</v>
      </c>
      <c r="E37" t="s">
        <v>68</v>
      </c>
      <c r="F37">
        <v>245.8</v>
      </c>
      <c r="G37">
        <v>247.6</v>
      </c>
      <c r="H37">
        <v>248.7</v>
      </c>
      <c r="I37">
        <v>249.5</v>
      </c>
      <c r="J37">
        <v>250</v>
      </c>
      <c r="K37">
        <v>249.7</v>
      </c>
      <c r="L37">
        <v>249.7</v>
      </c>
      <c r="M37">
        <v>251</v>
      </c>
      <c r="N37">
        <v>251.9</v>
      </c>
      <c r="S37" s="12">
        <f t="shared" si="0"/>
        <v>244.67499999999998</v>
      </c>
    </row>
    <row r="38" spans="4:20">
      <c r="D38" s="28"/>
      <c r="S38" s="12"/>
    </row>
    <row r="39" spans="4:20">
      <c r="D39" t="s">
        <v>57</v>
      </c>
      <c r="S39" s="12"/>
    </row>
    <row r="41" spans="4:20">
      <c r="D41" s="25" t="s">
        <v>58</v>
      </c>
    </row>
    <row r="42" spans="4:20">
      <c r="D42" s="21" t="s">
        <v>59</v>
      </c>
    </row>
    <row r="43" spans="4:20">
      <c r="D43" s="26" t="s">
        <v>60</v>
      </c>
    </row>
    <row r="44" spans="4:20">
      <c r="D44" s="26" t="s">
        <v>61</v>
      </c>
    </row>
    <row r="45" spans="4:20">
      <c r="D45" s="26" t="s">
        <v>62</v>
      </c>
    </row>
    <row r="46" spans="4:20">
      <c r="D46" s="26" t="s">
        <v>63</v>
      </c>
    </row>
    <row r="47" spans="4:20">
      <c r="D47" s="26" t="s">
        <v>64</v>
      </c>
    </row>
    <row r="48" spans="4:20">
      <c r="D48" s="26" t="s">
        <v>65</v>
      </c>
    </row>
    <row r="50" spans="4:4">
      <c r="D50" s="20" t="s">
        <v>66</v>
      </c>
    </row>
  </sheetData>
  <hyperlinks>
    <hyperlink ref="A1" location="Contents!A1" display="Back to Contents"/>
    <hyperlink ref="D50" r:id="rId1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4:B78"/>
  <sheetViews>
    <sheetView workbookViewId="0">
      <selection activeCell="D10" sqref="D10"/>
    </sheetView>
  </sheetViews>
  <sheetFormatPr defaultRowHeight="15"/>
  <cols>
    <col min="1" max="1" width="7.85546875" customWidth="1"/>
    <col min="2" max="2" width="36.5703125" bestFit="1" customWidth="1"/>
  </cols>
  <sheetData>
    <row r="4" spans="1:2" ht="30">
      <c r="B4" s="32" t="s">
        <v>69</v>
      </c>
    </row>
    <row r="5" spans="1:2">
      <c r="B5" s="33" t="s">
        <v>70</v>
      </c>
    </row>
    <row r="6" spans="1:2">
      <c r="B6" s="32" t="s">
        <v>71</v>
      </c>
    </row>
    <row r="7" spans="1:2">
      <c r="B7" s="32" t="s">
        <v>72</v>
      </c>
    </row>
    <row r="8" spans="1:2">
      <c r="B8" s="32" t="s">
        <v>73</v>
      </c>
    </row>
    <row r="9" spans="1:2">
      <c r="B9" s="32">
        <v>2010</v>
      </c>
    </row>
    <row r="10" spans="1:2">
      <c r="B10" s="32" t="s">
        <v>74</v>
      </c>
    </row>
    <row r="11" spans="1:2">
      <c r="B11" s="32" t="s">
        <v>75</v>
      </c>
    </row>
    <row r="12" spans="1:2">
      <c r="B12" s="32" t="s">
        <v>76</v>
      </c>
    </row>
    <row r="13" spans="1:2">
      <c r="B13" s="32">
        <v>2010</v>
      </c>
    </row>
    <row r="14" spans="1:2">
      <c r="A14" s="32">
        <v>1948</v>
      </c>
      <c r="B14" s="11">
        <v>19.100000000000001</v>
      </c>
    </row>
    <row r="15" spans="1:2">
      <c r="A15" s="32">
        <v>1949</v>
      </c>
      <c r="B15" s="11">
        <v>19.8</v>
      </c>
    </row>
    <row r="16" spans="1:2">
      <c r="A16" s="32">
        <v>1950</v>
      </c>
      <c r="B16" s="11">
        <v>20.5</v>
      </c>
    </row>
    <row r="17" spans="1:2">
      <c r="A17" s="32">
        <v>1951</v>
      </c>
      <c r="B17" s="11">
        <v>21.1</v>
      </c>
    </row>
    <row r="18" spans="1:2">
      <c r="A18" s="32">
        <v>1952</v>
      </c>
      <c r="B18" s="11">
        <v>21.2</v>
      </c>
    </row>
    <row r="19" spans="1:2">
      <c r="A19" s="32">
        <v>1953</v>
      </c>
      <c r="B19" s="11">
        <v>22.1</v>
      </c>
    </row>
    <row r="20" spans="1:2">
      <c r="A20" s="32">
        <v>1954</v>
      </c>
      <c r="B20" s="11">
        <v>23.1</v>
      </c>
    </row>
    <row r="21" spans="1:2">
      <c r="A21" s="32">
        <v>1955</v>
      </c>
      <c r="B21" s="11">
        <v>24</v>
      </c>
    </row>
    <row r="22" spans="1:2">
      <c r="A22" s="32">
        <v>1956</v>
      </c>
      <c r="B22" s="11">
        <v>24.3</v>
      </c>
    </row>
    <row r="23" spans="1:2">
      <c r="A23" s="32">
        <v>1957</v>
      </c>
      <c r="B23" s="11">
        <v>24.7</v>
      </c>
    </row>
    <row r="24" spans="1:2">
      <c r="A24" s="32">
        <v>1958</v>
      </c>
      <c r="B24" s="11">
        <v>24.9</v>
      </c>
    </row>
    <row r="25" spans="1:2">
      <c r="A25" s="32">
        <v>1959</v>
      </c>
      <c r="B25" s="11">
        <v>26.1</v>
      </c>
    </row>
    <row r="26" spans="1:2">
      <c r="A26" s="32">
        <v>1960</v>
      </c>
      <c r="B26" s="11">
        <v>27.6</v>
      </c>
    </row>
    <row r="27" spans="1:2">
      <c r="A27" s="32">
        <v>1961</v>
      </c>
      <c r="B27" s="11">
        <v>28.4</v>
      </c>
    </row>
    <row r="28" spans="1:2">
      <c r="A28" s="32">
        <v>1962</v>
      </c>
      <c r="B28" s="11">
        <v>28.8</v>
      </c>
    </row>
    <row r="29" spans="1:2">
      <c r="A29" s="32">
        <v>1963</v>
      </c>
      <c r="B29" s="11">
        <v>30.1</v>
      </c>
    </row>
    <row r="30" spans="1:2">
      <c r="A30" s="32">
        <v>1964</v>
      </c>
      <c r="B30" s="11">
        <v>31.9</v>
      </c>
    </row>
    <row r="31" spans="1:2">
      <c r="A31" s="32">
        <v>1965</v>
      </c>
      <c r="B31" s="11">
        <v>32.700000000000003</v>
      </c>
    </row>
    <row r="32" spans="1:2">
      <c r="A32" s="32">
        <v>1966</v>
      </c>
      <c r="B32" s="11">
        <v>33.5</v>
      </c>
    </row>
    <row r="33" spans="1:2">
      <c r="A33" s="32">
        <v>1967</v>
      </c>
      <c r="B33" s="11">
        <v>34.4</v>
      </c>
    </row>
    <row r="34" spans="1:2">
      <c r="A34" s="32">
        <v>1968</v>
      </c>
      <c r="B34" s="11">
        <v>36</v>
      </c>
    </row>
    <row r="35" spans="1:2">
      <c r="A35" s="32">
        <v>1969</v>
      </c>
      <c r="B35" s="11">
        <v>36.799999999999997</v>
      </c>
    </row>
    <row r="36" spans="1:2">
      <c r="A36" s="32">
        <v>1970</v>
      </c>
      <c r="B36" s="11">
        <v>37.799999999999997</v>
      </c>
    </row>
    <row r="37" spans="1:2">
      <c r="A37" s="32">
        <v>1971</v>
      </c>
      <c r="B37" s="11">
        <v>38.700000000000003</v>
      </c>
    </row>
    <row r="38" spans="1:2">
      <c r="A38" s="32">
        <v>1972</v>
      </c>
      <c r="B38" s="11">
        <v>40.1</v>
      </c>
    </row>
    <row r="39" spans="1:2">
      <c r="A39" s="32">
        <v>1973</v>
      </c>
      <c r="B39" s="11">
        <v>43.1</v>
      </c>
    </row>
    <row r="40" spans="1:2">
      <c r="A40" s="32">
        <v>1974</v>
      </c>
      <c r="B40" s="11">
        <v>42.7</v>
      </c>
    </row>
    <row r="41" spans="1:2">
      <c r="A41" s="32">
        <v>1975</v>
      </c>
      <c r="B41" s="11">
        <v>42.4</v>
      </c>
    </row>
    <row r="42" spans="1:2">
      <c r="A42" s="32">
        <v>1976</v>
      </c>
      <c r="B42" s="11">
        <v>43.5</v>
      </c>
    </row>
    <row r="43" spans="1:2">
      <c r="A43" s="32">
        <v>1977</v>
      </c>
      <c r="B43" s="11">
        <v>44.6</v>
      </c>
    </row>
    <row r="44" spans="1:2">
      <c r="A44" s="32">
        <v>1978</v>
      </c>
      <c r="B44" s="11">
        <v>46</v>
      </c>
    </row>
    <row r="45" spans="1:2">
      <c r="A45" s="32">
        <v>1979</v>
      </c>
      <c r="B45" s="11">
        <v>47.3</v>
      </c>
    </row>
    <row r="46" spans="1:2">
      <c r="A46" s="32">
        <v>1980</v>
      </c>
      <c r="B46" s="11">
        <v>46.4</v>
      </c>
    </row>
    <row r="47" spans="1:2">
      <c r="A47" s="32">
        <v>1981</v>
      </c>
      <c r="B47" s="11">
        <v>45.8</v>
      </c>
    </row>
    <row r="48" spans="1:2">
      <c r="A48" s="32">
        <v>1982</v>
      </c>
      <c r="B48" s="11">
        <v>46.8</v>
      </c>
    </row>
    <row r="49" spans="1:2">
      <c r="A49" s="32">
        <v>1983</v>
      </c>
      <c r="B49" s="11">
        <v>48.6</v>
      </c>
    </row>
    <row r="50" spans="1:2">
      <c r="A50" s="32">
        <v>1984</v>
      </c>
      <c r="B50" s="11">
        <v>50.1</v>
      </c>
    </row>
    <row r="51" spans="1:2">
      <c r="A51" s="32">
        <v>1985</v>
      </c>
      <c r="B51" s="11">
        <v>52</v>
      </c>
    </row>
    <row r="52" spans="1:2">
      <c r="A52" s="32">
        <v>1986</v>
      </c>
      <c r="B52" s="11">
        <v>54.2</v>
      </c>
    </row>
    <row r="53" spans="1:2">
      <c r="A53" s="32">
        <v>1987</v>
      </c>
      <c r="B53" s="11">
        <v>57</v>
      </c>
    </row>
    <row r="54" spans="1:2">
      <c r="A54" s="32">
        <v>1988</v>
      </c>
      <c r="B54" s="11">
        <v>60.2</v>
      </c>
    </row>
    <row r="55" spans="1:2">
      <c r="A55" s="32">
        <v>1989</v>
      </c>
      <c r="B55" s="11">
        <v>61.8</v>
      </c>
    </row>
    <row r="56" spans="1:2">
      <c r="A56" s="32">
        <v>1990</v>
      </c>
      <c r="B56" s="11">
        <v>62.9</v>
      </c>
    </row>
    <row r="57" spans="1:2">
      <c r="A57" s="32">
        <v>1991</v>
      </c>
      <c r="B57" s="11">
        <v>62.1</v>
      </c>
    </row>
    <row r="58" spans="1:2">
      <c r="A58" s="32">
        <v>1992</v>
      </c>
      <c r="B58" s="11">
        <v>62.9</v>
      </c>
    </row>
    <row r="59" spans="1:2">
      <c r="A59" s="32">
        <v>1993</v>
      </c>
      <c r="B59" s="11">
        <v>65.099999999999994</v>
      </c>
    </row>
    <row r="60" spans="1:2">
      <c r="A60" s="32">
        <v>1994</v>
      </c>
      <c r="B60" s="11">
        <v>68.3</v>
      </c>
    </row>
    <row r="61" spans="1:2">
      <c r="A61" s="32">
        <v>1995</v>
      </c>
      <c r="B61" s="11">
        <v>70.7</v>
      </c>
    </row>
    <row r="62" spans="1:2">
      <c r="A62" s="32">
        <v>1996</v>
      </c>
      <c r="B62" s="11">
        <v>73.2</v>
      </c>
    </row>
    <row r="63" spans="1:2">
      <c r="A63" s="32">
        <v>1997</v>
      </c>
      <c r="B63" s="11">
        <v>76.400000000000006</v>
      </c>
    </row>
    <row r="64" spans="1:2">
      <c r="A64" s="32">
        <v>1998</v>
      </c>
      <c r="B64" s="11">
        <v>79.099999999999994</v>
      </c>
    </row>
    <row r="65" spans="1:2">
      <c r="A65" s="32">
        <v>1999</v>
      </c>
      <c r="B65" s="11">
        <v>81.400000000000006</v>
      </c>
    </row>
    <row r="66" spans="1:2">
      <c r="A66" s="32">
        <v>2000</v>
      </c>
      <c r="B66" s="11">
        <v>85</v>
      </c>
    </row>
    <row r="67" spans="1:2">
      <c r="A67" s="32">
        <v>2001</v>
      </c>
      <c r="B67" s="11">
        <v>86.8</v>
      </c>
    </row>
    <row r="68" spans="1:2">
      <c r="A68" s="32">
        <v>2002</v>
      </c>
      <c r="B68" s="11">
        <v>88.8</v>
      </c>
    </row>
    <row r="69" spans="1:2">
      <c r="A69" s="32">
        <v>2003</v>
      </c>
      <c r="B69" s="11">
        <v>92.3</v>
      </c>
    </row>
    <row r="70" spans="1:2">
      <c r="A70" s="32">
        <v>2004</v>
      </c>
      <c r="B70" s="11">
        <v>95.3</v>
      </c>
    </row>
    <row r="71" spans="1:2">
      <c r="A71" s="32">
        <v>2005</v>
      </c>
      <c r="B71" s="11">
        <v>98.4</v>
      </c>
    </row>
    <row r="72" spans="1:2">
      <c r="A72" s="32">
        <v>2006</v>
      </c>
      <c r="B72" s="11">
        <v>101.1</v>
      </c>
    </row>
    <row r="73" spans="1:2">
      <c r="A73" s="32">
        <v>2007</v>
      </c>
      <c r="B73" s="11">
        <v>104.5</v>
      </c>
    </row>
    <row r="74" spans="1:2">
      <c r="A74" s="32">
        <v>2008</v>
      </c>
      <c r="B74" s="11">
        <v>103.7</v>
      </c>
    </row>
    <row r="75" spans="1:2">
      <c r="A75" s="32">
        <v>2009</v>
      </c>
      <c r="B75" s="11">
        <v>98.4</v>
      </c>
    </row>
    <row r="76" spans="1:2">
      <c r="A76" s="32">
        <v>2010</v>
      </c>
      <c r="B76" s="11">
        <v>100</v>
      </c>
    </row>
    <row r="77" spans="1:2">
      <c r="A77" s="32">
        <v>2011</v>
      </c>
      <c r="B77" s="11">
        <v>101.1</v>
      </c>
    </row>
    <row r="78" spans="1:2">
      <c r="A78" s="32">
        <v>2012</v>
      </c>
      <c r="B78" s="11">
        <v>101.2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BA accounts</vt:lpstr>
      <vt:lpstr>RPI data</vt:lpstr>
      <vt:lpstr>YBEZ</vt:lpstr>
      <vt:lpstr>'BA accounts'!Print_Area</vt:lpstr>
    </vt:vector>
  </TitlesOfParts>
  <Company>Civil Aviation Authority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david.jewell</dc:creator>
  <cp:lastModifiedBy>tim.griffith</cp:lastModifiedBy>
  <cp:lastPrinted>2013-10-15T13:49:12Z</cp:lastPrinted>
  <dcterms:created xsi:type="dcterms:W3CDTF">2013-05-17T11:48:29Z</dcterms:created>
  <dcterms:modified xsi:type="dcterms:W3CDTF">2013-10-16T08:04:49Z</dcterms:modified>
</cp:coreProperties>
</file>