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135" windowWidth="14160" windowHeight="8520"/>
  </bookViews>
  <sheets>
    <sheet name="Base SOW - Cost Table" sheetId="1" r:id="rId1"/>
  </sheets>
  <definedNames>
    <definedName name="_xlnm.Print_Area" localSheetId="0">'Base SOW - Cost Table'!$A$5:$M$55</definedName>
  </definedNames>
  <calcPr calcId="125725"/>
</workbook>
</file>

<file path=xl/calcChain.xml><?xml version="1.0" encoding="utf-8"?>
<calcChain xmlns="http://schemas.openxmlformats.org/spreadsheetml/2006/main">
  <c r="M22" i="1"/>
  <c r="K29"/>
  <c r="I29"/>
  <c r="M28"/>
  <c r="M27"/>
  <c r="M26"/>
  <c r="M25"/>
  <c r="M24"/>
  <c r="M23"/>
  <c r="M21"/>
  <c r="M20"/>
  <c r="M19"/>
  <c r="M18"/>
  <c r="M17"/>
  <c r="M16"/>
  <c r="M14"/>
  <c r="M13"/>
  <c r="M12"/>
  <c r="M11"/>
  <c r="M9"/>
  <c r="L29"/>
  <c r="C29"/>
  <c r="C30"/>
  <c r="D29"/>
  <c r="E29"/>
  <c r="D30" s="1"/>
  <c r="F29"/>
  <c r="G29"/>
  <c r="G30" s="1"/>
  <c r="H29"/>
  <c r="H30" s="1"/>
  <c r="J29"/>
  <c r="J30" s="1"/>
  <c r="K30"/>
  <c r="M30" l="1"/>
</calcChain>
</file>

<file path=xl/sharedStrings.xml><?xml version="1.0" encoding="utf-8"?>
<sst xmlns="http://schemas.openxmlformats.org/spreadsheetml/2006/main" count="75" uniqueCount="65">
  <si>
    <t>COST COMPONENT</t>
  </si>
  <si>
    <t>Base SOW Subtotal</t>
  </si>
  <si>
    <t>Associated Milestone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</si>
  <si>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</si>
  <si>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</si>
  <si>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</si>
  <si>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</si>
  <si>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</si>
  <si>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</si>
  <si>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</si>
  <si>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</si>
  <si>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</si>
  <si>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</si>
  <si>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</si>
  <si>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</si>
  <si>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</si>
  <si>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</si>
  <si>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</si>
  <si>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</si>
  <si>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</si>
  <si>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</si>
  <si>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Sr. Hydrogeologist, P.G.</t>
  </si>
  <si>
    <t>Project Manager</t>
  </si>
  <si>
    <t>Sr. Field Technician</t>
  </si>
  <si>
    <t>Field Technician</t>
  </si>
  <si>
    <t>Word Processor</t>
  </si>
  <si>
    <t>Project Coordinator</t>
  </si>
  <si>
    <t>Junior Professional</t>
  </si>
  <si>
    <t>Subcontractor / Vendor Mark-up (%)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</si>
  <si>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</si>
  <si>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</si>
  <si>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Equipment Rental</t>
  </si>
  <si>
    <t>Additional Cost per Unit</t>
  </si>
  <si>
    <t>Milestone            A</t>
  </si>
  <si>
    <t>Analytical Laboratory - Water</t>
  </si>
  <si>
    <t>Geophysical Subcontractor</t>
  </si>
  <si>
    <t>Other (specify):</t>
  </si>
  <si>
    <t>Project Geologist / Engineer</t>
  </si>
  <si>
    <t>Associate Project Geologist / Engineer</t>
  </si>
  <si>
    <t>Staff Geologist / Engineer</t>
  </si>
  <si>
    <t>Draftsperson (CAD)</t>
  </si>
  <si>
    <t>Task 3.                                     Source Soil Delineation</t>
  </si>
  <si>
    <t>Milestone                        C</t>
  </si>
  <si>
    <t>Milestones                                                            B1 - B3</t>
  </si>
  <si>
    <t>Task 1.                                       Additional Background Research / Site, Receptor, and Geophysical Surveys</t>
  </si>
  <si>
    <t xml:space="preserve"> (A mark-up percentage no greater than 10% is acceptable to the Solicitor &amp; PAUSTIF)</t>
  </si>
  <si>
    <t>Task 5.             Pilot Testing</t>
  </si>
  <si>
    <t>Milestone             E</t>
  </si>
  <si>
    <t>Task 2.                                                                      Vapor Intrusion Evaluation:                                    B1 - Soil Vapor Probe Installation                    B2 - Initial Soil Vapor Sampling Event                   B3 -  Confirmation Soil Vapor Sampling Event</t>
  </si>
  <si>
    <t>Task 4.                           Groundwater Monitoring Well Installation &amp; Quarterly Groundwater Monitoring, Sampling and Reporting:                        D1 - Installation of Additonal On- and Off-Property Groundwater Monitoring Wells                                          D2 - D7 - Quarterly Groundwater Monitoring, Sampling, and Reporting</t>
  </si>
  <si>
    <t xml:space="preserve">Task 6.                                          Preparation and Submission of a Draft and Final Combined RSCR/RRAP:                                         F1 - Risk Assessment                           F2 - Preparation and Submission of Draft and Final Combined RSCR/RRAP </t>
  </si>
  <si>
    <t>Milestones                                          D1 - D7</t>
  </si>
  <si>
    <t>Milestones                                             F1 - F2</t>
  </si>
  <si>
    <t>Professional Surveyor</t>
  </si>
  <si>
    <t>3 - Bidders shall only enter data into Bid Form areas (Excel file cells) that are shaded in blue.</t>
  </si>
  <si>
    <t>Schedule of Unit Rates                                                                                                                                                                              (All Inclusive Unit Costs)</t>
  </si>
  <si>
    <r>
      <t xml:space="preserve">Task 2. </t>
    </r>
    <r>
      <rPr>
        <sz val="11"/>
        <rFont val="Arial"/>
        <family val="2"/>
      </rPr>
      <t xml:space="preserve"> All-inclusive unit cost for installation &amp; sampling of additional soil vapor monitorng points - $/sampling point   </t>
    </r>
  </si>
  <si>
    <r>
      <t xml:space="preserve">Task 2. </t>
    </r>
    <r>
      <rPr>
        <sz val="11"/>
        <rFont val="Arial"/>
        <family val="2"/>
      </rPr>
      <t xml:space="preserve"> All-inclusive unit cost for additional soil vapor monitorng and analysis events - $/event   </t>
    </r>
  </si>
  <si>
    <r>
      <t xml:space="preserve">Task 3.  </t>
    </r>
    <r>
      <rPr>
        <sz val="11"/>
        <rFont val="Arial"/>
        <family val="2"/>
      </rPr>
      <t>All-inclusive unit cost for soil boring advancement (borehole advancement, logging, screening, &amp; abandonment) - $/foot</t>
    </r>
  </si>
  <si>
    <r>
      <t xml:space="preserve">Task 3.  </t>
    </r>
    <r>
      <rPr>
        <sz val="11"/>
        <rFont val="Arial"/>
        <family val="2"/>
      </rPr>
      <t>All-inclusive unit cost for soil sample collection and analysis - $/sample</t>
    </r>
  </si>
  <si>
    <r>
      <t xml:space="preserve">Task 4.  </t>
    </r>
    <r>
      <rPr>
        <sz val="11"/>
        <rFont val="Arial"/>
        <family val="2"/>
      </rPr>
      <t>All-inclusive unit cost for additonal drilling footage/well installation (borehole advancement, logging &amp; screening, well materials &amp; installation, &amp; waste removal/disposal) - $/foot</t>
    </r>
  </si>
  <si>
    <r>
      <t xml:space="preserve">Task 3. </t>
    </r>
    <r>
      <rPr>
        <sz val="11"/>
        <rFont val="Arial"/>
        <family val="2"/>
      </rPr>
      <t xml:space="preserve"> All-inclusive unit cost for additonal soil borings (utility clearance, borehole advancement,logging, screening, sample collection/analysis, abandonment, surface restorage, &amp; waste removal/disposal) - $/boring </t>
    </r>
  </si>
  <si>
    <r>
      <t>Task 5.</t>
    </r>
    <r>
      <rPr>
        <sz val="11"/>
        <rFont val="Arial"/>
        <family val="2"/>
      </rPr>
      <t xml:space="preserve">  All-inclusive unit cost for the management &amp; disposal of extracted groundwater (management, sampling &amp; analysis, loading, transportation, &amp; disposal) - $/gallon </t>
    </r>
  </si>
  <si>
    <r>
      <t>Task 3.</t>
    </r>
    <r>
      <rPr>
        <sz val="11"/>
        <rFont val="Arial"/>
        <family val="2"/>
      </rPr>
      <t xml:space="preserve">  All-inclusive unit cost for surveying additonal soil borings (if more than six are installed) - $/survey point   </t>
    </r>
  </si>
  <si>
    <r>
      <t>Task 4:</t>
    </r>
    <r>
      <rPr>
        <sz val="11"/>
        <rFont val="Arial"/>
        <family val="2"/>
      </rPr>
      <t xml:space="preserve">  All-inclusive unit cost for additonal quarterly groundwater monitoring, sampling and reporting events - $/quarterly event</t>
    </r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</si>
</sst>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13">
    <font>
      <sz val="10"/>
      <name val="Arial"/>
    </font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</font>
    <font>
      <b/>
      <sz val="14"/>
      <color indexed="12"/>
      <name val="Arial"/>
      <family val="2"/>
    </font>
    <font>
      <sz val="8"/>
      <name val="Arial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 applyProtection="1">
      <alignment horizontal="center"/>
    </xf>
    <xf numFmtId="164" fontId="3" fillId="4" borderId="2" xfId="0" applyNumberFormat="1" applyFont="1" applyFill="1" applyBorder="1" applyAlignment="1" applyProtection="1">
      <alignment horizontal="center"/>
      <protection locked="0"/>
    </xf>
    <xf numFmtId="164" fontId="4" fillId="0" borderId="2" xfId="0" applyNumberFormat="1" applyFont="1" applyBorder="1" applyAlignment="1">
      <alignment horizontal="center"/>
    </xf>
    <xf numFmtId="0" fontId="5" fillId="0" borderId="0" xfId="0" applyFont="1"/>
    <xf numFmtId="164" fontId="3" fillId="3" borderId="2" xfId="0" applyNumberFormat="1" applyFont="1" applyFill="1" applyBorder="1" applyAlignment="1" applyProtection="1">
      <alignment horizontal="center"/>
    </xf>
    <xf numFmtId="164" fontId="4" fillId="3" borderId="3" xfId="0" applyNumberFormat="1" applyFont="1" applyFill="1" applyBorder="1" applyAlignment="1" applyProtection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Border="1" applyAlignment="1" applyProtection="1">
      <alignment vertical="top"/>
      <protection locked="0"/>
    </xf>
    <xf numFmtId="0" fontId="4" fillId="2" borderId="2" xfId="0" applyFont="1" applyFill="1" applyBorder="1" applyAlignment="1">
      <alignment horizontal="center" vertical="center" wrapText="1"/>
    </xf>
    <xf numFmtId="0" fontId="4" fillId="0" borderId="5" xfId="0" applyFont="1" applyBorder="1" applyProtection="1"/>
    <xf numFmtId="0" fontId="3" fillId="0" borderId="0" xfId="0" applyFont="1" applyAlignment="1" applyProtection="1">
      <alignment vertical="top"/>
    </xf>
    <xf numFmtId="0" fontId="3" fillId="0" borderId="0" xfId="0" applyFont="1" applyAlignment="1" applyProtection="1">
      <alignment horizontal="left" vertical="top"/>
    </xf>
    <xf numFmtId="0" fontId="3" fillId="0" borderId="0" xfId="0" applyFont="1" applyFill="1" applyBorder="1" applyAlignment="1" applyProtection="1">
      <alignment vertical="top"/>
    </xf>
    <xf numFmtId="0" fontId="3" fillId="0" borderId="0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horizontal="center" vertical="center" wrapText="1"/>
    </xf>
    <xf numFmtId="164" fontId="3" fillId="0" borderId="0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164" fontId="4" fillId="3" borderId="2" xfId="0" applyNumberFormat="1" applyFont="1" applyFill="1" applyBorder="1" applyAlignment="1">
      <alignment horizontal="center"/>
    </xf>
    <xf numFmtId="0" fontId="4" fillId="5" borderId="7" xfId="0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vertical="center"/>
    </xf>
    <xf numFmtId="164" fontId="12" fillId="4" borderId="8" xfId="0" applyNumberFormat="1" applyFont="1" applyFill="1" applyBorder="1" applyAlignment="1" applyProtection="1">
      <alignment horizontal="center" vertical="center"/>
      <protection locked="0"/>
    </xf>
    <xf numFmtId="164" fontId="12" fillId="4" borderId="9" xfId="0" applyNumberFormat="1" applyFont="1" applyFill="1" applyBorder="1" applyAlignment="1" applyProtection="1">
      <alignment horizontal="center" vertical="center"/>
      <protection locked="0"/>
    </xf>
    <xf numFmtId="164" fontId="12" fillId="4" borderId="10" xfId="0" applyNumberFormat="1" applyFont="1" applyFill="1" applyBorder="1" applyAlignment="1" applyProtection="1">
      <alignment horizontal="center" vertical="center"/>
      <protection locked="0"/>
    </xf>
    <xf numFmtId="10" fontId="11" fillId="4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11" fillId="0" borderId="0" xfId="0" applyFont="1" applyBorder="1" applyAlignment="1" applyProtection="1">
      <alignment vertical="top" wrapText="1"/>
    </xf>
    <xf numFmtId="0" fontId="4" fillId="0" borderId="8" xfId="0" applyFont="1" applyBorder="1" applyProtection="1"/>
    <xf numFmtId="0" fontId="5" fillId="0" borderId="9" xfId="0" applyFont="1" applyBorder="1" applyAlignment="1" applyProtection="1">
      <alignment horizontal="left"/>
      <protection locked="0"/>
    </xf>
    <xf numFmtId="0" fontId="4" fillId="0" borderId="2" xfId="0" applyFont="1" applyBorder="1" applyProtection="1"/>
    <xf numFmtId="0" fontId="5" fillId="0" borderId="11" xfId="0" applyFont="1" applyBorder="1" applyAlignment="1" applyProtection="1">
      <alignment horizontal="left"/>
    </xf>
    <xf numFmtId="0" fontId="5" fillId="0" borderId="9" xfId="0" applyFont="1" applyBorder="1" applyProtection="1"/>
    <xf numFmtId="0" fontId="5" fillId="0" borderId="9" xfId="0" applyFont="1" applyBorder="1" applyAlignment="1" applyProtection="1">
      <alignment horizontal="left"/>
    </xf>
    <xf numFmtId="164" fontId="4" fillId="0" borderId="3" xfId="0" applyNumberFormat="1" applyFont="1" applyBorder="1" applyAlignment="1">
      <alignment horizontal="center"/>
    </xf>
    <xf numFmtId="0" fontId="2" fillId="0" borderId="0" xfId="0" applyFont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Border="1" applyAlignment="1"/>
    <xf numFmtId="164" fontId="9" fillId="0" borderId="2" xfId="0" applyNumberFormat="1" applyFont="1" applyBorder="1" applyAlignment="1">
      <alignment horizontal="center"/>
    </xf>
    <xf numFmtId="0" fontId="12" fillId="0" borderId="12" xfId="0" applyFont="1" applyBorder="1" applyAlignment="1" applyProtection="1">
      <alignment horizontal="left" vertical="center"/>
    </xf>
    <xf numFmtId="0" fontId="12" fillId="0" borderId="13" xfId="0" applyFont="1" applyBorder="1" applyAlignment="1" applyProtection="1">
      <alignment horizontal="left" vertical="center"/>
    </xf>
    <xf numFmtId="0" fontId="5" fillId="6" borderId="9" xfId="0" applyFont="1" applyFill="1" applyBorder="1" applyAlignment="1" applyProtection="1">
      <alignment horizontal="left"/>
      <protection locked="0"/>
    </xf>
    <xf numFmtId="0" fontId="5" fillId="6" borderId="10" xfId="0" applyFont="1" applyFill="1" applyBorder="1" applyProtection="1">
      <protection locked="0"/>
    </xf>
    <xf numFmtId="0" fontId="5" fillId="6" borderId="9" xfId="0" applyFont="1" applyFill="1" applyBorder="1" applyProtection="1"/>
    <xf numFmtId="0" fontId="5" fillId="6" borderId="4" xfId="0" applyFont="1" applyFill="1" applyBorder="1" applyAlignment="1" applyProtection="1">
      <alignment horizontal="left"/>
      <protection locked="0"/>
    </xf>
    <xf numFmtId="0" fontId="12" fillId="6" borderId="12" xfId="0" applyFont="1" applyFill="1" applyBorder="1" applyAlignment="1" applyProtection="1">
      <alignment horizontal="left" vertical="center"/>
      <protection locked="0"/>
    </xf>
    <xf numFmtId="0" fontId="12" fillId="6" borderId="13" xfId="0" applyFont="1" applyFill="1" applyBorder="1" applyAlignment="1" applyProtection="1">
      <alignment horizontal="left" vertical="center"/>
      <protection locked="0"/>
    </xf>
    <xf numFmtId="0" fontId="3" fillId="6" borderId="0" xfId="0" applyFont="1" applyFill="1" applyAlignment="1" applyProtection="1">
      <alignment vertical="top"/>
    </xf>
    <xf numFmtId="0" fontId="4" fillId="6" borderId="0" xfId="0" applyFont="1" applyFill="1" applyAlignment="1" applyProtection="1">
      <alignment vertical="top"/>
    </xf>
    <xf numFmtId="0" fontId="3" fillId="0" borderId="0" xfId="0" applyFont="1" applyFill="1"/>
    <xf numFmtId="0" fontId="12" fillId="0" borderId="0" xfId="0" applyFont="1" applyAlignment="1" applyProtection="1">
      <alignment horizontal="left" vertical="top"/>
    </xf>
    <xf numFmtId="0" fontId="12" fillId="0" borderId="0" xfId="0" applyFont="1" applyAlignment="1" applyProtection="1">
      <alignment vertical="top"/>
    </xf>
    <xf numFmtId="0" fontId="3" fillId="4" borderId="0" xfId="0" applyFont="1" applyFill="1" applyAlignment="1" applyProtection="1">
      <alignment vertical="top"/>
    </xf>
    <xf numFmtId="0" fontId="3" fillId="4" borderId="0" xfId="0" applyFont="1" applyFill="1"/>
    <xf numFmtId="0" fontId="12" fillId="6" borderId="12" xfId="0" applyFont="1" applyFill="1" applyBorder="1" applyAlignment="1" applyProtection="1">
      <alignment horizontal="left" vertical="center"/>
      <protection locked="0"/>
    </xf>
    <xf numFmtId="0" fontId="12" fillId="6" borderId="13" xfId="0" applyFont="1" applyFill="1" applyBorder="1" applyAlignment="1" applyProtection="1">
      <alignment horizontal="left" vertical="center"/>
      <protection locked="0"/>
    </xf>
    <xf numFmtId="164" fontId="12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left" vertical="top" wrapText="1"/>
    </xf>
    <xf numFmtId="0" fontId="0" fillId="0" borderId="34" xfId="0" applyBorder="1" applyAlignment="1">
      <alignment wrapText="1"/>
    </xf>
    <xf numFmtId="0" fontId="0" fillId="0" borderId="13" xfId="0" applyBorder="1" applyAlignment="1">
      <alignment wrapText="1"/>
    </xf>
    <xf numFmtId="0" fontId="11" fillId="0" borderId="34" xfId="0" applyFont="1" applyBorder="1" applyAlignment="1" applyProtection="1">
      <alignment horizontal="left" vertical="top" wrapText="1"/>
    </xf>
    <xf numFmtId="0" fontId="0" fillId="0" borderId="12" xfId="0" applyBorder="1" applyAlignment="1">
      <alignment wrapText="1"/>
    </xf>
    <xf numFmtId="0" fontId="0" fillId="0" borderId="12" xfId="0" applyBorder="1" applyAlignment="1" applyProtection="1">
      <alignment horizontal="center" vertical="center" wrapText="1"/>
      <protection locked="0"/>
    </xf>
    <xf numFmtId="0" fontId="11" fillId="0" borderId="12" xfId="0" applyFont="1" applyFill="1" applyBorder="1" applyAlignment="1" applyProtection="1">
      <alignment horizontal="left" vertical="top" wrapText="1"/>
      <protection locked="0"/>
    </xf>
    <xf numFmtId="0" fontId="11" fillId="0" borderId="34" xfId="0" applyFont="1" applyFill="1" applyBorder="1" applyAlignment="1" applyProtection="1">
      <alignment horizontal="left" vertical="top" wrapText="1"/>
      <protection locked="0"/>
    </xf>
    <xf numFmtId="0" fontId="0" fillId="0" borderId="13" xfId="0" applyFill="1" applyBorder="1" applyAlignment="1">
      <alignment wrapText="1"/>
    </xf>
    <xf numFmtId="0" fontId="11" fillId="0" borderId="12" xfId="0" applyFont="1" applyFill="1" applyBorder="1" applyAlignment="1" applyProtection="1">
      <alignment horizontal="left" vertical="top" wrapText="1"/>
    </xf>
    <xf numFmtId="0" fontId="0" fillId="0" borderId="34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4" fillId="5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2" fillId="4" borderId="3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3" xfId="0" applyBorder="1" applyAlignment="1" applyProtection="1">
      <alignment horizontal="center" vertical="center" wrapText="1"/>
      <protection locked="0"/>
    </xf>
    <xf numFmtId="44" fontId="4" fillId="5" borderId="1" xfId="1" applyFont="1" applyFill="1" applyBorder="1" applyAlignment="1" applyProtection="1">
      <alignment horizontal="center" vertical="center" wrapText="1"/>
    </xf>
    <xf numFmtId="44" fontId="4" fillId="5" borderId="18" xfId="1" applyFont="1" applyFill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1" fillId="0" borderId="32" xfId="0" applyFont="1" applyBorder="1" applyAlignment="1" applyProtection="1">
      <alignment horizontal="left" vertical="center" wrapText="1"/>
      <protection locked="0"/>
    </xf>
    <xf numFmtId="0" fontId="11" fillId="0" borderId="37" xfId="0" applyFont="1" applyBorder="1" applyAlignment="1" applyProtection="1">
      <alignment horizontal="left" vertical="center" wrapText="1"/>
      <protection locked="0"/>
    </xf>
    <xf numFmtId="0" fontId="0" fillId="0" borderId="33" xfId="0" applyBorder="1" applyAlignment="1">
      <alignment wrapText="1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1" fillId="0" borderId="34" xfId="0" applyFont="1" applyBorder="1" applyAlignment="1" applyProtection="1">
      <alignment horizontal="left" vertical="center" wrapText="1"/>
      <protection locked="0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28" xfId="0" applyFont="1" applyFill="1" applyBorder="1" applyAlignment="1" applyProtection="1">
      <alignment vertical="top"/>
      <protection locked="0"/>
    </xf>
    <xf numFmtId="0" fontId="3" fillId="0" borderId="29" xfId="0" applyFont="1" applyFill="1" applyBorder="1" applyAlignment="1" applyProtection="1">
      <alignment vertical="top"/>
      <protection locked="0"/>
    </xf>
    <xf numFmtId="0" fontId="3" fillId="0" borderId="30" xfId="0" applyFont="1" applyFill="1" applyBorder="1" applyAlignment="1" applyProtection="1">
      <alignment vertical="top"/>
      <protection locked="0"/>
    </xf>
    <xf numFmtId="164" fontId="12" fillId="0" borderId="0" xfId="0" applyNumberFormat="1" applyFont="1" applyFill="1" applyBorder="1" applyAlignment="1" applyProtection="1">
      <alignment horizontal="center" vertical="center"/>
      <protection locked="0"/>
    </xf>
    <xf numFmtId="164" fontId="12" fillId="4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11" fillId="4" borderId="12" xfId="0" applyFont="1" applyFill="1" applyBorder="1" applyAlignment="1" applyProtection="1">
      <alignment horizontal="left" vertical="top"/>
      <protection locked="0"/>
    </xf>
    <xf numFmtId="0" fontId="11" fillId="4" borderId="34" xfId="0" applyFont="1" applyFill="1" applyBorder="1" applyAlignment="1" applyProtection="1">
      <alignment horizontal="left" vertical="top"/>
      <protection locked="0"/>
    </xf>
    <xf numFmtId="0" fontId="0" fillId="4" borderId="13" xfId="0" applyFill="1" applyBorder="1" applyAlignment="1" applyProtection="1">
      <protection locked="0"/>
    </xf>
    <xf numFmtId="0" fontId="11" fillId="4" borderId="35" xfId="0" applyFont="1" applyFill="1" applyBorder="1" applyAlignment="1" applyProtection="1">
      <alignment horizontal="left" vertical="top"/>
      <protection locked="0"/>
    </xf>
    <xf numFmtId="0" fontId="11" fillId="4" borderId="36" xfId="0" applyFont="1" applyFill="1" applyBorder="1" applyAlignment="1" applyProtection="1">
      <alignment horizontal="left" vertical="top"/>
      <protection locked="0"/>
    </xf>
    <xf numFmtId="0" fontId="0" fillId="4" borderId="38" xfId="0" applyFill="1" applyBorder="1" applyAlignment="1" applyProtection="1">
      <protection locked="0"/>
    </xf>
    <xf numFmtId="0" fontId="3" fillId="0" borderId="0" xfId="0" applyFont="1" applyFill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0" fontId="4" fillId="5" borderId="1" xfId="0" applyFont="1" applyFill="1" applyBorder="1" applyAlignment="1" applyProtection="1">
      <alignment horizontal="center" vertical="center" wrapText="1"/>
    </xf>
    <xf numFmtId="0" fontId="4" fillId="5" borderId="3" xfId="0" applyFont="1" applyFill="1" applyBorder="1" applyAlignment="1" applyProtection="1">
      <alignment horizontal="center" vertical="center" wrapText="1"/>
    </xf>
    <xf numFmtId="0" fontId="3" fillId="0" borderId="19" xfId="0" applyFont="1" applyFill="1" applyBorder="1" applyAlignment="1" applyProtection="1">
      <alignment horizontal="left" vertical="top" wrapText="1"/>
    </xf>
    <xf numFmtId="0" fontId="3" fillId="0" borderId="20" xfId="0" applyFont="1" applyFill="1" applyBorder="1" applyAlignment="1" applyProtection="1">
      <alignment horizontal="left" vertical="top" wrapText="1"/>
    </xf>
    <xf numFmtId="0" fontId="3" fillId="0" borderId="21" xfId="0" applyFont="1" applyFill="1" applyBorder="1" applyAlignment="1" applyProtection="1">
      <alignment horizontal="left" vertical="top" wrapText="1"/>
    </xf>
    <xf numFmtId="0" fontId="3" fillId="0" borderId="22" xfId="0" applyFont="1" applyFill="1" applyBorder="1" applyAlignment="1" applyProtection="1">
      <alignment horizontal="left" vertical="top" wrapText="1"/>
    </xf>
    <xf numFmtId="0" fontId="3" fillId="0" borderId="23" xfId="0" applyFont="1" applyFill="1" applyBorder="1" applyAlignment="1" applyProtection="1">
      <alignment horizontal="left" vertical="top" wrapText="1"/>
    </xf>
    <xf numFmtId="0" fontId="3" fillId="0" borderId="24" xfId="0" applyFont="1" applyFill="1" applyBorder="1" applyAlignment="1" applyProtection="1">
      <alignment horizontal="left" vertical="top" wrapText="1"/>
    </xf>
    <xf numFmtId="0" fontId="3" fillId="0" borderId="25" xfId="0" applyFont="1" applyFill="1" applyBorder="1" applyAlignment="1" applyProtection="1">
      <alignment horizontal="left" vertical="top" wrapText="1"/>
    </xf>
    <xf numFmtId="0" fontId="3" fillId="0" borderId="26" xfId="0" applyFont="1" applyFill="1" applyBorder="1" applyAlignment="1" applyProtection="1">
      <alignment horizontal="left" vertical="top" wrapText="1"/>
    </xf>
    <xf numFmtId="0" fontId="3" fillId="0" borderId="27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" fillId="0" borderId="28" xfId="0" applyFont="1" applyFill="1" applyBorder="1" applyAlignment="1" applyProtection="1">
      <alignment horizontal="left" vertical="top" wrapText="1"/>
    </xf>
    <xf numFmtId="0" fontId="3" fillId="0" borderId="29" xfId="0" applyFont="1" applyFill="1" applyBorder="1" applyAlignment="1" applyProtection="1">
      <alignment horizontal="left" vertical="top" wrapText="1"/>
    </xf>
    <xf numFmtId="0" fontId="3" fillId="0" borderId="30" xfId="0" applyFont="1" applyFill="1" applyBorder="1" applyAlignment="1" applyProtection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 applyProtection="1">
      <alignment horizontal="center" vertical="center" wrapText="1"/>
    </xf>
    <xf numFmtId="0" fontId="6" fillId="5" borderId="31" xfId="0" applyFont="1" applyFill="1" applyBorder="1" applyAlignment="1" applyProtection="1">
      <alignment horizontal="center" vertical="center" wrapText="1"/>
    </xf>
    <xf numFmtId="0" fontId="6" fillId="5" borderId="4" xfId="0" applyFont="1" applyFill="1" applyBorder="1" applyAlignment="1" applyProtection="1">
      <alignment horizontal="center" vertical="center" wrapText="1"/>
    </xf>
    <xf numFmtId="0" fontId="12" fillId="0" borderId="12" xfId="0" applyFont="1" applyBorder="1" applyAlignment="1" applyProtection="1">
      <alignment horizontal="left" vertical="center"/>
    </xf>
    <xf numFmtId="0" fontId="12" fillId="0" borderId="13" xfId="0" applyFont="1" applyBorder="1" applyAlignment="1" applyProtection="1">
      <alignment horizontal="left" vertical="center"/>
    </xf>
    <xf numFmtId="0" fontId="12" fillId="0" borderId="32" xfId="0" applyFont="1" applyBorder="1" applyAlignment="1" applyProtection="1">
      <alignment horizontal="left" vertical="center"/>
    </xf>
    <xf numFmtId="0" fontId="12" fillId="0" borderId="33" xfId="0" applyFont="1" applyBorder="1" applyAlignment="1" applyProtection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 applyProtection="1">
      <alignment horizontal="left" vertical="center"/>
      <protection locked="0"/>
    </xf>
    <xf numFmtId="0" fontId="12" fillId="6" borderId="15" xfId="0" applyFont="1" applyFill="1" applyBorder="1" applyAlignment="1" applyProtection="1">
      <alignment horizontal="left" vertical="center"/>
      <protection locked="0"/>
    </xf>
    <xf numFmtId="0" fontId="11" fillId="0" borderId="1" xfId="0" applyFont="1" applyBorder="1" applyAlignment="1" applyProtection="1">
      <alignment horizontal="left" vertical="center"/>
    </xf>
    <xf numFmtId="0" fontId="11" fillId="0" borderId="3" xfId="0" applyFont="1" applyBorder="1" applyAlignment="1" applyProtection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71"/>
  <sheetViews>
    <sheetView tabSelected="1" zoomScale="75" workbookViewId="0">
      <selection activeCell="G9" sqref="G9"/>
    </sheetView>
  </sheetViews>
  <sheetFormatPr defaultColWidth="8.7109375" defaultRowHeight="12"/>
  <cols>
    <col min="1" max="1" width="31.28515625" style="1" customWidth="1"/>
    <col min="2" max="2" width="16.140625" style="1" customWidth="1"/>
    <col min="3" max="3" width="16.7109375" style="1" customWidth="1"/>
    <col min="4" max="6" width="15.5703125" style="1" customWidth="1"/>
    <col min="7" max="7" width="16.7109375" style="1" customWidth="1"/>
    <col min="8" max="9" width="18.7109375" style="1" customWidth="1"/>
    <col min="10" max="10" width="16.7109375" style="1" customWidth="1"/>
    <col min="11" max="12" width="18.7109375" style="1" customWidth="1"/>
    <col min="13" max="13" width="16.7109375" style="1" customWidth="1"/>
    <col min="14" max="18" width="15.5703125" style="1" customWidth="1"/>
    <col min="19" max="19" width="19.42578125" style="1" customWidth="1"/>
    <col min="20" max="20" width="16.7109375" style="1" customWidth="1"/>
    <col min="21" max="21" width="15.28515625" style="1" customWidth="1"/>
    <col min="22" max="22" width="16.28515625" style="1" customWidth="1"/>
    <col min="23" max="23" width="15.7109375" style="1" customWidth="1"/>
    <col min="24" max="16384" width="8.7109375" style="1"/>
  </cols>
  <sheetData>
    <row r="1" spans="1:18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1.1" customHeight="1" thickBo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45"/>
      <c r="O4" s="45"/>
      <c r="P4" s="45"/>
      <c r="Q4" s="45"/>
      <c r="R4" s="45"/>
    </row>
    <row r="5" spans="1:18" s="2" customFormat="1" ht="92.1" customHeight="1">
      <c r="A5" s="96" t="s">
        <v>0</v>
      </c>
      <c r="B5" s="97"/>
      <c r="C5" s="103" t="s">
        <v>44</v>
      </c>
      <c r="D5" s="96" t="s">
        <v>48</v>
      </c>
      <c r="E5" s="153"/>
      <c r="F5" s="97"/>
      <c r="G5" s="103" t="s">
        <v>41</v>
      </c>
      <c r="H5" s="96" t="s">
        <v>49</v>
      </c>
      <c r="I5" s="153"/>
      <c r="J5" s="103" t="s">
        <v>46</v>
      </c>
      <c r="K5" s="96" t="s">
        <v>50</v>
      </c>
      <c r="L5" s="97"/>
      <c r="M5" s="103" t="s">
        <v>1</v>
      </c>
    </row>
    <row r="6" spans="1:18" s="2" customFormat="1" ht="92.1" customHeight="1" thickBot="1">
      <c r="A6" s="150"/>
      <c r="B6" s="151"/>
      <c r="C6" s="104"/>
      <c r="D6" s="98"/>
      <c r="E6" s="154"/>
      <c r="F6" s="99"/>
      <c r="G6" s="152"/>
      <c r="H6" s="98"/>
      <c r="I6" s="154"/>
      <c r="J6" s="104"/>
      <c r="K6" s="98"/>
      <c r="L6" s="99"/>
      <c r="M6" s="152"/>
    </row>
    <row r="7" spans="1:18" s="2" customFormat="1" ht="32.25" thickBot="1">
      <c r="A7" s="138" t="s">
        <v>2</v>
      </c>
      <c r="B7" s="139"/>
      <c r="C7" s="3" t="s">
        <v>33</v>
      </c>
      <c r="D7" s="100" t="s">
        <v>43</v>
      </c>
      <c r="E7" s="102"/>
      <c r="F7" s="101"/>
      <c r="G7" s="19" t="s">
        <v>42</v>
      </c>
      <c r="H7" s="100" t="s">
        <v>51</v>
      </c>
      <c r="I7" s="102"/>
      <c r="J7" s="3" t="s">
        <v>47</v>
      </c>
      <c r="K7" s="100" t="s">
        <v>52</v>
      </c>
      <c r="L7" s="101"/>
      <c r="M7" s="4">
        <v>0</v>
      </c>
    </row>
    <row r="8" spans="1:18" s="2" customFormat="1" ht="16.5" thickBot="1">
      <c r="A8" s="138" t="s">
        <v>3</v>
      </c>
      <c r="B8" s="139"/>
      <c r="C8" s="3">
        <v>1</v>
      </c>
      <c r="D8" s="19">
        <v>1</v>
      </c>
      <c r="E8" s="19">
        <v>1</v>
      </c>
      <c r="F8" s="19">
        <v>1</v>
      </c>
      <c r="G8" s="16">
        <v>1</v>
      </c>
      <c r="H8" s="19">
        <v>1</v>
      </c>
      <c r="I8" s="16">
        <v>6</v>
      </c>
      <c r="J8" s="19">
        <v>1</v>
      </c>
      <c r="K8" s="3">
        <v>1</v>
      </c>
      <c r="L8" s="3">
        <v>1</v>
      </c>
      <c r="M8" s="4">
        <v>0</v>
      </c>
    </row>
    <row r="9" spans="1:18" s="7" customFormat="1" ht="16.5" thickBot="1">
      <c r="A9" s="40" t="s">
        <v>4</v>
      </c>
      <c r="B9" s="140" t="s">
        <v>5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6">
        <f>+C9+D9+E9+F9+G9+H9+I9*I$8+J9+K9+L9</f>
        <v>15</v>
      </c>
    </row>
    <row r="10" spans="1:18" s="7" customFormat="1" ht="19.5" thickBot="1">
      <c r="A10" s="38" t="s">
        <v>6</v>
      </c>
      <c r="B10" s="141"/>
      <c r="C10" s="8"/>
      <c r="D10" s="8"/>
      <c r="E10" s="8"/>
      <c r="F10" s="8"/>
      <c r="G10" s="8"/>
      <c r="H10" s="8"/>
      <c r="I10" s="8"/>
      <c r="J10" s="8"/>
      <c r="K10" s="8"/>
      <c r="L10" s="8"/>
      <c r="M10" s="29"/>
    </row>
    <row r="11" spans="1:18" s="7" customFormat="1" ht="16.5" thickBot="1">
      <c r="A11" s="50" t="s">
        <v>7</v>
      </c>
      <c r="B11" s="141"/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6">
        <f t="shared" ref="M11:M28" si="0">+C11+D11+E11+F11+G11+H11+I11*I$8+J11+K11+L11</f>
        <v>15</v>
      </c>
    </row>
    <row r="12" spans="1:18" s="7" customFormat="1" ht="16.5" thickBot="1">
      <c r="A12" s="50" t="s">
        <v>7</v>
      </c>
      <c r="B12" s="141"/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6">
        <f t="shared" si="0"/>
        <v>15</v>
      </c>
    </row>
    <row r="13" spans="1:18" s="7" customFormat="1" ht="16.5" thickBot="1">
      <c r="A13" s="50" t="s">
        <v>7</v>
      </c>
      <c r="B13" s="141"/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6">
        <f t="shared" si="0"/>
        <v>15</v>
      </c>
    </row>
    <row r="14" spans="1:18" s="7" customFormat="1" ht="16.5" thickBot="1">
      <c r="A14" s="51" t="s">
        <v>8</v>
      </c>
      <c r="B14" s="141"/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6">
        <f t="shared" si="0"/>
        <v>15</v>
      </c>
    </row>
    <row r="15" spans="1:18" s="7" customFormat="1" ht="19.5" thickBot="1">
      <c r="A15" s="20" t="s">
        <v>9</v>
      </c>
      <c r="B15" s="141"/>
      <c r="C15" s="8"/>
      <c r="D15" s="8"/>
      <c r="E15" s="8"/>
      <c r="F15" s="8"/>
      <c r="G15" s="8"/>
      <c r="H15" s="8"/>
      <c r="I15" s="8"/>
      <c r="J15" s="8"/>
      <c r="K15" s="8"/>
      <c r="L15" s="8"/>
      <c r="M15" s="29"/>
    </row>
    <row r="16" spans="1:18" s="7" customFormat="1" ht="16.5" thickBot="1">
      <c r="A16" s="41" t="s">
        <v>34</v>
      </c>
      <c r="B16" s="141"/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6">
        <f t="shared" si="0"/>
        <v>15</v>
      </c>
    </row>
    <row r="17" spans="1:23" s="7" customFormat="1" ht="16.5" thickBot="1">
      <c r="A17" s="42" t="s">
        <v>10</v>
      </c>
      <c r="B17" s="141"/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6">
        <f t="shared" si="0"/>
        <v>15</v>
      </c>
    </row>
    <row r="18" spans="1:23" s="7" customFormat="1" ht="16.5" thickBot="1">
      <c r="A18" s="42" t="s">
        <v>11</v>
      </c>
      <c r="B18" s="141"/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6">
        <f t="shared" si="0"/>
        <v>15</v>
      </c>
    </row>
    <row r="19" spans="1:23" s="7" customFormat="1" ht="16.5" thickBot="1">
      <c r="A19" s="52" t="s">
        <v>12</v>
      </c>
      <c r="B19" s="141"/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6">
        <f t="shared" si="0"/>
        <v>15</v>
      </c>
    </row>
    <row r="20" spans="1:23" s="7" customFormat="1" ht="16.5" thickBot="1">
      <c r="A20" s="42" t="s">
        <v>31</v>
      </c>
      <c r="B20" s="141"/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6">
        <f t="shared" si="0"/>
        <v>15</v>
      </c>
    </row>
    <row r="21" spans="1:23" s="7" customFormat="1" ht="16.5" thickBot="1">
      <c r="A21" s="43" t="s">
        <v>13</v>
      </c>
      <c r="B21" s="141"/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6">
        <f t="shared" si="0"/>
        <v>15</v>
      </c>
    </row>
    <row r="22" spans="1:23" s="7" customFormat="1" ht="16.5" thickBot="1">
      <c r="A22" s="43" t="s">
        <v>35</v>
      </c>
      <c r="B22" s="141"/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6">
        <f t="shared" si="0"/>
        <v>15</v>
      </c>
    </row>
    <row r="23" spans="1:23" s="7" customFormat="1" ht="16.5" thickBot="1">
      <c r="A23" s="43" t="s">
        <v>14</v>
      </c>
      <c r="B23" s="141"/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6">
        <f t="shared" si="0"/>
        <v>15</v>
      </c>
    </row>
    <row r="24" spans="1:23" s="7" customFormat="1" ht="16.5" thickBot="1">
      <c r="A24" s="39" t="s">
        <v>53</v>
      </c>
      <c r="B24" s="141"/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6">
        <f t="shared" si="0"/>
        <v>15</v>
      </c>
    </row>
    <row r="25" spans="1:23" s="7" customFormat="1" ht="16.5" thickBot="1">
      <c r="A25" s="50" t="s">
        <v>15</v>
      </c>
      <c r="B25" s="141"/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6">
        <f t="shared" si="0"/>
        <v>15</v>
      </c>
    </row>
    <row r="26" spans="1:23" s="7" customFormat="1" ht="16.5" thickBot="1">
      <c r="A26" s="50" t="s">
        <v>15</v>
      </c>
      <c r="B26" s="141"/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6">
        <f t="shared" si="0"/>
        <v>15</v>
      </c>
    </row>
    <row r="27" spans="1:23" s="7" customFormat="1" ht="16.5" thickBot="1">
      <c r="A27" s="50" t="s">
        <v>15</v>
      </c>
      <c r="B27" s="141"/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6">
        <f t="shared" si="0"/>
        <v>15</v>
      </c>
    </row>
    <row r="28" spans="1:23" s="7" customFormat="1" ht="16.5" thickBot="1">
      <c r="A28" s="53" t="s">
        <v>15</v>
      </c>
      <c r="B28" s="142"/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6">
        <f t="shared" si="0"/>
        <v>15</v>
      </c>
    </row>
    <row r="29" spans="1:23" s="7" customFormat="1" ht="18.75" thickBot="1">
      <c r="A29" s="118" t="s">
        <v>16</v>
      </c>
      <c r="B29" s="119"/>
      <c r="C29" s="6">
        <f t="shared" ref="C29:K29" si="1">SUM(C9:C28)</f>
        <v>18</v>
      </c>
      <c r="D29" s="6">
        <f t="shared" si="1"/>
        <v>18</v>
      </c>
      <c r="E29" s="6">
        <f t="shared" si="1"/>
        <v>18</v>
      </c>
      <c r="F29" s="6">
        <f t="shared" si="1"/>
        <v>18</v>
      </c>
      <c r="G29" s="6">
        <f t="shared" si="1"/>
        <v>18</v>
      </c>
      <c r="H29" s="6">
        <f t="shared" si="1"/>
        <v>18</v>
      </c>
      <c r="I29" s="6">
        <f>SUM(I9:I28)</f>
        <v>18</v>
      </c>
      <c r="J29" s="6">
        <f t="shared" si="1"/>
        <v>18</v>
      </c>
      <c r="K29" s="6">
        <f t="shared" si="1"/>
        <v>18</v>
      </c>
      <c r="L29" s="44">
        <f>SUM(L9:L28)</f>
        <v>18</v>
      </c>
      <c r="M29" s="9">
        <v>0</v>
      </c>
    </row>
    <row r="30" spans="1:23" s="7" customFormat="1" ht="18.75" thickBot="1">
      <c r="A30" s="120" t="s">
        <v>17</v>
      </c>
      <c r="B30" s="121"/>
      <c r="C30" s="10">
        <f>+C29*C8</f>
        <v>18</v>
      </c>
      <c r="D30" s="94">
        <f>(D29*D8)+(E29*E8)+(F29*F8)</f>
        <v>54</v>
      </c>
      <c r="E30" s="122"/>
      <c r="F30" s="95"/>
      <c r="G30" s="10">
        <f>+G29*G8</f>
        <v>18</v>
      </c>
      <c r="H30" s="94">
        <f>(H29*H8)+(I29*I8)</f>
        <v>126</v>
      </c>
      <c r="I30" s="95"/>
      <c r="J30" s="10">
        <f>+J29*J8</f>
        <v>18</v>
      </c>
      <c r="K30" s="94">
        <f>(K29*K8)+(L29*L8)</f>
        <v>36</v>
      </c>
      <c r="L30" s="95"/>
      <c r="M30" s="47">
        <f>SUM(C30:L30)</f>
        <v>270</v>
      </c>
      <c r="N30" s="46"/>
      <c r="O30" s="46"/>
    </row>
    <row r="31" spans="1:23" s="7" customFormat="1" ht="18.75" thickBot="1">
      <c r="A31" s="11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/>
    </row>
    <row r="32" spans="1:23" s="14" customFormat="1" ht="42.6" customHeight="1" thickBot="1">
      <c r="A32" s="123" t="s">
        <v>18</v>
      </c>
      <c r="B32" s="124"/>
      <c r="C32" s="30" t="s">
        <v>19</v>
      </c>
      <c r="E32" s="83" t="s">
        <v>55</v>
      </c>
      <c r="F32" s="84"/>
      <c r="G32" s="84"/>
      <c r="H32" s="84"/>
      <c r="I32" s="84"/>
      <c r="J32" s="84"/>
      <c r="K32" s="85"/>
      <c r="L32" s="79" t="s">
        <v>32</v>
      </c>
      <c r="M32" s="80"/>
      <c r="N32" s="26"/>
      <c r="O32" s="26"/>
      <c r="P32" s="134"/>
      <c r="Q32" s="134"/>
      <c r="R32" s="134"/>
    </row>
    <row r="33" spans="1:18" s="17" customFormat="1" ht="15.95" customHeight="1">
      <c r="A33" s="145" t="s">
        <v>20</v>
      </c>
      <c r="B33" s="146"/>
      <c r="C33" s="32">
        <v>0</v>
      </c>
      <c r="E33" s="86" t="s">
        <v>56</v>
      </c>
      <c r="F33" s="87"/>
      <c r="G33" s="87"/>
      <c r="H33" s="87"/>
      <c r="I33" s="87"/>
      <c r="J33" s="87"/>
      <c r="K33" s="88"/>
      <c r="L33" s="81">
        <v>0</v>
      </c>
      <c r="M33" s="82"/>
      <c r="N33" s="27"/>
      <c r="O33" s="27"/>
      <c r="P33" s="125"/>
      <c r="Q33" s="126"/>
      <c r="R33" s="127"/>
    </row>
    <row r="34" spans="1:18" s="17" customFormat="1" ht="15.95" customHeight="1">
      <c r="A34" s="143" t="s">
        <v>21</v>
      </c>
      <c r="B34" s="144"/>
      <c r="C34" s="33">
        <v>0</v>
      </c>
      <c r="E34" s="89" t="s">
        <v>57</v>
      </c>
      <c r="F34" s="90"/>
      <c r="G34" s="90"/>
      <c r="H34" s="90"/>
      <c r="I34" s="90"/>
      <c r="J34" s="90"/>
      <c r="K34" s="69"/>
      <c r="L34" s="65">
        <v>0</v>
      </c>
      <c r="M34" s="66"/>
      <c r="N34" s="27"/>
      <c r="O34" s="27"/>
      <c r="P34" s="125"/>
      <c r="Q34" s="126"/>
      <c r="R34" s="127"/>
    </row>
    <row r="35" spans="1:18" s="17" customFormat="1" ht="15.95" customHeight="1">
      <c r="A35" s="48" t="s">
        <v>22</v>
      </c>
      <c r="B35" s="49"/>
      <c r="C35" s="33">
        <v>0</v>
      </c>
      <c r="E35" s="89" t="s">
        <v>61</v>
      </c>
      <c r="F35" s="90"/>
      <c r="G35" s="90"/>
      <c r="H35" s="90"/>
      <c r="I35" s="90"/>
      <c r="J35" s="90"/>
      <c r="K35" s="91"/>
      <c r="L35" s="65">
        <v>0</v>
      </c>
      <c r="M35" s="66"/>
      <c r="N35" s="27"/>
      <c r="O35" s="27"/>
      <c r="P35" s="128"/>
      <c r="Q35" s="129"/>
      <c r="R35" s="130"/>
    </row>
    <row r="36" spans="1:18" s="17" customFormat="1" ht="15.95" customHeight="1">
      <c r="A36" s="143" t="s">
        <v>37</v>
      </c>
      <c r="B36" s="144"/>
      <c r="C36" s="33">
        <v>0</v>
      </c>
      <c r="E36" s="92"/>
      <c r="F36" s="93"/>
      <c r="G36" s="93"/>
      <c r="H36" s="93"/>
      <c r="I36" s="93"/>
      <c r="J36" s="93"/>
      <c r="K36" s="91"/>
      <c r="L36" s="72"/>
      <c r="M36" s="66"/>
      <c r="N36" s="27"/>
      <c r="O36" s="27"/>
      <c r="P36" s="131"/>
      <c r="Q36" s="132"/>
      <c r="R36" s="133"/>
    </row>
    <row r="37" spans="1:18" s="17" customFormat="1" ht="15.95" customHeight="1">
      <c r="A37" s="143" t="s">
        <v>38</v>
      </c>
      <c r="B37" s="144"/>
      <c r="C37" s="33">
        <v>0</v>
      </c>
      <c r="E37" s="147" t="s">
        <v>63</v>
      </c>
      <c r="F37" s="148"/>
      <c r="G37" s="148"/>
      <c r="H37" s="148"/>
      <c r="I37" s="148"/>
      <c r="J37" s="148"/>
      <c r="K37" s="149"/>
      <c r="L37" s="65">
        <v>0</v>
      </c>
      <c r="M37" s="66"/>
      <c r="N37" s="27"/>
      <c r="O37" s="27"/>
      <c r="P37" s="131"/>
      <c r="Q37" s="132"/>
      <c r="R37" s="133"/>
    </row>
    <row r="38" spans="1:18" s="17" customFormat="1" ht="15.95" customHeight="1">
      <c r="A38" s="48" t="s">
        <v>39</v>
      </c>
      <c r="B38" s="49"/>
      <c r="C38" s="33">
        <v>0</v>
      </c>
      <c r="E38" s="76" t="s">
        <v>58</v>
      </c>
      <c r="F38" s="77"/>
      <c r="G38" s="77"/>
      <c r="H38" s="77"/>
      <c r="I38" s="77"/>
      <c r="J38" s="77"/>
      <c r="K38" s="78"/>
      <c r="L38" s="65">
        <v>0</v>
      </c>
      <c r="M38" s="66"/>
      <c r="N38" s="27"/>
      <c r="O38" s="27"/>
      <c r="P38" s="131"/>
      <c r="Q38" s="132"/>
      <c r="R38" s="133"/>
    </row>
    <row r="39" spans="1:18" s="17" customFormat="1" ht="15.95" customHeight="1">
      <c r="A39" s="48" t="s">
        <v>23</v>
      </c>
      <c r="B39" s="49"/>
      <c r="C39" s="33">
        <v>0</v>
      </c>
      <c r="E39" s="67" t="s">
        <v>59</v>
      </c>
      <c r="F39" s="70"/>
      <c r="G39" s="70"/>
      <c r="H39" s="70"/>
      <c r="I39" s="70"/>
      <c r="J39" s="70"/>
      <c r="K39" s="78"/>
      <c r="L39" s="65">
        <v>0</v>
      </c>
      <c r="M39" s="66"/>
      <c r="N39" s="27"/>
      <c r="O39" s="27"/>
      <c r="P39" s="23"/>
      <c r="Q39" s="23"/>
      <c r="R39" s="23"/>
    </row>
    <row r="40" spans="1:18" s="17" customFormat="1" ht="15.95" customHeight="1">
      <c r="A40" s="48" t="s">
        <v>24</v>
      </c>
      <c r="B40" s="49"/>
      <c r="C40" s="33">
        <v>0</v>
      </c>
      <c r="E40" s="67" t="s">
        <v>60</v>
      </c>
      <c r="F40" s="70"/>
      <c r="G40" s="70"/>
      <c r="H40" s="70"/>
      <c r="I40" s="70"/>
      <c r="J40" s="70"/>
      <c r="K40" s="69"/>
      <c r="L40" s="65">
        <v>0</v>
      </c>
      <c r="M40" s="66"/>
      <c r="N40" s="27"/>
      <c r="O40" s="27"/>
      <c r="P40" s="135"/>
      <c r="Q40" s="136"/>
      <c r="R40" s="137"/>
    </row>
    <row r="41" spans="1:18" s="17" customFormat="1" ht="15.95" customHeight="1">
      <c r="A41" s="48" t="s">
        <v>25</v>
      </c>
      <c r="B41" s="49"/>
      <c r="C41" s="33">
        <v>0</v>
      </c>
      <c r="E41" s="71"/>
      <c r="F41" s="68"/>
      <c r="G41" s="68"/>
      <c r="H41" s="68"/>
      <c r="I41" s="68"/>
      <c r="J41" s="68"/>
      <c r="K41" s="69"/>
      <c r="L41" s="72"/>
      <c r="M41" s="66"/>
      <c r="N41" s="27"/>
      <c r="O41" s="27"/>
      <c r="P41" s="24"/>
      <c r="Q41" s="24"/>
      <c r="R41" s="24"/>
    </row>
    <row r="42" spans="1:18" s="17" customFormat="1" ht="15.95" customHeight="1">
      <c r="A42" s="143" t="s">
        <v>40</v>
      </c>
      <c r="B42" s="144"/>
      <c r="C42" s="33">
        <v>0</v>
      </c>
      <c r="E42" s="67" t="s">
        <v>64</v>
      </c>
      <c r="F42" s="68"/>
      <c r="G42" s="68"/>
      <c r="H42" s="68"/>
      <c r="I42" s="68"/>
      <c r="J42" s="68"/>
      <c r="K42" s="69"/>
      <c r="L42" s="65">
        <v>0</v>
      </c>
      <c r="M42" s="66"/>
      <c r="N42" s="25"/>
      <c r="O42" s="25"/>
      <c r="P42" s="24"/>
      <c r="Q42" s="24"/>
      <c r="R42" s="24"/>
    </row>
    <row r="43" spans="1:18" s="17" customFormat="1" ht="15.95" customHeight="1">
      <c r="A43" s="143" t="s">
        <v>26</v>
      </c>
      <c r="B43" s="144"/>
      <c r="C43" s="33">
        <v>0</v>
      </c>
      <c r="E43" s="73" t="s">
        <v>62</v>
      </c>
      <c r="F43" s="74"/>
      <c r="G43" s="74"/>
      <c r="H43" s="74"/>
      <c r="I43" s="74"/>
      <c r="J43" s="74"/>
      <c r="K43" s="75"/>
      <c r="L43" s="65">
        <v>0</v>
      </c>
      <c r="M43" s="66"/>
      <c r="N43" s="36"/>
      <c r="O43" s="36"/>
      <c r="P43" s="105"/>
      <c r="Q43" s="106"/>
      <c r="R43" s="107"/>
    </row>
    <row r="44" spans="1:18" s="17" customFormat="1" ht="15.95" customHeight="1">
      <c r="A44" s="143" t="s">
        <v>27</v>
      </c>
      <c r="B44" s="144"/>
      <c r="C44" s="33">
        <v>0</v>
      </c>
      <c r="E44" s="71"/>
      <c r="F44" s="68"/>
      <c r="G44" s="68"/>
      <c r="H44" s="68"/>
      <c r="I44" s="68"/>
      <c r="J44" s="68"/>
      <c r="K44" s="69"/>
      <c r="L44" s="72"/>
      <c r="M44" s="66"/>
      <c r="N44" s="25"/>
      <c r="O44" s="25"/>
      <c r="P44" s="25"/>
      <c r="Q44" s="25"/>
      <c r="R44" s="25"/>
    </row>
    <row r="45" spans="1:18" s="17" customFormat="1" ht="15.95" customHeight="1">
      <c r="A45" s="63" t="s">
        <v>15</v>
      </c>
      <c r="B45" s="64"/>
      <c r="C45" s="33">
        <v>0</v>
      </c>
      <c r="E45" s="111" t="s">
        <v>36</v>
      </c>
      <c r="F45" s="112"/>
      <c r="G45" s="112"/>
      <c r="H45" s="112"/>
      <c r="I45" s="112"/>
      <c r="J45" s="112"/>
      <c r="K45" s="113"/>
      <c r="L45" s="65">
        <v>0</v>
      </c>
      <c r="M45" s="66"/>
      <c r="N45" s="27"/>
      <c r="O45" s="27"/>
      <c r="P45" s="105"/>
      <c r="Q45" s="106"/>
      <c r="R45" s="107"/>
    </row>
    <row r="46" spans="1:18" s="17" customFormat="1" ht="15.95" customHeight="1" thickBot="1">
      <c r="A46" s="63" t="s">
        <v>15</v>
      </c>
      <c r="B46" s="64"/>
      <c r="C46" s="33">
        <v>0</v>
      </c>
      <c r="E46" s="114" t="s">
        <v>36</v>
      </c>
      <c r="F46" s="115"/>
      <c r="G46" s="115"/>
      <c r="H46" s="115"/>
      <c r="I46" s="115"/>
      <c r="J46" s="115"/>
      <c r="K46" s="116"/>
      <c r="L46" s="109">
        <v>0</v>
      </c>
      <c r="M46" s="110"/>
      <c r="N46" s="18"/>
      <c r="O46" s="18"/>
      <c r="P46" s="25"/>
      <c r="Q46" s="25"/>
      <c r="R46" s="25"/>
    </row>
    <row r="47" spans="1:18" s="17" customFormat="1" ht="15.95" customHeight="1">
      <c r="A47" s="54" t="s">
        <v>15</v>
      </c>
      <c r="B47" s="55"/>
      <c r="C47" s="33">
        <v>0</v>
      </c>
      <c r="K47" s="108"/>
      <c r="L47" s="108"/>
      <c r="M47" s="108"/>
      <c r="N47" s="18"/>
      <c r="O47" s="18"/>
      <c r="P47" s="117"/>
      <c r="Q47" s="117"/>
      <c r="R47" s="117"/>
    </row>
    <row r="48" spans="1:18" s="17" customFormat="1" ht="15.95" customHeight="1" thickBot="1">
      <c r="A48" s="155" t="s">
        <v>15</v>
      </c>
      <c r="B48" s="156"/>
      <c r="C48" s="34">
        <v>0</v>
      </c>
      <c r="E48" s="37"/>
      <c r="F48" s="37"/>
      <c r="G48" s="37"/>
      <c r="H48" s="37"/>
      <c r="I48" s="37"/>
      <c r="J48" s="37"/>
      <c r="K48" s="108"/>
      <c r="L48" s="108"/>
      <c r="M48" s="108"/>
      <c r="N48" s="18"/>
      <c r="O48" s="18"/>
    </row>
    <row r="49" spans="1:19" s="17" customFormat="1" ht="15.95" customHeight="1">
      <c r="E49" s="21"/>
      <c r="F49" s="21"/>
      <c r="G49" s="21"/>
      <c r="H49" s="21"/>
      <c r="I49" s="21"/>
      <c r="J49" s="21"/>
      <c r="K49" s="108"/>
      <c r="L49" s="108"/>
      <c r="M49" s="108"/>
      <c r="N49" s="18"/>
      <c r="O49" s="18"/>
    </row>
    <row r="50" spans="1:19" s="17" customFormat="1" ht="15.95" customHeight="1" thickBot="1">
      <c r="K50" s="108"/>
      <c r="L50" s="108"/>
      <c r="M50" s="108"/>
      <c r="N50" s="18"/>
      <c r="O50" s="18"/>
    </row>
    <row r="51" spans="1:19" s="17" customFormat="1" ht="12" customHeight="1" thickBot="1">
      <c r="A51" s="157" t="s">
        <v>28</v>
      </c>
      <c r="B51" s="158"/>
      <c r="C51" s="35">
        <v>0</v>
      </c>
      <c r="D51" s="31" t="s">
        <v>45</v>
      </c>
      <c r="E51" s="21"/>
      <c r="F51" s="21"/>
      <c r="G51" s="21"/>
      <c r="H51" s="21"/>
      <c r="I51" s="21"/>
      <c r="J51" s="21"/>
      <c r="O51" s="18"/>
    </row>
    <row r="52" spans="1:19" s="17" customFormat="1" ht="15.95" customHeight="1">
      <c r="E52" s="21"/>
      <c r="F52" s="21"/>
      <c r="G52" s="21"/>
      <c r="H52" s="21"/>
      <c r="I52" s="21"/>
      <c r="J52" s="21"/>
      <c r="K52" s="37"/>
      <c r="L52" s="37"/>
      <c r="M52" s="37"/>
      <c r="N52" s="37"/>
      <c r="O52" s="18"/>
      <c r="P52" s="21"/>
      <c r="Q52" s="21"/>
      <c r="R52" s="21"/>
      <c r="S52" s="21"/>
    </row>
    <row r="53" spans="1:19" s="17" customFormat="1" ht="14.25">
      <c r="A53" s="59" t="s">
        <v>29</v>
      </c>
      <c r="B53" s="22"/>
      <c r="C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9" s="17" customFormat="1" ht="14.25">
      <c r="A54" s="60" t="s">
        <v>30</v>
      </c>
      <c r="B54" s="21"/>
      <c r="C54" s="21"/>
      <c r="D54" s="21"/>
      <c r="E54" s="14"/>
      <c r="F54" s="14"/>
      <c r="G54" s="14"/>
      <c r="H54" s="14"/>
      <c r="I54" s="14"/>
      <c r="J54" s="14"/>
      <c r="O54" s="21"/>
      <c r="P54" s="21"/>
      <c r="Q54" s="21"/>
      <c r="R54" s="21"/>
      <c r="S54" s="21"/>
    </row>
    <row r="55" spans="1:19" s="17" customFormat="1" ht="15.75">
      <c r="A55" s="57" t="s">
        <v>54</v>
      </c>
      <c r="B55" s="56"/>
      <c r="C55" s="56"/>
      <c r="D55" s="61"/>
      <c r="E55" s="62"/>
      <c r="F55" s="62"/>
      <c r="G55" s="1"/>
      <c r="H55" s="1"/>
      <c r="I55" s="1"/>
      <c r="J55" s="1"/>
      <c r="K55" s="21"/>
      <c r="L55" s="21"/>
      <c r="M55" s="21"/>
      <c r="N55" s="21"/>
      <c r="P55" s="21"/>
      <c r="Q55" s="21"/>
      <c r="R55" s="21"/>
      <c r="S55" s="21"/>
    </row>
    <row r="56" spans="1:19" s="17" customFormat="1">
      <c r="A56" s="14"/>
      <c r="B56" s="14"/>
      <c r="C56" s="14"/>
      <c r="D56" s="58"/>
      <c r="E56" s="1"/>
      <c r="F56" s="1"/>
      <c r="G56" s="1"/>
      <c r="H56" s="21"/>
      <c r="I56" s="21"/>
      <c r="J56" s="21"/>
      <c r="K56" s="21"/>
      <c r="L56" s="21"/>
      <c r="M56" s="21"/>
      <c r="N56" s="21"/>
      <c r="O56" s="21"/>
      <c r="P56" s="21"/>
    </row>
    <row r="57" spans="1:19" s="14" customFormat="1" ht="12" customHeight="1">
      <c r="A57" s="1"/>
      <c r="B57" s="1"/>
      <c r="C57" s="1"/>
      <c r="E57" s="1"/>
      <c r="F57" s="1"/>
      <c r="G57" s="1"/>
      <c r="H57" s="1"/>
      <c r="I57" s="1"/>
      <c r="J57" s="1"/>
      <c r="K57" s="21"/>
      <c r="L57" s="21"/>
      <c r="M57" s="21"/>
      <c r="N57" s="21"/>
      <c r="O57" s="21"/>
    </row>
    <row r="58" spans="1:19">
      <c r="K58" s="14"/>
      <c r="L58" s="14"/>
      <c r="M58" s="14"/>
      <c r="N58" s="14"/>
      <c r="O58" s="21"/>
    </row>
    <row r="59" spans="1:19">
      <c r="O59" s="14"/>
    </row>
    <row r="67" spans="1:2">
      <c r="A67" s="15"/>
      <c r="B67" s="15"/>
    </row>
    <row r="68" spans="1:2">
      <c r="A68" s="15"/>
      <c r="B68" s="15"/>
    </row>
    <row r="71" spans="1:2" ht="12" customHeight="1"/>
  </sheetData>
  <sheetProtection password="B5BF" sheet="1" objects="1" scenarios="1" selectLockedCells="1"/>
  <protectedRanges>
    <protectedRange password="B5BF" sqref="D51" name="Range11"/>
    <protectedRange password="B5BF" sqref="A51:B55" name="Range10"/>
    <protectedRange password="B5BF" sqref="E33:E44" name="Range9"/>
    <protectedRange password="B5BF" sqref="A33:B44" name="Range8"/>
    <protectedRange password="B5BF" sqref="A29:M32" name="Range7"/>
    <protectedRange password="B5BF" sqref="M9:M28" name="Range6"/>
    <protectedRange password="B5BF" sqref="A20:A24" name="Range5"/>
    <protectedRange password="B5BF" sqref="A15:A18" name="Range4"/>
    <protectedRange password="B5BF" sqref="B9" name="Range3"/>
    <protectedRange password="B5BF" sqref="A9:A10" name="Range2"/>
    <protectedRange password="B5BF" sqref="A5:M8" name="Range1"/>
  </protectedRanges>
  <mergeCells count="65">
    <mergeCell ref="K48:M48"/>
    <mergeCell ref="K49:M49"/>
    <mergeCell ref="K50:M50"/>
    <mergeCell ref="A48:B48"/>
    <mergeCell ref="A51:B51"/>
    <mergeCell ref="A42:B42"/>
    <mergeCell ref="A43:B43"/>
    <mergeCell ref="A44:B44"/>
    <mergeCell ref="A45:B45"/>
    <mergeCell ref="A7:B7"/>
    <mergeCell ref="C5:C6"/>
    <mergeCell ref="A5:B6"/>
    <mergeCell ref="M5:M6"/>
    <mergeCell ref="D5:F6"/>
    <mergeCell ref="D7:F7"/>
    <mergeCell ref="G5:G6"/>
    <mergeCell ref="H5:I6"/>
    <mergeCell ref="P40:R40"/>
    <mergeCell ref="A8:B8"/>
    <mergeCell ref="B9:B28"/>
    <mergeCell ref="A37:B37"/>
    <mergeCell ref="A33:B33"/>
    <mergeCell ref="A34:B34"/>
    <mergeCell ref="A36:B36"/>
    <mergeCell ref="E37:K37"/>
    <mergeCell ref="L37:M37"/>
    <mergeCell ref="A29:B29"/>
    <mergeCell ref="A30:B30"/>
    <mergeCell ref="D30:F30"/>
    <mergeCell ref="A32:B32"/>
    <mergeCell ref="P33:R38"/>
    <mergeCell ref="P32:R32"/>
    <mergeCell ref="P43:R43"/>
    <mergeCell ref="K47:M47"/>
    <mergeCell ref="L45:M45"/>
    <mergeCell ref="L46:M46"/>
    <mergeCell ref="E45:K45"/>
    <mergeCell ref="E46:K46"/>
    <mergeCell ref="P45:R45"/>
    <mergeCell ref="P47:R47"/>
    <mergeCell ref="L35:M36"/>
    <mergeCell ref="L34:M34"/>
    <mergeCell ref="H30:I30"/>
    <mergeCell ref="K5:L6"/>
    <mergeCell ref="K7:L7"/>
    <mergeCell ref="K30:L30"/>
    <mergeCell ref="H7:I7"/>
    <mergeCell ref="J5:J6"/>
    <mergeCell ref="E38:K38"/>
    <mergeCell ref="L38:M38"/>
    <mergeCell ref="L39:M39"/>
    <mergeCell ref="E39:K39"/>
    <mergeCell ref="L32:M32"/>
    <mergeCell ref="L33:M33"/>
    <mergeCell ref="E32:K32"/>
    <mergeCell ref="E33:K33"/>
    <mergeCell ref="E34:K34"/>
    <mergeCell ref="E35:K36"/>
    <mergeCell ref="A46:B46"/>
    <mergeCell ref="L42:M42"/>
    <mergeCell ref="E42:K42"/>
    <mergeCell ref="E40:K41"/>
    <mergeCell ref="L40:M41"/>
    <mergeCell ref="E43:K44"/>
    <mergeCell ref="L43:M44"/>
  </mergeCells>
  <phoneticPr fontId="10" type="noConversion"/>
  <printOptions horizontalCentered="1"/>
  <pageMargins left="0.25" right="0.25" top="1.25" bottom="0.5" header="0.5" footer="0.5"/>
  <pageSetup scale="51" orientation="landscape" horizontalDpi="1200" verticalDpi="1200" r:id="rId1"/>
  <headerFooter alignWithMargins="0">
    <oddHeader xml:space="preserve">&amp;C&amp;"Arial,Bold"&amp;12Table 1
Bid Cost Spreadsheet 
PAUSTIF Claim #1998-188 - TNT Enterprises, Inc.
Centerville, Bloomfield Township, Crawford County, PA
</oddHeader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2013-09-13T20:57:34Z</cp:lastPrinted>
  <dcterms:created xsi:type="dcterms:W3CDTF">2009-03-12T14:50:14Z</dcterms:created>
  <dcterms:modified xsi:type="dcterms:W3CDTF">2013-09-17T15:53:48Z</dcterms:modified>
</cp:coreProperties>
</file>