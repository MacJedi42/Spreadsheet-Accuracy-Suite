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0" windowWidth="15360" windowHeight="8775" tabRatio="607"/>
  </bookViews>
  <sheets>
    <sheet name="All Contract Holders" sheetId="1" r:id="rId1"/>
    <sheet name="FA1 Contract Holders" sheetId="8" r:id="rId2"/>
    <sheet name="FA2 Contract Holders" sheetId="9" r:id="rId3"/>
  </sheets>
  <calcPr calcId="125725"/>
</workbook>
</file>

<file path=xl/calcChain.xml><?xml version="1.0" encoding="utf-8"?>
<calcChain xmlns="http://schemas.openxmlformats.org/spreadsheetml/2006/main">
  <c r="K35" i="9"/>
  <c r="J35"/>
  <c r="I35"/>
  <c r="H35"/>
  <c r="G35"/>
  <c r="F35"/>
  <c r="E35"/>
  <c r="D35"/>
  <c r="C35"/>
  <c r="B35"/>
  <c r="K24"/>
  <c r="J24"/>
  <c r="I24"/>
  <c r="H24"/>
  <c r="G24"/>
  <c r="F24"/>
  <c r="E24"/>
  <c r="D24"/>
  <c r="C24"/>
  <c r="B24"/>
  <c r="K23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34"/>
  <c r="J34"/>
  <c r="I34"/>
  <c r="H34"/>
  <c r="G34"/>
  <c r="F34"/>
  <c r="E34"/>
  <c r="D34"/>
  <c r="C34"/>
  <c r="B34"/>
  <c r="K20"/>
  <c r="J20"/>
  <c r="I20"/>
  <c r="H20"/>
  <c r="G20"/>
  <c r="F20"/>
  <c r="E20"/>
  <c r="D20"/>
  <c r="C20"/>
  <c r="B20"/>
  <c r="K33"/>
  <c r="J33"/>
  <c r="I33"/>
  <c r="H33"/>
  <c r="G33"/>
  <c r="F33"/>
  <c r="E33"/>
  <c r="D33"/>
  <c r="C33"/>
  <c r="B33"/>
  <c r="K19"/>
  <c r="J19"/>
  <c r="I19"/>
  <c r="H19"/>
  <c r="G19"/>
  <c r="F19"/>
  <c r="E19"/>
  <c r="D19"/>
  <c r="C19"/>
  <c r="B19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8"/>
  <c r="J18"/>
  <c r="I18"/>
  <c r="H18"/>
  <c r="G18"/>
  <c r="F18"/>
  <c r="E18"/>
  <c r="D18"/>
  <c r="C18"/>
  <c r="B18"/>
  <c r="K32"/>
  <c r="J32"/>
  <c r="I32"/>
  <c r="H32"/>
  <c r="G32"/>
  <c r="F32"/>
  <c r="E32"/>
  <c r="D32"/>
  <c r="C32"/>
  <c r="B32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31"/>
  <c r="J31"/>
  <c r="I31"/>
  <c r="H31"/>
  <c r="G31"/>
  <c r="F31"/>
  <c r="E31"/>
  <c r="D31"/>
  <c r="C31"/>
  <c r="B31"/>
  <c r="K10"/>
  <c r="J10"/>
  <c r="I10"/>
  <c r="H10"/>
  <c r="G10"/>
  <c r="F10"/>
  <c r="E10"/>
  <c r="D10"/>
  <c r="C10"/>
  <c r="B10"/>
  <c r="K30"/>
  <c r="J30"/>
  <c r="I30"/>
  <c r="H30"/>
  <c r="G30"/>
  <c r="F30"/>
  <c r="E30"/>
  <c r="D30"/>
  <c r="C30"/>
  <c r="B30"/>
  <c r="K9"/>
  <c r="J9"/>
  <c r="I9"/>
  <c r="H9"/>
  <c r="G9"/>
  <c r="F9"/>
  <c r="E9"/>
  <c r="D9"/>
  <c r="C9"/>
  <c r="B9"/>
  <c r="K29"/>
  <c r="J29"/>
  <c r="I29"/>
  <c r="H29"/>
  <c r="G29"/>
  <c r="F29"/>
  <c r="E29"/>
  <c r="D29"/>
  <c r="C29"/>
  <c r="B2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B6" i="8"/>
  <c r="C6"/>
  <c r="D6"/>
  <c r="E6"/>
  <c r="F6"/>
  <c r="G6"/>
  <c r="H6"/>
  <c r="I6"/>
  <c r="J6"/>
  <c r="K6"/>
  <c r="B7"/>
  <c r="C7"/>
  <c r="D7"/>
  <c r="E7"/>
  <c r="F7"/>
  <c r="G7"/>
  <c r="H7"/>
  <c r="I7"/>
  <c r="J7"/>
  <c r="K7"/>
  <c r="B18"/>
  <c r="C18"/>
  <c r="D18"/>
  <c r="E18"/>
  <c r="F18"/>
  <c r="G18"/>
  <c r="H18"/>
  <c r="I18"/>
  <c r="J18"/>
  <c r="K18"/>
  <c r="B30"/>
  <c r="C30"/>
  <c r="D30"/>
  <c r="E30"/>
  <c r="F30"/>
  <c r="G30"/>
  <c r="H30"/>
  <c r="I30"/>
  <c r="J30"/>
  <c r="K30"/>
  <c r="B8"/>
  <c r="C8"/>
  <c r="D8"/>
  <c r="E8"/>
  <c r="F8"/>
  <c r="G8"/>
  <c r="H8"/>
  <c r="I8"/>
  <c r="J8"/>
  <c r="K8"/>
  <c r="B9"/>
  <c r="C9"/>
  <c r="D9"/>
  <c r="E9"/>
  <c r="F9"/>
  <c r="G9"/>
  <c r="H9"/>
  <c r="I9"/>
  <c r="J9"/>
  <c r="K9"/>
  <c r="B20"/>
  <c r="C20"/>
  <c r="D20"/>
  <c r="E20"/>
  <c r="F20"/>
  <c r="G20"/>
  <c r="H20"/>
  <c r="I20"/>
  <c r="J20"/>
  <c r="K20"/>
  <c r="B10"/>
  <c r="C10"/>
  <c r="D10"/>
  <c r="E10"/>
  <c r="F10"/>
  <c r="G10"/>
  <c r="H10"/>
  <c r="I10"/>
  <c r="J10"/>
  <c r="K1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11"/>
  <c r="C11"/>
  <c r="D11"/>
  <c r="E11"/>
  <c r="F11"/>
  <c r="G11"/>
  <c r="H11"/>
  <c r="I11"/>
  <c r="J11"/>
  <c r="K11"/>
  <c r="B33"/>
  <c r="C33"/>
  <c r="D33"/>
  <c r="E33"/>
  <c r="F33"/>
  <c r="G33"/>
  <c r="H33"/>
  <c r="I33"/>
  <c r="J33"/>
  <c r="K33"/>
  <c r="B12"/>
  <c r="C12"/>
  <c r="D12"/>
  <c r="E12"/>
  <c r="F12"/>
  <c r="G12"/>
  <c r="H12"/>
  <c r="I12"/>
  <c r="J12"/>
  <c r="K12"/>
  <c r="B13"/>
  <c r="C13"/>
  <c r="D13"/>
  <c r="E13"/>
  <c r="F13"/>
  <c r="G13"/>
  <c r="H13"/>
  <c r="I13"/>
  <c r="J13"/>
  <c r="K13"/>
  <c r="B14"/>
  <c r="C14"/>
  <c r="D14"/>
  <c r="E14"/>
  <c r="F14"/>
  <c r="G14"/>
  <c r="H14"/>
  <c r="I14"/>
  <c r="J14"/>
  <c r="K14"/>
  <c r="B15"/>
  <c r="C15"/>
  <c r="D15"/>
  <c r="E15"/>
  <c r="F15"/>
  <c r="G15"/>
  <c r="H15"/>
  <c r="I15"/>
  <c r="J15"/>
  <c r="K15"/>
  <c r="B34"/>
  <c r="C34"/>
  <c r="D34"/>
  <c r="E34"/>
  <c r="F34"/>
  <c r="G34"/>
  <c r="H34"/>
  <c r="I34"/>
  <c r="J34"/>
  <c r="K34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9"/>
  <c r="C19"/>
  <c r="D19"/>
  <c r="E19"/>
  <c r="F19"/>
  <c r="G19"/>
  <c r="H19"/>
  <c r="I19"/>
  <c r="J19"/>
  <c r="K19"/>
  <c r="B35"/>
  <c r="C35"/>
  <c r="D35"/>
  <c r="E35"/>
  <c r="F35"/>
  <c r="G35"/>
  <c r="H35"/>
  <c r="I35"/>
  <c r="J35"/>
  <c r="K35"/>
  <c r="B21"/>
  <c r="C21"/>
  <c r="D21"/>
  <c r="E21"/>
  <c r="F21"/>
  <c r="G21"/>
  <c r="H21"/>
  <c r="I21"/>
  <c r="J21"/>
  <c r="K21"/>
  <c r="B36"/>
  <c r="C36"/>
  <c r="D36"/>
  <c r="E36"/>
  <c r="F36"/>
  <c r="G36"/>
  <c r="H36"/>
  <c r="I36"/>
  <c r="J36"/>
  <c r="K36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37"/>
  <c r="C37"/>
  <c r="D37"/>
  <c r="E37"/>
  <c r="F37"/>
  <c r="G37"/>
  <c r="H37"/>
  <c r="I37"/>
  <c r="J37"/>
  <c r="K37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<sst xmlns="http://schemas.openxmlformats.org/spreadsheetml/2006/main" count="702" uniqueCount="313">
  <si>
    <t>Contract Numbers</t>
  </si>
  <si>
    <t>Vendor Name</t>
  </si>
  <si>
    <t>Vendor Address</t>
  </si>
  <si>
    <t>City</t>
  </si>
  <si>
    <t>State</t>
  </si>
  <si>
    <t>Zip Code</t>
  </si>
  <si>
    <t xml:space="preserve">Vendor Contact Name </t>
  </si>
  <si>
    <t>Email Address</t>
  </si>
  <si>
    <t>Website</t>
  </si>
  <si>
    <t>Phone</t>
  </si>
  <si>
    <t>Fax</t>
  </si>
  <si>
    <t>FA1</t>
  </si>
  <si>
    <t>FA2</t>
  </si>
  <si>
    <t>GS-06F-0508Z</t>
  </si>
  <si>
    <t>Advanced Systems, Inc.</t>
  </si>
  <si>
    <t>(703) 218-3644</t>
  </si>
  <si>
    <t>x</t>
  </si>
  <si>
    <t>GS-06F-0524Z</t>
  </si>
  <si>
    <t>American Veterans, LLC</t>
  </si>
  <si>
    <t>2 Brittany Lane</t>
  </si>
  <si>
    <t>Stafford</t>
  </si>
  <si>
    <t>VA</t>
  </si>
  <si>
    <t>GS-06F-0509Z</t>
  </si>
  <si>
    <t>C Watkins &amp; Associates, INC</t>
  </si>
  <si>
    <t>23 Griswold CT</t>
  </si>
  <si>
    <t>Sterling</t>
  </si>
  <si>
    <t>(703) 444-1625</t>
  </si>
  <si>
    <t>(703) 236-5046</t>
  </si>
  <si>
    <t>GS-06F-0510Z</t>
  </si>
  <si>
    <t>GS-06F-0539Z</t>
  </si>
  <si>
    <t>GS-06F-0511Z</t>
  </si>
  <si>
    <t>Catapult Technology, LTD</t>
  </si>
  <si>
    <t>7500 Old Georgetown Road, 11th Floor</t>
  </si>
  <si>
    <t>20814-6198</t>
  </si>
  <si>
    <t>GS-06F-0541Z</t>
  </si>
  <si>
    <t>Centuria Corporation</t>
  </si>
  <si>
    <t>GS-06F-0512Z</t>
  </si>
  <si>
    <t>3906 Raynor Parkway, STE 201</t>
  </si>
  <si>
    <t>Bellevue</t>
  </si>
  <si>
    <t>NE</t>
  </si>
  <si>
    <t>(402) 393-1825</t>
  </si>
  <si>
    <t>GS-06F-0517Z</t>
  </si>
  <si>
    <t>Vienna</t>
  </si>
  <si>
    <t>GS-06F-0525Z</t>
  </si>
  <si>
    <t>Council for Logistics Research, Inc.</t>
  </si>
  <si>
    <t>(703) 412-1563</t>
  </si>
  <si>
    <t>(703) 412-1564</t>
  </si>
  <si>
    <t xml:space="preserve"> </t>
  </si>
  <si>
    <t>GS-06F-0513Z</t>
  </si>
  <si>
    <t>DV United, LLC</t>
  </si>
  <si>
    <t>www.dvunited.com</t>
  </si>
  <si>
    <t>GS-06F-0514Z</t>
  </si>
  <si>
    <t>Engineering Services Network, Inc.</t>
  </si>
  <si>
    <t>2450 Crystal Drive,  Suite 1015</t>
  </si>
  <si>
    <t xml:space="preserve">VA </t>
  </si>
  <si>
    <t>(703) 412-3643</t>
  </si>
  <si>
    <t>MD</t>
  </si>
  <si>
    <t>GS-06F-0518Z</t>
  </si>
  <si>
    <t xml:space="preserve">HMS Technologies, INC </t>
  </si>
  <si>
    <t>Martinsburg</t>
  </si>
  <si>
    <t>WV</t>
  </si>
  <si>
    <t>www.hmstech.com</t>
  </si>
  <si>
    <t xml:space="preserve">(304) 596-5583 </t>
  </si>
  <si>
    <t>GS-06F-0527Z</t>
  </si>
  <si>
    <t>Ian, Evan &amp; Alexander Corporation</t>
  </si>
  <si>
    <t>CO</t>
  </si>
  <si>
    <t>GS-06F-0519Z</t>
  </si>
  <si>
    <t>7400 Fullerton Road, STE 210</t>
  </si>
  <si>
    <t>Springfield</t>
  </si>
  <si>
    <t>www.iiinfo.com</t>
  </si>
  <si>
    <t>GS-06F-0529Z</t>
  </si>
  <si>
    <t>Innovative Management Concepts</t>
  </si>
  <si>
    <t>21400 Ridgetop Circle,  Suite 210</t>
  </si>
  <si>
    <t>(703) 318-8740</t>
  </si>
  <si>
    <t>GS-06F-0531Z</t>
  </si>
  <si>
    <t>INTECON, LLC</t>
  </si>
  <si>
    <t>www.inteconusa.com</t>
  </si>
  <si>
    <t>GS-06F-0534Z</t>
  </si>
  <si>
    <t>Kingfisher Systems, Inc.</t>
  </si>
  <si>
    <t>Arlington</t>
  </si>
  <si>
    <t>www.kingfishersys.com</t>
  </si>
  <si>
    <t xml:space="preserve">(703) 820-7970 </t>
  </si>
  <si>
    <t>(703) 820-7976</t>
  </si>
  <si>
    <t>GS-06F-0538Z</t>
  </si>
  <si>
    <t>KT Consulting</t>
  </si>
  <si>
    <t>Kevin Terrell</t>
  </si>
  <si>
    <t>Fairfax</t>
  </si>
  <si>
    <t>GS-06F-0543Z</t>
  </si>
  <si>
    <t>Metters Industries, INC</t>
  </si>
  <si>
    <t>8200 Greensboro Drive, STE 500</t>
  </si>
  <si>
    <t>22102</t>
  </si>
  <si>
    <t>(703) 821-3996</t>
  </si>
  <si>
    <t>GS-06F-0544Z</t>
  </si>
  <si>
    <t>Milvets System Technology, Inc.</t>
  </si>
  <si>
    <t>www.milvets.com</t>
  </si>
  <si>
    <t>(301) 731-4773</t>
  </si>
  <si>
    <t>GS-06F-0545Z</t>
  </si>
  <si>
    <t>GS-06F-0546Z</t>
  </si>
  <si>
    <t>Penobscot Bay Media LLC</t>
  </si>
  <si>
    <t>GS-06F-0547Z</t>
  </si>
  <si>
    <t>Professional Solutions, LLC</t>
  </si>
  <si>
    <t>GS-06F-0549Z</t>
  </si>
  <si>
    <t>Standard Communications, INC</t>
  </si>
  <si>
    <t>5402 Leeds Manor Road, Fauquier County</t>
  </si>
  <si>
    <t>Hume</t>
  </si>
  <si>
    <t>John P. Moliere</t>
  </si>
  <si>
    <t xml:space="preserve">(540) 364-3688   </t>
  </si>
  <si>
    <t>(703) 4261956</t>
  </si>
  <si>
    <t>GS-06F-0548Z</t>
  </si>
  <si>
    <t xml:space="preserve">Systems Made Simple, INC  </t>
  </si>
  <si>
    <t>One Northern Concourse</t>
  </si>
  <si>
    <t>Syracuse</t>
  </si>
  <si>
    <t>NY</t>
  </si>
  <si>
    <t>(315) 455-3120</t>
  </si>
  <si>
    <t>GS-06F-0528Z</t>
  </si>
  <si>
    <t>Veteran Corps of America</t>
  </si>
  <si>
    <t>John R. Wheeler</t>
  </si>
  <si>
    <t>GS-06F-0530Z</t>
  </si>
  <si>
    <t>Veteran Engineering &amp; Technology, LLC</t>
  </si>
  <si>
    <t>Colorado Springs</t>
  </si>
  <si>
    <t>GS-06F-0532Z</t>
  </si>
  <si>
    <t>Veterans Enterprise Technology Solutions, INC</t>
  </si>
  <si>
    <t>2057 Woodford Road, STE 200</t>
  </si>
  <si>
    <t>James H. Moody</t>
  </si>
  <si>
    <t>(866) 320-0911</t>
  </si>
  <si>
    <t>GS-06F-0533Z</t>
  </si>
  <si>
    <t>Vetsamerica Business Consulting, INC</t>
  </si>
  <si>
    <t>John Collins</t>
  </si>
  <si>
    <t>johncollins@vetsamerica.us</t>
  </si>
  <si>
    <t>GS-06F-0535Z</t>
  </si>
  <si>
    <t>Vision Technologies, Inc</t>
  </si>
  <si>
    <t>530 J McCormick Drive</t>
  </si>
  <si>
    <t>Glen Burnie</t>
  </si>
  <si>
    <t>(703) 823-2698</t>
  </si>
  <si>
    <t>(304) 596-5589</t>
  </si>
  <si>
    <t>(703) 435-9974</t>
  </si>
  <si>
    <t>Small Business</t>
  </si>
  <si>
    <t>Information Innovators, Inc</t>
  </si>
  <si>
    <t>www.catapulttechnology.com</t>
  </si>
  <si>
    <t>www.csss.net</t>
  </si>
  <si>
    <t>www.clrexec.com</t>
  </si>
  <si>
    <t>www.esncc.com</t>
  </si>
  <si>
    <t>www.iea-corp.com</t>
  </si>
  <si>
    <t>www.imcva.com</t>
  </si>
  <si>
    <t>www.metters.com</t>
  </si>
  <si>
    <t>www.penbaymedia.com</t>
  </si>
  <si>
    <t>www.stdcomm.com</t>
  </si>
  <si>
    <t>www.veterancorps.com</t>
  </si>
  <si>
    <t>www.vets-inc.com</t>
  </si>
  <si>
    <t>www.vetsamerica.us</t>
  </si>
  <si>
    <t xml:space="preserve">www.cwatkinsinc.com  www.cwivetsteam.com </t>
  </si>
  <si>
    <t>Robert A. Walker</t>
  </si>
  <si>
    <t>Ron Fishbeck</t>
  </si>
  <si>
    <t>All Contract Holders - All Functional Areas</t>
  </si>
  <si>
    <t>Functional Area 2 - Information Systems Engineering - Including Security</t>
  </si>
  <si>
    <t>Functional Area 1 - Systems Operations &amp; Maintenance Including Security</t>
  </si>
  <si>
    <t>McLean</t>
  </si>
  <si>
    <t>vetsgwac@penbaymedia.com</t>
  </si>
  <si>
    <t>Michael Sandberg</t>
  </si>
  <si>
    <t>vetsgwac@visiontech.biz</t>
  </si>
  <si>
    <t>gsavets@catapulttechnology.com</t>
  </si>
  <si>
    <t>www.vets-gsa.com</t>
  </si>
  <si>
    <t>Bob Daniels, Robin Nickerson</t>
  </si>
  <si>
    <t>vetsgwac@milvets.com</t>
  </si>
  <si>
    <t>(301) 731-9130 ext.35</t>
  </si>
  <si>
    <t>www.ktc-vets.com</t>
  </si>
  <si>
    <t>www.advsystems.com</t>
  </si>
  <si>
    <t>VETSGWAC@kingfishersys.com</t>
  </si>
  <si>
    <t>vets@iiinfo.com</t>
  </si>
  <si>
    <t>www.prosol1.com</t>
  </si>
  <si>
    <t>GS-06F-0551Z</t>
  </si>
  <si>
    <t>Dulles</t>
  </si>
  <si>
    <t>Alexandria</t>
  </si>
  <si>
    <t>Bethesda</t>
  </si>
  <si>
    <t>ME</t>
  </si>
  <si>
    <t>(703) 440-1332</t>
  </si>
  <si>
    <t>(703) 218-3360 x206</t>
  </si>
  <si>
    <t>(703) 318-8044 x209</t>
  </si>
  <si>
    <t>(703) 823-2696 x101</t>
  </si>
  <si>
    <t>(315) 455-3200 x26  (800) 893-9883 x26</t>
  </si>
  <si>
    <t>(410) 424-2183 x243 (703) 598-7990</t>
  </si>
  <si>
    <t>(540) 658-1359</t>
  </si>
  <si>
    <t>(410) 424-2208</t>
  </si>
  <si>
    <t>gsavets@veterancorps.com</t>
  </si>
  <si>
    <t>Mark Harrington</t>
  </si>
  <si>
    <t>(843) 238-2517</t>
  </si>
  <si>
    <t>(843) 238-8426</t>
  </si>
  <si>
    <t>(703) 691-8385</t>
  </si>
  <si>
    <t>(703) 691-8387</t>
  </si>
  <si>
    <t>(719) 597-2275</t>
  </si>
  <si>
    <t>C2 Solutions Group, Inc.</t>
  </si>
  <si>
    <t>Brian Newell</t>
  </si>
  <si>
    <t>vets@c2sginc.com</t>
  </si>
  <si>
    <t>One Discovery Place</t>
  </si>
  <si>
    <t>Roy Jones, Harry Siegel</t>
  </si>
  <si>
    <t>www.americanveteransllc.com</t>
  </si>
  <si>
    <t>(540) 658-1311</t>
  </si>
  <si>
    <t>www.c2sginc.com</t>
  </si>
  <si>
    <t>Carl A. Watkins, Danny Watkins</t>
  </si>
  <si>
    <t>22031</t>
  </si>
  <si>
    <t>Orlando</t>
  </si>
  <si>
    <t>FL</t>
  </si>
  <si>
    <t>Robert J. Might, Ph.D., Mike Metz</t>
  </si>
  <si>
    <t>Ms. Ari Abraham</t>
  </si>
  <si>
    <t>carl@cwivetsteam.com, danny@cwivetsteam.com</t>
  </si>
  <si>
    <t>roy.jones@hmstech.com, HSiegel@hmstech.com</t>
  </si>
  <si>
    <t>rmight@imcva.com, mmetz@imcva.com</t>
  </si>
  <si>
    <t>ron.fishbeck@systemsmadesimple.com, vetsgwac@teamsms.net</t>
  </si>
  <si>
    <t>(402) 502-4158</t>
  </si>
  <si>
    <t>Michelle "Shelly" Smith</t>
  </si>
  <si>
    <t>esncontracts@esncc.com</t>
  </si>
  <si>
    <t>(703) 412-3640</t>
  </si>
  <si>
    <t>(703) 665-4256</t>
  </si>
  <si>
    <t>(434) 374-5899</t>
  </si>
  <si>
    <t>Maureen Soldano</t>
  </si>
  <si>
    <t>John E. Cochran</t>
  </si>
  <si>
    <t>7343 Waverly Drive</t>
  </si>
  <si>
    <t>Warrenton</t>
  </si>
  <si>
    <t>(540) 349-1939</t>
  </si>
  <si>
    <t>(540) 347-2295</t>
  </si>
  <si>
    <t>8300 Greensboro Drive, Suite 800</t>
  </si>
  <si>
    <t>VETS@centuria.com</t>
  </si>
  <si>
    <t>(703) 935-1063</t>
  </si>
  <si>
    <t>Craig Newmaker, Norm Andersson</t>
  </si>
  <si>
    <t>VETsGWAC@prosol1.com, AAbraham@prosol1.com</t>
  </si>
  <si>
    <t>3110 Fairview Park Drive,  Ste 1250</t>
  </si>
  <si>
    <t>Falls Church</t>
  </si>
  <si>
    <t>Vic Blanco</t>
  </si>
  <si>
    <t>Reston</t>
  </si>
  <si>
    <t>jcochran@iea-corp.com, jwynn@iea-corp.com</t>
  </si>
  <si>
    <t>(888) 338-1391</t>
  </si>
  <si>
    <t>(719) 623-3600</t>
  </si>
  <si>
    <t>(877) 870-9002</t>
  </si>
  <si>
    <t>Ashburn</t>
  </si>
  <si>
    <t>(703) 821-3300 ext 709</t>
  </si>
  <si>
    <t>AZ</t>
  </si>
  <si>
    <t>Steve Johns</t>
  </si>
  <si>
    <t>60 South Washington St.</t>
  </si>
  <si>
    <t>Greencastle</t>
  </si>
  <si>
    <t>PA</t>
  </si>
  <si>
    <t>58 Dodge Mountain Rd</t>
  </si>
  <si>
    <t>Rockland</t>
  </si>
  <si>
    <t>04841</t>
  </si>
  <si>
    <t>(207) 596-6130</t>
  </si>
  <si>
    <t>Ann S. Yahner</t>
  </si>
  <si>
    <t>(717) 458-8786</t>
  </si>
  <si>
    <t>(717) 458-8947</t>
  </si>
  <si>
    <t>OBXtek, Inc.</t>
  </si>
  <si>
    <t>(866) 633-9157</t>
  </si>
  <si>
    <t>www.obxtek.com</t>
  </si>
  <si>
    <t>Pro-Sphere Tek, Inc.</t>
  </si>
  <si>
    <t>www.pro-spheretek.com</t>
  </si>
  <si>
    <t>Jane Green</t>
  </si>
  <si>
    <t>(240) 482-2136</t>
  </si>
  <si>
    <t>vets@obxtek.com</t>
  </si>
  <si>
    <t>Note: VETS GWAC  Industry Partners were required to re-represent their size status prior to the February 2012 option period and are required to re-represent in accordance with FAR 52.219-28.  Size is represented in column N.  Only those Industry Partners shown as small may be awarded task orders after February 1, 2012.</t>
  </si>
  <si>
    <t>(571) 210-2390</t>
  </si>
  <si>
    <t>(703) 853-7927</t>
  </si>
  <si>
    <t>Sonya Ford</t>
  </si>
  <si>
    <t>1881 Campus Commons Drive, Suite 301</t>
  </si>
  <si>
    <t>thomas.dalton@tdginc.com, edgar.lewin@alyngroup.com</t>
  </si>
  <si>
    <t>Thomas Dalton, Edgar Lewin</t>
  </si>
  <si>
    <t>jmoody@vets-inc.com, HEdwards@vets-inc.com</t>
  </si>
  <si>
    <t>john.moliere@stdcomm.com, bob.waizenegger@stdcomm.com</t>
  </si>
  <si>
    <t>vets@clrexec.com, msoldano@clrexec.com</t>
  </si>
  <si>
    <t>8280 Willow Oaks Corporate Drive, Suite LL113</t>
  </si>
  <si>
    <t>MI-GSA-VETSGWAC@metters.com, Bob.Lefebvre@metters.com</t>
  </si>
  <si>
    <t>engineering@vetengineering.com</t>
  </si>
  <si>
    <t>www.vetengineering.com</t>
  </si>
  <si>
    <t>Advanced Facility Management Services, Inc.</t>
  </si>
  <si>
    <t>John Benjamin, Alan Omo</t>
  </si>
  <si>
    <t>http://www.afmsvetsgwac.com</t>
  </si>
  <si>
    <t>afmsvetsgwac@afmsinc.com</t>
  </si>
  <si>
    <t>vetsgwac@inteconusa.com</t>
  </si>
  <si>
    <t>8300 Boone Blvd, Suite 800</t>
  </si>
  <si>
    <t>www.centuria.com</t>
  </si>
  <si>
    <t>https://www.teamsms.net/GWAC</t>
  </si>
  <si>
    <t>Ed Jesson, Jasmine Feeney</t>
  </si>
  <si>
    <t>(703) 373-3736  (571) 395-4542</t>
  </si>
  <si>
    <t>(571) 313-4026</t>
  </si>
  <si>
    <t>VETSGWAC@constellationwest.com</t>
  </si>
  <si>
    <t>5500 Cherokee Avenue, Suite 400</t>
  </si>
  <si>
    <t>22312</t>
  </si>
  <si>
    <t>Client Server Software Solutions dba Constellation West</t>
  </si>
  <si>
    <t>vetsgwac@sbgts.com, vblanco@sbgts.com</t>
  </si>
  <si>
    <t>Kevin McCracken</t>
  </si>
  <si>
    <t>5475 Mark Dabling Blvd,  Suite 300</t>
  </si>
  <si>
    <t>Small Business Prime Contractors</t>
  </si>
  <si>
    <t>Large Strategic Partner Contractors</t>
  </si>
  <si>
    <t>Tom Kenny</t>
  </si>
  <si>
    <t>rblevins@pro-spheretek.com, TKenny@pro-spheretek.com</t>
  </si>
  <si>
    <t>1851 Alexander Bell Drive, Suite 440</t>
  </si>
  <si>
    <t>415 North Lee Street</t>
  </si>
  <si>
    <t>(571) 227-9700</t>
  </si>
  <si>
    <t>(571) 227-9701</t>
  </si>
  <si>
    <t>1325 Aeroplaza Drive, Ste 105</t>
  </si>
  <si>
    <t>80916</t>
  </si>
  <si>
    <t>(719) 597-7120</t>
  </si>
  <si>
    <t>20098 Ashbrook Place, Suite 260</t>
  </si>
  <si>
    <t>(703) 682-4575</t>
  </si>
  <si>
    <t>11825 High Tech Ave., Suite 150</t>
  </si>
  <si>
    <t>32817</t>
  </si>
  <si>
    <t>kterrell@ktc-ops.com</t>
  </si>
  <si>
    <t>2327 South Hardy Drive</t>
  </si>
  <si>
    <t>Tempe</t>
  </si>
  <si>
    <t>(480) 538-2668</t>
  </si>
  <si>
    <t>(480) 538-2686</t>
  </si>
  <si>
    <t>Will Dolan, Bob LeFebvre</t>
  </si>
  <si>
    <t>1550 Crystal Drive, Suite 500</t>
  </si>
  <si>
    <t>rwalker@AdvSystems.com, ASI@AdvSystems.com</t>
  </si>
  <si>
    <t>Marjan Hekmat, Kevin Burke</t>
  </si>
  <si>
    <t>Last Updated November-05-2014</t>
  </si>
  <si>
    <t>10300 Eaton Place, Suite 340</t>
  </si>
</sst>
</file>

<file path=xl/styles.xml><?xml version="1.0" encoding="utf-8"?>
<styleSheet xmlns="http://schemas.openxmlformats.org/spreadsheetml/2006/main">
  <numFmts count="1">
    <numFmt numFmtId="164" formatCode="00000"/>
  </numFmts>
  <fonts count="1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2" applyFont="1" applyBorder="1" applyAlignment="1" applyProtection="1"/>
    <xf numFmtId="0" fontId="0" fillId="0" borderId="1" xfId="0" applyBorder="1" applyAlignment="1">
      <alignment horizontal="center"/>
    </xf>
    <xf numFmtId="0" fontId="2" fillId="0" borderId="1" xfId="2" applyBorder="1" applyAlignment="1" applyProtection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/>
    <xf numFmtId="0" fontId="2" fillId="2" borderId="1" xfId="2" applyFill="1" applyBorder="1" applyAlignment="1" applyProtection="1">
      <alignment horizontal="left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/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2" fillId="0" borderId="1" xfId="2" applyFill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1" xfId="0" applyFont="1" applyBorder="1"/>
    <xf numFmtId="0" fontId="6" fillId="4" borderId="0" xfId="0" applyFont="1" applyFill="1" applyAlignment="1"/>
    <xf numFmtId="0" fontId="0" fillId="4" borderId="0" xfId="0" applyFill="1" applyAlignment="1"/>
    <xf numFmtId="0" fontId="10" fillId="4" borderId="0" xfId="0" applyFont="1" applyFill="1" applyAlignment="1"/>
    <xf numFmtId="0" fontId="9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2" fillId="0" borderId="1" xfId="0" applyFont="1" applyBorder="1"/>
    <xf numFmtId="0" fontId="13" fillId="0" borderId="0" xfId="0" applyFont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0" xfId="0" applyFill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1" fillId="0" borderId="1" xfId="0" applyFont="1" applyFill="1" applyBorder="1"/>
    <xf numFmtId="0" fontId="11" fillId="5" borderId="2" xfId="1" applyBorder="1" applyAlignment="1">
      <alignment horizontal="left" vertical="top" wrapText="1"/>
    </xf>
    <xf numFmtId="0" fontId="11" fillId="5" borderId="3" xfId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6" fillId="4" borderId="0" xfId="0" applyFont="1" applyFill="1" applyAlignment="1"/>
    <xf numFmtId="0" fontId="7" fillId="4" borderId="0" xfId="0" applyFont="1" applyFill="1" applyAlignment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watkinsinc.com/" TargetMode="External"/><Relationship Id="rId18" Type="http://schemas.openxmlformats.org/officeDocument/2006/relationships/hyperlink" Target="http://www.clrexec.com/" TargetMode="External"/><Relationship Id="rId26" Type="http://schemas.openxmlformats.org/officeDocument/2006/relationships/hyperlink" Target="http://www.kingfishersys.com/" TargetMode="External"/><Relationship Id="rId39" Type="http://schemas.openxmlformats.org/officeDocument/2006/relationships/hyperlink" Target="mailto:vets@iiinfo.com" TargetMode="External"/><Relationship Id="rId21" Type="http://schemas.openxmlformats.org/officeDocument/2006/relationships/hyperlink" Target="http://www.hmstech.com/" TargetMode="External"/><Relationship Id="rId34" Type="http://schemas.openxmlformats.org/officeDocument/2006/relationships/hyperlink" Target="http://www.vets-inc.com/" TargetMode="External"/><Relationship Id="rId42" Type="http://schemas.openxmlformats.org/officeDocument/2006/relationships/hyperlink" Target="mailto:vets@c2sginc.com" TargetMode="External"/><Relationship Id="rId47" Type="http://schemas.openxmlformats.org/officeDocument/2006/relationships/hyperlink" Target="mailto:vets@obxtek.com" TargetMode="External"/><Relationship Id="rId50" Type="http://schemas.openxmlformats.org/officeDocument/2006/relationships/hyperlink" Target="mailto:kterrell@ktc-ops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ETSGWAC@kingfishersys.com" TargetMode="External"/><Relationship Id="rId12" Type="http://schemas.openxmlformats.org/officeDocument/2006/relationships/hyperlink" Target="http://www.advsystems.com/" TargetMode="External"/><Relationship Id="rId17" Type="http://schemas.openxmlformats.org/officeDocument/2006/relationships/hyperlink" Target="http://www.pro-spheretek.com/" TargetMode="External"/><Relationship Id="rId25" Type="http://schemas.openxmlformats.org/officeDocument/2006/relationships/hyperlink" Target="http://www.inteconusa.com/" TargetMode="External"/><Relationship Id="rId33" Type="http://schemas.openxmlformats.org/officeDocument/2006/relationships/hyperlink" Target="https://www.teamsms.net/GWAC" TargetMode="External"/><Relationship Id="rId38" Type="http://schemas.openxmlformats.org/officeDocument/2006/relationships/hyperlink" Target="http://www.ktc-vets.com/" TargetMode="External"/><Relationship Id="rId46" Type="http://schemas.openxmlformats.org/officeDocument/2006/relationships/hyperlink" Target="mailto:vetsgwac@inteconusa.com" TargetMode="External"/><Relationship Id="rId2" Type="http://schemas.openxmlformats.org/officeDocument/2006/relationships/hyperlink" Target="mailto:vetsgwac@sbgts.com" TargetMode="External"/><Relationship Id="rId16" Type="http://schemas.openxmlformats.org/officeDocument/2006/relationships/hyperlink" Target="http://www.csss.net/" TargetMode="External"/><Relationship Id="rId20" Type="http://schemas.openxmlformats.org/officeDocument/2006/relationships/hyperlink" Target="http://www.esncc.com/" TargetMode="External"/><Relationship Id="rId29" Type="http://schemas.openxmlformats.org/officeDocument/2006/relationships/hyperlink" Target="http://www.afmsvetsgwac.com/" TargetMode="External"/><Relationship Id="rId41" Type="http://schemas.openxmlformats.org/officeDocument/2006/relationships/hyperlink" Target="mailto:gsavets@veterancorps.com" TargetMode="External"/><Relationship Id="rId54" Type="http://schemas.openxmlformats.org/officeDocument/2006/relationships/hyperlink" Target="mailto:rblevins@pro-spheretek.com," TargetMode="External"/><Relationship Id="rId1" Type="http://schemas.openxmlformats.org/officeDocument/2006/relationships/hyperlink" Target="mailto:rwalker@AdvSystems.com" TargetMode="External"/><Relationship Id="rId6" Type="http://schemas.openxmlformats.org/officeDocument/2006/relationships/hyperlink" Target="mailto:esncontracts@esncc.com" TargetMode="External"/><Relationship Id="rId11" Type="http://schemas.openxmlformats.org/officeDocument/2006/relationships/hyperlink" Target="mailto:johncollins@vetsamerica.us" TargetMode="External"/><Relationship Id="rId24" Type="http://schemas.openxmlformats.org/officeDocument/2006/relationships/hyperlink" Target="http://www.imcva.com/" TargetMode="External"/><Relationship Id="rId32" Type="http://schemas.openxmlformats.org/officeDocument/2006/relationships/hyperlink" Target="http://www.stdcomm.com/" TargetMode="External"/><Relationship Id="rId37" Type="http://schemas.openxmlformats.org/officeDocument/2006/relationships/hyperlink" Target="http://www.americanveteransllc.com/" TargetMode="External"/><Relationship Id="rId40" Type="http://schemas.openxmlformats.org/officeDocument/2006/relationships/hyperlink" Target="http://www.obxtek.com/" TargetMode="External"/><Relationship Id="rId45" Type="http://schemas.openxmlformats.org/officeDocument/2006/relationships/hyperlink" Target="mailto:VETS@centuria.com" TargetMode="External"/><Relationship Id="rId53" Type="http://schemas.openxmlformats.org/officeDocument/2006/relationships/hyperlink" Target="mailto:afmsvetsgwac@afmsinc.com" TargetMode="External"/><Relationship Id="rId5" Type="http://schemas.openxmlformats.org/officeDocument/2006/relationships/hyperlink" Target="mailto:vets@clrexec.com" TargetMode="External"/><Relationship Id="rId15" Type="http://schemas.openxmlformats.org/officeDocument/2006/relationships/hyperlink" Target="http://www.centuria.com/" TargetMode="External"/><Relationship Id="rId23" Type="http://schemas.openxmlformats.org/officeDocument/2006/relationships/hyperlink" Target="http://www.iiinfo.com/" TargetMode="External"/><Relationship Id="rId28" Type="http://schemas.openxmlformats.org/officeDocument/2006/relationships/hyperlink" Target="http://www.milvets.com/" TargetMode="External"/><Relationship Id="rId36" Type="http://schemas.openxmlformats.org/officeDocument/2006/relationships/hyperlink" Target="http://www.vets-gsa.com/" TargetMode="External"/><Relationship Id="rId49" Type="http://schemas.openxmlformats.org/officeDocument/2006/relationships/hyperlink" Target="mailto:vets@obxtek.com" TargetMode="External"/><Relationship Id="rId10" Type="http://schemas.openxmlformats.org/officeDocument/2006/relationships/hyperlink" Target="mailto:john.moliere@stdcomm.com" TargetMode="External"/><Relationship Id="rId19" Type="http://schemas.openxmlformats.org/officeDocument/2006/relationships/hyperlink" Target="http://www.dvunited.com/" TargetMode="External"/><Relationship Id="rId31" Type="http://schemas.openxmlformats.org/officeDocument/2006/relationships/hyperlink" Target="http://www.prosol1.com/" TargetMode="External"/><Relationship Id="rId44" Type="http://schemas.openxmlformats.org/officeDocument/2006/relationships/hyperlink" Target="mailto:MI-GSA-VETSGWAC@metters.com" TargetMode="External"/><Relationship Id="rId52" Type="http://schemas.openxmlformats.org/officeDocument/2006/relationships/hyperlink" Target="http://www.vetengineering.com/" TargetMode="External"/><Relationship Id="rId4" Type="http://schemas.openxmlformats.org/officeDocument/2006/relationships/hyperlink" Target="mailto:VETSGWAC@constellationwest.com" TargetMode="External"/><Relationship Id="rId9" Type="http://schemas.openxmlformats.org/officeDocument/2006/relationships/hyperlink" Target="mailto:vetsgwac@penbaymedia.com" TargetMode="External"/><Relationship Id="rId14" Type="http://schemas.openxmlformats.org/officeDocument/2006/relationships/hyperlink" Target="http://www.catapulttechnology.com/" TargetMode="External"/><Relationship Id="rId22" Type="http://schemas.openxmlformats.org/officeDocument/2006/relationships/hyperlink" Target="http://www.iea-corp.com/" TargetMode="External"/><Relationship Id="rId27" Type="http://schemas.openxmlformats.org/officeDocument/2006/relationships/hyperlink" Target="http://www.metters.com/" TargetMode="External"/><Relationship Id="rId30" Type="http://schemas.openxmlformats.org/officeDocument/2006/relationships/hyperlink" Target="http://www.penbaymedia.com/" TargetMode="External"/><Relationship Id="rId35" Type="http://schemas.openxmlformats.org/officeDocument/2006/relationships/hyperlink" Target="http://www.vetsamerica.us/" TargetMode="External"/><Relationship Id="rId43" Type="http://schemas.openxmlformats.org/officeDocument/2006/relationships/hyperlink" Target="http://www.c2sginc.com/" TargetMode="External"/><Relationship Id="rId48" Type="http://schemas.openxmlformats.org/officeDocument/2006/relationships/hyperlink" Target="http://www.obxtek.com/" TargetMode="External"/><Relationship Id="rId8" Type="http://schemas.openxmlformats.org/officeDocument/2006/relationships/hyperlink" Target="mailto:vetsgwac@milvets.com" TargetMode="External"/><Relationship Id="rId51" Type="http://schemas.openxmlformats.org/officeDocument/2006/relationships/hyperlink" Target="mailto:engineering@vetengineering.com" TargetMode="External"/><Relationship Id="rId3" Type="http://schemas.openxmlformats.org/officeDocument/2006/relationships/hyperlink" Target="mailto:gsavets@catapulttechnolog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N4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7.5703125" customWidth="1"/>
    <col min="3" max="3" width="42.5703125" style="16" customWidth="1"/>
    <col min="4" max="4" width="23" style="18" customWidth="1"/>
    <col min="5" max="5" width="6.28515625" style="18" customWidth="1"/>
    <col min="6" max="6" width="15.28515625" style="16" customWidth="1"/>
    <col min="7" max="7" width="35.5703125" style="16" customWidth="1"/>
    <col min="8" max="8" width="67.42578125" customWidth="1"/>
    <col min="9" max="9" width="43.5703125" customWidth="1"/>
    <col min="10" max="10" width="30.140625" customWidth="1"/>
    <col min="11" max="11" width="14.85546875" customWidth="1"/>
    <col min="14" max="14" width="9.140625" style="17"/>
  </cols>
  <sheetData>
    <row r="1" spans="1:14" s="37" customFormat="1" ht="54" customHeight="1">
      <c r="A1" s="36" t="s">
        <v>153</v>
      </c>
      <c r="G1" s="38" t="s">
        <v>311</v>
      </c>
    </row>
    <row r="2" spans="1:14" s="37" customFormat="1" ht="104.25" customHeight="1">
      <c r="A2" s="53" t="s">
        <v>255</v>
      </c>
      <c r="B2" s="54"/>
      <c r="G2" s="38"/>
    </row>
    <row r="3" spans="1:14" s="48" customFormat="1" ht="31.5" customHeight="1">
      <c r="A3" s="55" t="s">
        <v>287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">
        <v>14</v>
      </c>
      <c r="C5" s="4" t="s">
        <v>265</v>
      </c>
      <c r="D5" s="1" t="s">
        <v>86</v>
      </c>
      <c r="E5" s="1" t="s">
        <v>21</v>
      </c>
      <c r="F5" s="26" t="s">
        <v>199</v>
      </c>
      <c r="G5" s="4" t="s">
        <v>151</v>
      </c>
      <c r="H5" s="35" t="s">
        <v>309</v>
      </c>
      <c r="I5" s="7" t="s">
        <v>166</v>
      </c>
      <c r="J5" s="3" t="s">
        <v>176</v>
      </c>
      <c r="K5" s="3" t="s">
        <v>15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">
        <v>18</v>
      </c>
      <c r="C6" s="9" t="s">
        <v>19</v>
      </c>
      <c r="D6" s="2" t="s">
        <v>20</v>
      </c>
      <c r="E6" s="2" t="s">
        <v>21</v>
      </c>
      <c r="F6" s="9">
        <v>22554</v>
      </c>
      <c r="G6" s="9" t="s">
        <v>227</v>
      </c>
      <c r="H6" s="35" t="s">
        <v>284</v>
      </c>
      <c r="I6" s="12" t="s">
        <v>195</v>
      </c>
      <c r="J6" s="8" t="s">
        <v>196</v>
      </c>
      <c r="K6" s="8" t="s">
        <v>181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">
        <v>23</v>
      </c>
      <c r="C7" s="4" t="s">
        <v>24</v>
      </c>
      <c r="D7" s="1" t="s">
        <v>25</v>
      </c>
      <c r="E7" s="1" t="s">
        <v>21</v>
      </c>
      <c r="F7" s="27">
        <v>20165</v>
      </c>
      <c r="G7" s="4" t="s">
        <v>198</v>
      </c>
      <c r="H7" s="35" t="s">
        <v>204</v>
      </c>
      <c r="I7" s="5" t="s">
        <v>150</v>
      </c>
      <c r="J7" s="3" t="s">
        <v>26</v>
      </c>
      <c r="K7" s="3" t="s">
        <v>27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">
        <v>190</v>
      </c>
      <c r="C8" s="4" t="s">
        <v>259</v>
      </c>
      <c r="D8" s="1" t="s">
        <v>228</v>
      </c>
      <c r="E8" s="1" t="s">
        <v>21</v>
      </c>
      <c r="F8" s="4">
        <v>20191</v>
      </c>
      <c r="G8" s="4" t="s">
        <v>191</v>
      </c>
      <c r="H8" s="7" t="s">
        <v>192</v>
      </c>
      <c r="I8" s="7" t="s">
        <v>197</v>
      </c>
      <c r="J8" s="3" t="s">
        <v>256</v>
      </c>
      <c r="K8" s="3" t="s">
        <v>257</v>
      </c>
      <c r="L8" s="6" t="s">
        <v>16</v>
      </c>
      <c r="M8" s="6" t="s">
        <v>16</v>
      </c>
      <c r="N8" s="6" t="s">
        <v>16</v>
      </c>
    </row>
    <row r="9" spans="1:14">
      <c r="A9" s="2" t="s">
        <v>34</v>
      </c>
      <c r="B9" s="8" t="s">
        <v>35</v>
      </c>
      <c r="C9" s="4" t="s">
        <v>291</v>
      </c>
      <c r="D9" s="1" t="s">
        <v>228</v>
      </c>
      <c r="E9" s="1" t="s">
        <v>21</v>
      </c>
      <c r="F9" s="27">
        <v>20190</v>
      </c>
      <c r="G9" s="49" t="s">
        <v>310</v>
      </c>
      <c r="H9" s="7" t="s">
        <v>221</v>
      </c>
      <c r="I9" s="7" t="s">
        <v>275</v>
      </c>
      <c r="J9" s="19" t="s">
        <v>279</v>
      </c>
      <c r="K9" s="14" t="s">
        <v>135</v>
      </c>
      <c r="L9" s="6" t="s">
        <v>16</v>
      </c>
      <c r="M9" s="3"/>
      <c r="N9" s="6" t="s">
        <v>16</v>
      </c>
    </row>
    <row r="10" spans="1:14">
      <c r="A10" s="2" t="s">
        <v>36</v>
      </c>
      <c r="B10" s="8" t="s">
        <v>283</v>
      </c>
      <c r="C10" s="4" t="s">
        <v>37</v>
      </c>
      <c r="D10" s="1" t="s">
        <v>38</v>
      </c>
      <c r="E10" s="1" t="s">
        <v>39</v>
      </c>
      <c r="F10" s="27">
        <v>68123</v>
      </c>
      <c r="G10" s="4" t="s">
        <v>236</v>
      </c>
      <c r="H10" s="7" t="s">
        <v>280</v>
      </c>
      <c r="I10" s="12" t="s">
        <v>139</v>
      </c>
      <c r="J10" s="3" t="s">
        <v>208</v>
      </c>
      <c r="K10" s="3" t="s">
        <v>40</v>
      </c>
      <c r="L10" s="6" t="s">
        <v>16</v>
      </c>
      <c r="M10" s="6" t="s">
        <v>16</v>
      </c>
      <c r="N10" s="6" t="s">
        <v>16</v>
      </c>
    </row>
    <row r="11" spans="1:14">
      <c r="A11" s="2" t="s">
        <v>48</v>
      </c>
      <c r="B11" s="8" t="s">
        <v>49</v>
      </c>
      <c r="C11" s="40" t="s">
        <v>216</v>
      </c>
      <c r="D11" s="1" t="s">
        <v>217</v>
      </c>
      <c r="E11" s="1" t="s">
        <v>21</v>
      </c>
      <c r="F11" s="27">
        <v>20186</v>
      </c>
      <c r="G11" s="4" t="s">
        <v>261</v>
      </c>
      <c r="H11" s="35" t="s">
        <v>260</v>
      </c>
      <c r="I11" s="7" t="s">
        <v>50</v>
      </c>
      <c r="J11" s="3" t="s">
        <v>218</v>
      </c>
      <c r="K11" s="3" t="s">
        <v>219</v>
      </c>
      <c r="L11" s="6" t="s">
        <v>16</v>
      </c>
      <c r="M11" s="6" t="s">
        <v>16</v>
      </c>
      <c r="N11" s="6" t="s">
        <v>16</v>
      </c>
    </row>
    <row r="12" spans="1:14">
      <c r="A12" s="2" t="s">
        <v>63</v>
      </c>
      <c r="B12" s="2" t="s">
        <v>64</v>
      </c>
      <c r="C12" s="49" t="s">
        <v>298</v>
      </c>
      <c r="D12" s="1" t="s">
        <v>233</v>
      </c>
      <c r="E12" s="1" t="s">
        <v>21</v>
      </c>
      <c r="F12" s="4">
        <v>20147</v>
      </c>
      <c r="G12" s="4" t="s">
        <v>215</v>
      </c>
      <c r="H12" s="39" t="s">
        <v>229</v>
      </c>
      <c r="I12" s="7" t="s">
        <v>142</v>
      </c>
      <c r="J12" s="50" t="s">
        <v>299</v>
      </c>
      <c r="K12" s="3" t="s">
        <v>222</v>
      </c>
      <c r="L12" s="6" t="s">
        <v>16</v>
      </c>
      <c r="M12" s="6" t="s">
        <v>16</v>
      </c>
      <c r="N12" s="6" t="s">
        <v>16</v>
      </c>
    </row>
    <row r="13" spans="1:14">
      <c r="A13" s="2" t="s">
        <v>70</v>
      </c>
      <c r="B13" s="2" t="s">
        <v>71</v>
      </c>
      <c r="C13" s="9" t="s">
        <v>72</v>
      </c>
      <c r="D13" s="2" t="s">
        <v>171</v>
      </c>
      <c r="E13" s="2" t="s">
        <v>21</v>
      </c>
      <c r="F13" s="9">
        <v>20166</v>
      </c>
      <c r="G13" s="9" t="s">
        <v>202</v>
      </c>
      <c r="H13" s="35" t="s">
        <v>206</v>
      </c>
      <c r="I13" s="7" t="s">
        <v>143</v>
      </c>
      <c r="J13" s="2" t="s">
        <v>177</v>
      </c>
      <c r="K13" s="9" t="s">
        <v>73</v>
      </c>
      <c r="L13" s="10" t="s">
        <v>16</v>
      </c>
      <c r="M13" s="10" t="s">
        <v>16</v>
      </c>
      <c r="N13" s="6" t="s">
        <v>16</v>
      </c>
    </row>
    <row r="14" spans="1:14">
      <c r="A14" s="2" t="s">
        <v>74</v>
      </c>
      <c r="B14" s="11" t="s">
        <v>75</v>
      </c>
      <c r="C14" s="14" t="s">
        <v>295</v>
      </c>
      <c r="D14" s="1" t="s">
        <v>119</v>
      </c>
      <c r="E14" s="1" t="s">
        <v>65</v>
      </c>
      <c r="F14" s="51" t="s">
        <v>296</v>
      </c>
      <c r="G14" s="40" t="s">
        <v>270</v>
      </c>
      <c r="H14" s="7" t="s">
        <v>273</v>
      </c>
      <c r="I14" s="7" t="s">
        <v>76</v>
      </c>
      <c r="J14" s="3" t="s">
        <v>189</v>
      </c>
      <c r="K14" s="50" t="s">
        <v>297</v>
      </c>
      <c r="L14" s="6" t="s">
        <v>16</v>
      </c>
      <c r="M14" s="6" t="s">
        <v>16</v>
      </c>
      <c r="N14" s="6" t="s">
        <v>16</v>
      </c>
    </row>
    <row r="15" spans="1:14">
      <c r="A15" s="2" t="s">
        <v>77</v>
      </c>
      <c r="B15" s="2" t="s">
        <v>78</v>
      </c>
      <c r="C15" s="40" t="s">
        <v>225</v>
      </c>
      <c r="D15" s="41" t="s">
        <v>226</v>
      </c>
      <c r="E15" s="1" t="s">
        <v>21</v>
      </c>
      <c r="F15" s="4">
        <v>22042</v>
      </c>
      <c r="G15" s="4" t="s">
        <v>258</v>
      </c>
      <c r="H15" s="7" t="s">
        <v>167</v>
      </c>
      <c r="I15" s="7" t="s">
        <v>80</v>
      </c>
      <c r="J15" s="14" t="s">
        <v>81</v>
      </c>
      <c r="K15" s="3" t="s">
        <v>82</v>
      </c>
      <c r="L15" s="6" t="s">
        <v>16</v>
      </c>
      <c r="M15" s="6" t="s">
        <v>16</v>
      </c>
      <c r="N15" s="6" t="s">
        <v>16</v>
      </c>
    </row>
    <row r="16" spans="1:14">
      <c r="A16" s="2" t="s">
        <v>83</v>
      </c>
      <c r="B16" s="8" t="s">
        <v>84</v>
      </c>
      <c r="C16" s="14" t="s">
        <v>303</v>
      </c>
      <c r="D16" s="11" t="s">
        <v>304</v>
      </c>
      <c r="E16" s="2" t="s">
        <v>235</v>
      </c>
      <c r="F16" s="29">
        <v>85282</v>
      </c>
      <c r="G16" s="9" t="s">
        <v>85</v>
      </c>
      <c r="H16" s="7" t="s">
        <v>302</v>
      </c>
      <c r="I16" s="7" t="s">
        <v>165</v>
      </c>
      <c r="J16" s="52" t="s">
        <v>305</v>
      </c>
      <c r="K16" s="52" t="s">
        <v>306</v>
      </c>
      <c r="L16" s="6" t="s">
        <v>16</v>
      </c>
      <c r="M16" s="6" t="s">
        <v>16</v>
      </c>
      <c r="N16" s="6" t="s">
        <v>16</v>
      </c>
    </row>
    <row r="17" spans="1:14">
      <c r="A17" s="2" t="s">
        <v>92</v>
      </c>
      <c r="B17" s="2" t="s">
        <v>93</v>
      </c>
      <c r="C17" s="49" t="s">
        <v>300</v>
      </c>
      <c r="D17" s="1" t="s">
        <v>200</v>
      </c>
      <c r="E17" s="1" t="s">
        <v>201</v>
      </c>
      <c r="F17" s="51" t="s">
        <v>301</v>
      </c>
      <c r="G17" s="16" t="s">
        <v>162</v>
      </c>
      <c r="H17" s="7" t="s">
        <v>163</v>
      </c>
      <c r="I17" s="7" t="s">
        <v>94</v>
      </c>
      <c r="J17" s="3" t="s">
        <v>164</v>
      </c>
      <c r="K17" s="3" t="s">
        <v>95</v>
      </c>
      <c r="L17" s="6" t="s">
        <v>16</v>
      </c>
      <c r="M17" s="6" t="s">
        <v>16</v>
      </c>
      <c r="N17" s="6" t="s">
        <v>16</v>
      </c>
    </row>
    <row r="18" spans="1:14">
      <c r="A18" s="2" t="s">
        <v>96</v>
      </c>
      <c r="B18" s="44" t="s">
        <v>269</v>
      </c>
      <c r="C18" s="40" t="s">
        <v>237</v>
      </c>
      <c r="D18" s="41" t="s">
        <v>238</v>
      </c>
      <c r="E18" s="41" t="s">
        <v>239</v>
      </c>
      <c r="F18" s="27">
        <v>17225</v>
      </c>
      <c r="G18" s="40" t="s">
        <v>285</v>
      </c>
      <c r="H18" s="7" t="s">
        <v>272</v>
      </c>
      <c r="I18" s="7" t="s">
        <v>271</v>
      </c>
      <c r="J18" s="19" t="s">
        <v>245</v>
      </c>
      <c r="K18" s="3" t="s">
        <v>246</v>
      </c>
      <c r="L18" s="6" t="s">
        <v>16</v>
      </c>
      <c r="M18" s="6" t="s">
        <v>16</v>
      </c>
      <c r="N18" s="6" t="s">
        <v>16</v>
      </c>
    </row>
    <row r="19" spans="1:14">
      <c r="A19" s="2" t="s">
        <v>29</v>
      </c>
      <c r="B19" s="2" t="s">
        <v>247</v>
      </c>
      <c r="C19" s="40" t="s">
        <v>274</v>
      </c>
      <c r="D19" s="1" t="s">
        <v>42</v>
      </c>
      <c r="E19" s="1" t="s">
        <v>21</v>
      </c>
      <c r="F19" s="4">
        <v>22182</v>
      </c>
      <c r="G19" s="40" t="s">
        <v>277</v>
      </c>
      <c r="H19" s="7" t="s">
        <v>254</v>
      </c>
      <c r="I19" s="25" t="s">
        <v>249</v>
      </c>
      <c r="J19" s="19" t="s">
        <v>278</v>
      </c>
      <c r="K19" s="3" t="s">
        <v>248</v>
      </c>
      <c r="L19" s="6" t="s">
        <v>16</v>
      </c>
      <c r="M19" s="6"/>
      <c r="N19" s="6" t="s">
        <v>16</v>
      </c>
    </row>
    <row r="20" spans="1:14">
      <c r="A20" s="2" t="s">
        <v>170</v>
      </c>
      <c r="B20" s="8" t="s">
        <v>247</v>
      </c>
      <c r="C20" s="45" t="s">
        <v>274</v>
      </c>
      <c r="D20" s="9" t="s">
        <v>42</v>
      </c>
      <c r="E20" s="8" t="s">
        <v>21</v>
      </c>
      <c r="F20" s="30">
        <v>22182</v>
      </c>
      <c r="G20" s="46" t="s">
        <v>277</v>
      </c>
      <c r="H20" s="7" t="s">
        <v>254</v>
      </c>
      <c r="I20" s="25" t="s">
        <v>249</v>
      </c>
      <c r="J20" s="45" t="s">
        <v>278</v>
      </c>
      <c r="K20" s="8" t="s">
        <v>248</v>
      </c>
      <c r="L20" s="6"/>
      <c r="M20" s="6" t="s">
        <v>16</v>
      </c>
      <c r="N20" s="6" t="s">
        <v>16</v>
      </c>
    </row>
    <row r="21" spans="1:14">
      <c r="A21" s="2" t="s">
        <v>97</v>
      </c>
      <c r="B21" s="2" t="s">
        <v>98</v>
      </c>
      <c r="C21" s="4" t="s">
        <v>240</v>
      </c>
      <c r="D21" s="1" t="s">
        <v>241</v>
      </c>
      <c r="E21" s="1" t="s">
        <v>174</v>
      </c>
      <c r="F21" s="26" t="s">
        <v>242</v>
      </c>
      <c r="G21" s="4" t="s">
        <v>244</v>
      </c>
      <c r="H21" s="7" t="s">
        <v>157</v>
      </c>
      <c r="I21" s="7" t="s">
        <v>145</v>
      </c>
      <c r="J21" s="3" t="s">
        <v>243</v>
      </c>
      <c r="K21" s="3" t="s">
        <v>243</v>
      </c>
      <c r="L21" s="6" t="s">
        <v>16</v>
      </c>
      <c r="M21" s="6" t="s">
        <v>16</v>
      </c>
      <c r="N21" s="6" t="s">
        <v>16</v>
      </c>
    </row>
    <row r="22" spans="1:14">
      <c r="A22" s="2" t="s">
        <v>41</v>
      </c>
      <c r="B22" s="2" t="s">
        <v>250</v>
      </c>
      <c r="C22" s="49" t="s">
        <v>292</v>
      </c>
      <c r="D22" s="1" t="s">
        <v>172</v>
      </c>
      <c r="E22" s="1" t="s">
        <v>21</v>
      </c>
      <c r="F22" s="4">
        <v>22314</v>
      </c>
      <c r="G22" s="49" t="s">
        <v>289</v>
      </c>
      <c r="H22" s="7" t="s">
        <v>290</v>
      </c>
      <c r="I22" s="12" t="s">
        <v>251</v>
      </c>
      <c r="J22" s="50" t="s">
        <v>293</v>
      </c>
      <c r="K22" s="50" t="s">
        <v>294</v>
      </c>
      <c r="L22" s="6" t="s">
        <v>16</v>
      </c>
      <c r="M22" s="6"/>
      <c r="N22" s="6" t="s">
        <v>16</v>
      </c>
    </row>
    <row r="23" spans="1:14">
      <c r="A23" s="2" t="s">
        <v>101</v>
      </c>
      <c r="B23" s="2" t="s">
        <v>102</v>
      </c>
      <c r="C23" s="4" t="s">
        <v>103</v>
      </c>
      <c r="D23" s="1" t="s">
        <v>104</v>
      </c>
      <c r="E23" s="1" t="s">
        <v>21</v>
      </c>
      <c r="F23" s="27">
        <v>22639</v>
      </c>
      <c r="G23" s="4" t="s">
        <v>105</v>
      </c>
      <c r="H23" s="43" t="s">
        <v>263</v>
      </c>
      <c r="I23" s="7" t="s">
        <v>146</v>
      </c>
      <c r="J23" s="19" t="s">
        <v>106</v>
      </c>
      <c r="K23" s="3" t="s">
        <v>107</v>
      </c>
      <c r="L23" s="6" t="s">
        <v>16</v>
      </c>
      <c r="M23" s="6" t="s">
        <v>16</v>
      </c>
      <c r="N23" s="6" t="s">
        <v>16</v>
      </c>
    </row>
    <row r="24" spans="1:14">
      <c r="A24" s="2" t="s">
        <v>114</v>
      </c>
      <c r="B24" s="8" t="s">
        <v>115</v>
      </c>
      <c r="C24" s="4" t="s">
        <v>312</v>
      </c>
      <c r="D24" s="1" t="s">
        <v>86</v>
      </c>
      <c r="E24" s="1" t="s">
        <v>21</v>
      </c>
      <c r="F24" s="27">
        <v>22030</v>
      </c>
      <c r="G24" s="4" t="s">
        <v>116</v>
      </c>
      <c r="H24" s="7" t="s">
        <v>183</v>
      </c>
      <c r="I24" s="7" t="s">
        <v>147</v>
      </c>
      <c r="J24" s="3" t="s">
        <v>188</v>
      </c>
      <c r="K24" s="3" t="s">
        <v>187</v>
      </c>
      <c r="L24" s="10" t="s">
        <v>16</v>
      </c>
      <c r="M24" s="10" t="s">
        <v>16</v>
      </c>
      <c r="N24" s="6" t="s">
        <v>16</v>
      </c>
    </row>
    <row r="25" spans="1:14">
      <c r="A25" s="2" t="s">
        <v>117</v>
      </c>
      <c r="B25" s="2" t="s">
        <v>118</v>
      </c>
      <c r="C25" s="46" t="s">
        <v>286</v>
      </c>
      <c r="D25" s="2" t="s">
        <v>119</v>
      </c>
      <c r="E25" s="2" t="s">
        <v>65</v>
      </c>
      <c r="F25" s="9">
        <v>80918</v>
      </c>
      <c r="G25" s="9" t="s">
        <v>223</v>
      </c>
      <c r="H25" s="7" t="s">
        <v>267</v>
      </c>
      <c r="I25" s="7" t="s">
        <v>268</v>
      </c>
      <c r="J25" s="8" t="s">
        <v>231</v>
      </c>
      <c r="K25" s="8" t="s">
        <v>232</v>
      </c>
      <c r="L25" s="10" t="s">
        <v>16</v>
      </c>
      <c r="M25" s="10" t="s">
        <v>16</v>
      </c>
      <c r="N25" s="6" t="s">
        <v>16</v>
      </c>
    </row>
    <row r="26" spans="1:14">
      <c r="A26" s="2" t="s">
        <v>120</v>
      </c>
      <c r="B26" s="2" t="s">
        <v>121</v>
      </c>
      <c r="C26" s="9" t="s">
        <v>122</v>
      </c>
      <c r="D26" s="2" t="s">
        <v>42</v>
      </c>
      <c r="E26" s="2" t="s">
        <v>21</v>
      </c>
      <c r="F26" s="9">
        <v>22182</v>
      </c>
      <c r="G26" s="9" t="s">
        <v>123</v>
      </c>
      <c r="H26" s="35" t="s">
        <v>262</v>
      </c>
      <c r="I26" s="7" t="s">
        <v>148</v>
      </c>
      <c r="J26" s="8" t="s">
        <v>213</v>
      </c>
      <c r="K26" s="8" t="s">
        <v>124</v>
      </c>
      <c r="L26" s="10" t="s">
        <v>16</v>
      </c>
      <c r="M26" s="10" t="s">
        <v>16</v>
      </c>
      <c r="N26" s="6" t="s">
        <v>16</v>
      </c>
    </row>
    <row r="27" spans="1:14">
      <c r="A27" s="2" t="s">
        <v>125</v>
      </c>
      <c r="B27" s="2" t="s">
        <v>126</v>
      </c>
      <c r="C27" s="4" t="s">
        <v>220</v>
      </c>
      <c r="D27" s="1" t="s">
        <v>156</v>
      </c>
      <c r="E27" s="1" t="s">
        <v>21</v>
      </c>
      <c r="F27" s="27">
        <v>22102</v>
      </c>
      <c r="G27" s="4" t="s">
        <v>127</v>
      </c>
      <c r="H27" s="7" t="s">
        <v>128</v>
      </c>
      <c r="I27" s="7" t="s">
        <v>149</v>
      </c>
      <c r="J27" s="3" t="s">
        <v>185</v>
      </c>
      <c r="K27" s="14" t="s">
        <v>186</v>
      </c>
      <c r="L27" s="6" t="s">
        <v>16</v>
      </c>
      <c r="M27" s="6" t="s">
        <v>16</v>
      </c>
      <c r="N27" s="6" t="s">
        <v>16</v>
      </c>
    </row>
    <row r="29" spans="1:14">
      <c r="B29" s="15"/>
    </row>
    <row r="30" spans="1:14" s="48" customFormat="1" ht="31.5" customHeight="1">
      <c r="A30" s="55" t="s">
        <v>288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ht="51.75" customHeight="1">
      <c r="A31" s="20" t="s">
        <v>0</v>
      </c>
      <c r="B31" s="20" t="s">
        <v>1</v>
      </c>
      <c r="C31" s="21" t="s">
        <v>2</v>
      </c>
      <c r="D31" s="20" t="s">
        <v>3</v>
      </c>
      <c r="E31" s="20" t="s">
        <v>4</v>
      </c>
      <c r="F31" s="21" t="s">
        <v>5</v>
      </c>
      <c r="G31" s="21" t="s">
        <v>6</v>
      </c>
      <c r="H31" s="23" t="s">
        <v>7</v>
      </c>
      <c r="I31" s="23" t="s">
        <v>8</v>
      </c>
      <c r="J31" s="24" t="s">
        <v>9</v>
      </c>
      <c r="K31" s="24" t="s">
        <v>10</v>
      </c>
      <c r="L31" s="22" t="s">
        <v>11</v>
      </c>
      <c r="M31" s="22" t="s">
        <v>12</v>
      </c>
      <c r="N31" s="37"/>
    </row>
    <row r="32" spans="1:14">
      <c r="A32" s="2" t="s">
        <v>30</v>
      </c>
      <c r="B32" s="2" t="s">
        <v>31</v>
      </c>
      <c r="C32" s="9" t="s">
        <v>32</v>
      </c>
      <c r="D32" s="2" t="s">
        <v>173</v>
      </c>
      <c r="E32" s="2" t="s">
        <v>56</v>
      </c>
      <c r="F32" s="28" t="s">
        <v>33</v>
      </c>
      <c r="G32" s="4" t="s">
        <v>252</v>
      </c>
      <c r="H32" s="7" t="s">
        <v>160</v>
      </c>
      <c r="I32" s="12" t="s">
        <v>138</v>
      </c>
      <c r="J32" s="8" t="s">
        <v>253</v>
      </c>
      <c r="K32" s="8" t="s">
        <v>230</v>
      </c>
      <c r="L32" s="10" t="s">
        <v>16</v>
      </c>
      <c r="M32" s="10" t="s">
        <v>16</v>
      </c>
      <c r="N32" s="37"/>
    </row>
    <row r="33" spans="1:14">
      <c r="A33" s="2" t="s">
        <v>43</v>
      </c>
      <c r="B33" s="2" t="s">
        <v>44</v>
      </c>
      <c r="C33" s="9" t="s">
        <v>308</v>
      </c>
      <c r="D33" s="2" t="s">
        <v>79</v>
      </c>
      <c r="E33" s="2" t="s">
        <v>21</v>
      </c>
      <c r="F33" s="9">
        <v>22202</v>
      </c>
      <c r="G33" s="9" t="s">
        <v>214</v>
      </c>
      <c r="H33" s="7" t="s">
        <v>264</v>
      </c>
      <c r="I33" s="7" t="s">
        <v>140</v>
      </c>
      <c r="J33" s="2" t="s">
        <v>45</v>
      </c>
      <c r="K33" s="9" t="s">
        <v>46</v>
      </c>
      <c r="L33" s="10" t="s">
        <v>47</v>
      </c>
      <c r="M33" s="10" t="s">
        <v>16</v>
      </c>
      <c r="N33" s="37"/>
    </row>
    <row r="34" spans="1:14">
      <c r="A34" s="2" t="s">
        <v>51</v>
      </c>
      <c r="B34" s="2" t="s">
        <v>52</v>
      </c>
      <c r="C34" s="4" t="s">
        <v>53</v>
      </c>
      <c r="D34" s="1" t="s">
        <v>79</v>
      </c>
      <c r="E34" s="1" t="s">
        <v>54</v>
      </c>
      <c r="F34" s="26">
        <v>22202</v>
      </c>
      <c r="G34" s="4" t="s">
        <v>209</v>
      </c>
      <c r="H34" s="7" t="s">
        <v>210</v>
      </c>
      <c r="I34" s="7" t="s">
        <v>141</v>
      </c>
      <c r="J34" s="3" t="s">
        <v>211</v>
      </c>
      <c r="K34" s="3" t="s">
        <v>55</v>
      </c>
      <c r="L34" s="6" t="s">
        <v>16</v>
      </c>
      <c r="M34" s="6" t="s">
        <v>16</v>
      </c>
      <c r="N34" s="37"/>
    </row>
    <row r="35" spans="1:14">
      <c r="A35" s="2" t="s">
        <v>57</v>
      </c>
      <c r="B35" s="2" t="s">
        <v>58</v>
      </c>
      <c r="C35" s="9" t="s">
        <v>193</v>
      </c>
      <c r="D35" s="2" t="s">
        <v>59</v>
      </c>
      <c r="E35" s="2" t="s">
        <v>60</v>
      </c>
      <c r="F35" s="9">
        <v>25403</v>
      </c>
      <c r="G35" s="9" t="s">
        <v>194</v>
      </c>
      <c r="H35" s="35" t="s">
        <v>205</v>
      </c>
      <c r="I35" s="7" t="s">
        <v>61</v>
      </c>
      <c r="J35" s="8" t="s">
        <v>62</v>
      </c>
      <c r="K35" s="14" t="s">
        <v>134</v>
      </c>
      <c r="L35" s="10" t="s">
        <v>16</v>
      </c>
      <c r="M35" s="10"/>
      <c r="N35" s="37"/>
    </row>
    <row r="36" spans="1:14">
      <c r="A36" s="2" t="s">
        <v>66</v>
      </c>
      <c r="B36" s="2" t="s">
        <v>137</v>
      </c>
      <c r="C36" s="4" t="s">
        <v>67</v>
      </c>
      <c r="D36" s="1" t="s">
        <v>68</v>
      </c>
      <c r="E36" s="1" t="s">
        <v>21</v>
      </c>
      <c r="F36" s="27">
        <v>22153</v>
      </c>
      <c r="G36" s="4" t="s">
        <v>184</v>
      </c>
      <c r="H36" s="7" t="s">
        <v>168</v>
      </c>
      <c r="I36" s="7" t="s">
        <v>69</v>
      </c>
      <c r="J36" s="3" t="s">
        <v>212</v>
      </c>
      <c r="K36" s="3" t="s">
        <v>175</v>
      </c>
      <c r="L36" s="6" t="s">
        <v>16</v>
      </c>
      <c r="M36" s="6"/>
      <c r="N36" s="37"/>
    </row>
    <row r="37" spans="1:14">
      <c r="A37" s="2" t="s">
        <v>87</v>
      </c>
      <c r="B37" s="2" t="s">
        <v>88</v>
      </c>
      <c r="C37" s="9" t="s">
        <v>89</v>
      </c>
      <c r="D37" s="2" t="s">
        <v>156</v>
      </c>
      <c r="E37" s="2" t="s">
        <v>21</v>
      </c>
      <c r="F37" s="28" t="s">
        <v>90</v>
      </c>
      <c r="G37" s="42" t="s">
        <v>307</v>
      </c>
      <c r="H37" s="35" t="s">
        <v>266</v>
      </c>
      <c r="I37" s="7" t="s">
        <v>144</v>
      </c>
      <c r="J37" s="8" t="s">
        <v>234</v>
      </c>
      <c r="K37" s="8" t="s">
        <v>91</v>
      </c>
      <c r="L37" s="10" t="s">
        <v>16</v>
      </c>
      <c r="M37" s="10" t="s">
        <v>16</v>
      </c>
      <c r="N37" s="37"/>
    </row>
    <row r="38" spans="1:14">
      <c r="A38" s="2" t="s">
        <v>99</v>
      </c>
      <c r="B38" s="2" t="s">
        <v>100</v>
      </c>
      <c r="C38" s="40" t="s">
        <v>281</v>
      </c>
      <c r="D38" s="1" t="s">
        <v>172</v>
      </c>
      <c r="E38" s="1" t="s">
        <v>21</v>
      </c>
      <c r="F38" s="47" t="s">
        <v>282</v>
      </c>
      <c r="G38" s="4" t="s">
        <v>203</v>
      </c>
      <c r="H38" s="35" t="s">
        <v>224</v>
      </c>
      <c r="I38" s="7" t="s">
        <v>169</v>
      </c>
      <c r="J38" s="3" t="s">
        <v>178</v>
      </c>
      <c r="K38" s="14" t="s">
        <v>133</v>
      </c>
      <c r="L38" s="6" t="s">
        <v>16</v>
      </c>
      <c r="M38" s="6" t="s">
        <v>16</v>
      </c>
      <c r="N38" s="37"/>
    </row>
    <row r="39" spans="1:14">
      <c r="A39" s="2" t="s">
        <v>108</v>
      </c>
      <c r="B39" s="8" t="s">
        <v>109</v>
      </c>
      <c r="C39" s="4" t="s">
        <v>110</v>
      </c>
      <c r="D39" s="1" t="s">
        <v>111</v>
      </c>
      <c r="E39" s="1" t="s">
        <v>112</v>
      </c>
      <c r="F39" s="27">
        <v>13212</v>
      </c>
      <c r="G39" s="4" t="s">
        <v>152</v>
      </c>
      <c r="H39" s="35" t="s">
        <v>207</v>
      </c>
      <c r="I39" s="7" t="s">
        <v>276</v>
      </c>
      <c r="J39" s="3" t="s">
        <v>179</v>
      </c>
      <c r="K39" s="3" t="s">
        <v>113</v>
      </c>
      <c r="L39" s="6" t="s">
        <v>16</v>
      </c>
      <c r="M39" s="6" t="s">
        <v>16</v>
      </c>
      <c r="N39" s="37"/>
    </row>
    <row r="40" spans="1:14">
      <c r="A40" s="2" t="s">
        <v>129</v>
      </c>
      <c r="B40" s="8" t="s">
        <v>130</v>
      </c>
      <c r="C40" s="46" t="s">
        <v>131</v>
      </c>
      <c r="D40" s="2" t="s">
        <v>132</v>
      </c>
      <c r="E40" s="2" t="s">
        <v>56</v>
      </c>
      <c r="F40" s="29">
        <v>21061</v>
      </c>
      <c r="G40" s="9" t="s">
        <v>158</v>
      </c>
      <c r="H40" s="7" t="s">
        <v>159</v>
      </c>
      <c r="I40" s="12" t="s">
        <v>161</v>
      </c>
      <c r="J40" s="8" t="s">
        <v>180</v>
      </c>
      <c r="K40" s="8" t="s">
        <v>182</v>
      </c>
      <c r="L40" s="6" t="s">
        <v>16</v>
      </c>
      <c r="M40" s="6" t="s">
        <v>16</v>
      </c>
      <c r="N40" s="37"/>
    </row>
  </sheetData>
  <mergeCells count="3">
    <mergeCell ref="A2:B2"/>
    <mergeCell ref="A3:N3"/>
    <mergeCell ref="A30:N30"/>
  </mergeCells>
  <phoneticPr fontId="3" type="noConversion"/>
  <hyperlinks>
    <hyperlink ref="H5" r:id="rId1" display="rwalker@AdvSystems.com"/>
    <hyperlink ref="H6" r:id="rId2"/>
    <hyperlink ref="H32" r:id="rId3"/>
    <hyperlink ref="H10" r:id="rId4"/>
    <hyperlink ref="H33" r:id="rId5" display="vets@clrexec.com"/>
    <hyperlink ref="H34" r:id="rId6"/>
    <hyperlink ref="H15" r:id="rId7"/>
    <hyperlink ref="H17" r:id="rId8"/>
    <hyperlink ref="H21" r:id="rId9"/>
    <hyperlink ref="H23" r:id="rId10" display="john.moliere@stdcomm.com"/>
    <hyperlink ref="H27" r:id="rId11"/>
    <hyperlink ref="I5" r:id="rId12"/>
    <hyperlink ref="I7" r:id="rId13" display="www.cwatkinsinc.com"/>
    <hyperlink ref="I32" r:id="rId14"/>
    <hyperlink ref="I9" r:id="rId15"/>
    <hyperlink ref="I10" r:id="rId16"/>
    <hyperlink ref="I22" r:id="rId17"/>
    <hyperlink ref="I33" r:id="rId18"/>
    <hyperlink ref="I11" r:id="rId19"/>
    <hyperlink ref="I34" r:id="rId20"/>
    <hyperlink ref="I35" r:id="rId21"/>
    <hyperlink ref="I12" r:id="rId22"/>
    <hyperlink ref="I36" r:id="rId23"/>
    <hyperlink ref="I13" r:id="rId24"/>
    <hyperlink ref="I14" r:id="rId25"/>
    <hyperlink ref="I15" r:id="rId26"/>
    <hyperlink ref="I37" r:id="rId27"/>
    <hyperlink ref="I17" r:id="rId28"/>
    <hyperlink ref="I18" r:id="rId29"/>
    <hyperlink ref="I21" r:id="rId30"/>
    <hyperlink ref="I38" r:id="rId31"/>
    <hyperlink ref="I23" r:id="rId32"/>
    <hyperlink ref="I39" r:id="rId33"/>
    <hyperlink ref="I26" r:id="rId34"/>
    <hyperlink ref="I27" r:id="rId35"/>
    <hyperlink ref="I40" r:id="rId36"/>
    <hyperlink ref="I6" r:id="rId37"/>
    <hyperlink ref="I16" r:id="rId38"/>
    <hyperlink ref="H36" r:id="rId39"/>
    <hyperlink ref="I20" r:id="rId40"/>
    <hyperlink ref="H24" r:id="rId41"/>
    <hyperlink ref="H8" r:id="rId42"/>
    <hyperlink ref="I8" r:id="rId43"/>
    <hyperlink ref="H37" r:id="rId44" display="MI-GSA-VETSGWAC@metters.com"/>
    <hyperlink ref="H9" r:id="rId45"/>
    <hyperlink ref="H14" r:id="rId46"/>
    <hyperlink ref="H19" r:id="rId47"/>
    <hyperlink ref="I19" r:id="rId48"/>
    <hyperlink ref="H20" r:id="rId49"/>
    <hyperlink ref="H16" r:id="rId50"/>
    <hyperlink ref="H25" r:id="rId51"/>
    <hyperlink ref="I25" r:id="rId52"/>
    <hyperlink ref="H18" r:id="rId53"/>
    <hyperlink ref="H22" r:id="rId54" display="rblevins@pro-spheretek.com, "/>
  </hyperlinks>
  <pageMargins left="0.75" right="0.75" top="1" bottom="1" header="0.5" footer="0.5"/>
  <pageSetup scale="75" orientation="landscape" r:id="rId55"/>
  <headerFooter alignWithMargins="0"/>
  <ignoredErrors>
    <ignoredError sqref="F21 F14 F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38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8.140625" customWidth="1"/>
    <col min="9" max="9" width="45.85546875" customWidth="1"/>
    <col min="10" max="10" width="30.5703125" customWidth="1"/>
    <col min="11" max="11" width="14.85546875" customWidth="1"/>
    <col min="14" max="14" width="9.140625" style="17"/>
  </cols>
  <sheetData>
    <row r="1" spans="1:14" s="58" customFormat="1" ht="45">
      <c r="A1" s="57" t="s">
        <v>155</v>
      </c>
    </row>
    <row r="2" spans="1:14" s="37" customFormat="1" ht="104.25" customHeight="1">
      <c r="A2" s="53" t="s">
        <v>255</v>
      </c>
      <c r="B2" s="54"/>
      <c r="G2" s="38"/>
    </row>
    <row r="3" spans="1:14" s="48" customFormat="1" ht="31.5" customHeight="1">
      <c r="A3" s="55" t="s">
        <v>287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/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rwalker@AdvSystems.com, ASI@AdvSystems.com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22</v>
      </c>
      <c r="B6" s="2" t="str">
        <f>VLOOKUP($A6,'All Contract Holders'!$A$5:$K$40,2,FALSE)</f>
        <v>C Watkins &amp; Associates, INC</v>
      </c>
      <c r="C6" s="2" t="str">
        <f>VLOOKUP($A6,'All Contract Holders'!$A$5:$K$40,3,FALSE)</f>
        <v>23 Griswold CT</v>
      </c>
      <c r="D6" s="2" t="str">
        <f>VLOOKUP($A6,'All Contract Holders'!$A$5:$K$40,4,FALSE)</f>
        <v>Sterling</v>
      </c>
      <c r="E6" s="2" t="str">
        <f>VLOOKUP($A6,'All Contract Holders'!$A$5:$K$40,5,FALSE)</f>
        <v>VA</v>
      </c>
      <c r="F6" s="9">
        <f>VLOOKUP($A6,'All Contract Holders'!$A$5:$K$40,6,FALSE)</f>
        <v>20165</v>
      </c>
      <c r="G6" s="2" t="str">
        <f>VLOOKUP($A6,'All Contract Holders'!$A$5:$K$40,7,FALSE)</f>
        <v>Carl A. Watkins, Danny Watkins</v>
      </c>
      <c r="H6" s="2" t="str">
        <f>VLOOKUP($A6,'All Contract Holders'!$A$5:$K$40,8,FALSE)</f>
        <v>carl@cwivetsteam.com, danny@cwivetsteam.com</v>
      </c>
      <c r="I6" s="2" t="str">
        <f>VLOOKUP($A6,'All Contract Holders'!$A$5:$K$40,9,FALSE)</f>
        <v xml:space="preserve">www.cwatkinsinc.com  www.cwivetsteam.com </v>
      </c>
      <c r="J6" s="2" t="str">
        <f>VLOOKUP($A6,'All Contract Holders'!$A$5:$K$40,10,FALSE)</f>
        <v>(703) 444-1625</v>
      </c>
      <c r="K6" s="2" t="str">
        <f>VLOOKUP($A6,'All Contract Holders'!$A$5:$K$40,11,FALSE)</f>
        <v>(703) 236-5046</v>
      </c>
      <c r="L6" s="6" t="s">
        <v>16</v>
      </c>
      <c r="M6" s="6" t="s">
        <v>16</v>
      </c>
      <c r="N6" s="6" t="s">
        <v>16</v>
      </c>
    </row>
    <row r="7" spans="1:14">
      <c r="A7" s="2" t="s">
        <v>28</v>
      </c>
      <c r="B7" s="2" t="str">
        <f>VLOOKUP($A7,'All Contract Holders'!$A$5:$K$40,2,FALSE)</f>
        <v>C2 Solutions Group, Inc.</v>
      </c>
      <c r="C7" s="2" t="str">
        <f>VLOOKUP($A7,'All Contract Holders'!$A$5:$K$40,3,FALSE)</f>
        <v>1881 Campus Commons Drive, Suite 301</v>
      </c>
      <c r="D7" s="2" t="str">
        <f>VLOOKUP($A7,'All Contract Holders'!$A$5:$K$40,4,FALSE)</f>
        <v>Reston</v>
      </c>
      <c r="E7" s="2" t="str">
        <f>VLOOKUP($A7,'All Contract Holders'!$A$5:$K$40,5,FALSE)</f>
        <v>VA</v>
      </c>
      <c r="F7" s="9">
        <f>VLOOKUP($A7,'All Contract Holders'!$A$5:$K$40,6,FALSE)</f>
        <v>20191</v>
      </c>
      <c r="G7" s="2" t="str">
        <f>VLOOKUP($A7,'All Contract Holders'!$A$5:$K$40,7,FALSE)</f>
        <v>Brian Newell</v>
      </c>
      <c r="H7" s="2" t="str">
        <f>VLOOKUP($A7,'All Contract Holders'!$A$5:$K$40,8,FALSE)</f>
        <v>vets@c2sginc.com</v>
      </c>
      <c r="I7" s="2" t="str">
        <f>VLOOKUP($A7,'All Contract Holders'!$A$5:$K$40,9,FALSE)</f>
        <v>www.c2sginc.com</v>
      </c>
      <c r="J7" s="2" t="str">
        <f>VLOOKUP($A7,'All Contract Holders'!$A$5:$K$40,10,FALSE)</f>
        <v>(571) 210-2390</v>
      </c>
      <c r="K7" s="2" t="str">
        <f>VLOOKUP($A7,'All Contract Holders'!$A$5:$K$40,11,FALSE)</f>
        <v>(703) 853-7927</v>
      </c>
      <c r="L7" s="6" t="s">
        <v>16</v>
      </c>
      <c r="M7" s="6" t="s">
        <v>16</v>
      </c>
      <c r="N7" s="6" t="s">
        <v>16</v>
      </c>
    </row>
    <row r="8" spans="1:14">
      <c r="A8" s="2" t="s">
        <v>34</v>
      </c>
      <c r="B8" s="2" t="str">
        <f>VLOOKUP($A8,'All Contract Holders'!$A$5:$K$40,2,FALSE)</f>
        <v>Centuria Corporation</v>
      </c>
      <c r="C8" s="2" t="str">
        <f>VLOOKUP($A8,'All Contract Holders'!$A$5:$K$40,3,FALSE)</f>
        <v>1851 Alexander Bell Drive, Suite 440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20190</v>
      </c>
      <c r="G8" s="2" t="str">
        <f>VLOOKUP($A8,'All Contract Holders'!$A$5:$K$40,7,FALSE)</f>
        <v>Marjan Hekmat, Kevin Burke</v>
      </c>
      <c r="H8" s="2" t="str">
        <f>VLOOKUP($A8,'All Contract Holders'!$A$5:$K$40,8,FALSE)</f>
        <v>VETS@centuria.com</v>
      </c>
      <c r="I8" s="2" t="str">
        <f>VLOOKUP($A8,'All Contract Holders'!$A$5:$K$40,9,FALSE)</f>
        <v>www.centuria.com</v>
      </c>
      <c r="J8" s="2" t="str">
        <f>VLOOKUP($A8,'All Contract Holders'!$A$5:$K$40,10,FALSE)</f>
        <v>(571) 313-4026</v>
      </c>
      <c r="K8" s="2" t="str">
        <f>VLOOKUP($A8,'All Contract Holders'!$A$5:$K$40,11,FALSE)</f>
        <v>(703) 435-9974</v>
      </c>
      <c r="L8" s="6" t="s">
        <v>16</v>
      </c>
      <c r="M8" s="3"/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48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63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70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74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77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83</v>
      </c>
      <c r="B15" s="2" t="str">
        <f>VLOOKUP($A15,'All Contract Holders'!$A$5:$K$40,2,FALSE)</f>
        <v>KT Consulting</v>
      </c>
      <c r="C15" s="2" t="str">
        <f>VLOOKUP($A15,'All Contract Holders'!$A$5:$K$40,3,FALSE)</f>
        <v>2327 South Hardy Drive</v>
      </c>
      <c r="D15" s="2" t="str">
        <f>VLOOKUP($A15,'All Contract Holders'!$A$5:$K$40,4,FALSE)</f>
        <v>Tempe</v>
      </c>
      <c r="E15" s="2" t="str">
        <f>VLOOKUP($A15,'All Contract Holders'!$A$5:$K$40,5,FALSE)</f>
        <v>AZ</v>
      </c>
      <c r="F15" s="9">
        <f>VLOOKUP($A15,'All Contract Holders'!$A$5:$K$40,6,FALSE)</f>
        <v>85282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(480) 538-2668</v>
      </c>
      <c r="K15" s="2" t="str">
        <f>VLOOKUP($A15,'All Contract Holders'!$A$5:$K$40,11,FALSE)</f>
        <v>(480) 538-2686</v>
      </c>
      <c r="L15" s="6" t="s">
        <v>16</v>
      </c>
      <c r="M15" s="6" t="s">
        <v>16</v>
      </c>
      <c r="N15" s="6" t="s">
        <v>16</v>
      </c>
    </row>
    <row r="16" spans="1:14">
      <c r="A16" s="2" t="s">
        <v>92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96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29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 t="s">
        <v>16</v>
      </c>
      <c r="M18" s="6"/>
      <c r="N18" s="6" t="s">
        <v>16</v>
      </c>
    </row>
    <row r="19" spans="1:14">
      <c r="A19" s="2" t="s">
        <v>97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41</v>
      </c>
      <c r="B20" s="2" t="str">
        <f>VLOOKUP($A20,'All Contract Holders'!$A$5:$K$40,2,FALSE)</f>
        <v>Pro-Sphere Tek, Inc.</v>
      </c>
      <c r="C20" s="2" t="str">
        <f>VLOOKUP($A20,'All Contract Holders'!$A$5:$K$40,3,FALSE)</f>
        <v>415 North Lee Street</v>
      </c>
      <c r="D20" s="2" t="str">
        <f>VLOOKUP($A20,'All Contract Holders'!$A$5:$K$40,4,FALSE)</f>
        <v>Alexandria</v>
      </c>
      <c r="E20" s="2" t="str">
        <f>VLOOKUP($A20,'All Contract Holders'!$A$5:$K$40,5,FALSE)</f>
        <v>VA</v>
      </c>
      <c r="F20" s="9">
        <f>VLOOKUP($A20,'All Contract Holders'!$A$5:$K$40,6,FALSE)</f>
        <v>22314</v>
      </c>
      <c r="G20" s="2" t="str">
        <f>VLOOKUP($A20,'All Contract Holders'!$A$5:$K$40,7,FALSE)</f>
        <v>Tom Kenny</v>
      </c>
      <c r="H20" s="2" t="str">
        <f>VLOOKUP($A20,'All Contract Holders'!$A$5:$K$40,8,FALSE)</f>
        <v>rblevins@pro-spheretek.com, TKenny@pro-spheretek.com</v>
      </c>
      <c r="I20" s="2" t="str">
        <f>VLOOKUP($A20,'All Contract Holders'!$A$5:$K$40,9,FALSE)</f>
        <v>www.pro-spheretek.com</v>
      </c>
      <c r="J20" s="2" t="str">
        <f>VLOOKUP($A20,'All Contract Holders'!$A$5:$K$40,10,FALSE)</f>
        <v>(571) 227-9700</v>
      </c>
      <c r="K20" s="2" t="str">
        <f>VLOOKUP($A20,'All Contract Holders'!$A$5:$K$40,11,FALSE)</f>
        <v>(571) 227-9701</v>
      </c>
      <c r="L20" s="6" t="s">
        <v>16</v>
      </c>
      <c r="M20" s="6"/>
      <c r="N20" s="6" t="s">
        <v>16</v>
      </c>
    </row>
    <row r="21" spans="1:14">
      <c r="A21" s="2" t="s">
        <v>101</v>
      </c>
      <c r="B21" s="2" t="str">
        <f>VLOOKUP($A21,'All Contract Holders'!$A$5:$K$40,2,FALSE)</f>
        <v>Standard Communications, INC</v>
      </c>
      <c r="C21" s="2" t="str">
        <f>VLOOKUP($A21,'All Contract Holders'!$A$5:$K$40,3,FALSE)</f>
        <v>5402 Leeds Manor Road, Fauquier County</v>
      </c>
      <c r="D21" s="2" t="str">
        <f>VLOOKUP($A21,'All Contract Holders'!$A$5:$K$40,4,FALSE)</f>
        <v>Hume</v>
      </c>
      <c r="E21" s="2" t="str">
        <f>VLOOKUP($A21,'All Contract Holders'!$A$5:$K$40,5,FALSE)</f>
        <v>VA</v>
      </c>
      <c r="F21" s="9">
        <f>VLOOKUP($A21,'All Contract Holders'!$A$5:$K$40,6,FALSE)</f>
        <v>22639</v>
      </c>
      <c r="G21" s="2" t="str">
        <f>VLOOKUP($A21,'All Contract Holders'!$A$5:$K$40,7,FALSE)</f>
        <v>John P. Moliere</v>
      </c>
      <c r="H21" s="2" t="str">
        <f>VLOOKUP($A21,'All Contract Holders'!$A$5:$K$40,8,FALSE)</f>
        <v>john.moliere@stdcomm.com, bob.waizenegger@stdcomm.com</v>
      </c>
      <c r="I21" s="2" t="str">
        <f>VLOOKUP($A21,'All Contract Holders'!$A$5:$K$40,9,FALSE)</f>
        <v>www.stdcomm.com</v>
      </c>
      <c r="J21" s="2" t="str">
        <f>VLOOKUP($A21,'All Contract Holders'!$A$5:$K$40,10,FALSE)</f>
        <v xml:space="preserve">(540) 364-3688   </v>
      </c>
      <c r="K21" s="2" t="str">
        <f>VLOOKUP($A21,'All Contract Holders'!$A$5:$K$40,11,FALSE)</f>
        <v>(703) 4261956</v>
      </c>
      <c r="L21" s="6" t="s">
        <v>16</v>
      </c>
      <c r="M21" s="6" t="s">
        <v>16</v>
      </c>
      <c r="N21" s="6" t="s">
        <v>16</v>
      </c>
    </row>
    <row r="22" spans="1:14">
      <c r="A22" s="2" t="s">
        <v>114</v>
      </c>
      <c r="B22" s="2" t="str">
        <f>VLOOKUP($A22,'All Contract Holders'!$A$5:$K$40,2,FALSE)</f>
        <v>Veteran Corps of America</v>
      </c>
      <c r="C22" s="2" t="str">
        <f>VLOOKUP($A22,'All Contract Holders'!$A$5:$K$40,3,FALSE)</f>
        <v>10300 Eaton Place, Suite 340</v>
      </c>
      <c r="D22" s="2" t="str">
        <f>VLOOKUP($A22,'All Contract Holders'!$A$5:$K$40,4,FALSE)</f>
        <v>Fairfax</v>
      </c>
      <c r="E22" s="2" t="str">
        <f>VLOOKUP($A22,'All Contract Holders'!$A$5:$K$40,5,FALSE)</f>
        <v>VA</v>
      </c>
      <c r="F22" s="9">
        <f>VLOOKUP($A22,'All Contract Holders'!$A$5:$K$40,6,FALSE)</f>
        <v>22030</v>
      </c>
      <c r="G22" s="2" t="str">
        <f>VLOOKUP($A22,'All Contract Holders'!$A$5:$K$40,7,FALSE)</f>
        <v>John R. Wheeler</v>
      </c>
      <c r="H22" s="2" t="str">
        <f>VLOOKUP($A22,'All Contract Holders'!$A$5:$K$40,8,FALSE)</f>
        <v>gsavets@veterancorps.com</v>
      </c>
      <c r="I22" s="2" t="str">
        <f>VLOOKUP($A22,'All Contract Holders'!$A$5:$K$40,9,FALSE)</f>
        <v>www.veterancorps.com</v>
      </c>
      <c r="J22" s="2" t="str">
        <f>VLOOKUP($A22,'All Contract Holders'!$A$5:$K$40,10,FALSE)</f>
        <v>(703) 691-8387</v>
      </c>
      <c r="K22" s="2" t="str">
        <f>VLOOKUP($A22,'All Contract Holders'!$A$5:$K$40,11,FALSE)</f>
        <v>(703) 691-8385</v>
      </c>
      <c r="L22" s="10" t="s">
        <v>16</v>
      </c>
      <c r="M22" s="10" t="s">
        <v>16</v>
      </c>
      <c r="N22" s="6" t="s">
        <v>16</v>
      </c>
    </row>
    <row r="23" spans="1:14">
      <c r="A23" s="2" t="s">
        <v>117</v>
      </c>
      <c r="B23" s="2" t="str">
        <f>VLOOKUP($A23,'All Contract Holders'!$A$5:$K$40,2,FALSE)</f>
        <v>Veteran Engineering &amp; Technology, LLC</v>
      </c>
      <c r="C23" s="2" t="str">
        <f>VLOOKUP($A23,'All Contract Holders'!$A$5:$K$40,3,FALSE)</f>
        <v>5475 Mark Dabling Blvd,  Suite 300</v>
      </c>
      <c r="D23" s="2" t="str">
        <f>VLOOKUP($A23,'All Contract Holders'!$A$5:$K$40,4,FALSE)</f>
        <v>Colorado Springs</v>
      </c>
      <c r="E23" s="2" t="str">
        <f>VLOOKUP($A23,'All Contract Holders'!$A$5:$K$40,5,FALSE)</f>
        <v>CO</v>
      </c>
      <c r="F23" s="9">
        <f>VLOOKUP($A23,'All Contract Holders'!$A$5:$K$40,6,FALSE)</f>
        <v>80918</v>
      </c>
      <c r="G23" s="2" t="str">
        <f>VLOOKUP($A23,'All Contract Holders'!$A$5:$K$40,7,FALSE)</f>
        <v>Craig Newmaker, Norm Andersson</v>
      </c>
      <c r="H23" s="2" t="str">
        <f>VLOOKUP($A23,'All Contract Holders'!$A$5:$K$40,8,FALSE)</f>
        <v>engineering@vetengineering.com</v>
      </c>
      <c r="I23" s="2" t="str">
        <f>VLOOKUP($A23,'All Contract Holders'!$A$5:$K$40,9,FALSE)</f>
        <v>www.vetengineering.com</v>
      </c>
      <c r="J23" s="2" t="str">
        <f>VLOOKUP($A23,'All Contract Holders'!$A$5:$K$40,10,FALSE)</f>
        <v>(719) 623-3600</v>
      </c>
      <c r="K23" s="2" t="str">
        <f>VLOOKUP($A23,'All Contract Holders'!$A$5:$K$40,11,FALSE)</f>
        <v>(877) 870-9002</v>
      </c>
      <c r="L23" s="10" t="s">
        <v>16</v>
      </c>
      <c r="M23" s="10" t="s">
        <v>16</v>
      </c>
      <c r="N23" s="6" t="s">
        <v>16</v>
      </c>
    </row>
    <row r="24" spans="1:14">
      <c r="A24" s="2" t="s">
        <v>120</v>
      </c>
      <c r="B24" s="2" t="str">
        <f>VLOOKUP($A24,'All Contract Holders'!$A$5:$K$40,2,FALSE)</f>
        <v>Veterans Enterprise Technology Solutions, INC</v>
      </c>
      <c r="C24" s="2" t="str">
        <f>VLOOKUP($A24,'All Contract Holders'!$A$5:$K$40,3,FALSE)</f>
        <v>2057 Woodford Road, STE 200</v>
      </c>
      <c r="D24" s="2" t="str">
        <f>VLOOKUP($A24,'All Contract Holders'!$A$5:$K$40,4,FALSE)</f>
        <v>Vienna</v>
      </c>
      <c r="E24" s="2" t="str">
        <f>VLOOKUP($A24,'All Contract Holders'!$A$5:$K$40,5,FALSE)</f>
        <v>VA</v>
      </c>
      <c r="F24" s="9">
        <f>VLOOKUP($A24,'All Contract Holders'!$A$5:$K$40,6,FALSE)</f>
        <v>22182</v>
      </c>
      <c r="G24" s="2" t="str">
        <f>VLOOKUP($A24,'All Contract Holders'!$A$5:$K$40,7,FALSE)</f>
        <v>James H. Moody</v>
      </c>
      <c r="H24" s="2" t="str">
        <f>VLOOKUP($A24,'All Contract Holders'!$A$5:$K$40,8,FALSE)</f>
        <v>jmoody@vets-inc.com, HEdwards@vets-inc.com</v>
      </c>
      <c r="I24" s="2" t="str">
        <f>VLOOKUP($A24,'All Contract Holders'!$A$5:$K$40,9,FALSE)</f>
        <v>www.vets-inc.com</v>
      </c>
      <c r="J24" s="2" t="str">
        <f>VLOOKUP($A24,'All Contract Holders'!$A$5:$K$40,10,FALSE)</f>
        <v>(434) 374-5899</v>
      </c>
      <c r="K24" s="2" t="str">
        <f>VLOOKUP($A24,'All Contract Holders'!$A$5:$K$40,11,FALSE)</f>
        <v>(866) 320-0911</v>
      </c>
      <c r="L24" s="10" t="s">
        <v>16</v>
      </c>
      <c r="M24" s="10" t="s">
        <v>16</v>
      </c>
      <c r="N24" s="6" t="s">
        <v>16</v>
      </c>
    </row>
    <row r="25" spans="1:14">
      <c r="A25" s="2" t="s">
        <v>125</v>
      </c>
      <c r="B25" s="2" t="str">
        <f>VLOOKUP($A25,'All Contract Holders'!$A$5:$K$40,2,FALSE)</f>
        <v>Vetsamerica Business Consulting, INC</v>
      </c>
      <c r="C25" s="2" t="str">
        <f>VLOOKUP($A25,'All Contract Holders'!$A$5:$K$40,3,FALSE)</f>
        <v>8300 Greensboro Drive, Suite 800</v>
      </c>
      <c r="D25" s="2" t="str">
        <f>VLOOKUP($A25,'All Contract Holders'!$A$5:$K$40,4,FALSE)</f>
        <v>McLean</v>
      </c>
      <c r="E25" s="2" t="str">
        <f>VLOOKUP($A25,'All Contract Holders'!$A$5:$K$40,5,FALSE)</f>
        <v>VA</v>
      </c>
      <c r="F25" s="9">
        <f>VLOOKUP($A25,'All Contract Holders'!$A$5:$K$40,6,FALSE)</f>
        <v>22102</v>
      </c>
      <c r="G25" s="2" t="str">
        <f>VLOOKUP($A25,'All Contract Holders'!$A$5:$K$40,7,FALSE)</f>
        <v>John Collins</v>
      </c>
      <c r="H25" s="2" t="str">
        <f>VLOOKUP($A25,'All Contract Holders'!$A$5:$K$40,8,FALSE)</f>
        <v>johncollins@vetsamerica.us</v>
      </c>
      <c r="I25" s="2" t="str">
        <f>VLOOKUP($A25,'All Contract Holders'!$A$5:$K$40,9,FALSE)</f>
        <v>www.vetsamerica.us</v>
      </c>
      <c r="J25" s="2" t="str">
        <f>VLOOKUP($A25,'All Contract Holders'!$A$5:$K$40,10,FALSE)</f>
        <v>(843) 238-2517</v>
      </c>
      <c r="K25" s="2" t="str">
        <f>VLOOKUP($A25,'All Contract Holders'!$A$5:$K$40,11,FALSE)</f>
        <v>(843) 238-8426</v>
      </c>
      <c r="L25" s="6" t="s">
        <v>16</v>
      </c>
      <c r="M25" s="6" t="s">
        <v>16</v>
      </c>
      <c r="N25" s="6" t="s">
        <v>16</v>
      </c>
    </row>
    <row r="27" spans="1:14">
      <c r="B27" s="15"/>
    </row>
    <row r="28" spans="1:14" s="48" customFormat="1" ht="31.5" customHeight="1">
      <c r="A28" s="55" t="s">
        <v>288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ht="51.75" customHeight="1">
      <c r="A29" s="20" t="s">
        <v>0</v>
      </c>
      <c r="B29" s="20" t="s">
        <v>1</v>
      </c>
      <c r="C29" s="21" t="s">
        <v>2</v>
      </c>
      <c r="D29" s="20" t="s">
        <v>3</v>
      </c>
      <c r="E29" s="20" t="s">
        <v>4</v>
      </c>
      <c r="F29" s="21" t="s">
        <v>5</v>
      </c>
      <c r="G29" s="21" t="s">
        <v>6</v>
      </c>
      <c r="H29" s="23" t="s">
        <v>7</v>
      </c>
      <c r="I29" s="23" t="s">
        <v>8</v>
      </c>
      <c r="J29" s="24" t="s">
        <v>9</v>
      </c>
      <c r="K29" s="24" t="s">
        <v>10</v>
      </c>
      <c r="L29" s="22" t="s">
        <v>11</v>
      </c>
      <c r="M29" s="22" t="s">
        <v>12</v>
      </c>
      <c r="N29" s="37"/>
    </row>
    <row r="30" spans="1:14">
      <c r="A30" s="2" t="s">
        <v>30</v>
      </c>
      <c r="B30" s="2" t="str">
        <f>VLOOKUP($A30,'All Contract Holders'!$A$5:$K$40,2,FALSE)</f>
        <v>Catapult Technology, LTD</v>
      </c>
      <c r="C30" s="2" t="str">
        <f>VLOOKUP($A30,'All Contract Holders'!$A$5:$K$40,3,FALSE)</f>
        <v>7500 Old Georgetown Road, 11th Floor</v>
      </c>
      <c r="D30" s="2" t="str">
        <f>VLOOKUP($A30,'All Contract Holders'!$A$5:$K$40,4,FALSE)</f>
        <v>Bethesda</v>
      </c>
      <c r="E30" s="2" t="str">
        <f>VLOOKUP($A30,'All Contract Holders'!$A$5:$K$40,5,FALSE)</f>
        <v>MD</v>
      </c>
      <c r="F30" s="9" t="str">
        <f>VLOOKUP($A30,'All Contract Holders'!$A$5:$K$40,6,FALSE)</f>
        <v>20814-6198</v>
      </c>
      <c r="G30" s="2" t="str">
        <f>VLOOKUP($A30,'All Contract Holders'!$A$5:$K$40,7,FALSE)</f>
        <v>Jane Green</v>
      </c>
      <c r="H30" s="2" t="str">
        <f>VLOOKUP($A30,'All Contract Holders'!$A$5:$K$40,8,FALSE)</f>
        <v>gsavets@catapulttechnology.com</v>
      </c>
      <c r="I30" s="2" t="str">
        <f>VLOOKUP($A30,'All Contract Holders'!$A$5:$K$40,9,FALSE)</f>
        <v>www.catapulttechnology.com</v>
      </c>
      <c r="J30" s="2" t="str">
        <f>VLOOKUP($A30,'All Contract Holders'!$A$5:$K$40,10,FALSE)</f>
        <v>(240) 482-2136</v>
      </c>
      <c r="K30" s="2" t="str">
        <f>VLOOKUP($A30,'All Contract Holders'!$A$5:$K$40,11,FALSE)</f>
        <v>(888) 338-1391</v>
      </c>
      <c r="L30" s="10" t="s">
        <v>16</v>
      </c>
      <c r="M30" s="10" t="s">
        <v>16</v>
      </c>
      <c r="N30" s="37"/>
    </row>
    <row r="31" spans="1:14">
      <c r="A31" s="2" t="s">
        <v>51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57</v>
      </c>
      <c r="B32" s="2" t="str">
        <f>VLOOKUP($A32,'All Contract Holders'!$A$5:$K$40,2,FALSE)</f>
        <v xml:space="preserve">HMS Technologies, INC </v>
      </c>
      <c r="C32" s="2" t="str">
        <f>VLOOKUP($A32,'All Contract Holders'!$A$5:$K$40,3,FALSE)</f>
        <v>One Discovery Place</v>
      </c>
      <c r="D32" s="2" t="str">
        <f>VLOOKUP($A32,'All Contract Holders'!$A$5:$K$40,4,FALSE)</f>
        <v>Martinsburg</v>
      </c>
      <c r="E32" s="2" t="str">
        <f>VLOOKUP($A32,'All Contract Holders'!$A$5:$K$40,5,FALSE)</f>
        <v>WV</v>
      </c>
      <c r="F32" s="9">
        <f>VLOOKUP($A32,'All Contract Holders'!$A$5:$K$40,6,FALSE)</f>
        <v>25403</v>
      </c>
      <c r="G32" s="2" t="str">
        <f>VLOOKUP($A32,'All Contract Holders'!$A$5:$K$40,7,FALSE)</f>
        <v>Roy Jones, Harry Siegel</v>
      </c>
      <c r="H32" s="2" t="str">
        <f>VLOOKUP($A32,'All Contract Holders'!$A$5:$K$40,8,FALSE)</f>
        <v>roy.jones@hmstech.com, HSiegel@hmstech.com</v>
      </c>
      <c r="I32" s="2" t="str">
        <f>VLOOKUP($A32,'All Contract Holders'!$A$5:$K$40,9,FALSE)</f>
        <v>www.hmstech.com</v>
      </c>
      <c r="J32" s="2" t="str">
        <f>VLOOKUP($A32,'All Contract Holders'!$A$5:$K$40,10,FALSE)</f>
        <v xml:space="preserve">(304) 596-5583 </v>
      </c>
      <c r="K32" s="2" t="str">
        <f>VLOOKUP($A32,'All Contract Holders'!$A$5:$K$40,11,FALSE)</f>
        <v>(304) 596-5589</v>
      </c>
      <c r="L32" s="10" t="s">
        <v>16</v>
      </c>
      <c r="M32" s="10"/>
      <c r="N32" s="37"/>
    </row>
    <row r="33" spans="1:14">
      <c r="A33" s="2" t="s">
        <v>66</v>
      </c>
      <c r="B33" s="2" t="str">
        <f>VLOOKUP($A33,'All Contract Holders'!$A$5:$K$40,2,FALSE)</f>
        <v>Information Innovators, Inc</v>
      </c>
      <c r="C33" s="2" t="str">
        <f>VLOOKUP($A33,'All Contract Holders'!$A$5:$K$40,3,FALSE)</f>
        <v>7400 Fullerton Road, STE 210</v>
      </c>
      <c r="D33" s="2" t="str">
        <f>VLOOKUP($A33,'All Contract Holders'!$A$5:$K$40,4,FALSE)</f>
        <v>Springfield</v>
      </c>
      <c r="E33" s="2" t="str">
        <f>VLOOKUP($A33,'All Contract Holders'!$A$5:$K$40,5,FALSE)</f>
        <v>VA</v>
      </c>
      <c r="F33" s="9">
        <f>VLOOKUP($A33,'All Contract Holders'!$A$5:$K$40,6,FALSE)</f>
        <v>22153</v>
      </c>
      <c r="G33" s="2" t="str">
        <f>VLOOKUP($A33,'All Contract Holders'!$A$5:$K$40,7,FALSE)</f>
        <v>Mark Harrington</v>
      </c>
      <c r="H33" s="2" t="str">
        <f>VLOOKUP($A33,'All Contract Holders'!$A$5:$K$40,8,FALSE)</f>
        <v>vets@iiinfo.com</v>
      </c>
      <c r="I33" s="2" t="str">
        <f>VLOOKUP($A33,'All Contract Holders'!$A$5:$K$40,9,FALSE)</f>
        <v>www.iiinfo.com</v>
      </c>
      <c r="J33" s="2" t="str">
        <f>VLOOKUP($A33,'All Contract Holders'!$A$5:$K$40,10,FALSE)</f>
        <v>(703) 665-4256</v>
      </c>
      <c r="K33" s="2" t="str">
        <f>VLOOKUP($A33,'All Contract Holders'!$A$5:$K$40,11,FALSE)</f>
        <v>(703) 440-1332</v>
      </c>
      <c r="L33" s="6" t="s">
        <v>16</v>
      </c>
      <c r="M33" s="6"/>
      <c r="N33" s="37"/>
    </row>
    <row r="34" spans="1:14">
      <c r="A34" s="2" t="s">
        <v>87</v>
      </c>
      <c r="B34" s="2" t="str">
        <f>VLOOKUP($A34,'All Contract Holders'!$A$5:$K$40,2,FALSE)</f>
        <v>Metters Industries, INC</v>
      </c>
      <c r="C34" s="2" t="str">
        <f>VLOOKUP($A34,'All Contract Holders'!$A$5:$K$40,3,FALSE)</f>
        <v>8200 Greensboro Drive, STE 500</v>
      </c>
      <c r="D34" s="2" t="str">
        <f>VLOOKUP($A34,'All Contract Holders'!$A$5:$K$40,4,FALSE)</f>
        <v>McLean</v>
      </c>
      <c r="E34" s="2" t="str">
        <f>VLOOKUP($A34,'All Contract Holders'!$A$5:$K$40,5,FALSE)</f>
        <v>VA</v>
      </c>
      <c r="F34" s="9" t="str">
        <f>VLOOKUP($A34,'All Contract Holders'!$A$5:$K$40,6,FALSE)</f>
        <v>22102</v>
      </c>
      <c r="G34" s="2" t="str">
        <f>VLOOKUP($A34,'All Contract Holders'!$A$5:$K$40,7,FALSE)</f>
        <v>Will Dolan, Bob LeFebvre</v>
      </c>
      <c r="H34" s="2" t="str">
        <f>VLOOKUP($A34,'All Contract Holders'!$A$5:$K$40,8,FALSE)</f>
        <v>MI-GSA-VETSGWAC@metters.com, Bob.Lefebvre@metters.com</v>
      </c>
      <c r="I34" s="2" t="str">
        <f>VLOOKUP($A34,'All Contract Holders'!$A$5:$K$40,9,FALSE)</f>
        <v>www.metters.com</v>
      </c>
      <c r="J34" s="2" t="str">
        <f>VLOOKUP($A34,'All Contract Holders'!$A$5:$K$40,10,FALSE)</f>
        <v>(703) 821-3300 ext 709</v>
      </c>
      <c r="K34" s="2" t="str">
        <f>VLOOKUP($A34,'All Contract Holders'!$A$5:$K$40,11,FALSE)</f>
        <v>(703) 821-3996</v>
      </c>
      <c r="L34" s="10" t="s">
        <v>16</v>
      </c>
      <c r="M34" s="10" t="s">
        <v>16</v>
      </c>
      <c r="N34" s="37"/>
    </row>
    <row r="35" spans="1:14">
      <c r="A35" s="2" t="s">
        <v>99</v>
      </c>
      <c r="B35" s="2" t="str">
        <f>VLOOKUP($A35,'All Contract Holders'!$A$5:$K$40,2,FALSE)</f>
        <v>Professional Solutions, LLC</v>
      </c>
      <c r="C35" s="2" t="str">
        <f>VLOOKUP($A35,'All Contract Holders'!$A$5:$K$40,3,FALSE)</f>
        <v>5500 Cherokee Avenue, Suite 400</v>
      </c>
      <c r="D35" s="2" t="str">
        <f>VLOOKUP($A35,'All Contract Holders'!$A$5:$K$40,4,FALSE)</f>
        <v>Alexandria</v>
      </c>
      <c r="E35" s="2" t="str">
        <f>VLOOKUP($A35,'All Contract Holders'!$A$5:$K$40,5,FALSE)</f>
        <v>VA</v>
      </c>
      <c r="F35" s="9" t="str">
        <f>VLOOKUP($A35,'All Contract Holders'!$A$5:$K$40,6,FALSE)</f>
        <v>22312</v>
      </c>
      <c r="G35" s="2" t="str">
        <f>VLOOKUP($A35,'All Contract Holders'!$A$5:$K$40,7,FALSE)</f>
        <v>Ms. Ari Abraham</v>
      </c>
      <c r="H35" s="2" t="str">
        <f>VLOOKUP($A35,'All Contract Holders'!$A$5:$K$40,8,FALSE)</f>
        <v>VETsGWAC@prosol1.com, AAbraham@prosol1.com</v>
      </c>
      <c r="I35" s="2" t="str">
        <f>VLOOKUP($A35,'All Contract Holders'!$A$5:$K$40,9,FALSE)</f>
        <v>www.prosol1.com</v>
      </c>
      <c r="J35" s="2" t="str">
        <f>VLOOKUP($A35,'All Contract Holders'!$A$5:$K$40,10,FALSE)</f>
        <v>(703) 823-2696 x101</v>
      </c>
      <c r="K35" s="2" t="str">
        <f>VLOOKUP($A35,'All Contract Holders'!$A$5:$K$40,11,FALSE)</f>
        <v>(703) 823-2698</v>
      </c>
      <c r="L35" s="6" t="s">
        <v>16</v>
      </c>
      <c r="M35" s="6" t="s">
        <v>16</v>
      </c>
      <c r="N35" s="37"/>
    </row>
    <row r="36" spans="1:14">
      <c r="A36" s="2" t="s">
        <v>108</v>
      </c>
      <c r="B36" s="2" t="str">
        <f>VLOOKUP($A36,'All Contract Holders'!$A$5:$K$40,2,FALSE)</f>
        <v xml:space="preserve">Systems Made Simple, INC  </v>
      </c>
      <c r="C36" s="2" t="str">
        <f>VLOOKUP($A36,'All Contract Holders'!$A$5:$K$40,3,FALSE)</f>
        <v>One Northern Concourse</v>
      </c>
      <c r="D36" s="2" t="str">
        <f>VLOOKUP($A36,'All Contract Holders'!$A$5:$K$40,4,FALSE)</f>
        <v>Syracuse</v>
      </c>
      <c r="E36" s="2" t="str">
        <f>VLOOKUP($A36,'All Contract Holders'!$A$5:$K$40,5,FALSE)</f>
        <v>NY</v>
      </c>
      <c r="F36" s="9">
        <f>VLOOKUP($A36,'All Contract Holders'!$A$5:$K$40,6,FALSE)</f>
        <v>13212</v>
      </c>
      <c r="G36" s="2" t="str">
        <f>VLOOKUP($A36,'All Contract Holders'!$A$5:$K$40,7,FALSE)</f>
        <v>Ron Fishbeck</v>
      </c>
      <c r="H36" s="2" t="str">
        <f>VLOOKUP($A36,'All Contract Holders'!$A$5:$K$40,8,FALSE)</f>
        <v>ron.fishbeck@systemsmadesimple.com, vetsgwac@teamsms.net</v>
      </c>
      <c r="I36" s="2" t="str">
        <f>VLOOKUP($A36,'All Contract Holders'!$A$5:$K$40,9,FALSE)</f>
        <v>https://www.teamsms.net/GWAC</v>
      </c>
      <c r="J36" s="2" t="str">
        <f>VLOOKUP($A36,'All Contract Holders'!$A$5:$K$40,10,FALSE)</f>
        <v>(315) 455-3200 x26  (800) 893-9883 x26</v>
      </c>
      <c r="K36" s="2" t="str">
        <f>VLOOKUP($A36,'All Contract Holders'!$A$5:$K$40,11,FALSE)</f>
        <v>(315) 455-3120</v>
      </c>
      <c r="L36" s="6" t="s">
        <v>16</v>
      </c>
      <c r="M36" s="6" t="s">
        <v>16</v>
      </c>
      <c r="N36" s="37"/>
    </row>
    <row r="37" spans="1:14">
      <c r="A37" s="2" t="s">
        <v>129</v>
      </c>
      <c r="B37" s="2" t="str">
        <f>VLOOKUP($A37,'All Contract Holders'!$A$5:$K$40,2,FALSE)</f>
        <v>Vision Technologies, Inc</v>
      </c>
      <c r="C37" s="2" t="str">
        <f>VLOOKUP($A37,'All Contract Holders'!$A$5:$K$40,3,FALSE)</f>
        <v>530 J McCormick Drive</v>
      </c>
      <c r="D37" s="2" t="str">
        <f>VLOOKUP($A37,'All Contract Holders'!$A$5:$K$40,4,FALSE)</f>
        <v>Glen Burnie</v>
      </c>
      <c r="E37" s="2" t="str">
        <f>VLOOKUP($A37,'All Contract Holders'!$A$5:$K$40,5,FALSE)</f>
        <v>MD</v>
      </c>
      <c r="F37" s="9">
        <f>VLOOKUP($A37,'All Contract Holders'!$A$5:$K$40,6,FALSE)</f>
        <v>21061</v>
      </c>
      <c r="G37" s="2" t="str">
        <f>VLOOKUP($A37,'All Contract Holders'!$A$5:$K$40,7,FALSE)</f>
        <v>Michael Sandberg</v>
      </c>
      <c r="H37" s="2" t="str">
        <f>VLOOKUP($A37,'All Contract Holders'!$A$5:$K$40,8,FALSE)</f>
        <v>vetsgwac@visiontech.biz</v>
      </c>
      <c r="I37" s="2" t="str">
        <f>VLOOKUP($A37,'All Contract Holders'!$A$5:$K$40,9,FALSE)</f>
        <v>www.vets-gsa.com</v>
      </c>
      <c r="J37" s="2" t="str">
        <f>VLOOKUP($A37,'All Contract Holders'!$A$5:$K$40,10,FALSE)</f>
        <v>(410) 424-2183 x243 (703) 598-7990</v>
      </c>
      <c r="K37" s="2" t="str">
        <f>VLOOKUP($A37,'All Contract Holders'!$A$5:$K$40,11,FALSE)</f>
        <v>(410) 424-2208</v>
      </c>
      <c r="L37" s="6" t="s">
        <v>16</v>
      </c>
      <c r="M37" s="6" t="s">
        <v>16</v>
      </c>
      <c r="N37" s="37"/>
    </row>
    <row r="38" spans="1:14">
      <c r="B38" s="15"/>
    </row>
    <row r="39" spans="1:14">
      <c r="B39" s="15"/>
    </row>
    <row r="40" spans="1:14">
      <c r="B40" s="15"/>
    </row>
  </sheetData>
  <mergeCells count="4">
    <mergeCell ref="A1:XFD1"/>
    <mergeCell ref="A2:B2"/>
    <mergeCell ref="A3:N3"/>
    <mergeCell ref="A28:N28"/>
  </mergeCells>
  <phoneticPr fontId="3" type="noConversion"/>
  <pageMargins left="0.75" right="0.75" top="1" bottom="1" header="0.5" footer="0.5"/>
  <pageSetup scale="62" orientation="portrait" r:id="rId1"/>
  <headerFooter alignWithMargins="0"/>
  <colBreaks count="1" manualBreakCount="1">
    <brk id="6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N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42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7" customWidth="1"/>
    <col min="9" max="9" width="31.5703125" customWidth="1"/>
    <col min="10" max="10" width="35.5703125" customWidth="1"/>
    <col min="11" max="11" width="14.85546875" customWidth="1"/>
    <col min="14" max="14" width="9.140625" style="17"/>
  </cols>
  <sheetData>
    <row r="1" spans="1:14" s="58" customFormat="1" ht="49.5" customHeight="1">
      <c r="A1" s="57" t="s">
        <v>154</v>
      </c>
    </row>
    <row r="2" spans="1:14" s="37" customFormat="1" ht="104.25" customHeight="1">
      <c r="A2" s="53" t="s">
        <v>255</v>
      </c>
      <c r="B2" s="54"/>
      <c r="G2" s="38"/>
    </row>
    <row r="3" spans="1:14" s="48" customFormat="1" ht="31.5" customHeight="1">
      <c r="A3" s="55" t="s">
        <v>287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rwalker@AdvSystems.com, ASI@AdvSystems.com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tr">
        <f>VLOOKUP($A6,'All Contract Holders'!$A$5:$K$40,2,FALSE)</f>
        <v>American Veterans, LLC</v>
      </c>
      <c r="C6" s="2" t="str">
        <f>VLOOKUP($A6,'All Contract Holders'!$A$5:$K$40,3,FALSE)</f>
        <v>2 Brittany Lane</v>
      </c>
      <c r="D6" s="2" t="str">
        <f>VLOOKUP($A6,'All Contract Holders'!$A$5:$K$40,4,FALSE)</f>
        <v>Stafford</v>
      </c>
      <c r="E6" s="2" t="str">
        <f>VLOOKUP($A6,'All Contract Holders'!$A$5:$K$40,5,FALSE)</f>
        <v>VA</v>
      </c>
      <c r="F6" s="9">
        <f>VLOOKUP($A6,'All Contract Holders'!$A$5:$K$40,6,FALSE)</f>
        <v>22554</v>
      </c>
      <c r="G6" s="2" t="str">
        <f>VLOOKUP($A6,'All Contract Holders'!$A$5:$K$40,7,FALSE)</f>
        <v>Vic Blanco</v>
      </c>
      <c r="H6" s="2" t="str">
        <f>VLOOKUP($A6,'All Contract Holders'!$A$5:$K$40,8,FALSE)</f>
        <v>vetsgwac@sbgts.com, vblanco@sbgts.com</v>
      </c>
      <c r="I6" s="2" t="str">
        <f>VLOOKUP($A6,'All Contract Holders'!$A$5:$K$40,9,FALSE)</f>
        <v>www.americanveteransllc.com</v>
      </c>
      <c r="J6" s="2" t="str">
        <f>VLOOKUP($A6,'All Contract Holders'!$A$5:$K$40,10,FALSE)</f>
        <v>(540) 658-1311</v>
      </c>
      <c r="K6" s="2" t="str">
        <f>VLOOKUP($A6,'All Contract Holders'!$A$5:$K$40,11,FALSE)</f>
        <v>(540) 658-1359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tr">
        <f>VLOOKUP($A7,'All Contract Holders'!$A$5:$K$40,2,FALSE)</f>
        <v>C Watkins &amp; Associates, INC</v>
      </c>
      <c r="C7" s="2" t="str">
        <f>VLOOKUP($A7,'All Contract Holders'!$A$5:$K$40,3,FALSE)</f>
        <v>23 Griswold CT</v>
      </c>
      <c r="D7" s="2" t="str">
        <f>VLOOKUP($A7,'All Contract Holders'!$A$5:$K$40,4,FALSE)</f>
        <v>Sterling</v>
      </c>
      <c r="E7" s="2" t="str">
        <f>VLOOKUP($A7,'All Contract Holders'!$A$5:$K$40,5,FALSE)</f>
        <v>VA</v>
      </c>
      <c r="F7" s="9">
        <f>VLOOKUP($A7,'All Contract Holders'!$A$5:$K$40,6,FALSE)</f>
        <v>20165</v>
      </c>
      <c r="G7" s="2" t="str">
        <f>VLOOKUP($A7,'All Contract Holders'!$A$5:$K$40,7,FALSE)</f>
        <v>Carl A. Watkins, Danny Watkins</v>
      </c>
      <c r="H7" s="2" t="str">
        <f>VLOOKUP($A7,'All Contract Holders'!$A$5:$K$40,8,FALSE)</f>
        <v>carl@cwivetsteam.com, danny@cwivetsteam.com</v>
      </c>
      <c r="I7" s="2" t="str">
        <f>VLOOKUP($A7,'All Contract Holders'!$A$5:$K$40,9,FALSE)</f>
        <v xml:space="preserve">www.cwatkinsinc.com  www.cwivetsteam.com </v>
      </c>
      <c r="J7" s="2" t="str">
        <f>VLOOKUP($A7,'All Contract Holders'!$A$5:$K$40,10,FALSE)</f>
        <v>(703) 444-1625</v>
      </c>
      <c r="K7" s="2" t="str">
        <f>VLOOKUP($A7,'All Contract Holders'!$A$5:$K$40,11,FALSE)</f>
        <v>(703) 236-5046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tr">
        <f>VLOOKUP($A8,'All Contract Holders'!$A$5:$K$40,2,FALSE)</f>
        <v>C2 Solutions Group, Inc.</v>
      </c>
      <c r="C8" s="2" t="str">
        <f>VLOOKUP($A8,'All Contract Holders'!$A$5:$K$40,3,FALSE)</f>
        <v>1881 Campus Commons Drive, Suite 301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20191</v>
      </c>
      <c r="G8" s="2" t="str">
        <f>VLOOKUP($A8,'All Contract Holders'!$A$5:$K$40,7,FALSE)</f>
        <v>Brian Newell</v>
      </c>
      <c r="H8" s="2" t="str">
        <f>VLOOKUP($A8,'All Contract Holders'!$A$5:$K$40,8,FALSE)</f>
        <v>vets@c2sginc.com</v>
      </c>
      <c r="I8" s="2" t="str">
        <f>VLOOKUP($A8,'All Contract Holders'!$A$5:$K$40,9,FALSE)</f>
        <v>www.c2sginc.com</v>
      </c>
      <c r="J8" s="2" t="str">
        <f>VLOOKUP($A8,'All Contract Holders'!$A$5:$K$40,10,FALSE)</f>
        <v>(571) 210-2390</v>
      </c>
      <c r="K8" s="2" t="str">
        <f>VLOOKUP($A8,'All Contract Holders'!$A$5:$K$40,11,FALSE)</f>
        <v>(703) 853-7927</v>
      </c>
      <c r="L8" s="6" t="s">
        <v>16</v>
      </c>
      <c r="M8" s="6" t="s">
        <v>16</v>
      </c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48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63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70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74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77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83</v>
      </c>
      <c r="B15" s="2" t="str">
        <f>VLOOKUP($A15,'All Contract Holders'!$A$5:$K$40,2,FALSE)</f>
        <v>KT Consulting</v>
      </c>
      <c r="C15" s="2" t="str">
        <f>VLOOKUP($A15,'All Contract Holders'!$A$5:$K$40,3,FALSE)</f>
        <v>2327 South Hardy Drive</v>
      </c>
      <c r="D15" s="2" t="str">
        <f>VLOOKUP($A15,'All Contract Holders'!$A$5:$K$40,4,FALSE)</f>
        <v>Tempe</v>
      </c>
      <c r="E15" s="2" t="str">
        <f>VLOOKUP($A15,'All Contract Holders'!$A$5:$K$40,5,FALSE)</f>
        <v>AZ</v>
      </c>
      <c r="F15" s="9">
        <f>VLOOKUP($A15,'All Contract Holders'!$A$5:$K$40,6,FALSE)</f>
        <v>85282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(480) 538-2668</v>
      </c>
      <c r="K15" s="2" t="str">
        <f>VLOOKUP($A15,'All Contract Holders'!$A$5:$K$40,11,FALSE)</f>
        <v>(480) 538-2686</v>
      </c>
      <c r="L15" s="6" t="s">
        <v>16</v>
      </c>
      <c r="M15" s="6" t="s">
        <v>16</v>
      </c>
      <c r="N15" s="6" t="s">
        <v>16</v>
      </c>
    </row>
    <row r="16" spans="1:14">
      <c r="A16" s="2" t="s">
        <v>92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96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170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/>
      <c r="M18" s="6" t="s">
        <v>16</v>
      </c>
      <c r="N18" s="6" t="s">
        <v>16</v>
      </c>
    </row>
    <row r="19" spans="1:14">
      <c r="A19" s="2" t="s">
        <v>97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101</v>
      </c>
      <c r="B20" s="2" t="str">
        <f>VLOOKUP($A20,'All Contract Holders'!$A$5:$K$40,2,FALSE)</f>
        <v>Standard Communications, INC</v>
      </c>
      <c r="C20" s="2" t="str">
        <f>VLOOKUP($A20,'All Contract Holders'!$A$5:$K$40,3,FALSE)</f>
        <v>5402 Leeds Manor Road, Fauquier County</v>
      </c>
      <c r="D20" s="2" t="str">
        <f>VLOOKUP($A20,'All Contract Holders'!$A$5:$K$40,4,FALSE)</f>
        <v>Hume</v>
      </c>
      <c r="E20" s="2" t="str">
        <f>VLOOKUP($A20,'All Contract Holders'!$A$5:$K$40,5,FALSE)</f>
        <v>VA</v>
      </c>
      <c r="F20" s="9">
        <f>VLOOKUP($A20,'All Contract Holders'!$A$5:$K$40,6,FALSE)</f>
        <v>22639</v>
      </c>
      <c r="G20" s="2" t="str">
        <f>VLOOKUP($A20,'All Contract Holders'!$A$5:$K$40,7,FALSE)</f>
        <v>John P. Moliere</v>
      </c>
      <c r="H20" s="2" t="str">
        <f>VLOOKUP($A20,'All Contract Holders'!$A$5:$K$40,8,FALSE)</f>
        <v>john.moliere@stdcomm.com, bob.waizenegger@stdcomm.com</v>
      </c>
      <c r="I20" s="2" t="str">
        <f>VLOOKUP($A20,'All Contract Holders'!$A$5:$K$40,9,FALSE)</f>
        <v>www.stdcomm.com</v>
      </c>
      <c r="J20" s="2" t="str">
        <f>VLOOKUP($A20,'All Contract Holders'!$A$5:$K$40,10,FALSE)</f>
        <v xml:space="preserve">(540) 364-3688   </v>
      </c>
      <c r="K20" s="2" t="str">
        <f>VLOOKUP($A20,'All Contract Holders'!$A$5:$K$40,11,FALSE)</f>
        <v>(703) 4261956</v>
      </c>
      <c r="L20" s="6" t="s">
        <v>16</v>
      </c>
      <c r="M20" s="6" t="s">
        <v>16</v>
      </c>
      <c r="N20" s="6" t="s">
        <v>16</v>
      </c>
    </row>
    <row r="21" spans="1:14">
      <c r="A21" s="2" t="s">
        <v>114</v>
      </c>
      <c r="B21" s="2" t="str">
        <f>VLOOKUP($A21,'All Contract Holders'!$A$5:$K$40,2,FALSE)</f>
        <v>Veteran Corps of America</v>
      </c>
      <c r="C21" s="2" t="str">
        <f>VLOOKUP($A21,'All Contract Holders'!$A$5:$K$40,3,FALSE)</f>
        <v>10300 Eaton Place, Suite 340</v>
      </c>
      <c r="D21" s="2" t="str">
        <f>VLOOKUP($A21,'All Contract Holders'!$A$5:$K$40,4,FALSE)</f>
        <v>Fairfax</v>
      </c>
      <c r="E21" s="2" t="str">
        <f>VLOOKUP($A21,'All Contract Holders'!$A$5:$K$40,5,FALSE)</f>
        <v>VA</v>
      </c>
      <c r="F21" s="9">
        <f>VLOOKUP($A21,'All Contract Holders'!$A$5:$K$40,6,FALSE)</f>
        <v>22030</v>
      </c>
      <c r="G21" s="2" t="str">
        <f>VLOOKUP($A21,'All Contract Holders'!$A$5:$K$40,7,FALSE)</f>
        <v>John R. Wheeler</v>
      </c>
      <c r="H21" s="2" t="str">
        <f>VLOOKUP($A21,'All Contract Holders'!$A$5:$K$40,8,FALSE)</f>
        <v>gsavets@veterancorps.com</v>
      </c>
      <c r="I21" s="2" t="str">
        <f>VLOOKUP($A21,'All Contract Holders'!$A$5:$K$40,9,FALSE)</f>
        <v>www.veterancorps.com</v>
      </c>
      <c r="J21" s="2" t="str">
        <f>VLOOKUP($A21,'All Contract Holders'!$A$5:$K$40,10,FALSE)</f>
        <v>(703) 691-8387</v>
      </c>
      <c r="K21" s="2" t="str">
        <f>VLOOKUP($A21,'All Contract Holders'!$A$5:$K$40,11,FALSE)</f>
        <v>(703) 691-8385</v>
      </c>
      <c r="L21" s="10" t="s">
        <v>16</v>
      </c>
      <c r="M21" s="10" t="s">
        <v>16</v>
      </c>
      <c r="N21" s="6" t="s">
        <v>16</v>
      </c>
    </row>
    <row r="22" spans="1:14">
      <c r="A22" s="2" t="s">
        <v>117</v>
      </c>
      <c r="B22" s="2" t="str">
        <f>VLOOKUP($A22,'All Contract Holders'!$A$5:$K$40,2,FALSE)</f>
        <v>Veteran Engineering &amp; Technology, LLC</v>
      </c>
      <c r="C22" s="2" t="str">
        <f>VLOOKUP($A22,'All Contract Holders'!$A$5:$K$40,3,FALSE)</f>
        <v>5475 Mark Dabling Blvd,  Suite 300</v>
      </c>
      <c r="D22" s="2" t="str">
        <f>VLOOKUP($A22,'All Contract Holders'!$A$5:$K$40,4,FALSE)</f>
        <v>Colorado Springs</v>
      </c>
      <c r="E22" s="2" t="str">
        <f>VLOOKUP($A22,'All Contract Holders'!$A$5:$K$40,5,FALSE)</f>
        <v>CO</v>
      </c>
      <c r="F22" s="9">
        <f>VLOOKUP($A22,'All Contract Holders'!$A$5:$K$40,6,FALSE)</f>
        <v>80918</v>
      </c>
      <c r="G22" s="2" t="str">
        <f>VLOOKUP($A22,'All Contract Holders'!$A$5:$K$40,7,FALSE)</f>
        <v>Craig Newmaker, Norm Andersson</v>
      </c>
      <c r="H22" s="2" t="str">
        <f>VLOOKUP($A22,'All Contract Holders'!$A$5:$K$40,8,FALSE)</f>
        <v>engineering@vetengineering.com</v>
      </c>
      <c r="I22" s="2" t="str">
        <f>VLOOKUP($A22,'All Contract Holders'!$A$5:$K$40,9,FALSE)</f>
        <v>www.vetengineering.com</v>
      </c>
      <c r="J22" s="2" t="str">
        <f>VLOOKUP($A22,'All Contract Holders'!$A$5:$K$40,10,FALSE)</f>
        <v>(719) 623-3600</v>
      </c>
      <c r="K22" s="2" t="str">
        <f>VLOOKUP($A22,'All Contract Holders'!$A$5:$K$40,11,FALSE)</f>
        <v>(877) 870-9002</v>
      </c>
      <c r="L22" s="10" t="s">
        <v>16</v>
      </c>
      <c r="M22" s="10" t="s">
        <v>16</v>
      </c>
      <c r="N22" s="6" t="s">
        <v>16</v>
      </c>
    </row>
    <row r="23" spans="1:14">
      <c r="A23" s="2" t="s">
        <v>120</v>
      </c>
      <c r="B23" s="2" t="str">
        <f>VLOOKUP($A23,'All Contract Holders'!$A$5:$K$40,2,FALSE)</f>
        <v>Veterans Enterprise Technology Solutions, INC</v>
      </c>
      <c r="C23" s="2" t="str">
        <f>VLOOKUP($A23,'All Contract Holders'!$A$5:$K$40,3,FALSE)</f>
        <v>2057 Woodford Road, STE 200</v>
      </c>
      <c r="D23" s="2" t="str">
        <f>VLOOKUP($A23,'All Contract Holders'!$A$5:$K$40,4,FALSE)</f>
        <v>Vienna</v>
      </c>
      <c r="E23" s="2" t="str">
        <f>VLOOKUP($A23,'All Contract Holders'!$A$5:$K$40,5,FALSE)</f>
        <v>VA</v>
      </c>
      <c r="F23" s="9">
        <f>VLOOKUP($A23,'All Contract Holders'!$A$5:$K$40,6,FALSE)</f>
        <v>22182</v>
      </c>
      <c r="G23" s="2" t="str">
        <f>VLOOKUP($A23,'All Contract Holders'!$A$5:$K$40,7,FALSE)</f>
        <v>James H. Moody</v>
      </c>
      <c r="H23" s="2" t="str">
        <f>VLOOKUP($A23,'All Contract Holders'!$A$5:$K$40,8,FALSE)</f>
        <v>jmoody@vets-inc.com, HEdwards@vets-inc.com</v>
      </c>
      <c r="I23" s="2" t="str">
        <f>VLOOKUP($A23,'All Contract Holders'!$A$5:$K$40,9,FALSE)</f>
        <v>www.vets-inc.com</v>
      </c>
      <c r="J23" s="2" t="str">
        <f>VLOOKUP($A23,'All Contract Holders'!$A$5:$K$40,10,FALSE)</f>
        <v>(434) 374-5899</v>
      </c>
      <c r="K23" s="2" t="str">
        <f>VLOOKUP($A23,'All Contract Holders'!$A$5:$K$40,11,FALSE)</f>
        <v>(866) 320-0911</v>
      </c>
      <c r="L23" s="10" t="s">
        <v>16</v>
      </c>
      <c r="M23" s="10" t="s">
        <v>16</v>
      </c>
      <c r="N23" s="6" t="s">
        <v>16</v>
      </c>
    </row>
    <row r="24" spans="1:14">
      <c r="A24" s="2" t="s">
        <v>125</v>
      </c>
      <c r="B24" s="2" t="str">
        <f>VLOOKUP($A24,'All Contract Holders'!$A$5:$K$40,2,FALSE)</f>
        <v>Vetsamerica Business Consulting, INC</v>
      </c>
      <c r="C24" s="2" t="str">
        <f>VLOOKUP($A24,'All Contract Holders'!$A$5:$K$40,3,FALSE)</f>
        <v>8300 Greensboro Drive, Suite 800</v>
      </c>
      <c r="D24" s="2" t="str">
        <f>VLOOKUP($A24,'All Contract Holders'!$A$5:$K$40,4,FALSE)</f>
        <v>McLean</v>
      </c>
      <c r="E24" s="2" t="str">
        <f>VLOOKUP($A24,'All Contract Holders'!$A$5:$K$40,5,FALSE)</f>
        <v>VA</v>
      </c>
      <c r="F24" s="9">
        <f>VLOOKUP($A24,'All Contract Holders'!$A$5:$K$40,6,FALSE)</f>
        <v>22102</v>
      </c>
      <c r="G24" s="2" t="str">
        <f>VLOOKUP($A24,'All Contract Holders'!$A$5:$K$40,7,FALSE)</f>
        <v>John Collins</v>
      </c>
      <c r="H24" s="2" t="str">
        <f>VLOOKUP($A24,'All Contract Holders'!$A$5:$K$40,8,FALSE)</f>
        <v>johncollins@vetsamerica.us</v>
      </c>
      <c r="I24" s="2" t="str">
        <f>VLOOKUP($A24,'All Contract Holders'!$A$5:$K$40,9,FALSE)</f>
        <v>www.vetsamerica.us</v>
      </c>
      <c r="J24" s="2" t="str">
        <f>VLOOKUP($A24,'All Contract Holders'!$A$5:$K$40,10,FALSE)</f>
        <v>(843) 238-2517</v>
      </c>
      <c r="K24" s="2" t="str">
        <f>VLOOKUP($A24,'All Contract Holders'!$A$5:$K$40,11,FALSE)</f>
        <v>(843) 238-8426</v>
      </c>
      <c r="L24" s="6" t="s">
        <v>16</v>
      </c>
      <c r="M24" s="6" t="s">
        <v>16</v>
      </c>
      <c r="N24" s="6" t="s">
        <v>16</v>
      </c>
    </row>
    <row r="26" spans="1:14"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3"/>
      <c r="M26" s="33"/>
      <c r="N26" s="34"/>
    </row>
    <row r="27" spans="1:14" s="48" customFormat="1" ht="31.5" customHeight="1">
      <c r="A27" s="55" t="s">
        <v>288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spans="1:14" ht="51.75" customHeight="1">
      <c r="A28" s="20" t="s">
        <v>0</v>
      </c>
      <c r="B28" s="20" t="s">
        <v>1</v>
      </c>
      <c r="C28" s="21" t="s">
        <v>2</v>
      </c>
      <c r="D28" s="20" t="s">
        <v>3</v>
      </c>
      <c r="E28" s="20" t="s">
        <v>4</v>
      </c>
      <c r="F28" s="21" t="s">
        <v>5</v>
      </c>
      <c r="G28" s="21" t="s">
        <v>6</v>
      </c>
      <c r="H28" s="23" t="s">
        <v>7</v>
      </c>
      <c r="I28" s="23" t="s">
        <v>8</v>
      </c>
      <c r="J28" s="24" t="s">
        <v>9</v>
      </c>
      <c r="K28" s="24" t="s">
        <v>10</v>
      </c>
      <c r="L28" s="22" t="s">
        <v>11</v>
      </c>
      <c r="M28" s="22" t="s">
        <v>12</v>
      </c>
      <c r="N28" s="37"/>
    </row>
    <row r="29" spans="1:14">
      <c r="A29" s="2" t="s">
        <v>30</v>
      </c>
      <c r="B29" s="2" t="str">
        <f>VLOOKUP($A29,'All Contract Holders'!$A$5:$K$40,2,FALSE)</f>
        <v>Catapult Technology, LTD</v>
      </c>
      <c r="C29" s="2" t="str">
        <f>VLOOKUP($A29,'All Contract Holders'!$A$5:$K$40,3,FALSE)</f>
        <v>7500 Old Georgetown Road, 11th Floor</v>
      </c>
      <c r="D29" s="2" t="str">
        <f>VLOOKUP($A29,'All Contract Holders'!$A$5:$K$40,4,FALSE)</f>
        <v>Bethesda</v>
      </c>
      <c r="E29" s="2" t="str">
        <f>VLOOKUP($A29,'All Contract Holders'!$A$5:$K$40,5,FALSE)</f>
        <v>MD</v>
      </c>
      <c r="F29" s="9" t="str">
        <f>VLOOKUP($A29,'All Contract Holders'!$A$5:$K$40,6,FALSE)</f>
        <v>20814-6198</v>
      </c>
      <c r="G29" s="2" t="str">
        <f>VLOOKUP($A29,'All Contract Holders'!$A$5:$K$40,7,FALSE)</f>
        <v>Jane Green</v>
      </c>
      <c r="H29" s="2" t="str">
        <f>VLOOKUP($A29,'All Contract Holders'!$A$5:$K$40,8,FALSE)</f>
        <v>gsavets@catapulttechnology.com</v>
      </c>
      <c r="I29" s="2" t="str">
        <f>VLOOKUP($A29,'All Contract Holders'!$A$5:$K$40,9,FALSE)</f>
        <v>www.catapulttechnology.com</v>
      </c>
      <c r="J29" s="2" t="str">
        <f>VLOOKUP($A29,'All Contract Holders'!$A$5:$K$40,10,FALSE)</f>
        <v>(240) 482-2136</v>
      </c>
      <c r="K29" s="2" t="str">
        <f>VLOOKUP($A29,'All Contract Holders'!$A$5:$K$40,11,FALSE)</f>
        <v>(888) 338-1391</v>
      </c>
      <c r="L29" s="10" t="s">
        <v>16</v>
      </c>
      <c r="M29" s="10" t="s">
        <v>16</v>
      </c>
      <c r="N29" s="37"/>
    </row>
    <row r="30" spans="1:14">
      <c r="A30" s="2" t="s">
        <v>43</v>
      </c>
      <c r="B30" s="2" t="str">
        <f>VLOOKUP($A30,'All Contract Holders'!$A$5:$K$40,2,FALSE)</f>
        <v>Council for Logistics Research, Inc.</v>
      </c>
      <c r="C30" s="2" t="str">
        <f>VLOOKUP($A30,'All Contract Holders'!$A$5:$K$40,3,FALSE)</f>
        <v>1550 Crystal Drive, Suite 500</v>
      </c>
      <c r="D30" s="2" t="str">
        <f>VLOOKUP($A30,'All Contract Holders'!$A$5:$K$40,4,FALSE)</f>
        <v>Arlington</v>
      </c>
      <c r="E30" s="2" t="str">
        <f>VLOOKUP($A30,'All Contract Holders'!$A$5:$K$40,5,FALSE)</f>
        <v>VA</v>
      </c>
      <c r="F30" s="9">
        <f>VLOOKUP($A30,'All Contract Holders'!$A$5:$K$40,6,FALSE)</f>
        <v>22202</v>
      </c>
      <c r="G30" s="2" t="str">
        <f>VLOOKUP($A30,'All Contract Holders'!$A$5:$K$40,7,FALSE)</f>
        <v>Maureen Soldano</v>
      </c>
      <c r="H30" s="2" t="str">
        <f>VLOOKUP($A30,'All Contract Holders'!$A$5:$K$40,8,FALSE)</f>
        <v>vets@clrexec.com, msoldano@clrexec.com</v>
      </c>
      <c r="I30" s="2" t="str">
        <f>VLOOKUP($A30,'All Contract Holders'!$A$5:$K$40,9,FALSE)</f>
        <v>www.clrexec.com</v>
      </c>
      <c r="J30" s="2" t="str">
        <f>VLOOKUP($A30,'All Contract Holders'!$A$5:$K$40,10,FALSE)</f>
        <v>(703) 412-1563</v>
      </c>
      <c r="K30" s="2" t="str">
        <f>VLOOKUP($A30,'All Contract Holders'!$A$5:$K$40,11,FALSE)</f>
        <v>(703) 412-1564</v>
      </c>
      <c r="L30" s="10" t="s">
        <v>47</v>
      </c>
      <c r="M30" s="10" t="s">
        <v>16</v>
      </c>
      <c r="N30" s="37"/>
    </row>
    <row r="31" spans="1:14">
      <c r="A31" s="2" t="s">
        <v>51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87</v>
      </c>
      <c r="B32" s="2" t="str">
        <f>VLOOKUP($A32,'All Contract Holders'!$A$5:$K$40,2,FALSE)</f>
        <v>Metters Industries, INC</v>
      </c>
      <c r="C32" s="2" t="str">
        <f>VLOOKUP($A32,'All Contract Holders'!$A$5:$K$40,3,FALSE)</f>
        <v>8200 Greensboro Drive, STE 500</v>
      </c>
      <c r="D32" s="2" t="str">
        <f>VLOOKUP($A32,'All Contract Holders'!$A$5:$K$40,4,FALSE)</f>
        <v>McLean</v>
      </c>
      <c r="E32" s="2" t="str">
        <f>VLOOKUP($A32,'All Contract Holders'!$A$5:$K$40,5,FALSE)</f>
        <v>VA</v>
      </c>
      <c r="F32" s="9" t="str">
        <f>VLOOKUP($A32,'All Contract Holders'!$A$5:$K$40,6,FALSE)</f>
        <v>22102</v>
      </c>
      <c r="G32" s="2" t="str">
        <f>VLOOKUP($A32,'All Contract Holders'!$A$5:$K$40,7,FALSE)</f>
        <v>Will Dolan, Bob LeFebvre</v>
      </c>
      <c r="H32" s="2" t="str">
        <f>VLOOKUP($A32,'All Contract Holders'!$A$5:$K$40,8,FALSE)</f>
        <v>MI-GSA-VETSGWAC@metters.com, Bob.Lefebvre@metters.com</v>
      </c>
      <c r="I32" s="2" t="str">
        <f>VLOOKUP($A32,'All Contract Holders'!$A$5:$K$40,9,FALSE)</f>
        <v>www.metters.com</v>
      </c>
      <c r="J32" s="2" t="str">
        <f>VLOOKUP($A32,'All Contract Holders'!$A$5:$K$40,10,FALSE)</f>
        <v>(703) 821-3300 ext 709</v>
      </c>
      <c r="K32" s="2" t="str">
        <f>VLOOKUP($A32,'All Contract Holders'!$A$5:$K$40,11,FALSE)</f>
        <v>(703) 821-3996</v>
      </c>
      <c r="L32" s="10" t="s">
        <v>16</v>
      </c>
      <c r="M32" s="10" t="s">
        <v>16</v>
      </c>
      <c r="N32" s="37"/>
    </row>
    <row r="33" spans="1:14">
      <c r="A33" s="2" t="s">
        <v>99</v>
      </c>
      <c r="B33" s="2" t="str">
        <f>VLOOKUP($A33,'All Contract Holders'!$A$5:$K$40,2,FALSE)</f>
        <v>Professional Solutions, LLC</v>
      </c>
      <c r="C33" s="2" t="str">
        <f>VLOOKUP($A33,'All Contract Holders'!$A$5:$K$40,3,FALSE)</f>
        <v>5500 Cherokee Avenue, Suite 400</v>
      </c>
      <c r="D33" s="2" t="str">
        <f>VLOOKUP($A33,'All Contract Holders'!$A$5:$K$40,4,FALSE)</f>
        <v>Alexandria</v>
      </c>
      <c r="E33" s="2" t="str">
        <f>VLOOKUP($A33,'All Contract Holders'!$A$5:$K$40,5,FALSE)</f>
        <v>VA</v>
      </c>
      <c r="F33" s="9" t="str">
        <f>VLOOKUP($A33,'All Contract Holders'!$A$5:$K$40,6,FALSE)</f>
        <v>22312</v>
      </c>
      <c r="G33" s="2" t="str">
        <f>VLOOKUP($A33,'All Contract Holders'!$A$5:$K$40,7,FALSE)</f>
        <v>Ms. Ari Abraham</v>
      </c>
      <c r="H33" s="2" t="str">
        <f>VLOOKUP($A33,'All Contract Holders'!$A$5:$K$40,8,FALSE)</f>
        <v>VETsGWAC@prosol1.com, AAbraham@prosol1.com</v>
      </c>
      <c r="I33" s="2" t="str">
        <f>VLOOKUP($A33,'All Contract Holders'!$A$5:$K$40,9,FALSE)</f>
        <v>www.prosol1.com</v>
      </c>
      <c r="J33" s="2" t="str">
        <f>VLOOKUP($A33,'All Contract Holders'!$A$5:$K$40,10,FALSE)</f>
        <v>(703) 823-2696 x101</v>
      </c>
      <c r="K33" s="2" t="str">
        <f>VLOOKUP($A33,'All Contract Holders'!$A$5:$K$40,11,FALSE)</f>
        <v>(703) 823-2698</v>
      </c>
      <c r="L33" s="6" t="s">
        <v>16</v>
      </c>
      <c r="M33" s="6" t="s">
        <v>16</v>
      </c>
      <c r="N33" s="37"/>
    </row>
    <row r="34" spans="1:14">
      <c r="A34" s="2" t="s">
        <v>108</v>
      </c>
      <c r="B34" s="2" t="str">
        <f>VLOOKUP($A34,'All Contract Holders'!$A$5:$K$40,2,FALSE)</f>
        <v xml:space="preserve">Systems Made Simple, INC  </v>
      </c>
      <c r="C34" s="2" t="str">
        <f>VLOOKUP($A34,'All Contract Holders'!$A$5:$K$40,3,FALSE)</f>
        <v>One Northern Concourse</v>
      </c>
      <c r="D34" s="2" t="str">
        <f>VLOOKUP($A34,'All Contract Holders'!$A$5:$K$40,4,FALSE)</f>
        <v>Syracuse</v>
      </c>
      <c r="E34" s="2" t="str">
        <f>VLOOKUP($A34,'All Contract Holders'!$A$5:$K$40,5,FALSE)</f>
        <v>NY</v>
      </c>
      <c r="F34" s="9">
        <f>VLOOKUP($A34,'All Contract Holders'!$A$5:$K$40,6,FALSE)</f>
        <v>13212</v>
      </c>
      <c r="G34" s="2" t="str">
        <f>VLOOKUP($A34,'All Contract Holders'!$A$5:$K$40,7,FALSE)</f>
        <v>Ron Fishbeck</v>
      </c>
      <c r="H34" s="2" t="str">
        <f>VLOOKUP($A34,'All Contract Holders'!$A$5:$K$40,8,FALSE)</f>
        <v>ron.fishbeck@systemsmadesimple.com, vetsgwac@teamsms.net</v>
      </c>
      <c r="I34" s="2" t="str">
        <f>VLOOKUP($A34,'All Contract Holders'!$A$5:$K$40,9,FALSE)</f>
        <v>https://www.teamsms.net/GWAC</v>
      </c>
      <c r="J34" s="2" t="str">
        <f>VLOOKUP($A34,'All Contract Holders'!$A$5:$K$40,10,FALSE)</f>
        <v>(315) 455-3200 x26  (800) 893-9883 x26</v>
      </c>
      <c r="K34" s="2" t="str">
        <f>VLOOKUP($A34,'All Contract Holders'!$A$5:$K$40,11,FALSE)</f>
        <v>(315) 455-3120</v>
      </c>
      <c r="L34" s="6" t="s">
        <v>16</v>
      </c>
      <c r="M34" s="6" t="s">
        <v>16</v>
      </c>
      <c r="N34" s="37"/>
    </row>
    <row r="35" spans="1:14">
      <c r="A35" s="2" t="s">
        <v>129</v>
      </c>
      <c r="B35" s="2" t="str">
        <f>VLOOKUP($A35,'All Contract Holders'!$A$5:$K$40,2,FALSE)</f>
        <v>Vision Technologies, Inc</v>
      </c>
      <c r="C35" s="2" t="str">
        <f>VLOOKUP($A35,'All Contract Holders'!$A$5:$K$40,3,FALSE)</f>
        <v>530 J McCormick Drive</v>
      </c>
      <c r="D35" s="2" t="str">
        <f>VLOOKUP($A35,'All Contract Holders'!$A$5:$K$40,4,FALSE)</f>
        <v>Glen Burnie</v>
      </c>
      <c r="E35" s="2" t="str">
        <f>VLOOKUP($A35,'All Contract Holders'!$A$5:$K$40,5,FALSE)</f>
        <v>MD</v>
      </c>
      <c r="F35" s="9">
        <f>VLOOKUP($A35,'All Contract Holders'!$A$5:$K$40,6,FALSE)</f>
        <v>21061</v>
      </c>
      <c r="G35" s="2" t="str">
        <f>VLOOKUP($A35,'All Contract Holders'!$A$5:$K$40,7,FALSE)</f>
        <v>Michael Sandberg</v>
      </c>
      <c r="H35" s="2" t="str">
        <f>VLOOKUP($A35,'All Contract Holders'!$A$5:$K$40,8,FALSE)</f>
        <v>vetsgwac@visiontech.biz</v>
      </c>
      <c r="I35" s="2" t="str">
        <f>VLOOKUP($A35,'All Contract Holders'!$A$5:$K$40,9,FALSE)</f>
        <v>www.vets-gsa.com</v>
      </c>
      <c r="J35" s="2" t="str">
        <f>VLOOKUP($A35,'All Contract Holders'!$A$5:$K$40,10,FALSE)</f>
        <v>(410) 424-2183 x243 (703) 598-7990</v>
      </c>
      <c r="K35" s="2" t="str">
        <f>VLOOKUP($A35,'All Contract Holders'!$A$5:$K$40,11,FALSE)</f>
        <v>(410) 424-2208</v>
      </c>
      <c r="L35" s="6" t="s">
        <v>16</v>
      </c>
      <c r="M35" s="6" t="s">
        <v>16</v>
      </c>
      <c r="N35" s="37"/>
    </row>
    <row r="36" spans="1:14">
      <c r="B36" s="15"/>
    </row>
    <row r="37" spans="1:14">
      <c r="B37" s="15"/>
    </row>
    <row r="38" spans="1:14">
      <c r="B38" s="15"/>
    </row>
    <row r="39" spans="1:14">
      <c r="B39" s="15"/>
    </row>
  </sheetData>
  <mergeCells count="4">
    <mergeCell ref="A1:XFD1"/>
    <mergeCell ref="A2:B2"/>
    <mergeCell ref="A3:N3"/>
    <mergeCell ref="A27:N27"/>
  </mergeCells>
  <phoneticPr fontId="3" type="noConversion"/>
  <pageMargins left="0.75" right="0.75" top="1" bottom="1" header="0.5" footer="0.5"/>
  <pageSetup scale="63" orientation="portrait" r:id="rId1"/>
  <headerFooter alignWithMargins="0"/>
  <colBreaks count="3" manualBreakCount="3">
    <brk id="3" max="36" man="1"/>
    <brk id="8" max="36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Contract Holders</vt:lpstr>
      <vt:lpstr>FA1 Contract Holders</vt:lpstr>
      <vt:lpstr>FA2 Contract Holders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JihyunHuyck</dc:creator>
  <cp:lastModifiedBy>JihyunHuyck</cp:lastModifiedBy>
  <cp:lastPrinted>2009-05-15T19:49:59Z</cp:lastPrinted>
  <dcterms:created xsi:type="dcterms:W3CDTF">2006-12-20T14:18:16Z</dcterms:created>
  <dcterms:modified xsi:type="dcterms:W3CDTF">2014-11-05T22:28:02Z</dcterms:modified>
</cp:coreProperties>
</file>