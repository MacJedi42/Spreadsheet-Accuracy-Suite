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320" windowHeight="9855"/>
  </bookViews>
  <sheets>
    <sheet name="2000-2010" sheetId="16" r:id="rId1"/>
    <sheet name="2000-2011" sheetId="15" r:id="rId2"/>
  </sheets>
  <definedNames>
    <definedName name="_xlnm.Print_Area" localSheetId="0">'2000-2010'!$A$1:$M$39</definedName>
    <definedName name="_xlnm.Print_Area" localSheetId="1">'2000-2011'!$A$1:$N$41</definedName>
  </definedNames>
  <calcPr calcId="125725"/>
</workbook>
</file>

<file path=xl/calcChain.xml><?xml version="1.0" encoding="utf-8"?>
<calcChain xmlns="http://schemas.openxmlformats.org/spreadsheetml/2006/main">
  <c r="N28" i="15"/>
  <c r="N29"/>
  <c r="N30"/>
  <c r="N31"/>
  <c r="N10"/>
  <c r="N11"/>
  <c r="N12"/>
  <c r="N13"/>
  <c r="N14"/>
  <c r="N15"/>
  <c r="N16"/>
  <c r="N17"/>
  <c r="N18"/>
  <c r="N19"/>
  <c r="N20"/>
  <c r="N21"/>
  <c r="N22"/>
  <c r="N23"/>
  <c r="N24"/>
  <c r="M31"/>
  <c r="M30"/>
  <c r="M37" l="1"/>
  <c r="M16" l="1"/>
  <c r="M15"/>
  <c r="M14"/>
  <c r="M9"/>
  <c r="M35" i="16" l="1"/>
  <c r="M34"/>
  <c r="L30"/>
  <c r="K30"/>
  <c r="J30"/>
  <c r="I30"/>
  <c r="H30"/>
  <c r="G30"/>
  <c r="F30"/>
  <c r="E30"/>
  <c r="D30"/>
  <c r="C30"/>
  <c r="B30"/>
  <c r="M29"/>
  <c r="M28"/>
  <c r="J24"/>
  <c r="G24"/>
  <c r="G37" s="1"/>
  <c r="F24"/>
  <c r="E24"/>
  <c r="D24"/>
  <c r="C24"/>
  <c r="C37" s="1"/>
  <c r="B24"/>
  <c r="M23"/>
  <c r="I22"/>
  <c r="M22" s="1"/>
  <c r="M21"/>
  <c r="M20"/>
  <c r="M19"/>
  <c r="H18"/>
  <c r="H24" s="1"/>
  <c r="M17"/>
  <c r="M16"/>
  <c r="M15"/>
  <c r="K15"/>
  <c r="L14"/>
  <c r="L24" s="1"/>
  <c r="K14"/>
  <c r="M13"/>
  <c r="M12"/>
  <c r="K11"/>
  <c r="K24" s="1"/>
  <c r="M10"/>
  <c r="F10"/>
  <c r="M9"/>
  <c r="F37" l="1"/>
  <c r="M14"/>
  <c r="B37"/>
  <c r="M11"/>
  <c r="E37"/>
  <c r="D37"/>
  <c r="J37"/>
  <c r="H37"/>
  <c r="H32"/>
  <c r="K37"/>
  <c r="K32"/>
  <c r="L37"/>
  <c r="L32"/>
  <c r="B32"/>
  <c r="F32"/>
  <c r="J32"/>
  <c r="I24"/>
  <c r="E32"/>
  <c r="M18"/>
  <c r="M26"/>
  <c r="M30" s="1"/>
  <c r="D32"/>
  <c r="C32"/>
  <c r="G32"/>
  <c r="M28" i="15"/>
  <c r="M24" i="16" l="1"/>
  <c r="M32" s="1"/>
  <c r="M37" s="1"/>
  <c r="I37"/>
  <c r="I32"/>
  <c r="M20" i="15"/>
  <c r="M10"/>
  <c r="M21"/>
  <c r="M27"/>
  <c r="M32" s="1"/>
  <c r="M22"/>
  <c r="M19"/>
  <c r="M17"/>
  <c r="M11"/>
  <c r="N27"/>
  <c r="N36"/>
  <c r="N37"/>
  <c r="N9"/>
  <c r="H19"/>
  <c r="F10"/>
  <c r="C32"/>
  <c r="D32"/>
  <c r="E32"/>
  <c r="E39" s="1"/>
  <c r="F32"/>
  <c r="G32"/>
  <c r="H32"/>
  <c r="H34" s="1"/>
  <c r="I32"/>
  <c r="J32"/>
  <c r="J34" s="1"/>
  <c r="K32"/>
  <c r="L32"/>
  <c r="L34" s="1"/>
  <c r="B32"/>
  <c r="K11"/>
  <c r="K14"/>
  <c r="L14"/>
  <c r="L25"/>
  <c r="L39" s="1"/>
  <c r="K15"/>
  <c r="I23"/>
  <c r="B25"/>
  <c r="C25"/>
  <c r="D25"/>
  <c r="E25"/>
  <c r="F25"/>
  <c r="G25"/>
  <c r="G39" s="1"/>
  <c r="J25"/>
  <c r="H25"/>
  <c r="H39" s="1"/>
  <c r="D34"/>
  <c r="I25"/>
  <c r="D39"/>
  <c r="G34"/>
  <c r="E34"/>
  <c r="B39"/>
  <c r="I34"/>
  <c r="B34" l="1"/>
  <c r="C34"/>
  <c r="I39"/>
  <c r="J39"/>
  <c r="F34"/>
  <c r="N32"/>
  <c r="M25"/>
  <c r="M39" s="1"/>
  <c r="N25"/>
  <c r="F39"/>
  <c r="C39"/>
  <c r="K25"/>
  <c r="N34" l="1"/>
  <c r="N39" s="1"/>
  <c r="M34"/>
  <c r="K39"/>
  <c r="K34"/>
</calcChain>
</file>

<file path=xl/comments1.xml><?xml version="1.0" encoding="utf-8"?>
<comments xmlns="http://schemas.openxmlformats.org/spreadsheetml/2006/main">
  <authors>
    <author>mlam</author>
  </authors>
  <commentList>
    <comment ref="A31" authorId="0">
      <text>
        <r>
          <rPr>
            <b/>
            <sz val="9"/>
            <color indexed="81"/>
            <rFont val="Tahoma"/>
            <family val="2"/>
          </rPr>
          <t>mlam:</t>
        </r>
        <r>
          <rPr>
            <sz val="9"/>
            <color indexed="81"/>
            <rFont val="Tahoma"/>
            <family val="2"/>
          </rPr>
          <t xml:space="preserve">
From Fabrice's worksheet, rows 18, 19 &amp; 30:  Other private + LaCaixa + JPM</t>
        </r>
      </text>
    </comment>
  </commentList>
</comments>
</file>

<file path=xl/sharedStrings.xml><?xml version="1.0" encoding="utf-8"?>
<sst xmlns="http://schemas.openxmlformats.org/spreadsheetml/2006/main" count="64" uniqueCount="35">
  <si>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</si>
  <si>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</si>
  <si>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</si>
  <si>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</si>
  <si>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</si>
  <si>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</si>
  <si>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</si>
  <si>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</si>
  <si>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Luxembourg</t>
  </si>
  <si>
    <t>Netherlands</t>
  </si>
  <si>
    <t xml:space="preserve">Sweden </t>
  </si>
  <si>
    <t>United Kingdom</t>
  </si>
  <si>
    <t>United States</t>
  </si>
  <si>
    <t>Spain</t>
  </si>
  <si>
    <t>Donations recorded on a cash basis</t>
  </si>
  <si>
    <t>Total contributions</t>
  </si>
  <si>
    <t>Other private</t>
  </si>
  <si>
    <t>Bill &amp; Melinda Gates Foundation</t>
  </si>
  <si>
    <t>AMC funds</t>
  </si>
  <si>
    <t>IFFIm to GFA transfers</t>
  </si>
  <si>
    <t>Sub-total</t>
  </si>
  <si>
    <t xml:space="preserve">Norway </t>
  </si>
  <si>
    <t>Republic of Korea</t>
  </si>
  <si>
    <t>Donor Governments and EC</t>
  </si>
  <si>
    <t>Private Contributions</t>
  </si>
  <si>
    <t>"la Caixa" Foundation</t>
  </si>
  <si>
    <t xml:space="preserve">millions US$ </t>
  </si>
  <si>
    <t>His Highness Sheikh Mohammed bin Zayed Al Nahyan</t>
  </si>
  <si>
    <t>Cash received 2000-2011</t>
  </si>
  <si>
    <t>GAVI Alliance</t>
  </si>
  <si>
    <t>Cash received 2000-2010</t>
  </si>
  <si>
    <t xml:space="preserve">as of 30 September 2011 </t>
  </si>
  <si>
    <t>Japan</t>
  </si>
  <si>
    <t xml:space="preserve">as of 31 December 2010 </t>
  </si>
  <si>
    <t>JP Morgan</t>
  </si>
</sst>
</file>

<file path=xl/styles.xml><?xml version="1.0" encoding="utf-8"?>
<styleSheet xmlns="http://schemas.openxmlformats.org/spreadsheetml/2006/main">
  <numFmts count="3">
    <numFmt numFmtId="164" formatCode="_-* #,##0.00\ _€_-;\-* #,##0.00\ _€_-;_-* &quot;-&quot;??\ _€_-;_-@_-"/>
    <numFmt numFmtId="165" formatCode="_-* #,##0_-;\-* #,##0_-;_-* &quot;-&quot;??_-;_-@_-"/>
    <numFmt numFmtId="166" formatCode="#,##0.0"/>
  </numFmts>
  <fonts count="2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sz val="16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6">
    <xf numFmtId="0" fontId="0" fillId="0" borderId="0" xfId="0"/>
    <xf numFmtId="0" fontId="8" fillId="0" borderId="0" xfId="0" applyFont="1"/>
    <xf numFmtId="3" fontId="0" fillId="0" borderId="0" xfId="0" applyNumberFormat="1"/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left" vertical="center"/>
    </xf>
    <xf numFmtId="3" fontId="2" fillId="0" borderId="7" xfId="0" applyNumberFormat="1" applyFont="1" applyFill="1" applyBorder="1" applyAlignment="1">
      <alignment horizontal="left" vertical="center"/>
    </xf>
    <xf numFmtId="0" fontId="2" fillId="0" borderId="0" xfId="0" applyFont="1"/>
    <xf numFmtId="1" fontId="0" fillId="0" borderId="0" xfId="0" applyNumberFormat="1"/>
    <xf numFmtId="3" fontId="4" fillId="2" borderId="1" xfId="0" applyNumberFormat="1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left" vertical="center"/>
    </xf>
    <xf numFmtId="0" fontId="0" fillId="0" borderId="0" xfId="0" applyFill="1"/>
    <xf numFmtId="3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/>
    <xf numFmtId="3" fontId="2" fillId="0" borderId="3" xfId="0" applyNumberFormat="1" applyFont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left" vertical="center" wrapText="1"/>
    </xf>
    <xf numFmtId="3" fontId="9" fillId="3" borderId="1" xfId="0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3" fontId="2" fillId="0" borderId="8" xfId="0" applyNumberFormat="1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right" vertical="center"/>
    </xf>
    <xf numFmtId="166" fontId="5" fillId="0" borderId="9" xfId="0" applyNumberFormat="1" applyFont="1" applyBorder="1" applyAlignment="1">
      <alignment horizontal="right" vertical="center"/>
    </xf>
    <xf numFmtId="166" fontId="5" fillId="0" borderId="9" xfId="0" applyNumberFormat="1" applyFont="1" applyFill="1" applyBorder="1" applyAlignment="1">
      <alignment horizontal="right" vertical="center"/>
    </xf>
    <xf numFmtId="166" fontId="5" fillId="0" borderId="9" xfId="1" applyNumberFormat="1" applyFont="1" applyFill="1" applyBorder="1" applyAlignment="1">
      <alignment horizontal="right" vertical="center"/>
    </xf>
    <xf numFmtId="166" fontId="5" fillId="0" borderId="9" xfId="0" applyNumberFormat="1" applyFont="1" applyFill="1" applyBorder="1"/>
    <xf numFmtId="166" fontId="6" fillId="0" borderId="9" xfId="0" applyNumberFormat="1" applyFont="1" applyBorder="1" applyAlignment="1">
      <alignment horizontal="right" vertical="center"/>
    </xf>
    <xf numFmtId="166" fontId="5" fillId="0" borderId="7" xfId="1" applyNumberFormat="1" applyFont="1" applyFill="1" applyBorder="1" applyAlignment="1">
      <alignment horizontal="right" vertical="center"/>
    </xf>
    <xf numFmtId="166" fontId="5" fillId="0" borderId="7" xfId="0" applyNumberFormat="1" applyFont="1" applyBorder="1" applyAlignment="1">
      <alignment horizontal="right" vertical="center"/>
    </xf>
    <xf numFmtId="166" fontId="5" fillId="0" borderId="7" xfId="0" applyNumberFormat="1" applyFont="1" applyFill="1" applyBorder="1" applyAlignment="1">
      <alignment horizontal="right" vertical="center"/>
    </xf>
    <xf numFmtId="166" fontId="5" fillId="0" borderId="10" xfId="0" applyNumberFormat="1" applyFont="1" applyBorder="1" applyAlignment="1">
      <alignment horizontal="right" vertical="center"/>
    </xf>
    <xf numFmtId="166" fontId="5" fillId="0" borderId="7" xfId="0" applyNumberFormat="1" applyFont="1" applyFill="1" applyBorder="1"/>
    <xf numFmtId="166" fontId="5" fillId="0" borderId="11" xfId="0" applyNumberFormat="1" applyFont="1" applyBorder="1" applyAlignment="1">
      <alignment horizontal="right" vertical="center"/>
    </xf>
    <xf numFmtId="166" fontId="5" fillId="0" borderId="12" xfId="0" applyNumberFormat="1" applyFont="1" applyBorder="1" applyAlignment="1">
      <alignment horizontal="right" vertical="center"/>
    </xf>
    <xf numFmtId="166" fontId="5" fillId="0" borderId="11" xfId="0" applyNumberFormat="1" applyFont="1" applyFill="1" applyBorder="1" applyAlignment="1">
      <alignment horizontal="right" vertical="center"/>
    </xf>
    <xf numFmtId="166" fontId="5" fillId="0" borderId="12" xfId="2" applyNumberFormat="1" applyFont="1" applyBorder="1" applyAlignment="1">
      <alignment horizontal="right" vertical="center"/>
    </xf>
    <xf numFmtId="166" fontId="5" fillId="4" borderId="7" xfId="0" applyNumberFormat="1" applyFont="1" applyFill="1" applyBorder="1" applyAlignment="1">
      <alignment horizontal="right" vertical="center"/>
    </xf>
    <xf numFmtId="166" fontId="5" fillId="0" borderId="7" xfId="0" applyNumberFormat="1" applyFont="1" applyBorder="1"/>
    <xf numFmtId="166" fontId="5" fillId="0" borderId="4" xfId="0" applyNumberFormat="1" applyFont="1" applyBorder="1" applyAlignment="1">
      <alignment horizontal="right" vertical="center"/>
    </xf>
    <xf numFmtId="166" fontId="5" fillId="0" borderId="5" xfId="0" applyNumberFormat="1" applyFont="1" applyBorder="1" applyAlignment="1">
      <alignment horizontal="right" vertical="center"/>
    </xf>
    <xf numFmtId="166" fontId="5" fillId="0" borderId="8" xfId="0" applyNumberFormat="1" applyFont="1" applyFill="1" applyBorder="1" applyAlignment="1">
      <alignment horizontal="right" vertical="center"/>
    </xf>
    <xf numFmtId="166" fontId="5" fillId="0" borderId="8" xfId="1" applyNumberFormat="1" applyFont="1" applyFill="1" applyBorder="1" applyAlignment="1">
      <alignment horizontal="right" vertical="center"/>
    </xf>
    <xf numFmtId="166" fontId="5" fillId="0" borderId="8" xfId="0" applyNumberFormat="1" applyFont="1" applyFill="1" applyBorder="1"/>
    <xf numFmtId="166" fontId="6" fillId="2" borderId="1" xfId="0" applyNumberFormat="1" applyFont="1" applyFill="1" applyBorder="1" applyAlignment="1">
      <alignment horizontal="right" vertical="center"/>
    </xf>
    <xf numFmtId="166" fontId="6" fillId="0" borderId="0" xfId="0" applyNumberFormat="1" applyFont="1" applyFill="1" applyBorder="1" applyAlignment="1">
      <alignment horizontal="right" vertical="center"/>
    </xf>
    <xf numFmtId="166" fontId="6" fillId="0" borderId="0" xfId="2" applyNumberFormat="1" applyFont="1" applyFill="1" applyBorder="1" applyAlignment="1">
      <alignment horizontal="right" vertical="center"/>
    </xf>
    <xf numFmtId="166" fontId="10" fillId="3" borderId="1" xfId="2" applyNumberFormat="1" applyFont="1" applyFill="1" applyBorder="1" applyAlignment="1">
      <alignment horizontal="right" vertical="center"/>
    </xf>
    <xf numFmtId="166" fontId="10" fillId="3" borderId="1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7" fillId="0" borderId="0" xfId="0" applyFont="1"/>
    <xf numFmtId="3" fontId="2" fillId="0" borderId="9" xfId="0" applyNumberFormat="1" applyFont="1" applyBorder="1" applyAlignment="1">
      <alignment horizontal="left" vertical="center"/>
    </xf>
    <xf numFmtId="166" fontId="5" fillId="0" borderId="3" xfId="2" applyNumberFormat="1" applyFont="1" applyBorder="1" applyAlignment="1">
      <alignment vertical="center"/>
    </xf>
    <xf numFmtId="166" fontId="6" fillId="0" borderId="9" xfId="0" applyNumberFormat="1" applyFont="1" applyBorder="1" applyAlignment="1">
      <alignment vertical="center"/>
    </xf>
    <xf numFmtId="166" fontId="5" fillId="0" borderId="2" xfId="2" applyNumberFormat="1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6" fillId="2" borderId="1" xfId="2" applyNumberFormat="1" applyFont="1" applyFill="1" applyBorder="1" applyAlignment="1">
      <alignment vertical="center"/>
    </xf>
    <xf numFmtId="166" fontId="2" fillId="4" borderId="7" xfId="0" applyNumberFormat="1" applyFont="1" applyFill="1" applyBorder="1" applyAlignment="1">
      <alignment vertical="center"/>
    </xf>
    <xf numFmtId="166" fontId="2" fillId="4" borderId="7" xfId="1" applyNumberFormat="1" applyFont="1" applyFill="1" applyBorder="1" applyAlignment="1">
      <alignment vertical="center"/>
    </xf>
    <xf numFmtId="166" fontId="5" fillId="4" borderId="2" xfId="2" applyNumberFormat="1" applyFont="1" applyFill="1" applyBorder="1" applyAlignment="1">
      <alignment vertical="center"/>
    </xf>
    <xf numFmtId="3" fontId="1" fillId="0" borderId="7" xfId="0" applyNumberFormat="1" applyFont="1" applyBorder="1" applyAlignment="1">
      <alignment horizontal="left" vertical="center"/>
    </xf>
    <xf numFmtId="166" fontId="6" fillId="2" borderId="6" xfId="0" applyNumberFormat="1" applyFont="1" applyFill="1" applyBorder="1" applyAlignment="1">
      <alignment horizontal="right" vertical="center"/>
    </xf>
    <xf numFmtId="166" fontId="6" fillId="2" borderId="1" xfId="0" applyNumberFormat="1" applyFont="1" applyFill="1" applyBorder="1" applyAlignment="1">
      <alignment vertical="center"/>
    </xf>
    <xf numFmtId="0" fontId="11" fillId="0" borderId="0" xfId="0" applyFont="1"/>
    <xf numFmtId="166" fontId="0" fillId="0" borderId="0" xfId="0" applyNumberFormat="1"/>
    <xf numFmtId="3" fontId="1" fillId="0" borderId="7" xfId="0" applyNumberFormat="1" applyFont="1" applyBorder="1" applyAlignment="1">
      <alignment horizontal="left" vertical="center" wrapText="1"/>
    </xf>
    <xf numFmtId="0" fontId="13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4" fillId="0" borderId="0" xfId="0" applyFont="1"/>
    <xf numFmtId="3" fontId="12" fillId="0" borderId="1" xfId="0" applyNumberFormat="1" applyFont="1" applyBorder="1"/>
    <xf numFmtId="0" fontId="15" fillId="0" borderId="0" xfId="0" applyFont="1"/>
    <xf numFmtId="3" fontId="12" fillId="0" borderId="0" xfId="0" applyNumberFormat="1" applyFont="1"/>
    <xf numFmtId="166" fontId="16" fillId="0" borderId="7" xfId="0" applyNumberFormat="1" applyFont="1" applyFill="1" applyBorder="1" applyAlignment="1">
      <alignment horizontal="right" vertical="center"/>
    </xf>
    <xf numFmtId="166" fontId="16" fillId="0" borderId="7" xfId="0" applyNumberFormat="1" applyFont="1" applyBorder="1"/>
    <xf numFmtId="166" fontId="16" fillId="0" borderId="8" xfId="0" applyNumberFormat="1" applyFont="1" applyFill="1" applyBorder="1" applyAlignment="1">
      <alignment horizontal="right" vertical="center"/>
    </xf>
    <xf numFmtId="166" fontId="1" fillId="4" borderId="7" xfId="1" applyNumberFormat="1" applyFont="1" applyFill="1" applyBorder="1" applyAlignment="1">
      <alignment vertical="center"/>
    </xf>
    <xf numFmtId="166" fontId="17" fillId="0" borderId="7" xfId="1" applyNumberFormat="1" applyFont="1" applyFill="1" applyBorder="1" applyAlignment="1">
      <alignment vertical="center"/>
    </xf>
    <xf numFmtId="3" fontId="1" fillId="0" borderId="8" xfId="0" applyNumberFormat="1" applyFont="1" applyBorder="1" applyAlignment="1">
      <alignment horizontal="left" vertical="center"/>
    </xf>
    <xf numFmtId="166" fontId="1" fillId="0" borderId="7" xfId="1" applyNumberFormat="1" applyFont="1" applyFill="1" applyBorder="1" applyAlignment="1">
      <alignment vertical="center"/>
    </xf>
    <xf numFmtId="4" fontId="5" fillId="0" borderId="2" xfId="2" applyNumberFormat="1" applyFont="1" applyBorder="1" applyAlignment="1">
      <alignment vertical="center"/>
    </xf>
  </cellXfs>
  <cellStyles count="3">
    <cellStyle name="Comma" xfId="1" builtinId="3"/>
    <cellStyle name="Comma_Sheet1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0"/>
  <sheetViews>
    <sheetView showGridLines="0" tabSelected="1" topLeftCell="A4" zoomScaleNormal="100" zoomScaleSheetLayoutView="110" workbookViewId="0">
      <selection activeCell="B29" sqref="B29"/>
    </sheetView>
  </sheetViews>
  <sheetFormatPr defaultColWidth="10.28515625" defaultRowHeight="12.75"/>
  <cols>
    <col min="1" max="1" width="29.28515625" customWidth="1"/>
    <col min="2" max="12" width="7.7109375" customWidth="1"/>
    <col min="13" max="13" width="13.85546875" customWidth="1"/>
  </cols>
  <sheetData>
    <row r="1" spans="1:14">
      <c r="A1" s="69"/>
      <c r="B1" s="69"/>
      <c r="C1" s="69"/>
      <c r="D1" s="69"/>
      <c r="E1" s="69"/>
      <c r="F1" s="69"/>
      <c r="G1" s="69"/>
      <c r="H1" s="69"/>
      <c r="I1" s="69"/>
      <c r="J1" s="70"/>
      <c r="K1" s="71"/>
      <c r="L1" s="72"/>
      <c r="M1" s="73"/>
    </row>
    <row r="2" spans="1:14" ht="23.25">
      <c r="A2" s="74" t="s">
        <v>29</v>
      </c>
      <c r="B2" s="74"/>
    </row>
    <row r="3" spans="1:14" ht="12" customHeight="1">
      <c r="A3" s="76"/>
      <c r="B3" s="74"/>
    </row>
    <row r="4" spans="1:14" ht="21">
      <c r="A4" s="1" t="s">
        <v>30</v>
      </c>
      <c r="L4" s="10"/>
    </row>
    <row r="5" spans="1:14" ht="15.75">
      <c r="A5" s="66" t="s">
        <v>33</v>
      </c>
      <c r="L5" s="10"/>
    </row>
    <row r="6" spans="1:14" ht="15.75">
      <c r="A6" s="77" t="s">
        <v>26</v>
      </c>
      <c r="B6" s="2"/>
      <c r="C6" s="2"/>
      <c r="D6" s="2"/>
      <c r="E6" s="2"/>
      <c r="F6" s="2"/>
      <c r="G6" s="2"/>
      <c r="H6" s="2"/>
      <c r="I6" s="2"/>
    </row>
    <row r="7" spans="1:14" ht="16.5" thickBot="1">
      <c r="A7" s="77"/>
      <c r="B7" s="2"/>
      <c r="C7" s="2"/>
      <c r="D7" s="2"/>
      <c r="E7" s="2"/>
      <c r="F7" s="2"/>
      <c r="G7" s="2"/>
      <c r="H7" s="2"/>
      <c r="I7" s="2"/>
    </row>
    <row r="8" spans="1:14" ht="16.5" thickBot="1">
      <c r="A8" s="75"/>
      <c r="B8" s="3">
        <v>2000</v>
      </c>
      <c r="C8" s="3">
        <v>2001</v>
      </c>
      <c r="D8" s="3">
        <v>2002</v>
      </c>
      <c r="E8" s="3">
        <v>2003</v>
      </c>
      <c r="F8" s="3">
        <v>2004</v>
      </c>
      <c r="G8" s="4">
        <v>2005</v>
      </c>
      <c r="H8" s="5">
        <v>2006</v>
      </c>
      <c r="I8" s="4">
        <v>2007</v>
      </c>
      <c r="J8" s="5">
        <v>2008</v>
      </c>
      <c r="K8" s="4">
        <v>2009</v>
      </c>
      <c r="L8" s="4">
        <v>2010</v>
      </c>
      <c r="M8" s="6" t="s">
        <v>0</v>
      </c>
    </row>
    <row r="9" spans="1:14" ht="13.5" thickBot="1">
      <c r="A9" s="17" t="s">
        <v>1</v>
      </c>
      <c r="B9" s="29"/>
      <c r="C9" s="29"/>
      <c r="D9" s="29"/>
      <c r="E9" s="29"/>
      <c r="F9" s="29"/>
      <c r="G9" s="23"/>
      <c r="H9" s="24">
        <v>5</v>
      </c>
      <c r="I9" s="25">
        <v>5</v>
      </c>
      <c r="J9" s="26">
        <v>5</v>
      </c>
      <c r="K9" s="24">
        <v>5</v>
      </c>
      <c r="L9" s="24">
        <v>8.6</v>
      </c>
      <c r="M9" s="27">
        <f t="shared" ref="M9:M23" si="0">SUM(B9:L9)</f>
        <v>28.6</v>
      </c>
      <c r="N9" s="67"/>
    </row>
    <row r="10" spans="1:14" ht="13.5" thickBot="1">
      <c r="A10" s="8" t="s">
        <v>2</v>
      </c>
      <c r="B10" s="29"/>
      <c r="C10" s="29"/>
      <c r="D10" s="29">
        <v>1.88035602</v>
      </c>
      <c r="E10" s="29">
        <v>4.7554213499999998</v>
      </c>
      <c r="F10" s="29">
        <f>6.03283512+3.02989913</f>
        <v>9.0627342500000001</v>
      </c>
      <c r="G10" s="31">
        <v>130.86864059999999</v>
      </c>
      <c r="H10" s="30">
        <v>5.1903114199999996</v>
      </c>
      <c r="I10" s="30"/>
      <c r="J10" s="32"/>
      <c r="K10" s="30"/>
      <c r="L10" s="30"/>
      <c r="M10" s="27">
        <f t="shared" si="0"/>
        <v>151.75746364</v>
      </c>
      <c r="N10" s="67"/>
    </row>
    <row r="11" spans="1:14" ht="13.5" thickBot="1">
      <c r="A11" s="8" t="s">
        <v>3</v>
      </c>
      <c r="B11" s="29"/>
      <c r="C11" s="33">
        <v>1.1474074299999999</v>
      </c>
      <c r="D11" s="29"/>
      <c r="E11" s="29"/>
      <c r="F11" s="33">
        <v>3.3388792199999999</v>
      </c>
      <c r="G11" s="34">
        <v>3.4161073900000001</v>
      </c>
      <c r="H11" s="30">
        <v>4.4112623400000004</v>
      </c>
      <c r="I11" s="30">
        <v>4.7375400000000001</v>
      </c>
      <c r="J11" s="32"/>
      <c r="K11" s="30">
        <f>4.40179593+4.69659966</f>
        <v>9.0983955899999991</v>
      </c>
      <c r="L11" s="30">
        <v>1.807207</v>
      </c>
      <c r="M11" s="27">
        <f t="shared" si="0"/>
        <v>27.956798970000001</v>
      </c>
      <c r="N11" s="67"/>
    </row>
    <row r="12" spans="1:14" ht="13.5" thickBot="1">
      <c r="A12" s="8" t="s">
        <v>4</v>
      </c>
      <c r="B12" s="29"/>
      <c r="C12" s="29"/>
      <c r="D12" s="29"/>
      <c r="E12" s="33">
        <v>1.26</v>
      </c>
      <c r="F12" s="29"/>
      <c r="G12" s="34"/>
      <c r="H12" s="30"/>
      <c r="I12" s="30">
        <v>4.84964</v>
      </c>
      <c r="J12" s="32">
        <v>23.129114000000001</v>
      </c>
      <c r="K12" s="30">
        <v>28.630130000000001</v>
      </c>
      <c r="L12" s="30"/>
      <c r="M12" s="27">
        <f t="shared" si="0"/>
        <v>57.868884000000001</v>
      </c>
      <c r="N12" s="67"/>
    </row>
    <row r="13" spans="1:14" ht="13.5" thickBot="1">
      <c r="A13" s="8" t="s">
        <v>5</v>
      </c>
      <c r="B13" s="29"/>
      <c r="C13" s="29"/>
      <c r="D13" s="29"/>
      <c r="E13" s="29"/>
      <c r="F13" s="33">
        <v>6.0291139200000003</v>
      </c>
      <c r="G13" s="34"/>
      <c r="H13" s="30">
        <v>12.63</v>
      </c>
      <c r="I13" s="30"/>
      <c r="J13" s="32"/>
      <c r="K13" s="30"/>
      <c r="L13" s="30"/>
      <c r="M13" s="27">
        <f t="shared" si="0"/>
        <v>18.659113920000003</v>
      </c>
      <c r="N13" s="67"/>
    </row>
    <row r="14" spans="1:14" ht="13.5" thickBot="1">
      <c r="A14" s="9" t="s">
        <v>6</v>
      </c>
      <c r="B14" s="29"/>
      <c r="C14" s="29"/>
      <c r="D14" s="29"/>
      <c r="E14" s="29"/>
      <c r="F14" s="29"/>
      <c r="G14" s="34"/>
      <c r="H14" s="30">
        <v>5.2603999999999997</v>
      </c>
      <c r="I14" s="30">
        <v>5.9480000000000004</v>
      </c>
      <c r="J14" s="32"/>
      <c r="K14" s="30">
        <f>2.81518+2.9062</f>
        <v>5.7213799999999999</v>
      </c>
      <c r="L14" s="30">
        <f>2.45078+2.6852</f>
        <v>5.13598</v>
      </c>
      <c r="M14" s="27">
        <f t="shared" si="0"/>
        <v>22.065760000000001</v>
      </c>
      <c r="N14" s="67"/>
    </row>
    <row r="15" spans="1:14" ht="13.5" thickBot="1">
      <c r="A15" s="8" t="s">
        <v>7</v>
      </c>
      <c r="B15" s="29"/>
      <c r="C15" s="29"/>
      <c r="D15" s="33">
        <v>0.51075000000000004</v>
      </c>
      <c r="E15" s="33">
        <v>0.62375000000000003</v>
      </c>
      <c r="F15" s="33">
        <v>0.65</v>
      </c>
      <c r="G15" s="34">
        <v>0.83145999999999998</v>
      </c>
      <c r="H15" s="30">
        <v>7.9020000000000001</v>
      </c>
      <c r="I15" s="28">
        <v>8.3111999999999995</v>
      </c>
      <c r="J15" s="32">
        <v>3.8413200000000001</v>
      </c>
      <c r="K15" s="30">
        <f>2.076+1.464</f>
        <v>3.54</v>
      </c>
      <c r="L15" s="30">
        <v>3.6308630000000002</v>
      </c>
      <c r="M15" s="27">
        <f t="shared" si="0"/>
        <v>29.841343000000002</v>
      </c>
      <c r="N15" s="67"/>
    </row>
    <row r="16" spans="1:14" ht="13.5" thickBot="1">
      <c r="A16" s="8" t="s">
        <v>8</v>
      </c>
      <c r="B16" s="29"/>
      <c r="C16" s="29"/>
      <c r="D16" s="33"/>
      <c r="E16" s="33"/>
      <c r="F16" s="35"/>
      <c r="G16" s="36">
        <v>0.64515</v>
      </c>
      <c r="H16" s="30">
        <v>1.318775</v>
      </c>
      <c r="I16" s="28">
        <v>0.81184000000000001</v>
      </c>
      <c r="J16" s="32">
        <v>1.4229000000000001</v>
      </c>
      <c r="K16" s="30">
        <v>1.1912400000000001</v>
      </c>
      <c r="L16" s="30">
        <v>1.1004400000000001</v>
      </c>
      <c r="M16" s="27">
        <f t="shared" si="0"/>
        <v>6.4903450000000005</v>
      </c>
      <c r="N16" s="67"/>
    </row>
    <row r="17" spans="1:14" ht="13.5" thickBot="1">
      <c r="A17" s="8" t="s">
        <v>9</v>
      </c>
      <c r="B17" s="29"/>
      <c r="C17" s="29">
        <v>24.060334619999999</v>
      </c>
      <c r="D17" s="29">
        <v>13.375171870000001</v>
      </c>
      <c r="E17" s="29">
        <v>16.492641949999999</v>
      </c>
      <c r="F17" s="33">
        <v>17.329866450000001</v>
      </c>
      <c r="G17" s="34">
        <v>15.85941435</v>
      </c>
      <c r="H17" s="30"/>
      <c r="I17" s="28">
        <v>33.547469</v>
      </c>
      <c r="J17" s="32">
        <v>38.885300999999998</v>
      </c>
      <c r="K17" s="30">
        <v>31.20579</v>
      </c>
      <c r="L17" s="30">
        <v>25.1113845</v>
      </c>
      <c r="M17" s="27">
        <f t="shared" si="0"/>
        <v>215.86737374000001</v>
      </c>
      <c r="N17" s="67"/>
    </row>
    <row r="18" spans="1:14" ht="13.5" thickBot="1">
      <c r="A18" s="8" t="s">
        <v>21</v>
      </c>
      <c r="B18" s="29"/>
      <c r="C18" s="33">
        <v>17.894689750000001</v>
      </c>
      <c r="D18" s="33">
        <v>21.325656089999999</v>
      </c>
      <c r="E18" s="33">
        <v>21.791086740000001</v>
      </c>
      <c r="F18" s="33">
        <v>40.92459264</v>
      </c>
      <c r="G18" s="34">
        <v>39.53459411</v>
      </c>
      <c r="H18" s="30">
        <f>64.9793137+2.4</f>
        <v>67.379313700000012</v>
      </c>
      <c r="I18" s="37">
        <v>86.156761000000003</v>
      </c>
      <c r="J18" s="32">
        <v>65.449483259999994</v>
      </c>
      <c r="K18" s="30">
        <v>82.800324709999998</v>
      </c>
      <c r="L18" s="30">
        <v>76.483608000000004</v>
      </c>
      <c r="M18" s="27">
        <f t="shared" si="0"/>
        <v>519.74010999999996</v>
      </c>
      <c r="N18" s="67"/>
    </row>
    <row r="19" spans="1:14" ht="13.5" thickBot="1">
      <c r="A19" s="9" t="s">
        <v>22</v>
      </c>
      <c r="B19" s="29"/>
      <c r="C19" s="33"/>
      <c r="D19" s="33"/>
      <c r="E19" s="33"/>
      <c r="F19" s="33"/>
      <c r="G19" s="34"/>
      <c r="H19" s="30"/>
      <c r="I19" s="30"/>
      <c r="J19" s="32"/>
      <c r="K19" s="30"/>
      <c r="L19" s="30">
        <v>0.4</v>
      </c>
      <c r="M19" s="27">
        <f t="shared" si="0"/>
        <v>0.4</v>
      </c>
      <c r="N19" s="67"/>
    </row>
    <row r="20" spans="1:14" ht="13.5" thickBot="1">
      <c r="A20" s="8" t="s">
        <v>13</v>
      </c>
      <c r="B20" s="29"/>
      <c r="C20" s="29"/>
      <c r="D20" s="29"/>
      <c r="E20" s="29"/>
      <c r="F20" s="29"/>
      <c r="G20" s="34"/>
      <c r="H20" s="29"/>
      <c r="I20" s="29"/>
      <c r="J20" s="32">
        <v>40.536200000000001</v>
      </c>
      <c r="K20" s="30"/>
      <c r="L20" s="30"/>
      <c r="M20" s="27">
        <f t="shared" si="0"/>
        <v>40.536200000000001</v>
      </c>
      <c r="N20" s="67"/>
    </row>
    <row r="21" spans="1:14" ht="13.5" thickBot="1">
      <c r="A21" s="8" t="s">
        <v>10</v>
      </c>
      <c r="B21" s="29"/>
      <c r="C21" s="33">
        <v>1.8921325899999999</v>
      </c>
      <c r="D21" s="33">
        <v>1.1147999799999999</v>
      </c>
      <c r="E21" s="33">
        <v>2.38518169</v>
      </c>
      <c r="F21" s="33">
        <v>4.9314298799999996</v>
      </c>
      <c r="G21" s="34">
        <v>12.66340061</v>
      </c>
      <c r="H21" s="30">
        <v>14.593975029999999</v>
      </c>
      <c r="I21" s="30">
        <v>15.514976000000001</v>
      </c>
      <c r="J21" s="32">
        <v>19.151976000000001</v>
      </c>
      <c r="K21" s="30">
        <v>13.80099952</v>
      </c>
      <c r="L21" s="30">
        <v>36.487497500000003</v>
      </c>
      <c r="M21" s="27">
        <f t="shared" si="0"/>
        <v>122.53636880000002</v>
      </c>
      <c r="N21" s="67"/>
    </row>
    <row r="22" spans="1:14" ht="13.5" thickBot="1">
      <c r="A22" s="8" t="s">
        <v>11</v>
      </c>
      <c r="B22" s="29">
        <v>4.4634</v>
      </c>
      <c r="C22" s="29"/>
      <c r="D22" s="33">
        <v>15.048249999999999</v>
      </c>
      <c r="E22" s="29">
        <v>5.60595</v>
      </c>
      <c r="F22" s="33">
        <v>18.491534999999999</v>
      </c>
      <c r="G22" s="34">
        <v>6.6251490000000004</v>
      </c>
      <c r="H22" s="30">
        <v>23.214072000000002</v>
      </c>
      <c r="I22" s="28">
        <f>19.611+28.502952</f>
        <v>48.113951999999998</v>
      </c>
      <c r="J22" s="32"/>
      <c r="K22" s="30"/>
      <c r="L22" s="38">
        <v>15.883044</v>
      </c>
      <c r="M22" s="27">
        <f t="shared" si="0"/>
        <v>137.44535199999999</v>
      </c>
      <c r="N22" s="67"/>
    </row>
    <row r="23" spans="1:14" ht="13.5" thickBot="1">
      <c r="A23" s="7" t="s">
        <v>12</v>
      </c>
      <c r="B23" s="22"/>
      <c r="C23" s="39">
        <v>48.091999999999999</v>
      </c>
      <c r="D23" s="39">
        <v>53</v>
      </c>
      <c r="E23" s="39">
        <v>58</v>
      </c>
      <c r="F23" s="39">
        <v>59.64</v>
      </c>
      <c r="G23" s="40">
        <v>64.48</v>
      </c>
      <c r="H23" s="41">
        <v>69.3</v>
      </c>
      <c r="I23" s="42">
        <v>69.3</v>
      </c>
      <c r="J23" s="43">
        <v>71.912999999999997</v>
      </c>
      <c r="K23" s="41">
        <v>75</v>
      </c>
      <c r="L23" s="41">
        <v>78</v>
      </c>
      <c r="M23" s="27">
        <f t="shared" si="0"/>
        <v>646.72500000000002</v>
      </c>
      <c r="N23" s="67"/>
    </row>
    <row r="24" spans="1:14" ht="13.5" thickBot="1">
      <c r="A24" s="12" t="s">
        <v>23</v>
      </c>
      <c r="B24" s="44">
        <f t="shared" ref="B24:J24" si="1">SUM(B9:B23)</f>
        <v>4.4634</v>
      </c>
      <c r="C24" s="44">
        <f>SUM(C9:C23)</f>
        <v>93.086564390000007</v>
      </c>
      <c r="D24" s="44">
        <f t="shared" si="1"/>
        <v>106.25498396</v>
      </c>
      <c r="E24" s="44">
        <f t="shared" si="1"/>
        <v>110.91403173</v>
      </c>
      <c r="F24" s="44">
        <f t="shared" si="1"/>
        <v>160.39815135999999</v>
      </c>
      <c r="G24" s="44">
        <f t="shared" si="1"/>
        <v>274.92391606000001</v>
      </c>
      <c r="H24" s="44">
        <f t="shared" si="1"/>
        <v>216.20010949000005</v>
      </c>
      <c r="I24" s="44">
        <f t="shared" si="1"/>
        <v>282.29137800000001</v>
      </c>
      <c r="J24" s="44">
        <f t="shared" si="1"/>
        <v>269.32929425999998</v>
      </c>
      <c r="K24" s="44">
        <f>SUM(K9:K23)</f>
        <v>255.98825982</v>
      </c>
      <c r="L24" s="44">
        <f>SUM(L9:L23)</f>
        <v>252.64002400000001</v>
      </c>
      <c r="M24" s="64">
        <f>SUM(M9:M23)</f>
        <v>2026.49011307</v>
      </c>
      <c r="N24" s="67"/>
    </row>
    <row r="25" spans="1:14" s="16" customFormat="1" ht="13.5" thickBot="1">
      <c r="A25" s="18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67"/>
    </row>
    <row r="26" spans="1:14" s="16" customFormat="1" ht="13.5" thickBot="1">
      <c r="A26" s="53" t="s">
        <v>17</v>
      </c>
      <c r="B26" s="54">
        <v>325</v>
      </c>
      <c r="C26" s="54">
        <v>425</v>
      </c>
      <c r="D26" s="54"/>
      <c r="E26" s="54">
        <v>3.5</v>
      </c>
      <c r="F26" s="54">
        <v>5</v>
      </c>
      <c r="G26" s="54">
        <v>154.33799999999999</v>
      </c>
      <c r="H26" s="54"/>
      <c r="I26" s="54">
        <v>75</v>
      </c>
      <c r="J26" s="54">
        <v>75</v>
      </c>
      <c r="K26" s="54">
        <v>75</v>
      </c>
      <c r="L26" s="54">
        <v>75</v>
      </c>
      <c r="M26" s="55">
        <f>SUM(B26:L26)</f>
        <v>1212.838</v>
      </c>
      <c r="N26" s="67"/>
    </row>
    <row r="27" spans="1:14" s="16" customFormat="1" ht="26.25" thickBot="1">
      <c r="A27" s="68" t="s">
        <v>27</v>
      </c>
      <c r="B27" s="57"/>
      <c r="C27" s="57"/>
      <c r="D27" s="57"/>
      <c r="E27" s="57"/>
      <c r="F27" s="57"/>
      <c r="G27" s="57"/>
      <c r="H27" s="57"/>
      <c r="I27" s="60"/>
      <c r="J27" s="61"/>
      <c r="K27" s="61"/>
      <c r="L27" s="61"/>
      <c r="M27" s="55"/>
      <c r="N27" s="67"/>
    </row>
    <row r="28" spans="1:14" ht="13.5" thickBot="1">
      <c r="A28" s="63" t="s">
        <v>25</v>
      </c>
      <c r="B28" s="57"/>
      <c r="C28" s="57"/>
      <c r="D28" s="57"/>
      <c r="E28" s="57"/>
      <c r="F28" s="57"/>
      <c r="G28" s="57"/>
      <c r="H28" s="57"/>
      <c r="I28" s="60"/>
      <c r="J28" s="61">
        <v>5.8</v>
      </c>
      <c r="K28" s="61">
        <v>5.9</v>
      </c>
      <c r="L28" s="61">
        <v>4</v>
      </c>
      <c r="M28" s="55">
        <f>SUM(B28:L28)</f>
        <v>15.7</v>
      </c>
      <c r="N28" s="67"/>
    </row>
    <row r="29" spans="1:14" ht="13.5" thickBot="1">
      <c r="A29" s="21" t="s">
        <v>16</v>
      </c>
      <c r="B29" s="85">
        <v>0.02</v>
      </c>
      <c r="C29" s="56"/>
      <c r="D29" s="56">
        <v>1.6303609999999999</v>
      </c>
      <c r="E29" s="56">
        <v>2.5808469999999999</v>
      </c>
      <c r="F29" s="56">
        <v>1.805051</v>
      </c>
      <c r="G29" s="56">
        <v>0.47348000000000001</v>
      </c>
      <c r="H29" s="56">
        <v>1.904352</v>
      </c>
      <c r="I29" s="62">
        <v>1.1000000000000001</v>
      </c>
      <c r="J29" s="62">
        <v>0.8</v>
      </c>
      <c r="K29" s="62">
        <v>1</v>
      </c>
      <c r="L29" s="62">
        <v>1</v>
      </c>
      <c r="M29" s="58">
        <f>SUM(B29:L29)</f>
        <v>12.314090999999999</v>
      </c>
      <c r="N29" s="67"/>
    </row>
    <row r="30" spans="1:14" ht="13.5" thickBot="1">
      <c r="A30" s="12" t="s">
        <v>24</v>
      </c>
      <c r="B30" s="59">
        <f t="shared" ref="B30:L30" si="2">SUM(B26:B29)</f>
        <v>325.02</v>
      </c>
      <c r="C30" s="59">
        <f t="shared" si="2"/>
        <v>425</v>
      </c>
      <c r="D30" s="59">
        <f t="shared" si="2"/>
        <v>1.6303609999999999</v>
      </c>
      <c r="E30" s="59">
        <f t="shared" si="2"/>
        <v>6.0808470000000003</v>
      </c>
      <c r="F30" s="59">
        <f t="shared" si="2"/>
        <v>6.8050509999999997</v>
      </c>
      <c r="G30" s="59">
        <f t="shared" si="2"/>
        <v>154.81147999999999</v>
      </c>
      <c r="H30" s="59">
        <f t="shared" si="2"/>
        <v>1.904352</v>
      </c>
      <c r="I30" s="59">
        <f t="shared" si="2"/>
        <v>76.099999999999994</v>
      </c>
      <c r="J30" s="59">
        <f t="shared" si="2"/>
        <v>81.599999999999994</v>
      </c>
      <c r="K30" s="59">
        <f t="shared" si="2"/>
        <v>81.900000000000006</v>
      </c>
      <c r="L30" s="59">
        <f t="shared" si="2"/>
        <v>80</v>
      </c>
      <c r="M30" s="65">
        <f>SUM(M26:M29)</f>
        <v>1240.852091</v>
      </c>
      <c r="N30" s="67"/>
    </row>
    <row r="31" spans="1:14" s="16" customFormat="1" ht="13.5" thickBot="1">
      <c r="A31" s="1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5"/>
      <c r="N31" s="67"/>
    </row>
    <row r="32" spans="1:14" ht="13.5" thickBot="1">
      <c r="A32" s="19" t="s">
        <v>20</v>
      </c>
      <c r="B32" s="47">
        <f t="shared" ref="B32:M32" si="3">B24+B30</f>
        <v>329.48339999999996</v>
      </c>
      <c r="C32" s="47">
        <f t="shared" si="3"/>
        <v>518.08656439000004</v>
      </c>
      <c r="D32" s="47">
        <f t="shared" si="3"/>
        <v>107.88534496</v>
      </c>
      <c r="E32" s="47">
        <f t="shared" si="3"/>
        <v>116.99487873000001</v>
      </c>
      <c r="F32" s="47">
        <f t="shared" si="3"/>
        <v>167.20320235999998</v>
      </c>
      <c r="G32" s="47">
        <f t="shared" si="3"/>
        <v>429.73539605999997</v>
      </c>
      <c r="H32" s="47">
        <f t="shared" si="3"/>
        <v>218.10446149000003</v>
      </c>
      <c r="I32" s="47">
        <f t="shared" si="3"/>
        <v>358.39137800000003</v>
      </c>
      <c r="J32" s="47">
        <f t="shared" si="3"/>
        <v>350.92929426000001</v>
      </c>
      <c r="K32" s="47">
        <f t="shared" si="3"/>
        <v>337.88825982000003</v>
      </c>
      <c r="L32" s="47">
        <f t="shared" si="3"/>
        <v>332.64002400000004</v>
      </c>
      <c r="M32" s="48">
        <f t="shared" si="3"/>
        <v>3267.3422040699998</v>
      </c>
      <c r="N32" s="67"/>
    </row>
    <row r="33" spans="1:14" s="14" customFormat="1" ht="13.5" thickBot="1">
      <c r="A33" s="1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67"/>
    </row>
    <row r="34" spans="1:14" ht="13.5" thickBot="1">
      <c r="A34" s="13" t="s">
        <v>19</v>
      </c>
      <c r="B34" s="44"/>
      <c r="C34" s="44"/>
      <c r="D34" s="44"/>
      <c r="E34" s="44"/>
      <c r="F34" s="44"/>
      <c r="G34" s="44"/>
      <c r="H34" s="44">
        <v>524.74928499999999</v>
      </c>
      <c r="I34" s="44">
        <v>428.268866</v>
      </c>
      <c r="J34" s="44">
        <v>272.63813299999998</v>
      </c>
      <c r="K34" s="44">
        <v>330.02699999999999</v>
      </c>
      <c r="L34" s="44">
        <v>320</v>
      </c>
      <c r="M34" s="49">
        <f>SUM(B34:L34)</f>
        <v>1875.683284</v>
      </c>
      <c r="N34" s="67"/>
    </row>
    <row r="35" spans="1:14" ht="13.5" thickBot="1">
      <c r="A35" s="13" t="s">
        <v>18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>
        <v>42.877049999999997</v>
      </c>
      <c r="M35" s="64">
        <f>SUM(B35:L35)</f>
        <v>42.877049999999997</v>
      </c>
      <c r="N35" s="67"/>
    </row>
    <row r="36" spans="1:14" s="16" customFormat="1" ht="13.5" thickBot="1">
      <c r="A36" s="1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67"/>
    </row>
    <row r="37" spans="1:14" ht="13.5" thickBot="1">
      <c r="A37" s="20" t="s">
        <v>15</v>
      </c>
      <c r="B37" s="50">
        <f t="shared" ref="B37:G37" si="4">SUM(B24+B34+B35+B30)</f>
        <v>329.48339999999996</v>
      </c>
      <c r="C37" s="50">
        <f t="shared" si="4"/>
        <v>518.08656439000004</v>
      </c>
      <c r="D37" s="50">
        <f t="shared" si="4"/>
        <v>107.88534496</v>
      </c>
      <c r="E37" s="50">
        <f t="shared" si="4"/>
        <v>116.99487873000001</v>
      </c>
      <c r="F37" s="50">
        <f t="shared" si="4"/>
        <v>167.20320235999998</v>
      </c>
      <c r="G37" s="50">
        <f t="shared" si="4"/>
        <v>429.73539605999997</v>
      </c>
      <c r="H37" s="50">
        <f>SUM(H24+H34+H35+H30)</f>
        <v>742.85374649000005</v>
      </c>
      <c r="I37" s="50">
        <f>SUM(I24+I34+I35+I30)</f>
        <v>786.66024400000003</v>
      </c>
      <c r="J37" s="50">
        <f>SUM(J24+J34+J35+J30)</f>
        <v>623.56742726000004</v>
      </c>
      <c r="K37" s="50">
        <f>SUM(K24+K34+K35+K30)</f>
        <v>667.91525981999996</v>
      </c>
      <c r="L37" s="50">
        <f>SUM(L24+L34+L35+L30)</f>
        <v>695.51707400000009</v>
      </c>
      <c r="M37" s="50">
        <f>SUM(M32:M35)</f>
        <v>5185.9025380699995</v>
      </c>
      <c r="N37" s="67"/>
    </row>
    <row r="38" spans="1:14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4">
      <c r="A39" s="52" t="s">
        <v>14</v>
      </c>
      <c r="C39" s="2"/>
      <c r="D39" s="2"/>
      <c r="F39" s="2"/>
      <c r="G39" s="2"/>
      <c r="H39" s="51"/>
    </row>
    <row r="40" spans="1:14">
      <c r="K40" s="2"/>
      <c r="L40" s="2"/>
    </row>
  </sheetData>
  <pageMargins left="0.7" right="0.7" top="0.75" bottom="0.75" header="0.3" footer="0.3"/>
  <pageSetup paperSize="9" scale="8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2"/>
  <sheetViews>
    <sheetView showGridLines="0" zoomScaleNormal="100" zoomScaleSheetLayoutView="110" workbookViewId="0">
      <selection activeCell="B31" sqref="B31"/>
    </sheetView>
  </sheetViews>
  <sheetFormatPr defaultColWidth="10.28515625" defaultRowHeight="12.75"/>
  <cols>
    <col min="1" max="1" width="29.28515625" customWidth="1"/>
    <col min="2" max="12" width="7.7109375" customWidth="1"/>
    <col min="13" max="13" width="9.42578125" customWidth="1"/>
    <col min="14" max="14" width="13.85546875" customWidth="1"/>
  </cols>
  <sheetData>
    <row r="1" spans="1:15">
      <c r="A1" s="69"/>
      <c r="B1" s="69"/>
      <c r="C1" s="69"/>
      <c r="D1" s="69"/>
      <c r="E1" s="69"/>
      <c r="F1" s="69"/>
      <c r="G1" s="69"/>
      <c r="H1" s="69"/>
      <c r="I1" s="69"/>
      <c r="J1" s="69"/>
      <c r="K1" s="70"/>
      <c r="L1" s="71"/>
      <c r="M1" s="72"/>
      <c r="N1" s="73"/>
    </row>
    <row r="2" spans="1:15" ht="23.25">
      <c r="A2" s="74" t="s">
        <v>29</v>
      </c>
      <c r="B2" s="74"/>
    </row>
    <row r="3" spans="1:15" ht="9" customHeight="1">
      <c r="A3" s="76"/>
      <c r="B3" s="74"/>
    </row>
    <row r="4" spans="1:15" ht="21">
      <c r="A4" s="1" t="s">
        <v>28</v>
      </c>
      <c r="M4" s="10"/>
    </row>
    <row r="5" spans="1:15" ht="15.75">
      <c r="A5" s="66" t="s">
        <v>31</v>
      </c>
      <c r="M5" s="10"/>
    </row>
    <row r="6" spans="1:15" ht="15.75">
      <c r="A6" s="77" t="s">
        <v>26</v>
      </c>
      <c r="B6" s="2"/>
      <c r="C6" s="2"/>
      <c r="D6" s="2"/>
      <c r="E6" s="2"/>
      <c r="F6" s="2"/>
      <c r="G6" s="2"/>
      <c r="H6" s="2"/>
      <c r="I6" s="2"/>
    </row>
    <row r="7" spans="1:15" ht="16.5" thickBot="1">
      <c r="A7" s="77"/>
      <c r="B7" s="2"/>
      <c r="C7" s="2"/>
      <c r="D7" s="2"/>
      <c r="E7" s="2"/>
      <c r="F7" s="2"/>
      <c r="G7" s="2"/>
      <c r="H7" s="2"/>
      <c r="I7" s="2"/>
    </row>
    <row r="8" spans="1:15" ht="16.5" thickBot="1">
      <c r="A8" s="75"/>
      <c r="B8" s="3">
        <v>2000</v>
      </c>
      <c r="C8" s="3">
        <v>2001</v>
      </c>
      <c r="D8" s="3">
        <v>2002</v>
      </c>
      <c r="E8" s="3">
        <v>2003</v>
      </c>
      <c r="F8" s="3">
        <v>2004</v>
      </c>
      <c r="G8" s="4">
        <v>2005</v>
      </c>
      <c r="H8" s="5">
        <v>2006</v>
      </c>
      <c r="I8" s="4">
        <v>2007</v>
      </c>
      <c r="J8" s="5">
        <v>2008</v>
      </c>
      <c r="K8" s="4">
        <v>2009</v>
      </c>
      <c r="L8" s="4">
        <v>2010</v>
      </c>
      <c r="M8" s="4">
        <v>2011</v>
      </c>
      <c r="N8" s="6" t="s">
        <v>0</v>
      </c>
    </row>
    <row r="9" spans="1:15" ht="13.5" thickBot="1">
      <c r="A9" s="17" t="s">
        <v>1</v>
      </c>
      <c r="B9" s="29"/>
      <c r="C9" s="29"/>
      <c r="D9" s="29"/>
      <c r="E9" s="29"/>
      <c r="F9" s="29"/>
      <c r="G9" s="23"/>
      <c r="H9" s="24">
        <v>5</v>
      </c>
      <c r="I9" s="25">
        <v>5</v>
      </c>
      <c r="J9" s="26">
        <v>5</v>
      </c>
      <c r="K9" s="24">
        <v>5</v>
      </c>
      <c r="L9" s="24">
        <v>8.6</v>
      </c>
      <c r="M9" s="24">
        <f>(21850+12626+14368)/1000</f>
        <v>48.844000000000001</v>
      </c>
      <c r="N9" s="27">
        <f>SUM(B9:M9)</f>
        <v>77.444000000000003</v>
      </c>
      <c r="O9" s="67"/>
    </row>
    <row r="10" spans="1:15" ht="13.5" thickBot="1">
      <c r="A10" s="8" t="s">
        <v>2</v>
      </c>
      <c r="B10" s="29"/>
      <c r="C10" s="29"/>
      <c r="D10" s="29">
        <v>1.88035602</v>
      </c>
      <c r="E10" s="29">
        <v>4.7554213499999998</v>
      </c>
      <c r="F10" s="29">
        <f>6.03283512+3.02989913</f>
        <v>9.0627342500000001</v>
      </c>
      <c r="G10" s="31">
        <v>130.86864059999999</v>
      </c>
      <c r="H10" s="30">
        <v>5.1903114199999996</v>
      </c>
      <c r="I10" s="30"/>
      <c r="J10" s="32"/>
      <c r="K10" s="30"/>
      <c r="L10" s="30"/>
      <c r="M10" s="30">
        <f>20736/1000</f>
        <v>20.736000000000001</v>
      </c>
      <c r="N10" s="27">
        <f t="shared" ref="N10:N24" si="0">SUM(B10:M10)</f>
        <v>172.49346363999999</v>
      </c>
      <c r="O10" s="67"/>
    </row>
    <row r="11" spans="1:15" ht="13.5" thickBot="1">
      <c r="A11" s="8" t="s">
        <v>3</v>
      </c>
      <c r="B11" s="29"/>
      <c r="C11" s="33">
        <v>1.1474074299999999</v>
      </c>
      <c r="D11" s="29"/>
      <c r="E11" s="29"/>
      <c r="F11" s="33">
        <v>3.3388792199999999</v>
      </c>
      <c r="G11" s="34">
        <v>3.4161073900000001</v>
      </c>
      <c r="H11" s="30">
        <v>4.4112623400000004</v>
      </c>
      <c r="I11" s="30">
        <v>4.7375400000000001</v>
      </c>
      <c r="J11" s="32"/>
      <c r="K11" s="30">
        <f>4.40179593+4.69659966</f>
        <v>9.0983955899999991</v>
      </c>
      <c r="L11" s="30">
        <v>1.807207</v>
      </c>
      <c r="M11" s="30">
        <f>4434/1000</f>
        <v>4.4340000000000002</v>
      </c>
      <c r="N11" s="27">
        <f t="shared" si="0"/>
        <v>32.390798969999999</v>
      </c>
      <c r="O11" s="67"/>
    </row>
    <row r="12" spans="1:15" ht="13.5" thickBot="1">
      <c r="A12" s="8" t="s">
        <v>4</v>
      </c>
      <c r="B12" s="29"/>
      <c r="C12" s="29"/>
      <c r="D12" s="29"/>
      <c r="E12" s="33">
        <v>1.26</v>
      </c>
      <c r="F12" s="29"/>
      <c r="G12" s="34"/>
      <c r="H12" s="30"/>
      <c r="I12" s="30">
        <v>4.84964</v>
      </c>
      <c r="J12" s="32">
        <v>23.129114000000001</v>
      </c>
      <c r="K12" s="30">
        <v>28.630130000000001</v>
      </c>
      <c r="L12" s="30"/>
      <c r="M12" s="78"/>
      <c r="N12" s="27">
        <f t="shared" si="0"/>
        <v>57.868884000000001</v>
      </c>
      <c r="O12" s="67"/>
    </row>
    <row r="13" spans="1:15" ht="13.5" thickBot="1">
      <c r="A13" s="8" t="s">
        <v>5</v>
      </c>
      <c r="B13" s="29"/>
      <c r="C13" s="29"/>
      <c r="D13" s="29"/>
      <c r="E13" s="29"/>
      <c r="F13" s="33">
        <v>6.0291139200000003</v>
      </c>
      <c r="G13" s="34"/>
      <c r="H13" s="30">
        <v>12.63</v>
      </c>
      <c r="I13" s="30"/>
      <c r="J13" s="32"/>
      <c r="K13" s="30"/>
      <c r="L13" s="30"/>
      <c r="M13" s="78"/>
      <c r="N13" s="27">
        <f t="shared" si="0"/>
        <v>18.659113920000003</v>
      </c>
      <c r="O13" s="67"/>
    </row>
    <row r="14" spans="1:15" ht="13.5" thickBot="1">
      <c r="A14" s="9" t="s">
        <v>6</v>
      </c>
      <c r="B14" s="29"/>
      <c r="C14" s="29"/>
      <c r="D14" s="29"/>
      <c r="E14" s="29"/>
      <c r="F14" s="29"/>
      <c r="G14" s="34"/>
      <c r="H14" s="30">
        <v>5.2603999999999997</v>
      </c>
      <c r="I14" s="30">
        <v>5.9480000000000004</v>
      </c>
      <c r="J14" s="32"/>
      <c r="K14" s="30">
        <f>2.81518+2.9062</f>
        <v>5.7213799999999999</v>
      </c>
      <c r="L14" s="30">
        <f>2.45078+2.6852</f>
        <v>5.13598</v>
      </c>
      <c r="M14" s="30">
        <f>6491/1000</f>
        <v>6.4909999999999997</v>
      </c>
      <c r="N14" s="27">
        <f t="shared" si="0"/>
        <v>28.556760000000001</v>
      </c>
      <c r="O14" s="67"/>
    </row>
    <row r="15" spans="1:15" ht="13.5" thickBot="1">
      <c r="A15" s="8" t="s">
        <v>7</v>
      </c>
      <c r="B15" s="29"/>
      <c r="C15" s="29"/>
      <c r="D15" s="33">
        <v>0.51075000000000004</v>
      </c>
      <c r="E15" s="33">
        <v>0.62375000000000003</v>
      </c>
      <c r="F15" s="33">
        <v>0.65</v>
      </c>
      <c r="G15" s="34">
        <v>0.83145999999999998</v>
      </c>
      <c r="H15" s="30">
        <v>7.9020000000000001</v>
      </c>
      <c r="I15" s="28">
        <v>8.3111999999999995</v>
      </c>
      <c r="J15" s="32">
        <v>3.8413200000000001</v>
      </c>
      <c r="K15" s="30">
        <f>2.076+1.464</f>
        <v>3.54</v>
      </c>
      <c r="L15" s="30">
        <v>3.6308630000000002</v>
      </c>
      <c r="M15" s="30">
        <f>3253/1000</f>
        <v>3.2530000000000001</v>
      </c>
      <c r="N15" s="27">
        <f t="shared" si="0"/>
        <v>33.094343000000002</v>
      </c>
      <c r="O15" s="67"/>
    </row>
    <row r="16" spans="1:15" ht="13.5" thickBot="1">
      <c r="A16" s="63" t="s">
        <v>32</v>
      </c>
      <c r="B16" s="29"/>
      <c r="C16" s="29"/>
      <c r="D16" s="33"/>
      <c r="E16" s="33"/>
      <c r="F16" s="33"/>
      <c r="G16" s="34"/>
      <c r="H16" s="30"/>
      <c r="I16" s="28"/>
      <c r="J16" s="32"/>
      <c r="K16" s="30"/>
      <c r="L16" s="30"/>
      <c r="M16" s="30">
        <f>9348/1000</f>
        <v>9.3480000000000008</v>
      </c>
      <c r="N16" s="27">
        <f t="shared" si="0"/>
        <v>9.3480000000000008</v>
      </c>
      <c r="O16" s="67"/>
    </row>
    <row r="17" spans="1:15" ht="13.5" thickBot="1">
      <c r="A17" s="8" t="s">
        <v>8</v>
      </c>
      <c r="B17" s="29"/>
      <c r="C17" s="29"/>
      <c r="D17" s="33"/>
      <c r="E17" s="33"/>
      <c r="F17" s="35"/>
      <c r="G17" s="36">
        <v>0.64515</v>
      </c>
      <c r="H17" s="30">
        <v>1.318775</v>
      </c>
      <c r="I17" s="28">
        <v>0.81184000000000001</v>
      </c>
      <c r="J17" s="32">
        <v>1.4229000000000001</v>
      </c>
      <c r="K17" s="30">
        <v>1.1912400000000001</v>
      </c>
      <c r="L17" s="30">
        <v>1.1004400000000001</v>
      </c>
      <c r="M17" s="30">
        <f>1186/1000</f>
        <v>1.1859999999999999</v>
      </c>
      <c r="N17" s="27">
        <f t="shared" si="0"/>
        <v>7.6763450000000004</v>
      </c>
      <c r="O17" s="67"/>
    </row>
    <row r="18" spans="1:15" ht="13.5" thickBot="1">
      <c r="A18" s="8" t="s">
        <v>9</v>
      </c>
      <c r="B18" s="29"/>
      <c r="C18" s="29">
        <v>24.060334619999999</v>
      </c>
      <c r="D18" s="29">
        <v>13.375171870000001</v>
      </c>
      <c r="E18" s="29">
        <v>16.492641949999999</v>
      </c>
      <c r="F18" s="33">
        <v>17.329866450000001</v>
      </c>
      <c r="G18" s="34">
        <v>15.85941435</v>
      </c>
      <c r="H18" s="30"/>
      <c r="I18" s="28">
        <v>33.547469</v>
      </c>
      <c r="J18" s="32">
        <v>38.885300999999998</v>
      </c>
      <c r="K18" s="30">
        <v>31.20579</v>
      </c>
      <c r="L18" s="30">
        <v>25.1113845</v>
      </c>
      <c r="M18" s="78"/>
      <c r="N18" s="27">
        <f t="shared" si="0"/>
        <v>215.86737374000001</v>
      </c>
      <c r="O18" s="67"/>
    </row>
    <row r="19" spans="1:15" ht="13.5" thickBot="1">
      <c r="A19" s="8" t="s">
        <v>21</v>
      </c>
      <c r="B19" s="29"/>
      <c r="C19" s="33">
        <v>17.894689750000001</v>
      </c>
      <c r="D19" s="33">
        <v>21.325656089999999</v>
      </c>
      <c r="E19" s="33">
        <v>21.791086740000001</v>
      </c>
      <c r="F19" s="33">
        <v>40.92459264</v>
      </c>
      <c r="G19" s="34">
        <v>39.53459411</v>
      </c>
      <c r="H19" s="30">
        <f>64.9793137+2.4</f>
        <v>67.379313700000012</v>
      </c>
      <c r="I19" s="37">
        <v>86.156761000000003</v>
      </c>
      <c r="J19" s="32">
        <v>65.449483259999994</v>
      </c>
      <c r="K19" s="30">
        <v>82.800324709999998</v>
      </c>
      <c r="L19" s="30">
        <v>76.483608000000004</v>
      </c>
      <c r="M19" s="30">
        <f>5774/1000</f>
        <v>5.774</v>
      </c>
      <c r="N19" s="27">
        <f t="shared" si="0"/>
        <v>525.51410999999996</v>
      </c>
      <c r="O19" s="67"/>
    </row>
    <row r="20" spans="1:15" ht="13.5" thickBot="1">
      <c r="A20" s="9" t="s">
        <v>22</v>
      </c>
      <c r="B20" s="29"/>
      <c r="C20" s="33"/>
      <c r="D20" s="33"/>
      <c r="E20" s="33"/>
      <c r="F20" s="33"/>
      <c r="G20" s="34"/>
      <c r="H20" s="30"/>
      <c r="I20" s="30"/>
      <c r="J20" s="32"/>
      <c r="K20" s="30"/>
      <c r="L20" s="30">
        <v>0.4</v>
      </c>
      <c r="M20" s="30">
        <f>300/1000</f>
        <v>0.3</v>
      </c>
      <c r="N20" s="27">
        <f t="shared" si="0"/>
        <v>0.7</v>
      </c>
      <c r="O20" s="67"/>
    </row>
    <row r="21" spans="1:15" ht="13.5" thickBot="1">
      <c r="A21" s="8" t="s">
        <v>13</v>
      </c>
      <c r="B21" s="29"/>
      <c r="C21" s="29"/>
      <c r="D21" s="29"/>
      <c r="E21" s="29"/>
      <c r="F21" s="29"/>
      <c r="G21" s="34"/>
      <c r="H21" s="29"/>
      <c r="I21" s="29"/>
      <c r="J21" s="32">
        <v>40.536200000000001</v>
      </c>
      <c r="K21" s="30"/>
      <c r="L21" s="30"/>
      <c r="M21" s="30">
        <f>2666/1000</f>
        <v>2.6659999999999999</v>
      </c>
      <c r="N21" s="27">
        <f t="shared" si="0"/>
        <v>43.202199999999998</v>
      </c>
      <c r="O21" s="67"/>
    </row>
    <row r="22" spans="1:15" ht="13.5" thickBot="1">
      <c r="A22" s="8" t="s">
        <v>10</v>
      </c>
      <c r="B22" s="29"/>
      <c r="C22" s="33">
        <v>1.8921325899999999</v>
      </c>
      <c r="D22" s="33">
        <v>1.1147999799999999</v>
      </c>
      <c r="E22" s="33">
        <v>2.38518169</v>
      </c>
      <c r="F22" s="33">
        <v>4.9314298799999996</v>
      </c>
      <c r="G22" s="34">
        <v>12.66340061</v>
      </c>
      <c r="H22" s="30">
        <v>14.593975029999999</v>
      </c>
      <c r="I22" s="30">
        <v>15.514976000000001</v>
      </c>
      <c r="J22" s="32">
        <v>19.151976000000001</v>
      </c>
      <c r="K22" s="30">
        <v>13.80099952</v>
      </c>
      <c r="L22" s="30">
        <v>36.487497500000003</v>
      </c>
      <c r="M22" s="30">
        <f>23757/1000</f>
        <v>23.757000000000001</v>
      </c>
      <c r="N22" s="27">
        <f t="shared" si="0"/>
        <v>146.29336880000002</v>
      </c>
      <c r="O22" s="67"/>
    </row>
    <row r="23" spans="1:15" ht="13.5" thickBot="1">
      <c r="A23" s="8" t="s">
        <v>11</v>
      </c>
      <c r="B23" s="29">
        <v>4.4634</v>
      </c>
      <c r="C23" s="29"/>
      <c r="D23" s="33">
        <v>15.048249999999999</v>
      </c>
      <c r="E23" s="29">
        <v>5.60595</v>
      </c>
      <c r="F23" s="33">
        <v>18.491534999999999</v>
      </c>
      <c r="G23" s="34">
        <v>6.6251490000000004</v>
      </c>
      <c r="H23" s="30">
        <v>23.214072000000002</v>
      </c>
      <c r="I23" s="28">
        <f>19.611+28.502952</f>
        <v>48.113951999999998</v>
      </c>
      <c r="J23" s="32"/>
      <c r="K23" s="30"/>
      <c r="L23" s="38">
        <v>15.883044</v>
      </c>
      <c r="M23" s="79"/>
      <c r="N23" s="27">
        <f t="shared" si="0"/>
        <v>137.44535199999999</v>
      </c>
      <c r="O23" s="67"/>
    </row>
    <row r="24" spans="1:15" ht="13.5" thickBot="1">
      <c r="A24" s="7" t="s">
        <v>12</v>
      </c>
      <c r="B24" s="22"/>
      <c r="C24" s="39">
        <v>48.091999999999999</v>
      </c>
      <c r="D24" s="39">
        <v>53</v>
      </c>
      <c r="E24" s="39">
        <v>58</v>
      </c>
      <c r="F24" s="39">
        <v>59.64</v>
      </c>
      <c r="G24" s="40">
        <v>64.48</v>
      </c>
      <c r="H24" s="41">
        <v>69.3</v>
      </c>
      <c r="I24" s="42">
        <v>69.3</v>
      </c>
      <c r="J24" s="43">
        <v>71.912999999999997</v>
      </c>
      <c r="K24" s="41">
        <v>75</v>
      </c>
      <c r="L24" s="41">
        <v>78</v>
      </c>
      <c r="M24" s="80"/>
      <c r="N24" s="27">
        <f t="shared" si="0"/>
        <v>646.72500000000002</v>
      </c>
      <c r="O24" s="67"/>
    </row>
    <row r="25" spans="1:15" ht="13.5" thickBot="1">
      <c r="A25" s="12" t="s">
        <v>23</v>
      </c>
      <c r="B25" s="44">
        <f t="shared" ref="B25:J25" si="1">SUM(B9:B24)</f>
        <v>4.4634</v>
      </c>
      <c r="C25" s="44">
        <f>SUM(C9:C24)</f>
        <v>93.086564390000007</v>
      </c>
      <c r="D25" s="44">
        <f t="shared" si="1"/>
        <v>106.25498396</v>
      </c>
      <c r="E25" s="44">
        <f t="shared" si="1"/>
        <v>110.91403173</v>
      </c>
      <c r="F25" s="44">
        <f t="shared" si="1"/>
        <v>160.39815135999999</v>
      </c>
      <c r="G25" s="44">
        <f t="shared" si="1"/>
        <v>274.92391606000001</v>
      </c>
      <c r="H25" s="44">
        <f t="shared" si="1"/>
        <v>216.20010949000005</v>
      </c>
      <c r="I25" s="44">
        <f t="shared" si="1"/>
        <v>282.29137800000001</v>
      </c>
      <c r="J25" s="44">
        <f t="shared" si="1"/>
        <v>269.32929425999998</v>
      </c>
      <c r="K25" s="44">
        <f>SUM(K9:K24)</f>
        <v>255.98825982</v>
      </c>
      <c r="L25" s="44">
        <f>SUM(L9:L24)</f>
        <v>252.64002400000001</v>
      </c>
      <c r="M25" s="44">
        <f>SUM(M9:M24)</f>
        <v>126.789</v>
      </c>
      <c r="N25" s="64">
        <f>SUM(N9:N24)</f>
        <v>2153.2791130699998</v>
      </c>
      <c r="O25" s="67"/>
    </row>
    <row r="26" spans="1:15" s="16" customFormat="1" ht="13.5" thickBot="1">
      <c r="A26" s="18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67"/>
    </row>
    <row r="27" spans="1:15" s="16" customFormat="1" ht="13.5" thickBot="1">
      <c r="A27" s="53" t="s">
        <v>17</v>
      </c>
      <c r="B27" s="54">
        <v>325</v>
      </c>
      <c r="C27" s="54">
        <v>425</v>
      </c>
      <c r="D27" s="54"/>
      <c r="E27" s="54">
        <v>3.5</v>
      </c>
      <c r="F27" s="54">
        <v>5</v>
      </c>
      <c r="G27" s="54">
        <v>154.33799999999999</v>
      </c>
      <c r="H27" s="54"/>
      <c r="I27" s="54">
        <v>75</v>
      </c>
      <c r="J27" s="54">
        <v>75</v>
      </c>
      <c r="K27" s="54">
        <v>75</v>
      </c>
      <c r="L27" s="54">
        <v>75</v>
      </c>
      <c r="M27" s="54">
        <f>75000/1000</f>
        <v>75</v>
      </c>
      <c r="N27" s="55">
        <f t="shared" ref="N27:N37" si="2">SUM(B27:M27)</f>
        <v>1287.838</v>
      </c>
      <c r="O27" s="67"/>
    </row>
    <row r="28" spans="1:15" s="16" customFormat="1" ht="26.25" thickBot="1">
      <c r="A28" s="68" t="s">
        <v>27</v>
      </c>
      <c r="B28" s="57"/>
      <c r="C28" s="57"/>
      <c r="D28" s="57"/>
      <c r="E28" s="57"/>
      <c r="F28" s="57"/>
      <c r="G28" s="57"/>
      <c r="H28" s="57"/>
      <c r="I28" s="60"/>
      <c r="J28" s="61"/>
      <c r="K28" s="61"/>
      <c r="L28" s="61"/>
      <c r="M28" s="81">
        <f>4985/1000</f>
        <v>4.9850000000000003</v>
      </c>
      <c r="N28" s="55">
        <f t="shared" si="2"/>
        <v>4.9850000000000003</v>
      </c>
      <c r="O28" s="67"/>
    </row>
    <row r="29" spans="1:15" ht="13.5" thickBot="1">
      <c r="A29" s="63" t="s">
        <v>25</v>
      </c>
      <c r="B29" s="57"/>
      <c r="C29" s="57"/>
      <c r="D29" s="57"/>
      <c r="E29" s="57"/>
      <c r="F29" s="57"/>
      <c r="G29" s="57"/>
      <c r="H29" s="57"/>
      <c r="I29" s="60"/>
      <c r="J29" s="61">
        <v>5.8</v>
      </c>
      <c r="K29" s="61">
        <v>5.9</v>
      </c>
      <c r="L29" s="61">
        <v>4</v>
      </c>
      <c r="M29" s="82"/>
      <c r="N29" s="55">
        <f t="shared" si="2"/>
        <v>15.7</v>
      </c>
      <c r="O29" s="67"/>
    </row>
    <row r="30" spans="1:15" ht="13.5" thickBot="1">
      <c r="A30" s="83" t="s">
        <v>34</v>
      </c>
      <c r="B30" s="57"/>
      <c r="C30" s="57"/>
      <c r="D30" s="57"/>
      <c r="E30" s="57"/>
      <c r="F30" s="57"/>
      <c r="G30" s="57"/>
      <c r="H30" s="57"/>
      <c r="I30" s="60"/>
      <c r="J30" s="61"/>
      <c r="K30" s="61"/>
      <c r="L30" s="61"/>
      <c r="M30" s="84">
        <f>2452/1000</f>
        <v>2.452</v>
      </c>
      <c r="N30" s="55">
        <f t="shared" si="2"/>
        <v>2.452</v>
      </c>
      <c r="O30" s="67"/>
    </row>
    <row r="31" spans="1:15" ht="13.5" thickBot="1">
      <c r="A31" s="21" t="s">
        <v>16</v>
      </c>
      <c r="B31" s="85">
        <v>0.02</v>
      </c>
      <c r="C31" s="56"/>
      <c r="D31" s="56">
        <v>1.6303609999999999</v>
      </c>
      <c r="E31" s="56">
        <v>2.5808469999999999</v>
      </c>
      <c r="F31" s="56">
        <v>1.805051</v>
      </c>
      <c r="G31" s="56">
        <v>0.47348000000000001</v>
      </c>
      <c r="H31" s="56">
        <v>1.904352</v>
      </c>
      <c r="I31" s="62">
        <v>1.1000000000000001</v>
      </c>
      <c r="J31" s="62">
        <v>0.8</v>
      </c>
      <c r="K31" s="62">
        <v>1</v>
      </c>
      <c r="L31" s="62">
        <v>1</v>
      </c>
      <c r="M31" s="81">
        <f>413/1000</f>
        <v>0.41299999999999998</v>
      </c>
      <c r="N31" s="55">
        <f t="shared" si="2"/>
        <v>12.727091</v>
      </c>
      <c r="O31" s="67"/>
    </row>
    <row r="32" spans="1:15" ht="13.5" thickBot="1">
      <c r="A32" s="12" t="s">
        <v>24</v>
      </c>
      <c r="B32" s="59">
        <f t="shared" ref="B32:L32" si="3">SUM(B27:B31)</f>
        <v>325.02</v>
      </c>
      <c r="C32" s="59">
        <f t="shared" si="3"/>
        <v>425</v>
      </c>
      <c r="D32" s="59">
        <f t="shared" si="3"/>
        <v>1.6303609999999999</v>
      </c>
      <c r="E32" s="59">
        <f t="shared" si="3"/>
        <v>6.0808470000000003</v>
      </c>
      <c r="F32" s="59">
        <f t="shared" si="3"/>
        <v>6.8050509999999997</v>
      </c>
      <c r="G32" s="59">
        <f t="shared" si="3"/>
        <v>154.81147999999999</v>
      </c>
      <c r="H32" s="59">
        <f t="shared" si="3"/>
        <v>1.904352</v>
      </c>
      <c r="I32" s="59">
        <f t="shared" si="3"/>
        <v>76.099999999999994</v>
      </c>
      <c r="J32" s="59">
        <f t="shared" si="3"/>
        <v>81.599999999999994</v>
      </c>
      <c r="K32" s="59">
        <f t="shared" si="3"/>
        <v>81.900000000000006</v>
      </c>
      <c r="L32" s="59">
        <f t="shared" si="3"/>
        <v>80</v>
      </c>
      <c r="M32" s="59">
        <f t="shared" ref="M32" si="4">SUM(M27:M31)</f>
        <v>82.85</v>
      </c>
      <c r="N32" s="65">
        <f>SUM(N27:N31)</f>
        <v>1323.7020909999999</v>
      </c>
      <c r="O32" s="67"/>
    </row>
    <row r="33" spans="1:15" s="16" customFormat="1" ht="13.5" thickBot="1">
      <c r="A33" s="1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5"/>
      <c r="O33" s="67"/>
    </row>
    <row r="34" spans="1:15" ht="13.5" thickBot="1">
      <c r="A34" s="19" t="s">
        <v>20</v>
      </c>
      <c r="B34" s="47">
        <f t="shared" ref="B34:G34" si="5">B25+B32</f>
        <v>329.48339999999996</v>
      </c>
      <c r="C34" s="47">
        <f t="shared" si="5"/>
        <v>518.08656439000004</v>
      </c>
      <c r="D34" s="47">
        <f t="shared" si="5"/>
        <v>107.88534496</v>
      </c>
      <c r="E34" s="47">
        <f t="shared" si="5"/>
        <v>116.99487873000001</v>
      </c>
      <c r="F34" s="47">
        <f t="shared" si="5"/>
        <v>167.20320235999998</v>
      </c>
      <c r="G34" s="47">
        <f t="shared" si="5"/>
        <v>429.73539605999997</v>
      </c>
      <c r="H34" s="47">
        <f t="shared" ref="H34:N34" si="6">H25+H32</f>
        <v>218.10446149000003</v>
      </c>
      <c r="I34" s="47">
        <f t="shared" si="6"/>
        <v>358.39137800000003</v>
      </c>
      <c r="J34" s="47">
        <f t="shared" si="6"/>
        <v>350.92929426000001</v>
      </c>
      <c r="K34" s="47">
        <f t="shared" si="6"/>
        <v>337.88825982000003</v>
      </c>
      <c r="L34" s="47">
        <f t="shared" si="6"/>
        <v>332.64002400000004</v>
      </c>
      <c r="M34" s="47">
        <f t="shared" si="6"/>
        <v>209.63900000000001</v>
      </c>
      <c r="N34" s="48">
        <f t="shared" si="6"/>
        <v>3476.9812040699999</v>
      </c>
      <c r="O34" s="67"/>
    </row>
    <row r="35" spans="1:15" s="14" customFormat="1" ht="13.5" thickBot="1">
      <c r="A35" s="1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67"/>
    </row>
    <row r="36" spans="1:15" ht="13.5" thickBot="1">
      <c r="A36" s="13" t="s">
        <v>19</v>
      </c>
      <c r="B36" s="44"/>
      <c r="C36" s="44"/>
      <c r="D36" s="44"/>
      <c r="E36" s="44"/>
      <c r="F36" s="44"/>
      <c r="G36" s="44"/>
      <c r="H36" s="44">
        <v>524.74928499999999</v>
      </c>
      <c r="I36" s="44">
        <v>428.268866</v>
      </c>
      <c r="J36" s="44">
        <v>272.63813299999998</v>
      </c>
      <c r="K36" s="44">
        <v>330.02699999999999</v>
      </c>
      <c r="L36" s="44">
        <v>320</v>
      </c>
      <c r="M36" s="44">
        <v>250</v>
      </c>
      <c r="N36" s="49">
        <f t="shared" si="2"/>
        <v>2125.6832839999997</v>
      </c>
      <c r="O36" s="67"/>
    </row>
    <row r="37" spans="1:15" ht="13.5" thickBot="1">
      <c r="A37" s="13" t="s">
        <v>18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>
        <v>42.877049999999997</v>
      </c>
      <c r="M37" s="44">
        <f>128165700/1000000</f>
        <v>128.16569999999999</v>
      </c>
      <c r="N37" s="64">
        <f t="shared" si="2"/>
        <v>171.04274999999998</v>
      </c>
      <c r="O37" s="67"/>
    </row>
    <row r="38" spans="1:15" s="16" customFormat="1" ht="13.5" thickBot="1">
      <c r="A38" s="1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67"/>
    </row>
    <row r="39" spans="1:15" ht="13.5" thickBot="1">
      <c r="A39" s="20" t="s">
        <v>15</v>
      </c>
      <c r="B39" s="50">
        <f t="shared" ref="B39:G39" si="7">SUM(B25+B36+B37+B32)</f>
        <v>329.48339999999996</v>
      </c>
      <c r="C39" s="50">
        <f t="shared" si="7"/>
        <v>518.08656439000004</v>
      </c>
      <c r="D39" s="50">
        <f t="shared" si="7"/>
        <v>107.88534496</v>
      </c>
      <c r="E39" s="50">
        <f t="shared" si="7"/>
        <v>116.99487873000001</v>
      </c>
      <c r="F39" s="50">
        <f t="shared" si="7"/>
        <v>167.20320235999998</v>
      </c>
      <c r="G39" s="50">
        <f t="shared" si="7"/>
        <v>429.73539605999997</v>
      </c>
      <c r="H39" s="50">
        <f>SUM(H25+H36+H37+H32)</f>
        <v>742.85374649000005</v>
      </c>
      <c r="I39" s="50">
        <f>SUM(I25+I36+I37+I32)</f>
        <v>786.66024400000003</v>
      </c>
      <c r="J39" s="50">
        <f>SUM(J25+J36+J37+J32)</f>
        <v>623.56742726000004</v>
      </c>
      <c r="K39" s="50">
        <f>SUM(K25+K36+K37+K32)</f>
        <v>667.91525981999996</v>
      </c>
      <c r="L39" s="50">
        <f>SUM(L25+L36+L37+L32)</f>
        <v>695.51707400000009</v>
      </c>
      <c r="M39" s="50">
        <f t="shared" ref="M39" si="8">SUM(M25+M36+M37+M32)</f>
        <v>587.80470000000003</v>
      </c>
      <c r="N39" s="50">
        <f>SUM(N34:N37)</f>
        <v>5773.7072380699992</v>
      </c>
      <c r="O39" s="67"/>
    </row>
    <row r="40" spans="1:1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5">
      <c r="A41" s="52" t="s">
        <v>14</v>
      </c>
      <c r="C41" s="2"/>
      <c r="D41" s="2"/>
      <c r="F41" s="2"/>
      <c r="G41" s="2"/>
      <c r="H41" s="51"/>
    </row>
    <row r="42" spans="1:15">
      <c r="K42" s="2"/>
      <c r="L42" s="2"/>
      <c r="M42" s="2"/>
    </row>
  </sheetData>
  <phoneticPr fontId="3" type="noConversion"/>
  <pageMargins left="0.7" right="0.7" top="0.75" bottom="0.75" header="0.3" footer="0.3"/>
  <pageSetup paperSize="9" scale="85" orientation="landscape" r:id="rId1"/>
  <headerFooter alignWithMargins="0"/>
  <ignoredErrors>
    <ignoredError sqref="H25:J25 C25:G25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2000-2010</vt:lpstr>
      <vt:lpstr>2000-2011</vt:lpstr>
      <vt:lpstr>'2000-2010'!Print_Area</vt:lpstr>
      <vt:lpstr>'2000-2011'!Print_Area</vt:lpstr>
    </vt:vector>
  </TitlesOfParts>
  <Company>Solveo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kharris</cp:lastModifiedBy>
  <cp:lastPrinted>2011-10-21T09:43:41Z</cp:lastPrinted>
  <dcterms:created xsi:type="dcterms:W3CDTF">2008-01-07T10:15:20Z</dcterms:created>
  <dcterms:modified xsi:type="dcterms:W3CDTF">2011-10-21T11:36:36Z</dcterms:modified>
</cp:coreProperties>
</file>