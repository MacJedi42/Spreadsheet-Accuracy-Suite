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348" yWindow="240" windowWidth="11616" windowHeight="10752"/>
  </bookViews>
  <sheets>
    <sheet name="2011 TRAVEL REIMB" sheetId="4" r:id="rId1"/>
    <sheet name="Tab 2" sheetId="2" state="hidden" r:id="rId2"/>
  </sheets>
  <definedNames>
    <definedName name="_xlnm.Print_Area" localSheetId="0">'2011 TRAVEL REIMB'!$A$1:$L$60</definedName>
  </definedNames>
  <calcPr calcId="144525"/>
</workbook>
</file>

<file path=xl/calcChain.xml><?xml version="1.0" encoding="utf-8"?>
<calcChain xmlns="http://schemas.openxmlformats.org/spreadsheetml/2006/main">
  <c r="J9" i="4" l="1"/>
  <c r="D28" i="4"/>
  <c r="E28" i="4"/>
  <c r="F28" i="4"/>
  <c r="G28" i="4"/>
  <c r="H28" i="4"/>
  <c r="I28" i="4"/>
  <c r="C28" i="4"/>
  <c r="J28" i="4"/>
  <c r="I18" i="4"/>
  <c r="H18" i="4"/>
  <c r="G18" i="4"/>
  <c r="F18" i="4"/>
  <c r="E18" i="4"/>
  <c r="D18" i="4"/>
  <c r="C18" i="4"/>
  <c r="I10" i="4" l="1"/>
  <c r="H10" i="4" s="1"/>
  <c r="G10" i="4" s="1"/>
  <c r="F10" i="4" s="1"/>
  <c r="E10" i="4" s="1"/>
  <c r="D10" i="4" s="1"/>
  <c r="C10" i="4" s="1"/>
</calcChain>
</file>

<file path=xl/sharedStrings.xml><?xml version="1.0" encoding="utf-8"?>
<sst xmlns="http://schemas.openxmlformats.org/spreadsheetml/2006/main" count="71" uniqueCount="45">
  <si>
    <t xml:space="preserve"> </t>
  </si>
  <si>
    <t>TOTALS</t>
  </si>
  <si>
    <t>Hotel</t>
  </si>
  <si>
    <t>Breakfast</t>
  </si>
  <si>
    <t>Lunch</t>
  </si>
  <si>
    <t>Dinner</t>
  </si>
  <si>
    <t>Bridge or Road Tolls</t>
  </si>
  <si>
    <t>Mileage * (See Below)</t>
  </si>
  <si>
    <t>Parking</t>
  </si>
  <si>
    <t>Totals</t>
  </si>
  <si>
    <t>Date</t>
  </si>
  <si>
    <t>Miles*</t>
  </si>
  <si>
    <r>
      <t xml:space="preserve">PREVIOUS RATE: </t>
    </r>
    <r>
      <rPr>
        <sz val="10"/>
        <rFont val="Arial"/>
        <family val="2"/>
      </rPr>
      <t xml:space="preserve">    </t>
    </r>
  </si>
  <si>
    <t xml:space="preserve">NEW RATE:  </t>
  </si>
  <si>
    <t xml:space="preserve">During Period:  </t>
  </si>
  <si>
    <t>to</t>
  </si>
  <si>
    <t>During Period:</t>
  </si>
  <si>
    <t>Employee ID/Vendor ID</t>
  </si>
  <si>
    <t>Purpose:</t>
  </si>
  <si>
    <t>Account Number</t>
  </si>
  <si>
    <t>Address</t>
  </si>
  <si>
    <t>Taxi/Fares</t>
  </si>
  <si>
    <t>Miscellaneous:  Specify Below:</t>
  </si>
  <si>
    <t>Approved by</t>
  </si>
  <si>
    <t>Amount</t>
  </si>
  <si>
    <t>Employee Name</t>
  </si>
  <si>
    <t>Registration Fees:</t>
  </si>
  <si>
    <t>Plane/Train Fare</t>
  </si>
  <si>
    <t>WASHINGTON COLLEGE REIMBURSEMENT</t>
  </si>
  <si>
    <t>Dates</t>
  </si>
  <si>
    <t>Signature of Employee</t>
  </si>
  <si>
    <t>FOR BUSINESS OFFICE USE ONLY</t>
  </si>
  <si>
    <t>GIVEN TO:</t>
  </si>
  <si>
    <t>RECEIVED:</t>
  </si>
  <si>
    <t>VOUCHER #:</t>
  </si>
  <si>
    <t>DATES</t>
  </si>
  <si>
    <t>INSTRUCTIONS ON BACK OF FORM</t>
  </si>
  <si>
    <t xml:space="preserve">MILEAGE $.51 a mile </t>
  </si>
  <si>
    <t>TERRITORY COVERED INCURRING ABOVE EXPENSES</t>
  </si>
  <si>
    <t>TOTAL</t>
  </si>
  <si>
    <t>PRINT NAME-IMMEDIATE SUPERVISOR</t>
  </si>
  <si>
    <t xml:space="preserve">                  - LESS TRAVEL ADVANCE (IF APPLICABLE)</t>
  </si>
  <si>
    <t xml:space="preserve">                 + PLUS RETURNED CASH FROM ADVANCE</t>
  </si>
  <si>
    <t>IMMEDIATE SUPERVISOR</t>
  </si>
  <si>
    <t>PRINT NAME-EMPLOYEE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</si>
</sst>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&quot;$&quot;#,##0.00"/>
    <numFmt numFmtId="165" formatCode="0.000"/>
    <numFmt numFmtId="166" formatCode="0.0"/>
    <numFmt numFmtId="167" formatCode="mmmm\ d\,\ yyyy"/>
  </numFmts>
  <fonts count="25">
    <font>
      <sz val="10"/>
      <name val="Arial"/>
    </font>
    <font>
      <sz val="11"/>
      <name val="Arial"/>
      <family val="2"/>
    </font>
    <font>
      <sz val="7"/>
      <name val="Small Fonts"/>
      <family val="2"/>
    </font>
    <font>
      <sz val="9"/>
      <name val="Arial"/>
      <family val="2"/>
    </font>
    <font>
      <sz val="7"/>
      <name val="Arial"/>
      <family val="2"/>
    </font>
    <font>
      <sz val="10"/>
      <name val="Arial"/>
      <family val="2"/>
    </font>
    <font>
      <sz val="6"/>
      <name val="Small Fonts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sz val="7"/>
      <name val="Small Fonts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1"/>
      <name val="Arial Black"/>
      <family val="2"/>
    </font>
    <font>
      <b/>
      <sz val="11"/>
      <name val="Arial Black"/>
      <family val="2"/>
    </font>
    <font>
      <b/>
      <sz val="11"/>
      <name val="Arial"/>
      <family val="2"/>
    </font>
    <font>
      <b/>
      <sz val="16"/>
      <name val="Arial Black"/>
      <family val="2"/>
    </font>
    <font>
      <b/>
      <sz val="9"/>
      <name val="Palatino"/>
    </font>
    <font>
      <b/>
      <sz val="8"/>
      <name val="Palatino"/>
    </font>
    <font>
      <b/>
      <sz val="12"/>
      <name val="Palatino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79998168889431442"/>
        <bgColor indexed="26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3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2" xfId="0" applyFont="1" applyBorder="1" applyProtection="1">
      <protection locked="0"/>
    </xf>
    <xf numFmtId="15" fontId="5" fillId="0" borderId="2" xfId="0" applyNumberFormat="1" applyFont="1" applyBorder="1" applyProtection="1">
      <protection locked="0"/>
    </xf>
    <xf numFmtId="0" fontId="2" fillId="0" borderId="3" xfId="0" applyFont="1" applyBorder="1"/>
    <xf numFmtId="2" fontId="0" fillId="0" borderId="3" xfId="0" applyNumberFormat="1" applyBorder="1" applyProtection="1">
      <protection locked="0"/>
    </xf>
    <xf numFmtId="0" fontId="5" fillId="0" borderId="3" xfId="0" applyFont="1" applyBorder="1" applyProtection="1">
      <protection locked="0"/>
    </xf>
    <xf numFmtId="2" fontId="6" fillId="0" borderId="0" xfId="0" applyNumberFormat="1" applyFont="1"/>
    <xf numFmtId="0" fontId="6" fillId="0" borderId="0" xfId="0" applyFont="1" applyBorder="1"/>
    <xf numFmtId="0" fontId="0" fillId="0" borderId="0" xfId="0" applyBorder="1"/>
    <xf numFmtId="2" fontId="0" fillId="0" borderId="0" xfId="0" applyNumberFormat="1" applyBorder="1"/>
    <xf numFmtId="2" fontId="0" fillId="0" borderId="2" xfId="0" applyNumberFormat="1" applyBorder="1"/>
    <xf numFmtId="2" fontId="6" fillId="0" borderId="2" xfId="0" applyNumberFormat="1" applyFont="1" applyBorder="1"/>
    <xf numFmtId="0" fontId="0" fillId="0" borderId="3" xfId="0" applyBorder="1"/>
    <xf numFmtId="2" fontId="7" fillId="0" borderId="4" xfId="0" applyNumberFormat="1" applyFont="1" applyBorder="1" applyProtection="1">
      <protection locked="0"/>
    </xf>
    <xf numFmtId="2" fontId="7" fillId="0" borderId="2" xfId="0" applyNumberFormat="1" applyFont="1" applyBorder="1" applyProtection="1">
      <protection locked="0"/>
    </xf>
    <xf numFmtId="2" fontId="4" fillId="0" borderId="0" xfId="0" applyNumberFormat="1" applyFont="1"/>
    <xf numFmtId="2" fontId="4" fillId="0" borderId="2" xfId="0" applyNumberFormat="1" applyFont="1" applyBorder="1" applyProtection="1">
      <protection locked="0"/>
    </xf>
    <xf numFmtId="0" fontId="0" fillId="0" borderId="2" xfId="0" applyBorder="1" applyProtection="1">
      <protection locked="0"/>
    </xf>
    <xf numFmtId="16" fontId="7" fillId="0" borderId="3" xfId="0" applyNumberFormat="1" applyFont="1" applyBorder="1" applyProtection="1">
      <protection locked="0"/>
    </xf>
    <xf numFmtId="166" fontId="7" fillId="0" borderId="3" xfId="0" applyNumberFormat="1" applyFont="1" applyFill="1" applyBorder="1" applyProtection="1">
      <protection locked="0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165" fontId="5" fillId="0" borderId="0" xfId="0" applyNumberFormat="1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  <xf numFmtId="14" fontId="10" fillId="0" borderId="0" xfId="0" applyNumberFormat="1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65" fontId="0" fillId="2" borderId="0" xfId="0" applyNumberFormat="1" applyFill="1" applyProtection="1">
      <protection hidden="1"/>
    </xf>
    <xf numFmtId="14" fontId="10" fillId="0" borderId="0" xfId="0" applyNumberFormat="1" applyFont="1" applyAlignment="1" applyProtection="1">
      <alignment horizontal="right"/>
      <protection hidden="1"/>
    </xf>
    <xf numFmtId="0" fontId="11" fillId="0" borderId="0" xfId="0" applyFont="1" applyProtection="1">
      <protection hidden="1"/>
    </xf>
    <xf numFmtId="0" fontId="1" fillId="0" borderId="2" xfId="0" applyFont="1" applyBorder="1"/>
    <xf numFmtId="0" fontId="2" fillId="0" borderId="2" xfId="0" applyFont="1" applyBorder="1"/>
    <xf numFmtId="0" fontId="0" fillId="0" borderId="1" xfId="0" applyBorder="1"/>
    <xf numFmtId="0" fontId="0" fillId="0" borderId="2" xfId="0" applyBorder="1"/>
    <xf numFmtId="2" fontId="4" fillId="0" borderId="2" xfId="0" applyNumberFormat="1" applyFont="1" applyBorder="1"/>
    <xf numFmtId="2" fontId="3" fillId="0" borderId="0" xfId="0" applyNumberFormat="1" applyFont="1" applyBorder="1" applyProtection="1">
      <protection locked="0"/>
    </xf>
    <xf numFmtId="0" fontId="13" fillId="0" borderId="3" xfId="0" applyFont="1" applyBorder="1"/>
    <xf numFmtId="15" fontId="9" fillId="0" borderId="2" xfId="0" applyNumberFormat="1" applyFont="1" applyBorder="1" applyProtection="1">
      <protection locked="0"/>
    </xf>
    <xf numFmtId="2" fontId="15" fillId="0" borderId="2" xfId="0" applyNumberFormat="1" applyFont="1" applyBorder="1" applyProtection="1">
      <protection locked="0"/>
    </xf>
    <xf numFmtId="0" fontId="16" fillId="0" borderId="0" xfId="0" applyFont="1"/>
    <xf numFmtId="0" fontId="16" fillId="0" borderId="1" xfId="0" applyFont="1" applyBorder="1" applyProtection="1">
      <protection locked="0"/>
    </xf>
    <xf numFmtId="0" fontId="16" fillId="0" borderId="1" xfId="0" applyFont="1" applyBorder="1"/>
    <xf numFmtId="0" fontId="17" fillId="0" borderId="0" xfId="0" applyFont="1"/>
    <xf numFmtId="0" fontId="15" fillId="0" borderId="0" xfId="0" applyFont="1"/>
    <xf numFmtId="0" fontId="9" fillId="0" borderId="3" xfId="0" applyFont="1" applyBorder="1" applyAlignment="1">
      <alignment horizontal="left"/>
    </xf>
    <xf numFmtId="0" fontId="9" fillId="0" borderId="3" xfId="0" applyFont="1" applyBorder="1"/>
    <xf numFmtId="0" fontId="9" fillId="0" borderId="3" xfId="0" applyFont="1" applyFill="1" applyBorder="1"/>
    <xf numFmtId="0" fontId="9" fillId="0" borderId="3" xfId="0" applyFont="1" applyBorder="1" applyAlignment="1">
      <alignment horizontal="center"/>
    </xf>
    <xf numFmtId="0" fontId="9" fillId="0" borderId="2" xfId="0" applyFont="1" applyBorder="1"/>
    <xf numFmtId="2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8" xfId="0" applyFont="1" applyBorder="1"/>
    <xf numFmtId="0" fontId="9" fillId="0" borderId="0" xfId="0" applyFont="1" applyBorder="1"/>
    <xf numFmtId="0" fontId="9" fillId="0" borderId="10" xfId="0" applyFont="1" applyBorder="1"/>
    <xf numFmtId="0" fontId="9" fillId="0" borderId="9" xfId="0" applyFont="1" applyBorder="1"/>
    <xf numFmtId="0" fontId="0" fillId="0" borderId="4" xfId="0" applyBorder="1"/>
    <xf numFmtId="0" fontId="0" fillId="0" borderId="10" xfId="0" applyBorder="1"/>
    <xf numFmtId="0" fontId="18" fillId="0" borderId="0" xfId="0" applyFont="1"/>
    <xf numFmtId="0" fontId="20" fillId="0" borderId="0" xfId="0" applyFont="1" applyAlignment="1"/>
    <xf numFmtId="2" fontId="9" fillId="0" borderId="2" xfId="0" applyNumberFormat="1" applyFont="1" applyBorder="1"/>
    <xf numFmtId="0" fontId="14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11" xfId="0" applyNumberFormat="1" applyFont="1" applyBorder="1"/>
    <xf numFmtId="2" fontId="9" fillId="0" borderId="1" xfId="0" applyNumberFormat="1" applyFont="1" applyBorder="1"/>
    <xf numFmtId="0" fontId="9" fillId="0" borderId="12" xfId="0" applyFont="1" applyBorder="1" applyAlignment="1">
      <alignment horizontal="center"/>
    </xf>
    <xf numFmtId="2" fontId="9" fillId="0" borderId="13" xfId="0" applyNumberFormat="1" applyFont="1" applyBorder="1"/>
    <xf numFmtId="2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4" fontId="9" fillId="3" borderId="3" xfId="0" applyNumberFormat="1" applyFont="1" applyFill="1" applyBorder="1" applyAlignment="1" applyProtection="1">
      <alignment horizontal="center"/>
      <protection hidden="1"/>
    </xf>
    <xf numFmtId="164" fontId="9" fillId="3" borderId="3" xfId="0" applyNumberFormat="1" applyFont="1" applyFill="1" applyBorder="1" applyProtection="1">
      <protection hidden="1"/>
    </xf>
    <xf numFmtId="166" fontId="8" fillId="3" borderId="3" xfId="0" applyNumberFormat="1" applyFont="1" applyFill="1" applyBorder="1" applyProtection="1">
      <protection locked="0"/>
    </xf>
    <xf numFmtId="166" fontId="12" fillId="0" borderId="0" xfId="0" applyNumberFormat="1" applyFont="1" applyFill="1" applyBorder="1" applyAlignment="1" applyProtection="1">
      <alignment horizontal="right"/>
      <protection hidden="1"/>
    </xf>
    <xf numFmtId="0" fontId="21" fillId="0" borderId="2" xfId="0" applyFont="1" applyBorder="1" applyAlignment="1">
      <alignment horizontal="left"/>
    </xf>
    <xf numFmtId="0" fontId="21" fillId="0" borderId="2" xfId="0" applyFont="1" applyBorder="1" applyAlignment="1">
      <alignment horizontal="centerContinuous"/>
    </xf>
    <xf numFmtId="0" fontId="21" fillId="0" borderId="2" xfId="0" applyFont="1" applyBorder="1" applyAlignment="1">
      <alignment horizontal="right"/>
    </xf>
    <xf numFmtId="0" fontId="21" fillId="0" borderId="0" xfId="0" applyFont="1" applyBorder="1" applyAlignment="1">
      <alignment horizontal="centerContinuous"/>
    </xf>
    <xf numFmtId="0" fontId="21" fillId="0" borderId="0" xfId="0" applyFont="1" applyBorder="1"/>
    <xf numFmtId="0" fontId="21" fillId="0" borderId="0" xfId="0" applyFont="1" applyBorder="1" applyAlignment="1">
      <alignment horizontal="right"/>
    </xf>
    <xf numFmtId="0" fontId="23" fillId="0" borderId="0" xfId="0" applyFont="1" applyBorder="1" applyProtection="1">
      <protection locked="0"/>
    </xf>
    <xf numFmtId="0" fontId="23" fillId="0" borderId="0" xfId="0" applyFont="1" applyBorder="1" applyAlignment="1" applyProtection="1">
      <alignment horizontal="right"/>
      <protection locked="0"/>
    </xf>
    <xf numFmtId="2" fontId="9" fillId="0" borderId="0" xfId="0" applyNumberFormat="1" applyFont="1"/>
    <xf numFmtId="0" fontId="3" fillId="0" borderId="5" xfId="0" applyFont="1" applyBorder="1"/>
    <xf numFmtId="2" fontId="9" fillId="0" borderId="0" xfId="0" applyNumberFormat="1" applyFont="1" applyBorder="1"/>
    <xf numFmtId="2" fontId="4" fillId="0" borderId="0" xfId="0" applyNumberFormat="1" applyFont="1" applyBorder="1"/>
    <xf numFmtId="2" fontId="4" fillId="0" borderId="0" xfId="0" applyNumberFormat="1" applyFont="1" applyBorder="1" applyProtection="1">
      <protection locked="0"/>
    </xf>
    <xf numFmtId="15" fontId="9" fillId="0" borderId="0" xfId="0" applyNumberFormat="1" applyFont="1" applyBorder="1" applyProtection="1">
      <protection locked="0"/>
    </xf>
    <xf numFmtId="15" fontId="5" fillId="0" borderId="0" xfId="0" applyNumberFormat="1" applyFont="1" applyBorder="1" applyProtection="1">
      <protection locked="0"/>
    </xf>
    <xf numFmtId="0" fontId="24" fillId="0" borderId="0" xfId="0" applyFont="1" applyBorder="1" applyAlignment="1" applyProtection="1">
      <alignment vertical="top"/>
      <protection locked="0"/>
    </xf>
    <xf numFmtId="0" fontId="22" fillId="0" borderId="0" xfId="0" applyFont="1" applyBorder="1" applyAlignment="1" applyProtection="1">
      <alignment vertical="top"/>
      <protection locked="0"/>
    </xf>
    <xf numFmtId="0" fontId="23" fillId="0" borderId="0" xfId="0" applyFont="1" applyBorder="1" applyAlignment="1" applyProtection="1">
      <alignment vertical="top"/>
      <protection locked="0"/>
    </xf>
    <xf numFmtId="0" fontId="19" fillId="0" borderId="0" xfId="0" applyFont="1" applyAlignment="1">
      <alignment horizontal="center"/>
    </xf>
    <xf numFmtId="43" fontId="5" fillId="3" borderId="15" xfId="1" applyFont="1" applyFill="1" applyBorder="1" applyProtection="1"/>
    <xf numFmtId="167" fontId="7" fillId="4" borderId="16" xfId="0" applyNumberFormat="1" applyFont="1" applyFill="1" applyBorder="1" applyAlignment="1" applyProtection="1">
      <alignment horizontal="center"/>
    </xf>
    <xf numFmtId="167" fontId="5" fillId="5" borderId="17" xfId="0" applyNumberFormat="1" applyFont="1" applyFill="1" applyBorder="1" applyAlignment="1" applyProtection="1">
      <alignment horizontal="center"/>
      <protection locked="0"/>
    </xf>
  </cellXfs>
  <cellStyles count="2">
    <cellStyle name="Comma_simp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7"/>
  <sheetViews>
    <sheetView tabSelected="1" zoomScaleNormal="100" workbookViewId="0">
      <selection activeCell="B5" sqref="B5"/>
    </sheetView>
  </sheetViews>
  <sheetFormatPr defaultRowHeight="13.2"/>
  <cols>
    <col min="2" max="2" width="43.109375" customWidth="1"/>
    <col min="3" max="7" width="12.6640625" customWidth="1"/>
    <col min="8" max="8" width="11.33203125" bestFit="1" customWidth="1"/>
    <col min="9" max="9" width="12.6640625" customWidth="1"/>
    <col min="10" max="10" width="27.109375" customWidth="1"/>
  </cols>
  <sheetData>
    <row r="1" spans="2:10" ht="24.9" customHeight="1">
      <c r="D1" s="64" t="s">
        <v>28</v>
      </c>
      <c r="G1" s="46"/>
      <c r="H1" s="46"/>
    </row>
    <row r="2" spans="2:10" ht="17.25" customHeight="1">
      <c r="B2" s="43" t="s">
        <v>0</v>
      </c>
      <c r="C2" s="47"/>
      <c r="D2" s="99" t="s">
        <v>36</v>
      </c>
      <c r="E2" s="99"/>
      <c r="F2" s="99"/>
      <c r="G2" s="99"/>
      <c r="H2" s="99"/>
      <c r="I2" s="99"/>
    </row>
    <row r="3" spans="2:10" ht="30" customHeight="1">
      <c r="B3" s="63" t="s">
        <v>17</v>
      </c>
      <c r="D3" s="1"/>
      <c r="E3" s="34"/>
      <c r="F3" s="34"/>
      <c r="G3" s="1"/>
      <c r="H3" s="1"/>
      <c r="I3" s="37"/>
      <c r="J3" s="37"/>
    </row>
    <row r="4" spans="2:10" ht="30" customHeight="1">
      <c r="B4" s="63" t="s">
        <v>25</v>
      </c>
      <c r="C4" s="3"/>
      <c r="D4" s="3"/>
      <c r="E4" s="4"/>
      <c r="F4" s="4"/>
      <c r="G4" s="3"/>
      <c r="H4" s="3"/>
      <c r="I4" s="36"/>
      <c r="J4" s="36"/>
    </row>
    <row r="5" spans="2:10" ht="30" customHeight="1">
      <c r="B5" s="63" t="s">
        <v>20</v>
      </c>
      <c r="C5" s="3"/>
      <c r="D5" s="3"/>
      <c r="E5" s="3"/>
      <c r="F5" s="3"/>
      <c r="G5" s="3"/>
      <c r="H5" s="3"/>
      <c r="I5" s="36"/>
      <c r="J5" s="36"/>
    </row>
    <row r="6" spans="2:10" ht="30" customHeight="1">
      <c r="B6" s="63" t="s">
        <v>19</v>
      </c>
      <c r="C6" s="2"/>
      <c r="D6" s="2"/>
      <c r="E6" s="2"/>
      <c r="F6" s="2"/>
      <c r="G6" s="44" t="s">
        <v>24</v>
      </c>
      <c r="H6" s="2"/>
      <c r="I6" s="36"/>
      <c r="J6" s="36"/>
    </row>
    <row r="7" spans="2:10" ht="30" customHeight="1">
      <c r="B7" s="63" t="s">
        <v>19</v>
      </c>
      <c r="C7" s="36"/>
      <c r="D7" s="36"/>
      <c r="E7" s="36"/>
      <c r="F7" s="36"/>
      <c r="G7" s="45" t="s">
        <v>24</v>
      </c>
      <c r="H7" s="36"/>
      <c r="I7" s="36"/>
      <c r="J7" s="36"/>
    </row>
    <row r="8" spans="2:10" ht="30" customHeight="1" thickBot="1">
      <c r="B8" s="63" t="s">
        <v>18</v>
      </c>
      <c r="C8" s="5"/>
      <c r="D8" s="5" t="s">
        <v>0</v>
      </c>
      <c r="E8" s="5" t="s">
        <v>0</v>
      </c>
      <c r="F8" s="35" t="s">
        <v>0</v>
      </c>
      <c r="G8" s="5"/>
      <c r="H8" s="5"/>
      <c r="I8" s="36"/>
      <c r="J8" s="36"/>
    </row>
    <row r="9" spans="2:10" ht="30" customHeight="1" thickBot="1">
      <c r="J9" s="102">
        <f ca="1">NOW()</f>
        <v>40777.422862037034</v>
      </c>
    </row>
    <row r="10" spans="2:10" ht="30" customHeight="1" thickBot="1">
      <c r="B10" s="48" t="s">
        <v>35</v>
      </c>
      <c r="C10" s="101">
        <f t="shared" ref="C10:F10" ca="1" si="0">IF(SUM($J9),D10-1,"")</f>
        <v>40771.422862037034</v>
      </c>
      <c r="D10" s="101">
        <f t="shared" ca="1" si="0"/>
        <v>40772.422862037034</v>
      </c>
      <c r="E10" s="101">
        <f t="shared" ca="1" si="0"/>
        <v>40773.422862037034</v>
      </c>
      <c r="F10" s="101">
        <f t="shared" ca="1" si="0"/>
        <v>40774.422862037034</v>
      </c>
      <c r="G10" s="101">
        <f ca="1">IF(SUM($J9),H10-1,"")</f>
        <v>40775.422862037034</v>
      </c>
      <c r="H10" s="101">
        <f ca="1">IF(SUM($J9),I10-1,"")</f>
        <v>40776.422862037034</v>
      </c>
      <c r="I10" s="101">
        <f ca="1">IF(J9,J9,"")</f>
        <v>40777.422862037034</v>
      </c>
      <c r="J10" s="77" t="s">
        <v>1</v>
      </c>
    </row>
    <row r="11" spans="2:10" ht="30" customHeight="1">
      <c r="B11" s="49" t="s">
        <v>2</v>
      </c>
      <c r="C11" s="7" t="s">
        <v>0</v>
      </c>
      <c r="D11" s="7"/>
      <c r="E11" s="7"/>
      <c r="F11" s="7"/>
      <c r="G11" s="7"/>
      <c r="H11" s="7"/>
      <c r="I11" s="7"/>
      <c r="J11" s="78"/>
    </row>
    <row r="12" spans="2:10" ht="30" customHeight="1">
      <c r="B12" s="49" t="s">
        <v>3</v>
      </c>
      <c r="C12" s="7"/>
      <c r="D12" s="7"/>
      <c r="E12" s="7"/>
      <c r="F12" s="7"/>
      <c r="G12" s="7"/>
      <c r="H12" s="7"/>
      <c r="I12" s="7"/>
      <c r="J12" s="78"/>
    </row>
    <row r="13" spans="2:10" ht="30" customHeight="1">
      <c r="B13" s="49" t="s">
        <v>4</v>
      </c>
      <c r="C13" s="7"/>
      <c r="D13" s="7"/>
      <c r="E13" s="7"/>
      <c r="F13" s="7"/>
      <c r="G13" s="7"/>
      <c r="H13" s="7"/>
      <c r="I13" s="7"/>
      <c r="J13" s="78"/>
    </row>
    <row r="14" spans="2:10" ht="30" customHeight="1">
      <c r="B14" s="49" t="s">
        <v>5</v>
      </c>
      <c r="C14" s="7"/>
      <c r="D14" s="7"/>
      <c r="E14" s="7"/>
      <c r="F14" s="7"/>
      <c r="G14" s="7"/>
      <c r="H14" s="7"/>
      <c r="I14" s="7"/>
      <c r="J14" s="78"/>
    </row>
    <row r="15" spans="2:10" ht="30" customHeight="1">
      <c r="B15" s="49" t="s">
        <v>21</v>
      </c>
      <c r="C15" s="7"/>
      <c r="D15" s="7"/>
      <c r="E15" s="7"/>
      <c r="F15" s="7"/>
      <c r="G15" s="7"/>
      <c r="H15" s="7"/>
      <c r="I15" s="7"/>
      <c r="J15" s="78"/>
    </row>
    <row r="16" spans="2:10" ht="30" customHeight="1">
      <c r="B16" s="49" t="s">
        <v>6</v>
      </c>
      <c r="C16" s="7"/>
      <c r="D16" s="7"/>
      <c r="E16" s="7"/>
      <c r="F16" s="7"/>
      <c r="G16" s="7"/>
      <c r="H16" s="7"/>
      <c r="I16" s="7"/>
      <c r="J16" s="78"/>
    </row>
    <row r="17" spans="2:11" ht="30" customHeight="1">
      <c r="B17" s="50" t="s">
        <v>8</v>
      </c>
      <c r="C17" s="7"/>
      <c r="D17" s="7"/>
      <c r="E17" s="7"/>
      <c r="F17" s="7"/>
      <c r="G17" s="7"/>
      <c r="H17" s="7"/>
      <c r="I17" s="7"/>
      <c r="J17" s="78"/>
    </row>
    <row r="18" spans="2:11" ht="30" customHeight="1">
      <c r="B18" s="49" t="s">
        <v>7</v>
      </c>
      <c r="C18" s="100">
        <f>0.51*$J32</f>
        <v>0</v>
      </c>
      <c r="D18" s="100">
        <f>0.51*$J33</f>
        <v>0</v>
      </c>
      <c r="E18" s="100">
        <f>0.51*$J34</f>
        <v>0</v>
      </c>
      <c r="F18" s="100">
        <f>0.51*$J35</f>
        <v>0</v>
      </c>
      <c r="G18" s="100">
        <f>0.51*$J36</f>
        <v>0</v>
      </c>
      <c r="H18" s="100">
        <f>0.51*$J37</f>
        <v>0</v>
      </c>
      <c r="I18" s="100">
        <f>0.51*$J38</f>
        <v>0</v>
      </c>
      <c r="J18" s="78"/>
    </row>
    <row r="19" spans="2:11" ht="30" customHeight="1">
      <c r="B19" s="49" t="s">
        <v>26</v>
      </c>
      <c r="C19" s="7"/>
      <c r="D19" s="7"/>
      <c r="E19" s="7"/>
      <c r="F19" s="7"/>
      <c r="G19" s="7"/>
      <c r="H19" s="7"/>
      <c r="I19" s="7"/>
      <c r="J19" s="78"/>
    </row>
    <row r="20" spans="2:11" ht="30" customHeight="1">
      <c r="B20" s="49" t="s">
        <v>27</v>
      </c>
      <c r="C20" s="7"/>
      <c r="D20" s="7"/>
      <c r="E20" s="7"/>
      <c r="F20" s="7"/>
      <c r="G20" s="7"/>
      <c r="H20" s="7"/>
      <c r="I20" s="7"/>
      <c r="J20" s="78"/>
    </row>
    <row r="21" spans="2:11" ht="30" customHeight="1">
      <c r="B21" s="49" t="s">
        <v>22</v>
      </c>
      <c r="C21" s="7"/>
      <c r="D21" s="7"/>
      <c r="E21" s="7"/>
      <c r="F21" s="7"/>
      <c r="G21" s="7"/>
      <c r="H21" s="7"/>
      <c r="I21" s="7"/>
      <c r="J21" s="78"/>
    </row>
    <row r="22" spans="2:11" ht="30" customHeight="1">
      <c r="B22" s="6"/>
      <c r="C22" s="7"/>
      <c r="D22" s="7"/>
      <c r="E22" s="7"/>
      <c r="F22" s="7"/>
      <c r="G22" s="7"/>
      <c r="H22" s="7"/>
      <c r="I22" s="7"/>
      <c r="J22" s="78"/>
    </row>
    <row r="23" spans="2:11" ht="30" customHeight="1">
      <c r="B23" s="6"/>
      <c r="C23" s="7"/>
      <c r="D23" s="7"/>
      <c r="E23" s="7"/>
      <c r="F23" s="7"/>
      <c r="G23" s="7"/>
      <c r="H23" s="7"/>
      <c r="I23" s="7"/>
      <c r="J23" s="78"/>
    </row>
    <row r="24" spans="2:11" ht="30" customHeight="1">
      <c r="B24" s="6"/>
      <c r="C24" s="7"/>
      <c r="D24" s="7"/>
      <c r="E24" s="7"/>
      <c r="F24" s="7"/>
      <c r="G24" s="7"/>
      <c r="H24" s="7"/>
      <c r="I24" s="7"/>
      <c r="J24" s="78"/>
    </row>
    <row r="25" spans="2:11" ht="30" customHeight="1">
      <c r="B25" s="15"/>
      <c r="C25" s="7"/>
      <c r="D25" s="7"/>
      <c r="E25" s="7"/>
      <c r="F25" s="49" t="s">
        <v>41</v>
      </c>
      <c r="G25" s="15"/>
      <c r="H25" s="7"/>
      <c r="I25" s="7"/>
      <c r="J25" s="78"/>
    </row>
    <row r="26" spans="2:11" ht="30" customHeight="1">
      <c r="B26" s="15"/>
      <c r="C26" s="7"/>
      <c r="D26" s="7"/>
      <c r="E26" s="7"/>
      <c r="F26" s="49" t="s">
        <v>42</v>
      </c>
      <c r="H26" s="7"/>
      <c r="I26" s="7"/>
      <c r="J26" s="78"/>
    </row>
    <row r="27" spans="2:11" ht="30" customHeight="1">
      <c r="B27" s="8" t="s">
        <v>0</v>
      </c>
      <c r="C27" s="7"/>
      <c r="D27" s="7"/>
      <c r="E27" s="7"/>
      <c r="F27" s="7"/>
      <c r="G27" s="7"/>
      <c r="H27" s="7"/>
      <c r="I27" s="7"/>
      <c r="J27" s="78"/>
    </row>
    <row r="28" spans="2:11" ht="30" customHeight="1">
      <c r="B28" s="49" t="s">
        <v>9</v>
      </c>
      <c r="C28" s="78">
        <f>SUM(C11:C27)</f>
        <v>0</v>
      </c>
      <c r="D28" s="78">
        <f t="shared" ref="D28:I28" si="1">SUM(D11:D27)</f>
        <v>0</v>
      </c>
      <c r="E28" s="78">
        <f t="shared" si="1"/>
        <v>0</v>
      </c>
      <c r="F28" s="78">
        <f t="shared" si="1"/>
        <v>0</v>
      </c>
      <c r="G28" s="78">
        <f t="shared" si="1"/>
        <v>0</v>
      </c>
      <c r="H28" s="78">
        <f t="shared" si="1"/>
        <v>0</v>
      </c>
      <c r="I28" s="78">
        <f t="shared" si="1"/>
        <v>0</v>
      </c>
      <c r="J28" s="78">
        <f>SUM(J11:J27)</f>
        <v>0</v>
      </c>
    </row>
    <row r="29" spans="2:11" ht="30" customHeight="1">
      <c r="B29" s="10"/>
      <c r="C29" s="13"/>
      <c r="D29" s="14"/>
      <c r="E29" s="13"/>
      <c r="F29" s="13"/>
      <c r="G29" s="13"/>
      <c r="H29" s="13"/>
      <c r="I29" s="13"/>
      <c r="J29" s="12"/>
    </row>
    <row r="30" spans="2:11" ht="30" customHeight="1">
      <c r="B30" s="49" t="s">
        <v>0</v>
      </c>
      <c r="C30" s="70"/>
      <c r="D30" s="49"/>
      <c r="E30" s="71"/>
      <c r="F30" s="69" t="s">
        <v>37</v>
      </c>
      <c r="G30" s="72"/>
      <c r="H30" s="72"/>
      <c r="I30" s="70" t="s">
        <v>0</v>
      </c>
      <c r="J30" s="73" t="s">
        <v>39</v>
      </c>
    </row>
    <row r="31" spans="2:11" ht="30" customHeight="1">
      <c r="B31" s="49" t="s">
        <v>29</v>
      </c>
      <c r="C31" s="70"/>
      <c r="D31" s="51"/>
      <c r="E31" s="71" t="s">
        <v>38</v>
      </c>
      <c r="F31" s="72"/>
      <c r="G31" s="72"/>
      <c r="H31" s="74"/>
      <c r="I31" s="75" t="s">
        <v>0</v>
      </c>
      <c r="J31" s="76" t="s">
        <v>11</v>
      </c>
    </row>
    <row r="32" spans="2:11" ht="30" customHeight="1">
      <c r="B32" s="40" t="s">
        <v>0</v>
      </c>
      <c r="C32" s="21"/>
      <c r="D32" s="21"/>
      <c r="E32" s="16"/>
      <c r="F32" s="17"/>
      <c r="G32" s="17"/>
      <c r="H32" s="17"/>
      <c r="I32" s="22"/>
      <c r="J32" s="79">
        <v>0</v>
      </c>
      <c r="K32" s="80"/>
    </row>
    <row r="33" spans="2:15" ht="30" customHeight="1">
      <c r="B33" s="40" t="s">
        <v>0</v>
      </c>
      <c r="C33" s="21"/>
      <c r="D33" s="21"/>
      <c r="E33" s="16"/>
      <c r="F33" s="17"/>
      <c r="G33" s="17"/>
      <c r="H33" s="17"/>
      <c r="I33" s="22"/>
      <c r="J33" s="79"/>
      <c r="K33" s="80"/>
    </row>
    <row r="34" spans="2:15" ht="30" customHeight="1">
      <c r="B34" s="40" t="s">
        <v>0</v>
      </c>
      <c r="C34" s="21"/>
      <c r="D34" s="21"/>
      <c r="E34" s="16"/>
      <c r="F34" s="17"/>
      <c r="G34" s="17"/>
      <c r="H34" s="17"/>
      <c r="I34" s="22"/>
      <c r="J34" s="79"/>
      <c r="K34" s="80"/>
    </row>
    <row r="35" spans="2:15" ht="30" customHeight="1">
      <c r="B35" s="40" t="s">
        <v>0</v>
      </c>
      <c r="C35" s="21"/>
      <c r="D35" s="21"/>
      <c r="E35" s="16"/>
      <c r="F35" s="17"/>
      <c r="G35" s="17"/>
      <c r="H35" s="17"/>
      <c r="I35" s="22"/>
      <c r="J35" s="79"/>
      <c r="K35" s="80"/>
    </row>
    <row r="36" spans="2:15" ht="30" customHeight="1">
      <c r="B36" s="40" t="s">
        <v>0</v>
      </c>
      <c r="C36" s="21"/>
      <c r="D36" s="21"/>
      <c r="E36" s="16"/>
      <c r="F36" s="17"/>
      <c r="G36" s="17"/>
      <c r="H36" s="17"/>
      <c r="I36" s="22"/>
      <c r="J36" s="79"/>
      <c r="K36" s="80"/>
    </row>
    <row r="37" spans="2:15" ht="30" customHeight="1">
      <c r="B37" s="40" t="s">
        <v>0</v>
      </c>
      <c r="C37" s="21"/>
      <c r="D37" s="21"/>
      <c r="E37" s="16"/>
      <c r="F37" s="17"/>
      <c r="G37" s="17"/>
      <c r="H37" s="17"/>
      <c r="I37" s="22"/>
      <c r="J37" s="79"/>
      <c r="K37" s="80"/>
    </row>
    <row r="38" spans="2:15" ht="30" customHeight="1">
      <c r="B38" s="40" t="s">
        <v>0</v>
      </c>
      <c r="C38" s="21"/>
      <c r="D38" s="21"/>
      <c r="E38" s="16"/>
      <c r="F38" s="17"/>
      <c r="G38" s="17"/>
      <c r="H38" s="17"/>
      <c r="I38" s="22"/>
      <c r="J38" s="79"/>
      <c r="K38" s="80"/>
    </row>
    <row r="39" spans="2:15" ht="20.100000000000001" customHeight="1">
      <c r="B39" s="10" t="s">
        <v>0</v>
      </c>
      <c r="C39" s="18"/>
      <c r="D39" s="18"/>
      <c r="E39" s="18"/>
      <c r="F39" s="18"/>
      <c r="G39" s="18"/>
      <c r="H39" s="18"/>
      <c r="I39" s="18"/>
      <c r="J39" s="18"/>
    </row>
    <row r="40" spans="2:15" ht="20.100000000000001" customHeight="1">
      <c r="B40" s="10"/>
      <c r="C40" s="18"/>
      <c r="D40" s="18"/>
      <c r="E40" s="18"/>
      <c r="F40" s="18"/>
      <c r="G40" s="18"/>
    </row>
    <row r="41" spans="2:15" ht="25.05" customHeight="1">
      <c r="B41" s="65" t="s">
        <v>30</v>
      </c>
      <c r="C41" s="37"/>
      <c r="D41" s="38"/>
      <c r="E41" s="19"/>
      <c r="F41" s="19"/>
      <c r="G41" s="19"/>
      <c r="H41" s="41" t="s">
        <v>10</v>
      </c>
      <c r="I41" s="37"/>
      <c r="J41" s="5" t="s">
        <v>0</v>
      </c>
      <c r="K41" s="5"/>
    </row>
    <row r="42" spans="2:15" ht="25.05" customHeight="1">
      <c r="B42" s="91"/>
      <c r="C42" s="11"/>
      <c r="D42" s="92"/>
      <c r="E42" s="93"/>
      <c r="F42" s="93"/>
      <c r="G42" s="93"/>
      <c r="H42" s="94"/>
      <c r="I42" s="11"/>
      <c r="J42" s="95"/>
      <c r="K42" s="95"/>
    </row>
    <row r="43" spans="2:15" ht="25.05" customHeight="1">
      <c r="B43" s="65"/>
      <c r="C43" s="37"/>
      <c r="D43" s="38"/>
      <c r="E43" s="19"/>
      <c r="F43" s="19"/>
      <c r="G43" s="19"/>
      <c r="H43" s="41"/>
      <c r="I43" s="37"/>
      <c r="J43" s="5"/>
      <c r="K43" s="5"/>
    </row>
    <row r="44" spans="2:15" ht="25.05" customHeight="1">
      <c r="B44" s="96" t="s">
        <v>44</v>
      </c>
      <c r="C44" s="97"/>
      <c r="D44" s="97"/>
      <c r="E44" s="98"/>
      <c r="F44" s="87"/>
      <c r="G44" s="87"/>
      <c r="H44" s="87"/>
      <c r="I44" s="87"/>
      <c r="J44" s="87"/>
      <c r="K44" s="87"/>
    </row>
    <row r="45" spans="2:15" ht="25.05" customHeight="1">
      <c r="B45" s="10"/>
      <c r="C45" s="18"/>
      <c r="D45" s="18"/>
      <c r="E45" s="18"/>
      <c r="F45" s="18"/>
      <c r="G45" s="18"/>
      <c r="H45" s="18"/>
      <c r="J45" s="18"/>
    </row>
    <row r="46" spans="2:15" ht="25.05" customHeight="1">
      <c r="B46" s="66" t="s">
        <v>23</v>
      </c>
      <c r="C46" s="19"/>
      <c r="D46" s="19"/>
      <c r="E46" s="19"/>
      <c r="F46" s="20"/>
      <c r="G46" s="38" t="s">
        <v>0</v>
      </c>
      <c r="H46" s="42" t="s">
        <v>10</v>
      </c>
      <c r="I46" s="19"/>
      <c r="J46" s="19"/>
      <c r="K46" s="20"/>
    </row>
    <row r="47" spans="2:15" ht="25.05" customHeight="1">
      <c r="B47" s="89" t="s">
        <v>43</v>
      </c>
      <c r="C47" s="18"/>
      <c r="E47" s="18"/>
      <c r="F47" s="18"/>
      <c r="G47" s="18"/>
      <c r="I47" s="9" t="s">
        <v>0</v>
      </c>
      <c r="J47" s="18"/>
      <c r="L47" s="84"/>
      <c r="M47" s="85"/>
      <c r="N47" s="85"/>
      <c r="O47" s="86"/>
    </row>
    <row r="48" spans="2:15" ht="25.05" customHeight="1">
      <c r="B48" s="81"/>
      <c r="C48" s="82"/>
      <c r="D48" s="82"/>
      <c r="E48" s="37"/>
      <c r="F48" s="37"/>
      <c r="G48" s="37"/>
      <c r="H48" s="37"/>
      <c r="I48" s="83"/>
      <c r="J48" s="82"/>
      <c r="K48" s="37"/>
      <c r="L48" s="87"/>
      <c r="M48" s="87"/>
      <c r="N48" s="87"/>
      <c r="O48" s="88"/>
    </row>
    <row r="49" spans="2:11" ht="25.05" customHeight="1">
      <c r="B49" s="96" t="s">
        <v>40</v>
      </c>
      <c r="C49" s="97"/>
      <c r="D49" s="97"/>
      <c r="E49" s="98"/>
      <c r="F49" s="87"/>
      <c r="G49" s="87"/>
      <c r="H49" s="87"/>
      <c r="I49" s="87"/>
      <c r="J49" s="87"/>
      <c r="K49" s="87"/>
    </row>
    <row r="50" spans="2:11" ht="20.100000000000001" customHeight="1">
      <c r="B50" s="10"/>
      <c r="C50" s="18"/>
      <c r="D50" s="18"/>
      <c r="E50" s="18"/>
      <c r="G50" s="18" t="s">
        <v>0</v>
      </c>
      <c r="H50" s="39"/>
      <c r="I50" s="39"/>
      <c r="J50" s="39"/>
      <c r="K50" s="39"/>
    </row>
    <row r="51" spans="2:11" ht="20.100000000000001" customHeight="1">
      <c r="B51" s="90" t="s">
        <v>31</v>
      </c>
      <c r="C51" s="53"/>
      <c r="D51" s="53"/>
      <c r="E51" s="53"/>
      <c r="F51" s="53"/>
      <c r="G51" s="53"/>
      <c r="H51" s="53"/>
      <c r="I51" s="53"/>
      <c r="J51" s="53"/>
      <c r="K51" s="54"/>
    </row>
    <row r="52" spans="2:11" ht="20.100000000000001" customHeight="1">
      <c r="B52" s="55"/>
      <c r="C52" s="11"/>
      <c r="D52" s="11"/>
      <c r="E52" s="11"/>
      <c r="F52" s="11"/>
      <c r="G52" s="11"/>
      <c r="H52" s="11"/>
      <c r="I52" s="11"/>
      <c r="J52" s="11"/>
      <c r="K52" s="56"/>
    </row>
    <row r="53" spans="2:11">
      <c r="B53" s="68" t="s">
        <v>33</v>
      </c>
      <c r="C53" s="52"/>
      <c r="D53" s="52"/>
      <c r="E53" s="52"/>
      <c r="F53" s="67" t="s">
        <v>34</v>
      </c>
      <c r="G53" s="52"/>
      <c r="H53" s="37"/>
      <c r="I53" s="52"/>
      <c r="J53" s="52"/>
      <c r="K53" s="59"/>
    </row>
    <row r="54" spans="2:11">
      <c r="B54" s="57"/>
      <c r="C54" s="58"/>
      <c r="D54" s="58"/>
      <c r="E54" s="58"/>
      <c r="F54" s="58"/>
      <c r="G54" s="58"/>
      <c r="I54" s="58"/>
      <c r="J54" s="58"/>
      <c r="K54" s="60"/>
    </row>
    <row r="55" spans="2:11">
      <c r="B55" s="57" t="s">
        <v>0</v>
      </c>
      <c r="C55" s="58"/>
      <c r="D55" s="58"/>
      <c r="E55" s="58"/>
      <c r="F55" s="67" t="s">
        <v>32</v>
      </c>
      <c r="G55" s="52"/>
      <c r="H55" s="37"/>
      <c r="I55" s="52"/>
      <c r="J55" s="52"/>
      <c r="K55" s="59"/>
    </row>
    <row r="56" spans="2:11">
      <c r="B56" s="55"/>
      <c r="C56" s="11"/>
      <c r="D56" s="11"/>
      <c r="E56" s="11"/>
      <c r="F56" s="11"/>
      <c r="G56" s="11"/>
      <c r="H56" s="11"/>
      <c r="I56" s="11"/>
      <c r="J56" s="11"/>
      <c r="K56" s="56"/>
    </row>
    <row r="57" spans="2:11">
      <c r="B57" s="61"/>
      <c r="C57" s="37"/>
      <c r="D57" s="37"/>
      <c r="E57" s="37"/>
      <c r="F57" s="37"/>
      <c r="G57" s="37"/>
      <c r="H57" s="37"/>
      <c r="I57" s="37"/>
      <c r="J57" s="37"/>
      <c r="K57" s="62"/>
    </row>
  </sheetData>
  <sheetProtection selectLockedCells="1"/>
  <mergeCells count="1">
    <mergeCell ref="D2:I2"/>
  </mergeCells>
  <printOptions horizontalCentered="1" verticalCentered="1"/>
  <pageMargins left="0.25" right="0.25" top="0.5" bottom="0.25" header="0" footer="0"/>
  <pageSetup scale="50" orientation="portrait" r:id="rId1"/>
  <headerFooter alignWithMargins="0">
    <oddFooter xml:space="preserve">&amp;R&amp;D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"/>
  <sheetViews>
    <sheetView topLeftCell="A6" zoomScale="200" workbookViewId="0">
      <selection activeCell="B12" sqref="B12"/>
    </sheetView>
  </sheetViews>
  <sheetFormatPr defaultRowHeight="13.2"/>
  <cols>
    <col min="1" max="1" width="12.6640625" customWidth="1"/>
    <col min="2" max="2" width="11.33203125" customWidth="1"/>
    <col min="3" max="3" width="9.33203125" bestFit="1" customWidth="1"/>
    <col min="4" max="4" width="1.6640625" customWidth="1"/>
    <col min="5" max="5" width="13.6640625" customWidth="1"/>
    <col min="6" max="6" width="11.44140625" customWidth="1"/>
    <col min="7" max="7" width="4.109375" customWidth="1"/>
    <col min="8" max="8" width="10.6640625" bestFit="1" customWidth="1"/>
  </cols>
  <sheetData>
    <row r="1" spans="1:9" hidden="1">
      <c r="A1" s="23" t="s">
        <v>12</v>
      </c>
      <c r="B1" s="24"/>
      <c r="C1" s="25">
        <v>0.48</v>
      </c>
      <c r="D1" s="26"/>
      <c r="E1" s="27" t="s">
        <v>14</v>
      </c>
      <c r="F1" s="28">
        <v>38616</v>
      </c>
      <c r="G1" s="29" t="s">
        <v>15</v>
      </c>
      <c r="H1" s="28">
        <v>38717</v>
      </c>
      <c r="I1" s="24"/>
    </row>
    <row r="2" spans="1:9" hidden="1">
      <c r="A2" s="23"/>
      <c r="B2" s="24"/>
      <c r="C2" s="25">
        <v>0.44500000000000001</v>
      </c>
      <c r="D2" s="26"/>
      <c r="E2" s="27" t="s">
        <v>14</v>
      </c>
      <c r="F2" s="28">
        <v>38718</v>
      </c>
      <c r="G2" s="29"/>
      <c r="H2" s="28">
        <v>39082</v>
      </c>
      <c r="I2" s="24"/>
    </row>
    <row r="3" spans="1:9" hidden="1">
      <c r="A3" s="23"/>
      <c r="B3" s="24"/>
      <c r="C3" s="25">
        <v>0.48499999999999999</v>
      </c>
      <c r="D3" s="26"/>
      <c r="E3" s="27"/>
      <c r="F3" s="28">
        <v>39083</v>
      </c>
      <c r="G3" s="29"/>
      <c r="H3" s="28">
        <v>39447</v>
      </c>
      <c r="I3" s="24"/>
    </row>
    <row r="4" spans="1:9" hidden="1">
      <c r="A4" s="24"/>
      <c r="B4" s="24"/>
      <c r="C4" s="30"/>
      <c r="D4" s="24"/>
      <c r="E4" s="24"/>
      <c r="F4" s="24"/>
      <c r="G4" s="24"/>
      <c r="H4" s="24"/>
      <c r="I4" s="24"/>
    </row>
    <row r="5" spans="1:9" hidden="1">
      <c r="A5" s="23" t="s">
        <v>13</v>
      </c>
      <c r="B5" s="24"/>
      <c r="C5" s="31">
        <v>0.505</v>
      </c>
      <c r="D5" s="24"/>
      <c r="E5" s="24" t="s">
        <v>16</v>
      </c>
      <c r="F5" s="28">
        <v>39448</v>
      </c>
      <c r="G5" s="29" t="s">
        <v>15</v>
      </c>
      <c r="H5" s="32">
        <v>39600</v>
      </c>
      <c r="I5" s="24"/>
    </row>
    <row r="6" spans="1:9">
      <c r="A6" s="26"/>
      <c r="B6" s="33"/>
      <c r="C6" s="24"/>
      <c r="D6" s="24"/>
      <c r="E6" s="24"/>
      <c r="F6" s="24"/>
      <c r="G6" s="24"/>
      <c r="H6" s="24"/>
      <c r="I6" s="24"/>
    </row>
    <row r="7" spans="1:9">
      <c r="A7" s="26"/>
      <c r="B7" s="33"/>
      <c r="C7" s="24"/>
      <c r="D7" s="24"/>
      <c r="E7" s="24"/>
      <c r="F7" s="24"/>
      <c r="G7" s="24"/>
      <c r="H7" s="24"/>
      <c r="I7" s="24"/>
    </row>
    <row r="8" spans="1:9">
      <c r="A8" s="26"/>
      <c r="B8" s="33"/>
      <c r="C8" s="24"/>
      <c r="D8" s="24"/>
      <c r="E8" s="24"/>
      <c r="F8" s="24"/>
      <c r="G8" s="24"/>
      <c r="H8" s="24"/>
      <c r="I8" s="24"/>
    </row>
    <row r="9" spans="1:9">
      <c r="A9" s="26"/>
      <c r="B9" s="33"/>
      <c r="C9" s="24"/>
      <c r="D9" s="24"/>
      <c r="E9" s="24"/>
      <c r="F9" s="24"/>
      <c r="G9" s="24"/>
      <c r="H9" s="24"/>
      <c r="I9" s="24"/>
    </row>
  </sheetData>
  <sheetProtection password="9947" sheet="1" objects="1" scenarios="1"/>
  <phoneticPr fontId="7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2011 TRAVEL REIMB</vt:lpstr>
      <vt:lpstr>Tab 2</vt:lpstr>
      <vt:lpstr>'2011 TRAVEL REIMB'!Print_Area</vt:lpstr>
    </vt:vector>
  </TitlesOfParts>
  <Company>State of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Interactive Expense Reimbursement Form for private vehicle mileage traveled January 1, 2008 through June 30, 2008 (50.5¢ per mile)</dc:title>
  <dc:subject>Interactive Expense Reimbursement Form for private vehicle mileage traveled January 1, 2008 through June 30, 2008 (50.5¢ per mile)</dc:subject>
  <dc:creator>DBM</dc:creator>
  <cp:lastModifiedBy>Laurie</cp:lastModifiedBy>
  <cp:lastPrinted>2011-08-22T14:08:23Z</cp:lastPrinted>
  <dcterms:created xsi:type="dcterms:W3CDTF">2005-08-01T13:37:41Z</dcterms:created>
  <dcterms:modified xsi:type="dcterms:W3CDTF">2011-08-22T14:08:58Z</dcterms:modified>
</cp:coreProperties>
</file>